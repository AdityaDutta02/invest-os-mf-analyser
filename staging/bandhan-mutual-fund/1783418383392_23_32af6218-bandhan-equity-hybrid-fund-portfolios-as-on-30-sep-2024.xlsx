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drawings/drawing17.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20.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drawings/drawing28.xml" ContentType="application/vnd.openxmlformats-officedocument.drawing+xml"/>
  <Override PartName="/xl/charts/chart34.xml" ContentType="application/vnd.openxmlformats-officedocument.drawingml.chart+xml"/>
  <Override PartName="/xl/drawings/drawing29.xml" ContentType="application/vnd.openxmlformats-officedocument.drawing+xml"/>
  <Override PartName="/xl/charts/chart3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0.xml" ContentType="application/vnd.openxmlformats-officedocument.drawing+xml"/>
  <Override PartName="/xl/charts/chart36.xml" ContentType="application/vnd.openxmlformats-officedocument.drawingml.chart+xml"/>
  <Override PartName="/xl/drawings/drawing31.xml" ContentType="application/vnd.openxmlformats-officedocument.drawing+xml"/>
  <Override PartName="/xl/charts/chart37.xml" ContentType="application/vnd.openxmlformats-officedocument.drawingml.chart+xml"/>
  <Override PartName="/xl/drawings/drawing32.xml" ContentType="application/vnd.openxmlformats-officedocument.drawing+xml"/>
  <Override PartName="/xl/charts/chart38.xml" ContentType="application/vnd.openxmlformats-officedocument.drawingml.chart+xml"/>
  <Override PartName="/xl/drawings/drawing33.xml" ContentType="application/vnd.openxmlformats-officedocument.drawing+xml"/>
  <Override PartName="/xl/charts/chart39.xml" ContentType="application/vnd.openxmlformats-officedocument.drawingml.chart+xml"/>
  <Override PartName="/xl/drawings/drawing34.xml" ContentType="application/vnd.openxmlformats-officedocument.drawing+xml"/>
  <Override PartName="/xl/charts/chart40.xml" ContentType="application/vnd.openxmlformats-officedocument.drawingml.chart+xml"/>
  <Override PartName="/xl/drawings/drawing35.xml" ContentType="application/vnd.openxmlformats-officedocument.drawing+xml"/>
  <Override PartName="/xl/charts/chart41.xml" ContentType="application/vnd.openxmlformats-officedocument.drawingml.chart+xml"/>
  <Override PartName="/xl/drawings/drawing36.xml" ContentType="application/vnd.openxmlformats-officedocument.drawing+xml"/>
  <Override PartName="/xl/charts/chart42.xml" ContentType="application/vnd.openxmlformats-officedocument.drawingml.chart+xml"/>
  <Override PartName="/xl/drawings/drawing37.xml" ContentType="application/vnd.openxmlformats-officedocument.drawing+xml"/>
  <Override PartName="/xl/charts/chart43.xml" ContentType="application/vnd.openxmlformats-officedocument.drawingml.chart+xml"/>
  <Override PartName="/xl/drawings/drawing38.xml" ContentType="application/vnd.openxmlformats-officedocument.drawing+xml"/>
  <Override PartName="/xl/charts/chart4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4\Oct 2024\"/>
    </mc:Choice>
  </mc:AlternateContent>
  <xr:revisionPtr revIDLastSave="0" documentId="13_ncr:1_{67426508-1B3F-423A-8EA4-493EDE67F909}"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 BUSINESS CYCLE" sheetId="54" r:id="rId14"/>
    <sheet name="BANDHAN-ELSS" sheetId="13" r:id="rId15"/>
    <sheet name="BANDHAN-AF" sheetId="27" r:id="rId16"/>
    <sheet name="BANDHAN BAF" sheetId="5" r:id="rId17"/>
    <sheet name="BANDHAN-ESF" sheetId="25" r:id="rId18"/>
    <sheet name="BANDHAN CHF" sheetId="18" r:id="rId19"/>
    <sheet name="BANDHAN-HEF" sheetId="26" r:id="rId20"/>
    <sheet name="BANDHAN RF" sheetId="41" r:id="rId21"/>
    <sheet name="BANDHAN MAF" sheetId="45" r:id="rId22"/>
    <sheet name="BANDHAN AAF-AP" sheetId="19" r:id="rId23"/>
    <sheet name="BANDHANAAF-MP" sheetId="20" r:id="rId24"/>
    <sheet name="BANDHANAAF-CP" sheetId="21" r:id="rId25"/>
    <sheet name="BANDHAN-NIFTY 50 Index" sheetId="10" r:id="rId26"/>
    <sheet name="BANDHAN- S&amp;P BSE SENSEX ETF" sheetId="16" r:id="rId27"/>
    <sheet name="BANDHAN- Nifty 50 ETF" sheetId="17" r:id="rId28"/>
    <sheet name="BANDHAN-Nifty 100 Index" sheetId="31" r:id="rId29"/>
    <sheet name="BANDHAN-Nifty200 Mom30 Index" sheetId="34" r:id="rId30"/>
    <sheet name="BANDHAN NIF100LV30" sheetId="35" r:id="rId31"/>
    <sheet name="BANDHAN NIFTY IT INDEX" sheetId="40" r:id="rId32"/>
    <sheet name="Bandhan Nifty Alpha 50 Index" sheetId="42" r:id="rId33"/>
    <sheet name="Bandhan Nifty Smallcap 250 " sheetId="44" r:id="rId34"/>
    <sheet name="Bandhan Nifty Total Market " sheetId="47" r:id="rId35"/>
    <sheet name="Bandhan Nifty Bank Index Fund" sheetId="49" r:id="rId36"/>
    <sheet name="Bandhan BSE Healthcare Index " sheetId="52" r:id="rId37"/>
    <sheet name="Bandhan Nifty Midcap 150 Index " sheetId="53" r:id="rId38"/>
  </sheets>
  <definedNames>
    <definedName name="_xlnm._FilterDatabase" localSheetId="22" hidden="1">'BANDHAN AAF-AP'!$C$12:$D$15</definedName>
    <definedName name="_xlnm._FilterDatabase" localSheetId="16" hidden="1">'BANDHAN BAF'!$I$47:$J$52</definedName>
    <definedName name="_xlnm.Print_Area" localSheetId="15">'BANDHAN-AF'!$C$5:$E$17</definedName>
  </definedNames>
  <calcPr calcId="191029"/>
</workbook>
</file>

<file path=xl/calcChain.xml><?xml version="1.0" encoding="utf-8"?>
<calcChain xmlns="http://schemas.openxmlformats.org/spreadsheetml/2006/main">
  <c r="H10" i="18" l="1"/>
  <c r="H9" i="18"/>
  <c r="E24" i="54" l="1"/>
  <c r="E20" i="49" l="1"/>
  <c r="E24" i="53"/>
  <c r="E24" i="52"/>
  <c r="H10" i="26"/>
  <c r="H9" i="26"/>
  <c r="E50" i="5"/>
  <c r="K16" i="25" l="1"/>
  <c r="K15" i="25"/>
  <c r="K14" i="25"/>
  <c r="K12" i="25"/>
  <c r="K10" i="25"/>
  <c r="E21" i="27" l="1"/>
  <c r="H8" i="26" l="1"/>
  <c r="E24" i="47" l="1"/>
  <c r="K13" i="26"/>
  <c r="K12" i="26"/>
  <c r="K9" i="26"/>
  <c r="H8" i="18"/>
  <c r="E23" i="25" l="1"/>
  <c r="E24" i="46" l="1"/>
  <c r="K14" i="18" l="1"/>
  <c r="E24" i="45" l="1"/>
  <c r="E42" i="45" s="1"/>
  <c r="E24" i="44" l="1"/>
  <c r="E24" i="42" l="1"/>
  <c r="E35" i="41" l="1"/>
  <c r="E19" i="40" l="1"/>
  <c r="J11" i="19" l="1"/>
  <c r="D11" i="19" l="1"/>
  <c r="E24" i="39"/>
  <c r="D15" i="29" l="1"/>
  <c r="D11" i="21" l="1"/>
  <c r="E24" i="37" l="1"/>
  <c r="E24" i="35" l="1"/>
  <c r="E24" i="34" l="1"/>
  <c r="E24" i="33"/>
  <c r="E24" i="31" l="1"/>
  <c r="K9" i="18" l="1"/>
  <c r="D18" i="21" l="1"/>
  <c r="E24" i="30"/>
  <c r="D16" i="19" l="1"/>
  <c r="J10" i="29"/>
  <c r="J9" i="29"/>
  <c r="K12" i="18" l="1"/>
  <c r="E24" i="12" l="1"/>
  <c r="K9" i="25" l="1"/>
  <c r="S8" i="27"/>
  <c r="S9" i="27" s="1"/>
  <c r="E24" i="8"/>
  <c r="J8" i="29" l="1"/>
  <c r="I9" i="18" l="1"/>
  <c r="I10" i="18"/>
  <c r="K11" i="18" l="1"/>
  <c r="E24" i="28" l="1"/>
  <c r="E46" i="18" l="1"/>
  <c r="K10" i="18" l="1"/>
  <c r="E24" i="26"/>
  <c r="E47" i="26" s="1"/>
  <c r="I10" i="26"/>
  <c r="I9" i="26"/>
  <c r="I8" i="26"/>
  <c r="K10" i="26" l="1"/>
  <c r="J10" i="21"/>
  <c r="J9" i="21"/>
  <c r="D17" i="20"/>
  <c r="D11" i="20"/>
  <c r="J8" i="20" s="1"/>
  <c r="J9" i="20" l="1"/>
  <c r="J10" i="20"/>
  <c r="J8" i="21"/>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<sst xmlns="http://schemas.openxmlformats.org/spreadsheetml/2006/main" count="2393" uniqueCount="404">
  <si>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</si>
  <si>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</si>
  <si>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</si>
  <si>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</si>
  <si>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</si>
  <si>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</si>
  <si>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</si>
  <si>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</si>
  <si>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</si>
  <si>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</si>
  <si>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</si>
  <si>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</si>
  <si>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</si>
  <si>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</si>
  <si>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</si>
  <si>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</si>
  <si>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</si>
  <si>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</si>
  <si>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</si>
  <si>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</si>
  <si>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</si>
  <si>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</si>
  <si>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</si>
  <si>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</si>
  <si>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</si>
  <si>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</si>
  <si>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</si>
  <si>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</si>
  <si>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</si>
  <si>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</si>
  <si>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</si>
  <si>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</si>
  <si>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</si>
  <si>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</si>
  <si>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</si>
  <si>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</si>
  <si>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</si>
  <si>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</si>
  <si>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</si>
  <si>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</si>
  <si>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</si>
  <si>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</si>
  <si>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</si>
  <si>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</si>
  <si>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</si>
  <si>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</si>
  <si>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</si>
  <si>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</si>
  <si>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</si>
  <si>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</si>
  <si>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</si>
  <si>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</si>
  <si>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</si>
  <si>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</si>
  <si>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</si>
  <si>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</si>
  <si>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</si>
  <si>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</si>
  <si>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</si>
  <si>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</si>
  <si>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</si>
  <si>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</si>
  <si>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</si>
  <si>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</si>
  <si>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</si>
  <si>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</si>
  <si>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</si>
  <si>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</si>
  <si>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</si>
  <si>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</si>
  <si>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Bharti Airtel Limited</t>
  </si>
  <si>
    <t>LIC Housing Finance Limited</t>
  </si>
  <si>
    <t>Torrent Power Limited</t>
  </si>
  <si>
    <t>8.24% GOI (MD 15/02/2027)</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</si>
  <si>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</si>
  <si>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</si>
  <si>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</si>
  <si>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</si>
  <si>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</si>
  <si>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</si>
  <si>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</si>
  <si>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</si>
  <si>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</si>
  <si>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</si>
  <si>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</si>
  <si>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</si>
  <si>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</si>
  <si>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</si>
  <si>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</si>
  <si>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</si>
  <si>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</si>
  <si>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</si>
  <si>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</si>
  <si>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</si>
  <si>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</si>
  <si>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</si>
  <si>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</si>
  <si>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</si>
  <si>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</si>
  <si>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</si>
  <si>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 xml:space="preserve">Net Equity </t>
  </si>
  <si>
    <t>Average Maturity Years</t>
  </si>
  <si>
    <t>Clearing Corporation of India Ltd</t>
  </si>
  <si>
    <t>TRI Party Repo Total</t>
  </si>
  <si>
    <t>8.28% GOI (M/D 21/09/2027)</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</si>
  <si>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</si>
  <si>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</si>
  <si>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</si>
  <si>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</si>
  <si>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</si>
  <si>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</si>
  <si>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</si>
  <si>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</si>
  <si>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</si>
  <si>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</si>
  <si>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</si>
  <si>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</si>
  <si>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</si>
  <si>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</si>
  <si>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</si>
  <si>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</si>
  <si>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</si>
  <si>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</si>
  <si>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</si>
  <si>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</si>
  <si>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</si>
  <si>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</si>
  <si>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</si>
  <si>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</si>
  <si>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</si>
  <si>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</si>
  <si>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</si>
  <si>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</si>
  <si>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</si>
  <si>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</si>
  <si>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</si>
  <si>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</si>
  <si>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</si>
  <si>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</si>
  <si>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</si>
  <si>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</si>
  <si>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</si>
  <si>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</si>
  <si>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</si>
  <si>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</si>
  <si>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Hero MotoCorp Limited</t>
  </si>
  <si>
    <t>InterGlobe Aviation Limited</t>
  </si>
  <si>
    <t>Minerals &amp; Mining</t>
  </si>
  <si>
    <t>Ahluwalia Contracts (India) Limited</t>
  </si>
  <si>
    <t>LTIMindtree Limited</t>
  </si>
  <si>
    <t>Hindustan Aeronautics Limited</t>
  </si>
  <si>
    <t>Godrej Consumer Products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</si>
  <si>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</si>
  <si>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</si>
  <si>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</si>
  <si>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</si>
  <si>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</si>
  <si>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</si>
  <si>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</si>
  <si>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</si>
  <si>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</si>
  <si>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</si>
  <si>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</si>
  <si>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</si>
  <si>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</si>
  <si>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</si>
  <si>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</si>
  <si>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</si>
  <si>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</si>
  <si>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</si>
  <si>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</si>
  <si>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</si>
  <si>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</si>
  <si>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</si>
  <si>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</si>
  <si>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</si>
  <si>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</si>
  <si>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</si>
  <si>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</si>
  <si>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</si>
  <si>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</si>
  <si>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</si>
  <si>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</si>
  <si>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</si>
  <si>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</si>
  <si>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Tube Investments of India Limited</t>
  </si>
  <si>
    <t>BANDHAN FINANCIAL SERVICES FUND</t>
  </si>
  <si>
    <t>Financial Technology (Fintech)</t>
  </si>
  <si>
    <t>Household Products</t>
  </si>
  <si>
    <t>The Phoenix Mills Limited</t>
  </si>
  <si>
    <t>NHPC Limited</t>
  </si>
  <si>
    <t>L&amp;T Technology Services Limited</t>
  </si>
  <si>
    <t>Persistent Systems Limited</t>
  </si>
  <si>
    <t>Cholamandalam Financial Holdings Limited</t>
  </si>
  <si>
    <t>Wipro Limited</t>
  </si>
  <si>
    <t>Tech Mahindra Limited</t>
  </si>
  <si>
    <t>HCL Technologies Limited</t>
  </si>
  <si>
    <t>Coforge Limited</t>
  </si>
  <si>
    <t>BANDHAN NIFTY IT INDEX FUND</t>
  </si>
  <si>
    <t>7.18% GOI (MD 14/08/2033)</t>
  </si>
  <si>
    <t>Varun Beverages Limited</t>
  </si>
  <si>
    <t>Apar Industries Limited</t>
  </si>
  <si>
    <t>Arvind Limited</t>
  </si>
  <si>
    <t>7.18% GOI (MD 24/07/2037)</t>
  </si>
  <si>
    <t>Corporate Debt Market Development Fund</t>
  </si>
  <si>
    <t>BANDHAN RETIREMENT FUND</t>
  </si>
  <si>
    <t>Coal India Limited</t>
  </si>
  <si>
    <t>TVS Holdings Limited</t>
  </si>
  <si>
    <t>Exide Industries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</si>
  <si>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</si>
  <si>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Shriram Finance Limited</t>
  </si>
  <si>
    <t>Bandhan Nifty Alpha 50 Index Fund</t>
  </si>
  <si>
    <t>Bharat Heavy Electricals Limited</t>
  </si>
  <si>
    <t>Indian Railway Finance Corporation Limited</t>
  </si>
  <si>
    <t>Bandhan Small Cap Fund - Direct Pl - Gr</t>
  </si>
  <si>
    <t>BANDHAN SMALL CAP FUND (PREVIOUSLY KNOWN AS BANDHAN EMERGING BUSINESSES FUND)</t>
  </si>
  <si>
    <t>BANDHAN ELSS TAX SAVER FUND (PREVIOUSLY KNOWN AS BANDHAN TAX ADVANTAGE (ELSS) FUND)</t>
  </si>
  <si>
    <t>Mankind Pharma Limited</t>
  </si>
  <si>
    <t>Computer Age Management Services Limited</t>
  </si>
  <si>
    <t>GPT Infraprojects Limited</t>
  </si>
  <si>
    <t>Multi Commodity Exchange of India Limited</t>
  </si>
  <si>
    <t>Prestige Estates Projects Limited</t>
  </si>
  <si>
    <t>Bandhan Nifty Smallcap 250 Index Fund</t>
  </si>
  <si>
    <t>Telecom -  Equipment &amp; Accessories</t>
  </si>
  <si>
    <t>Healthcare Equipment &amp; Supplies</t>
  </si>
  <si>
    <t>Central Depository Services (India) Limited</t>
  </si>
  <si>
    <t>Karur Vysya Bank Limited</t>
  </si>
  <si>
    <t>Mutual Fund Units</t>
  </si>
  <si>
    <t>Bandhan Money Manager Treasury -Direct Pl-Growth</t>
  </si>
  <si>
    <t>7.3% GOI (MD 19/06/2053)</t>
  </si>
  <si>
    <t>Zomato Limited</t>
  </si>
  <si>
    <t>Eicher Motors Limited</t>
  </si>
  <si>
    <t>PB Fintech Limited</t>
  </si>
  <si>
    <t>Blue Star Limited</t>
  </si>
  <si>
    <t>International Exchange Traded Funds</t>
  </si>
  <si>
    <t>iShares V PLC - iShares MSCI ACWI UCITS ETF</t>
  </si>
  <si>
    <t>Exchange Traded Funds</t>
  </si>
  <si>
    <t>Others</t>
  </si>
  <si>
    <t>ICICI Prudential Gold ETF</t>
  </si>
  <si>
    <t>ICICI Prudential Silver ETF</t>
  </si>
  <si>
    <t>BANDHAN MULTI ASSET ALLOCATION FUND</t>
  </si>
  <si>
    <t>Info Edge (India) Limited</t>
  </si>
  <si>
    <t>Engineering Services</t>
  </si>
  <si>
    <t>ICICI Lombard General Insurance Company Limited</t>
  </si>
  <si>
    <t>IT - Hardware</t>
  </si>
  <si>
    <t>Jio Financial Services Limited</t>
  </si>
  <si>
    <t>National Aluminium Company Limited</t>
  </si>
  <si>
    <t>Dixon Technologies (India) Limited</t>
  </si>
  <si>
    <t>6.54% GOI (MD 17/01/2032)</t>
  </si>
  <si>
    <t>V-Mart Retail Limited</t>
  </si>
  <si>
    <t>Siemens Limited</t>
  </si>
  <si>
    <t>Aditya Birla Sun Life AMC Limited</t>
  </si>
  <si>
    <t>Asian Paints Limited</t>
  </si>
  <si>
    <t>Glenmark Pharmaceuticals Limited</t>
  </si>
  <si>
    <t>Crompton Greaves Consumer Electricals Limited</t>
  </si>
  <si>
    <t>SignatureGlobal (India) Limited</t>
  </si>
  <si>
    <t>BSE Limited</t>
  </si>
  <si>
    <t>Suzlon Energy Limited</t>
  </si>
  <si>
    <t>Kalyan Jewellers India Limited</t>
  </si>
  <si>
    <t>Rail Vikas Nigam Limited</t>
  </si>
  <si>
    <t>BANDHAN INNOVATION FUND</t>
  </si>
  <si>
    <t>United Breweries Limited</t>
  </si>
  <si>
    <t>Avanti Feeds Limited</t>
  </si>
  <si>
    <t>Rashi Peripherals Limited</t>
  </si>
  <si>
    <t>Adani Ports and Special Economic Zone Limited</t>
  </si>
  <si>
    <t>AstraZeneca Pharma India Limited</t>
  </si>
  <si>
    <t>Syngene International Limited</t>
  </si>
  <si>
    <t>Bajaj Finserv Limited</t>
  </si>
  <si>
    <t>Grasim Industries Limited</t>
  </si>
  <si>
    <t>FSN E-Commerce Ventures Limited</t>
  </si>
  <si>
    <t>Supreme Industries Limited</t>
  </si>
  <si>
    <t>PCBL Limited</t>
  </si>
  <si>
    <t>PNC Infratech Limited</t>
  </si>
  <si>
    <t>Prudent Corporate Advisory Services Limited</t>
  </si>
  <si>
    <t>Aster DM Healthcare Limited</t>
  </si>
  <si>
    <t>Amara Raja Energy &amp; Mobility Ltd</t>
  </si>
  <si>
    <t>The Great Eastern Shipping Company Limited</t>
  </si>
  <si>
    <t>Sun Pharmaceutical Industries Limited</t>
  </si>
  <si>
    <t>Titan Company Limited</t>
  </si>
  <si>
    <t>KEC International Limited</t>
  </si>
  <si>
    <t>Miscellaneous</t>
  </si>
  <si>
    <t>Indus Towers Limited</t>
  </si>
  <si>
    <t>LT Foods Limited</t>
  </si>
  <si>
    <t>The South Indian Bank Limited</t>
  </si>
  <si>
    <t>Praj Industries Limited</t>
  </si>
  <si>
    <t>Alkem Laboratories Limited</t>
  </si>
  <si>
    <t>Tata Power Company Limited</t>
  </si>
  <si>
    <t>SBI Life Insurance Company Limited</t>
  </si>
  <si>
    <t>Housing &amp; Urban Development Corporation Limited</t>
  </si>
  <si>
    <t>AU Small Finance Bank Limited</t>
  </si>
  <si>
    <t>Muthoot Finance Limited</t>
  </si>
  <si>
    <t>AA+</t>
  </si>
  <si>
    <t>BANDHAN CONSERVATIVE HYBRID FUND (PREVIOUSLY KNOWN AS BANDHAN REGULAR SAVINGS FUND)</t>
  </si>
  <si>
    <t>Godrej Housing Finance Limited</t>
  </si>
  <si>
    <t>Bandhan Nifty Total Market Index Fund</t>
  </si>
  <si>
    <t>The Federal Bank Limited</t>
  </si>
  <si>
    <t>The Karnataka Bank Limited</t>
  </si>
  <si>
    <t>Inox Wind Limited</t>
  </si>
  <si>
    <t>PTC India Financial Services Limited</t>
  </si>
  <si>
    <t>Rane Holdings Limited</t>
  </si>
  <si>
    <t>Colgate Palmolive (India) Limited</t>
  </si>
  <si>
    <t>Mphasis Limited</t>
  </si>
  <si>
    <t>NBCC (India) Limited</t>
  </si>
  <si>
    <t>Other Utilities</t>
  </si>
  <si>
    <t>Other Consumer Services</t>
  </si>
  <si>
    <t>AA</t>
  </si>
  <si>
    <t>One 97 Communications Limited</t>
  </si>
  <si>
    <t>Certificate of Deposit Total</t>
  </si>
  <si>
    <t>A1+</t>
  </si>
  <si>
    <t>Punjab National Bank</t>
  </si>
  <si>
    <t>Tata Projects Limited</t>
  </si>
  <si>
    <t>Torrent Pharmaceuticals Limited</t>
  </si>
  <si>
    <t>Bajaj Housing Finance Limited</t>
  </si>
  <si>
    <t>Mahindra &amp; Mahindra Financial Services Limited</t>
  </si>
  <si>
    <t>Oil India Limited</t>
  </si>
  <si>
    <t>Inox Green Energy Services Limited</t>
  </si>
  <si>
    <t>Angel One Limited</t>
  </si>
  <si>
    <t>Aurobindo Pharma Limited</t>
  </si>
  <si>
    <t>Sobha Limited</t>
  </si>
  <si>
    <t>H.G. Infra Engineering Limited</t>
  </si>
  <si>
    <t>Stove Kraft Limited</t>
  </si>
  <si>
    <t>Cyient Limited</t>
  </si>
  <si>
    <t>Bank of Baroda</t>
  </si>
  <si>
    <t>IDFC First Bank Limited</t>
  </si>
  <si>
    <t>Bandhan Nifty Bank Index Fund</t>
  </si>
  <si>
    <t>Vedanta Limited</t>
  </si>
  <si>
    <t>Century Textiles &amp; Industries Limited</t>
  </si>
  <si>
    <t>Government Bond Total</t>
  </si>
  <si>
    <t>Zero Coupon Bond Total</t>
  </si>
  <si>
    <t>Tata Motors Finance Limited</t>
  </si>
  <si>
    <t>Nestle India Limited</t>
  </si>
  <si>
    <t>NMDC Limited</t>
  </si>
  <si>
    <t>Motilal Oswal Financial Services Limited</t>
  </si>
  <si>
    <t>eClerx Services Limited</t>
  </si>
  <si>
    <t>Spicejet Limited</t>
  </si>
  <si>
    <t>MRF Limited</t>
  </si>
  <si>
    <t>Escorts Kubota Limited</t>
  </si>
  <si>
    <t>Samvardhana Motherson International Limited</t>
  </si>
  <si>
    <t>SBI Cards and Payment Services Limited</t>
  </si>
  <si>
    <t>Jubilant Ingrevia Limited</t>
  </si>
  <si>
    <t>Dabur India Limited</t>
  </si>
  <si>
    <t>Apollo Hospitals Enterprise Limited</t>
  </si>
  <si>
    <t>Cochin Shipyard Limited</t>
  </si>
  <si>
    <t>Oracle Financial Services Software Limited</t>
  </si>
  <si>
    <t>Brigade Enterprises Limited</t>
  </si>
  <si>
    <t>Radico Khaitan Limited</t>
  </si>
  <si>
    <t>Himadri Speciality Chemical Limited</t>
  </si>
  <si>
    <t>Canara Bank</t>
  </si>
  <si>
    <t>Bandhan BSE Healthcare Index Fund</t>
  </si>
  <si>
    <t>Max Healthcare Institute Limited</t>
  </si>
  <si>
    <t>Divi's Laboratories Limited</t>
  </si>
  <si>
    <t>Lupin Limited</t>
  </si>
  <si>
    <t>Fortis Healthcare Limited</t>
  </si>
  <si>
    <t>Zydus Lifesciences Limited</t>
  </si>
  <si>
    <t>IPCA Laboratories Limited</t>
  </si>
  <si>
    <t>Bandhan Nifty Midcap 150 Index Fund</t>
  </si>
  <si>
    <t>Portfolio as on - (30th September 2024)</t>
  </si>
  <si>
    <t>Net Assets as on 30th September, 2024</t>
  </si>
  <si>
    <t>318.44 crs</t>
  </si>
  <si>
    <t>6982.00 Cr</t>
  </si>
  <si>
    <t>1744.59 crs</t>
  </si>
  <si>
    <t xml:space="preserve"> 1793.67 crs</t>
  </si>
  <si>
    <t>10600.66 crs</t>
  </si>
  <si>
    <t>1548.17 crs</t>
  </si>
  <si>
    <t>2541.41 crs</t>
  </si>
  <si>
    <t>7917.83 crs</t>
  </si>
  <si>
    <t>8489.25 crs</t>
  </si>
  <si>
    <t>1905.92 crs</t>
  </si>
  <si>
    <t>599.18 crs</t>
  </si>
  <si>
    <t>976.32 crs</t>
  </si>
  <si>
    <t>1251.63 crs</t>
  </si>
  <si>
    <t>7353.93 crs</t>
  </si>
  <si>
    <t>6876.36 crs</t>
  </si>
  <si>
    <t>2325.16 crs</t>
  </si>
  <si>
    <t>161.85 crs</t>
  </si>
  <si>
    <t>117.14 crs</t>
  </si>
  <si>
    <t>817.50 crs</t>
  </si>
  <si>
    <t>178.36 crs</t>
  </si>
  <si>
    <t>1777.87 crs</t>
  </si>
  <si>
    <t>19.72 crs</t>
  </si>
  <si>
    <t>20.49 crs</t>
  </si>
  <si>
    <t>6.25 crs</t>
  </si>
  <si>
    <t>1629.27 crs</t>
  </si>
  <si>
    <t>1.27 crs</t>
  </si>
  <si>
    <t>27.74 crs</t>
  </si>
  <si>
    <t>155.86 crs</t>
  </si>
  <si>
    <t>141.23 crs</t>
  </si>
  <si>
    <t>1241.83 crs</t>
  </si>
  <si>
    <t>25.29 crs</t>
  </si>
  <si>
    <t>270.28 crs</t>
  </si>
  <si>
    <t>42.34 crs</t>
  </si>
  <si>
    <t>35.04 crs</t>
  </si>
  <si>
    <t>11.77 crs</t>
  </si>
  <si>
    <t>17.16 crs</t>
  </si>
  <si>
    <t>18.44 crs</t>
  </si>
  <si>
    <t>1587.61 crs</t>
  </si>
  <si>
    <t>BANDHAN BUSINESS CYCLE FUND</t>
  </si>
  <si>
    <t>Coromandel International Limited</t>
  </si>
  <si>
    <t>Can Fin Homes Limited</t>
  </si>
  <si>
    <t>Religare Enterprises Limited</t>
  </si>
  <si>
    <t>Tata Technologies Limited</t>
  </si>
  <si>
    <t>Baazar Style Retail Ltd</t>
  </si>
  <si>
    <t>Orient Cement Limited</t>
  </si>
  <si>
    <t>Equity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</si>
</sst>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0%;\(#0.0000%\)"/>
    <numFmt numFmtId="171" formatCode="0.000%;[Black]\(0.000%\)"/>
    <numFmt numFmtId="172" formatCode="0.00000%"/>
  </numFmts>
  <fonts count="16"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
      <sz val="12"/>
      <color rgb="FFFF0000"/>
      <name val="Arial"/>
      <family val="2"/>
    </font>
    <font>
      <b/>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34">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301">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0" fontId="6" fillId="3" borderId="0" xfId="0" applyFont="1" applyFill="1"/>
    <xf numFmtId="0" fontId="7" fillId="0" borderId="0" xfId="0" applyFont="1"/>
    <xf numFmtId="0" fontId="3" fillId="0" borderId="0" xfId="0" applyFont="1" applyFill="1" applyBorder="1"/>
    <xf numFmtId="0" fontId="3" fillId="0" borderId="12" xfId="0" applyFont="1" applyBorder="1"/>
    <xf numFmtId="10" fontId="3" fillId="0" borderId="0" xfId="0" applyNumberFormat="1" applyFont="1"/>
    <xf numFmtId="0" fontId="8" fillId="0" borderId="0" xfId="0" applyFont="1" applyBorder="1"/>
    <xf numFmtId="0" fontId="3" fillId="0" borderId="21" xfId="0" applyFont="1" applyBorder="1"/>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170"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5" fillId="0" borderId="10" xfId="0" applyNumberFormat="1" applyFont="1" applyFill="1" applyBorder="1" applyAlignment="1">
      <alignment vertical="center" wrapText="1"/>
    </xf>
    <xf numFmtId="10" fontId="3" fillId="0" borderId="10" xfId="1" applyNumberFormat="1" applyFont="1" applyBorder="1"/>
    <xf numFmtId="2" fontId="5" fillId="0" borderId="9" xfId="0" applyNumberFormat="1" applyFont="1" applyFill="1" applyBorder="1" applyAlignment="1">
      <alignment vertical="center" wrapText="1"/>
    </xf>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166" fontId="3" fillId="0" borderId="10" xfId="1" applyNumberFormat="1" applyFont="1" applyBorder="1"/>
    <xf numFmtId="0" fontId="6" fillId="0" borderId="25" xfId="0" applyFont="1" applyBorder="1"/>
    <xf numFmtId="0" fontId="6" fillId="0" borderId="16" xfId="0" applyFont="1" applyBorder="1"/>
    <xf numFmtId="166" fontId="3" fillId="0" borderId="9" xfId="0" applyNumberFormat="1" applyFont="1" applyFill="1" applyBorder="1" applyAlignment="1">
      <alignment horizontal="right" vertical="center"/>
    </xf>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64" fontId="3" fillId="0" borderId="24" xfId="0" applyNumberFormat="1" applyFont="1" applyBorder="1" applyAlignment="1">
      <alignment vertical="center"/>
    </xf>
    <xf numFmtId="164" fontId="3" fillId="0" borderId="9" xfId="0" applyNumberFormat="1" applyFont="1" applyFill="1" applyBorder="1" applyAlignment="1" applyProtection="1">
      <alignment horizontal="left" wrapText="1"/>
    </xf>
    <xf numFmtId="164" fontId="3" fillId="0" borderId="24" xfId="0" applyNumberFormat="1" applyFont="1" applyFill="1" applyBorder="1" applyAlignment="1" applyProtection="1">
      <alignment horizontal="left" wrapText="1"/>
    </xf>
    <xf numFmtId="167" fontId="5" fillId="0" borderId="10" xfId="0" applyNumberFormat="1" applyFont="1" applyFill="1" applyBorder="1" applyAlignment="1">
      <alignment vertical="center" wrapText="1"/>
    </xf>
    <xf numFmtId="166" fontId="3" fillId="0" borderId="16" xfId="0" applyNumberFormat="1" applyFont="1" applyFill="1" applyBorder="1" applyAlignment="1">
      <alignment horizontal="left"/>
    </xf>
    <xf numFmtId="0" fontId="2" fillId="0" borderId="0" xfId="0" applyFont="1" applyBorder="1"/>
    <xf numFmtId="10" fontId="2" fillId="0" borderId="0" xfId="0" applyNumberFormat="1" applyFont="1" applyBorder="1"/>
    <xf numFmtId="10" fontId="2" fillId="0" borderId="0" xfId="1" applyNumberFormat="1" applyFont="1" applyBorder="1" applyAlignment="1">
      <alignment horizontal="left"/>
    </xf>
    <xf numFmtId="10" fontId="2" fillId="0" borderId="9" xfId="1" applyNumberFormat="1" applyFont="1" applyBorder="1" applyAlignment="1">
      <alignment horizontal="right"/>
    </xf>
    <xf numFmtId="0" fontId="14" fillId="0" borderId="0" xfId="0" applyFont="1" applyBorder="1"/>
    <xf numFmtId="10" fontId="2" fillId="0" borderId="10" xfId="1" applyNumberFormat="1" applyFont="1" applyBorder="1" applyAlignment="1">
      <alignment horizontal="right"/>
    </xf>
    <xf numFmtId="10" fontId="2" fillId="0" borderId="0" xfId="1" applyNumberFormat="1" applyFont="1"/>
    <xf numFmtId="10" fontId="2" fillId="0" borderId="9" xfId="1" applyNumberFormat="1" applyFont="1" applyFill="1" applyBorder="1" applyAlignment="1">
      <alignment horizontal="right"/>
    </xf>
    <xf numFmtId="10" fontId="2" fillId="0" borderId="0" xfId="1" applyNumberFormat="1" applyFont="1" applyFill="1" applyBorder="1" applyAlignment="1">
      <alignment horizontal="left"/>
    </xf>
    <xf numFmtId="166" fontId="15" fillId="0" borderId="0" xfId="0" applyNumberFormat="1" applyFont="1" applyFill="1" applyBorder="1" applyAlignment="1" applyProtection="1">
      <alignment horizontal="right" wrapText="1"/>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6" fillId="0" borderId="29" xfId="0" applyFont="1" applyBorder="1" applyAlignment="1">
      <alignment horizontal="left" vertical="top" wrapText="1"/>
    </xf>
    <xf numFmtId="0" fontId="6" fillId="0" borderId="30" xfId="0" applyFont="1" applyBorder="1" applyAlignment="1">
      <alignment horizontal="left" vertical="top" wrapText="1"/>
    </xf>
    <xf numFmtId="0" fontId="6" fillId="0" borderId="31" xfId="0" applyFont="1" applyBorder="1" applyAlignment="1">
      <alignment horizontal="left" vertical="top" wrapText="1"/>
    </xf>
    <xf numFmtId="0" fontId="4" fillId="0" borderId="0" xfId="0" applyFont="1" applyFill="1" applyBorder="1" applyAlignment="1">
      <alignment vertical="center" wrapText="1"/>
    </xf>
    <xf numFmtId="171" fontId="3" fillId="0" borderId="10" xfId="0" applyNumberFormat="1" applyFont="1" applyBorder="1" applyAlignment="1">
      <alignment vertical="center"/>
    </xf>
    <xf numFmtId="166" fontId="3" fillId="0" borderId="16" xfId="1" applyNumberFormat="1" applyFont="1" applyFill="1" applyBorder="1" applyAlignment="1">
      <alignment horizontal="right"/>
    </xf>
    <xf numFmtId="10" fontId="14" fillId="0" borderId="0" xfId="1" applyNumberFormat="1" applyFont="1" applyBorder="1" applyAlignment="1">
      <alignment horizontal="left"/>
    </xf>
    <xf numFmtId="10" fontId="14" fillId="0" borderId="0" xfId="0" applyNumberFormat="1" applyFont="1" applyBorder="1"/>
    <xf numFmtId="166" fontId="3" fillId="0" borderId="32" xfId="0" applyNumberFormat="1" applyFont="1" applyFill="1" applyBorder="1" applyAlignment="1">
      <alignment horizontal="left"/>
    </xf>
    <xf numFmtId="0" fontId="5" fillId="4" borderId="0" xfId="0" applyFont="1" applyFill="1" applyBorder="1" applyAlignment="1">
      <alignment vertical="center" wrapText="1"/>
    </xf>
    <xf numFmtId="166" fontId="3" fillId="0" borderId="0" xfId="0" applyNumberFormat="1" applyFont="1" applyFill="1" applyBorder="1" applyAlignment="1">
      <alignment horizontal="left"/>
    </xf>
    <xf numFmtId="0" fontId="3" fillId="0" borderId="0" xfId="0" applyFont="1" applyBorder="1" applyAlignment="1">
      <alignment horizontal="left"/>
    </xf>
    <xf numFmtId="0" fontId="5" fillId="4" borderId="33" xfId="0" applyFont="1" applyFill="1" applyBorder="1" applyAlignment="1">
      <alignment vertical="center" wrapText="1"/>
    </xf>
    <xf numFmtId="172" fontId="2" fillId="0" borderId="10" xfId="1" applyNumberFormat="1" applyFont="1" applyBorder="1" applyAlignment="1">
      <alignment horizontal="right"/>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0.98835799999999996</c:v>
                </c:pt>
                <c:pt idx="1">
                  <c:v>-4.5640000000000003E-3</c:v>
                </c:pt>
                <c:pt idx="2">
                  <c:v>1.6206000000000002E-2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CEF'!$W$8:$W$47</c:f>
              <c:strCache>
                <c:ptCount val="38"/>
                <c:pt idx="0">
                  <c:v>Banks</c:v>
                </c:pt>
                <c:pt idx="1">
                  <c:v>Pharmaceuticals &amp; Biotechnology</c:v>
                </c:pt>
                <c:pt idx="2">
                  <c:v>Finance</c:v>
                </c:pt>
                <c:pt idx="3">
                  <c:v>IT - Software</c:v>
                </c:pt>
                <c:pt idx="4">
                  <c:v>Retailing</c:v>
                </c:pt>
                <c:pt idx="5">
                  <c:v>Petroleum Products</c:v>
                </c:pt>
                <c:pt idx="6">
                  <c:v>Diversified FMCG</c:v>
                </c:pt>
                <c:pt idx="7">
                  <c:v>Realty</c:v>
                </c:pt>
                <c:pt idx="8">
                  <c:v>Auto Components</c:v>
                </c:pt>
                <c:pt idx="9">
                  <c:v>Construction</c:v>
                </c:pt>
                <c:pt idx="10">
                  <c:v>Telecom - Services</c:v>
                </c:pt>
                <c:pt idx="11">
                  <c:v>Transport Services</c:v>
                </c:pt>
                <c:pt idx="12">
                  <c:v>Insurance</c:v>
                </c:pt>
                <c:pt idx="13">
                  <c:v>Automobiles</c:v>
                </c:pt>
                <c:pt idx="14">
                  <c:v>Industrial Products</c:v>
                </c:pt>
                <c:pt idx="15">
                  <c:v>Minerals &amp; Mining</c:v>
                </c:pt>
                <c:pt idx="16">
                  <c:v>Beverages</c:v>
                </c:pt>
                <c:pt idx="17">
                  <c:v>Power</c:v>
                </c:pt>
                <c:pt idx="18">
                  <c:v>Consumer Durables</c:v>
                </c:pt>
                <c:pt idx="19">
                  <c:v>Healthcare Services</c:v>
                </c:pt>
                <c:pt idx="20">
                  <c:v>Electrical Equipment</c:v>
                </c:pt>
                <c:pt idx="21">
                  <c:v>Capital Markets</c:v>
                </c:pt>
                <c:pt idx="22">
                  <c:v>Ferrous Metals</c:v>
                </c:pt>
                <c:pt idx="23">
                  <c:v>Financial Technology (Fintech)</c:v>
                </c:pt>
                <c:pt idx="24">
                  <c:v>Diversified Metals</c:v>
                </c:pt>
                <c:pt idx="25">
                  <c:v>Textiles &amp; Apparels</c:v>
                </c:pt>
                <c:pt idx="26">
                  <c:v>Leisure Services</c:v>
                </c:pt>
                <c:pt idx="27">
                  <c:v>Cement &amp; Cement Products</c:v>
                </c:pt>
                <c:pt idx="28">
                  <c:v>Commercial Services &amp; Supplies</c:v>
                </c:pt>
                <c:pt idx="29">
                  <c:v>Oil</c:v>
                </c:pt>
                <c:pt idx="30">
                  <c:v>Agricultural Food &amp; other Products</c:v>
                </c:pt>
                <c:pt idx="31">
                  <c:v>Chemicals &amp; Petrochemicals</c:v>
                </c:pt>
                <c:pt idx="32">
                  <c:v>Diversified</c:v>
                </c:pt>
                <c:pt idx="33">
                  <c:v>Industrial Manufacturing</c:v>
                </c:pt>
                <c:pt idx="34">
                  <c:v>Fertilizers &amp; Agrochemicals</c:v>
                </c:pt>
                <c:pt idx="35">
                  <c:v>Agricultural, Commercial &amp; Construction Vehicles</c:v>
                </c:pt>
                <c:pt idx="36">
                  <c:v>Aerospace &amp; Defense</c:v>
                </c:pt>
                <c:pt idx="37">
                  <c:v>Entertainment</c:v>
                </c:pt>
              </c:strCache>
            </c:strRef>
          </c:cat>
          <c:val>
            <c:numRef>
              <c:f>'BANDHAN CEF'!$X$8:$X$47</c:f>
              <c:numCache>
                <c:formatCode>0.00%</c:formatCode>
                <c:ptCount val="40"/>
                <c:pt idx="0">
                  <c:v>0.10745600000000001</c:v>
                </c:pt>
                <c:pt idx="1">
                  <c:v>8.2628999999999994E-2</c:v>
                </c:pt>
                <c:pt idx="2">
                  <c:v>8.2048999999999997E-2</c:v>
                </c:pt>
                <c:pt idx="3">
                  <c:v>5.7997E-2</c:v>
                </c:pt>
                <c:pt idx="4">
                  <c:v>4.7266999999999997E-2</c:v>
                </c:pt>
                <c:pt idx="5">
                  <c:v>4.1076000000000001E-2</c:v>
                </c:pt>
                <c:pt idx="6">
                  <c:v>3.8005999999999998E-2</c:v>
                </c:pt>
                <c:pt idx="7">
                  <c:v>3.7175E-2</c:v>
                </c:pt>
                <c:pt idx="8">
                  <c:v>2.894E-2</c:v>
                </c:pt>
                <c:pt idx="9">
                  <c:v>2.8281000000000001E-2</c:v>
                </c:pt>
                <c:pt idx="10">
                  <c:v>2.6568000000000001E-2</c:v>
                </c:pt>
                <c:pt idx="11">
                  <c:v>2.5185999999999997E-2</c:v>
                </c:pt>
                <c:pt idx="12">
                  <c:v>2.3858000000000001E-2</c:v>
                </c:pt>
                <c:pt idx="13">
                  <c:v>2.3650999999999998E-2</c:v>
                </c:pt>
                <c:pt idx="14">
                  <c:v>2.2418E-2</c:v>
                </c:pt>
                <c:pt idx="15">
                  <c:v>1.9866999999999999E-2</c:v>
                </c:pt>
                <c:pt idx="16">
                  <c:v>1.9644999999999999E-2</c:v>
                </c:pt>
                <c:pt idx="17">
                  <c:v>1.9266000000000002E-2</c:v>
                </c:pt>
                <c:pt idx="18">
                  <c:v>1.9064999999999999E-2</c:v>
                </c:pt>
                <c:pt idx="19">
                  <c:v>1.8752000000000001E-2</c:v>
                </c:pt>
                <c:pt idx="20">
                  <c:v>1.8577999999999997E-2</c:v>
                </c:pt>
                <c:pt idx="21">
                  <c:v>1.5467999999999999E-2</c:v>
                </c:pt>
                <c:pt idx="22">
                  <c:v>1.5207999999999999E-2</c:v>
                </c:pt>
                <c:pt idx="23">
                  <c:v>1.4192E-2</c:v>
                </c:pt>
                <c:pt idx="24">
                  <c:v>1.3735000000000001E-2</c:v>
                </c:pt>
                <c:pt idx="25">
                  <c:v>1.3188000000000002E-2</c:v>
                </c:pt>
                <c:pt idx="26">
                  <c:v>1.1940000000000001E-2</c:v>
                </c:pt>
                <c:pt idx="27">
                  <c:v>1.1300000000000001E-2</c:v>
                </c:pt>
                <c:pt idx="28">
                  <c:v>9.5940000000000001E-3</c:v>
                </c:pt>
                <c:pt idx="29">
                  <c:v>9.496000000000001E-3</c:v>
                </c:pt>
                <c:pt idx="30">
                  <c:v>8.9639999999999997E-3</c:v>
                </c:pt>
                <c:pt idx="31">
                  <c:v>8.8260000000000005E-3</c:v>
                </c:pt>
                <c:pt idx="32">
                  <c:v>7.4019999999999997E-3</c:v>
                </c:pt>
                <c:pt idx="33">
                  <c:v>7.2690000000000003E-3</c:v>
                </c:pt>
                <c:pt idx="34">
                  <c:v>6.1029999999999999E-3</c:v>
                </c:pt>
                <c:pt idx="35">
                  <c:v>5.6810000000000003E-3</c:v>
                </c:pt>
                <c:pt idx="36">
                  <c:v>4.9259999999999998E-3</c:v>
                </c:pt>
                <c:pt idx="37">
                  <c:v>4.4349999999999997E-3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LCF'!$W$8:$W$34</c:f>
              <c:strCache>
                <c:ptCount val="27"/>
                <c:pt idx="0">
                  <c:v>Banks</c:v>
                </c:pt>
                <c:pt idx="1">
                  <c:v>IT - Software</c:v>
                </c:pt>
                <c:pt idx="2">
                  <c:v>Automobiles</c:v>
                </c:pt>
                <c:pt idx="3">
                  <c:v>Petroleum Products</c:v>
                </c:pt>
                <c:pt idx="4">
                  <c:v>Pharmaceuticals &amp; Biotechnology</c:v>
                </c:pt>
                <c:pt idx="5">
                  <c:v>Finance</c:v>
                </c:pt>
                <c:pt idx="6">
                  <c:v>Diversified FMCG</c:v>
                </c:pt>
                <c:pt idx="7">
                  <c:v>Retailing</c:v>
                </c:pt>
                <c:pt idx="8">
                  <c:v>Telecom - Services</c:v>
                </c:pt>
                <c:pt idx="9">
                  <c:v>Cement &amp; Cement Products</c:v>
                </c:pt>
                <c:pt idx="10">
                  <c:v>Personal Products</c:v>
                </c:pt>
                <c:pt idx="11">
                  <c:v>Leisure Services</c:v>
                </c:pt>
                <c:pt idx="12">
                  <c:v>Other Utilities</c:v>
                </c:pt>
                <c:pt idx="13">
                  <c:v>Beverages</c:v>
                </c:pt>
                <c:pt idx="14">
                  <c:v>Ferrous Metals</c:v>
                </c:pt>
                <c:pt idx="15">
                  <c:v>Aerospace &amp; Defense</c:v>
                </c:pt>
                <c:pt idx="16">
                  <c:v>Food Products</c:v>
                </c:pt>
                <c:pt idx="17">
                  <c:v>Agricultural Food &amp; other Products</c:v>
                </c:pt>
                <c:pt idx="18">
                  <c:v>Construction</c:v>
                </c:pt>
                <c:pt idx="19">
                  <c:v>Consumer Durables</c:v>
                </c:pt>
                <c:pt idx="20">
                  <c:v>Commercial Services &amp; Supplies</c:v>
                </c:pt>
                <c:pt idx="21">
                  <c:v>Transport Services</c:v>
                </c:pt>
                <c:pt idx="22">
                  <c:v>Insurance</c:v>
                </c:pt>
                <c:pt idx="23">
                  <c:v>Realty</c:v>
                </c:pt>
                <c:pt idx="24">
                  <c:v>Financial Technology (Fintech)</c:v>
                </c:pt>
                <c:pt idx="25">
                  <c:v>Electrical Equipment</c:v>
                </c:pt>
                <c:pt idx="26">
                  <c:v>Capital Markets</c:v>
                </c:pt>
              </c:strCache>
            </c:strRef>
          </c:cat>
          <c:val>
            <c:numRef>
              <c:f>'BANDHAN LCF'!$X$8:$X$34</c:f>
              <c:numCache>
                <c:formatCode>0.00%</c:formatCode>
                <c:ptCount val="27"/>
                <c:pt idx="0">
                  <c:v>0.19759399999999999</c:v>
                </c:pt>
                <c:pt idx="1">
                  <c:v>0.12929299999999999</c:v>
                </c:pt>
                <c:pt idx="2">
                  <c:v>8.1244999999999998E-2</c:v>
                </c:pt>
                <c:pt idx="3">
                  <c:v>8.0353999999999995E-2</c:v>
                </c:pt>
                <c:pt idx="4">
                  <c:v>5.9039000000000001E-2</c:v>
                </c:pt>
                <c:pt idx="5">
                  <c:v>5.3251E-2</c:v>
                </c:pt>
                <c:pt idx="6">
                  <c:v>4.4718999999999995E-2</c:v>
                </c:pt>
                <c:pt idx="7">
                  <c:v>4.3537999999999993E-2</c:v>
                </c:pt>
                <c:pt idx="8">
                  <c:v>3.1255999999999999E-2</c:v>
                </c:pt>
                <c:pt idx="9">
                  <c:v>3.0735999999999999E-2</c:v>
                </c:pt>
                <c:pt idx="10">
                  <c:v>2.9904E-2</c:v>
                </c:pt>
                <c:pt idx="11">
                  <c:v>2.3970999999999999E-2</c:v>
                </c:pt>
                <c:pt idx="12">
                  <c:v>2.1602E-2</c:v>
                </c:pt>
                <c:pt idx="13">
                  <c:v>2.1420000000000002E-2</c:v>
                </c:pt>
                <c:pt idx="14">
                  <c:v>2.0416999999999998E-2</c:v>
                </c:pt>
                <c:pt idx="15">
                  <c:v>1.5817000000000001E-2</c:v>
                </c:pt>
                <c:pt idx="16">
                  <c:v>1.4602E-2</c:v>
                </c:pt>
                <c:pt idx="17">
                  <c:v>1.3977E-2</c:v>
                </c:pt>
                <c:pt idx="18">
                  <c:v>1.3927E-2</c:v>
                </c:pt>
                <c:pt idx="19">
                  <c:v>1.3336000000000001E-2</c:v>
                </c:pt>
                <c:pt idx="20">
                  <c:v>9.3939999999999996E-3</c:v>
                </c:pt>
                <c:pt idx="21">
                  <c:v>9.3439999999999999E-3</c:v>
                </c:pt>
                <c:pt idx="22">
                  <c:v>8.5869999999999991E-3</c:v>
                </c:pt>
                <c:pt idx="23">
                  <c:v>7.62E-3</c:v>
                </c:pt>
                <c:pt idx="24">
                  <c:v>5.3319999999999999E-3</c:v>
                </c:pt>
                <c:pt idx="25">
                  <c:v>4.8269999999999997E-3</c:v>
                </c:pt>
                <c:pt idx="26">
                  <c:v>4.1739999999999998E-3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FEF'!$W$8:$W$27</c:f>
              <c:strCache>
                <c:ptCount val="20"/>
                <c:pt idx="0">
                  <c:v>Banks</c:v>
                </c:pt>
                <c:pt idx="1">
                  <c:v>Retailing</c:v>
                </c:pt>
                <c:pt idx="2">
                  <c:v>IT - Software</c:v>
                </c:pt>
                <c:pt idx="3">
                  <c:v>Automobiles</c:v>
                </c:pt>
                <c:pt idx="4">
                  <c:v>Electrical Equipment</c:v>
                </c:pt>
                <c:pt idx="5">
                  <c:v>Petroleum Products</c:v>
                </c:pt>
                <c:pt idx="6">
                  <c:v>Finance</c:v>
                </c:pt>
                <c:pt idx="7">
                  <c:v>Realty</c:v>
                </c:pt>
                <c:pt idx="8">
                  <c:v>Other Utilities</c:v>
                </c:pt>
                <c:pt idx="9">
                  <c:v>Consumer Durables</c:v>
                </c:pt>
                <c:pt idx="10">
                  <c:v>Pharmaceuticals &amp; Biotechnology</c:v>
                </c:pt>
                <c:pt idx="11">
                  <c:v>Capital Markets</c:v>
                </c:pt>
                <c:pt idx="12">
                  <c:v>Financial Technology (Fintech)</c:v>
                </c:pt>
                <c:pt idx="13">
                  <c:v>Industrial Manufacturing</c:v>
                </c:pt>
                <c:pt idx="14">
                  <c:v>Engineering Services</c:v>
                </c:pt>
                <c:pt idx="15">
                  <c:v>Food Products</c:v>
                </c:pt>
                <c:pt idx="16">
                  <c:v>Aerospace &amp; Defense</c:v>
                </c:pt>
                <c:pt idx="17">
                  <c:v>Healthcare Services</c:v>
                </c:pt>
                <c:pt idx="18">
                  <c:v>Leisure Services</c:v>
                </c:pt>
                <c:pt idx="19">
                  <c:v>Beverages</c:v>
                </c:pt>
              </c:strCache>
            </c:strRef>
          </c:cat>
          <c:val>
            <c:numRef>
              <c:f>'BANDHAN FEF'!$X$8:$X$27</c:f>
              <c:numCache>
                <c:formatCode>0.00%</c:formatCode>
                <c:ptCount val="20"/>
                <c:pt idx="0">
                  <c:v>0.164687</c:v>
                </c:pt>
                <c:pt idx="1">
                  <c:v>0.13606700000000002</c:v>
                </c:pt>
                <c:pt idx="2">
                  <c:v>0.105445</c:v>
                </c:pt>
                <c:pt idx="3">
                  <c:v>5.9454E-2</c:v>
                </c:pt>
                <c:pt idx="4">
                  <c:v>5.0802E-2</c:v>
                </c:pt>
                <c:pt idx="5">
                  <c:v>5.0368000000000003E-2</c:v>
                </c:pt>
                <c:pt idx="6">
                  <c:v>4.7588999999999999E-2</c:v>
                </c:pt>
                <c:pt idx="7">
                  <c:v>4.6064000000000001E-2</c:v>
                </c:pt>
                <c:pt idx="8">
                  <c:v>4.2021999999999997E-2</c:v>
                </c:pt>
                <c:pt idx="9">
                  <c:v>3.2268999999999999E-2</c:v>
                </c:pt>
                <c:pt idx="10">
                  <c:v>3.2136999999999999E-2</c:v>
                </c:pt>
                <c:pt idx="11">
                  <c:v>3.0709E-2</c:v>
                </c:pt>
                <c:pt idx="12">
                  <c:v>2.9349E-2</c:v>
                </c:pt>
                <c:pt idx="13">
                  <c:v>2.8185000000000002E-2</c:v>
                </c:pt>
                <c:pt idx="14">
                  <c:v>2.8125000000000001E-2</c:v>
                </c:pt>
                <c:pt idx="15">
                  <c:v>2.4018999999999999E-2</c:v>
                </c:pt>
                <c:pt idx="16">
                  <c:v>2.3099999999999999E-2</c:v>
                </c:pt>
                <c:pt idx="17">
                  <c:v>2.1255E-2</c:v>
                </c:pt>
                <c:pt idx="18">
                  <c:v>1.9831999999999999E-2</c:v>
                </c:pt>
                <c:pt idx="19">
                  <c:v>1.9273999999999999E-2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SVF'!$W$8:$W$38</c:f>
              <c:strCache>
                <c:ptCount val="31"/>
                <c:pt idx="0">
                  <c:v>Banks</c:v>
                </c:pt>
                <c:pt idx="1">
                  <c:v>IT - Software</c:v>
                </c:pt>
                <c:pt idx="2">
                  <c:v>Pharmaceuticals &amp; Biotechnology</c:v>
                </c:pt>
                <c:pt idx="3">
                  <c:v>Construction</c:v>
                </c:pt>
                <c:pt idx="4">
                  <c:v>Petroleum Products</c:v>
                </c:pt>
                <c:pt idx="5">
                  <c:v>Automobiles</c:v>
                </c:pt>
                <c:pt idx="6">
                  <c:v>Insurance</c:v>
                </c:pt>
                <c:pt idx="7">
                  <c:v>Finance</c:v>
                </c:pt>
                <c:pt idx="8">
                  <c:v>Power</c:v>
                </c:pt>
                <c:pt idx="9">
                  <c:v>Ferrous Metals</c:v>
                </c:pt>
                <c:pt idx="10">
                  <c:v>Auto Components</c:v>
                </c:pt>
                <c:pt idx="11">
                  <c:v>Consumer Durables</c:v>
                </c:pt>
                <c:pt idx="12">
                  <c:v>Electrical Equipment</c:v>
                </c:pt>
                <c:pt idx="13">
                  <c:v>Diversified FMCG</c:v>
                </c:pt>
                <c:pt idx="14">
                  <c:v>Realty</c:v>
                </c:pt>
                <c:pt idx="15">
                  <c:v>Beverages</c:v>
                </c:pt>
                <c:pt idx="16">
                  <c:v>Leisure Services</c:v>
                </c:pt>
                <c:pt idx="17">
                  <c:v>Retailing</c:v>
                </c:pt>
                <c:pt idx="18">
                  <c:v>Food Products</c:v>
                </c:pt>
                <c:pt idx="19">
                  <c:v>Personal Products</c:v>
                </c:pt>
                <c:pt idx="20">
                  <c:v>Commercial Services &amp; Supplies</c:v>
                </c:pt>
                <c:pt idx="21">
                  <c:v>Diversified Metals</c:v>
                </c:pt>
                <c:pt idx="22">
                  <c:v>Telecom - Services</c:v>
                </c:pt>
                <c:pt idx="23">
                  <c:v>Oil</c:v>
                </c:pt>
                <c:pt idx="24">
                  <c:v>Non - Ferrous Metals</c:v>
                </c:pt>
                <c:pt idx="25">
                  <c:v>Gas</c:v>
                </c:pt>
                <c:pt idx="26">
                  <c:v>Transport Services</c:v>
                </c:pt>
                <c:pt idx="27">
                  <c:v>Chemicals &amp; Petrochemicals</c:v>
                </c:pt>
                <c:pt idx="28">
                  <c:v>Cement &amp; Cement Products</c:v>
                </c:pt>
                <c:pt idx="29">
                  <c:v>Fertilizers &amp; Agrochemicals</c:v>
                </c:pt>
                <c:pt idx="30">
                  <c:v>Minerals &amp; Mining</c:v>
                </c:pt>
              </c:strCache>
            </c:strRef>
          </c:cat>
          <c:val>
            <c:numRef>
              <c:f>'BANDHAN SVF'!$X$8:$X$38</c:f>
              <c:numCache>
                <c:formatCode>0.00%</c:formatCode>
                <c:ptCount val="31"/>
                <c:pt idx="0">
                  <c:v>0.17413699999999999</c:v>
                </c:pt>
                <c:pt idx="1">
                  <c:v>8.2776000000000002E-2</c:v>
                </c:pt>
                <c:pt idx="2">
                  <c:v>7.2664000000000006E-2</c:v>
                </c:pt>
                <c:pt idx="3">
                  <c:v>5.0783999999999996E-2</c:v>
                </c:pt>
                <c:pt idx="4">
                  <c:v>4.7358999999999998E-2</c:v>
                </c:pt>
                <c:pt idx="5">
                  <c:v>4.6654000000000001E-2</c:v>
                </c:pt>
                <c:pt idx="6">
                  <c:v>4.2612999999999998E-2</c:v>
                </c:pt>
                <c:pt idx="7">
                  <c:v>4.1868999999999996E-2</c:v>
                </c:pt>
                <c:pt idx="8">
                  <c:v>3.8448000000000003E-2</c:v>
                </c:pt>
                <c:pt idx="9">
                  <c:v>3.3045999999999999E-2</c:v>
                </c:pt>
                <c:pt idx="10">
                  <c:v>3.0830000000000003E-2</c:v>
                </c:pt>
                <c:pt idx="11">
                  <c:v>2.4457E-2</c:v>
                </c:pt>
                <c:pt idx="12">
                  <c:v>2.4344999999999999E-2</c:v>
                </c:pt>
                <c:pt idx="13">
                  <c:v>2.1996000000000002E-2</c:v>
                </c:pt>
                <c:pt idx="14">
                  <c:v>2.0264999999999998E-2</c:v>
                </c:pt>
                <c:pt idx="15">
                  <c:v>1.9222E-2</c:v>
                </c:pt>
                <c:pt idx="16">
                  <c:v>1.8433999999999999E-2</c:v>
                </c:pt>
                <c:pt idx="17">
                  <c:v>1.7673999999999999E-2</c:v>
                </c:pt>
                <c:pt idx="18">
                  <c:v>1.5712E-2</c:v>
                </c:pt>
                <c:pt idx="19">
                  <c:v>1.3143999999999999E-2</c:v>
                </c:pt>
                <c:pt idx="20">
                  <c:v>1.2917000000000001E-2</c:v>
                </c:pt>
                <c:pt idx="21">
                  <c:v>1.209E-2</c:v>
                </c:pt>
                <c:pt idx="22">
                  <c:v>1.1289E-2</c:v>
                </c:pt>
                <c:pt idx="23">
                  <c:v>1.1228999999999999E-2</c:v>
                </c:pt>
                <c:pt idx="24">
                  <c:v>1.0699999999999999E-2</c:v>
                </c:pt>
                <c:pt idx="25">
                  <c:v>1.0200000000000001E-2</c:v>
                </c:pt>
                <c:pt idx="26">
                  <c:v>1.0109E-2</c:v>
                </c:pt>
                <c:pt idx="27">
                  <c:v>6.8560000000000001E-3</c:v>
                </c:pt>
                <c:pt idx="28">
                  <c:v>6.7510000000000001E-3</c:v>
                </c:pt>
                <c:pt idx="29">
                  <c:v>4.483E-3</c:v>
                </c:pt>
                <c:pt idx="30">
                  <c:v>6.9300000000000004E-4</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(30th September 2024)</c:v>
                </c:pt>
              </c:strCache>
            </c:strRef>
          </c:tx>
          <c:invertIfNegative val="0"/>
          <c:cat>
            <c:strRef>
              <c:f>'BANDHAN SVF'!$W$8:$W$38</c:f>
              <c:strCache>
                <c:ptCount val="31"/>
                <c:pt idx="0">
                  <c:v>Banks</c:v>
                </c:pt>
                <c:pt idx="1">
                  <c:v>IT - Software</c:v>
                </c:pt>
                <c:pt idx="2">
                  <c:v>Pharmaceuticals &amp; Biotechnology</c:v>
                </c:pt>
                <c:pt idx="3">
                  <c:v>Construction</c:v>
                </c:pt>
                <c:pt idx="4">
                  <c:v>Petroleum Products</c:v>
                </c:pt>
                <c:pt idx="5">
                  <c:v>Automobiles</c:v>
                </c:pt>
                <c:pt idx="6">
                  <c:v>Insurance</c:v>
                </c:pt>
                <c:pt idx="7">
                  <c:v>Finance</c:v>
                </c:pt>
                <c:pt idx="8">
                  <c:v>Power</c:v>
                </c:pt>
                <c:pt idx="9">
                  <c:v>Ferrous Metals</c:v>
                </c:pt>
                <c:pt idx="10">
                  <c:v>Auto Components</c:v>
                </c:pt>
                <c:pt idx="11">
                  <c:v>Consumer Durables</c:v>
                </c:pt>
                <c:pt idx="12">
                  <c:v>Electrical Equipment</c:v>
                </c:pt>
                <c:pt idx="13">
                  <c:v>Diversified FMCG</c:v>
                </c:pt>
                <c:pt idx="14">
                  <c:v>Realty</c:v>
                </c:pt>
                <c:pt idx="15">
                  <c:v>Beverages</c:v>
                </c:pt>
                <c:pt idx="16">
                  <c:v>Leisure Services</c:v>
                </c:pt>
                <c:pt idx="17">
                  <c:v>Retailing</c:v>
                </c:pt>
                <c:pt idx="18">
                  <c:v>Food Products</c:v>
                </c:pt>
                <c:pt idx="19">
                  <c:v>Personal Products</c:v>
                </c:pt>
                <c:pt idx="20">
                  <c:v>Commercial Services &amp; Supplies</c:v>
                </c:pt>
                <c:pt idx="21">
                  <c:v>Diversified Metals</c:v>
                </c:pt>
                <c:pt idx="22">
                  <c:v>Telecom - Services</c:v>
                </c:pt>
                <c:pt idx="23">
                  <c:v>Oil</c:v>
                </c:pt>
                <c:pt idx="24">
                  <c:v>Non - Ferrous Metals</c:v>
                </c:pt>
                <c:pt idx="25">
                  <c:v>Gas</c:v>
                </c:pt>
                <c:pt idx="26">
                  <c:v>Transport Services</c:v>
                </c:pt>
                <c:pt idx="27">
                  <c:v>Chemicals &amp; Petrochemicals</c:v>
                </c:pt>
                <c:pt idx="28">
                  <c:v>Cement &amp; Cement Products</c:v>
                </c:pt>
                <c:pt idx="29">
                  <c:v>Fertilizers &amp; Agrochemicals</c:v>
                </c:pt>
                <c:pt idx="30">
                  <c:v>Minerals &amp; Mining</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IT - Software</c:v>
                </c:pt>
                <c:pt idx="2">
                  <c:v>Pharmaceuticals &amp; Biotechnology</c:v>
                </c:pt>
                <c:pt idx="3">
                  <c:v>Construction</c:v>
                </c:pt>
                <c:pt idx="4">
                  <c:v>Petroleum Products</c:v>
                </c:pt>
                <c:pt idx="5">
                  <c:v>Automobiles</c:v>
                </c:pt>
                <c:pt idx="6">
                  <c:v>Insurance</c:v>
                </c:pt>
                <c:pt idx="7">
                  <c:v>Finance</c:v>
                </c:pt>
                <c:pt idx="8">
                  <c:v>Power</c:v>
                </c:pt>
                <c:pt idx="9">
                  <c:v>Ferrous Metals</c:v>
                </c:pt>
                <c:pt idx="10">
                  <c:v>Auto Components</c:v>
                </c:pt>
                <c:pt idx="11">
                  <c:v>Consumer Durables</c:v>
                </c:pt>
                <c:pt idx="12">
                  <c:v>Electrical Equipment</c:v>
                </c:pt>
                <c:pt idx="13">
                  <c:v>Diversified FMCG</c:v>
                </c:pt>
                <c:pt idx="14">
                  <c:v>Realty</c:v>
                </c:pt>
                <c:pt idx="15">
                  <c:v>Beverages</c:v>
                </c:pt>
                <c:pt idx="16">
                  <c:v>Leisure Services</c:v>
                </c:pt>
                <c:pt idx="17">
                  <c:v>Retailing</c:v>
                </c:pt>
                <c:pt idx="18">
                  <c:v>Food Products</c:v>
                </c:pt>
                <c:pt idx="19">
                  <c:v>Personal Products</c:v>
                </c:pt>
                <c:pt idx="20">
                  <c:v>Commercial Services &amp; Supplies</c:v>
                </c:pt>
                <c:pt idx="21">
                  <c:v>Diversified Metals</c:v>
                </c:pt>
                <c:pt idx="22">
                  <c:v>Telecom - Services</c:v>
                </c:pt>
                <c:pt idx="23">
                  <c:v>Oil</c:v>
                </c:pt>
                <c:pt idx="24">
                  <c:v>Non - Ferrous Metals</c:v>
                </c:pt>
                <c:pt idx="25">
                  <c:v>Gas</c:v>
                </c:pt>
                <c:pt idx="26">
                  <c:v>Transport Services</c:v>
                </c:pt>
                <c:pt idx="27">
                  <c:v>Chemicals &amp; Petrochemicals</c:v>
                </c:pt>
              </c:strCache>
            </c:strRef>
          </c:cat>
          <c:val>
            <c:numRef>
              <c:f>'BANDHAN SVF'!$X$8:$X$35</c:f>
              <c:numCache>
                <c:formatCode>0.00%</c:formatCode>
                <c:ptCount val="28"/>
                <c:pt idx="0">
                  <c:v>0.17413699999999999</c:v>
                </c:pt>
                <c:pt idx="1">
                  <c:v>8.2776000000000002E-2</c:v>
                </c:pt>
                <c:pt idx="2">
                  <c:v>7.2664000000000006E-2</c:v>
                </c:pt>
                <c:pt idx="3">
                  <c:v>5.0783999999999996E-2</c:v>
                </c:pt>
                <c:pt idx="4">
                  <c:v>4.7358999999999998E-2</c:v>
                </c:pt>
                <c:pt idx="5">
                  <c:v>4.6654000000000001E-2</c:v>
                </c:pt>
                <c:pt idx="6">
                  <c:v>4.2612999999999998E-2</c:v>
                </c:pt>
                <c:pt idx="7">
                  <c:v>4.1868999999999996E-2</c:v>
                </c:pt>
                <c:pt idx="8">
                  <c:v>3.8448000000000003E-2</c:v>
                </c:pt>
                <c:pt idx="9">
                  <c:v>3.3045999999999999E-2</c:v>
                </c:pt>
                <c:pt idx="10">
                  <c:v>3.0830000000000003E-2</c:v>
                </c:pt>
                <c:pt idx="11">
                  <c:v>2.4457E-2</c:v>
                </c:pt>
                <c:pt idx="12">
                  <c:v>2.4344999999999999E-2</c:v>
                </c:pt>
                <c:pt idx="13">
                  <c:v>2.1996000000000002E-2</c:v>
                </c:pt>
                <c:pt idx="14">
                  <c:v>2.0264999999999998E-2</c:v>
                </c:pt>
                <c:pt idx="15">
                  <c:v>1.9222E-2</c:v>
                </c:pt>
                <c:pt idx="16">
                  <c:v>1.8433999999999999E-2</c:v>
                </c:pt>
                <c:pt idx="17">
                  <c:v>1.7673999999999999E-2</c:v>
                </c:pt>
                <c:pt idx="18">
                  <c:v>1.5712E-2</c:v>
                </c:pt>
                <c:pt idx="19">
                  <c:v>1.3143999999999999E-2</c:v>
                </c:pt>
                <c:pt idx="20">
                  <c:v>1.2917000000000001E-2</c:v>
                </c:pt>
                <c:pt idx="21">
                  <c:v>1.209E-2</c:v>
                </c:pt>
                <c:pt idx="22">
                  <c:v>1.1289E-2</c:v>
                </c:pt>
                <c:pt idx="23">
                  <c:v>1.1228999999999999E-2</c:v>
                </c:pt>
                <c:pt idx="24">
                  <c:v>1.0699999999999999E-2</c:v>
                </c:pt>
                <c:pt idx="25">
                  <c:v>1.0200000000000001E-2</c:v>
                </c:pt>
                <c:pt idx="26">
                  <c:v>1.0109E-2</c:v>
                </c:pt>
                <c:pt idx="27">
                  <c:v>6.8560000000000001E-3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'BANDHAN-MCAP'!$W$8:$W$38</c:f>
              <c:strCache>
                <c:ptCount val="31"/>
                <c:pt idx="0">
                  <c:v>Industrial Products</c:v>
                </c:pt>
                <c:pt idx="1">
                  <c:v>Auto Components</c:v>
                </c:pt>
                <c:pt idx="2">
                  <c:v>Electrical Equipment</c:v>
                </c:pt>
                <c:pt idx="3">
                  <c:v>Consumer Durables</c:v>
                </c:pt>
                <c:pt idx="4">
                  <c:v>Retailing</c:v>
                </c:pt>
                <c:pt idx="5">
                  <c:v>IT - Software</c:v>
                </c:pt>
                <c:pt idx="6">
                  <c:v>Pharmaceuticals &amp; Biotechnology</c:v>
                </c:pt>
                <c:pt idx="7">
                  <c:v>Realty</c:v>
                </c:pt>
                <c:pt idx="8">
                  <c:v>Leisure Services</c:v>
                </c:pt>
                <c:pt idx="9">
                  <c:v>Telecom - Services</c:v>
                </c:pt>
                <c:pt idx="10">
                  <c:v>Banks</c:v>
                </c:pt>
                <c:pt idx="11">
                  <c:v>Finance</c:v>
                </c:pt>
                <c:pt idx="12">
                  <c:v>Automobiles</c:v>
                </c:pt>
                <c:pt idx="13">
                  <c:v>Chemicals &amp; Petrochemicals</c:v>
                </c:pt>
                <c:pt idx="14">
                  <c:v>Healthcare Services</c:v>
                </c:pt>
                <c:pt idx="15">
                  <c:v>Power</c:v>
                </c:pt>
                <c:pt idx="16">
                  <c:v>Industrial Manufacturing</c:v>
                </c:pt>
                <c:pt idx="17">
                  <c:v>Fertilizers &amp; Agrochemicals</c:v>
                </c:pt>
                <c:pt idx="18">
                  <c:v>Financial Technology (Fintech)</c:v>
                </c:pt>
                <c:pt idx="19">
                  <c:v>IT - Services</c:v>
                </c:pt>
                <c:pt idx="20">
                  <c:v>Beverages</c:v>
                </c:pt>
                <c:pt idx="21">
                  <c:v>Aerospace &amp; Defense</c:v>
                </c:pt>
                <c:pt idx="22">
                  <c:v>Oil</c:v>
                </c:pt>
                <c:pt idx="23">
                  <c:v>Cement &amp; Cement Products</c:v>
                </c:pt>
                <c:pt idx="24">
                  <c:v>Ferrous Metals</c:v>
                </c:pt>
                <c:pt idx="25">
                  <c:v>Diversified</c:v>
                </c:pt>
                <c:pt idx="26">
                  <c:v>Commercial Services &amp; Supplies</c:v>
                </c:pt>
                <c:pt idx="27">
                  <c:v>Capital Markets</c:v>
                </c:pt>
                <c:pt idx="28">
                  <c:v>Personal Products</c:v>
                </c:pt>
                <c:pt idx="29">
                  <c:v>Household Products</c:v>
                </c:pt>
                <c:pt idx="30">
                  <c:v>Food Products</c:v>
                </c:pt>
              </c:strCache>
            </c:strRef>
          </c:cat>
          <c:val>
            <c:numRef>
              <c:f>'BANDHAN-MCAP'!$X$8:$X$38</c:f>
              <c:numCache>
                <c:formatCode>0.00%</c:formatCode>
                <c:ptCount val="31"/>
                <c:pt idx="0">
                  <c:v>0.12290300000000001</c:v>
                </c:pt>
                <c:pt idx="1">
                  <c:v>9.8568000000000003E-2</c:v>
                </c:pt>
                <c:pt idx="2">
                  <c:v>8.2683999999999994E-2</c:v>
                </c:pt>
                <c:pt idx="3">
                  <c:v>7.2618000000000002E-2</c:v>
                </c:pt>
                <c:pt idx="4">
                  <c:v>6.5659999999999996E-2</c:v>
                </c:pt>
                <c:pt idx="5">
                  <c:v>5.8994999999999999E-2</c:v>
                </c:pt>
                <c:pt idx="6">
                  <c:v>5.5168000000000002E-2</c:v>
                </c:pt>
                <c:pt idx="7">
                  <c:v>4.3275999999999995E-2</c:v>
                </c:pt>
                <c:pt idx="8">
                  <c:v>2.9575000000000001E-2</c:v>
                </c:pt>
                <c:pt idx="9">
                  <c:v>2.9555999999999999E-2</c:v>
                </c:pt>
                <c:pt idx="10">
                  <c:v>2.8537E-2</c:v>
                </c:pt>
                <c:pt idx="11">
                  <c:v>2.8493000000000001E-2</c:v>
                </c:pt>
                <c:pt idx="12">
                  <c:v>2.6719E-2</c:v>
                </c:pt>
                <c:pt idx="13">
                  <c:v>2.4924000000000002E-2</c:v>
                </c:pt>
                <c:pt idx="14">
                  <c:v>2.3486E-2</c:v>
                </c:pt>
                <c:pt idx="15">
                  <c:v>2.2182E-2</c:v>
                </c:pt>
                <c:pt idx="16">
                  <c:v>1.8787999999999999E-2</c:v>
                </c:pt>
                <c:pt idx="17">
                  <c:v>1.8364999999999999E-2</c:v>
                </c:pt>
                <c:pt idx="18">
                  <c:v>1.8027999999999999E-2</c:v>
                </c:pt>
                <c:pt idx="19">
                  <c:v>1.7559999999999999E-2</c:v>
                </c:pt>
                <c:pt idx="20">
                  <c:v>1.2996000000000001E-2</c:v>
                </c:pt>
                <c:pt idx="21">
                  <c:v>1.2348999999999999E-2</c:v>
                </c:pt>
                <c:pt idx="22">
                  <c:v>1.0611000000000001E-2</c:v>
                </c:pt>
                <c:pt idx="23">
                  <c:v>9.3030000000000005E-3</c:v>
                </c:pt>
                <c:pt idx="24">
                  <c:v>8.9470000000000001E-3</c:v>
                </c:pt>
                <c:pt idx="25">
                  <c:v>7.7980000000000002E-3</c:v>
                </c:pt>
                <c:pt idx="26">
                  <c:v>6.9620000000000003E-3</c:v>
                </c:pt>
                <c:pt idx="27">
                  <c:v>5.489E-3</c:v>
                </c:pt>
                <c:pt idx="28">
                  <c:v>5.4450000000000002E-3</c:v>
                </c:pt>
                <c:pt idx="29">
                  <c:v>2.8080000000000002E-3</c:v>
                </c:pt>
                <c:pt idx="30">
                  <c:v>1.714E-3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(30th September 2024)</c:v>
                </c:pt>
              </c:strCache>
            </c:strRef>
          </c:tx>
          <c:invertIfNegative val="0"/>
          <c:cat>
            <c:strRef>
              <c:f>'BANDHAN-MCAP'!$W$8:$W$38</c:f>
              <c:strCache>
                <c:ptCount val="31"/>
                <c:pt idx="0">
                  <c:v>Industrial Products</c:v>
                </c:pt>
                <c:pt idx="1">
                  <c:v>Auto Components</c:v>
                </c:pt>
                <c:pt idx="2">
                  <c:v>Electrical Equipment</c:v>
                </c:pt>
                <c:pt idx="3">
                  <c:v>Consumer Durables</c:v>
                </c:pt>
                <c:pt idx="4">
                  <c:v>Retailing</c:v>
                </c:pt>
                <c:pt idx="5">
                  <c:v>IT - Software</c:v>
                </c:pt>
                <c:pt idx="6">
                  <c:v>Pharmaceuticals &amp; Biotechnology</c:v>
                </c:pt>
                <c:pt idx="7">
                  <c:v>Realty</c:v>
                </c:pt>
                <c:pt idx="8">
                  <c:v>Leisure Services</c:v>
                </c:pt>
                <c:pt idx="9">
                  <c:v>Telecom - Services</c:v>
                </c:pt>
                <c:pt idx="10">
                  <c:v>Banks</c:v>
                </c:pt>
                <c:pt idx="11">
                  <c:v>Finance</c:v>
                </c:pt>
                <c:pt idx="12">
                  <c:v>Automobiles</c:v>
                </c:pt>
                <c:pt idx="13">
                  <c:v>Chemicals &amp; Petrochemicals</c:v>
                </c:pt>
                <c:pt idx="14">
                  <c:v>Healthcare Services</c:v>
                </c:pt>
                <c:pt idx="15">
                  <c:v>Power</c:v>
                </c:pt>
                <c:pt idx="16">
                  <c:v>Industrial Manufacturing</c:v>
                </c:pt>
                <c:pt idx="17">
                  <c:v>Fertilizers &amp; Agrochemicals</c:v>
                </c:pt>
                <c:pt idx="18">
                  <c:v>Financial Technology (Fintech)</c:v>
                </c:pt>
                <c:pt idx="19">
                  <c:v>IT - Services</c:v>
                </c:pt>
                <c:pt idx="20">
                  <c:v>Beverages</c:v>
                </c:pt>
                <c:pt idx="21">
                  <c:v>Aerospace &amp; Defense</c:v>
                </c:pt>
                <c:pt idx="22">
                  <c:v>Oil</c:v>
                </c:pt>
                <c:pt idx="23">
                  <c:v>Cement &amp; Cement Products</c:v>
                </c:pt>
                <c:pt idx="24">
                  <c:v>Ferrous Metals</c:v>
                </c:pt>
                <c:pt idx="25">
                  <c:v>Diversified</c:v>
                </c:pt>
                <c:pt idx="26">
                  <c:v>Commercial Services &amp; Supplies</c:v>
                </c:pt>
                <c:pt idx="27">
                  <c:v>Capital Markets</c:v>
                </c:pt>
                <c:pt idx="28">
                  <c:v>Personal Products</c:v>
                </c:pt>
                <c:pt idx="29">
                  <c:v>Household Products</c:v>
                </c:pt>
                <c:pt idx="30">
                  <c:v>Food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(30th September 2024)</c:v>
                </c:pt>
              </c:strCache>
            </c:strRef>
          </c:tx>
          <c:invertIfNegative val="0"/>
          <c:cat>
            <c:strRef>
              <c:f>'BANDHAN-MCAP'!$W$8:$W$38</c:f>
              <c:strCache>
                <c:ptCount val="31"/>
                <c:pt idx="0">
                  <c:v>Industrial Products</c:v>
                </c:pt>
                <c:pt idx="1">
                  <c:v>Auto Components</c:v>
                </c:pt>
                <c:pt idx="2">
                  <c:v>Electrical Equipment</c:v>
                </c:pt>
                <c:pt idx="3">
                  <c:v>Consumer Durables</c:v>
                </c:pt>
                <c:pt idx="4">
                  <c:v>Retailing</c:v>
                </c:pt>
                <c:pt idx="5">
                  <c:v>IT - Software</c:v>
                </c:pt>
                <c:pt idx="6">
                  <c:v>Pharmaceuticals &amp; Biotechnology</c:v>
                </c:pt>
                <c:pt idx="7">
                  <c:v>Realty</c:v>
                </c:pt>
                <c:pt idx="8">
                  <c:v>Leisure Services</c:v>
                </c:pt>
                <c:pt idx="9">
                  <c:v>Telecom - Services</c:v>
                </c:pt>
                <c:pt idx="10">
                  <c:v>Banks</c:v>
                </c:pt>
                <c:pt idx="11">
                  <c:v>Finance</c:v>
                </c:pt>
                <c:pt idx="12">
                  <c:v>Automobiles</c:v>
                </c:pt>
                <c:pt idx="13">
                  <c:v>Chemicals &amp; Petrochemicals</c:v>
                </c:pt>
                <c:pt idx="14">
                  <c:v>Healthcare Services</c:v>
                </c:pt>
                <c:pt idx="15">
                  <c:v>Power</c:v>
                </c:pt>
                <c:pt idx="16">
                  <c:v>Industrial Manufacturing</c:v>
                </c:pt>
                <c:pt idx="17">
                  <c:v>Fertilizers &amp; Agrochemicals</c:v>
                </c:pt>
                <c:pt idx="18">
                  <c:v>Financial Technology (Fintech)</c:v>
                </c:pt>
                <c:pt idx="19">
                  <c:v>IT - Services</c:v>
                </c:pt>
                <c:pt idx="20">
                  <c:v>Beverages</c:v>
                </c:pt>
                <c:pt idx="21">
                  <c:v>Aerospace &amp; Defense</c:v>
                </c:pt>
                <c:pt idx="22">
                  <c:v>Oil</c:v>
                </c:pt>
                <c:pt idx="23">
                  <c:v>Cement &amp; Cement Products</c:v>
                </c:pt>
                <c:pt idx="24">
                  <c:v>Ferrous Metals</c:v>
                </c:pt>
                <c:pt idx="25">
                  <c:v>Diversified</c:v>
                </c:pt>
                <c:pt idx="26">
                  <c:v>Commercial Services &amp; Supplies</c:v>
                </c:pt>
                <c:pt idx="27">
                  <c:v>Capital Markets</c:v>
                </c:pt>
                <c:pt idx="28">
                  <c:v>Personal Products</c:v>
                </c:pt>
                <c:pt idx="29">
                  <c:v>Household Products</c:v>
                </c:pt>
                <c:pt idx="30">
                  <c:v>Food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MCF'!$W$8:$W$44</c:f>
              <c:strCache>
                <c:ptCount val="37"/>
                <c:pt idx="0">
                  <c:v>Banks</c:v>
                </c:pt>
                <c:pt idx="1">
                  <c:v>Pharmaceuticals &amp; Biotechnology</c:v>
                </c:pt>
                <c:pt idx="2">
                  <c:v>IT - Software</c:v>
                </c:pt>
                <c:pt idx="3">
                  <c:v>Consumer Durables</c:v>
                </c:pt>
                <c:pt idx="4">
                  <c:v>Construction</c:v>
                </c:pt>
                <c:pt idx="5">
                  <c:v>Petroleum Products</c:v>
                </c:pt>
                <c:pt idx="6">
                  <c:v>Finance</c:v>
                </c:pt>
                <c:pt idx="7">
                  <c:v>Retailing</c:v>
                </c:pt>
                <c:pt idx="8">
                  <c:v>Insurance</c:v>
                </c:pt>
                <c:pt idx="9">
                  <c:v>Realty</c:v>
                </c:pt>
                <c:pt idx="10">
                  <c:v>Automobiles</c:v>
                </c:pt>
                <c:pt idx="11">
                  <c:v>Fertilizers &amp; Agrochemicals</c:v>
                </c:pt>
                <c:pt idx="12">
                  <c:v>Auto Components</c:v>
                </c:pt>
                <c:pt idx="13">
                  <c:v>Industrial Products</c:v>
                </c:pt>
                <c:pt idx="14">
                  <c:v>Food Products</c:v>
                </c:pt>
                <c:pt idx="15">
                  <c:v>Power</c:v>
                </c:pt>
                <c:pt idx="16">
                  <c:v>Leisure Services</c:v>
                </c:pt>
                <c:pt idx="17">
                  <c:v>Beverages</c:v>
                </c:pt>
                <c:pt idx="18">
                  <c:v>Industrial Manufacturing</c:v>
                </c:pt>
                <c:pt idx="19">
                  <c:v>Cement &amp; Cement Products</c:v>
                </c:pt>
                <c:pt idx="20">
                  <c:v>Telecom - Services</c:v>
                </c:pt>
                <c:pt idx="21">
                  <c:v>Electrical Equipment</c:v>
                </c:pt>
                <c:pt idx="22">
                  <c:v>Commercial Services &amp; Supplies</c:v>
                </c:pt>
                <c:pt idx="23">
                  <c:v>IT - Services</c:v>
                </c:pt>
                <c:pt idx="24">
                  <c:v>Ferrous Metals</c:v>
                </c:pt>
                <c:pt idx="25">
                  <c:v>Diversified FMCG</c:v>
                </c:pt>
                <c:pt idx="26">
                  <c:v>Diversified Metals</c:v>
                </c:pt>
                <c:pt idx="27">
                  <c:v>Personal Products</c:v>
                </c:pt>
                <c:pt idx="28">
                  <c:v>Telecom -  Equipment &amp; Accessories</c:v>
                </c:pt>
                <c:pt idx="29">
                  <c:v>Non - Ferrous Metals</c:v>
                </c:pt>
                <c:pt idx="30">
                  <c:v>Capital Markets</c:v>
                </c:pt>
                <c:pt idx="31">
                  <c:v>Financial Technology (Fintech)</c:v>
                </c:pt>
                <c:pt idx="32">
                  <c:v>Chemicals &amp; Petrochemicals</c:v>
                </c:pt>
                <c:pt idx="33">
                  <c:v>Gas</c:v>
                </c:pt>
                <c:pt idx="34">
                  <c:v>Oil</c:v>
                </c:pt>
                <c:pt idx="35">
                  <c:v>Minerals &amp; Mining</c:v>
                </c:pt>
                <c:pt idx="36">
                  <c:v>Agricultural Food &amp; other Products</c:v>
                </c:pt>
              </c:strCache>
            </c:strRef>
          </c:cat>
          <c:val>
            <c:numRef>
              <c:f>'BANDHAN MCF'!$X$8:$X$44</c:f>
              <c:numCache>
                <c:formatCode>0.00%</c:formatCode>
                <c:ptCount val="37"/>
                <c:pt idx="0">
                  <c:v>0.144207</c:v>
                </c:pt>
                <c:pt idx="1">
                  <c:v>8.8639999999999997E-2</c:v>
                </c:pt>
                <c:pt idx="2">
                  <c:v>7.0008000000000001E-2</c:v>
                </c:pt>
                <c:pt idx="3">
                  <c:v>4.6085000000000001E-2</c:v>
                </c:pt>
                <c:pt idx="4">
                  <c:v>4.3003E-2</c:v>
                </c:pt>
                <c:pt idx="5">
                  <c:v>4.2384000000000005E-2</c:v>
                </c:pt>
                <c:pt idx="6">
                  <c:v>4.2141999999999999E-2</c:v>
                </c:pt>
                <c:pt idx="7">
                  <c:v>4.1605000000000003E-2</c:v>
                </c:pt>
                <c:pt idx="8">
                  <c:v>3.9912999999999997E-2</c:v>
                </c:pt>
                <c:pt idx="9">
                  <c:v>3.5785000000000004E-2</c:v>
                </c:pt>
                <c:pt idx="10">
                  <c:v>3.4252000000000005E-2</c:v>
                </c:pt>
                <c:pt idx="11">
                  <c:v>3.2675000000000003E-2</c:v>
                </c:pt>
                <c:pt idx="12">
                  <c:v>2.7798E-2</c:v>
                </c:pt>
                <c:pt idx="13">
                  <c:v>2.7304999999999996E-2</c:v>
                </c:pt>
                <c:pt idx="14">
                  <c:v>2.3835000000000002E-2</c:v>
                </c:pt>
                <c:pt idx="15">
                  <c:v>2.3290999999999999E-2</c:v>
                </c:pt>
                <c:pt idx="16">
                  <c:v>2.0875000000000001E-2</c:v>
                </c:pt>
                <c:pt idx="17">
                  <c:v>2.0212000000000001E-2</c:v>
                </c:pt>
                <c:pt idx="18">
                  <c:v>1.4813E-2</c:v>
                </c:pt>
                <c:pt idx="19">
                  <c:v>1.3575E-2</c:v>
                </c:pt>
                <c:pt idx="20">
                  <c:v>1.3454000000000001E-2</c:v>
                </c:pt>
                <c:pt idx="21">
                  <c:v>1.2775E-2</c:v>
                </c:pt>
                <c:pt idx="22">
                  <c:v>1.2430999999999999E-2</c:v>
                </c:pt>
                <c:pt idx="23">
                  <c:v>1.2005999999999999E-2</c:v>
                </c:pt>
                <c:pt idx="24">
                  <c:v>1.125E-2</c:v>
                </c:pt>
                <c:pt idx="25">
                  <c:v>1.1214E-2</c:v>
                </c:pt>
                <c:pt idx="26">
                  <c:v>1.0085999999999999E-2</c:v>
                </c:pt>
                <c:pt idx="27">
                  <c:v>9.7630000000000008E-3</c:v>
                </c:pt>
                <c:pt idx="28">
                  <c:v>9.4199999999999996E-3</c:v>
                </c:pt>
                <c:pt idx="29">
                  <c:v>8.9269999999999992E-3</c:v>
                </c:pt>
                <c:pt idx="30">
                  <c:v>8.3339999999999994E-3</c:v>
                </c:pt>
                <c:pt idx="31">
                  <c:v>8.1250000000000003E-3</c:v>
                </c:pt>
                <c:pt idx="32">
                  <c:v>7.2519999999999998E-3</c:v>
                </c:pt>
                <c:pt idx="33">
                  <c:v>5.7260000000000002E-3</c:v>
                </c:pt>
                <c:pt idx="34">
                  <c:v>3.4269999999999999E-3</c:v>
                </c:pt>
                <c:pt idx="35">
                  <c:v>1.9269999999999999E-3</c:v>
                </c:pt>
                <c:pt idx="36">
                  <c:v>1.3680000000000001E-3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(30th September 2024)</c:v>
                </c:pt>
              </c:strCache>
            </c:strRef>
          </c:tx>
          <c:invertIfNegative val="0"/>
          <c:cat>
            <c:strRef>
              <c:f>'BANDHAN MCF'!$W$8:$W$44</c:f>
              <c:strCache>
                <c:ptCount val="37"/>
                <c:pt idx="0">
                  <c:v>Banks</c:v>
                </c:pt>
                <c:pt idx="1">
                  <c:v>Pharmaceuticals &amp; Biotechnology</c:v>
                </c:pt>
                <c:pt idx="2">
                  <c:v>IT - Software</c:v>
                </c:pt>
                <c:pt idx="3">
                  <c:v>Consumer Durables</c:v>
                </c:pt>
                <c:pt idx="4">
                  <c:v>Construction</c:v>
                </c:pt>
                <c:pt idx="5">
                  <c:v>Petroleum Products</c:v>
                </c:pt>
                <c:pt idx="6">
                  <c:v>Finance</c:v>
                </c:pt>
                <c:pt idx="7">
                  <c:v>Retailing</c:v>
                </c:pt>
                <c:pt idx="8">
                  <c:v>Insurance</c:v>
                </c:pt>
                <c:pt idx="9">
                  <c:v>Realty</c:v>
                </c:pt>
                <c:pt idx="10">
                  <c:v>Automobiles</c:v>
                </c:pt>
                <c:pt idx="11">
                  <c:v>Fertilizers &amp; Agrochemicals</c:v>
                </c:pt>
                <c:pt idx="12">
                  <c:v>Auto Components</c:v>
                </c:pt>
                <c:pt idx="13">
                  <c:v>Industrial Products</c:v>
                </c:pt>
                <c:pt idx="14">
                  <c:v>Food Products</c:v>
                </c:pt>
                <c:pt idx="15">
                  <c:v>Power</c:v>
                </c:pt>
                <c:pt idx="16">
                  <c:v>Leisure Services</c:v>
                </c:pt>
                <c:pt idx="17">
                  <c:v>Beverages</c:v>
                </c:pt>
                <c:pt idx="18">
                  <c:v>Industrial Manufacturing</c:v>
                </c:pt>
                <c:pt idx="19">
                  <c:v>Cement &amp; Cement Products</c:v>
                </c:pt>
                <c:pt idx="20">
                  <c:v>Telecom - Services</c:v>
                </c:pt>
                <c:pt idx="21">
                  <c:v>Electrical Equipment</c:v>
                </c:pt>
                <c:pt idx="22">
                  <c:v>Commercial Services &amp; Supplies</c:v>
                </c:pt>
                <c:pt idx="23">
                  <c:v>IT - Services</c:v>
                </c:pt>
                <c:pt idx="24">
                  <c:v>Ferrous Metals</c:v>
                </c:pt>
                <c:pt idx="25">
                  <c:v>Diversified FMCG</c:v>
                </c:pt>
                <c:pt idx="26">
                  <c:v>Diversified Metals</c:v>
                </c:pt>
                <c:pt idx="27">
                  <c:v>Personal Products</c:v>
                </c:pt>
                <c:pt idx="28">
                  <c:v>Telecom -  Equipment &amp; Accessories</c:v>
                </c:pt>
                <c:pt idx="29">
                  <c:v>Non - Ferrous Metals</c:v>
                </c:pt>
                <c:pt idx="30">
                  <c:v>Capital Markets</c:v>
                </c:pt>
                <c:pt idx="31">
                  <c:v>Financial Technology (Fintech)</c:v>
                </c:pt>
                <c:pt idx="32">
                  <c:v>Chemicals &amp; Petrochemicals</c:v>
                </c:pt>
                <c:pt idx="33">
                  <c:v>Gas</c:v>
                </c:pt>
                <c:pt idx="34">
                  <c:v>Oil</c:v>
                </c:pt>
                <c:pt idx="35">
                  <c:v>Minerals &amp; Mining</c:v>
                </c:pt>
                <c:pt idx="36">
                  <c:v>Agricultural Food &amp; other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FCF'!$W$8:$W$44</c:f>
              <c:strCache>
                <c:ptCount val="37"/>
                <c:pt idx="0">
                  <c:v>Banks</c:v>
                </c:pt>
                <c:pt idx="1">
                  <c:v>Finance</c:v>
                </c:pt>
                <c:pt idx="2">
                  <c:v>IT - Software</c:v>
                </c:pt>
                <c:pt idx="3">
                  <c:v>Pharmaceuticals &amp; Biotechnology</c:v>
                </c:pt>
                <c:pt idx="4">
                  <c:v>Automobiles</c:v>
                </c:pt>
                <c:pt idx="5">
                  <c:v>Retailing</c:v>
                </c:pt>
                <c:pt idx="6">
                  <c:v>Petroleum Products</c:v>
                </c:pt>
                <c:pt idx="7">
                  <c:v>Construction</c:v>
                </c:pt>
                <c:pt idx="8">
                  <c:v>Consumer Durables</c:v>
                </c:pt>
                <c:pt idx="9">
                  <c:v>Diversified FMCG</c:v>
                </c:pt>
                <c:pt idx="10">
                  <c:v>Industrial Products</c:v>
                </c:pt>
                <c:pt idx="11">
                  <c:v>Telecom - Services</c:v>
                </c:pt>
                <c:pt idx="12">
                  <c:v>Insurance</c:v>
                </c:pt>
                <c:pt idx="13">
                  <c:v>Power</c:v>
                </c:pt>
                <c:pt idx="14">
                  <c:v>Auto Components</c:v>
                </c:pt>
                <c:pt idx="15">
                  <c:v>Electrical Equipment</c:v>
                </c:pt>
                <c:pt idx="16">
                  <c:v>Realty</c:v>
                </c:pt>
                <c:pt idx="17">
                  <c:v>Ferrous Metals</c:v>
                </c:pt>
                <c:pt idx="18">
                  <c:v>Leisure Services</c:v>
                </c:pt>
                <c:pt idx="19">
                  <c:v>Food Products</c:v>
                </c:pt>
                <c:pt idx="20">
                  <c:v>Cement &amp; Cement Products</c:v>
                </c:pt>
                <c:pt idx="21">
                  <c:v>Consumable Fuels</c:v>
                </c:pt>
                <c:pt idx="22">
                  <c:v>Transport Services</c:v>
                </c:pt>
                <c:pt idx="23">
                  <c:v>Commercial Services &amp; Supplies</c:v>
                </c:pt>
                <c:pt idx="24">
                  <c:v>Beverages</c:v>
                </c:pt>
                <c:pt idx="25">
                  <c:v>Healthcare Services</c:v>
                </c:pt>
                <c:pt idx="26">
                  <c:v>Non - Ferrous Metals</c:v>
                </c:pt>
                <c:pt idx="27">
                  <c:v>Diversified Metals</c:v>
                </c:pt>
                <c:pt idx="28">
                  <c:v>Gas</c:v>
                </c:pt>
                <c:pt idx="29">
                  <c:v>Financial Technology (Fintech)</c:v>
                </c:pt>
                <c:pt idx="30">
                  <c:v>Minerals &amp; Mining</c:v>
                </c:pt>
                <c:pt idx="31">
                  <c:v>Textiles &amp; Apparels</c:v>
                </c:pt>
                <c:pt idx="32">
                  <c:v>Telecom -  Equipment &amp; Accessories</c:v>
                </c:pt>
                <c:pt idx="33">
                  <c:v>Fertilizers &amp; Agrochemicals</c:v>
                </c:pt>
                <c:pt idx="34">
                  <c:v>Diversified</c:v>
                </c:pt>
                <c:pt idx="35">
                  <c:v>Personal Products</c:v>
                </c:pt>
                <c:pt idx="36">
                  <c:v>Aerospace &amp; Defense</c:v>
                </c:pt>
              </c:strCache>
            </c:strRef>
          </c:cat>
          <c:val>
            <c:numRef>
              <c:f>'BANDHAN FCF'!$X$8:$X$44</c:f>
              <c:numCache>
                <c:formatCode>0.0%</c:formatCode>
                <c:ptCount val="37"/>
                <c:pt idx="0">
                  <c:v>0.191242</c:v>
                </c:pt>
                <c:pt idx="1">
                  <c:v>7.5445000000000012E-2</c:v>
                </c:pt>
                <c:pt idx="2">
                  <c:v>6.5941E-2</c:v>
                </c:pt>
                <c:pt idx="3">
                  <c:v>5.6293999999999997E-2</c:v>
                </c:pt>
                <c:pt idx="4">
                  <c:v>5.5518999999999999E-2</c:v>
                </c:pt>
                <c:pt idx="5">
                  <c:v>5.3819999999999993E-2</c:v>
                </c:pt>
                <c:pt idx="6">
                  <c:v>4.5365999999999997E-2</c:v>
                </c:pt>
                <c:pt idx="7">
                  <c:v>3.5740000000000001E-2</c:v>
                </c:pt>
                <c:pt idx="8">
                  <c:v>3.5714999999999997E-2</c:v>
                </c:pt>
                <c:pt idx="9">
                  <c:v>3.1521E-2</c:v>
                </c:pt>
                <c:pt idx="10">
                  <c:v>2.8798999999999998E-2</c:v>
                </c:pt>
                <c:pt idx="11">
                  <c:v>2.7817000000000001E-2</c:v>
                </c:pt>
                <c:pt idx="12">
                  <c:v>2.7713999999999999E-2</c:v>
                </c:pt>
                <c:pt idx="13">
                  <c:v>2.6558999999999999E-2</c:v>
                </c:pt>
                <c:pt idx="14">
                  <c:v>2.5368999999999999E-2</c:v>
                </c:pt>
                <c:pt idx="15">
                  <c:v>2.4888999999999998E-2</c:v>
                </c:pt>
                <c:pt idx="16">
                  <c:v>1.3849999999999999E-2</c:v>
                </c:pt>
                <c:pt idx="17">
                  <c:v>1.3129999999999999E-2</c:v>
                </c:pt>
                <c:pt idx="18">
                  <c:v>1.3076000000000001E-2</c:v>
                </c:pt>
                <c:pt idx="19">
                  <c:v>1.1938000000000001E-2</c:v>
                </c:pt>
                <c:pt idx="20">
                  <c:v>1.0496999999999999E-2</c:v>
                </c:pt>
                <c:pt idx="21">
                  <c:v>9.665E-3</c:v>
                </c:pt>
                <c:pt idx="22">
                  <c:v>9.6109999999999998E-3</c:v>
                </c:pt>
                <c:pt idx="23">
                  <c:v>9.2819999999999986E-3</c:v>
                </c:pt>
                <c:pt idx="24">
                  <c:v>9.1050000000000002E-3</c:v>
                </c:pt>
                <c:pt idx="25">
                  <c:v>8.9809999999999994E-3</c:v>
                </c:pt>
                <c:pt idx="26">
                  <c:v>8.4720000000000004E-3</c:v>
                </c:pt>
                <c:pt idx="27">
                  <c:v>7.77E-3</c:v>
                </c:pt>
                <c:pt idx="28">
                  <c:v>6.1269999999999996E-3</c:v>
                </c:pt>
                <c:pt idx="29">
                  <c:v>5.7289999999999997E-3</c:v>
                </c:pt>
                <c:pt idx="30">
                  <c:v>5.6600000000000001E-3</c:v>
                </c:pt>
                <c:pt idx="31">
                  <c:v>5.3959999999999998E-3</c:v>
                </c:pt>
                <c:pt idx="32">
                  <c:v>5.0860000000000002E-3</c:v>
                </c:pt>
                <c:pt idx="33">
                  <c:v>4.3949999999999996E-3</c:v>
                </c:pt>
                <c:pt idx="34">
                  <c:v>4.1989999999999996E-3</c:v>
                </c:pt>
                <c:pt idx="35">
                  <c:v>3.9480000000000001E-3</c:v>
                </c:pt>
                <c:pt idx="36">
                  <c:v>2.2499999999999998E-3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SCF'!$W$8:$W$50</c:f>
              <c:strCache>
                <c:ptCount val="43"/>
                <c:pt idx="0">
                  <c:v>Finance</c:v>
                </c:pt>
                <c:pt idx="1">
                  <c:v>Pharmaceuticals &amp; Biotechnology</c:v>
                </c:pt>
                <c:pt idx="2">
                  <c:v>Realty</c:v>
                </c:pt>
                <c:pt idx="3">
                  <c:v>Banks</c:v>
                </c:pt>
                <c:pt idx="4">
                  <c:v>Consumer Durables</c:v>
                </c:pt>
                <c:pt idx="5">
                  <c:v>Chemicals &amp; Petrochemicals</c:v>
                </c:pt>
                <c:pt idx="6">
                  <c:v>Capital Markets</c:v>
                </c:pt>
                <c:pt idx="7">
                  <c:v>Electrical Equipment</c:v>
                </c:pt>
                <c:pt idx="8">
                  <c:v>Industrial Products</c:v>
                </c:pt>
                <c:pt idx="9">
                  <c:v>Textiles &amp; Apparels</c:v>
                </c:pt>
                <c:pt idx="10">
                  <c:v>Agricultural Food &amp; other Products</c:v>
                </c:pt>
                <c:pt idx="11">
                  <c:v>Auto Components</c:v>
                </c:pt>
                <c:pt idx="12">
                  <c:v>Commercial Services &amp; Supplies</c:v>
                </c:pt>
                <c:pt idx="13">
                  <c:v>Healthcare Services</c:v>
                </c:pt>
                <c:pt idx="14">
                  <c:v>Transport Services</c:v>
                </c:pt>
                <c:pt idx="15">
                  <c:v>Retailing</c:v>
                </c:pt>
                <c:pt idx="16">
                  <c:v>Industrial Manufacturing</c:v>
                </c:pt>
                <c:pt idx="17">
                  <c:v>Construction</c:v>
                </c:pt>
                <c:pt idx="18">
                  <c:v>Leisure Services</c:v>
                </c:pt>
                <c:pt idx="19">
                  <c:v>IT - Hardware</c:v>
                </c:pt>
                <c:pt idx="20">
                  <c:v>Diversified Metals</c:v>
                </c:pt>
                <c:pt idx="21">
                  <c:v>IT - Services</c:v>
                </c:pt>
                <c:pt idx="22">
                  <c:v>Ferrous Metals</c:v>
                </c:pt>
                <c:pt idx="23">
                  <c:v>Power</c:v>
                </c:pt>
                <c:pt idx="24">
                  <c:v>Beverages</c:v>
                </c:pt>
                <c:pt idx="25">
                  <c:v>Petroleum Products</c:v>
                </c:pt>
                <c:pt idx="26">
                  <c:v>Food Products</c:v>
                </c:pt>
                <c:pt idx="27">
                  <c:v>IT - Software</c:v>
                </c:pt>
                <c:pt idx="28">
                  <c:v>Cement &amp; Cement Products</c:v>
                </c:pt>
                <c:pt idx="29">
                  <c:v>Aerospace &amp; Defense</c:v>
                </c:pt>
                <c:pt idx="30">
                  <c:v>Diversified</c:v>
                </c:pt>
                <c:pt idx="31">
                  <c:v>Fertilizers &amp; Agrochemicals</c:v>
                </c:pt>
                <c:pt idx="32">
                  <c:v>Financial Technology (Fintech)</c:v>
                </c:pt>
                <c:pt idx="33">
                  <c:v>Other Utilities</c:v>
                </c:pt>
                <c:pt idx="34">
                  <c:v>Non - Ferrous Metals</c:v>
                </c:pt>
                <c:pt idx="35">
                  <c:v>Telecom -  Equipment &amp; Accessories</c:v>
                </c:pt>
                <c:pt idx="36">
                  <c:v>Household Products</c:v>
                </c:pt>
                <c:pt idx="37">
                  <c:v>Telecom - Services</c:v>
                </c:pt>
                <c:pt idx="38">
                  <c:v>Personal Products</c:v>
                </c:pt>
                <c:pt idx="39">
                  <c:v>Gas</c:v>
                </c:pt>
                <c:pt idx="40">
                  <c:v>Automobiles</c:v>
                </c:pt>
                <c:pt idx="41">
                  <c:v>Minerals &amp; Mining</c:v>
                </c:pt>
                <c:pt idx="42">
                  <c:v>Miscellaneous</c:v>
                </c:pt>
              </c:strCache>
            </c:strRef>
          </c:cat>
          <c:val>
            <c:numRef>
              <c:f>'BANDHAN SCF'!$X$8:$X$50</c:f>
              <c:numCache>
                <c:formatCode>0.00%</c:formatCode>
                <c:ptCount val="43"/>
                <c:pt idx="0">
                  <c:v>0.10825099999999999</c:v>
                </c:pt>
                <c:pt idx="1">
                  <c:v>8.1886E-2</c:v>
                </c:pt>
                <c:pt idx="2">
                  <c:v>5.9757000000000005E-2</c:v>
                </c:pt>
                <c:pt idx="3">
                  <c:v>5.79E-2</c:v>
                </c:pt>
                <c:pt idx="4">
                  <c:v>4.7099000000000002E-2</c:v>
                </c:pt>
                <c:pt idx="5">
                  <c:v>4.6924999999999994E-2</c:v>
                </c:pt>
                <c:pt idx="6">
                  <c:v>4.3362999999999999E-2</c:v>
                </c:pt>
                <c:pt idx="7">
                  <c:v>4.3157000000000001E-2</c:v>
                </c:pt>
                <c:pt idx="8">
                  <c:v>4.1755E-2</c:v>
                </c:pt>
                <c:pt idx="9">
                  <c:v>3.2121999999999998E-2</c:v>
                </c:pt>
                <c:pt idx="10">
                  <c:v>3.0588000000000001E-2</c:v>
                </c:pt>
                <c:pt idx="11">
                  <c:v>2.7034000000000002E-2</c:v>
                </c:pt>
                <c:pt idx="12">
                  <c:v>2.5969000000000002E-2</c:v>
                </c:pt>
                <c:pt idx="13">
                  <c:v>2.5960999999999998E-2</c:v>
                </c:pt>
                <c:pt idx="14">
                  <c:v>2.2313000000000003E-2</c:v>
                </c:pt>
                <c:pt idx="15">
                  <c:v>1.6537E-2</c:v>
                </c:pt>
                <c:pt idx="16">
                  <c:v>1.3679E-2</c:v>
                </c:pt>
                <c:pt idx="17">
                  <c:v>1.3389000000000002E-2</c:v>
                </c:pt>
                <c:pt idx="18">
                  <c:v>1.3161000000000001E-2</c:v>
                </c:pt>
                <c:pt idx="19">
                  <c:v>1.2257000000000001E-2</c:v>
                </c:pt>
                <c:pt idx="20">
                  <c:v>1.1479E-2</c:v>
                </c:pt>
                <c:pt idx="21">
                  <c:v>1.0978E-2</c:v>
                </c:pt>
                <c:pt idx="22">
                  <c:v>1.095E-2</c:v>
                </c:pt>
                <c:pt idx="23">
                  <c:v>1.069E-2</c:v>
                </c:pt>
                <c:pt idx="24">
                  <c:v>9.9380000000000007E-3</c:v>
                </c:pt>
                <c:pt idx="25">
                  <c:v>8.2950000000000003E-3</c:v>
                </c:pt>
                <c:pt idx="26">
                  <c:v>7.698E-3</c:v>
                </c:pt>
                <c:pt idx="27">
                  <c:v>7.6179999999999998E-3</c:v>
                </c:pt>
                <c:pt idx="28">
                  <c:v>7.058E-3</c:v>
                </c:pt>
                <c:pt idx="29">
                  <c:v>6.4100000000000008E-3</c:v>
                </c:pt>
                <c:pt idx="30">
                  <c:v>5.6230000000000004E-3</c:v>
                </c:pt>
                <c:pt idx="31">
                  <c:v>5.3690000000000005E-3</c:v>
                </c:pt>
                <c:pt idx="32">
                  <c:v>4.6179999999999997E-3</c:v>
                </c:pt>
                <c:pt idx="33">
                  <c:v>4.4390000000000002E-3</c:v>
                </c:pt>
                <c:pt idx="34">
                  <c:v>4.4089999999999997E-3</c:v>
                </c:pt>
                <c:pt idx="35">
                  <c:v>3.5019999999999999E-3</c:v>
                </c:pt>
                <c:pt idx="36">
                  <c:v>3.4169999999999999E-3</c:v>
                </c:pt>
                <c:pt idx="37">
                  <c:v>3.2360000000000002E-3</c:v>
                </c:pt>
                <c:pt idx="38">
                  <c:v>3.1710000000000002E-3</c:v>
                </c:pt>
                <c:pt idx="39">
                  <c:v>3.0230000000000001E-3</c:v>
                </c:pt>
                <c:pt idx="40">
                  <c:v>1.689E-3</c:v>
                </c:pt>
                <c:pt idx="41">
                  <c:v>1.191E-3</c:v>
                </c:pt>
                <c:pt idx="42">
                  <c:v>1.178E-3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(30th September 2024)</c:v>
                </c:pt>
              </c:strCache>
            </c:strRef>
          </c:tx>
          <c:invertIfNegative val="0"/>
          <c:cat>
            <c:strRef>
              <c:f>'BANDHAN SCF'!$W$8:$W$50</c:f>
              <c:strCache>
                <c:ptCount val="43"/>
                <c:pt idx="0">
                  <c:v>Finance</c:v>
                </c:pt>
                <c:pt idx="1">
                  <c:v>Pharmaceuticals &amp; Biotechnology</c:v>
                </c:pt>
                <c:pt idx="2">
                  <c:v>Realty</c:v>
                </c:pt>
                <c:pt idx="3">
                  <c:v>Banks</c:v>
                </c:pt>
                <c:pt idx="4">
                  <c:v>Consumer Durables</c:v>
                </c:pt>
                <c:pt idx="5">
                  <c:v>Chemicals &amp; Petrochemicals</c:v>
                </c:pt>
                <c:pt idx="6">
                  <c:v>Capital Markets</c:v>
                </c:pt>
                <c:pt idx="7">
                  <c:v>Electrical Equipment</c:v>
                </c:pt>
                <c:pt idx="8">
                  <c:v>Industrial Products</c:v>
                </c:pt>
                <c:pt idx="9">
                  <c:v>Textiles &amp; Apparels</c:v>
                </c:pt>
                <c:pt idx="10">
                  <c:v>Agricultural Food &amp; other Products</c:v>
                </c:pt>
                <c:pt idx="11">
                  <c:v>Auto Components</c:v>
                </c:pt>
                <c:pt idx="12">
                  <c:v>Commercial Services &amp; Supplies</c:v>
                </c:pt>
                <c:pt idx="13">
                  <c:v>Healthcare Services</c:v>
                </c:pt>
                <c:pt idx="14">
                  <c:v>Transport Services</c:v>
                </c:pt>
                <c:pt idx="15">
                  <c:v>Retailing</c:v>
                </c:pt>
                <c:pt idx="16">
                  <c:v>Industrial Manufacturing</c:v>
                </c:pt>
                <c:pt idx="17">
                  <c:v>Construction</c:v>
                </c:pt>
                <c:pt idx="18">
                  <c:v>Leisure Services</c:v>
                </c:pt>
                <c:pt idx="19">
                  <c:v>IT - Hardware</c:v>
                </c:pt>
                <c:pt idx="20">
                  <c:v>Diversified Metals</c:v>
                </c:pt>
                <c:pt idx="21">
                  <c:v>IT - Services</c:v>
                </c:pt>
                <c:pt idx="22">
                  <c:v>Ferrous Metals</c:v>
                </c:pt>
                <c:pt idx="23">
                  <c:v>Power</c:v>
                </c:pt>
                <c:pt idx="24">
                  <c:v>Beverages</c:v>
                </c:pt>
                <c:pt idx="25">
                  <c:v>Petroleum Products</c:v>
                </c:pt>
                <c:pt idx="26">
                  <c:v>Food Products</c:v>
                </c:pt>
                <c:pt idx="27">
                  <c:v>IT - Software</c:v>
                </c:pt>
                <c:pt idx="28">
                  <c:v>Cement &amp; Cement Products</c:v>
                </c:pt>
                <c:pt idx="29">
                  <c:v>Aerospace &amp; Defense</c:v>
                </c:pt>
                <c:pt idx="30">
                  <c:v>Diversified</c:v>
                </c:pt>
                <c:pt idx="31">
                  <c:v>Fertilizers &amp; Agrochemicals</c:v>
                </c:pt>
                <c:pt idx="32">
                  <c:v>Financial Technology (Fintech)</c:v>
                </c:pt>
                <c:pt idx="33">
                  <c:v>Other Utilities</c:v>
                </c:pt>
                <c:pt idx="34">
                  <c:v>Non - Ferrous Metals</c:v>
                </c:pt>
                <c:pt idx="35">
                  <c:v>Telecom -  Equipment &amp; Accessories</c:v>
                </c:pt>
                <c:pt idx="36">
                  <c:v>Household Products</c:v>
                </c:pt>
                <c:pt idx="37">
                  <c:v>Telecom - Services</c:v>
                </c:pt>
                <c:pt idx="38">
                  <c:v>Personal Products</c:v>
                </c:pt>
                <c:pt idx="39">
                  <c:v>Gas</c:v>
                </c:pt>
                <c:pt idx="40">
                  <c:v>Automobiles</c:v>
                </c:pt>
                <c:pt idx="41">
                  <c:v>Minerals &amp; Mining</c:v>
                </c:pt>
                <c:pt idx="42">
                  <c:v>Miscellaneous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(30th September 2024)</c:v>
                </c:pt>
              </c:strCache>
            </c:strRef>
          </c:tx>
          <c:invertIfNegative val="0"/>
          <c:cat>
            <c:strRef>
              <c:f>'BANDHAN SCF'!$W$8:$W$50</c:f>
              <c:strCache>
                <c:ptCount val="43"/>
                <c:pt idx="0">
                  <c:v>Finance</c:v>
                </c:pt>
                <c:pt idx="1">
                  <c:v>Pharmaceuticals &amp; Biotechnology</c:v>
                </c:pt>
                <c:pt idx="2">
                  <c:v>Realty</c:v>
                </c:pt>
                <c:pt idx="3">
                  <c:v>Banks</c:v>
                </c:pt>
                <c:pt idx="4">
                  <c:v>Consumer Durables</c:v>
                </c:pt>
                <c:pt idx="5">
                  <c:v>Chemicals &amp; Petrochemicals</c:v>
                </c:pt>
                <c:pt idx="6">
                  <c:v>Capital Markets</c:v>
                </c:pt>
                <c:pt idx="7">
                  <c:v>Electrical Equipment</c:v>
                </c:pt>
                <c:pt idx="8">
                  <c:v>Industrial Products</c:v>
                </c:pt>
                <c:pt idx="9">
                  <c:v>Textiles &amp; Apparels</c:v>
                </c:pt>
                <c:pt idx="10">
                  <c:v>Agricultural Food &amp; other Products</c:v>
                </c:pt>
                <c:pt idx="11">
                  <c:v>Auto Components</c:v>
                </c:pt>
                <c:pt idx="12">
                  <c:v>Commercial Services &amp; Supplies</c:v>
                </c:pt>
                <c:pt idx="13">
                  <c:v>Healthcare Services</c:v>
                </c:pt>
                <c:pt idx="14">
                  <c:v>Transport Services</c:v>
                </c:pt>
                <c:pt idx="15">
                  <c:v>Retailing</c:v>
                </c:pt>
                <c:pt idx="16">
                  <c:v>Industrial Manufacturing</c:v>
                </c:pt>
                <c:pt idx="17">
                  <c:v>Construction</c:v>
                </c:pt>
                <c:pt idx="18">
                  <c:v>Leisure Services</c:v>
                </c:pt>
                <c:pt idx="19">
                  <c:v>IT - Hardware</c:v>
                </c:pt>
                <c:pt idx="20">
                  <c:v>Diversified Metals</c:v>
                </c:pt>
                <c:pt idx="21">
                  <c:v>IT - Services</c:v>
                </c:pt>
                <c:pt idx="22">
                  <c:v>Ferrous Metals</c:v>
                </c:pt>
                <c:pt idx="23">
                  <c:v>Power</c:v>
                </c:pt>
                <c:pt idx="24">
                  <c:v>Beverages</c:v>
                </c:pt>
                <c:pt idx="25">
                  <c:v>Petroleum Products</c:v>
                </c:pt>
                <c:pt idx="26">
                  <c:v>Food Products</c:v>
                </c:pt>
                <c:pt idx="27">
                  <c:v>IT - Software</c:v>
                </c:pt>
                <c:pt idx="28">
                  <c:v>Cement &amp; Cement Products</c:v>
                </c:pt>
                <c:pt idx="29">
                  <c:v>Aerospace &amp; Defense</c:v>
                </c:pt>
                <c:pt idx="30">
                  <c:v>Diversified</c:v>
                </c:pt>
                <c:pt idx="31">
                  <c:v>Fertilizers &amp; Agrochemicals</c:v>
                </c:pt>
                <c:pt idx="32">
                  <c:v>Financial Technology (Fintech)</c:v>
                </c:pt>
                <c:pt idx="33">
                  <c:v>Other Utilities</c:v>
                </c:pt>
                <c:pt idx="34">
                  <c:v>Non - Ferrous Metals</c:v>
                </c:pt>
                <c:pt idx="35">
                  <c:v>Telecom -  Equipment &amp; Accessories</c:v>
                </c:pt>
                <c:pt idx="36">
                  <c:v>Household Products</c:v>
                </c:pt>
                <c:pt idx="37">
                  <c:v>Telecom - Services</c:v>
                </c:pt>
                <c:pt idx="38">
                  <c:v>Personal Products</c:v>
                </c:pt>
                <c:pt idx="39">
                  <c:v>Gas</c:v>
                </c:pt>
                <c:pt idx="40">
                  <c:v>Automobiles</c:v>
                </c:pt>
                <c:pt idx="41">
                  <c:v>Minerals &amp; Mining</c:v>
                </c:pt>
                <c:pt idx="42">
                  <c:v>Miscellaneous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(30th September 2024)</c:v>
                </c:pt>
              </c:strCache>
            </c:strRef>
          </c:tx>
          <c:invertIfNegative val="0"/>
          <c:cat>
            <c:strRef>
              <c:f>'BANDHAN SCF'!$W$8:$W$50</c:f>
              <c:strCache>
                <c:ptCount val="43"/>
                <c:pt idx="0">
                  <c:v>Finance</c:v>
                </c:pt>
                <c:pt idx="1">
                  <c:v>Pharmaceuticals &amp; Biotechnology</c:v>
                </c:pt>
                <c:pt idx="2">
                  <c:v>Realty</c:v>
                </c:pt>
                <c:pt idx="3">
                  <c:v>Banks</c:v>
                </c:pt>
                <c:pt idx="4">
                  <c:v>Consumer Durables</c:v>
                </c:pt>
                <c:pt idx="5">
                  <c:v>Chemicals &amp; Petrochemicals</c:v>
                </c:pt>
                <c:pt idx="6">
                  <c:v>Capital Markets</c:v>
                </c:pt>
                <c:pt idx="7">
                  <c:v>Electrical Equipment</c:v>
                </c:pt>
                <c:pt idx="8">
                  <c:v>Industrial Products</c:v>
                </c:pt>
                <c:pt idx="9">
                  <c:v>Textiles &amp; Apparels</c:v>
                </c:pt>
                <c:pt idx="10">
                  <c:v>Agricultural Food &amp; other Products</c:v>
                </c:pt>
                <c:pt idx="11">
                  <c:v>Auto Components</c:v>
                </c:pt>
                <c:pt idx="12">
                  <c:v>Commercial Services &amp; Supplies</c:v>
                </c:pt>
                <c:pt idx="13">
                  <c:v>Healthcare Services</c:v>
                </c:pt>
                <c:pt idx="14">
                  <c:v>Transport Services</c:v>
                </c:pt>
                <c:pt idx="15">
                  <c:v>Retailing</c:v>
                </c:pt>
                <c:pt idx="16">
                  <c:v>Industrial Manufacturing</c:v>
                </c:pt>
                <c:pt idx="17">
                  <c:v>Construction</c:v>
                </c:pt>
                <c:pt idx="18">
                  <c:v>Leisure Services</c:v>
                </c:pt>
                <c:pt idx="19">
                  <c:v>IT - Hardware</c:v>
                </c:pt>
                <c:pt idx="20">
                  <c:v>Diversified Metals</c:v>
                </c:pt>
                <c:pt idx="21">
                  <c:v>IT - Services</c:v>
                </c:pt>
                <c:pt idx="22">
                  <c:v>Ferrous Metals</c:v>
                </c:pt>
                <c:pt idx="23">
                  <c:v>Power</c:v>
                </c:pt>
                <c:pt idx="24">
                  <c:v>Beverages</c:v>
                </c:pt>
                <c:pt idx="25">
                  <c:v>Petroleum Products</c:v>
                </c:pt>
                <c:pt idx="26">
                  <c:v>Food Products</c:v>
                </c:pt>
                <c:pt idx="27">
                  <c:v>IT - Software</c:v>
                </c:pt>
                <c:pt idx="28">
                  <c:v>Cement &amp; Cement Products</c:v>
                </c:pt>
                <c:pt idx="29">
                  <c:v>Aerospace &amp; Defense</c:v>
                </c:pt>
                <c:pt idx="30">
                  <c:v>Diversified</c:v>
                </c:pt>
                <c:pt idx="31">
                  <c:v>Fertilizers &amp; Agrochemicals</c:v>
                </c:pt>
                <c:pt idx="32">
                  <c:v>Financial Technology (Fintech)</c:v>
                </c:pt>
                <c:pt idx="33">
                  <c:v>Other Utilities</c:v>
                </c:pt>
                <c:pt idx="34">
                  <c:v>Non - Ferrous Metals</c:v>
                </c:pt>
                <c:pt idx="35">
                  <c:v>Telecom -  Equipment &amp; Accessories</c:v>
                </c:pt>
                <c:pt idx="36">
                  <c:v>Household Products</c:v>
                </c:pt>
                <c:pt idx="37">
                  <c:v>Telecom - Services</c:v>
                </c:pt>
                <c:pt idx="38">
                  <c:v>Personal Products</c:v>
                </c:pt>
                <c:pt idx="39">
                  <c:v>Gas</c:v>
                </c:pt>
                <c:pt idx="40">
                  <c:v>Automobiles</c:v>
                </c:pt>
                <c:pt idx="41">
                  <c:v>Minerals &amp; Mining</c:v>
                </c:pt>
                <c:pt idx="42">
                  <c:v>Miscellaneous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IF'!$W$8:$W$28</c:f>
              <c:strCache>
                <c:ptCount val="21"/>
                <c:pt idx="0">
                  <c:v>Construction</c:v>
                </c:pt>
                <c:pt idx="1">
                  <c:v>Electrical Equipment</c:v>
                </c:pt>
                <c:pt idx="2">
                  <c:v>Power</c:v>
                </c:pt>
                <c:pt idx="3">
                  <c:v>Industrial Products</c:v>
                </c:pt>
                <c:pt idx="4">
                  <c:v>Transport Services</c:v>
                </c:pt>
                <c:pt idx="5">
                  <c:v>Telecom - Services</c:v>
                </c:pt>
                <c:pt idx="6">
                  <c:v>Cement &amp; Cement Products</c:v>
                </c:pt>
                <c:pt idx="7">
                  <c:v>Industrial Manufacturing</c:v>
                </c:pt>
                <c:pt idx="8">
                  <c:v>Petroleum Products</c:v>
                </c:pt>
                <c:pt idx="9">
                  <c:v>Auto Components</c:v>
                </c:pt>
                <c:pt idx="10">
                  <c:v>Transport Infrastructure</c:v>
                </c:pt>
                <c:pt idx="11">
                  <c:v>Finance</c:v>
                </c:pt>
                <c:pt idx="12">
                  <c:v>Aerospace &amp; Defense</c:v>
                </c:pt>
                <c:pt idx="13">
                  <c:v>Gas</c:v>
                </c:pt>
                <c:pt idx="14">
                  <c:v>Ferrous Metals</c:v>
                </c:pt>
                <c:pt idx="15">
                  <c:v>Diversified</c:v>
                </c:pt>
                <c:pt idx="16">
                  <c:v>Chemicals &amp; Petrochemicals</c:v>
                </c:pt>
                <c:pt idx="17">
                  <c:v>Healthcare Services</c:v>
                </c:pt>
                <c:pt idx="18">
                  <c:v>Diversified Metals</c:v>
                </c:pt>
                <c:pt idx="19">
                  <c:v>Non - Ferrous Metals</c:v>
                </c:pt>
                <c:pt idx="20">
                  <c:v>Leisure Services</c:v>
                </c:pt>
              </c:strCache>
            </c:strRef>
          </c:cat>
          <c:val>
            <c:numRef>
              <c:f>'BANDHAN IF'!$X$8:$X$28</c:f>
              <c:numCache>
                <c:formatCode>0.00%</c:formatCode>
                <c:ptCount val="21"/>
                <c:pt idx="0">
                  <c:v>0.25230200000000003</c:v>
                </c:pt>
                <c:pt idx="1">
                  <c:v>8.9648000000000005E-2</c:v>
                </c:pt>
                <c:pt idx="2">
                  <c:v>8.5468000000000002E-2</c:v>
                </c:pt>
                <c:pt idx="3">
                  <c:v>7.9883999999999997E-2</c:v>
                </c:pt>
                <c:pt idx="4">
                  <c:v>5.2588999999999997E-2</c:v>
                </c:pt>
                <c:pt idx="5">
                  <c:v>4.8008000000000002E-2</c:v>
                </c:pt>
                <c:pt idx="6">
                  <c:v>4.6397999999999995E-2</c:v>
                </c:pt>
                <c:pt idx="7">
                  <c:v>4.1950000000000001E-2</c:v>
                </c:pt>
                <c:pt idx="8">
                  <c:v>4.0481000000000003E-2</c:v>
                </c:pt>
                <c:pt idx="9">
                  <c:v>3.6664000000000002E-2</c:v>
                </c:pt>
                <c:pt idx="10">
                  <c:v>3.3051999999999998E-2</c:v>
                </c:pt>
                <c:pt idx="11">
                  <c:v>3.1871999999999998E-2</c:v>
                </c:pt>
                <c:pt idx="12">
                  <c:v>3.1565999999999997E-2</c:v>
                </c:pt>
                <c:pt idx="13">
                  <c:v>2.8922E-2</c:v>
                </c:pt>
                <c:pt idx="14">
                  <c:v>2.5754000000000003E-2</c:v>
                </c:pt>
                <c:pt idx="15">
                  <c:v>1.8442E-2</c:v>
                </c:pt>
                <c:pt idx="16">
                  <c:v>1.5443999999999999E-2</c:v>
                </c:pt>
                <c:pt idx="17">
                  <c:v>1.5128000000000001E-2</c:v>
                </c:pt>
                <c:pt idx="18">
                  <c:v>5.7829999999999999E-3</c:v>
                </c:pt>
                <c:pt idx="19">
                  <c:v>5.6039999999999996E-3</c:v>
                </c:pt>
                <c:pt idx="20">
                  <c:v>3.5349999999999999E-3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TLF'!$W$8:$W$16</c:f>
              <c:strCache>
                <c:ptCount val="9"/>
                <c:pt idx="0">
                  <c:v>Automobiles</c:v>
                </c:pt>
                <c:pt idx="1">
                  <c:v>Auto Components</c:v>
                </c:pt>
                <c:pt idx="2">
                  <c:v>Transport Services</c:v>
                </c:pt>
                <c:pt idx="3">
                  <c:v>Finance</c:v>
                </c:pt>
                <c:pt idx="4">
                  <c:v>Retailing</c:v>
                </c:pt>
                <c:pt idx="5">
                  <c:v>Agricultural, Commercial &amp; Construction Vehicles</c:v>
                </c:pt>
                <c:pt idx="6">
                  <c:v>Leisure Services</c:v>
                </c:pt>
                <c:pt idx="7">
                  <c:v>Industrial Products</c:v>
                </c:pt>
                <c:pt idx="8">
                  <c:v>Consumer Durables</c:v>
                </c:pt>
              </c:strCache>
            </c:strRef>
          </c:cat>
          <c:val>
            <c:numRef>
              <c:f>'BANDHAN TLF'!$X$8:$X$16</c:f>
              <c:numCache>
                <c:formatCode>0.00%</c:formatCode>
                <c:ptCount val="9"/>
                <c:pt idx="0">
                  <c:v>0.41315400000000002</c:v>
                </c:pt>
                <c:pt idx="1">
                  <c:v>0.287997</c:v>
                </c:pt>
                <c:pt idx="2">
                  <c:v>0.11476600000000001</c:v>
                </c:pt>
                <c:pt idx="3">
                  <c:v>4.0390999999999996E-2</c:v>
                </c:pt>
                <c:pt idx="4">
                  <c:v>2.2806E-2</c:v>
                </c:pt>
                <c:pt idx="5">
                  <c:v>2.1373E-2</c:v>
                </c:pt>
                <c:pt idx="6">
                  <c:v>1.5365E-2</c:v>
                </c:pt>
                <c:pt idx="7">
                  <c:v>1.2702E-2</c:v>
                </c:pt>
                <c:pt idx="8">
                  <c:v>1.1176999999999999E-2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0.46461600000000003</c:v>
                </c:pt>
                <c:pt idx="1">
                  <c:v>0.29258499999999998</c:v>
                </c:pt>
                <c:pt idx="2">
                  <c:v>9.7370000000000012E-2</c:v>
                </c:pt>
                <c:pt idx="3">
                  <c:v>8.7799000000000002E-2</c:v>
                </c:pt>
                <c:pt idx="4">
                  <c:v>3.7464999999999998E-2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(30th September 2024)</c:v>
                </c:pt>
              </c:strCache>
            </c:strRef>
          </c:tx>
          <c:invertIfNegative val="0"/>
          <c:cat>
            <c:strRef>
              <c:f>'BANDHAN FSF'!$W$8:$W$12</c:f>
              <c:strCache>
                <c:ptCount val="5"/>
                <c:pt idx="0">
                  <c:v>Banks</c:v>
                </c:pt>
                <c:pt idx="1">
                  <c:v>Finance</c:v>
                </c:pt>
                <c:pt idx="2">
                  <c:v>Capital Markets</c:v>
                </c:pt>
                <c:pt idx="3">
                  <c:v>Insurance</c:v>
                </c:pt>
                <c:pt idx="4">
                  <c:v>Financial Technology (Fintech)</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INNOV'!$W$8:$W$40</c:f>
              <c:strCache>
                <c:ptCount val="33"/>
                <c:pt idx="0">
                  <c:v>Pharmaceuticals &amp; Biotechnology</c:v>
                </c:pt>
                <c:pt idx="1">
                  <c:v>Finance</c:v>
                </c:pt>
                <c:pt idx="2">
                  <c:v>Retailing</c:v>
                </c:pt>
                <c:pt idx="3">
                  <c:v>Consumer Durables</c:v>
                </c:pt>
                <c:pt idx="4">
                  <c:v>Healthcare Services</c:v>
                </c:pt>
                <c:pt idx="5">
                  <c:v>Electrical Equipment</c:v>
                </c:pt>
                <c:pt idx="6">
                  <c:v>Industrial Manufacturing</c:v>
                </c:pt>
                <c:pt idx="7">
                  <c:v>IT - Services</c:v>
                </c:pt>
                <c:pt idx="8">
                  <c:v>Chemicals &amp; Petrochemicals</c:v>
                </c:pt>
                <c:pt idx="9">
                  <c:v>IT - Software</c:v>
                </c:pt>
                <c:pt idx="10">
                  <c:v>Capital Markets</c:v>
                </c:pt>
                <c:pt idx="11">
                  <c:v>Telecom - Services</c:v>
                </c:pt>
                <c:pt idx="12">
                  <c:v>Beverages</c:v>
                </c:pt>
                <c:pt idx="13">
                  <c:v>Power</c:v>
                </c:pt>
                <c:pt idx="14">
                  <c:v>Industrial Products</c:v>
                </c:pt>
                <c:pt idx="15">
                  <c:v>Auto Components</c:v>
                </c:pt>
                <c:pt idx="16">
                  <c:v>Insurance</c:v>
                </c:pt>
                <c:pt idx="17">
                  <c:v>Leisure Services</c:v>
                </c:pt>
                <c:pt idx="18">
                  <c:v>Transport Services</c:v>
                </c:pt>
                <c:pt idx="19">
                  <c:v>Petroleum Products</c:v>
                </c:pt>
                <c:pt idx="20">
                  <c:v>Aerospace &amp; Defense</c:v>
                </c:pt>
                <c:pt idx="21">
                  <c:v>Financial Technology (Fintech)</c:v>
                </c:pt>
                <c:pt idx="22">
                  <c:v>Diversified Metals</c:v>
                </c:pt>
                <c:pt idx="23">
                  <c:v>Entertainment</c:v>
                </c:pt>
                <c:pt idx="24">
                  <c:v>IT - Hardware</c:v>
                </c:pt>
                <c:pt idx="25">
                  <c:v>Automobiles</c:v>
                </c:pt>
                <c:pt idx="26">
                  <c:v>Banks</c:v>
                </c:pt>
                <c:pt idx="27">
                  <c:v>Diversified</c:v>
                </c:pt>
                <c:pt idx="28">
                  <c:v>Realty</c:v>
                </c:pt>
                <c:pt idx="29">
                  <c:v>Construction</c:v>
                </c:pt>
                <c:pt idx="30">
                  <c:v>Fertilizers &amp; Agrochemicals</c:v>
                </c:pt>
                <c:pt idx="31">
                  <c:v>Cement &amp; Cement Products</c:v>
                </c:pt>
                <c:pt idx="32">
                  <c:v>Paper, Forest &amp; Jute Products</c:v>
                </c:pt>
              </c:strCache>
            </c:strRef>
          </c:cat>
          <c:val>
            <c:numRef>
              <c:f>'BANDHAN INNOV'!$X$8:$X$40</c:f>
              <c:numCache>
                <c:formatCode>0.00%</c:formatCode>
                <c:ptCount val="33"/>
                <c:pt idx="0">
                  <c:v>0.12539400000000001</c:v>
                </c:pt>
                <c:pt idx="1">
                  <c:v>9.0094999999999995E-2</c:v>
                </c:pt>
                <c:pt idx="2">
                  <c:v>8.8909999999999989E-2</c:v>
                </c:pt>
                <c:pt idx="3">
                  <c:v>6.5710000000000005E-2</c:v>
                </c:pt>
                <c:pt idx="4">
                  <c:v>5.8051999999999999E-2</c:v>
                </c:pt>
                <c:pt idx="5">
                  <c:v>4.1165999999999994E-2</c:v>
                </c:pt>
                <c:pt idx="6">
                  <c:v>3.7949000000000004E-2</c:v>
                </c:pt>
                <c:pt idx="7">
                  <c:v>3.7533999999999998E-2</c:v>
                </c:pt>
                <c:pt idx="8">
                  <c:v>3.3770999999999995E-2</c:v>
                </c:pt>
                <c:pt idx="9">
                  <c:v>3.3366E-2</c:v>
                </c:pt>
                <c:pt idx="10">
                  <c:v>3.0139000000000003E-2</c:v>
                </c:pt>
                <c:pt idx="11">
                  <c:v>3.0113999999999998E-2</c:v>
                </c:pt>
                <c:pt idx="12">
                  <c:v>2.8542999999999999E-2</c:v>
                </c:pt>
                <c:pt idx="13">
                  <c:v>2.4580000000000001E-2</c:v>
                </c:pt>
                <c:pt idx="14">
                  <c:v>2.3022000000000001E-2</c:v>
                </c:pt>
                <c:pt idx="15">
                  <c:v>2.2297000000000001E-2</c:v>
                </c:pt>
                <c:pt idx="16">
                  <c:v>2.0213000000000002E-2</c:v>
                </c:pt>
                <c:pt idx="17">
                  <c:v>1.8762999999999998E-2</c:v>
                </c:pt>
                <c:pt idx="18">
                  <c:v>1.7794000000000001E-2</c:v>
                </c:pt>
                <c:pt idx="19">
                  <c:v>1.652E-2</c:v>
                </c:pt>
                <c:pt idx="20">
                  <c:v>1.3668E-2</c:v>
                </c:pt>
                <c:pt idx="21">
                  <c:v>1.2493000000000001E-2</c:v>
                </c:pt>
                <c:pt idx="22">
                  <c:v>1.2071E-2</c:v>
                </c:pt>
                <c:pt idx="23">
                  <c:v>1.1719E-2</c:v>
                </c:pt>
                <c:pt idx="24">
                  <c:v>1.1424999999999999E-2</c:v>
                </c:pt>
                <c:pt idx="25">
                  <c:v>1.1253000000000001E-2</c:v>
                </c:pt>
                <c:pt idx="26">
                  <c:v>1.0037000000000001E-2</c:v>
                </c:pt>
                <c:pt idx="27">
                  <c:v>1.0031999999999999E-2</c:v>
                </c:pt>
                <c:pt idx="28">
                  <c:v>9.9249999999999998E-3</c:v>
                </c:pt>
                <c:pt idx="29">
                  <c:v>9.1970000000000003E-3</c:v>
                </c:pt>
                <c:pt idx="30">
                  <c:v>8.829E-3</c:v>
                </c:pt>
                <c:pt idx="31">
                  <c:v>8.5660000000000007E-3</c:v>
                </c:pt>
                <c:pt idx="32">
                  <c:v>4.9249999999999997E-3</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BUSINESS CYCLE'!$X$7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AF-4F74-8226-8AE3CE8CA1F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AF-4F74-8226-8AE3CE8CA1F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AF-4F74-8226-8AE3CE8CA1F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AF-4F74-8226-8AE3CE8CA1F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AF-4F74-8226-8AE3CE8CA1F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AF-4F74-8226-8AE3CE8CA1F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AF-4F74-8226-8AE3CE8CA1F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AF-4F74-8226-8AE3CE8CA1F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AF-4F74-8226-8AE3CE8CA1F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AF-4F74-8226-8AE3CE8CA1F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FAF-4F74-8226-8AE3CE8CA1F4}"/>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EFAF-4F74-8226-8AE3CE8CA1F4}"/>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EFAF-4F74-8226-8AE3CE8CA1F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BUSINESS CYCLE'!$W$8:$W$20</c:f>
              <c:strCache>
                <c:ptCount val="13"/>
                <c:pt idx="0">
                  <c:v>Banks</c:v>
                </c:pt>
                <c:pt idx="1">
                  <c:v>Finance</c:v>
                </c:pt>
                <c:pt idx="2">
                  <c:v>Construction</c:v>
                </c:pt>
                <c:pt idx="3">
                  <c:v>Petroleum Products</c:v>
                </c:pt>
                <c:pt idx="4">
                  <c:v>Healthcare Services</c:v>
                </c:pt>
                <c:pt idx="5">
                  <c:v>Pharmaceuticals &amp; Biotechnology</c:v>
                </c:pt>
                <c:pt idx="6">
                  <c:v>Fertilizers &amp; Agrochemicals</c:v>
                </c:pt>
                <c:pt idx="7">
                  <c:v>IT - Services</c:v>
                </c:pt>
                <c:pt idx="8">
                  <c:v>Retailing</c:v>
                </c:pt>
                <c:pt idx="9">
                  <c:v>Cement &amp; Cement Products</c:v>
                </c:pt>
                <c:pt idx="10">
                  <c:v>Financial Technology (Fintech)</c:v>
                </c:pt>
                <c:pt idx="11">
                  <c:v>Industrial Products</c:v>
                </c:pt>
                <c:pt idx="12">
                  <c:v>Consumer Durables</c:v>
                </c:pt>
              </c:strCache>
            </c:strRef>
          </c:cat>
          <c:val>
            <c:numRef>
              <c:f>'BANDHAN BUSINESS CYCLE'!$X$8:$X$20</c:f>
              <c:numCache>
                <c:formatCode>0.00%</c:formatCode>
                <c:ptCount val="13"/>
                <c:pt idx="0">
                  <c:v>1.4253E-2</c:v>
                </c:pt>
                <c:pt idx="1">
                  <c:v>8.686000000000001E-3</c:v>
                </c:pt>
                <c:pt idx="2">
                  <c:v>8.3829999999999998E-3</c:v>
                </c:pt>
                <c:pt idx="3">
                  <c:v>7.8379999999999995E-3</c:v>
                </c:pt>
                <c:pt idx="4">
                  <c:v>4.1539999999999997E-3</c:v>
                </c:pt>
                <c:pt idx="5">
                  <c:v>4.032E-3</c:v>
                </c:pt>
                <c:pt idx="6">
                  <c:v>3.9719999999999998E-3</c:v>
                </c:pt>
                <c:pt idx="7">
                  <c:v>1.4009999999999999E-3</c:v>
                </c:pt>
                <c:pt idx="8">
                  <c:v>1.2960000000000001E-3</c:v>
                </c:pt>
                <c:pt idx="9">
                  <c:v>7.1699999999999997E-4</c:v>
                </c:pt>
                <c:pt idx="10">
                  <c:v>6.4899999999999995E-4</c:v>
                </c:pt>
                <c:pt idx="11">
                  <c:v>3.3300000000000002E-4</c:v>
                </c:pt>
                <c:pt idx="12">
                  <c:v>9.6000000000000002E-5</c:v>
                </c:pt>
              </c:numCache>
            </c:numRef>
          </c:val>
          <c:extLst>
            <c:ext xmlns:c16="http://schemas.microsoft.com/office/drawing/2014/chart" uri="{C3380CC4-5D6E-409C-BE32-E72D297353CC}">
              <c16:uniqueId val="{0000000D-EFAF-4F74-8226-8AE3CE8CA1F4}"/>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'BANDHAN-ELSS'!$X$7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'BANDHAN-ELSS'!$W$8:$W$36</c:f>
              <c:strCache>
                <c:ptCount val="29"/>
                <c:pt idx="0">
                  <c:v>Banks</c:v>
                </c:pt>
                <c:pt idx="1">
                  <c:v>IT - Software</c:v>
                </c:pt>
                <c:pt idx="2">
                  <c:v>Pharmaceuticals &amp; Biotechnology</c:v>
                </c:pt>
                <c:pt idx="3">
                  <c:v>Construction</c:v>
                </c:pt>
                <c:pt idx="4">
                  <c:v>Petroleum Products</c:v>
                </c:pt>
                <c:pt idx="5">
                  <c:v>Automobiles</c:v>
                </c:pt>
                <c:pt idx="6">
                  <c:v>Insurance</c:v>
                </c:pt>
                <c:pt idx="7">
                  <c:v>Auto Components</c:v>
                </c:pt>
                <c:pt idx="8">
                  <c:v>Finance</c:v>
                </c:pt>
                <c:pt idx="9">
                  <c:v>Power</c:v>
                </c:pt>
                <c:pt idx="10">
                  <c:v>Ferrous Metals</c:v>
                </c:pt>
                <c:pt idx="11">
                  <c:v>Leisure Services</c:v>
                </c:pt>
                <c:pt idx="12">
                  <c:v>Telecom - Services</c:v>
                </c:pt>
                <c:pt idx="13">
                  <c:v>Beverages</c:v>
                </c:pt>
                <c:pt idx="14">
                  <c:v>Retailing</c:v>
                </c:pt>
                <c:pt idx="15">
                  <c:v>Electrical Equipment</c:v>
                </c:pt>
                <c:pt idx="16">
                  <c:v>Food Products</c:v>
                </c:pt>
                <c:pt idx="17">
                  <c:v>Cement &amp; Cement Products</c:v>
                </c:pt>
                <c:pt idx="18">
                  <c:v>Diversified FMCG</c:v>
                </c:pt>
                <c:pt idx="19">
                  <c:v>Realty</c:v>
                </c:pt>
                <c:pt idx="20">
                  <c:v>Consumer Durables</c:v>
                </c:pt>
                <c:pt idx="21">
                  <c:v>Non - Ferrous Metals</c:v>
                </c:pt>
                <c:pt idx="22">
                  <c:v>Personal Products</c:v>
                </c:pt>
                <c:pt idx="23">
                  <c:v>Diversified Metals</c:v>
                </c:pt>
                <c:pt idx="24">
                  <c:v>Transport Services</c:v>
                </c:pt>
                <c:pt idx="25">
                  <c:v>Fertilizers &amp; Agrochemicals</c:v>
                </c:pt>
                <c:pt idx="26">
                  <c:v>Telecom -  Equipment &amp; Accessories</c:v>
                </c:pt>
                <c:pt idx="27">
                  <c:v>Chemicals &amp; Petrochemicals</c:v>
                </c:pt>
                <c:pt idx="28">
                  <c:v>Industrial Products</c:v>
                </c:pt>
              </c:strCache>
            </c:strRef>
          </c:cat>
          <c:val>
            <c:numRef>
              <c:f>'BANDHAN-ELSS'!$X$8:$X$36</c:f>
              <c:numCache>
                <c:formatCode>0.00%</c:formatCode>
                <c:ptCount val="29"/>
                <c:pt idx="0">
                  <c:v>0.19780799999999998</c:v>
                </c:pt>
                <c:pt idx="1">
                  <c:v>9.3319000000000013E-2</c:v>
                </c:pt>
                <c:pt idx="2">
                  <c:v>8.7674000000000002E-2</c:v>
                </c:pt>
                <c:pt idx="3">
                  <c:v>5.3443999999999998E-2</c:v>
                </c:pt>
                <c:pt idx="4">
                  <c:v>5.0196999999999999E-2</c:v>
                </c:pt>
                <c:pt idx="5">
                  <c:v>4.5464999999999998E-2</c:v>
                </c:pt>
                <c:pt idx="6">
                  <c:v>3.6979999999999999E-2</c:v>
                </c:pt>
                <c:pt idx="7">
                  <c:v>3.6700999999999998E-2</c:v>
                </c:pt>
                <c:pt idx="8">
                  <c:v>3.0246000000000002E-2</c:v>
                </c:pt>
                <c:pt idx="9">
                  <c:v>2.9864999999999999E-2</c:v>
                </c:pt>
                <c:pt idx="10">
                  <c:v>2.8944999999999999E-2</c:v>
                </c:pt>
                <c:pt idx="11">
                  <c:v>2.6790999999999999E-2</c:v>
                </c:pt>
                <c:pt idx="12">
                  <c:v>2.5571E-2</c:v>
                </c:pt>
                <c:pt idx="13">
                  <c:v>2.5488E-2</c:v>
                </c:pt>
                <c:pt idx="14">
                  <c:v>2.3649999999999997E-2</c:v>
                </c:pt>
                <c:pt idx="15">
                  <c:v>2.1159000000000001E-2</c:v>
                </c:pt>
                <c:pt idx="16">
                  <c:v>1.8308000000000001E-2</c:v>
                </c:pt>
                <c:pt idx="17">
                  <c:v>1.8197999999999999E-2</c:v>
                </c:pt>
                <c:pt idx="18">
                  <c:v>1.7614999999999999E-2</c:v>
                </c:pt>
                <c:pt idx="19">
                  <c:v>1.5960999999999999E-2</c:v>
                </c:pt>
                <c:pt idx="20">
                  <c:v>1.5486E-2</c:v>
                </c:pt>
                <c:pt idx="21">
                  <c:v>1.234E-2</c:v>
                </c:pt>
                <c:pt idx="22">
                  <c:v>1.1901999999999999E-2</c:v>
                </c:pt>
                <c:pt idx="23">
                  <c:v>1.0456999999999999E-2</c:v>
                </c:pt>
                <c:pt idx="24">
                  <c:v>9.4330000000000004E-3</c:v>
                </c:pt>
                <c:pt idx="25">
                  <c:v>8.7189999999999993E-3</c:v>
                </c:pt>
                <c:pt idx="26">
                  <c:v>6.6819999999999996E-3</c:v>
                </c:pt>
                <c:pt idx="27">
                  <c:v>5.9300000000000004E-3</c:v>
                </c:pt>
                <c:pt idx="28">
                  <c:v>3.9370000000000004E-3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0.73824199999999995</c:v>
                </c:pt>
                <c:pt idx="1">
                  <c:v>0.26175800000000005</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Retailing</c:v>
                </c:pt>
                <c:pt idx="2">
                  <c:v>Finance</c:v>
                </c:pt>
                <c:pt idx="3">
                  <c:v>IT - Software</c:v>
                </c:pt>
                <c:pt idx="4">
                  <c:v>Pharmaceuticals &amp; Biotechnology</c:v>
                </c:pt>
                <c:pt idx="5">
                  <c:v>Petroleum Products</c:v>
                </c:pt>
                <c:pt idx="6">
                  <c:v>Electrical Equipment</c:v>
                </c:pt>
                <c:pt idx="7">
                  <c:v>Healthcare Services</c:v>
                </c:pt>
                <c:pt idx="8">
                  <c:v>Automobiles</c:v>
                </c:pt>
                <c:pt idx="9">
                  <c:v>Power</c:v>
                </c:pt>
                <c:pt idx="10">
                  <c:v>Construction</c:v>
                </c:pt>
                <c:pt idx="11">
                  <c:v>Auto Components</c:v>
                </c:pt>
                <c:pt idx="12">
                  <c:v>Diversified Metals</c:v>
                </c:pt>
                <c:pt idx="13">
                  <c:v>Realty</c:v>
                </c:pt>
                <c:pt idx="14">
                  <c:v>Telecom - Services</c:v>
                </c:pt>
                <c:pt idx="15">
                  <c:v>Financial Technology (Fintech)</c:v>
                </c:pt>
              </c:strCache>
            </c:strRef>
          </c:cat>
          <c:val>
            <c:numRef>
              <c:f>'BANDHAN BAF'!$X$8:$X$23</c:f>
              <c:numCache>
                <c:formatCode>0.00%</c:formatCode>
                <c:ptCount val="16"/>
                <c:pt idx="0">
                  <c:v>5.4856000000000002E-2</c:v>
                </c:pt>
                <c:pt idx="1">
                  <c:v>4.6952999999999995E-2</c:v>
                </c:pt>
                <c:pt idx="2">
                  <c:v>3.4171000000000014E-2</c:v>
                </c:pt>
                <c:pt idx="3">
                  <c:v>2.6750000000000006E-2</c:v>
                </c:pt>
                <c:pt idx="4">
                  <c:v>2.5646000000000006E-2</c:v>
                </c:pt>
                <c:pt idx="5">
                  <c:v>2.3151999999999999E-2</c:v>
                </c:pt>
                <c:pt idx="6">
                  <c:v>2.2963000000000001E-2</c:v>
                </c:pt>
                <c:pt idx="7">
                  <c:v>1.8401000000000001E-2</c:v>
                </c:pt>
                <c:pt idx="8">
                  <c:v>1.8155999999999999E-2</c:v>
                </c:pt>
                <c:pt idx="9">
                  <c:v>1.8140999999999997E-2</c:v>
                </c:pt>
                <c:pt idx="10">
                  <c:v>1.8068000000000001E-2</c:v>
                </c:pt>
                <c:pt idx="11">
                  <c:v>1.3764999999999999E-2</c:v>
                </c:pt>
                <c:pt idx="12">
                  <c:v>1.2874E-2</c:v>
                </c:pt>
                <c:pt idx="13">
                  <c:v>1.2448999999999998E-2</c:v>
                </c:pt>
                <c:pt idx="14">
                  <c:v>1.2307999999999999E-2</c:v>
                </c:pt>
                <c:pt idx="15">
                  <c:v>8.881E-3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BAF'!$W$8:$W$40</c:f>
              <c:strCache>
                <c:ptCount val="33"/>
                <c:pt idx="0">
                  <c:v>Banks</c:v>
                </c:pt>
                <c:pt idx="1">
                  <c:v>Retailing</c:v>
                </c:pt>
                <c:pt idx="2">
                  <c:v>Finance</c:v>
                </c:pt>
                <c:pt idx="3">
                  <c:v>IT - Software</c:v>
                </c:pt>
                <c:pt idx="4">
                  <c:v>Pharmaceuticals &amp; Biotechnology</c:v>
                </c:pt>
                <c:pt idx="5">
                  <c:v>Petroleum Products</c:v>
                </c:pt>
                <c:pt idx="6">
                  <c:v>Electrical Equipment</c:v>
                </c:pt>
                <c:pt idx="7">
                  <c:v>Healthcare Services</c:v>
                </c:pt>
                <c:pt idx="8">
                  <c:v>Automobiles</c:v>
                </c:pt>
                <c:pt idx="9">
                  <c:v>Power</c:v>
                </c:pt>
                <c:pt idx="10">
                  <c:v>Construction</c:v>
                </c:pt>
                <c:pt idx="11">
                  <c:v>Auto Components</c:v>
                </c:pt>
                <c:pt idx="12">
                  <c:v>Diversified Metals</c:v>
                </c:pt>
                <c:pt idx="13">
                  <c:v>Realty</c:v>
                </c:pt>
                <c:pt idx="14">
                  <c:v>Telecom - Services</c:v>
                </c:pt>
                <c:pt idx="15">
                  <c:v>Financial Technology (Fintech)</c:v>
                </c:pt>
                <c:pt idx="16">
                  <c:v>Diversified FMCG</c:v>
                </c:pt>
                <c:pt idx="17">
                  <c:v>Beverages</c:v>
                </c:pt>
                <c:pt idx="18">
                  <c:v>Cement &amp; Cement Products</c:v>
                </c:pt>
                <c:pt idx="19">
                  <c:v>Capital Markets</c:v>
                </c:pt>
                <c:pt idx="20">
                  <c:v>Gas</c:v>
                </c:pt>
                <c:pt idx="21">
                  <c:v>Aerospace &amp; Defense</c:v>
                </c:pt>
                <c:pt idx="22">
                  <c:v>Transport Services</c:v>
                </c:pt>
                <c:pt idx="23">
                  <c:v>Leisure Services</c:v>
                </c:pt>
                <c:pt idx="24">
                  <c:v>Food Products</c:v>
                </c:pt>
                <c:pt idx="25">
                  <c:v>Industrial Manufacturing</c:v>
                </c:pt>
                <c:pt idx="26">
                  <c:v>Oil</c:v>
                </c:pt>
                <c:pt idx="27">
                  <c:v>Chemicals &amp; Petrochemicals</c:v>
                </c:pt>
                <c:pt idx="28">
                  <c:v>Fertilizers &amp; Agrochemicals</c:v>
                </c:pt>
                <c:pt idx="29">
                  <c:v>Ferrous Metals</c:v>
                </c:pt>
                <c:pt idx="30">
                  <c:v>Consumer Durables</c:v>
                </c:pt>
                <c:pt idx="31">
                  <c:v>Personal Products</c:v>
                </c:pt>
                <c:pt idx="32">
                  <c:v>Insurance</c:v>
                </c:pt>
              </c:strCache>
            </c:strRef>
          </c:cat>
          <c:val>
            <c:numRef>
              <c:f>'BANDHAN BAF'!$X$8:$X$40</c:f>
              <c:numCache>
                <c:formatCode>0.00%</c:formatCode>
                <c:ptCount val="33"/>
                <c:pt idx="0">
                  <c:v>5.4856000000000002E-2</c:v>
                </c:pt>
                <c:pt idx="1">
                  <c:v>4.6952999999999995E-2</c:v>
                </c:pt>
                <c:pt idx="2">
                  <c:v>3.4171000000000014E-2</c:v>
                </c:pt>
                <c:pt idx="3">
                  <c:v>2.6750000000000006E-2</c:v>
                </c:pt>
                <c:pt idx="4">
                  <c:v>2.5646000000000006E-2</c:v>
                </c:pt>
                <c:pt idx="5">
                  <c:v>2.3151999999999999E-2</c:v>
                </c:pt>
                <c:pt idx="6">
                  <c:v>2.2963000000000001E-2</c:v>
                </c:pt>
                <c:pt idx="7">
                  <c:v>1.8401000000000001E-2</c:v>
                </c:pt>
                <c:pt idx="8">
                  <c:v>1.8155999999999999E-2</c:v>
                </c:pt>
                <c:pt idx="9">
                  <c:v>1.8140999999999997E-2</c:v>
                </c:pt>
                <c:pt idx="10">
                  <c:v>1.8068000000000001E-2</c:v>
                </c:pt>
                <c:pt idx="11">
                  <c:v>1.3764999999999999E-2</c:v>
                </c:pt>
                <c:pt idx="12">
                  <c:v>1.2874E-2</c:v>
                </c:pt>
                <c:pt idx="13">
                  <c:v>1.2448999999999998E-2</c:v>
                </c:pt>
                <c:pt idx="14">
                  <c:v>1.2307999999999999E-2</c:v>
                </c:pt>
                <c:pt idx="15">
                  <c:v>8.881E-3</c:v>
                </c:pt>
                <c:pt idx="16">
                  <c:v>8.6830000000000015E-3</c:v>
                </c:pt>
                <c:pt idx="17">
                  <c:v>7.7990000000000004E-3</c:v>
                </c:pt>
                <c:pt idx="18">
                  <c:v>6.7700000000000017E-3</c:v>
                </c:pt>
                <c:pt idx="19">
                  <c:v>6.581E-3</c:v>
                </c:pt>
                <c:pt idx="20">
                  <c:v>6.2009999999999999E-3</c:v>
                </c:pt>
                <c:pt idx="21">
                  <c:v>5.7279999999999996E-3</c:v>
                </c:pt>
                <c:pt idx="22">
                  <c:v>4.7390000000000002E-3</c:v>
                </c:pt>
                <c:pt idx="23">
                  <c:v>4.2100000000000002E-3</c:v>
                </c:pt>
                <c:pt idx="24">
                  <c:v>4.1980000000000003E-3</c:v>
                </c:pt>
                <c:pt idx="25">
                  <c:v>3.9029999999999998E-3</c:v>
                </c:pt>
                <c:pt idx="26">
                  <c:v>3.199E-3</c:v>
                </c:pt>
                <c:pt idx="27">
                  <c:v>-2.1999999999999884E-5</c:v>
                </c:pt>
                <c:pt idx="28">
                  <c:v>-3.7999999999999839E-5</c:v>
                </c:pt>
                <c:pt idx="29">
                  <c:v>-4.9999999999999697E-5</c:v>
                </c:pt>
                <c:pt idx="30">
                  <c:v>-5.3000000000000096E-5</c:v>
                </c:pt>
                <c:pt idx="31">
                  <c:v>-1.0500000000000093E-4</c:v>
                </c:pt>
                <c:pt idx="32">
                  <c:v>-1.1700000000000078E-4</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430661104506674"/>
                  <c:y val="-0.132755228772384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1.3178982650670841E-2"/>
                  <c:y val="0.6401214620379498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0.24664229639992027"/>
                  <c:y val="-0.1830717291286406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76983803811924023"/>
                  <c:y val="0.1905654762556673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
                  <c:y val="-0.562770458464745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7.4801352186861056E-2"/>
                  <c:y val="-0.3523582105011994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dLbl>
              <c:idx val="8"/>
              <c:layout>
                <c:manualLayout>
                  <c:x val="7.8202354292569269E-3"/>
                  <c:y val="-1.452500226082858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6F-4510-85FA-1EAD9CD8AC76}"/>
                </c:ext>
              </c:extLst>
            </c:dLbl>
            <c:spPr>
              <a:noFill/>
              <a:ln>
                <a:noFill/>
              </a:ln>
              <a:effectLst/>
            </c:spPr>
            <c:txPr>
              <a:bodyPr wrap="square" lIns="38100" tIns="19050" rIns="38100" bIns="19050" anchor="ctr">
                <a:spAutoFit/>
              </a:bodyPr>
              <a:lstStyle/>
              <a:p>
                <a:pPr>
                  <a:defRPr lang="en-IN"/>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'BANDHAN-ESF'!$J$9:$J$17</c:f>
              <c:strCache>
                <c:ptCount val="9"/>
                <c:pt idx="0">
                  <c:v>Net Equity </c:v>
                </c:pt>
                <c:pt idx="1">
                  <c:v>Net Current Asset</c:v>
                </c:pt>
                <c:pt idx="3">
                  <c:v>Corporate Bond</c:v>
                </c:pt>
                <c:pt idx="5">
                  <c:v>Mutual Fund Units</c:v>
                </c:pt>
                <c:pt idx="6">
                  <c:v>Government Bond</c:v>
                </c:pt>
                <c:pt idx="7">
                  <c:v>Arbitrage</c:v>
                </c:pt>
                <c:pt idx="8">
                  <c:v>Equity Options</c:v>
                </c:pt>
              </c:strCache>
            </c:strRef>
          </c:cat>
          <c:val>
            <c:numRef>
              <c:f>'BANDHAN-ESF'!$K$9:$K$17</c:f>
              <c:numCache>
                <c:formatCode>0.00%</c:formatCode>
                <c:ptCount val="9"/>
                <c:pt idx="0">
                  <c:v>0.114453</c:v>
                </c:pt>
                <c:pt idx="1">
                  <c:v>4.9580000000000055E-2</c:v>
                </c:pt>
                <c:pt idx="3">
                  <c:v>9.2421000000000003E-2</c:v>
                </c:pt>
                <c:pt idx="5">
                  <c:v>0.12072099999999999</c:v>
                </c:pt>
                <c:pt idx="6">
                  <c:v>4.4644000000000003E-2</c:v>
                </c:pt>
                <c:pt idx="7">
                  <c:v>0.57805799999999996</c:v>
                </c:pt>
                <c:pt idx="8">
                  <c:v>1.2300000000000001E-4</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
                  <c:y val="-0.110545364729509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3.0303252040021291E-2"/>
                  <c:y val="0.1161977253871215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6.6667154488046845E-2"/>
                  <c:y val="2.43189589746152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23636536591216606"/>
                  <c:y val="-0.134672383195626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6239441185762277"/>
                  <c:y val="1.1157527701487979E-2"/>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CHF'!$J$9:$J$14</c:f>
              <c:strCache>
                <c:ptCount val="6"/>
                <c:pt idx="0">
                  <c:v>Corporate Bond</c:v>
                </c:pt>
                <c:pt idx="1">
                  <c:v>Equity + Nifty ETF</c:v>
                </c:pt>
                <c:pt idx="2">
                  <c:v>Net Current Asset</c:v>
                </c:pt>
                <c:pt idx="3">
                  <c:v>Government Bond</c:v>
                </c:pt>
                <c:pt idx="5">
                  <c:v>Corporate Debt Market Development Fund</c:v>
                </c:pt>
              </c:strCache>
            </c:strRef>
          </c:cat>
          <c:val>
            <c:numRef>
              <c:f>'BANDHAN CHF'!$K$9:$K$14</c:f>
              <c:numCache>
                <c:formatCode>0.00%</c:formatCode>
                <c:ptCount val="6"/>
                <c:pt idx="0">
                  <c:v>0.27684500000000001</c:v>
                </c:pt>
                <c:pt idx="1">
                  <c:v>0.24574799999999999</c:v>
                </c:pt>
                <c:pt idx="2">
                  <c:v>5.6628999999999999E-2</c:v>
                </c:pt>
                <c:pt idx="3">
                  <c:v>0.41756199999999999</c:v>
                </c:pt>
                <c:pt idx="5">
                  <c:v>3.2160000000000001E-3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9.8592287457612435E-2"/>
                  <c:y val="-7.0693450288318027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40878414920360673"/>
                  <c:y val="4.8107620371169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 CHF'!$G$8:$G$10</c:f>
              <c:strCache>
                <c:ptCount val="3"/>
                <c:pt idx="0">
                  <c:v>AAA Equivalent</c:v>
                </c:pt>
                <c:pt idx="1">
                  <c:v>AA+ Equivalent</c:v>
                </c:pt>
                <c:pt idx="2">
                  <c:v>AA Equivalent</c:v>
                </c:pt>
              </c:strCache>
            </c:strRef>
          </c:cat>
          <c:val>
            <c:numRef>
              <c:f>'BANDHAN CHF'!$I$8:$I$10</c:f>
              <c:numCache>
                <c:formatCode>0.00%</c:formatCode>
                <c:ptCount val="3"/>
                <c:pt idx="0">
                  <c:v>0.89683099999999993</c:v>
                </c:pt>
                <c:pt idx="1">
                  <c:v>3.4328999999999998E-2</c:v>
                </c:pt>
                <c:pt idx="2">
                  <c:v>6.8839999999999998E-2</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24411163878957143"/>
                  <c:y val="-0.20073009563042246"/>
                </c:manualLayout>
              </c:layout>
              <c:tx>
                <c:rich>
                  <a:bodyPr/>
                  <a:lstStyle/>
                  <a:p>
                    <a:fld id="{835B31E5-0428-4C26-8EE8-6702101E8213}" type="CATEGORYNAME">
                      <a:rPr lang="en-US" baseline="0"/>
                      <a:pPr/>
                      <a:t>[CATEGORY NAME]</a:t>
                    </a:fld>
                    <a:r>
                      <a:rPr lang="en-US" baseline="0"/>
                      <a:t>, </a:t>
                    </a:r>
                    <a:fld id="{FE9075AB-FAD9-4B66-894C-3C5337361573}" type="VALUE">
                      <a:rPr lang="en-US" baseline="0"/>
                      <a:pPr/>
                      <a:t>[VALUE]</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14750133042527622"/>
                      <c:h val="0.28417500857060746"/>
                    </c:manualLayout>
                  </c15:layout>
                  <c15:dlblFieldTable/>
                  <c15:showDataLabelsRange val="1"/>
                </c:ext>
                <c:ext xmlns:c16="http://schemas.microsoft.com/office/drawing/2014/chart" uri="{C3380CC4-5D6E-409C-BE32-E72D297353CC}">
                  <c16:uniqueId val="{00000000-C3CC-4BC3-8596-62760DD930D0}"/>
                </c:ext>
              </c:extLst>
            </c:dLbl>
            <c:dLbl>
              <c:idx val="1"/>
              <c:layout>
                <c:manualLayout>
                  <c:x val="-7.3219173371471963E-2"/>
                  <c:y val="2.8325049182812211E-2"/>
                </c:manualLayout>
              </c:layout>
              <c:tx>
                <c:rich>
                  <a:bodyPr/>
                  <a:lstStyle/>
                  <a:p>
                    <a:fld id="{24A83395-05A0-4283-B032-E48A3AA94961}" type="CATEGORYNAME">
                      <a:rPr lang="en-US"/>
                      <a:pPr/>
                      <a:t>[CATEGORY NAME]</a:t>
                    </a:fld>
                    <a:r>
                      <a:rPr lang="en-US"/>
                      <a:t> 0.76%</a:t>
                    </a:r>
                  </a:p>
                </c:rich>
              </c:tx>
              <c:showLegendKey val="0"/>
              <c:showVal val="0"/>
              <c:showCatName val="0"/>
              <c:showSerName val="0"/>
              <c:showPercent val="0"/>
              <c:showBubbleSize val="0"/>
              <c:extLst>
                <c:ext xmlns:c15="http://schemas.microsoft.com/office/drawing/2012/chart" uri="{CE6537A1-D6FC-4f65-9D91-7224C49458BB}">
                  <c15:layout>
                    <c:manualLayout>
                      <c:w val="0.144284841643783"/>
                      <c:h val="0.2317760239219285"/>
                    </c:manualLayout>
                  </c15:layout>
                  <c15:dlblFieldTable/>
                  <c15:showDataLabelsRange val="1"/>
                </c:ext>
                <c:ext xmlns:c16="http://schemas.microsoft.com/office/drawing/2014/chart" uri="{C3380CC4-5D6E-409C-BE32-E72D297353CC}">
                  <c16:uniqueId val="{00000001-C3CC-4BC3-8596-62760DD930D0}"/>
                </c:ext>
              </c:extLst>
            </c:dLbl>
            <c:dLbl>
              <c:idx val="2"/>
              <c:layout>
                <c:manualLayout>
                  <c:x val="0.15591376917925207"/>
                  <c:y val="-1.4216119764883519E-2"/>
                </c:manualLayout>
              </c:layout>
              <c:tx>
                <c:rich>
                  <a:bodyPr/>
                  <a:lstStyle/>
                  <a:p>
                    <a:pPr>
                      <a:defRPr lang="en-IN">
                        <a:solidFill>
                          <a:schemeClr val="tx1"/>
                        </a:solidFill>
                      </a:defRPr>
                    </a:pPr>
                    <a:r>
                      <a:rPr lang="en-US">
                        <a:solidFill>
                          <a:schemeClr val="tx1"/>
                        </a:solidFill>
                      </a:rPr>
                      <a:t>AA Equivalent 2.19%</a:t>
                    </a:r>
                  </a:p>
                </c:rich>
              </c:tx>
              <c:numFmt formatCode="0.00%" sourceLinked="0"/>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816115082227269"/>
                      <c:h val="0.25524701368617436"/>
                    </c:manualLayout>
                  </c15:layout>
                </c:ext>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15:showDataLabelsRange val="1"/>
              </c:ext>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0.97173100000000001</c:v>
                </c:pt>
                <c:pt idx="1">
                  <c:v>7.378E-3</c:v>
                </c:pt>
                <c:pt idx="2">
                  <c:v>2.0891E-2</c:v>
                </c:pt>
              </c:numCache>
            </c:numRef>
          </c:val>
          <c:extLst>
            <c:ext xmlns:c15="http://schemas.microsoft.com/office/drawing/2012/chart" uri="{02D57815-91ED-43cb-92C2-25804820EDAC}">
              <c15:datalabelsRange>
                <c15:f>('BANDHAN-HEF'!$G$10,'BANDHAN-HEF'!$I$10)</c15:f>
                <c15:dlblRangeCache>
                  <c:ptCount val="2"/>
                  <c:pt idx="0">
                    <c:v>AA Equivalent</c:v>
                  </c:pt>
                  <c:pt idx="1">
                    <c:v>2.09%</c:v>
                  </c:pt>
                </c15:dlblRangeCache>
              </c15:datalabelsRange>
            </c:ex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54022387058466947"/>
                  <c:y val="-8.9727342905666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0.102712</c:v>
                </c:pt>
                <c:pt idx="1">
                  <c:v>0.77622299999999989</c:v>
                </c:pt>
                <c:pt idx="3">
                  <c:v>2.5163999999999999E-2</c:v>
                </c:pt>
                <c:pt idx="4">
                  <c:v>9.5901E-2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Retailing</c:v>
                </c:pt>
                <c:pt idx="2">
                  <c:v>Finance</c:v>
                </c:pt>
                <c:pt idx="3">
                  <c:v>IT - Software</c:v>
                </c:pt>
                <c:pt idx="4">
                  <c:v>Petroleum Products</c:v>
                </c:pt>
                <c:pt idx="5">
                  <c:v>Automobiles</c:v>
                </c:pt>
                <c:pt idx="6">
                  <c:v>Ferrous Metals</c:v>
                </c:pt>
                <c:pt idx="7">
                  <c:v>Diversified FMCG</c:v>
                </c:pt>
                <c:pt idx="8">
                  <c:v>Pharmaceuticals &amp; Biotechnology</c:v>
                </c:pt>
                <c:pt idx="9">
                  <c:v>Telecom - Services</c:v>
                </c:pt>
                <c:pt idx="10">
                  <c:v>Electrical Equipment</c:v>
                </c:pt>
                <c:pt idx="11">
                  <c:v>Auto Components</c:v>
                </c:pt>
                <c:pt idx="12">
                  <c:v>Beverages</c:v>
                </c:pt>
                <c:pt idx="13">
                  <c:v>Insurance</c:v>
                </c:pt>
                <c:pt idx="14">
                  <c:v>Transport Services</c:v>
                </c:pt>
                <c:pt idx="15">
                  <c:v>Power</c:v>
                </c:pt>
                <c:pt idx="16">
                  <c:v>Construction</c:v>
                </c:pt>
                <c:pt idx="17">
                  <c:v>Consumable Fuels</c:v>
                </c:pt>
                <c:pt idx="18">
                  <c:v>Chemicals &amp; Petrochemicals</c:v>
                </c:pt>
                <c:pt idx="19">
                  <c:v>Non - Ferrous Metals</c:v>
                </c:pt>
                <c:pt idx="20">
                  <c:v>Realty</c:v>
                </c:pt>
                <c:pt idx="21">
                  <c:v>Consumer Durables</c:v>
                </c:pt>
                <c:pt idx="22">
                  <c:v>Fertilizers &amp; Agrochemicals</c:v>
                </c:pt>
                <c:pt idx="23">
                  <c:v>Transport Infrastructure</c:v>
                </c:pt>
                <c:pt idx="24">
                  <c:v>Capital Markets</c:v>
                </c:pt>
                <c:pt idx="25">
                  <c:v>Leisure Services</c:v>
                </c:pt>
                <c:pt idx="26">
                  <c:v>Entertainment</c:v>
                </c:pt>
                <c:pt idx="27">
                  <c:v>Gas</c:v>
                </c:pt>
                <c:pt idx="28">
                  <c:v>Healthcare Services</c:v>
                </c:pt>
              </c:strCache>
            </c:strRef>
          </c:cat>
          <c:val>
            <c:numRef>
              <c:f>'BANDHAN RF'!$Q$7:$Q$35</c:f>
              <c:numCache>
                <c:formatCode>0.00%</c:formatCode>
                <c:ptCount val="29"/>
                <c:pt idx="0">
                  <c:v>8.9550000000000018E-2</c:v>
                </c:pt>
                <c:pt idx="1">
                  <c:v>3.9599999999999996E-2</c:v>
                </c:pt>
                <c:pt idx="2">
                  <c:v>3.8971999999999993E-2</c:v>
                </c:pt>
                <c:pt idx="3">
                  <c:v>3.4481999999999999E-2</c:v>
                </c:pt>
                <c:pt idx="4">
                  <c:v>3.3569000000000002E-2</c:v>
                </c:pt>
                <c:pt idx="5">
                  <c:v>2.8777E-2</c:v>
                </c:pt>
                <c:pt idx="6">
                  <c:v>2.4091000000000001E-2</c:v>
                </c:pt>
                <c:pt idx="7">
                  <c:v>2.1831E-2</c:v>
                </c:pt>
                <c:pt idx="8">
                  <c:v>2.1425E-2</c:v>
                </c:pt>
                <c:pt idx="9">
                  <c:v>2.0270999999999997E-2</c:v>
                </c:pt>
                <c:pt idx="10">
                  <c:v>1.8903E-2</c:v>
                </c:pt>
                <c:pt idx="11">
                  <c:v>1.5470999999999999E-2</c:v>
                </c:pt>
                <c:pt idx="12">
                  <c:v>1.5143E-2</c:v>
                </c:pt>
                <c:pt idx="13">
                  <c:v>1.4987E-2</c:v>
                </c:pt>
                <c:pt idx="14">
                  <c:v>1.4357E-2</c:v>
                </c:pt>
                <c:pt idx="15">
                  <c:v>1.3754000000000001E-2</c:v>
                </c:pt>
                <c:pt idx="16">
                  <c:v>1.3495E-2</c:v>
                </c:pt>
                <c:pt idx="17">
                  <c:v>1.2333999999999999E-2</c:v>
                </c:pt>
                <c:pt idx="18">
                  <c:v>1.2115000000000001E-2</c:v>
                </c:pt>
                <c:pt idx="19">
                  <c:v>1.1949E-2</c:v>
                </c:pt>
                <c:pt idx="20">
                  <c:v>9.5950000000000011E-3</c:v>
                </c:pt>
                <c:pt idx="21">
                  <c:v>8.6820000000000022E-3</c:v>
                </c:pt>
                <c:pt idx="22">
                  <c:v>6.1619999999999999E-3</c:v>
                </c:pt>
                <c:pt idx="23">
                  <c:v>5.6839999999999998E-3</c:v>
                </c:pt>
                <c:pt idx="24">
                  <c:v>4.0289999999999996E-3</c:v>
                </c:pt>
                <c:pt idx="25">
                  <c:v>2.849E-3</c:v>
                </c:pt>
                <c:pt idx="26">
                  <c:v>2.0019999999999999E-3</c:v>
                </c:pt>
                <c:pt idx="27">
                  <c:v>1.1659999999999999E-3</c:v>
                </c:pt>
                <c:pt idx="28">
                  <c:v>6.6399999999999999E-4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MAF'!$P$7:$P$46</c:f>
              <c:strCache>
                <c:ptCount val="40"/>
                <c:pt idx="0">
                  <c:v>Banks</c:v>
                </c:pt>
                <c:pt idx="1">
                  <c:v>Finance</c:v>
                </c:pt>
                <c:pt idx="2">
                  <c:v>Pharmaceuticals &amp; Biotechnology</c:v>
                </c:pt>
                <c:pt idx="3">
                  <c:v>Retailing</c:v>
                </c:pt>
                <c:pt idx="4">
                  <c:v>IT - Software</c:v>
                </c:pt>
                <c:pt idx="5">
                  <c:v>Automobiles</c:v>
                </c:pt>
                <c:pt idx="6">
                  <c:v>Petroleum Products</c:v>
                </c:pt>
                <c:pt idx="7">
                  <c:v>Consumer Durables</c:v>
                </c:pt>
                <c:pt idx="8">
                  <c:v>Diversified FMCG</c:v>
                </c:pt>
                <c:pt idx="9">
                  <c:v>Industrial Products</c:v>
                </c:pt>
                <c:pt idx="10">
                  <c:v>Construction</c:v>
                </c:pt>
                <c:pt idx="11">
                  <c:v>Electrical Equipment</c:v>
                </c:pt>
                <c:pt idx="12">
                  <c:v>Insurance</c:v>
                </c:pt>
                <c:pt idx="13">
                  <c:v>Auto Components</c:v>
                </c:pt>
                <c:pt idx="14">
                  <c:v>Power</c:v>
                </c:pt>
                <c:pt idx="15">
                  <c:v>Fertilizers &amp; Agrochemicals</c:v>
                </c:pt>
                <c:pt idx="16">
                  <c:v>Realty</c:v>
                </c:pt>
                <c:pt idx="17">
                  <c:v>Commercial Services &amp; Supplies</c:v>
                </c:pt>
                <c:pt idx="18">
                  <c:v>Food Products</c:v>
                </c:pt>
                <c:pt idx="19">
                  <c:v>Cement &amp; Cement Products</c:v>
                </c:pt>
                <c:pt idx="20">
                  <c:v>Leisure Services</c:v>
                </c:pt>
                <c:pt idx="21">
                  <c:v>Gas</c:v>
                </c:pt>
                <c:pt idx="22">
                  <c:v>Ferrous Metals</c:v>
                </c:pt>
                <c:pt idx="23">
                  <c:v>Telecom - Services</c:v>
                </c:pt>
                <c:pt idx="24">
                  <c:v>Minerals &amp; Mining</c:v>
                </c:pt>
                <c:pt idx="25">
                  <c:v>Healthcare Services</c:v>
                </c:pt>
                <c:pt idx="26">
                  <c:v>Capital Markets</c:v>
                </c:pt>
                <c:pt idx="27">
                  <c:v>Consumable Fuels</c:v>
                </c:pt>
                <c:pt idx="28">
                  <c:v>Textiles &amp; Apparels</c:v>
                </c:pt>
                <c:pt idx="29">
                  <c:v>Non - Ferrous Metals</c:v>
                </c:pt>
                <c:pt idx="30">
                  <c:v>Diversified Metals</c:v>
                </c:pt>
                <c:pt idx="31">
                  <c:v>Transport Services</c:v>
                </c:pt>
                <c:pt idx="32">
                  <c:v>Chemicals &amp; Petrochemicals</c:v>
                </c:pt>
                <c:pt idx="33">
                  <c:v>IT - Services</c:v>
                </c:pt>
                <c:pt idx="34">
                  <c:v>Personal Products</c:v>
                </c:pt>
                <c:pt idx="35">
                  <c:v>Telecom -  Equipment &amp; Accessories</c:v>
                </c:pt>
                <c:pt idx="36">
                  <c:v>Aerospace &amp; Defense</c:v>
                </c:pt>
                <c:pt idx="37">
                  <c:v>Diversified</c:v>
                </c:pt>
                <c:pt idx="38">
                  <c:v>Beverages</c:v>
                </c:pt>
                <c:pt idx="39">
                  <c:v>IT - Hardware</c:v>
                </c:pt>
              </c:strCache>
            </c:strRef>
          </c:cat>
          <c:val>
            <c:numRef>
              <c:f>'BANDHAN MAF'!$Q$7:$Q$46</c:f>
              <c:numCache>
                <c:formatCode>0.00%</c:formatCode>
                <c:ptCount val="40"/>
                <c:pt idx="0">
                  <c:v>8.6334999999999995E-2</c:v>
                </c:pt>
                <c:pt idx="1">
                  <c:v>3.4970000000000001E-2</c:v>
                </c:pt>
                <c:pt idx="2">
                  <c:v>3.1642000000000003E-2</c:v>
                </c:pt>
                <c:pt idx="3">
                  <c:v>3.1199000000000001E-2</c:v>
                </c:pt>
                <c:pt idx="4">
                  <c:v>2.5606000000000004E-2</c:v>
                </c:pt>
                <c:pt idx="5">
                  <c:v>2.5361999999999996E-2</c:v>
                </c:pt>
                <c:pt idx="6">
                  <c:v>2.0315999999999997E-2</c:v>
                </c:pt>
                <c:pt idx="7">
                  <c:v>1.9958000000000004E-2</c:v>
                </c:pt>
                <c:pt idx="8">
                  <c:v>1.7151E-2</c:v>
                </c:pt>
                <c:pt idx="9">
                  <c:v>1.661E-2</c:v>
                </c:pt>
                <c:pt idx="10">
                  <c:v>1.6188000000000001E-2</c:v>
                </c:pt>
                <c:pt idx="11">
                  <c:v>1.5709999999999998E-2</c:v>
                </c:pt>
                <c:pt idx="12">
                  <c:v>1.5417E-2</c:v>
                </c:pt>
                <c:pt idx="13">
                  <c:v>1.3311E-2</c:v>
                </c:pt>
                <c:pt idx="14">
                  <c:v>1.2544999999999999E-2</c:v>
                </c:pt>
                <c:pt idx="15">
                  <c:v>1.2400999999999999E-2</c:v>
                </c:pt>
                <c:pt idx="16">
                  <c:v>1.2100000000000001E-2</c:v>
                </c:pt>
                <c:pt idx="17">
                  <c:v>1.0751999999999999E-2</c:v>
                </c:pt>
                <c:pt idx="18">
                  <c:v>1.0352E-2</c:v>
                </c:pt>
                <c:pt idx="19">
                  <c:v>9.9820000000000013E-3</c:v>
                </c:pt>
                <c:pt idx="20">
                  <c:v>9.8250000000000004E-3</c:v>
                </c:pt>
                <c:pt idx="21">
                  <c:v>9.6089999999999995E-3</c:v>
                </c:pt>
                <c:pt idx="22">
                  <c:v>7.274000000000001E-3</c:v>
                </c:pt>
                <c:pt idx="23">
                  <c:v>6.6049999999999998E-3</c:v>
                </c:pt>
                <c:pt idx="24">
                  <c:v>5.7860000000000003E-3</c:v>
                </c:pt>
                <c:pt idx="25">
                  <c:v>5.4590000000000003E-3</c:v>
                </c:pt>
                <c:pt idx="26">
                  <c:v>5.2570000000000004E-3</c:v>
                </c:pt>
                <c:pt idx="27">
                  <c:v>4.3039999999999997E-3</c:v>
                </c:pt>
                <c:pt idx="28">
                  <c:v>4.1289999999999999E-3</c:v>
                </c:pt>
                <c:pt idx="29">
                  <c:v>3.1840000000000002E-3</c:v>
                </c:pt>
                <c:pt idx="30">
                  <c:v>2.8839999999999998E-3</c:v>
                </c:pt>
                <c:pt idx="31">
                  <c:v>2.696E-3</c:v>
                </c:pt>
                <c:pt idx="32">
                  <c:v>2.594E-3</c:v>
                </c:pt>
                <c:pt idx="33">
                  <c:v>2.516E-3</c:v>
                </c:pt>
                <c:pt idx="34">
                  <c:v>2.3700000000000001E-3</c:v>
                </c:pt>
                <c:pt idx="35">
                  <c:v>2.3389999999999999E-3</c:v>
                </c:pt>
                <c:pt idx="36">
                  <c:v>2.085E-3</c:v>
                </c:pt>
                <c:pt idx="37">
                  <c:v>1.7049999999999999E-3</c:v>
                </c:pt>
                <c:pt idx="38">
                  <c:v>1.498E-3</c:v>
                </c:pt>
                <c:pt idx="39">
                  <c:v>9.810000000000001E-4</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(30th September 2024)</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MAF'!$P$7:$P$46</c:f>
              <c:strCache>
                <c:ptCount val="40"/>
                <c:pt idx="0">
                  <c:v>Banks</c:v>
                </c:pt>
                <c:pt idx="1">
                  <c:v>Finance</c:v>
                </c:pt>
                <c:pt idx="2">
                  <c:v>Pharmaceuticals &amp; Biotechnology</c:v>
                </c:pt>
                <c:pt idx="3">
                  <c:v>Retailing</c:v>
                </c:pt>
                <c:pt idx="4">
                  <c:v>IT - Software</c:v>
                </c:pt>
                <c:pt idx="5">
                  <c:v>Automobiles</c:v>
                </c:pt>
                <c:pt idx="6">
                  <c:v>Petroleum Products</c:v>
                </c:pt>
                <c:pt idx="7">
                  <c:v>Consumer Durables</c:v>
                </c:pt>
                <c:pt idx="8">
                  <c:v>Diversified FMCG</c:v>
                </c:pt>
                <c:pt idx="9">
                  <c:v>Industrial Products</c:v>
                </c:pt>
                <c:pt idx="10">
                  <c:v>Construction</c:v>
                </c:pt>
                <c:pt idx="11">
                  <c:v>Electrical Equipment</c:v>
                </c:pt>
                <c:pt idx="12">
                  <c:v>Insurance</c:v>
                </c:pt>
                <c:pt idx="13">
                  <c:v>Auto Components</c:v>
                </c:pt>
                <c:pt idx="14">
                  <c:v>Power</c:v>
                </c:pt>
                <c:pt idx="15">
                  <c:v>Fertilizers &amp; Agrochemicals</c:v>
                </c:pt>
                <c:pt idx="16">
                  <c:v>Realty</c:v>
                </c:pt>
                <c:pt idx="17">
                  <c:v>Commercial Services &amp; Supplies</c:v>
                </c:pt>
                <c:pt idx="18">
                  <c:v>Food Products</c:v>
                </c:pt>
                <c:pt idx="19">
                  <c:v>Cement &amp; Cement Products</c:v>
                </c:pt>
                <c:pt idx="20">
                  <c:v>Leisure Services</c:v>
                </c:pt>
                <c:pt idx="21">
                  <c:v>Gas</c:v>
                </c:pt>
                <c:pt idx="22">
                  <c:v>Ferrous Metals</c:v>
                </c:pt>
                <c:pt idx="23">
                  <c:v>Telecom - Services</c:v>
                </c:pt>
                <c:pt idx="24">
                  <c:v>Minerals &amp; Mining</c:v>
                </c:pt>
                <c:pt idx="25">
                  <c:v>Healthcare Services</c:v>
                </c:pt>
                <c:pt idx="26">
                  <c:v>Capital Markets</c:v>
                </c:pt>
                <c:pt idx="27">
                  <c:v>Consumable Fuels</c:v>
                </c:pt>
                <c:pt idx="28">
                  <c:v>Textiles &amp; Apparels</c:v>
                </c:pt>
                <c:pt idx="29">
                  <c:v>Non - Ferrous Metals</c:v>
                </c:pt>
                <c:pt idx="30">
                  <c:v>Diversified Metals</c:v>
                </c:pt>
                <c:pt idx="31">
                  <c:v>Transport Services</c:v>
                </c:pt>
                <c:pt idx="32">
                  <c:v>Chemicals &amp; Petrochemicals</c:v>
                </c:pt>
                <c:pt idx="33">
                  <c:v>IT - Services</c:v>
                </c:pt>
                <c:pt idx="34">
                  <c:v>Personal Products</c:v>
                </c:pt>
                <c:pt idx="35">
                  <c:v>Telecom -  Equipment &amp; Accessories</c:v>
                </c:pt>
                <c:pt idx="36">
                  <c:v>Aerospace &amp; Defense</c:v>
                </c:pt>
                <c:pt idx="37">
                  <c:v>Diversified</c:v>
                </c:pt>
                <c:pt idx="38">
                  <c:v>Beverages</c:v>
                </c:pt>
                <c:pt idx="39">
                  <c:v>IT - Hardware</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0.27074900000000002</c:v>
                </c:pt>
                <c:pt idx="1">
                  <c:v>0.69223199999999996</c:v>
                </c:pt>
                <c:pt idx="2">
                  <c:v>3.7019000000000003E-2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0.466474</c:v>
                </c:pt>
                <c:pt idx="1">
                  <c:v>0.51456099999999994</c:v>
                </c:pt>
                <c:pt idx="2">
                  <c:v>1.8965000000000003E-2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0.69313899999999995</c:v>
                </c:pt>
                <c:pt idx="1">
                  <c:v>0.25437500000000002</c:v>
                </c:pt>
                <c:pt idx="2">
                  <c:v>5.2485999999999998E-2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Index'!$W$8:$W$29</c:f>
              <c:strCache>
                <c:ptCount val="22"/>
                <c:pt idx="0">
                  <c:v>Banks</c:v>
                </c:pt>
                <c:pt idx="1">
                  <c:v>IT - Software</c:v>
                </c:pt>
                <c:pt idx="2">
                  <c:v>Petroleum Products</c:v>
                </c:pt>
                <c:pt idx="3">
                  <c:v>Automobiles</c:v>
                </c:pt>
                <c:pt idx="4">
                  <c:v>Diversified FMCG</c:v>
                </c:pt>
                <c:pt idx="5">
                  <c:v>Telecom - Services</c:v>
                </c:pt>
                <c:pt idx="6">
                  <c:v>Construction</c:v>
                </c:pt>
                <c:pt idx="7">
                  <c:v>Finance</c:v>
                </c:pt>
                <c:pt idx="8">
                  <c:v>Pharmaceuticals &amp; Biotechnology</c:v>
                </c:pt>
                <c:pt idx="9">
                  <c:v>Power</c:v>
                </c:pt>
                <c:pt idx="10">
                  <c:v>Consumer Durables</c:v>
                </c:pt>
                <c:pt idx="11">
                  <c:v>Cement &amp; Cement Products</c:v>
                </c:pt>
                <c:pt idx="12">
                  <c:v>Ferrous Metals</c:v>
                </c:pt>
                <c:pt idx="13">
                  <c:v>Food Products</c:v>
                </c:pt>
                <c:pt idx="14">
                  <c:v>Retailing</c:v>
                </c:pt>
                <c:pt idx="15">
                  <c:v>Insurance</c:v>
                </c:pt>
                <c:pt idx="16">
                  <c:v>Consumable Fuels</c:v>
                </c:pt>
                <c:pt idx="17">
                  <c:v>Oil</c:v>
                </c:pt>
                <c:pt idx="18">
                  <c:v>Non - Ferrous Metals</c:v>
                </c:pt>
                <c:pt idx="19">
                  <c:v>Transport Infrastructure</c:v>
                </c:pt>
                <c:pt idx="20">
                  <c:v>Aerospace &amp; Defense</c:v>
                </c:pt>
                <c:pt idx="21">
                  <c:v>Agricultural Food &amp; other Products</c:v>
                </c:pt>
              </c:strCache>
            </c:strRef>
          </c:cat>
          <c:val>
            <c:numRef>
              <c:f>'BANDHAN-NIFTY 50 Index'!$X$8:$X$29</c:f>
              <c:numCache>
                <c:formatCode>0.00%</c:formatCode>
                <c:ptCount val="22"/>
                <c:pt idx="0">
                  <c:v>0.27937499999999998</c:v>
                </c:pt>
                <c:pt idx="1">
                  <c:v>0.127692</c:v>
                </c:pt>
                <c:pt idx="2">
                  <c:v>9.2728000000000005E-2</c:v>
                </c:pt>
                <c:pt idx="3">
                  <c:v>8.0971000000000001E-2</c:v>
                </c:pt>
                <c:pt idx="4">
                  <c:v>6.4412999999999998E-2</c:v>
                </c:pt>
                <c:pt idx="5">
                  <c:v>3.9598000000000001E-2</c:v>
                </c:pt>
                <c:pt idx="6">
                  <c:v>3.7391000000000001E-2</c:v>
                </c:pt>
                <c:pt idx="7">
                  <c:v>3.6574000000000002E-2</c:v>
                </c:pt>
                <c:pt idx="8">
                  <c:v>3.2943E-2</c:v>
                </c:pt>
                <c:pt idx="9">
                  <c:v>3.1948999999999998E-2</c:v>
                </c:pt>
                <c:pt idx="10">
                  <c:v>2.6686999999999999E-2</c:v>
                </c:pt>
                <c:pt idx="11">
                  <c:v>2.0629000000000002E-2</c:v>
                </c:pt>
                <c:pt idx="12">
                  <c:v>2.0607E-2</c:v>
                </c:pt>
                <c:pt idx="13">
                  <c:v>1.4782E-2</c:v>
                </c:pt>
                <c:pt idx="14">
                  <c:v>1.4596E-2</c:v>
                </c:pt>
                <c:pt idx="15">
                  <c:v>1.375E-2</c:v>
                </c:pt>
                <c:pt idx="16">
                  <c:v>0.01</c:v>
                </c:pt>
                <c:pt idx="17">
                  <c:v>9.9769999999999998E-3</c:v>
                </c:pt>
                <c:pt idx="18">
                  <c:v>9.5080000000000008E-3</c:v>
                </c:pt>
                <c:pt idx="19">
                  <c:v>9.2250000000000006E-3</c:v>
                </c:pt>
                <c:pt idx="20">
                  <c:v>8.8129999999999997E-3</c:v>
                </c:pt>
                <c:pt idx="21">
                  <c:v>6.7279999999999996E-3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ETF'!$W$8:$W$22</c:f>
              <c:strCache>
                <c:ptCount val="15"/>
                <c:pt idx="0">
                  <c:v>Banks</c:v>
                </c:pt>
                <c:pt idx="1">
                  <c:v>IT - Software</c:v>
                </c:pt>
                <c:pt idx="2">
                  <c:v>Petroleum Products</c:v>
                </c:pt>
                <c:pt idx="3">
                  <c:v>Diversified FMCG</c:v>
                </c:pt>
                <c:pt idx="4">
                  <c:v>Automobiles</c:v>
                </c:pt>
                <c:pt idx="5">
                  <c:v>Telecom - Services</c:v>
                </c:pt>
                <c:pt idx="6">
                  <c:v>Construction</c:v>
                </c:pt>
                <c:pt idx="7">
                  <c:v>Power</c:v>
                </c:pt>
                <c:pt idx="8">
                  <c:v>Finance</c:v>
                </c:pt>
                <c:pt idx="9">
                  <c:v>Consumer Durables</c:v>
                </c:pt>
                <c:pt idx="10">
                  <c:v>Ferrous Metals</c:v>
                </c:pt>
                <c:pt idx="11">
                  <c:v>Pharmaceuticals &amp; Biotechnology</c:v>
                </c:pt>
                <c:pt idx="12">
                  <c:v>Cement &amp; Cement Products</c:v>
                </c:pt>
                <c:pt idx="13">
                  <c:v>Transport Infrastructure</c:v>
                </c:pt>
                <c:pt idx="14">
                  <c:v>Food Products</c:v>
                </c:pt>
              </c:strCache>
            </c:strRef>
          </c:cat>
          <c:val>
            <c:numRef>
              <c:f>'BANDHAN- S&amp;P BSE SENSEX ETF'!$X$8:$X$22</c:f>
              <c:numCache>
                <c:formatCode>0.00%</c:formatCode>
                <c:ptCount val="15"/>
                <c:pt idx="0">
                  <c:v>0.33075200000000005</c:v>
                </c:pt>
                <c:pt idx="1">
                  <c:v>0.14359600000000003</c:v>
                </c:pt>
                <c:pt idx="2">
                  <c:v>0.102594</c:v>
                </c:pt>
                <c:pt idx="3">
                  <c:v>7.639E-2</c:v>
                </c:pt>
                <c:pt idx="4">
                  <c:v>6.9313E-2</c:v>
                </c:pt>
                <c:pt idx="5">
                  <c:v>4.6893999999999998E-2</c:v>
                </c:pt>
                <c:pt idx="6">
                  <c:v>4.419E-2</c:v>
                </c:pt>
                <c:pt idx="7">
                  <c:v>3.8087999999999997E-2</c:v>
                </c:pt>
                <c:pt idx="8">
                  <c:v>3.2794999999999998E-2</c:v>
                </c:pt>
                <c:pt idx="9">
                  <c:v>3.1647000000000002E-2</c:v>
                </c:pt>
                <c:pt idx="10">
                  <c:v>2.436E-2</c:v>
                </c:pt>
                <c:pt idx="11">
                  <c:v>2.1343000000000001E-2</c:v>
                </c:pt>
                <c:pt idx="12">
                  <c:v>1.3906E-2</c:v>
                </c:pt>
                <c:pt idx="13">
                  <c:v>1.0925000000000001E-2</c:v>
                </c:pt>
                <c:pt idx="14">
                  <c:v>9.9310000000000006E-3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ETF'!$W$8:$W$31</c:f>
              <c:strCache>
                <c:ptCount val="24"/>
                <c:pt idx="0">
                  <c:v>Banks</c:v>
                </c:pt>
                <c:pt idx="1">
                  <c:v>IT - Software</c:v>
                </c:pt>
                <c:pt idx="2">
                  <c:v>Petroleum Products</c:v>
                </c:pt>
                <c:pt idx="3">
                  <c:v>Automobiles</c:v>
                </c:pt>
                <c:pt idx="4">
                  <c:v>Diversified FMCG</c:v>
                </c:pt>
                <c:pt idx="5">
                  <c:v>Telecom - Services</c:v>
                </c:pt>
                <c:pt idx="6">
                  <c:v>Construction</c:v>
                </c:pt>
                <c:pt idx="7">
                  <c:v>Finance</c:v>
                </c:pt>
                <c:pt idx="8">
                  <c:v>Pharmaceuticals &amp; Biotechnology</c:v>
                </c:pt>
                <c:pt idx="9">
                  <c:v>Power</c:v>
                </c:pt>
                <c:pt idx="10">
                  <c:v>Consumer Durables</c:v>
                </c:pt>
                <c:pt idx="11">
                  <c:v>Cement &amp; Cement Products</c:v>
                </c:pt>
                <c:pt idx="12">
                  <c:v>Ferrous Metals</c:v>
                </c:pt>
                <c:pt idx="13">
                  <c:v>Food Products</c:v>
                </c:pt>
                <c:pt idx="14">
                  <c:v>Retailing</c:v>
                </c:pt>
                <c:pt idx="15">
                  <c:v>Insurance</c:v>
                </c:pt>
                <c:pt idx="16">
                  <c:v>Consumable Fuels</c:v>
                </c:pt>
                <c:pt idx="17">
                  <c:v>Oil</c:v>
                </c:pt>
                <c:pt idx="18">
                  <c:v>Non - Ferrous Metals</c:v>
                </c:pt>
                <c:pt idx="19">
                  <c:v>Transport Infrastructure</c:v>
                </c:pt>
                <c:pt idx="20">
                  <c:v>Aerospace &amp; Defense</c:v>
                </c:pt>
                <c:pt idx="21">
                  <c:v>Agricultural Food &amp; other Products</c:v>
                </c:pt>
                <c:pt idx="22">
                  <c:v>Metals &amp; Minerals Trading</c:v>
                </c:pt>
                <c:pt idx="23">
                  <c:v>Healthcare Services</c:v>
                </c:pt>
              </c:strCache>
            </c:strRef>
          </c:cat>
          <c:val>
            <c:numRef>
              <c:f>'BANDHAN- Nifty 50 ETF'!$X$8:$X$31</c:f>
              <c:numCache>
                <c:formatCode>0.00%</c:formatCode>
                <c:ptCount val="24"/>
                <c:pt idx="0">
                  <c:v>0.27871400000000002</c:v>
                </c:pt>
                <c:pt idx="1">
                  <c:v>0.127418</c:v>
                </c:pt>
                <c:pt idx="2">
                  <c:v>9.2520999999999992E-2</c:v>
                </c:pt>
                <c:pt idx="3">
                  <c:v>8.0787999999999999E-2</c:v>
                </c:pt>
                <c:pt idx="4">
                  <c:v>6.4269000000000007E-2</c:v>
                </c:pt>
                <c:pt idx="5">
                  <c:v>3.9498999999999999E-2</c:v>
                </c:pt>
                <c:pt idx="6">
                  <c:v>3.7308000000000001E-2</c:v>
                </c:pt>
                <c:pt idx="7">
                  <c:v>3.6478000000000003E-2</c:v>
                </c:pt>
                <c:pt idx="8">
                  <c:v>3.2871999999999998E-2</c:v>
                </c:pt>
                <c:pt idx="9">
                  <c:v>3.1871999999999998E-2</c:v>
                </c:pt>
                <c:pt idx="10">
                  <c:v>2.6630000000000001E-2</c:v>
                </c:pt>
                <c:pt idx="11">
                  <c:v>2.0582E-2</c:v>
                </c:pt>
                <c:pt idx="12">
                  <c:v>2.0560000000000002E-2</c:v>
                </c:pt>
                <c:pt idx="13">
                  <c:v>1.4752000000000001E-2</c:v>
                </c:pt>
                <c:pt idx="14">
                  <c:v>1.4470999999999999E-2</c:v>
                </c:pt>
                <c:pt idx="15">
                  <c:v>1.3719E-2</c:v>
                </c:pt>
                <c:pt idx="16">
                  <c:v>9.979E-3</c:v>
                </c:pt>
                <c:pt idx="17">
                  <c:v>9.953E-3</c:v>
                </c:pt>
                <c:pt idx="18">
                  <c:v>9.4879999999999999E-3</c:v>
                </c:pt>
                <c:pt idx="19">
                  <c:v>9.2029999999999994E-3</c:v>
                </c:pt>
                <c:pt idx="20">
                  <c:v>8.7939999999999997E-3</c:v>
                </c:pt>
                <c:pt idx="21">
                  <c:v>6.7130000000000002E-3</c:v>
                </c:pt>
                <c:pt idx="22">
                  <c:v>6.3749999999999996E-3</c:v>
                </c:pt>
                <c:pt idx="23">
                  <c:v>6.28E-3</c:v>
                </c:pt>
              </c:numCache>
            </c:numRef>
          </c:val>
          <c:extLst>
            <c:ext xmlns:c16="http://schemas.microsoft.com/office/drawing/2014/chart" uri="{C3380CC4-5D6E-409C-BE32-E72D297353CC}">
              <c16:uniqueId val="{00000012-A344-47EB-86E0-95B4320B4A70}"/>
            </c:ext>
          </c:extLst>
        </c:ser>
        <c:ser>
          <c:idx val="1"/>
          <c:order val="1"/>
          <c:tx>
            <c:strRef>
              <c:f>'BANDHAN- S&amp;P BSE SENSEX ETF'!$C$4</c:f>
              <c:strCache>
                <c:ptCount val="1"/>
                <c:pt idx="0">
                  <c:v>Portfolio as on - (30th September 2024)</c:v>
                </c:pt>
              </c:strCache>
            </c:strRef>
          </c:tx>
          <c:invertIfNegative val="0"/>
          <c:cat>
            <c:strRef>
              <c:f>'BANDHAN- Nifty 50 ETF'!$W$8:$W$31</c:f>
              <c:strCache>
                <c:ptCount val="24"/>
                <c:pt idx="0">
                  <c:v>Banks</c:v>
                </c:pt>
                <c:pt idx="1">
                  <c:v>IT - Software</c:v>
                </c:pt>
                <c:pt idx="2">
                  <c:v>Petroleum Products</c:v>
                </c:pt>
                <c:pt idx="3">
                  <c:v>Automobiles</c:v>
                </c:pt>
                <c:pt idx="4">
                  <c:v>Diversified FMCG</c:v>
                </c:pt>
                <c:pt idx="5">
                  <c:v>Telecom - Services</c:v>
                </c:pt>
                <c:pt idx="6">
                  <c:v>Construction</c:v>
                </c:pt>
                <c:pt idx="7">
                  <c:v>Finance</c:v>
                </c:pt>
                <c:pt idx="8">
                  <c:v>Pharmaceuticals &amp; Biotechnology</c:v>
                </c:pt>
                <c:pt idx="9">
                  <c:v>Power</c:v>
                </c:pt>
                <c:pt idx="10">
                  <c:v>Consumer Durables</c:v>
                </c:pt>
                <c:pt idx="11">
                  <c:v>Cement &amp; Cement Products</c:v>
                </c:pt>
                <c:pt idx="12">
                  <c:v>Ferrous Metals</c:v>
                </c:pt>
                <c:pt idx="13">
                  <c:v>Food Products</c:v>
                </c:pt>
                <c:pt idx="14">
                  <c:v>Retailing</c:v>
                </c:pt>
                <c:pt idx="15">
                  <c:v>Insurance</c:v>
                </c:pt>
                <c:pt idx="16">
                  <c:v>Consumable Fuels</c:v>
                </c:pt>
                <c:pt idx="17">
                  <c:v>Oil</c:v>
                </c:pt>
                <c:pt idx="18">
                  <c:v>Non - Ferrous Metals</c:v>
                </c:pt>
                <c:pt idx="19">
                  <c:v>Transport Infrastructure</c:v>
                </c:pt>
                <c:pt idx="20">
                  <c:v>Aerospace &amp; Defense</c:v>
                </c:pt>
                <c:pt idx="21">
                  <c:v>Agricultural Food &amp; other Products</c:v>
                </c:pt>
                <c:pt idx="22">
                  <c:v>Metals &amp; Minerals Trading</c:v>
                </c:pt>
                <c:pt idx="23">
                  <c:v>Healthcare Services</c:v>
                </c:pt>
              </c:strCache>
            </c:strRef>
          </c:cat>
          <c:val>
            <c:numRef>
              <c:f>'BANDHAN- S&amp;P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Pharmaceuticals &amp; Biotechnology</c:v>
                </c:pt>
                <c:pt idx="8">
                  <c:v>Retailing</c:v>
                </c:pt>
                <c:pt idx="9">
                  <c:v>Telecom - Services</c:v>
                </c:pt>
                <c:pt idx="10">
                  <c:v>Construction</c:v>
                </c:pt>
                <c:pt idx="11">
                  <c:v>Consumer Durables</c:v>
                </c:pt>
                <c:pt idx="12">
                  <c:v>Cement &amp; Cement Products</c:v>
                </c:pt>
                <c:pt idx="13">
                  <c:v>Ferrous Metals</c:v>
                </c:pt>
                <c:pt idx="14">
                  <c:v>Insurance</c:v>
                </c:pt>
                <c:pt idx="15">
                  <c:v>Aerospace &amp; Defense</c:v>
                </c:pt>
                <c:pt idx="16">
                  <c:v>Food Products</c:v>
                </c:pt>
                <c:pt idx="17">
                  <c:v>Electrical Equipment</c:v>
                </c:pt>
                <c:pt idx="18">
                  <c:v>Beverages</c:v>
                </c:pt>
                <c:pt idx="19">
                  <c:v>Consumable Fuels</c:v>
                </c:pt>
                <c:pt idx="20">
                  <c:v>Oil</c:v>
                </c:pt>
                <c:pt idx="21">
                  <c:v>Non - Ferrous Metals</c:v>
                </c:pt>
                <c:pt idx="22">
                  <c:v>Transport Infrastructure</c:v>
                </c:pt>
                <c:pt idx="23">
                  <c:v>Realty</c:v>
                </c:pt>
                <c:pt idx="24">
                  <c:v>Auto Components</c:v>
                </c:pt>
                <c:pt idx="25">
                  <c:v>Personal Products</c:v>
                </c:pt>
                <c:pt idx="26">
                  <c:v>Diversified Metals</c:v>
                </c:pt>
                <c:pt idx="27">
                  <c:v>Gas</c:v>
                </c:pt>
                <c:pt idx="28">
                  <c:v>Transport Services</c:v>
                </c:pt>
                <c:pt idx="29">
                  <c:v>Agricultural Food &amp; other Products</c:v>
                </c:pt>
                <c:pt idx="30">
                  <c:v>Metals &amp; Minerals Trading</c:v>
                </c:pt>
                <c:pt idx="31">
                  <c:v>Healthcare Services</c:v>
                </c:pt>
                <c:pt idx="32">
                  <c:v>Chemicals &amp; Petrochemicals</c:v>
                </c:pt>
                <c:pt idx="33">
                  <c:v>Leisure Services</c:v>
                </c:pt>
              </c:strCache>
            </c:strRef>
          </c:cat>
          <c:val>
            <c:numRef>
              <c:f>'BANDHAN-Nifty 100 Index'!$X$8:$X$41</c:f>
              <c:numCache>
                <c:formatCode>0.00%</c:formatCode>
                <c:ptCount val="34"/>
                <c:pt idx="0">
                  <c:v>0.23617100000000002</c:v>
                </c:pt>
                <c:pt idx="1">
                  <c:v>0.10752299999999999</c:v>
                </c:pt>
                <c:pt idx="2">
                  <c:v>7.9873E-2</c:v>
                </c:pt>
                <c:pt idx="3">
                  <c:v>7.0294999999999996E-2</c:v>
                </c:pt>
                <c:pt idx="4">
                  <c:v>5.7361000000000002E-2</c:v>
                </c:pt>
                <c:pt idx="5">
                  <c:v>5.2200999999999997E-2</c:v>
                </c:pt>
                <c:pt idx="6">
                  <c:v>4.7904000000000002E-2</c:v>
                </c:pt>
                <c:pt idx="7">
                  <c:v>3.5604999999999998E-2</c:v>
                </c:pt>
                <c:pt idx="8">
                  <c:v>3.3406999999999999E-2</c:v>
                </c:pt>
                <c:pt idx="9">
                  <c:v>3.2088999999999999E-2</c:v>
                </c:pt>
                <c:pt idx="10">
                  <c:v>3.0301000000000002E-2</c:v>
                </c:pt>
                <c:pt idx="11">
                  <c:v>2.5190999999999998E-2</c:v>
                </c:pt>
                <c:pt idx="12">
                  <c:v>2.1871000000000002E-2</c:v>
                </c:pt>
                <c:pt idx="13">
                  <c:v>1.9460999999999999E-2</c:v>
                </c:pt>
                <c:pt idx="14">
                  <c:v>1.8445999999999997E-2</c:v>
                </c:pt>
                <c:pt idx="15">
                  <c:v>1.3021E-2</c:v>
                </c:pt>
                <c:pt idx="16">
                  <c:v>1.1977999999999999E-2</c:v>
                </c:pt>
                <c:pt idx="17">
                  <c:v>9.9559999999999996E-3</c:v>
                </c:pt>
                <c:pt idx="18">
                  <c:v>8.4069999999999995E-3</c:v>
                </c:pt>
                <c:pt idx="19">
                  <c:v>8.1040000000000001E-3</c:v>
                </c:pt>
                <c:pt idx="20">
                  <c:v>8.0850000000000002E-3</c:v>
                </c:pt>
                <c:pt idx="21">
                  <c:v>7.7060000000000002E-3</c:v>
                </c:pt>
                <c:pt idx="22">
                  <c:v>7.476E-3</c:v>
                </c:pt>
                <c:pt idx="23">
                  <c:v>6.5299999999999993E-3</c:v>
                </c:pt>
                <c:pt idx="24">
                  <c:v>6.4279999999999997E-3</c:v>
                </c:pt>
                <c:pt idx="25">
                  <c:v>6.2559999999999994E-3</c:v>
                </c:pt>
                <c:pt idx="26">
                  <c:v>6.0860000000000003E-3</c:v>
                </c:pt>
                <c:pt idx="27">
                  <c:v>6.0700000000000007E-3</c:v>
                </c:pt>
                <c:pt idx="28">
                  <c:v>5.7959999999999999E-3</c:v>
                </c:pt>
                <c:pt idx="29">
                  <c:v>5.4530000000000004E-3</c:v>
                </c:pt>
                <c:pt idx="30">
                  <c:v>5.169E-3</c:v>
                </c:pt>
                <c:pt idx="31">
                  <c:v>5.104E-3</c:v>
                </c:pt>
                <c:pt idx="32">
                  <c:v>3.5990000000000002E-3</c:v>
                </c:pt>
                <c:pt idx="33">
                  <c:v>1.9589999999999998E-3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Automobiles</c:v>
                </c:pt>
                <c:pt idx="1">
                  <c:v>Power</c:v>
                </c:pt>
                <c:pt idx="2">
                  <c:v>Electrical Equipment</c:v>
                </c:pt>
                <c:pt idx="3">
                  <c:v>Aerospace &amp; Defense</c:v>
                </c:pt>
                <c:pt idx="4">
                  <c:v>Finance</c:v>
                </c:pt>
                <c:pt idx="5">
                  <c:v>Telecom - Services</c:v>
                </c:pt>
                <c:pt idx="6">
                  <c:v>Retailing</c:v>
                </c:pt>
                <c:pt idx="7">
                  <c:v>Auto Components</c:v>
                </c:pt>
                <c:pt idx="8">
                  <c:v>Consumable Fuels</c:v>
                </c:pt>
                <c:pt idx="9">
                  <c:v>Transport Infrastructure</c:v>
                </c:pt>
                <c:pt idx="10">
                  <c:v>Pharmaceuticals &amp; Biotechnology</c:v>
                </c:pt>
                <c:pt idx="11">
                  <c:v>Industrial Products</c:v>
                </c:pt>
                <c:pt idx="12">
                  <c:v>Diversified Metals</c:v>
                </c:pt>
                <c:pt idx="13">
                  <c:v>Consumer Durables</c:v>
                </c:pt>
                <c:pt idx="14">
                  <c:v>Banks</c:v>
                </c:pt>
                <c:pt idx="15">
                  <c:v>Minerals &amp; Mining</c:v>
                </c:pt>
                <c:pt idx="16">
                  <c:v>IT - Software</c:v>
                </c:pt>
                <c:pt idx="17">
                  <c:v>Realty</c:v>
                </c:pt>
              </c:strCache>
            </c:strRef>
          </c:cat>
          <c:val>
            <c:numRef>
              <c:f>'BANDHAN-Nifty200 Mom30 Index'!$X$8:$X$25</c:f>
              <c:numCache>
                <c:formatCode>0.00%</c:formatCode>
                <c:ptCount val="18"/>
                <c:pt idx="0">
                  <c:v>0.18601799999999999</c:v>
                </c:pt>
                <c:pt idx="1">
                  <c:v>9.6176999999999999E-2</c:v>
                </c:pt>
                <c:pt idx="2">
                  <c:v>8.9462E-2</c:v>
                </c:pt>
                <c:pt idx="3">
                  <c:v>8.1408000000000008E-2</c:v>
                </c:pt>
                <c:pt idx="4">
                  <c:v>7.7218000000000009E-2</c:v>
                </c:pt>
                <c:pt idx="5">
                  <c:v>7.3242000000000002E-2</c:v>
                </c:pt>
                <c:pt idx="6">
                  <c:v>6.6245999999999999E-2</c:v>
                </c:pt>
                <c:pt idx="7">
                  <c:v>5.7713E-2</c:v>
                </c:pt>
                <c:pt idx="8">
                  <c:v>4.6796999999999998E-2</c:v>
                </c:pt>
                <c:pt idx="9">
                  <c:v>4.6434000000000003E-2</c:v>
                </c:pt>
                <c:pt idx="10">
                  <c:v>3.5351E-2</c:v>
                </c:pt>
                <c:pt idx="11">
                  <c:v>3.4051999999999999E-2</c:v>
                </c:pt>
                <c:pt idx="12">
                  <c:v>3.3542000000000002E-2</c:v>
                </c:pt>
                <c:pt idx="13">
                  <c:v>2.9994E-2</c:v>
                </c:pt>
                <c:pt idx="14">
                  <c:v>1.6709999999999999E-2</c:v>
                </c:pt>
                <c:pt idx="15">
                  <c:v>1.1923E-2</c:v>
                </c:pt>
                <c:pt idx="16">
                  <c:v>1.1918E-2</c:v>
                </c:pt>
                <c:pt idx="17">
                  <c:v>7.5050000000000004E-3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NIF100LV30'!$W$8:$W$24</c:f>
              <c:strCache>
                <c:ptCount val="17"/>
                <c:pt idx="0">
                  <c:v>Pharmaceuticals &amp; Biotechnology</c:v>
                </c:pt>
                <c:pt idx="1">
                  <c:v>IT - Software</c:v>
                </c:pt>
                <c:pt idx="2">
                  <c:v>Banks</c:v>
                </c:pt>
                <c:pt idx="3">
                  <c:v>Automobiles</c:v>
                </c:pt>
                <c:pt idx="4">
                  <c:v>Diversified FMCG</c:v>
                </c:pt>
                <c:pt idx="5">
                  <c:v>Food Products</c:v>
                </c:pt>
                <c:pt idx="6">
                  <c:v>Consumer Durables</c:v>
                </c:pt>
                <c:pt idx="7">
                  <c:v>Personal Products</c:v>
                </c:pt>
                <c:pt idx="8">
                  <c:v>Finance</c:v>
                </c:pt>
                <c:pt idx="9">
                  <c:v>Petroleum Products</c:v>
                </c:pt>
                <c:pt idx="10">
                  <c:v>Healthcare Services</c:v>
                </c:pt>
                <c:pt idx="11">
                  <c:v>Telecom - Services</c:v>
                </c:pt>
                <c:pt idx="12">
                  <c:v>Cement &amp; Cement Products</c:v>
                </c:pt>
                <c:pt idx="13">
                  <c:v>Chemicals &amp; Petrochemicals</c:v>
                </c:pt>
                <c:pt idx="14">
                  <c:v>Insurance</c:v>
                </c:pt>
                <c:pt idx="15">
                  <c:v>Auto Components</c:v>
                </c:pt>
                <c:pt idx="16">
                  <c:v>Construction</c:v>
                </c:pt>
              </c:strCache>
            </c:strRef>
          </c:cat>
          <c:val>
            <c:numRef>
              <c:f>'BANDHAN NIF100LV30'!$X$8:$X$24</c:f>
              <c:numCache>
                <c:formatCode>0.00%</c:formatCode>
                <c:ptCount val="17"/>
                <c:pt idx="0">
                  <c:v>0.13539599999999999</c:v>
                </c:pt>
                <c:pt idx="1">
                  <c:v>0.12643399999999999</c:v>
                </c:pt>
                <c:pt idx="2">
                  <c:v>9.854099999999999E-2</c:v>
                </c:pt>
                <c:pt idx="3">
                  <c:v>9.1878000000000001E-2</c:v>
                </c:pt>
                <c:pt idx="4">
                  <c:v>7.9967999999999997E-2</c:v>
                </c:pt>
                <c:pt idx="5">
                  <c:v>7.7627000000000002E-2</c:v>
                </c:pt>
                <c:pt idx="6">
                  <c:v>7.3692000000000007E-2</c:v>
                </c:pt>
                <c:pt idx="7">
                  <c:v>3.5237999999999998E-2</c:v>
                </c:pt>
                <c:pt idx="8">
                  <c:v>3.4283000000000001E-2</c:v>
                </c:pt>
                <c:pt idx="9">
                  <c:v>3.3956E-2</c:v>
                </c:pt>
                <c:pt idx="10">
                  <c:v>3.2766000000000003E-2</c:v>
                </c:pt>
                <c:pt idx="11">
                  <c:v>3.2521000000000001E-2</c:v>
                </c:pt>
                <c:pt idx="12">
                  <c:v>3.1257E-2</c:v>
                </c:pt>
                <c:pt idx="13">
                  <c:v>3.0974999999999999E-2</c:v>
                </c:pt>
                <c:pt idx="14">
                  <c:v>3.0703999999999999E-2</c:v>
                </c:pt>
                <c:pt idx="15">
                  <c:v>3.0613999999999999E-2</c:v>
                </c:pt>
                <c:pt idx="16">
                  <c:v>2.5677999999999999E-2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0.98130399999999995</c:v>
                </c:pt>
                <c:pt idx="1">
                  <c:v>1.5322000000000001E-2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Index'!$W$8:$W$32</c:f>
              <c:strCache>
                <c:ptCount val="25"/>
                <c:pt idx="0">
                  <c:v>Electrical Equipment</c:v>
                </c:pt>
                <c:pt idx="1">
                  <c:v>Finance</c:v>
                </c:pt>
                <c:pt idx="2">
                  <c:v>Capital Markets</c:v>
                </c:pt>
                <c:pt idx="3">
                  <c:v>Construction</c:v>
                </c:pt>
                <c:pt idx="4">
                  <c:v>Pharmaceuticals &amp; Biotechnology</c:v>
                </c:pt>
                <c:pt idx="5">
                  <c:v>Retailing</c:v>
                </c:pt>
                <c:pt idx="6">
                  <c:v>Realty</c:v>
                </c:pt>
                <c:pt idx="7">
                  <c:v>Power</c:v>
                </c:pt>
                <c:pt idx="8">
                  <c:v>Aerospace &amp; Defense</c:v>
                </c:pt>
                <c:pt idx="9">
                  <c:v>Consumer Durables</c:v>
                </c:pt>
                <c:pt idx="10">
                  <c:v>Automobiles</c:v>
                </c:pt>
                <c:pt idx="11">
                  <c:v>Oil</c:v>
                </c:pt>
                <c:pt idx="12">
                  <c:v>Industrial Manufacturing</c:v>
                </c:pt>
                <c:pt idx="13">
                  <c:v>Industrial Products</c:v>
                </c:pt>
                <c:pt idx="14">
                  <c:v>IT - Software</c:v>
                </c:pt>
                <c:pt idx="15">
                  <c:v>Financial Technology (Fintech)</c:v>
                </c:pt>
                <c:pt idx="16">
                  <c:v>Telecom - Services</c:v>
                </c:pt>
                <c:pt idx="17">
                  <c:v>Ferrous Metals</c:v>
                </c:pt>
                <c:pt idx="18">
                  <c:v>Chemicals &amp; Petrochemicals</c:v>
                </c:pt>
                <c:pt idx="19">
                  <c:v>Paper, Forest &amp; Jute Products</c:v>
                </c:pt>
                <c:pt idx="20">
                  <c:v>Personal Products</c:v>
                </c:pt>
                <c:pt idx="21">
                  <c:v>Petroleum Products</c:v>
                </c:pt>
                <c:pt idx="22">
                  <c:v>Auto Components</c:v>
                </c:pt>
                <c:pt idx="23">
                  <c:v>Beverages</c:v>
                </c:pt>
                <c:pt idx="24">
                  <c:v>Non - Ferrous Metals</c:v>
                </c:pt>
              </c:strCache>
            </c:strRef>
          </c:cat>
          <c:val>
            <c:numRef>
              <c:f>'Bandhan Nifty Alpha 50 Index'!$X$8:$X$32</c:f>
              <c:numCache>
                <c:formatCode>0.00%</c:formatCode>
                <c:ptCount val="25"/>
                <c:pt idx="0">
                  <c:v>0.117599</c:v>
                </c:pt>
                <c:pt idx="1">
                  <c:v>8.3996999999999988E-2</c:v>
                </c:pt>
                <c:pt idx="2">
                  <c:v>8.1272999999999998E-2</c:v>
                </c:pt>
                <c:pt idx="3">
                  <c:v>7.0350999999999997E-2</c:v>
                </c:pt>
                <c:pt idx="4">
                  <c:v>6.8625999999999993E-2</c:v>
                </c:pt>
                <c:pt idx="5">
                  <c:v>5.9950000000000003E-2</c:v>
                </c:pt>
                <c:pt idx="6">
                  <c:v>5.1534999999999997E-2</c:v>
                </c:pt>
                <c:pt idx="7">
                  <c:v>5.0796000000000001E-2</c:v>
                </c:pt>
                <c:pt idx="8">
                  <c:v>4.8000000000000001E-2</c:v>
                </c:pt>
                <c:pt idx="9">
                  <c:v>4.5929999999999999E-2</c:v>
                </c:pt>
                <c:pt idx="10">
                  <c:v>4.0640999999999997E-2</c:v>
                </c:pt>
                <c:pt idx="11">
                  <c:v>3.1781999999999998E-2</c:v>
                </c:pt>
                <c:pt idx="12">
                  <c:v>3.1237000000000001E-2</c:v>
                </c:pt>
                <c:pt idx="13">
                  <c:v>2.6860999999999999E-2</c:v>
                </c:pt>
                <c:pt idx="14">
                  <c:v>2.5374000000000001E-2</c:v>
                </c:pt>
                <c:pt idx="15">
                  <c:v>1.9696999999999999E-2</c:v>
                </c:pt>
                <c:pt idx="16">
                  <c:v>1.9106000000000001E-2</c:v>
                </c:pt>
                <c:pt idx="17">
                  <c:v>1.9088000000000001E-2</c:v>
                </c:pt>
                <c:pt idx="18">
                  <c:v>1.8501E-2</c:v>
                </c:pt>
                <c:pt idx="19">
                  <c:v>1.8141000000000001E-2</c:v>
                </c:pt>
                <c:pt idx="20">
                  <c:v>1.7465999999999999E-2</c:v>
                </c:pt>
                <c:pt idx="21">
                  <c:v>1.6025999999999999E-2</c:v>
                </c:pt>
                <c:pt idx="22">
                  <c:v>1.5871E-2</c:v>
                </c:pt>
                <c:pt idx="23">
                  <c:v>1.0413E-2</c:v>
                </c:pt>
                <c:pt idx="24">
                  <c:v>6.9109999999999996E-3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'!$W$8:$W$53</c:f>
              <c:strCache>
                <c:ptCount val="46"/>
                <c:pt idx="0">
                  <c:v>Capital Markets</c:v>
                </c:pt>
                <c:pt idx="1">
                  <c:v>Finance</c:v>
                </c:pt>
                <c:pt idx="2">
                  <c:v>Pharmaceuticals &amp; Biotechnology</c:v>
                </c:pt>
                <c:pt idx="3">
                  <c:v>Consumer Durables</c:v>
                </c:pt>
                <c:pt idx="4">
                  <c:v>Industrial Products</c:v>
                </c:pt>
                <c:pt idx="5">
                  <c:v>Chemicals &amp; Petrochemicals</c:v>
                </c:pt>
                <c:pt idx="6">
                  <c:v>Construction</c:v>
                </c:pt>
                <c:pt idx="7">
                  <c:v>Auto Components</c:v>
                </c:pt>
                <c:pt idx="8">
                  <c:v>IT - Software</c:v>
                </c:pt>
                <c:pt idx="9">
                  <c:v>Banks</c:v>
                </c:pt>
                <c:pt idx="10">
                  <c:v>Realty</c:v>
                </c:pt>
                <c:pt idx="11">
                  <c:v>Industrial Manufacturing</c:v>
                </c:pt>
                <c:pt idx="12">
                  <c:v>Electrical Equipment</c:v>
                </c:pt>
                <c:pt idx="13">
                  <c:v>Healthcare Services</c:v>
                </c:pt>
                <c:pt idx="14">
                  <c:v>Leisure Services</c:v>
                </c:pt>
                <c:pt idx="15">
                  <c:v>Entertainment</c:v>
                </c:pt>
                <c:pt idx="16">
                  <c:v>Commercial Services &amp; Supplies</c:v>
                </c:pt>
                <c:pt idx="17">
                  <c:v>Gas</c:v>
                </c:pt>
                <c:pt idx="18">
                  <c:v>Fertilizers &amp; Agrochemicals</c:v>
                </c:pt>
                <c:pt idx="19">
                  <c:v>Non - Ferrous Metals</c:v>
                </c:pt>
                <c:pt idx="20">
                  <c:v>IT - Services</c:v>
                </c:pt>
                <c:pt idx="21">
                  <c:v>Cement &amp; Cement Products</c:v>
                </c:pt>
                <c:pt idx="22">
                  <c:v>Transport Services</c:v>
                </c:pt>
                <c:pt idx="23">
                  <c:v>Telecom - Services</c:v>
                </c:pt>
                <c:pt idx="24">
                  <c:v>Agricultural Food &amp; other Products</c:v>
                </c:pt>
                <c:pt idx="25">
                  <c:v>Power</c:v>
                </c:pt>
                <c:pt idx="26">
                  <c:v>Textiles &amp; Apparels</c:v>
                </c:pt>
                <c:pt idx="27">
                  <c:v>Petroleum Products</c:v>
                </c:pt>
                <c:pt idx="28">
                  <c:v>Beverages</c:v>
                </c:pt>
                <c:pt idx="29">
                  <c:v>Food Products</c:v>
                </c:pt>
                <c:pt idx="30">
                  <c:v>Paper, Forest &amp; Jute Products</c:v>
                </c:pt>
                <c:pt idx="31">
                  <c:v>Retailing</c:v>
                </c:pt>
                <c:pt idx="32">
                  <c:v>Agricultural, Commercial &amp; Construction Vehicles</c:v>
                </c:pt>
                <c:pt idx="33">
                  <c:v>Personal Products</c:v>
                </c:pt>
                <c:pt idx="34">
                  <c:v>Aerospace &amp; Defense</c:v>
                </c:pt>
                <c:pt idx="35">
                  <c:v>Household Products</c:v>
                </c:pt>
                <c:pt idx="36">
                  <c:v>Telecom -  Equipment &amp; Accessories</c:v>
                </c:pt>
                <c:pt idx="37">
                  <c:v>Cigarettes &amp; Tobacco Products</c:v>
                </c:pt>
                <c:pt idx="38">
                  <c:v>Healthcare Equipment &amp; Supplies</c:v>
                </c:pt>
                <c:pt idx="39">
                  <c:v>Diversified</c:v>
                </c:pt>
                <c:pt idx="40">
                  <c:v>Automobiles</c:v>
                </c:pt>
                <c:pt idx="41">
                  <c:v>Insurance</c:v>
                </c:pt>
                <c:pt idx="42">
                  <c:v>Ferrous Metals</c:v>
                </c:pt>
                <c:pt idx="43">
                  <c:v>Transport Infrastructure</c:v>
                </c:pt>
                <c:pt idx="44">
                  <c:v>IT - Hardware</c:v>
                </c:pt>
                <c:pt idx="45">
                  <c:v>Minerals &amp; Mining</c:v>
                </c:pt>
              </c:strCache>
            </c:strRef>
          </c:cat>
          <c:val>
            <c:numRef>
              <c:f>'Bandhan Nifty Smallcap 250 '!$X$8:$X$53</c:f>
              <c:numCache>
                <c:formatCode>0.00%</c:formatCode>
                <c:ptCount val="46"/>
                <c:pt idx="0">
                  <c:v>8.5454999999999989E-2</c:v>
                </c:pt>
                <c:pt idx="1">
                  <c:v>7.8839999999999993E-2</c:v>
                </c:pt>
                <c:pt idx="2">
                  <c:v>7.6701999999999992E-2</c:v>
                </c:pt>
                <c:pt idx="3">
                  <c:v>6.088699999999999E-2</c:v>
                </c:pt>
                <c:pt idx="4">
                  <c:v>5.8585999999999992E-2</c:v>
                </c:pt>
                <c:pt idx="5">
                  <c:v>5.3977000000000004E-2</c:v>
                </c:pt>
                <c:pt idx="6">
                  <c:v>4.9501999999999997E-2</c:v>
                </c:pt>
                <c:pt idx="7">
                  <c:v>4.0464E-2</c:v>
                </c:pt>
                <c:pt idx="8">
                  <c:v>3.4474999999999999E-2</c:v>
                </c:pt>
                <c:pt idx="9">
                  <c:v>3.4187000000000002E-2</c:v>
                </c:pt>
                <c:pt idx="10">
                  <c:v>2.7904999999999999E-2</c:v>
                </c:pt>
                <c:pt idx="11">
                  <c:v>2.649E-2</c:v>
                </c:pt>
                <c:pt idx="12">
                  <c:v>2.6406000000000002E-2</c:v>
                </c:pt>
                <c:pt idx="13">
                  <c:v>2.5671000000000003E-2</c:v>
                </c:pt>
                <c:pt idx="14">
                  <c:v>2.3809E-2</c:v>
                </c:pt>
                <c:pt idx="15">
                  <c:v>1.7236000000000001E-2</c:v>
                </c:pt>
                <c:pt idx="16">
                  <c:v>1.6753000000000001E-2</c:v>
                </c:pt>
                <c:pt idx="17">
                  <c:v>1.6454E-2</c:v>
                </c:pt>
                <c:pt idx="18">
                  <c:v>1.5162999999999999E-2</c:v>
                </c:pt>
                <c:pt idx="19">
                  <c:v>1.5082999999999999E-2</c:v>
                </c:pt>
                <c:pt idx="20">
                  <c:v>1.2934999999999999E-2</c:v>
                </c:pt>
                <c:pt idx="21">
                  <c:v>1.2892000000000001E-2</c:v>
                </c:pt>
                <c:pt idx="22">
                  <c:v>1.2035000000000001E-2</c:v>
                </c:pt>
                <c:pt idx="23">
                  <c:v>1.1608E-2</c:v>
                </c:pt>
                <c:pt idx="24">
                  <c:v>1.1358999999999999E-2</c:v>
                </c:pt>
                <c:pt idx="25">
                  <c:v>1.0676000000000001E-2</c:v>
                </c:pt>
                <c:pt idx="26">
                  <c:v>8.5129999999999997E-3</c:v>
                </c:pt>
                <c:pt idx="27">
                  <c:v>8.1980000000000004E-3</c:v>
                </c:pt>
                <c:pt idx="28">
                  <c:v>7.986E-3</c:v>
                </c:pt>
                <c:pt idx="29">
                  <c:v>7.8329999999999997E-3</c:v>
                </c:pt>
                <c:pt idx="30">
                  <c:v>7.4590000000000004E-3</c:v>
                </c:pt>
                <c:pt idx="31">
                  <c:v>7.1700000000000002E-3</c:v>
                </c:pt>
                <c:pt idx="32">
                  <c:v>6.3879999999999996E-3</c:v>
                </c:pt>
                <c:pt idx="33">
                  <c:v>6.097E-3</c:v>
                </c:pt>
                <c:pt idx="34">
                  <c:v>5.9410000000000001E-3</c:v>
                </c:pt>
                <c:pt idx="35">
                  <c:v>5.8600000000000006E-3</c:v>
                </c:pt>
                <c:pt idx="36">
                  <c:v>5.8040000000000001E-3</c:v>
                </c:pt>
                <c:pt idx="37">
                  <c:v>4.7470000000000004E-3</c:v>
                </c:pt>
                <c:pt idx="38">
                  <c:v>4.3959999999999997E-3</c:v>
                </c:pt>
                <c:pt idx="39">
                  <c:v>3.9820000000000003E-3</c:v>
                </c:pt>
                <c:pt idx="40">
                  <c:v>3.3860000000000001E-3</c:v>
                </c:pt>
                <c:pt idx="41">
                  <c:v>3.3579999999999999E-3</c:v>
                </c:pt>
                <c:pt idx="42">
                  <c:v>3.1120000000000002E-3</c:v>
                </c:pt>
                <c:pt idx="43">
                  <c:v>2.9859999999999999E-3</c:v>
                </c:pt>
                <c:pt idx="44">
                  <c:v>1.4940000000000001E-3</c:v>
                </c:pt>
                <c:pt idx="45">
                  <c:v>1.487E-3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Total Market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A-45F0-9987-5A73CFFAB81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5A-45F0-9987-5A73CFFAB81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5A-45F0-9987-5A73CFFAB81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5A-45F0-9987-5A73CFFAB81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5A-45F0-9987-5A73CFFAB81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5A-45F0-9987-5A73CFFAB81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5A-45F0-9987-5A73CFFAB81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5A-45F0-9987-5A73CFFAB81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5A-45F0-9987-5A73CFFAB81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5A-45F0-9987-5A73CFFAB81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5A-45F0-9987-5A73CFFAB81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5A-45F0-9987-5A73CFFAB81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5A-45F0-9987-5A73CFFAB81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5A-45F0-9987-5A73CFFAB81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5A-45F0-9987-5A73CFFAB81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5A-45F0-9987-5A73CFFAB81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25A-45F0-9987-5A73CFFAB81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5A-45F0-9987-5A73CFFAB81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Total Market '!$W$8:$W$61</c:f>
              <c:strCache>
                <c:ptCount val="54"/>
                <c:pt idx="0">
                  <c:v>Banks</c:v>
                </c:pt>
                <c:pt idx="1">
                  <c:v>IT - Software</c:v>
                </c:pt>
                <c:pt idx="2">
                  <c:v>Finance</c:v>
                </c:pt>
                <c:pt idx="3">
                  <c:v>Petroleum Products</c:v>
                </c:pt>
                <c:pt idx="4">
                  <c:v>Automobiles</c:v>
                </c:pt>
                <c:pt idx="5">
                  <c:v>Pharmaceuticals &amp; Biotechnology</c:v>
                </c:pt>
                <c:pt idx="6">
                  <c:v>Power</c:v>
                </c:pt>
                <c:pt idx="7">
                  <c:v>Diversified FMCG</c:v>
                </c:pt>
                <c:pt idx="8">
                  <c:v>Consumer Durables</c:v>
                </c:pt>
                <c:pt idx="9">
                  <c:v>Construction</c:v>
                </c:pt>
                <c:pt idx="10">
                  <c:v>Telecom - Services</c:v>
                </c:pt>
                <c:pt idx="11">
                  <c:v>Retailing</c:v>
                </c:pt>
                <c:pt idx="12">
                  <c:v>Auto Components</c:v>
                </c:pt>
                <c:pt idx="13">
                  <c:v>Industrial Products</c:v>
                </c:pt>
                <c:pt idx="14">
                  <c:v>Cement &amp; Cement Products</c:v>
                </c:pt>
                <c:pt idx="15">
                  <c:v>Electrical Equipment</c:v>
                </c:pt>
                <c:pt idx="16">
                  <c:v>Ferrous Metals</c:v>
                </c:pt>
                <c:pt idx="17">
                  <c:v>Chemicals &amp; Petrochemicals</c:v>
                </c:pt>
                <c:pt idx="18">
                  <c:v>Insurance</c:v>
                </c:pt>
                <c:pt idx="19">
                  <c:v>Realty</c:v>
                </c:pt>
                <c:pt idx="20">
                  <c:v>Capital Markets</c:v>
                </c:pt>
                <c:pt idx="21">
                  <c:v>Healthcare Services</c:v>
                </c:pt>
                <c:pt idx="22">
                  <c:v>Aerospace &amp; Defense</c:v>
                </c:pt>
                <c:pt idx="23">
                  <c:v>Food Products</c:v>
                </c:pt>
                <c:pt idx="24">
                  <c:v>Leisure Services</c:v>
                </c:pt>
                <c:pt idx="25">
                  <c:v>Personal Products</c:v>
                </c:pt>
                <c:pt idx="26">
                  <c:v>Gas</c:v>
                </c:pt>
                <c:pt idx="27">
                  <c:v>Agricultural Food &amp; other Products</c:v>
                </c:pt>
                <c:pt idx="28">
                  <c:v>Transport Services</c:v>
                </c:pt>
                <c:pt idx="29">
                  <c:v>Beverages</c:v>
                </c:pt>
                <c:pt idx="30">
                  <c:v>Transport Infrastructure</c:v>
                </c:pt>
                <c:pt idx="31">
                  <c:v>Non - Ferrous Metals</c:v>
                </c:pt>
                <c:pt idx="32">
                  <c:v>Oil</c:v>
                </c:pt>
                <c:pt idx="33">
                  <c:v>Fertilizers &amp; Agrochemicals</c:v>
                </c:pt>
                <c:pt idx="34">
                  <c:v>Industrial Manufacturing</c:v>
                </c:pt>
                <c:pt idx="35">
                  <c:v>Consumable Fuels</c:v>
                </c:pt>
                <c:pt idx="36">
                  <c:v>Diversified Metals</c:v>
                </c:pt>
                <c:pt idx="37">
                  <c:v>Financial Technology (Fintech)</c:v>
                </c:pt>
                <c:pt idx="38">
                  <c:v>Metals &amp; Minerals Trading</c:v>
                </c:pt>
                <c:pt idx="39">
                  <c:v>Textiles &amp; Apparels</c:v>
                </c:pt>
                <c:pt idx="40">
                  <c:v>Agricultural, Commercial &amp; Construction Vehicles</c:v>
                </c:pt>
                <c:pt idx="41">
                  <c:v>IT - Services</c:v>
                </c:pt>
                <c:pt idx="42">
                  <c:v>Entertainment</c:v>
                </c:pt>
                <c:pt idx="43">
                  <c:v>Commercial Services &amp; Supplies</c:v>
                </c:pt>
                <c:pt idx="44">
                  <c:v>Minerals &amp; Mining</c:v>
                </c:pt>
                <c:pt idx="45">
                  <c:v>Diversified</c:v>
                </c:pt>
                <c:pt idx="46">
                  <c:v>Paper, Forest &amp; Jute Products</c:v>
                </c:pt>
                <c:pt idx="47">
                  <c:v>Telecom -  Equipment &amp; Accessories</c:v>
                </c:pt>
                <c:pt idx="48">
                  <c:v>Other Utilities</c:v>
                </c:pt>
                <c:pt idx="49">
                  <c:v>Household Products</c:v>
                </c:pt>
                <c:pt idx="50">
                  <c:v>Cigarettes &amp; Tobacco Products</c:v>
                </c:pt>
                <c:pt idx="51">
                  <c:v>Healthcare Equipment &amp; Supplies</c:v>
                </c:pt>
                <c:pt idx="52">
                  <c:v>Other Consumer Services</c:v>
                </c:pt>
                <c:pt idx="53">
                  <c:v>IT - Hardware</c:v>
                </c:pt>
              </c:strCache>
            </c:strRef>
          </c:cat>
          <c:val>
            <c:numRef>
              <c:f>'Bandhan Nifty Total Market '!$X$8:$X$61</c:f>
              <c:numCache>
                <c:formatCode>0.00%</c:formatCode>
                <c:ptCount val="54"/>
                <c:pt idx="0">
                  <c:v>0.17945900000000006</c:v>
                </c:pt>
                <c:pt idx="1">
                  <c:v>8.8847999999999996E-2</c:v>
                </c:pt>
                <c:pt idx="2">
                  <c:v>5.9466000000000005E-2</c:v>
                </c:pt>
                <c:pt idx="3">
                  <c:v>5.8589000000000009E-2</c:v>
                </c:pt>
                <c:pt idx="4">
                  <c:v>4.9338000000000007E-2</c:v>
                </c:pt>
                <c:pt idx="5">
                  <c:v>4.7589000000000006E-2</c:v>
                </c:pt>
                <c:pt idx="6">
                  <c:v>3.7765000000000007E-2</c:v>
                </c:pt>
                <c:pt idx="7">
                  <c:v>3.6334999999999999E-2</c:v>
                </c:pt>
                <c:pt idx="8">
                  <c:v>3.3368000000000002E-2</c:v>
                </c:pt>
                <c:pt idx="9">
                  <c:v>3.0054999999999998E-2</c:v>
                </c:pt>
                <c:pt idx="10">
                  <c:v>2.8579E-2</c:v>
                </c:pt>
                <c:pt idx="11">
                  <c:v>2.7404999999999992E-2</c:v>
                </c:pt>
                <c:pt idx="12">
                  <c:v>2.4204E-2</c:v>
                </c:pt>
                <c:pt idx="13">
                  <c:v>2.2510999999999996E-2</c:v>
                </c:pt>
                <c:pt idx="14">
                  <c:v>1.9563999999999998E-2</c:v>
                </c:pt>
                <c:pt idx="15">
                  <c:v>1.9224000000000002E-2</c:v>
                </c:pt>
                <c:pt idx="16">
                  <c:v>1.7314999999999997E-2</c:v>
                </c:pt>
                <c:pt idx="17">
                  <c:v>1.6806999999999996E-2</c:v>
                </c:pt>
                <c:pt idx="18">
                  <c:v>1.6050999999999999E-2</c:v>
                </c:pt>
                <c:pt idx="19">
                  <c:v>1.4023999999999998E-2</c:v>
                </c:pt>
                <c:pt idx="20">
                  <c:v>1.3998E-2</c:v>
                </c:pt>
                <c:pt idx="21">
                  <c:v>1.3319999999999999E-2</c:v>
                </c:pt>
                <c:pt idx="22">
                  <c:v>1.1312999999999998E-2</c:v>
                </c:pt>
                <c:pt idx="23">
                  <c:v>9.8300000000000002E-3</c:v>
                </c:pt>
                <c:pt idx="24">
                  <c:v>9.0789999999999985E-3</c:v>
                </c:pt>
                <c:pt idx="25">
                  <c:v>8.9739999999999993E-3</c:v>
                </c:pt>
                <c:pt idx="26">
                  <c:v>8.5640000000000004E-3</c:v>
                </c:pt>
                <c:pt idx="27">
                  <c:v>8.4140000000000013E-3</c:v>
                </c:pt>
                <c:pt idx="28">
                  <c:v>7.757E-3</c:v>
                </c:pt>
                <c:pt idx="29">
                  <c:v>7.6959999999999997E-3</c:v>
                </c:pt>
                <c:pt idx="30">
                  <c:v>7.6E-3</c:v>
                </c:pt>
                <c:pt idx="31">
                  <c:v>7.5669999999999999E-3</c:v>
                </c:pt>
                <c:pt idx="32">
                  <c:v>7.2570000000000004E-3</c:v>
                </c:pt>
                <c:pt idx="33">
                  <c:v>6.9769999999999997E-3</c:v>
                </c:pt>
                <c:pt idx="34">
                  <c:v>6.0029999999999988E-3</c:v>
                </c:pt>
                <c:pt idx="35">
                  <c:v>5.7230000000000007E-3</c:v>
                </c:pt>
                <c:pt idx="36">
                  <c:v>4.2220000000000001E-3</c:v>
                </c:pt>
                <c:pt idx="37">
                  <c:v>3.8279999999999998E-3</c:v>
                </c:pt>
                <c:pt idx="38">
                  <c:v>3.5890000000000002E-3</c:v>
                </c:pt>
                <c:pt idx="39">
                  <c:v>3.4089999999999997E-3</c:v>
                </c:pt>
                <c:pt idx="40">
                  <c:v>3.045E-3</c:v>
                </c:pt>
                <c:pt idx="41">
                  <c:v>2.9020000000000001E-3</c:v>
                </c:pt>
                <c:pt idx="42">
                  <c:v>2.5309999999999998E-3</c:v>
                </c:pt>
                <c:pt idx="43">
                  <c:v>2.5010000000000002E-3</c:v>
                </c:pt>
                <c:pt idx="44">
                  <c:v>2.075E-3</c:v>
                </c:pt>
                <c:pt idx="45">
                  <c:v>1.6459999999999999E-3</c:v>
                </c:pt>
                <c:pt idx="46">
                  <c:v>9.7599999999999998E-4</c:v>
                </c:pt>
                <c:pt idx="47">
                  <c:v>8.1400000000000005E-4</c:v>
                </c:pt>
                <c:pt idx="48">
                  <c:v>7.4400000000000009E-4</c:v>
                </c:pt>
                <c:pt idx="49">
                  <c:v>6.5799999999999995E-4</c:v>
                </c:pt>
                <c:pt idx="50">
                  <c:v>5.53E-4</c:v>
                </c:pt>
                <c:pt idx="51">
                  <c:v>4.2900000000000002E-4</c:v>
                </c:pt>
                <c:pt idx="52">
                  <c:v>2.05E-4</c:v>
                </c:pt>
                <c:pt idx="53">
                  <c:v>1.73E-4</c:v>
                </c:pt>
              </c:numCache>
            </c:numRef>
          </c:val>
          <c:extLst>
            <c:ext xmlns:c16="http://schemas.microsoft.com/office/drawing/2014/chart" uri="{C3380CC4-5D6E-409C-BE32-E72D297353CC}">
              <c16:uniqueId val="{00000012-E25A-45F0-9987-5A73CFFAB81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Bank Index Fund'!$X$7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C-4E25-A21A-3873B296CF1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3C-4E25-A21A-3873B296CF1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3C-4E25-A21A-3873B296CF1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3C-4E25-A21A-3873B296CF1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3C-4E25-A21A-3873B296CF1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3C-4E25-A21A-3873B296CF1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3C-4E25-A21A-3873B296CF1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3C-4E25-A21A-3873B296CF1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3C-4E25-A21A-3873B296CF1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3C-4E25-A21A-3873B296CF1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3C-4E25-A21A-3873B296CF1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3C-4E25-A21A-3873B296CF1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63C-4E25-A21A-3873B296CF1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63C-4E25-A21A-3873B296CF1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63C-4E25-A21A-3873B296CF1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63C-4E25-A21A-3873B296CF1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63C-4E25-A21A-3873B296CF1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63C-4E25-A21A-3873B296CF1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Bank Index Fund'!$W$8</c:f>
              <c:strCache>
                <c:ptCount val="1"/>
                <c:pt idx="0">
                  <c:v>Banks</c:v>
                </c:pt>
              </c:strCache>
            </c:strRef>
          </c:cat>
          <c:val>
            <c:numRef>
              <c:f>'Bandhan Nifty Bank Index Fund'!$X$8</c:f>
              <c:numCache>
                <c:formatCode>0.00%</c:formatCode>
                <c:ptCount val="1"/>
                <c:pt idx="0">
                  <c:v>0.96743199999999996</c:v>
                </c:pt>
              </c:numCache>
            </c:numRef>
          </c:val>
          <c:extLst>
            <c:ext xmlns:c16="http://schemas.microsoft.com/office/drawing/2014/chart" uri="{C3380CC4-5D6E-409C-BE32-E72D297353CC}">
              <c16:uniqueId val="{00000012-C63C-4E25-A21A-3873B296CF17}"/>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BSE Healthcare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A8-47BC-A69B-C0F4619C44B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A8-47BC-A69B-C0F4619C44B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A8-47BC-A69B-C0F4619C44B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A8-47BC-A69B-C0F4619C44B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A8-47BC-A69B-C0F4619C44B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A8-47BC-A69B-C0F4619C44B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A8-47BC-A69B-C0F4619C44B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A8-47BC-A69B-C0F4619C44B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A8-47BC-A69B-C0F4619C44B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6A8-47BC-A69B-C0F4619C44B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6A8-47BC-A69B-C0F4619C44B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6A8-47BC-A69B-C0F4619C44B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6A8-47BC-A69B-C0F4619C44B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6A8-47BC-A69B-C0F4619C44B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6A8-47BC-A69B-C0F4619C44B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6A8-47BC-A69B-C0F4619C44B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6A8-47BC-A69B-C0F4619C44B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6A8-47BC-A69B-C0F4619C44B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Healthcare Index '!$W$8:$W$10</c:f>
              <c:strCache>
                <c:ptCount val="3"/>
                <c:pt idx="0">
                  <c:v>Pharmaceuticals &amp; Biotechnology</c:v>
                </c:pt>
                <c:pt idx="1">
                  <c:v>Healthcare Services</c:v>
                </c:pt>
                <c:pt idx="2">
                  <c:v>Healthcare Equipment &amp; Supplies</c:v>
                </c:pt>
              </c:strCache>
            </c:strRef>
          </c:cat>
          <c:val>
            <c:numRef>
              <c:f>'Bandhan BSE Healthcare Index '!$X$8:$X$10</c:f>
              <c:numCache>
                <c:formatCode>0.00%</c:formatCode>
                <c:ptCount val="3"/>
                <c:pt idx="0">
                  <c:v>0.77342999999999973</c:v>
                </c:pt>
                <c:pt idx="1">
                  <c:v>0.21859100000000001</c:v>
                </c:pt>
                <c:pt idx="2">
                  <c:v>6.6410000000000002E-3</c:v>
                </c:pt>
              </c:numCache>
            </c:numRef>
          </c:val>
          <c:extLst>
            <c:ext xmlns:c16="http://schemas.microsoft.com/office/drawing/2014/chart" uri="{C3380CC4-5D6E-409C-BE32-E72D297353CC}">
              <c16:uniqueId val="{00000012-A6A8-47BC-A69B-C0F4619C44B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Midcap 150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95-46E5-9AD9-0345AC1685A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95-46E5-9AD9-0345AC1685A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95-46E5-9AD9-0345AC1685A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95-46E5-9AD9-0345AC1685A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95-46E5-9AD9-0345AC1685A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95-46E5-9AD9-0345AC1685A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95-46E5-9AD9-0345AC1685A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95-46E5-9AD9-0345AC1685A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95-46E5-9AD9-0345AC1685A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95-46E5-9AD9-0345AC1685A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695-46E5-9AD9-0345AC1685A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95-46E5-9AD9-0345AC1685A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695-46E5-9AD9-0345AC1685A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695-46E5-9AD9-0345AC1685A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695-46E5-9AD9-0345AC1685A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95-46E5-9AD9-0345AC1685A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695-46E5-9AD9-0345AC1685A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695-46E5-9AD9-0345AC1685A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Midcap 150 Index '!$W$8:$W$46</c:f>
              <c:strCache>
                <c:ptCount val="39"/>
                <c:pt idx="0">
                  <c:v>Auto Components</c:v>
                </c:pt>
                <c:pt idx="1">
                  <c:v>Industrial Products</c:v>
                </c:pt>
                <c:pt idx="2">
                  <c:v>Pharmaceuticals &amp; Biotechnology</c:v>
                </c:pt>
                <c:pt idx="3">
                  <c:v>Banks</c:v>
                </c:pt>
                <c:pt idx="4">
                  <c:v>IT - Software</c:v>
                </c:pt>
                <c:pt idx="5">
                  <c:v>Finance</c:v>
                </c:pt>
                <c:pt idx="6">
                  <c:v>Electrical Equipment</c:v>
                </c:pt>
                <c:pt idx="7">
                  <c:v>Consumer Durables</c:v>
                </c:pt>
                <c:pt idx="8">
                  <c:v>Chemicals &amp; Petrochemicals</c:v>
                </c:pt>
                <c:pt idx="9">
                  <c:v>Healthcare Services</c:v>
                </c:pt>
                <c:pt idx="10">
                  <c:v>Realty</c:v>
                </c:pt>
                <c:pt idx="11">
                  <c:v>Telecom - Services</c:v>
                </c:pt>
                <c:pt idx="12">
                  <c:v>Capital Markets</c:v>
                </c:pt>
                <c:pt idx="13">
                  <c:v>Fertilizers &amp; Agrochemicals</c:v>
                </c:pt>
                <c:pt idx="14">
                  <c:v>Leisure Services</c:v>
                </c:pt>
                <c:pt idx="15">
                  <c:v>Personal Products</c:v>
                </c:pt>
                <c:pt idx="16">
                  <c:v>Financial Technology (Fintech)</c:v>
                </c:pt>
                <c:pt idx="17">
                  <c:v>Insurance</c:v>
                </c:pt>
                <c:pt idx="18">
                  <c:v>Ferrous Metals</c:v>
                </c:pt>
                <c:pt idx="19">
                  <c:v>Agricultural Food &amp; other Products</c:v>
                </c:pt>
                <c:pt idx="20">
                  <c:v>Gas</c:v>
                </c:pt>
                <c:pt idx="21">
                  <c:v>Cement &amp; Cement Products</c:v>
                </c:pt>
                <c:pt idx="22">
                  <c:v>Power</c:v>
                </c:pt>
                <c:pt idx="23">
                  <c:v>Agricultural, Commercial &amp; Construction Vehicles</c:v>
                </c:pt>
                <c:pt idx="24">
                  <c:v>Petroleum Products</c:v>
                </c:pt>
                <c:pt idx="25">
                  <c:v>Transport Services</c:v>
                </c:pt>
                <c:pt idx="26">
                  <c:v>Transport Infrastructure</c:v>
                </c:pt>
                <c:pt idx="27">
                  <c:v>Construction</c:v>
                </c:pt>
                <c:pt idx="28">
                  <c:v>Retailing</c:v>
                </c:pt>
                <c:pt idx="29">
                  <c:v>Industrial Manufacturing</c:v>
                </c:pt>
                <c:pt idx="30">
                  <c:v>Textiles &amp; Apparels</c:v>
                </c:pt>
                <c:pt idx="31">
                  <c:v>Oil</c:v>
                </c:pt>
                <c:pt idx="32">
                  <c:v>Minerals &amp; Mining</c:v>
                </c:pt>
                <c:pt idx="33">
                  <c:v>IT - Services</c:v>
                </c:pt>
                <c:pt idx="34">
                  <c:v>Diversified</c:v>
                </c:pt>
                <c:pt idx="35">
                  <c:v>Beverages</c:v>
                </c:pt>
                <c:pt idx="36">
                  <c:v>Non - Ferrous Metals</c:v>
                </c:pt>
                <c:pt idx="37">
                  <c:v>Aerospace &amp; Defense</c:v>
                </c:pt>
                <c:pt idx="38">
                  <c:v>Entertainment</c:v>
                </c:pt>
              </c:strCache>
            </c:strRef>
          </c:cat>
          <c:val>
            <c:numRef>
              <c:f>'Bandhan Nifty Midcap 150 Index '!$X$8:$X$46</c:f>
              <c:numCache>
                <c:formatCode>0.00%</c:formatCode>
                <c:ptCount val="39"/>
                <c:pt idx="0">
                  <c:v>8.2252000000000006E-2</c:v>
                </c:pt>
                <c:pt idx="1">
                  <c:v>7.5184000000000001E-2</c:v>
                </c:pt>
                <c:pt idx="2">
                  <c:v>6.7566000000000015E-2</c:v>
                </c:pt>
                <c:pt idx="3">
                  <c:v>6.4285000000000009E-2</c:v>
                </c:pt>
                <c:pt idx="4">
                  <c:v>6.1504000000000003E-2</c:v>
                </c:pt>
                <c:pt idx="5">
                  <c:v>5.9494999999999999E-2</c:v>
                </c:pt>
                <c:pt idx="6">
                  <c:v>5.0189000000000004E-2</c:v>
                </c:pt>
                <c:pt idx="7">
                  <c:v>3.8918000000000001E-2</c:v>
                </c:pt>
                <c:pt idx="8">
                  <c:v>3.8381999999999999E-2</c:v>
                </c:pt>
                <c:pt idx="9">
                  <c:v>3.6613E-2</c:v>
                </c:pt>
                <c:pt idx="10">
                  <c:v>3.4975999999999993E-2</c:v>
                </c:pt>
                <c:pt idx="11">
                  <c:v>2.9995999999999998E-2</c:v>
                </c:pt>
                <c:pt idx="12">
                  <c:v>2.9479999999999996E-2</c:v>
                </c:pt>
                <c:pt idx="13">
                  <c:v>2.8860999999999998E-2</c:v>
                </c:pt>
                <c:pt idx="14">
                  <c:v>2.4208E-2</c:v>
                </c:pt>
                <c:pt idx="15">
                  <c:v>2.2334000000000003E-2</c:v>
                </c:pt>
                <c:pt idx="16">
                  <c:v>2.1002E-2</c:v>
                </c:pt>
                <c:pt idx="17">
                  <c:v>1.6928000000000002E-2</c:v>
                </c:pt>
                <c:pt idx="18">
                  <c:v>1.6466000000000001E-2</c:v>
                </c:pt>
                <c:pt idx="19">
                  <c:v>1.6397000000000002E-2</c:v>
                </c:pt>
                <c:pt idx="20">
                  <c:v>1.5702999999999998E-2</c:v>
                </c:pt>
                <c:pt idx="21">
                  <c:v>1.4615E-2</c:v>
                </c:pt>
                <c:pt idx="22">
                  <c:v>1.4030000000000001E-2</c:v>
                </c:pt>
                <c:pt idx="23">
                  <c:v>1.3511E-2</c:v>
                </c:pt>
                <c:pt idx="24">
                  <c:v>1.2829E-2</c:v>
                </c:pt>
                <c:pt idx="25">
                  <c:v>1.2656000000000001E-2</c:v>
                </c:pt>
                <c:pt idx="26">
                  <c:v>1.2058000000000001E-2</c:v>
                </c:pt>
                <c:pt idx="27">
                  <c:v>1.1879000000000001E-2</c:v>
                </c:pt>
                <c:pt idx="28">
                  <c:v>1.1410999999999999E-2</c:v>
                </c:pt>
                <c:pt idx="29">
                  <c:v>1.0089000000000001E-2</c:v>
                </c:pt>
                <c:pt idx="30">
                  <c:v>9.8560000000000002E-3</c:v>
                </c:pt>
                <c:pt idx="31">
                  <c:v>8.9009999999999992E-3</c:v>
                </c:pt>
                <c:pt idx="32">
                  <c:v>7.9330000000000008E-3</c:v>
                </c:pt>
                <c:pt idx="33">
                  <c:v>7.9080000000000001E-3</c:v>
                </c:pt>
                <c:pt idx="34">
                  <c:v>5.0299999999999997E-3</c:v>
                </c:pt>
                <c:pt idx="35">
                  <c:v>4.6010000000000001E-3</c:v>
                </c:pt>
                <c:pt idx="36">
                  <c:v>4.3750000000000004E-3</c:v>
                </c:pt>
                <c:pt idx="37">
                  <c:v>3.0070000000000001E-3</c:v>
                </c:pt>
                <c:pt idx="38">
                  <c:v>1.9919999999999998E-3</c:v>
                </c:pt>
              </c:numCache>
            </c:numRef>
          </c:val>
          <c:extLst>
            <c:ext xmlns:c16="http://schemas.microsoft.com/office/drawing/2014/chart" uri="{C3380CC4-5D6E-409C-BE32-E72D297353CC}">
              <c16:uniqueId val="{00000012-5695-46E5-9AD9-0345AC1685A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4.xml"/></Relationships>
</file>

<file path=xl/drawings/drawing1.xml><?xml version="1.0" encoding="utf-8"?>
<xdr:wsDr xmlns:xdr="http://schemas.openxmlformats.org/drawingml/2006/spreadsheetDrawing" xmlns:a="http://schemas.openxmlformats.org/drawingml/2006/main">
  <xdr:twoCellAnchor>
    <xdr:from>
      <xdr:col>5</xdr:col>
      <xdr:colOff>314325</xdr:colOff>
      <xdr:row>7</xdr:row>
      <xdr:rowOff>34925</xdr:rowOff>
    </xdr:from>
    <xdr:to>
      <xdr:col>12</xdr:col>
      <xdr:colOff>342900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368300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37B953D-80DE-4B48-80FD-846EA1ED7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67050</xdr:colOff>
      <xdr:row>7</xdr:row>
      <xdr:rowOff>18628</xdr:rowOff>
    </xdr:from>
    <xdr:to>
      <xdr:col>13</xdr:col>
      <xdr:colOff>756025</xdr:colOff>
      <xdr:row>17</xdr:row>
      <xdr:rowOff>154779</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66581</xdr:rowOff>
    </xdr:from>
    <xdr:to>
      <xdr:col>13</xdr:col>
      <xdr:colOff>615155</xdr:colOff>
      <xdr:row>39</xdr:row>
      <xdr:rowOff>47625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59524</xdr:colOff>
      <xdr:row>7</xdr:row>
      <xdr:rowOff>35720</xdr:rowOff>
    </xdr:from>
    <xdr:to>
      <xdr:col>13</xdr:col>
      <xdr:colOff>752982</xdr:colOff>
      <xdr:row>18</xdr:row>
      <xdr:rowOff>95251</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565797</xdr:colOff>
      <xdr:row>7</xdr:row>
      <xdr:rowOff>32397</xdr:rowOff>
    </xdr:from>
    <xdr:to>
      <xdr:col>13</xdr:col>
      <xdr:colOff>749300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A2551D5F-9553-4BBD-8F64-6947273FD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19C7A1BE-3BA3-44D2-AEB0-D440EF48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174975A-5C03-4A9F-AEF7-53DA3550E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632FD06-0844-4A9F-BD98-06041CA20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1"/>
      <c r="C2" s="42"/>
      <c r="D2" s="42"/>
      <c r="E2" s="42"/>
      <c r="F2" s="42"/>
      <c r="G2" s="42"/>
      <c r="H2" s="42"/>
      <c r="I2" s="42"/>
      <c r="J2" s="42"/>
      <c r="K2" s="42"/>
      <c r="L2" s="42"/>
      <c r="M2" s="92"/>
    </row>
    <row r="3" spans="2:24" ht="20.25" customHeight="1" x14ac:dyDescent="0.2">
      <c r="B3" s="93"/>
      <c r="C3" s="256" t="s">
        <v>152</v>
      </c>
      <c r="D3" s="256"/>
      <c r="E3" s="256"/>
      <c r="F3" s="256"/>
      <c r="G3" s="256"/>
      <c r="H3" s="256"/>
      <c r="I3" s="256"/>
      <c r="J3" s="256"/>
      <c r="K3" s="256"/>
      <c r="L3" s="256"/>
      <c r="M3" s="257"/>
    </row>
    <row r="4" spans="2:24" ht="15.75" x14ac:dyDescent="0.25">
      <c r="B4" s="93"/>
      <c r="C4" s="67" t="s">
        <v>356</v>
      </c>
      <c r="D4" s="29"/>
      <c r="E4" s="29"/>
      <c r="F4" s="5"/>
      <c r="G4" s="5"/>
      <c r="H4" s="5"/>
      <c r="I4" s="5"/>
      <c r="J4" s="5"/>
      <c r="K4" s="5"/>
      <c r="L4" s="5"/>
      <c r="M4" s="20"/>
    </row>
    <row r="5" spans="2:24" ht="20.25" customHeight="1" x14ac:dyDescent="0.25">
      <c r="B5" s="93"/>
      <c r="C5" s="222" t="s">
        <v>357</v>
      </c>
      <c r="D5" s="94" t="s">
        <v>358</v>
      </c>
      <c r="E5" s="19"/>
      <c r="F5" s="5"/>
      <c r="G5" s="5"/>
      <c r="H5" s="5"/>
      <c r="I5" s="5"/>
      <c r="J5" s="5"/>
      <c r="K5" s="5"/>
      <c r="L5" s="5"/>
      <c r="M5" s="20"/>
    </row>
    <row r="6" spans="2:24" x14ac:dyDescent="0.2">
      <c r="B6" s="93"/>
      <c r="C6" s="5"/>
      <c r="D6" s="5"/>
      <c r="E6" s="5"/>
      <c r="F6" s="5"/>
      <c r="G6" s="5"/>
      <c r="H6" s="5"/>
      <c r="I6" s="5"/>
      <c r="J6" s="5"/>
      <c r="K6" s="5"/>
      <c r="L6" s="5"/>
      <c r="M6" s="20"/>
    </row>
    <row r="7" spans="2:24" ht="15.75" x14ac:dyDescent="0.2">
      <c r="B7" s="93"/>
      <c r="C7" s="167" t="s">
        <v>43</v>
      </c>
      <c r="D7" s="95" t="s">
        <v>45</v>
      </c>
      <c r="E7" s="5"/>
      <c r="F7" s="258" t="s">
        <v>50</v>
      </c>
      <c r="G7" s="258"/>
      <c r="H7" s="258"/>
      <c r="I7" s="258"/>
      <c r="J7" s="258"/>
      <c r="K7" s="258"/>
      <c r="L7" s="258"/>
      <c r="M7" s="259"/>
    </row>
    <row r="8" spans="2:24" ht="30" x14ac:dyDescent="0.2">
      <c r="B8" s="93"/>
      <c r="C8" s="59" t="s">
        <v>92</v>
      </c>
      <c r="D8" s="182">
        <v>0.98835799999999996</v>
      </c>
      <c r="E8" s="5"/>
      <c r="F8" s="5"/>
      <c r="G8" s="31"/>
      <c r="H8" s="5"/>
      <c r="I8" s="5" t="s">
        <v>93</v>
      </c>
      <c r="J8" s="47">
        <f>D9</f>
        <v>0.98835799999999996</v>
      </c>
      <c r="K8" s="5"/>
      <c r="L8" s="5"/>
      <c r="M8" s="20"/>
      <c r="S8" s="49"/>
      <c r="W8" s="3" t="s">
        <v>3</v>
      </c>
      <c r="X8" s="3">
        <v>0.25058799999999998</v>
      </c>
    </row>
    <row r="9" spans="2:24" ht="15.75" x14ac:dyDescent="0.25">
      <c r="B9" s="93"/>
      <c r="C9" s="60" t="s">
        <v>93</v>
      </c>
      <c r="D9" s="183">
        <v>0.98835799999999996</v>
      </c>
      <c r="E9" s="5"/>
      <c r="F9" s="5"/>
      <c r="G9" s="5"/>
      <c r="H9" s="5"/>
      <c r="I9" s="5" t="s">
        <v>20</v>
      </c>
      <c r="J9" s="47">
        <f>D13</f>
        <v>-4.5640000000000003E-3</v>
      </c>
      <c r="K9" s="5"/>
      <c r="L9" s="5"/>
      <c r="M9" s="20"/>
      <c r="S9" s="49"/>
      <c r="W9" s="3" t="s">
        <v>9</v>
      </c>
      <c r="X9" s="3">
        <v>6.1296999999999997E-2</v>
      </c>
    </row>
    <row r="10" spans="2:24" x14ac:dyDescent="0.2">
      <c r="B10" s="93"/>
      <c r="C10" s="168" t="s">
        <v>102</v>
      </c>
      <c r="D10" s="184">
        <v>1.6206000000000002E-2</v>
      </c>
      <c r="E10" s="5"/>
      <c r="F10" s="5"/>
      <c r="G10" s="5"/>
      <c r="I10" s="3" t="s">
        <v>103</v>
      </c>
      <c r="J10" s="47">
        <f>D11</f>
        <v>1.6206000000000002E-2</v>
      </c>
      <c r="K10" s="5"/>
      <c r="L10" s="5"/>
      <c r="M10" s="20"/>
      <c r="S10" s="49"/>
      <c r="W10" s="3" t="s">
        <v>10</v>
      </c>
      <c r="X10" s="3">
        <v>3.0130999999999998E-2</v>
      </c>
    </row>
    <row r="11" spans="2:24" ht="15.75" x14ac:dyDescent="0.2">
      <c r="B11" s="93"/>
      <c r="C11" s="169" t="s">
        <v>103</v>
      </c>
      <c r="D11" s="185">
        <v>1.6206000000000002E-2</v>
      </c>
      <c r="E11" s="5"/>
      <c r="F11" s="5"/>
      <c r="G11" s="5"/>
      <c r="J11" s="5"/>
      <c r="K11" s="5"/>
      <c r="L11" s="5"/>
      <c r="M11" s="20"/>
      <c r="S11" s="49"/>
      <c r="W11" s="3" t="s">
        <v>7</v>
      </c>
      <c r="X11" s="3">
        <v>2.7299E-2</v>
      </c>
    </row>
    <row r="12" spans="2:24" x14ac:dyDescent="0.2">
      <c r="B12" s="93"/>
      <c r="C12" s="168"/>
      <c r="D12" s="83"/>
      <c r="E12" s="5"/>
      <c r="F12" s="5"/>
      <c r="G12" s="5"/>
      <c r="J12" s="5"/>
      <c r="K12" s="5"/>
      <c r="L12" s="5"/>
      <c r="M12" s="20"/>
      <c r="S12" s="49"/>
      <c r="W12" s="3" t="s">
        <v>26</v>
      </c>
      <c r="X12" s="3">
        <v>2.5925E-2</v>
      </c>
    </row>
    <row r="13" spans="2:24" ht="15.75" x14ac:dyDescent="0.2">
      <c r="B13" s="93"/>
      <c r="C13" s="169" t="s">
        <v>20</v>
      </c>
      <c r="D13" s="185">
        <v>-4.5640000000000003E-3</v>
      </c>
      <c r="E13" s="5"/>
      <c r="F13" s="5"/>
      <c r="G13" s="5"/>
      <c r="J13" s="5"/>
      <c r="K13" s="5"/>
      <c r="L13" s="5"/>
      <c r="M13" s="20"/>
      <c r="S13" s="49"/>
      <c r="W13" s="3" t="s">
        <v>8</v>
      </c>
      <c r="X13" s="3">
        <v>2.3822000000000003E-2</v>
      </c>
    </row>
    <row r="14" spans="2:24" x14ac:dyDescent="0.2">
      <c r="B14" s="93"/>
      <c r="C14" s="168"/>
      <c r="D14" s="83"/>
      <c r="E14" s="5"/>
      <c r="F14" s="5"/>
      <c r="G14" s="5"/>
      <c r="H14" s="5"/>
      <c r="I14" s="5"/>
      <c r="J14" s="5"/>
      <c r="K14" s="5"/>
      <c r="L14" s="5"/>
      <c r="M14" s="20"/>
      <c r="S14" s="49"/>
      <c r="W14" s="3" t="s">
        <v>25</v>
      </c>
      <c r="X14" s="3">
        <v>2.3753E-2</v>
      </c>
    </row>
    <row r="15" spans="2:24" ht="15.75" x14ac:dyDescent="0.2">
      <c r="B15" s="93"/>
      <c r="C15" s="170" t="s">
        <v>21</v>
      </c>
      <c r="D15" s="84">
        <f>D13+D11+D9</f>
        <v>1</v>
      </c>
      <c r="E15" s="5"/>
      <c r="F15" s="5"/>
      <c r="G15" s="5"/>
      <c r="H15" s="5"/>
      <c r="I15" s="5"/>
      <c r="J15" s="5"/>
      <c r="K15" s="5"/>
      <c r="L15" s="5"/>
      <c r="M15" s="20"/>
      <c r="S15" s="49"/>
      <c r="W15" s="3" t="s">
        <v>17</v>
      </c>
      <c r="X15" s="3">
        <v>1.8620999999999999E-2</v>
      </c>
    </row>
    <row r="16" spans="2:24" x14ac:dyDescent="0.2">
      <c r="B16" s="93"/>
      <c r="E16" s="5"/>
      <c r="F16" s="5"/>
      <c r="G16" s="5"/>
      <c r="H16" s="5"/>
      <c r="I16" s="5"/>
      <c r="J16" s="5"/>
      <c r="K16" s="5"/>
      <c r="L16" s="5"/>
      <c r="M16" s="20"/>
      <c r="S16" s="49"/>
      <c r="W16" s="3" t="s">
        <v>27</v>
      </c>
      <c r="X16" s="3">
        <v>1.7219000000000002E-2</v>
      </c>
    </row>
    <row r="17" spans="2:24" ht="15.75" x14ac:dyDescent="0.25">
      <c r="B17" s="93"/>
      <c r="C17" s="35"/>
      <c r="D17" s="36"/>
      <c r="E17" s="5"/>
      <c r="F17" s="5"/>
      <c r="G17" s="5"/>
      <c r="H17" s="5"/>
      <c r="I17" s="5"/>
      <c r="J17" s="5"/>
      <c r="K17" s="5"/>
      <c r="L17" s="5"/>
      <c r="M17" s="20"/>
      <c r="S17" s="49"/>
      <c r="W17" s="3" t="s">
        <v>12</v>
      </c>
      <c r="X17" s="3">
        <v>1.6056000000000001E-2</v>
      </c>
    </row>
    <row r="18" spans="2:24" x14ac:dyDescent="0.2">
      <c r="B18" s="93"/>
      <c r="C18" s="41"/>
      <c r="D18" s="41"/>
      <c r="E18" s="5"/>
      <c r="F18" s="5"/>
      <c r="G18" s="5"/>
      <c r="H18" s="5"/>
      <c r="I18" s="5"/>
      <c r="J18" s="5"/>
      <c r="K18" s="5"/>
      <c r="L18" s="5"/>
      <c r="M18" s="20"/>
      <c r="S18" s="49"/>
      <c r="W18" s="3" t="s">
        <v>6</v>
      </c>
      <c r="X18" s="3">
        <v>1.41E-2</v>
      </c>
    </row>
    <row r="19" spans="2:24" ht="15.75" x14ac:dyDescent="0.25">
      <c r="B19" s="93"/>
      <c r="C19" s="35"/>
      <c r="D19" s="37"/>
      <c r="E19" s="5"/>
      <c r="F19" s="5"/>
      <c r="G19" s="5"/>
      <c r="H19" s="5"/>
      <c r="I19" s="5"/>
      <c r="J19" s="5"/>
      <c r="K19" s="5"/>
      <c r="L19" s="5"/>
      <c r="M19" s="20"/>
      <c r="S19" s="49"/>
      <c r="W19" s="3" t="s">
        <v>14</v>
      </c>
      <c r="X19" s="3">
        <v>1.1167E-2</v>
      </c>
    </row>
    <row r="20" spans="2:24" x14ac:dyDescent="0.2">
      <c r="B20" s="93"/>
      <c r="E20" s="5"/>
      <c r="F20" s="5"/>
      <c r="G20" s="5"/>
      <c r="H20" s="5"/>
      <c r="I20" s="5"/>
      <c r="J20" s="5"/>
      <c r="K20" s="5"/>
      <c r="L20" s="5"/>
      <c r="M20" s="20"/>
      <c r="S20" s="49"/>
      <c r="W20" s="3" t="s">
        <v>11</v>
      </c>
      <c r="X20" s="3">
        <v>1.1159000000000001E-2</v>
      </c>
    </row>
    <row r="21" spans="2:24" x14ac:dyDescent="0.2">
      <c r="B21" s="93"/>
      <c r="E21" s="5"/>
      <c r="F21" s="5"/>
      <c r="G21" s="5"/>
      <c r="H21" s="5"/>
      <c r="I21" s="5"/>
      <c r="J21" s="5"/>
      <c r="K21" s="5"/>
      <c r="L21" s="5"/>
      <c r="M21" s="20"/>
      <c r="S21" s="49"/>
      <c r="W21" s="3" t="s">
        <v>18</v>
      </c>
      <c r="X21" s="3">
        <v>1.0543E-2</v>
      </c>
    </row>
    <row r="22" spans="2:24" ht="16.5" thickBot="1" x14ac:dyDescent="0.3">
      <c r="B22" s="96"/>
      <c r="C22" s="260"/>
      <c r="D22" s="260"/>
      <c r="E22" s="260"/>
      <c r="F22" s="260"/>
      <c r="G22" s="260"/>
      <c r="H22" s="260"/>
      <c r="I22" s="260"/>
      <c r="J22" s="260"/>
      <c r="K22" s="260"/>
      <c r="L22" s="260"/>
      <c r="M22" s="261"/>
      <c r="S22" s="49"/>
    </row>
    <row r="23" spans="2:24" ht="15.75" thickBot="1" x14ac:dyDescent="0.25">
      <c r="S23" s="49"/>
    </row>
    <row r="24" spans="2:24" ht="15" customHeight="1" x14ac:dyDescent="0.2">
      <c r="B24" s="262" t="s">
        <v>184</v>
      </c>
      <c r="C24" s="263"/>
      <c r="D24" s="263"/>
      <c r="E24" s="263"/>
      <c r="F24" s="263"/>
      <c r="G24" s="263"/>
      <c r="H24" s="263"/>
      <c r="I24" s="263"/>
      <c r="J24" s="263"/>
      <c r="K24" s="263"/>
      <c r="L24" s="263"/>
      <c r="M24" s="263"/>
      <c r="N24" s="264"/>
      <c r="S24" s="49"/>
    </row>
    <row r="25" spans="2:24" ht="15.75" customHeight="1" x14ac:dyDescent="0.2">
      <c r="B25" s="265"/>
      <c r="C25" s="266"/>
      <c r="D25" s="266"/>
      <c r="E25" s="266"/>
      <c r="F25" s="266"/>
      <c r="G25" s="266"/>
      <c r="H25" s="266"/>
      <c r="I25" s="266"/>
      <c r="J25" s="266"/>
      <c r="K25" s="266"/>
      <c r="L25" s="266"/>
      <c r="M25" s="266"/>
      <c r="N25" s="267"/>
      <c r="S25" s="49"/>
    </row>
    <row r="26" spans="2:24" ht="15.75" customHeight="1" x14ac:dyDescent="0.2">
      <c r="B26" s="265"/>
      <c r="C26" s="266"/>
      <c r="D26" s="266"/>
      <c r="E26" s="266"/>
      <c r="F26" s="266"/>
      <c r="G26" s="266"/>
      <c r="H26" s="266"/>
      <c r="I26" s="266"/>
      <c r="J26" s="266"/>
      <c r="K26" s="266"/>
      <c r="L26" s="266"/>
      <c r="M26" s="266"/>
      <c r="N26" s="267"/>
      <c r="S26" s="49"/>
    </row>
    <row r="27" spans="2:24" ht="15.75" customHeight="1" x14ac:dyDescent="0.2">
      <c r="B27" s="265"/>
      <c r="C27" s="266"/>
      <c r="D27" s="266"/>
      <c r="E27" s="266"/>
      <c r="F27" s="266"/>
      <c r="G27" s="266"/>
      <c r="H27" s="266"/>
      <c r="I27" s="266"/>
      <c r="J27" s="266"/>
      <c r="K27" s="266"/>
      <c r="L27" s="266"/>
      <c r="M27" s="266"/>
      <c r="N27" s="267"/>
      <c r="S27" s="49"/>
    </row>
    <row r="28" spans="2:24" ht="15.75" customHeight="1" x14ac:dyDescent="0.2">
      <c r="B28" s="265"/>
      <c r="C28" s="266"/>
      <c r="D28" s="266"/>
      <c r="E28" s="266"/>
      <c r="F28" s="266"/>
      <c r="G28" s="266"/>
      <c r="H28" s="266"/>
      <c r="I28" s="266"/>
      <c r="J28" s="266"/>
      <c r="K28" s="266"/>
      <c r="L28" s="266"/>
      <c r="M28" s="266"/>
      <c r="N28" s="267"/>
      <c r="S28" s="49"/>
    </row>
    <row r="29" spans="2:24" ht="15.75" customHeight="1" x14ac:dyDescent="0.2">
      <c r="B29" s="265"/>
      <c r="C29" s="266"/>
      <c r="D29" s="266"/>
      <c r="E29" s="266"/>
      <c r="F29" s="266"/>
      <c r="G29" s="266"/>
      <c r="H29" s="266"/>
      <c r="I29" s="266"/>
      <c r="J29" s="266"/>
      <c r="K29" s="266"/>
      <c r="L29" s="266"/>
      <c r="M29" s="266"/>
      <c r="N29" s="267"/>
      <c r="S29" s="49"/>
    </row>
    <row r="30" spans="2:24" ht="28.5" customHeight="1" thickBot="1" x14ac:dyDescent="0.25">
      <c r="B30" s="268"/>
      <c r="C30" s="269"/>
      <c r="D30" s="269"/>
      <c r="E30" s="269"/>
      <c r="F30" s="269"/>
      <c r="G30" s="269"/>
      <c r="H30" s="269"/>
      <c r="I30" s="269"/>
      <c r="J30" s="269"/>
      <c r="K30" s="269"/>
      <c r="L30" s="269"/>
      <c r="M30" s="269"/>
      <c r="N30" s="270"/>
      <c r="S30" s="49"/>
    </row>
    <row r="31" spans="2:24" ht="15.75" thickBot="1" x14ac:dyDescent="0.25">
      <c r="S31" s="49"/>
    </row>
    <row r="32" spans="2:24" x14ac:dyDescent="0.2">
      <c r="B32" s="262" t="s">
        <v>94</v>
      </c>
      <c r="C32" s="263"/>
      <c r="D32" s="263"/>
      <c r="E32" s="263"/>
      <c r="F32" s="263"/>
      <c r="G32" s="263"/>
      <c r="H32" s="263"/>
      <c r="I32" s="263"/>
      <c r="J32" s="263"/>
      <c r="K32" s="263"/>
      <c r="L32" s="263"/>
      <c r="M32" s="263"/>
      <c r="N32" s="264"/>
      <c r="S32" s="49"/>
    </row>
    <row r="33" spans="2:19" x14ac:dyDescent="0.2">
      <c r="B33" s="265"/>
      <c r="C33" s="266"/>
      <c r="D33" s="266"/>
      <c r="E33" s="266"/>
      <c r="F33" s="266"/>
      <c r="G33" s="266"/>
      <c r="H33" s="266"/>
      <c r="I33" s="266"/>
      <c r="J33" s="266"/>
      <c r="K33" s="266"/>
      <c r="L33" s="266"/>
      <c r="M33" s="266"/>
      <c r="N33" s="267"/>
      <c r="S33" s="49"/>
    </row>
    <row r="34" spans="2:19" x14ac:dyDescent="0.2">
      <c r="B34" s="265"/>
      <c r="C34" s="266"/>
      <c r="D34" s="266"/>
      <c r="E34" s="266"/>
      <c r="F34" s="266"/>
      <c r="G34" s="266"/>
      <c r="H34" s="266"/>
      <c r="I34" s="266"/>
      <c r="J34" s="266"/>
      <c r="K34" s="266"/>
      <c r="L34" s="266"/>
      <c r="M34" s="266"/>
      <c r="N34" s="267"/>
      <c r="S34" s="49"/>
    </row>
    <row r="35" spans="2:19" x14ac:dyDescent="0.2">
      <c r="B35" s="265"/>
      <c r="C35" s="266"/>
      <c r="D35" s="266"/>
      <c r="E35" s="266"/>
      <c r="F35" s="266"/>
      <c r="G35" s="266"/>
      <c r="H35" s="266"/>
      <c r="I35" s="266"/>
      <c r="J35" s="266"/>
      <c r="K35" s="266"/>
      <c r="L35" s="266"/>
      <c r="M35" s="266"/>
      <c r="N35" s="267"/>
      <c r="S35" s="49"/>
    </row>
    <row r="36" spans="2:19" x14ac:dyDescent="0.2">
      <c r="B36" s="265"/>
      <c r="C36" s="266"/>
      <c r="D36" s="266"/>
      <c r="E36" s="266"/>
      <c r="F36" s="266"/>
      <c r="G36" s="266"/>
      <c r="H36" s="266"/>
      <c r="I36" s="266"/>
      <c r="J36" s="266"/>
      <c r="K36" s="266"/>
      <c r="L36" s="266"/>
      <c r="M36" s="266"/>
      <c r="N36" s="267"/>
      <c r="S36" s="49"/>
    </row>
    <row r="37" spans="2:19" x14ac:dyDescent="0.2">
      <c r="B37" s="265"/>
      <c r="C37" s="266"/>
      <c r="D37" s="266"/>
      <c r="E37" s="266"/>
      <c r="F37" s="266"/>
      <c r="G37" s="266"/>
      <c r="H37" s="266"/>
      <c r="I37" s="266"/>
      <c r="J37" s="266"/>
      <c r="K37" s="266"/>
      <c r="L37" s="266"/>
      <c r="M37" s="266"/>
      <c r="N37" s="267"/>
      <c r="S37" s="49"/>
    </row>
    <row r="38" spans="2:19" ht="15.75" thickBot="1" x14ac:dyDescent="0.25">
      <c r="B38" s="268"/>
      <c r="C38" s="269"/>
      <c r="D38" s="269"/>
      <c r="E38" s="269"/>
      <c r="F38" s="269"/>
      <c r="G38" s="269"/>
      <c r="H38" s="269"/>
      <c r="I38" s="269"/>
      <c r="J38" s="269"/>
      <c r="K38" s="269"/>
      <c r="L38" s="269"/>
      <c r="M38" s="269"/>
      <c r="N38" s="270"/>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7" width="9.140625" style="39"/>
    <col min="28"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271" t="s">
        <v>174</v>
      </c>
      <c r="D3" s="272"/>
      <c r="E3" s="272"/>
      <c r="F3" s="272"/>
      <c r="G3" s="272"/>
      <c r="H3" s="272"/>
      <c r="I3" s="272"/>
      <c r="J3" s="272"/>
      <c r="K3" s="272"/>
      <c r="L3" s="272"/>
      <c r="M3" s="272"/>
      <c r="N3" s="272"/>
      <c r="O3" s="272"/>
      <c r="P3" s="272"/>
      <c r="Q3" s="272"/>
      <c r="R3" s="272"/>
      <c r="S3" s="272"/>
      <c r="T3" s="25"/>
    </row>
    <row r="4" spans="1:24" ht="15.75" customHeight="1" x14ac:dyDescent="0.25">
      <c r="B4" s="64"/>
      <c r="C4" s="67" t="s">
        <v>356</v>
      </c>
      <c r="D4" s="150"/>
      <c r="E4" s="163"/>
      <c r="F4" s="163"/>
      <c r="G4" s="163"/>
      <c r="H4" s="163"/>
      <c r="I4" s="163"/>
      <c r="J4" s="163"/>
      <c r="K4" s="29"/>
      <c r="L4" s="29"/>
      <c r="M4" s="29"/>
      <c r="N4" s="29"/>
      <c r="O4" s="29"/>
      <c r="P4" s="29"/>
      <c r="Q4" s="29"/>
      <c r="R4" s="29"/>
      <c r="S4" s="29"/>
      <c r="T4" s="25"/>
    </row>
    <row r="5" spans="1:24" ht="18" customHeight="1" x14ac:dyDescent="0.25">
      <c r="B5" s="64"/>
      <c r="C5" s="222" t="s">
        <v>357</v>
      </c>
      <c r="D5" s="273" t="s">
        <v>359</v>
      </c>
      <c r="E5" s="273"/>
      <c r="F5" s="29"/>
      <c r="G5" s="29"/>
      <c r="H5" s="51"/>
      <c r="I5" s="51"/>
      <c r="J5" s="51"/>
      <c r="K5" s="51"/>
      <c r="L5" s="51"/>
      <c r="M5" s="51"/>
      <c r="N5" s="51"/>
      <c r="O5" s="51"/>
      <c r="P5" s="51"/>
      <c r="Q5" s="51"/>
      <c r="R5" s="51"/>
      <c r="S5" s="51"/>
      <c r="T5" s="52"/>
    </row>
    <row r="6" spans="1:24" ht="15" customHeight="1" x14ac:dyDescent="0.25">
      <c r="B6" s="64"/>
      <c r="C6" s="29"/>
      <c r="D6" s="29"/>
      <c r="E6" s="29"/>
      <c r="F6" s="29"/>
      <c r="G6" s="29"/>
      <c r="H6" s="51"/>
      <c r="I6" s="51"/>
      <c r="J6" s="51"/>
      <c r="K6" s="51"/>
      <c r="L6" s="51"/>
      <c r="M6" s="51"/>
      <c r="N6" s="51"/>
      <c r="O6" s="51"/>
      <c r="P6" s="51"/>
      <c r="Q6" s="51"/>
      <c r="R6" s="51"/>
      <c r="S6" s="51"/>
      <c r="T6" s="52"/>
    </row>
    <row r="7" spans="1:24" ht="32.25" customHeight="1" x14ac:dyDescent="0.25">
      <c r="B7" s="64"/>
      <c r="C7" s="151" t="s">
        <v>0</v>
      </c>
      <c r="D7" s="152" t="s">
        <v>1</v>
      </c>
      <c r="E7" s="151" t="s">
        <v>2</v>
      </c>
      <c r="F7" s="29"/>
      <c r="G7" s="29"/>
      <c r="H7" s="29"/>
      <c r="I7" s="29"/>
      <c r="J7" s="29"/>
      <c r="K7" s="29"/>
      <c r="L7" s="29"/>
      <c r="M7" s="29"/>
      <c r="N7" s="29"/>
      <c r="O7" s="29"/>
      <c r="P7" s="29"/>
      <c r="Q7" s="29"/>
      <c r="R7" s="29"/>
      <c r="S7" s="29"/>
      <c r="T7" s="25"/>
      <c r="W7" s="39" t="s">
        <v>22</v>
      </c>
      <c r="X7" s="39" t="s">
        <v>2</v>
      </c>
    </row>
    <row r="8" spans="1:24" ht="15" customHeight="1" x14ac:dyDescent="0.25">
      <c r="B8" s="64"/>
      <c r="C8" s="194" t="s">
        <v>31</v>
      </c>
      <c r="D8" s="195" t="s">
        <v>6</v>
      </c>
      <c r="E8" s="196">
        <v>3.1252000000000002E-2</v>
      </c>
      <c r="F8" s="135"/>
      <c r="G8" s="29"/>
      <c r="H8" s="29"/>
      <c r="I8" s="29"/>
      <c r="J8" s="29"/>
      <c r="K8" s="29"/>
      <c r="L8" s="29"/>
      <c r="M8" s="29"/>
      <c r="N8" s="29"/>
      <c r="O8" s="29"/>
      <c r="P8" s="29"/>
      <c r="Q8" s="29"/>
      <c r="R8" s="29"/>
      <c r="S8" s="29"/>
      <c r="T8" s="25"/>
      <c r="W8" s="237" t="s">
        <v>3</v>
      </c>
      <c r="X8" s="240">
        <v>0.10745600000000001</v>
      </c>
    </row>
    <row r="9" spans="1:24" ht="15.75" customHeight="1" x14ac:dyDescent="0.25">
      <c r="B9" s="64"/>
      <c r="C9" s="188" t="s">
        <v>29</v>
      </c>
      <c r="D9" s="197" t="s">
        <v>3</v>
      </c>
      <c r="E9" s="198">
        <v>2.8424000000000001E-2</v>
      </c>
      <c r="F9" s="135"/>
      <c r="G9" s="29"/>
      <c r="H9" s="29"/>
      <c r="I9" s="29"/>
      <c r="J9" s="29"/>
      <c r="K9" s="29"/>
      <c r="L9" s="29"/>
      <c r="M9" s="29"/>
      <c r="N9" s="29"/>
      <c r="O9" s="29"/>
      <c r="P9" s="29"/>
      <c r="Q9" s="29"/>
      <c r="R9" s="29"/>
      <c r="S9" s="29"/>
      <c r="T9" s="25"/>
      <c r="W9" s="237" t="s">
        <v>112</v>
      </c>
      <c r="X9" s="240">
        <v>8.2628999999999994E-2</v>
      </c>
    </row>
    <row r="10" spans="1:24" ht="15" customHeight="1" x14ac:dyDescent="0.25">
      <c r="B10" s="64"/>
      <c r="C10" s="188" t="s">
        <v>32</v>
      </c>
      <c r="D10" s="197" t="s">
        <v>3</v>
      </c>
      <c r="E10" s="198">
        <v>2.7924000000000001E-2</v>
      </c>
      <c r="F10" s="135"/>
      <c r="G10" s="29"/>
      <c r="H10" s="29"/>
      <c r="I10" s="29"/>
      <c r="J10" s="29"/>
      <c r="K10" s="29"/>
      <c r="L10" s="29"/>
      <c r="M10" s="29"/>
      <c r="N10" s="29"/>
      <c r="O10" s="29"/>
      <c r="P10" s="29"/>
      <c r="Q10" s="29"/>
      <c r="R10" s="29"/>
      <c r="S10" s="29"/>
      <c r="T10" s="25"/>
      <c r="W10" s="237" t="s">
        <v>4</v>
      </c>
      <c r="X10" s="240">
        <v>8.2048999999999997E-2</v>
      </c>
    </row>
    <row r="11" spans="1:24" ht="15" customHeight="1" x14ac:dyDescent="0.25">
      <c r="B11" s="64"/>
      <c r="C11" s="188" t="s">
        <v>70</v>
      </c>
      <c r="D11" s="197" t="s">
        <v>12</v>
      </c>
      <c r="E11" s="198">
        <v>2.1269E-2</v>
      </c>
      <c r="F11" s="135"/>
      <c r="G11" s="29"/>
      <c r="H11" s="29"/>
      <c r="I11" s="29"/>
      <c r="J11" s="29"/>
      <c r="K11" s="29"/>
      <c r="L11" s="29"/>
      <c r="M11" s="29"/>
      <c r="N11" s="29"/>
      <c r="O11" s="29"/>
      <c r="P11" s="29"/>
      <c r="Q11" s="29"/>
      <c r="R11" s="29"/>
      <c r="S11" s="29"/>
      <c r="T11" s="25"/>
      <c r="W11" s="237" t="s">
        <v>108</v>
      </c>
      <c r="X11" s="240">
        <v>5.7997E-2</v>
      </c>
    </row>
    <row r="12" spans="1:24" ht="15" customHeight="1" x14ac:dyDescent="0.25">
      <c r="B12" s="64"/>
      <c r="C12" s="188" t="s">
        <v>30</v>
      </c>
      <c r="D12" s="197" t="s">
        <v>118</v>
      </c>
      <c r="E12" s="198">
        <v>2.1212000000000002E-2</v>
      </c>
      <c r="F12" s="135"/>
      <c r="G12" s="29"/>
      <c r="H12" s="29"/>
      <c r="I12" s="29"/>
      <c r="J12" s="29"/>
      <c r="K12" s="29"/>
      <c r="L12" s="29"/>
      <c r="M12" s="29"/>
      <c r="N12" s="29"/>
      <c r="O12" s="29"/>
      <c r="P12" s="29"/>
      <c r="Q12" s="29"/>
      <c r="R12" s="29"/>
      <c r="S12" s="29"/>
      <c r="T12" s="25"/>
      <c r="W12" s="237" t="s">
        <v>26</v>
      </c>
      <c r="X12" s="240">
        <v>4.7266999999999997E-2</v>
      </c>
    </row>
    <row r="13" spans="1:24" ht="15" customHeight="1" x14ac:dyDescent="0.25">
      <c r="B13" s="64"/>
      <c r="C13" s="188" t="s">
        <v>230</v>
      </c>
      <c r="D13" s="197" t="s">
        <v>26</v>
      </c>
      <c r="E13" s="198">
        <v>2.0344999999999999E-2</v>
      </c>
      <c r="F13" s="135"/>
      <c r="G13" s="29"/>
      <c r="H13" s="29"/>
      <c r="I13" s="29"/>
      <c r="J13" s="29"/>
      <c r="K13" s="29"/>
      <c r="L13" s="29"/>
      <c r="M13" s="29"/>
      <c r="N13" s="29"/>
      <c r="O13" s="29"/>
      <c r="P13" s="29"/>
      <c r="Q13" s="29"/>
      <c r="R13" s="29"/>
      <c r="S13" s="29"/>
      <c r="T13" s="25"/>
      <c r="W13" s="237" t="s">
        <v>6</v>
      </c>
      <c r="X13" s="240">
        <v>4.1076000000000001E-2</v>
      </c>
    </row>
    <row r="14" spans="1:24" ht="15" customHeight="1" x14ac:dyDescent="0.25">
      <c r="B14" s="64"/>
      <c r="C14" s="188" t="s">
        <v>28</v>
      </c>
      <c r="D14" s="197" t="s">
        <v>108</v>
      </c>
      <c r="E14" s="198">
        <v>1.9050999999999998E-2</v>
      </c>
      <c r="F14" s="135"/>
      <c r="G14" s="29"/>
      <c r="H14" s="29"/>
      <c r="I14" s="29"/>
      <c r="J14" s="29"/>
      <c r="K14" s="29"/>
      <c r="L14" s="29"/>
      <c r="M14" s="29"/>
      <c r="N14" s="29"/>
      <c r="O14" s="29"/>
      <c r="P14" s="29"/>
      <c r="Q14" s="29"/>
      <c r="R14" s="29"/>
      <c r="S14" s="29"/>
      <c r="T14" s="25"/>
      <c r="W14" s="237" t="s">
        <v>118</v>
      </c>
      <c r="X14" s="240">
        <v>3.8005999999999998E-2</v>
      </c>
    </row>
    <row r="15" spans="1:24" ht="15.75" x14ac:dyDescent="0.25">
      <c r="B15" s="64"/>
      <c r="C15" s="188" t="s">
        <v>267</v>
      </c>
      <c r="D15" s="197" t="s">
        <v>4</v>
      </c>
      <c r="E15" s="198">
        <v>1.7562000000000001E-2</v>
      </c>
      <c r="F15" s="135"/>
      <c r="G15" s="29"/>
      <c r="H15" s="29"/>
      <c r="I15" s="29"/>
      <c r="J15" s="29"/>
      <c r="K15" s="29"/>
      <c r="L15" s="29"/>
      <c r="M15" s="29"/>
      <c r="N15" s="29"/>
      <c r="O15" s="29"/>
      <c r="P15" s="29"/>
      <c r="Q15" s="29"/>
      <c r="R15" s="29"/>
      <c r="S15" s="29"/>
      <c r="T15" s="25"/>
      <c r="W15" s="237" t="s">
        <v>114</v>
      </c>
      <c r="X15" s="240">
        <v>3.7175E-2</v>
      </c>
    </row>
    <row r="16" spans="1:24" ht="15" customHeight="1" x14ac:dyDescent="0.25">
      <c r="B16" s="64"/>
      <c r="C16" s="188" t="s">
        <v>36</v>
      </c>
      <c r="D16" s="197" t="s">
        <v>3</v>
      </c>
      <c r="E16" s="198">
        <v>1.7031000000000001E-2</v>
      </c>
      <c r="F16" s="135"/>
      <c r="G16" s="29"/>
      <c r="H16" s="29"/>
      <c r="I16" s="29"/>
      <c r="J16" s="29"/>
      <c r="K16" s="29"/>
      <c r="L16" s="29"/>
      <c r="M16" s="29"/>
      <c r="N16" s="29"/>
      <c r="O16" s="29"/>
      <c r="P16" s="29"/>
      <c r="Q16" s="29"/>
      <c r="R16" s="29"/>
      <c r="S16" s="29"/>
      <c r="T16" s="25"/>
      <c r="W16" s="237" t="s">
        <v>111</v>
      </c>
      <c r="X16" s="240">
        <v>2.894E-2</v>
      </c>
    </row>
    <row r="17" spans="2:24" ht="15.75" x14ac:dyDescent="0.25">
      <c r="B17" s="64"/>
      <c r="C17" s="188" t="s">
        <v>37</v>
      </c>
      <c r="D17" s="197" t="s">
        <v>118</v>
      </c>
      <c r="E17" s="198">
        <v>1.6794E-2</v>
      </c>
      <c r="F17" s="135"/>
      <c r="G17" s="29"/>
      <c r="H17" s="29"/>
      <c r="I17" s="29"/>
      <c r="J17" s="29"/>
      <c r="K17" s="29"/>
      <c r="L17" s="29"/>
      <c r="M17" s="29"/>
      <c r="N17" s="29"/>
      <c r="O17" s="29"/>
      <c r="P17" s="29"/>
      <c r="Q17" s="29"/>
      <c r="R17" s="29"/>
      <c r="S17" s="29"/>
      <c r="T17" s="25"/>
      <c r="W17" s="237" t="s">
        <v>23</v>
      </c>
      <c r="X17" s="240">
        <v>2.8281000000000001E-2</v>
      </c>
    </row>
    <row r="18" spans="2:24" ht="15.75" x14ac:dyDescent="0.25">
      <c r="B18" s="64"/>
      <c r="C18" s="188" t="s">
        <v>255</v>
      </c>
      <c r="D18" s="197" t="s">
        <v>114</v>
      </c>
      <c r="E18" s="198">
        <v>1.4962E-2</v>
      </c>
      <c r="F18" s="135"/>
      <c r="G18" s="29"/>
      <c r="H18" s="29"/>
      <c r="I18" s="29"/>
      <c r="J18" s="29"/>
      <c r="K18" s="29"/>
      <c r="L18" s="29"/>
      <c r="M18" s="29"/>
      <c r="N18" s="29"/>
      <c r="O18" s="29"/>
      <c r="P18" s="29"/>
      <c r="Q18" s="29"/>
      <c r="R18" s="29"/>
      <c r="S18" s="29"/>
      <c r="T18" s="25"/>
      <c r="W18" s="237" t="s">
        <v>12</v>
      </c>
      <c r="X18" s="240">
        <v>2.6568000000000001E-2</v>
      </c>
    </row>
    <row r="19" spans="2:24" ht="30" x14ac:dyDescent="0.25">
      <c r="B19" s="64"/>
      <c r="C19" s="188" t="s">
        <v>285</v>
      </c>
      <c r="D19" s="197" t="s">
        <v>112</v>
      </c>
      <c r="E19" s="198">
        <v>1.3759E-2</v>
      </c>
      <c r="F19" s="135"/>
      <c r="G19" s="29"/>
      <c r="H19" s="29"/>
      <c r="I19" s="29"/>
      <c r="J19" s="29"/>
      <c r="K19" s="29"/>
      <c r="L19" s="29"/>
      <c r="M19" s="29"/>
      <c r="N19" s="29"/>
      <c r="O19" s="29"/>
      <c r="P19" s="29"/>
      <c r="Q19" s="29"/>
      <c r="R19" s="29"/>
      <c r="S19" s="29"/>
      <c r="T19" s="25"/>
      <c r="W19" s="237" t="s">
        <v>125</v>
      </c>
      <c r="X19" s="240">
        <v>2.5185999999999997E-2</v>
      </c>
    </row>
    <row r="20" spans="2:24" ht="15" customHeight="1" x14ac:dyDescent="0.25">
      <c r="B20" s="64"/>
      <c r="C20" s="188" t="s">
        <v>325</v>
      </c>
      <c r="D20" s="197" t="s">
        <v>134</v>
      </c>
      <c r="E20" s="198">
        <v>1.3735000000000001E-2</v>
      </c>
      <c r="F20" s="135"/>
      <c r="G20" s="29"/>
      <c r="H20" s="29"/>
      <c r="I20" s="29"/>
      <c r="J20" s="29"/>
      <c r="K20" s="29"/>
      <c r="L20" s="29"/>
      <c r="M20" s="29"/>
      <c r="N20" s="29"/>
      <c r="O20" s="29"/>
      <c r="P20" s="29"/>
      <c r="Q20" s="29"/>
      <c r="R20" s="29"/>
      <c r="S20" s="29"/>
      <c r="T20" s="25"/>
      <c r="W20" s="237" t="s">
        <v>87</v>
      </c>
      <c r="X20" s="240">
        <v>2.3858000000000001E-2</v>
      </c>
    </row>
    <row r="21" spans="2:24" ht="17.25" customHeight="1" x14ac:dyDescent="0.25">
      <c r="B21" s="64"/>
      <c r="C21" s="188" t="s">
        <v>200</v>
      </c>
      <c r="D21" s="197" t="s">
        <v>107</v>
      </c>
      <c r="E21" s="198">
        <v>1.3648E-2</v>
      </c>
      <c r="F21" s="135"/>
      <c r="G21" s="29"/>
      <c r="H21" s="29"/>
      <c r="I21" s="29"/>
      <c r="J21" s="29"/>
      <c r="K21" s="29"/>
      <c r="L21" s="29"/>
      <c r="M21" s="29"/>
      <c r="N21" s="29"/>
      <c r="O21" s="29"/>
      <c r="P21" s="29"/>
      <c r="Q21" s="29"/>
      <c r="R21" s="29"/>
      <c r="S21" s="29"/>
      <c r="T21" s="25"/>
      <c r="W21" s="237" t="s">
        <v>113</v>
      </c>
      <c r="X21" s="240">
        <v>2.3650999999999998E-2</v>
      </c>
    </row>
    <row r="22" spans="2:24" ht="15" customHeight="1" x14ac:dyDescent="0.25">
      <c r="B22" s="64"/>
      <c r="C22" s="188" t="s">
        <v>331</v>
      </c>
      <c r="D22" s="197" t="s">
        <v>147</v>
      </c>
      <c r="E22" s="198">
        <v>1.3613999999999999E-2</v>
      </c>
      <c r="F22" s="135"/>
      <c r="G22" s="29"/>
      <c r="H22" s="29"/>
      <c r="I22" s="29"/>
      <c r="J22" s="29"/>
      <c r="K22" s="29"/>
      <c r="L22" s="29"/>
      <c r="M22" s="29"/>
      <c r="N22" s="29"/>
      <c r="O22" s="29"/>
      <c r="P22" s="29"/>
      <c r="Q22" s="29"/>
      <c r="R22" s="29"/>
      <c r="S22" s="29"/>
      <c r="T22" s="25"/>
      <c r="W22" s="237" t="s">
        <v>24</v>
      </c>
      <c r="X22" s="240">
        <v>2.2418E-2</v>
      </c>
    </row>
    <row r="23" spans="2:24" ht="15" customHeight="1" x14ac:dyDescent="0.25">
      <c r="B23" s="64"/>
      <c r="C23" s="82"/>
      <c r="D23" s="82"/>
      <c r="E23" s="83"/>
      <c r="F23" s="135"/>
      <c r="G23" s="29"/>
      <c r="H23" s="29"/>
      <c r="I23" s="29"/>
      <c r="J23" s="29"/>
      <c r="K23" s="29"/>
      <c r="L23" s="29"/>
      <c r="M23" s="29"/>
      <c r="N23" s="29"/>
      <c r="O23" s="29"/>
      <c r="P23" s="29"/>
      <c r="Q23" s="29"/>
      <c r="R23" s="29"/>
      <c r="S23" s="29"/>
      <c r="T23" s="25"/>
      <c r="W23" s="237" t="s">
        <v>147</v>
      </c>
      <c r="X23" s="240">
        <v>1.9866999999999999E-2</v>
      </c>
    </row>
    <row r="24" spans="2:24" ht="15" customHeight="1" x14ac:dyDescent="0.25">
      <c r="B24" s="64"/>
      <c r="C24" s="164" t="s">
        <v>55</v>
      </c>
      <c r="D24" s="165"/>
      <c r="E24" s="166">
        <f>SUM(E8:E22)</f>
        <v>0.29058200000000001</v>
      </c>
      <c r="F24" s="29"/>
      <c r="G24" s="29"/>
      <c r="H24" s="29"/>
      <c r="I24" s="29"/>
      <c r="J24" s="29"/>
      <c r="K24" s="29"/>
      <c r="L24" s="29"/>
      <c r="M24" s="29"/>
      <c r="N24" s="29"/>
      <c r="O24" s="29"/>
      <c r="P24" s="29"/>
      <c r="Q24" s="29"/>
      <c r="R24" s="29"/>
      <c r="S24" s="29"/>
      <c r="T24" s="25"/>
      <c r="W24" s="237" t="s">
        <v>107</v>
      </c>
      <c r="X24" s="240">
        <v>1.9644999999999999E-2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237" t="s">
        <v>10</v>
      </c>
      <c r="X25" s="240">
        <v>1.9266000000000002E-2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237" t="s">
        <v>16</v>
      </c>
      <c r="X26" s="240">
        <v>1.9064999999999999E-2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237" t="s">
        <v>78</v>
      </c>
      <c r="X27" s="240">
        <v>1.8752000000000001E-2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237" t="s">
        <v>120</v>
      </c>
      <c r="X28" s="240">
        <v>1.8577999999999997E-2</v>
      </c>
    </row>
    <row r="29" spans="2:24" ht="15" customHeight="1" x14ac:dyDescent="0.25">
      <c r="B29" s="64"/>
      <c r="C29" s="29"/>
      <c r="D29" s="29"/>
      <c r="E29" s="29"/>
      <c r="F29" s="29"/>
      <c r="G29" s="29"/>
      <c r="H29" s="29"/>
      <c r="I29" s="29"/>
      <c r="J29" s="29"/>
      <c r="K29" s="29"/>
      <c r="L29" s="29"/>
      <c r="M29" s="29"/>
      <c r="N29" s="29"/>
      <c r="O29" s="29"/>
      <c r="P29" s="29"/>
      <c r="Q29" s="29"/>
      <c r="R29" s="29"/>
      <c r="S29" s="29"/>
      <c r="T29" s="25"/>
      <c r="W29" s="237" t="s">
        <v>86</v>
      </c>
      <c r="X29" s="240">
        <v>1.5467999999999999E-2</v>
      </c>
    </row>
    <row r="30" spans="2:24" ht="15" customHeight="1" x14ac:dyDescent="0.25">
      <c r="B30" s="64"/>
      <c r="C30" s="29"/>
      <c r="D30" s="29"/>
      <c r="E30" s="29"/>
      <c r="F30" s="29"/>
      <c r="G30" s="29"/>
      <c r="H30" s="29"/>
      <c r="I30" s="29"/>
      <c r="J30" s="29"/>
      <c r="K30" s="29"/>
      <c r="L30" s="29"/>
      <c r="M30" s="29"/>
      <c r="N30" s="29"/>
      <c r="O30" s="29"/>
      <c r="P30" s="29"/>
      <c r="Q30" s="29"/>
      <c r="R30" s="29"/>
      <c r="S30" s="29"/>
      <c r="T30" s="25"/>
      <c r="W30" s="237" t="s">
        <v>11</v>
      </c>
      <c r="X30" s="240">
        <v>1.5207999999999999E-2</v>
      </c>
    </row>
    <row r="31" spans="2:24" ht="15" customHeight="1" x14ac:dyDescent="0.25">
      <c r="B31" s="64"/>
      <c r="C31" s="29"/>
      <c r="D31" s="29"/>
      <c r="E31" s="29"/>
      <c r="F31" s="29"/>
      <c r="G31" s="29"/>
      <c r="H31" s="29"/>
      <c r="I31" s="29"/>
      <c r="J31" s="29"/>
      <c r="K31" s="29"/>
      <c r="L31" s="29"/>
      <c r="M31" s="29"/>
      <c r="N31" s="29"/>
      <c r="O31" s="29"/>
      <c r="P31" s="29"/>
      <c r="Q31" s="29"/>
      <c r="R31" s="29"/>
      <c r="S31" s="29"/>
      <c r="T31" s="25"/>
      <c r="W31" s="237" t="s">
        <v>187</v>
      </c>
      <c r="X31" s="240">
        <v>1.4192E-2</v>
      </c>
    </row>
    <row r="32" spans="2:24" ht="15" customHeight="1" x14ac:dyDescent="0.25">
      <c r="B32" s="64"/>
      <c r="C32" s="29"/>
      <c r="D32" s="29"/>
      <c r="E32" s="29"/>
      <c r="F32" s="29"/>
      <c r="G32" s="29"/>
      <c r="H32" s="29"/>
      <c r="I32" s="29"/>
      <c r="J32" s="29"/>
      <c r="K32" s="29"/>
      <c r="L32" s="29"/>
      <c r="M32" s="29"/>
      <c r="N32" s="29"/>
      <c r="O32" s="29"/>
      <c r="P32" s="29"/>
      <c r="Q32" s="29"/>
      <c r="R32" s="29"/>
      <c r="S32" s="29"/>
      <c r="T32" s="25"/>
      <c r="W32" s="237" t="s">
        <v>134</v>
      </c>
      <c r="X32" s="240">
        <v>1.3735000000000001E-2</v>
      </c>
    </row>
    <row r="33" spans="2:24" ht="15" customHeight="1" x14ac:dyDescent="0.25">
      <c r="B33" s="64"/>
      <c r="C33" s="29"/>
      <c r="D33" s="29"/>
      <c r="E33" s="29"/>
      <c r="F33" s="29"/>
      <c r="G33" s="29"/>
      <c r="H33" s="29"/>
      <c r="I33" s="29"/>
      <c r="J33" s="29"/>
      <c r="K33" s="29"/>
      <c r="L33" s="29"/>
      <c r="M33" s="29"/>
      <c r="N33" s="29"/>
      <c r="O33" s="29"/>
      <c r="P33" s="29"/>
      <c r="Q33" s="29"/>
      <c r="R33" s="29"/>
      <c r="S33" s="29"/>
      <c r="T33" s="25"/>
      <c r="W33" s="237" t="s">
        <v>123</v>
      </c>
      <c r="X33" s="240">
        <v>1.3188000000000002E-2</v>
      </c>
    </row>
    <row r="34" spans="2:24" ht="15" customHeight="1" x14ac:dyDescent="0.25">
      <c r="B34" s="64"/>
      <c r="C34" s="29"/>
      <c r="D34" s="29"/>
      <c r="E34" s="29"/>
      <c r="F34" s="29"/>
      <c r="G34" s="29"/>
      <c r="H34" s="29"/>
      <c r="I34" s="29"/>
      <c r="J34" s="29"/>
      <c r="K34" s="29"/>
      <c r="L34" s="29"/>
      <c r="M34" s="29"/>
      <c r="N34" s="29"/>
      <c r="O34" s="29"/>
      <c r="P34" s="29"/>
      <c r="Q34" s="29"/>
      <c r="R34" s="29"/>
      <c r="S34" s="29"/>
      <c r="T34" s="25"/>
      <c r="W34" s="237" t="s">
        <v>85</v>
      </c>
      <c r="X34" s="240">
        <v>1.1940000000000001E-2</v>
      </c>
    </row>
    <row r="35" spans="2:24" ht="15" customHeight="1" x14ac:dyDescent="0.25">
      <c r="B35" s="64"/>
      <c r="C35" s="29"/>
      <c r="D35" s="29"/>
      <c r="E35" s="29"/>
      <c r="F35" s="29"/>
      <c r="G35" s="29"/>
      <c r="H35" s="29"/>
      <c r="I35" s="29"/>
      <c r="J35" s="29"/>
      <c r="K35" s="29"/>
      <c r="L35" s="29"/>
      <c r="M35" s="29"/>
      <c r="N35" s="29"/>
      <c r="O35" s="29"/>
      <c r="P35" s="29"/>
      <c r="Q35" s="29"/>
      <c r="R35" s="29"/>
      <c r="S35" s="29"/>
      <c r="T35" s="25"/>
      <c r="W35" s="237" t="s">
        <v>84</v>
      </c>
      <c r="X35" s="240">
        <v>1.1300000000000001E-2</v>
      </c>
    </row>
    <row r="36" spans="2:24" ht="15" customHeight="1" x14ac:dyDescent="0.25">
      <c r="B36" s="64"/>
      <c r="C36" s="29"/>
      <c r="D36" s="29"/>
      <c r="E36" s="29"/>
      <c r="F36" s="29"/>
      <c r="G36" s="29"/>
      <c r="H36" s="29"/>
      <c r="I36" s="29"/>
      <c r="J36" s="29"/>
      <c r="K36" s="29"/>
      <c r="L36" s="29"/>
      <c r="M36" s="29"/>
      <c r="N36" s="29"/>
      <c r="O36" s="29"/>
      <c r="P36" s="29"/>
      <c r="Q36" s="29"/>
      <c r="R36" s="29"/>
      <c r="S36" s="29"/>
      <c r="T36" s="25"/>
      <c r="W36" s="237" t="s">
        <v>127</v>
      </c>
      <c r="X36" s="240">
        <v>9.5940000000000001E-3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237" t="s">
        <v>13</v>
      </c>
      <c r="X37" s="240">
        <v>9.496000000000001E-3</v>
      </c>
    </row>
    <row r="38" spans="2:24" ht="15" customHeight="1" thickBot="1" x14ac:dyDescent="0.3">
      <c r="B38" s="76"/>
      <c r="C38" s="30"/>
      <c r="D38" s="30"/>
      <c r="E38" s="30"/>
      <c r="F38" s="30"/>
      <c r="G38" s="30"/>
      <c r="H38" s="30"/>
      <c r="I38" s="30"/>
      <c r="J38" s="30"/>
      <c r="K38" s="30"/>
      <c r="L38" s="30"/>
      <c r="M38" s="30"/>
      <c r="N38" s="30"/>
      <c r="O38" s="30"/>
      <c r="P38" s="30"/>
      <c r="Q38" s="30"/>
      <c r="R38" s="30"/>
      <c r="S38" s="30"/>
      <c r="T38" s="26"/>
      <c r="W38" s="237" t="s">
        <v>116</v>
      </c>
      <c r="X38" s="240">
        <v>8.9639999999999997E-3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237" t="s">
        <v>117</v>
      </c>
      <c r="X39" s="240">
        <v>8.8260000000000005E-3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237" t="s">
        <v>124</v>
      </c>
      <c r="X40" s="240">
        <v>7.4019999999999997E-3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237" t="s">
        <v>138</v>
      </c>
      <c r="X41" s="240">
        <v>7.2690000000000003E-3</v>
      </c>
    </row>
    <row r="42" spans="2:24" ht="15" customHeight="1" x14ac:dyDescent="0.25">
      <c r="B42" s="262" t="s">
        <v>184</v>
      </c>
      <c r="C42" s="263"/>
      <c r="D42" s="263"/>
      <c r="E42" s="263"/>
      <c r="F42" s="263"/>
      <c r="G42" s="263"/>
      <c r="H42" s="263"/>
      <c r="I42" s="263"/>
      <c r="J42" s="263"/>
      <c r="K42" s="263"/>
      <c r="L42" s="263"/>
      <c r="M42" s="263"/>
      <c r="N42" s="263"/>
      <c r="O42" s="263"/>
      <c r="P42" s="263"/>
      <c r="Q42" s="263"/>
      <c r="R42" s="264"/>
      <c r="T42" s="29"/>
      <c r="W42" s="237" t="s">
        <v>119</v>
      </c>
      <c r="X42" s="240">
        <v>6.1029999999999999E-3</v>
      </c>
    </row>
    <row r="43" spans="2:24" ht="15" customHeight="1" x14ac:dyDescent="0.25">
      <c r="B43" s="265"/>
      <c r="C43" s="266"/>
      <c r="D43" s="266"/>
      <c r="E43" s="266"/>
      <c r="F43" s="266"/>
      <c r="G43" s="266"/>
      <c r="H43" s="266"/>
      <c r="I43" s="266"/>
      <c r="J43" s="266"/>
      <c r="K43" s="266"/>
      <c r="L43" s="266"/>
      <c r="M43" s="266"/>
      <c r="N43" s="266"/>
      <c r="O43" s="266"/>
      <c r="P43" s="266"/>
      <c r="Q43" s="266"/>
      <c r="R43" s="267"/>
      <c r="T43" s="29"/>
      <c r="W43" s="237" t="s">
        <v>128</v>
      </c>
      <c r="X43" s="240">
        <v>5.6810000000000003E-3</v>
      </c>
    </row>
    <row r="44" spans="2:24" ht="15" customHeight="1" x14ac:dyDescent="0.25">
      <c r="B44" s="265"/>
      <c r="C44" s="266"/>
      <c r="D44" s="266"/>
      <c r="E44" s="266"/>
      <c r="F44" s="266"/>
      <c r="G44" s="266"/>
      <c r="H44" s="266"/>
      <c r="I44" s="266"/>
      <c r="J44" s="266"/>
      <c r="K44" s="266"/>
      <c r="L44" s="266"/>
      <c r="M44" s="266"/>
      <c r="N44" s="266"/>
      <c r="O44" s="266"/>
      <c r="P44" s="266"/>
      <c r="Q44" s="266"/>
      <c r="R44" s="267"/>
      <c r="T44" s="29"/>
      <c r="W44" s="237" t="s">
        <v>88</v>
      </c>
      <c r="X44" s="240">
        <v>4.9259999999999998E-3</v>
      </c>
    </row>
    <row r="45" spans="2:24" ht="15" customHeight="1" x14ac:dyDescent="0.25">
      <c r="B45" s="265"/>
      <c r="C45" s="266"/>
      <c r="D45" s="266"/>
      <c r="E45" s="266"/>
      <c r="F45" s="266"/>
      <c r="G45" s="266"/>
      <c r="H45" s="266"/>
      <c r="I45" s="266"/>
      <c r="J45" s="266"/>
      <c r="K45" s="266"/>
      <c r="L45" s="266"/>
      <c r="M45" s="266"/>
      <c r="N45" s="266"/>
      <c r="O45" s="266"/>
      <c r="P45" s="266"/>
      <c r="Q45" s="266"/>
      <c r="R45" s="267"/>
      <c r="T45" s="29"/>
      <c r="W45" s="237" t="s">
        <v>96</v>
      </c>
      <c r="X45" s="240">
        <v>4.4349999999999997E-3</v>
      </c>
    </row>
    <row r="46" spans="2:24" ht="15" customHeight="1" x14ac:dyDescent="0.25">
      <c r="B46" s="265"/>
      <c r="C46" s="266"/>
      <c r="D46" s="266"/>
      <c r="E46" s="266"/>
      <c r="F46" s="266"/>
      <c r="G46" s="266"/>
      <c r="H46" s="266"/>
      <c r="I46" s="266"/>
      <c r="J46" s="266"/>
      <c r="K46" s="266"/>
      <c r="L46" s="266"/>
      <c r="M46" s="266"/>
      <c r="N46" s="266"/>
      <c r="O46" s="266"/>
      <c r="P46" s="266"/>
      <c r="Q46" s="266"/>
      <c r="R46" s="267"/>
      <c r="T46" s="29"/>
      <c r="X46" s="240"/>
    </row>
    <row r="47" spans="2:24" ht="15" customHeight="1" x14ac:dyDescent="0.25">
      <c r="B47" s="265"/>
      <c r="C47" s="266"/>
      <c r="D47" s="266"/>
      <c r="E47" s="266"/>
      <c r="F47" s="266"/>
      <c r="G47" s="266"/>
      <c r="H47" s="266"/>
      <c r="I47" s="266"/>
      <c r="J47" s="266"/>
      <c r="K47" s="266"/>
      <c r="L47" s="266"/>
      <c r="M47" s="266"/>
      <c r="N47" s="266"/>
      <c r="O47" s="266"/>
      <c r="P47" s="266"/>
      <c r="Q47" s="266"/>
      <c r="R47" s="267"/>
      <c r="T47" s="29"/>
      <c r="X47" s="240"/>
    </row>
    <row r="48" spans="2:24" ht="15" customHeight="1" thickBot="1" x14ac:dyDescent="0.3">
      <c r="B48" s="268"/>
      <c r="C48" s="269"/>
      <c r="D48" s="269"/>
      <c r="E48" s="269"/>
      <c r="F48" s="269"/>
      <c r="G48" s="269"/>
      <c r="H48" s="269"/>
      <c r="I48" s="269"/>
      <c r="J48" s="269"/>
      <c r="K48" s="269"/>
      <c r="L48" s="269"/>
      <c r="M48" s="269"/>
      <c r="N48" s="269"/>
      <c r="O48" s="269"/>
      <c r="P48" s="269"/>
      <c r="Q48" s="269"/>
      <c r="R48" s="270"/>
      <c r="T48" s="29"/>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271" t="s">
        <v>173</v>
      </c>
      <c r="D3" s="272"/>
      <c r="E3" s="272"/>
      <c r="F3" s="272"/>
      <c r="G3" s="272"/>
      <c r="H3" s="272"/>
      <c r="I3" s="272"/>
      <c r="J3" s="272"/>
      <c r="K3" s="272"/>
      <c r="L3" s="272"/>
      <c r="M3" s="272"/>
      <c r="N3" s="272"/>
      <c r="O3" s="272"/>
      <c r="P3" s="272"/>
      <c r="Q3" s="272"/>
      <c r="R3" s="272"/>
      <c r="S3" s="272"/>
      <c r="T3" s="25"/>
    </row>
    <row r="4" spans="1:24" ht="15.75" customHeight="1" x14ac:dyDescent="0.25">
      <c r="B4" s="64"/>
      <c r="C4" s="67" t="s">
        <v>356</v>
      </c>
      <c r="D4" s="150"/>
      <c r="E4" s="29"/>
      <c r="F4" s="29"/>
      <c r="G4" s="29"/>
      <c r="H4" s="29"/>
      <c r="I4" s="29"/>
      <c r="J4" s="29"/>
      <c r="K4" s="29"/>
      <c r="L4" s="29"/>
      <c r="M4" s="29"/>
      <c r="N4" s="29"/>
      <c r="O4" s="29"/>
      <c r="P4" s="29"/>
      <c r="Q4" s="29"/>
      <c r="R4" s="29"/>
      <c r="S4" s="29"/>
      <c r="T4" s="25"/>
    </row>
    <row r="5" spans="1:24" ht="18" customHeight="1" x14ac:dyDescent="0.25">
      <c r="B5" s="64"/>
      <c r="C5" s="222" t="s">
        <v>357</v>
      </c>
      <c r="D5" s="273" t="s">
        <v>360</v>
      </c>
      <c r="E5" s="273"/>
      <c r="F5" s="29"/>
      <c r="G5" s="51"/>
      <c r="H5" s="51"/>
      <c r="I5" s="51"/>
      <c r="J5" s="51"/>
      <c r="K5" s="51"/>
      <c r="L5" s="51"/>
      <c r="M5" s="51"/>
      <c r="N5" s="51"/>
      <c r="O5" s="51"/>
      <c r="P5" s="51"/>
      <c r="Q5" s="51"/>
      <c r="R5" s="51"/>
      <c r="S5" s="51"/>
      <c r="T5" s="25"/>
    </row>
    <row r="6" spans="1:24" ht="15" customHeight="1" x14ac:dyDescent="0.25">
      <c r="B6" s="64"/>
      <c r="C6" s="29"/>
      <c r="D6" s="29"/>
      <c r="E6" s="29"/>
      <c r="F6" s="29"/>
      <c r="G6" s="51"/>
      <c r="H6" s="51"/>
      <c r="I6" s="51"/>
      <c r="J6" s="51"/>
      <c r="K6" s="51"/>
      <c r="L6" s="51"/>
      <c r="M6" s="51"/>
      <c r="N6" s="51"/>
      <c r="O6" s="51"/>
      <c r="P6" s="51"/>
      <c r="Q6" s="51"/>
      <c r="R6" s="51"/>
      <c r="S6" s="51"/>
      <c r="T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5"/>
      <c r="W7" s="39" t="s">
        <v>22</v>
      </c>
      <c r="X7" s="39" t="s">
        <v>2</v>
      </c>
    </row>
    <row r="8" spans="1:24" ht="15" customHeight="1" x14ac:dyDescent="0.25">
      <c r="B8" s="64"/>
      <c r="C8" s="202" t="s">
        <v>29</v>
      </c>
      <c r="D8" s="195" t="s">
        <v>3</v>
      </c>
      <c r="E8" s="196">
        <v>8.9729000000000003E-2</v>
      </c>
      <c r="F8" s="29"/>
      <c r="G8" s="29"/>
      <c r="H8" s="29"/>
      <c r="I8" s="29"/>
      <c r="J8" s="29"/>
      <c r="K8" s="29"/>
      <c r="L8" s="29"/>
      <c r="M8" s="29"/>
      <c r="N8" s="29"/>
      <c r="O8" s="29"/>
      <c r="P8" s="29"/>
      <c r="Q8" s="29"/>
      <c r="R8" s="29"/>
      <c r="S8" s="29"/>
      <c r="T8" s="25"/>
      <c r="W8" s="173" t="s">
        <v>3</v>
      </c>
      <c r="X8" s="174">
        <v>0.19759399999999999</v>
      </c>
    </row>
    <row r="9" spans="1:24" ht="15.75" customHeight="1" x14ac:dyDescent="0.25">
      <c r="B9" s="64"/>
      <c r="C9" s="203" t="s">
        <v>31</v>
      </c>
      <c r="D9" s="197" t="s">
        <v>6</v>
      </c>
      <c r="E9" s="198">
        <v>8.0353999999999995E-2</v>
      </c>
      <c r="F9" s="29"/>
      <c r="G9" s="29"/>
      <c r="H9" s="29"/>
      <c r="I9" s="29"/>
      <c r="J9" s="29"/>
      <c r="K9" s="29"/>
      <c r="L9" s="29"/>
      <c r="M9" s="29"/>
      <c r="N9" s="29"/>
      <c r="O9" s="29"/>
      <c r="P9" s="29"/>
      <c r="Q9" s="29"/>
      <c r="R9" s="29"/>
      <c r="S9" s="29"/>
      <c r="T9" s="25"/>
      <c r="W9" s="173" t="s">
        <v>108</v>
      </c>
      <c r="X9" s="174">
        <v>0.12929299999999999</v>
      </c>
    </row>
    <row r="10" spans="1:24" ht="15" customHeight="1" x14ac:dyDescent="0.25">
      <c r="B10" s="64"/>
      <c r="C10" s="203" t="s">
        <v>32</v>
      </c>
      <c r="D10" s="197" t="s">
        <v>3</v>
      </c>
      <c r="E10" s="198">
        <v>6.5113000000000004E-2</v>
      </c>
      <c r="F10" s="29"/>
      <c r="G10" s="29"/>
      <c r="H10" s="29"/>
      <c r="I10" s="29"/>
      <c r="J10" s="29"/>
      <c r="K10" s="29"/>
      <c r="L10" s="29"/>
      <c r="M10" s="29"/>
      <c r="N10" s="29"/>
      <c r="O10" s="29"/>
      <c r="P10" s="29"/>
      <c r="Q10" s="29"/>
      <c r="R10" s="29"/>
      <c r="S10" s="29"/>
      <c r="T10" s="25"/>
      <c r="W10" s="173" t="s">
        <v>113</v>
      </c>
      <c r="X10" s="174">
        <v>8.1244999999999998E-2</v>
      </c>
    </row>
    <row r="11" spans="1:24" ht="15" customHeight="1" x14ac:dyDescent="0.25">
      <c r="B11" s="64"/>
      <c r="C11" s="203" t="s">
        <v>28</v>
      </c>
      <c r="D11" s="197" t="s">
        <v>108</v>
      </c>
      <c r="E11" s="198">
        <v>5.9381999999999997E-2</v>
      </c>
      <c r="F11" s="29"/>
      <c r="G11" s="29"/>
      <c r="H11" s="29"/>
      <c r="I11" s="29"/>
      <c r="J11" s="29"/>
      <c r="K11" s="29"/>
      <c r="L11" s="29"/>
      <c r="M11" s="29"/>
      <c r="N11" s="29"/>
      <c r="O11" s="29"/>
      <c r="P11" s="29"/>
      <c r="Q11" s="29"/>
      <c r="R11" s="29"/>
      <c r="S11" s="29"/>
      <c r="T11" s="25"/>
      <c r="W11" s="173" t="s">
        <v>6</v>
      </c>
      <c r="X11" s="174">
        <v>8.0353999999999995E-2</v>
      </c>
    </row>
    <row r="12" spans="1:24" ht="15" customHeight="1" x14ac:dyDescent="0.25">
      <c r="B12" s="64"/>
      <c r="C12" s="203" t="s">
        <v>33</v>
      </c>
      <c r="D12" s="197" t="s">
        <v>108</v>
      </c>
      <c r="E12" s="198">
        <v>5.3546000000000003E-2</v>
      </c>
      <c r="F12" s="29"/>
      <c r="G12" s="29"/>
      <c r="H12" s="29"/>
      <c r="I12" s="29"/>
      <c r="J12" s="29"/>
      <c r="K12" s="29"/>
      <c r="L12" s="29"/>
      <c r="M12" s="29"/>
      <c r="N12" s="29"/>
      <c r="O12" s="29"/>
      <c r="P12" s="29"/>
      <c r="Q12" s="29"/>
      <c r="R12" s="29"/>
      <c r="S12" s="29"/>
      <c r="T12" s="25"/>
      <c r="W12" s="173" t="s">
        <v>112</v>
      </c>
      <c r="X12" s="174">
        <v>5.9039000000000001E-2</v>
      </c>
    </row>
    <row r="13" spans="1:24" ht="15" customHeight="1" x14ac:dyDescent="0.25">
      <c r="B13" s="64"/>
      <c r="C13" s="203" t="s">
        <v>121</v>
      </c>
      <c r="D13" s="197" t="s">
        <v>113</v>
      </c>
      <c r="E13" s="198">
        <v>3.1813000000000001E-2</v>
      </c>
      <c r="F13" s="29"/>
      <c r="G13" s="29"/>
      <c r="H13" s="29"/>
      <c r="I13" s="29"/>
      <c r="J13" s="29"/>
      <c r="K13" s="29"/>
      <c r="L13" s="29"/>
      <c r="M13" s="29"/>
      <c r="N13" s="29"/>
      <c r="O13" s="29"/>
      <c r="P13" s="29"/>
      <c r="Q13" s="29"/>
      <c r="R13" s="29"/>
      <c r="S13" s="29"/>
      <c r="T13" s="25"/>
      <c r="W13" s="173" t="s">
        <v>4</v>
      </c>
      <c r="X13" s="174">
        <v>5.3251E-2</v>
      </c>
    </row>
    <row r="14" spans="1:24" ht="15" customHeight="1" x14ac:dyDescent="0.25">
      <c r="B14" s="64"/>
      <c r="C14" s="203" t="s">
        <v>70</v>
      </c>
      <c r="D14" s="197" t="s">
        <v>12</v>
      </c>
      <c r="E14" s="198">
        <v>3.1255999999999999E-2</v>
      </c>
      <c r="F14" s="29"/>
      <c r="G14" s="29"/>
      <c r="H14" s="29"/>
      <c r="I14" s="29"/>
      <c r="J14" s="29"/>
      <c r="K14" s="29"/>
      <c r="L14" s="29"/>
      <c r="M14" s="29"/>
      <c r="N14" s="29"/>
      <c r="O14" s="29"/>
      <c r="P14" s="29"/>
      <c r="Q14" s="29"/>
      <c r="R14" s="29"/>
      <c r="S14" s="29"/>
      <c r="T14" s="25"/>
      <c r="W14" s="173" t="s">
        <v>118</v>
      </c>
      <c r="X14" s="174">
        <v>4.4718999999999995E-2</v>
      </c>
    </row>
    <row r="15" spans="1:24" ht="15" customHeight="1" x14ac:dyDescent="0.25">
      <c r="B15" s="64"/>
      <c r="C15" s="203" t="s">
        <v>268</v>
      </c>
      <c r="D15" s="197" t="s">
        <v>84</v>
      </c>
      <c r="E15" s="198">
        <v>3.0735999999999999E-2</v>
      </c>
      <c r="F15" s="29"/>
      <c r="G15" s="29"/>
      <c r="H15" s="29"/>
      <c r="I15" s="29"/>
      <c r="J15" s="29"/>
      <c r="K15" s="29"/>
      <c r="L15" s="29"/>
      <c r="M15" s="29"/>
      <c r="N15" s="29"/>
      <c r="O15" s="29"/>
      <c r="P15" s="29"/>
      <c r="Q15" s="29"/>
      <c r="R15" s="29"/>
      <c r="S15" s="29"/>
      <c r="T15" s="25"/>
      <c r="W15" s="173" t="s">
        <v>26</v>
      </c>
      <c r="X15" s="174">
        <v>4.3537999999999993E-2</v>
      </c>
    </row>
    <row r="16" spans="1:24" ht="15" customHeight="1" x14ac:dyDescent="0.25">
      <c r="B16" s="64"/>
      <c r="C16" s="203" t="s">
        <v>217</v>
      </c>
      <c r="D16" s="197" t="s">
        <v>112</v>
      </c>
      <c r="E16" s="198">
        <v>2.8691000000000001E-2</v>
      </c>
      <c r="F16" s="29"/>
      <c r="G16" s="29"/>
      <c r="H16" s="29"/>
      <c r="I16" s="29"/>
      <c r="J16" s="29"/>
      <c r="K16" s="29"/>
      <c r="L16" s="29"/>
      <c r="M16" s="29"/>
      <c r="N16" s="29"/>
      <c r="O16" s="29"/>
      <c r="P16" s="29"/>
      <c r="Q16" s="29"/>
      <c r="R16" s="29"/>
      <c r="S16" s="29"/>
      <c r="T16" s="25"/>
      <c r="W16" s="173" t="s">
        <v>12</v>
      </c>
      <c r="X16" s="174">
        <v>3.1255999999999999E-2</v>
      </c>
    </row>
    <row r="17" spans="2:24" ht="15" customHeight="1" x14ac:dyDescent="0.25">
      <c r="B17" s="64"/>
      <c r="C17" s="203" t="s">
        <v>36</v>
      </c>
      <c r="D17" s="197" t="s">
        <v>3</v>
      </c>
      <c r="E17" s="198">
        <v>2.5198000000000002E-2</v>
      </c>
      <c r="F17" s="29"/>
      <c r="G17" s="29"/>
      <c r="H17" s="29"/>
      <c r="I17" s="29"/>
      <c r="J17" s="29"/>
      <c r="K17" s="29"/>
      <c r="L17" s="29"/>
      <c r="M17" s="29"/>
      <c r="N17" s="29"/>
      <c r="O17" s="29"/>
      <c r="P17" s="29"/>
      <c r="Q17" s="29"/>
      <c r="R17" s="29"/>
      <c r="S17" s="29"/>
      <c r="T17" s="25"/>
      <c r="W17" s="173" t="s">
        <v>84</v>
      </c>
      <c r="X17" s="174">
        <v>3.0735999999999999E-2</v>
      </c>
    </row>
    <row r="18" spans="2:24" ht="15" customHeight="1" x14ac:dyDescent="0.25">
      <c r="B18" s="64"/>
      <c r="C18" s="203" t="s">
        <v>30</v>
      </c>
      <c r="D18" s="197" t="s">
        <v>118</v>
      </c>
      <c r="E18" s="198">
        <v>2.4936E-2</v>
      </c>
      <c r="F18" s="29"/>
      <c r="G18" s="29"/>
      <c r="H18" s="29"/>
      <c r="I18" s="29"/>
      <c r="J18" s="29"/>
      <c r="K18" s="29"/>
      <c r="L18" s="29"/>
      <c r="M18" s="29"/>
      <c r="N18" s="29"/>
      <c r="O18" s="29"/>
      <c r="P18" s="29"/>
      <c r="Q18" s="29"/>
      <c r="R18" s="29"/>
      <c r="S18" s="29"/>
      <c r="T18" s="25"/>
      <c r="W18" s="173" t="s">
        <v>122</v>
      </c>
      <c r="X18" s="174">
        <v>2.9904E-2</v>
      </c>
    </row>
    <row r="19" spans="2:24" ht="15" customHeight="1" x14ac:dyDescent="0.25">
      <c r="B19" s="64"/>
      <c r="C19" s="203" t="s">
        <v>315</v>
      </c>
      <c r="D19" s="197" t="s">
        <v>303</v>
      </c>
      <c r="E19" s="198">
        <v>2.1602E-2</v>
      </c>
      <c r="F19" s="29"/>
      <c r="G19" s="29"/>
      <c r="H19" s="29"/>
      <c r="I19" s="29"/>
      <c r="J19" s="29"/>
      <c r="K19" s="29"/>
      <c r="L19" s="29"/>
      <c r="M19" s="29"/>
      <c r="N19" s="29"/>
      <c r="O19" s="29"/>
      <c r="P19" s="29"/>
      <c r="Q19" s="29"/>
      <c r="R19" s="29"/>
      <c r="S19" s="29"/>
      <c r="T19" s="25"/>
      <c r="W19" s="173" t="s">
        <v>85</v>
      </c>
      <c r="X19" s="174">
        <v>2.3970999999999999E-2</v>
      </c>
    </row>
    <row r="20" spans="2:24" ht="15" customHeight="1" x14ac:dyDescent="0.25">
      <c r="B20" s="64"/>
      <c r="C20" s="203" t="s">
        <v>200</v>
      </c>
      <c r="D20" s="197" t="s">
        <v>107</v>
      </c>
      <c r="E20" s="198">
        <v>2.1420000000000002E-2</v>
      </c>
      <c r="F20" s="29"/>
      <c r="G20" s="29"/>
      <c r="H20" s="29"/>
      <c r="I20" s="29"/>
      <c r="J20" s="29"/>
      <c r="K20" s="29"/>
      <c r="L20" s="29"/>
      <c r="M20" s="29"/>
      <c r="N20" s="29"/>
      <c r="O20" s="29"/>
      <c r="P20" s="29"/>
      <c r="Q20" s="29"/>
      <c r="R20" s="29"/>
      <c r="S20" s="29"/>
      <c r="T20" s="25"/>
      <c r="W20" s="173" t="s">
        <v>303</v>
      </c>
      <c r="X20" s="174">
        <v>2.1602E-2</v>
      </c>
    </row>
    <row r="21" spans="2:24" ht="15" customHeight="1" x14ac:dyDescent="0.25">
      <c r="B21" s="64"/>
      <c r="C21" s="203" t="s">
        <v>37</v>
      </c>
      <c r="D21" s="197" t="s">
        <v>118</v>
      </c>
      <c r="E21" s="198">
        <v>1.9782999999999999E-2</v>
      </c>
      <c r="F21" s="29"/>
      <c r="G21" s="29"/>
      <c r="H21" s="29"/>
      <c r="I21" s="29"/>
      <c r="J21" s="29"/>
      <c r="K21" s="29"/>
      <c r="L21" s="29"/>
      <c r="M21" s="29"/>
      <c r="N21" s="29"/>
      <c r="O21" s="29"/>
      <c r="P21" s="29"/>
      <c r="Q21" s="29"/>
      <c r="R21" s="29"/>
      <c r="S21" s="29"/>
      <c r="T21" s="25"/>
      <c r="W21" s="173" t="s">
        <v>107</v>
      </c>
      <c r="X21" s="174">
        <v>2.1420000000000002E-2</v>
      </c>
    </row>
    <row r="22" spans="2:24" ht="15" customHeight="1" x14ac:dyDescent="0.25">
      <c r="B22" s="64"/>
      <c r="C22" s="203" t="s">
        <v>106</v>
      </c>
      <c r="D22" s="197" t="s">
        <v>4</v>
      </c>
      <c r="E22" s="198">
        <v>1.9276000000000001E-2</v>
      </c>
      <c r="F22" s="29"/>
      <c r="G22" s="29"/>
      <c r="H22" s="29"/>
      <c r="I22" s="29"/>
      <c r="J22" s="29"/>
      <c r="K22" s="29"/>
      <c r="L22" s="29"/>
      <c r="M22" s="29"/>
      <c r="N22" s="29"/>
      <c r="O22" s="29"/>
      <c r="P22" s="29"/>
      <c r="Q22" s="29"/>
      <c r="R22" s="29"/>
      <c r="S22" s="29"/>
      <c r="T22" s="25"/>
      <c r="W22" s="173" t="s">
        <v>11</v>
      </c>
      <c r="X22" s="174">
        <v>2.0416999999999998E-2</v>
      </c>
    </row>
    <row r="23" spans="2:24" ht="15" customHeight="1" x14ac:dyDescent="0.25">
      <c r="B23" s="64"/>
      <c r="C23" s="71"/>
      <c r="D23" s="71"/>
      <c r="E23" s="72"/>
      <c r="F23" s="29"/>
      <c r="G23" s="29"/>
      <c r="H23" s="29"/>
      <c r="I23" s="29"/>
      <c r="J23" s="29"/>
      <c r="K23" s="29"/>
      <c r="L23" s="29"/>
      <c r="M23" s="29"/>
      <c r="N23" s="29"/>
      <c r="O23" s="29"/>
      <c r="P23" s="29"/>
      <c r="Q23" s="29"/>
      <c r="R23" s="29"/>
      <c r="S23" s="29"/>
      <c r="T23" s="25"/>
      <c r="W23" s="173" t="s">
        <v>88</v>
      </c>
      <c r="X23" s="174">
        <v>1.5817000000000001E-2</v>
      </c>
    </row>
    <row r="24" spans="2:24" ht="15" customHeight="1" x14ac:dyDescent="0.25">
      <c r="B24" s="64"/>
      <c r="C24" s="73" t="s">
        <v>55</v>
      </c>
      <c r="D24" s="74"/>
      <c r="E24" s="75">
        <f>SUM(E8:E23)</f>
        <v>0.6028349999999999</v>
      </c>
      <c r="F24" s="29"/>
      <c r="G24" s="29"/>
      <c r="H24" s="29"/>
      <c r="I24" s="29"/>
      <c r="J24" s="29"/>
      <c r="K24" s="29"/>
      <c r="L24" s="29"/>
      <c r="M24" s="29"/>
      <c r="N24" s="29"/>
      <c r="O24" s="29"/>
      <c r="P24" s="29"/>
      <c r="Q24" s="29"/>
      <c r="R24" s="29"/>
      <c r="S24" s="29"/>
      <c r="T24" s="25"/>
      <c r="W24" s="173" t="s">
        <v>109</v>
      </c>
      <c r="X24" s="174">
        <v>1.4602E-2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173" t="s">
        <v>116</v>
      </c>
      <c r="X25" s="174">
        <v>1.3977E-2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173" t="s">
        <v>23</v>
      </c>
      <c r="X26" s="174">
        <v>1.3927E-2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173" t="s">
        <v>16</v>
      </c>
      <c r="X27" s="174">
        <v>1.3336000000000001E-2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173" t="s">
        <v>127</v>
      </c>
      <c r="X28" s="174">
        <v>9.3939999999999996E-3</v>
      </c>
    </row>
    <row r="29" spans="2:24" ht="15" customHeight="1" x14ac:dyDescent="0.25">
      <c r="B29" s="64"/>
      <c r="C29" s="29"/>
      <c r="D29" s="29"/>
      <c r="E29" s="29"/>
      <c r="F29" s="29"/>
      <c r="G29" s="29"/>
      <c r="H29" s="29"/>
      <c r="I29" s="29"/>
      <c r="J29" s="29"/>
      <c r="K29" s="29"/>
      <c r="L29" s="29"/>
      <c r="M29" s="29"/>
      <c r="N29" s="29"/>
      <c r="O29" s="29"/>
      <c r="P29" s="29"/>
      <c r="Q29" s="29"/>
      <c r="R29" s="29"/>
      <c r="S29" s="29"/>
      <c r="T29" s="25"/>
      <c r="W29" s="173" t="s">
        <v>125</v>
      </c>
      <c r="X29" s="174">
        <v>9.3439999999999999E-3</v>
      </c>
    </row>
    <row r="30" spans="2:24" ht="15" customHeight="1" x14ac:dyDescent="0.25">
      <c r="B30" s="64"/>
      <c r="C30" s="29"/>
      <c r="D30" s="29"/>
      <c r="E30" s="29"/>
      <c r="F30" s="29"/>
      <c r="G30" s="29"/>
      <c r="H30" s="29"/>
      <c r="I30" s="29"/>
      <c r="J30" s="29"/>
      <c r="K30" s="29"/>
      <c r="L30" s="29"/>
      <c r="M30" s="29"/>
      <c r="N30" s="29"/>
      <c r="O30" s="29"/>
      <c r="P30" s="29"/>
      <c r="Q30" s="29"/>
      <c r="R30" s="29"/>
      <c r="S30" s="29"/>
      <c r="T30" s="25"/>
      <c r="W30" s="173" t="s">
        <v>87</v>
      </c>
      <c r="X30" s="174">
        <v>8.5869999999999991E-3</v>
      </c>
    </row>
    <row r="31" spans="2:24" ht="15" customHeight="1" x14ac:dyDescent="0.25">
      <c r="B31" s="64"/>
      <c r="C31" s="29"/>
      <c r="D31" s="29"/>
      <c r="E31" s="29"/>
      <c r="F31" s="29"/>
      <c r="G31" s="29"/>
      <c r="H31" s="29"/>
      <c r="I31" s="29"/>
      <c r="J31" s="29"/>
      <c r="K31" s="29"/>
      <c r="L31" s="29"/>
      <c r="M31" s="29"/>
      <c r="N31" s="29"/>
      <c r="O31" s="29"/>
      <c r="P31" s="29"/>
      <c r="Q31" s="29"/>
      <c r="R31" s="29"/>
      <c r="S31" s="29"/>
      <c r="T31" s="25"/>
      <c r="W31" s="173" t="s">
        <v>114</v>
      </c>
      <c r="X31" s="174">
        <v>7.62E-3</v>
      </c>
    </row>
    <row r="32" spans="2:24" ht="15" customHeight="1" x14ac:dyDescent="0.25">
      <c r="B32" s="64"/>
      <c r="C32" s="29"/>
      <c r="D32" s="29"/>
      <c r="E32" s="29"/>
      <c r="F32" s="29"/>
      <c r="G32" s="29"/>
      <c r="H32" s="29"/>
      <c r="I32" s="29"/>
      <c r="J32" s="29"/>
      <c r="K32" s="29"/>
      <c r="L32" s="29"/>
      <c r="M32" s="29"/>
      <c r="N32" s="29"/>
      <c r="O32" s="29"/>
      <c r="P32" s="29"/>
      <c r="Q32" s="29"/>
      <c r="R32" s="29"/>
      <c r="S32" s="29"/>
      <c r="T32" s="25"/>
      <c r="W32" s="173" t="s">
        <v>187</v>
      </c>
      <c r="X32" s="174">
        <v>5.3319999999999999E-3</v>
      </c>
    </row>
    <row r="33" spans="2:24" ht="15" customHeight="1" x14ac:dyDescent="0.25">
      <c r="B33" s="64"/>
      <c r="C33" s="29"/>
      <c r="D33" s="29"/>
      <c r="E33" s="29"/>
      <c r="F33" s="29"/>
      <c r="G33" s="29"/>
      <c r="H33" s="29"/>
      <c r="I33" s="29"/>
      <c r="J33" s="29"/>
      <c r="K33" s="29"/>
      <c r="L33" s="29"/>
      <c r="M33" s="29"/>
      <c r="N33" s="29"/>
      <c r="O33" s="29"/>
      <c r="P33" s="29"/>
      <c r="Q33" s="29"/>
      <c r="R33" s="29"/>
      <c r="S33" s="29"/>
      <c r="T33" s="25"/>
      <c r="W33" s="173" t="s">
        <v>120</v>
      </c>
      <c r="X33" s="174">
        <v>4.8269999999999997E-3</v>
      </c>
    </row>
    <row r="34" spans="2:24" ht="15" customHeight="1" x14ac:dyDescent="0.25">
      <c r="B34" s="64"/>
      <c r="C34" s="29"/>
      <c r="D34" s="29"/>
      <c r="E34" s="29"/>
      <c r="F34" s="29"/>
      <c r="G34" s="29"/>
      <c r="H34" s="29"/>
      <c r="I34" s="29"/>
      <c r="J34" s="29"/>
      <c r="K34" s="29"/>
      <c r="L34" s="29"/>
      <c r="M34" s="29"/>
      <c r="N34" s="29"/>
      <c r="O34" s="29"/>
      <c r="P34" s="29"/>
      <c r="Q34" s="29"/>
      <c r="R34" s="29"/>
      <c r="S34" s="29"/>
      <c r="T34" s="25"/>
      <c r="W34" s="173" t="s">
        <v>86</v>
      </c>
      <c r="X34" s="174">
        <v>4.1739999999999998E-3</v>
      </c>
    </row>
    <row r="35" spans="2:24" ht="15" customHeight="1" x14ac:dyDescent="0.25">
      <c r="B35" s="64"/>
      <c r="C35" s="29"/>
      <c r="D35" s="29"/>
      <c r="E35" s="29"/>
      <c r="F35" s="29"/>
      <c r="G35" s="29"/>
      <c r="H35" s="29"/>
      <c r="I35" s="29"/>
      <c r="J35" s="29"/>
      <c r="K35" s="29"/>
      <c r="L35" s="29"/>
      <c r="M35" s="29"/>
      <c r="N35" s="29"/>
      <c r="O35" s="29"/>
      <c r="P35" s="29"/>
      <c r="Q35" s="29"/>
      <c r="R35" s="29"/>
      <c r="S35" s="29"/>
      <c r="T35" s="25"/>
      <c r="W35" s="173" t="s">
        <v>242</v>
      </c>
      <c r="X35" s="174">
        <v>1.6100000000000001E-3</v>
      </c>
    </row>
    <row r="36" spans="2:24" ht="15" customHeight="1" x14ac:dyDescent="0.25">
      <c r="B36" s="64"/>
      <c r="C36" s="29"/>
      <c r="D36" s="29"/>
      <c r="E36" s="29"/>
      <c r="F36" s="29"/>
      <c r="G36" s="29"/>
      <c r="H36" s="29"/>
      <c r="I36" s="29"/>
      <c r="J36" s="29"/>
      <c r="K36" s="29"/>
      <c r="L36" s="29"/>
      <c r="M36" s="29"/>
      <c r="N36" s="29"/>
      <c r="O36" s="29"/>
      <c r="P36" s="29"/>
      <c r="Q36" s="29"/>
      <c r="R36" s="29"/>
      <c r="S36" s="29"/>
      <c r="T36" s="25"/>
      <c r="W36" s="173"/>
      <c r="X36" s="174"/>
    </row>
    <row r="37" spans="2:24" ht="15" customHeight="1" x14ac:dyDescent="0.25">
      <c r="B37" s="64"/>
      <c r="C37" s="29"/>
      <c r="D37" s="29"/>
      <c r="E37" s="29"/>
      <c r="F37" s="29"/>
      <c r="G37" s="29"/>
      <c r="H37" s="29"/>
      <c r="I37" s="29"/>
      <c r="J37" s="29"/>
      <c r="K37" s="29"/>
      <c r="L37" s="29"/>
      <c r="M37" s="29"/>
      <c r="N37" s="29"/>
      <c r="O37" s="29"/>
      <c r="P37" s="29"/>
      <c r="Q37" s="29"/>
      <c r="R37" s="29"/>
      <c r="S37" s="29"/>
      <c r="T37" s="25"/>
      <c r="W37" s="173"/>
      <c r="X37" s="174"/>
    </row>
    <row r="38" spans="2:24" ht="15" hidden="1" customHeight="1" x14ac:dyDescent="0.25">
      <c r="B38" s="64"/>
      <c r="C38" s="29"/>
      <c r="D38" s="29"/>
      <c r="E38" s="29"/>
      <c r="F38" s="29"/>
      <c r="G38" s="29"/>
      <c r="H38" s="29"/>
      <c r="I38" s="29"/>
      <c r="J38" s="29"/>
      <c r="K38" s="29"/>
      <c r="L38" s="29"/>
      <c r="M38" s="29"/>
      <c r="N38" s="29"/>
      <c r="O38" s="29"/>
      <c r="P38" s="29"/>
      <c r="Q38" s="29"/>
      <c r="R38" s="29"/>
      <c r="S38" s="29"/>
      <c r="T38" s="25"/>
    </row>
    <row r="39" spans="2:24" ht="15" hidden="1" customHeight="1" x14ac:dyDescent="0.25">
      <c r="B39" s="64"/>
      <c r="C39" s="29"/>
      <c r="D39" s="29"/>
      <c r="E39" s="29"/>
      <c r="F39" s="29"/>
      <c r="G39" s="29"/>
      <c r="H39" s="29"/>
      <c r="I39" s="29"/>
      <c r="J39" s="29"/>
      <c r="K39" s="29"/>
      <c r="L39" s="29"/>
      <c r="M39" s="29"/>
      <c r="N39" s="29"/>
      <c r="O39" s="29"/>
      <c r="P39" s="29"/>
      <c r="Q39" s="29"/>
      <c r="R39" s="29"/>
      <c r="S39" s="29"/>
      <c r="T39" s="25"/>
    </row>
    <row r="40" spans="2:24" ht="15" hidden="1" customHeight="1" x14ac:dyDescent="0.25">
      <c r="B40" s="64"/>
      <c r="C40" s="29"/>
      <c r="D40" s="29"/>
      <c r="E40" s="29"/>
      <c r="F40" s="29"/>
      <c r="G40" s="29"/>
      <c r="H40" s="29"/>
      <c r="I40" s="29"/>
      <c r="J40" s="29"/>
      <c r="K40" s="29"/>
      <c r="L40" s="29"/>
      <c r="M40" s="29"/>
      <c r="N40" s="29"/>
      <c r="O40" s="29"/>
      <c r="P40" s="29"/>
      <c r="Q40" s="29"/>
      <c r="R40" s="29"/>
      <c r="S40" s="29"/>
      <c r="T40" s="25"/>
    </row>
    <row r="41" spans="2:24" ht="15" hidden="1" customHeight="1" x14ac:dyDescent="0.25">
      <c r="B41" s="64"/>
      <c r="C41" s="29"/>
      <c r="D41" s="29"/>
      <c r="E41" s="29"/>
      <c r="F41" s="29"/>
      <c r="G41" s="29"/>
      <c r="H41" s="29"/>
      <c r="I41" s="29"/>
      <c r="J41" s="29"/>
      <c r="K41" s="29"/>
      <c r="L41" s="29"/>
      <c r="M41" s="29"/>
      <c r="N41" s="29"/>
      <c r="O41" s="29"/>
      <c r="P41" s="29"/>
      <c r="Q41" s="29"/>
      <c r="R41" s="29"/>
      <c r="S41" s="29"/>
      <c r="T41" s="25"/>
    </row>
    <row r="42" spans="2:24" ht="15" hidden="1" customHeight="1" x14ac:dyDescent="0.25">
      <c r="B42" s="64"/>
      <c r="C42" s="29"/>
      <c r="D42" s="29"/>
      <c r="E42" s="29"/>
      <c r="F42" s="29"/>
      <c r="G42" s="29"/>
      <c r="H42" s="29"/>
      <c r="I42" s="29"/>
      <c r="J42" s="29"/>
      <c r="K42" s="29"/>
      <c r="L42" s="29"/>
      <c r="M42" s="29"/>
      <c r="N42" s="29"/>
      <c r="O42" s="29"/>
      <c r="P42" s="29"/>
      <c r="Q42" s="29"/>
      <c r="R42" s="29"/>
      <c r="S42" s="29"/>
      <c r="T42" s="25"/>
    </row>
    <row r="43" spans="2:24" ht="15" hidden="1" customHeight="1" x14ac:dyDescent="0.25">
      <c r="B43" s="64"/>
      <c r="C43" s="29"/>
      <c r="D43" s="29"/>
      <c r="E43" s="29"/>
      <c r="F43" s="29"/>
      <c r="G43" s="29"/>
      <c r="H43" s="29"/>
      <c r="I43" s="29"/>
      <c r="J43" s="29"/>
      <c r="K43" s="29"/>
      <c r="L43" s="29"/>
      <c r="M43" s="29"/>
      <c r="N43" s="29"/>
      <c r="O43" s="29"/>
      <c r="P43" s="29"/>
      <c r="Q43" s="29"/>
      <c r="R43" s="29"/>
      <c r="S43" s="29"/>
      <c r="T43" s="25"/>
    </row>
    <row r="44" spans="2:24" ht="15" hidden="1" customHeight="1" x14ac:dyDescent="0.25">
      <c r="B44" s="64"/>
      <c r="C44" s="29"/>
      <c r="D44" s="29"/>
      <c r="E44" s="29"/>
      <c r="F44" s="29"/>
      <c r="G44" s="29"/>
      <c r="H44" s="29"/>
      <c r="I44" s="29"/>
      <c r="J44" s="29"/>
      <c r="K44" s="29"/>
      <c r="L44" s="29"/>
      <c r="M44" s="29"/>
      <c r="N44" s="29"/>
      <c r="O44" s="29"/>
      <c r="P44" s="29"/>
      <c r="Q44" s="29"/>
      <c r="R44" s="29"/>
      <c r="S44" s="29"/>
      <c r="T44" s="25"/>
    </row>
    <row r="45" spans="2:24" ht="15" hidden="1" customHeight="1" x14ac:dyDescent="0.25">
      <c r="B45" s="64"/>
      <c r="C45" s="29"/>
      <c r="D45" s="29"/>
      <c r="E45" s="29"/>
      <c r="F45" s="29"/>
      <c r="G45" s="29"/>
      <c r="H45" s="29"/>
      <c r="I45" s="29"/>
      <c r="J45" s="29"/>
      <c r="K45" s="29"/>
      <c r="L45" s="29"/>
      <c r="M45" s="29"/>
      <c r="N45" s="29"/>
      <c r="O45" s="29"/>
      <c r="P45" s="29"/>
      <c r="Q45" s="29"/>
      <c r="R45" s="29"/>
      <c r="S45" s="29"/>
      <c r="T45" s="25"/>
    </row>
    <row r="46" spans="2:24" ht="15" hidden="1" customHeight="1" x14ac:dyDescent="0.25">
      <c r="B46" s="64"/>
      <c r="C46" s="29"/>
      <c r="D46" s="29"/>
      <c r="E46" s="29"/>
      <c r="F46" s="29"/>
      <c r="G46" s="29"/>
      <c r="H46" s="29"/>
      <c r="I46" s="29"/>
      <c r="J46" s="29"/>
      <c r="K46" s="29"/>
      <c r="L46" s="29"/>
      <c r="M46" s="29"/>
      <c r="N46" s="29"/>
      <c r="O46" s="29"/>
      <c r="P46" s="29"/>
      <c r="Q46" s="29"/>
      <c r="R46" s="29"/>
      <c r="S46" s="29"/>
      <c r="T46" s="25"/>
    </row>
    <row r="47" spans="2:24" ht="15" customHeight="1" thickBot="1" x14ac:dyDescent="0.3">
      <c r="B47" s="76"/>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62" t="s">
        <v>184</v>
      </c>
      <c r="C49" s="263"/>
      <c r="D49" s="263"/>
      <c r="E49" s="263"/>
      <c r="F49" s="263"/>
      <c r="G49" s="263"/>
      <c r="H49" s="263"/>
      <c r="I49" s="263"/>
      <c r="J49" s="263"/>
      <c r="K49" s="263"/>
      <c r="L49" s="263"/>
      <c r="M49" s="263"/>
      <c r="N49" s="263"/>
      <c r="O49" s="263"/>
      <c r="P49" s="263"/>
      <c r="Q49" s="263"/>
      <c r="R49" s="264"/>
    </row>
    <row r="50" spans="2:18" ht="15" customHeight="1" x14ac:dyDescent="0.25">
      <c r="B50" s="265"/>
      <c r="C50" s="266"/>
      <c r="D50" s="266"/>
      <c r="E50" s="266"/>
      <c r="F50" s="266"/>
      <c r="G50" s="266"/>
      <c r="H50" s="266"/>
      <c r="I50" s="266"/>
      <c r="J50" s="266"/>
      <c r="K50" s="266"/>
      <c r="L50" s="266"/>
      <c r="M50" s="266"/>
      <c r="N50" s="266"/>
      <c r="O50" s="266"/>
      <c r="P50" s="266"/>
      <c r="Q50" s="266"/>
      <c r="R50" s="267"/>
    </row>
    <row r="51" spans="2:18" ht="15" customHeight="1" x14ac:dyDescent="0.25">
      <c r="B51" s="265"/>
      <c r="C51" s="266"/>
      <c r="D51" s="266"/>
      <c r="E51" s="266"/>
      <c r="F51" s="266"/>
      <c r="G51" s="266"/>
      <c r="H51" s="266"/>
      <c r="I51" s="266"/>
      <c r="J51" s="266"/>
      <c r="K51" s="266"/>
      <c r="L51" s="266"/>
      <c r="M51" s="266"/>
      <c r="N51" s="266"/>
      <c r="O51" s="266"/>
      <c r="P51" s="266"/>
      <c r="Q51" s="266"/>
      <c r="R51" s="267"/>
    </row>
    <row r="52" spans="2:18" ht="15" customHeight="1" x14ac:dyDescent="0.25">
      <c r="B52" s="265"/>
      <c r="C52" s="266"/>
      <c r="D52" s="266"/>
      <c r="E52" s="266"/>
      <c r="F52" s="266"/>
      <c r="G52" s="266"/>
      <c r="H52" s="266"/>
      <c r="I52" s="266"/>
      <c r="J52" s="266"/>
      <c r="K52" s="266"/>
      <c r="L52" s="266"/>
      <c r="M52" s="266"/>
      <c r="N52" s="266"/>
      <c r="O52" s="266"/>
      <c r="P52" s="266"/>
      <c r="Q52" s="266"/>
      <c r="R52" s="267"/>
    </row>
    <row r="53" spans="2:18" ht="15" customHeight="1" x14ac:dyDescent="0.25">
      <c r="B53" s="265"/>
      <c r="C53" s="266"/>
      <c r="D53" s="266"/>
      <c r="E53" s="266"/>
      <c r="F53" s="266"/>
      <c r="G53" s="266"/>
      <c r="H53" s="266"/>
      <c r="I53" s="266"/>
      <c r="J53" s="266"/>
      <c r="K53" s="266"/>
      <c r="L53" s="266"/>
      <c r="M53" s="266"/>
      <c r="N53" s="266"/>
      <c r="O53" s="266"/>
      <c r="P53" s="266"/>
      <c r="Q53" s="266"/>
      <c r="R53" s="267"/>
    </row>
    <row r="54" spans="2:18" ht="15" customHeight="1" x14ac:dyDescent="0.25">
      <c r="B54" s="265"/>
      <c r="C54" s="266"/>
      <c r="D54" s="266"/>
      <c r="E54" s="266"/>
      <c r="F54" s="266"/>
      <c r="G54" s="266"/>
      <c r="H54" s="266"/>
      <c r="I54" s="266"/>
      <c r="J54" s="266"/>
      <c r="K54" s="266"/>
      <c r="L54" s="266"/>
      <c r="M54" s="266"/>
      <c r="N54" s="266"/>
      <c r="O54" s="266"/>
      <c r="P54" s="266"/>
      <c r="Q54" s="266"/>
      <c r="R54" s="267"/>
    </row>
    <row r="55" spans="2:18" ht="15" customHeight="1" thickBot="1" x14ac:dyDescent="0.3">
      <c r="B55" s="268"/>
      <c r="C55" s="269"/>
      <c r="D55" s="269"/>
      <c r="E55" s="269"/>
      <c r="F55" s="269"/>
      <c r="G55" s="269"/>
      <c r="H55" s="269"/>
      <c r="I55" s="269"/>
      <c r="J55" s="269"/>
      <c r="K55" s="269"/>
      <c r="L55" s="269"/>
      <c r="M55" s="269"/>
      <c r="N55" s="269"/>
      <c r="O55" s="269"/>
      <c r="P55" s="269"/>
      <c r="Q55" s="269"/>
      <c r="R55" s="270"/>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1" t="s">
        <v>172</v>
      </c>
      <c r="D3" s="272"/>
      <c r="E3" s="272"/>
      <c r="F3" s="272"/>
      <c r="G3" s="272"/>
      <c r="H3" s="272"/>
      <c r="I3" s="272"/>
      <c r="J3" s="272"/>
      <c r="K3" s="272"/>
      <c r="L3" s="272"/>
      <c r="M3" s="272"/>
      <c r="N3" s="272"/>
      <c r="O3" s="272"/>
      <c r="P3" s="272"/>
      <c r="Q3" s="272"/>
      <c r="R3" s="272"/>
      <c r="S3" s="272"/>
      <c r="T3" s="22"/>
    </row>
    <row r="4" spans="1:24" ht="15.75" customHeight="1" x14ac:dyDescent="0.25">
      <c r="B4" s="79"/>
      <c r="C4" s="67" t="s">
        <v>356</v>
      </c>
      <c r="D4" s="29"/>
      <c r="E4" s="29"/>
      <c r="F4" s="29"/>
      <c r="G4" s="29"/>
      <c r="H4" s="29"/>
      <c r="I4" s="29"/>
      <c r="J4" s="29"/>
      <c r="K4" s="29"/>
      <c r="L4" s="29"/>
      <c r="M4" s="29"/>
      <c r="N4" s="29"/>
      <c r="O4" s="29"/>
      <c r="P4" s="29"/>
      <c r="Q4" s="29"/>
      <c r="R4" s="29"/>
      <c r="S4" s="29"/>
      <c r="T4" s="22"/>
    </row>
    <row r="5" spans="1:24" ht="18" customHeight="1" x14ac:dyDescent="0.25">
      <c r="B5" s="79"/>
      <c r="C5" s="222" t="s">
        <v>357</v>
      </c>
      <c r="D5" s="273" t="s">
        <v>361</v>
      </c>
      <c r="E5" s="273"/>
      <c r="F5" s="29"/>
      <c r="G5" s="156"/>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55" t="s">
        <v>2</v>
      </c>
    </row>
    <row r="8" spans="1:24" ht="15" customHeight="1" x14ac:dyDescent="0.25">
      <c r="B8" s="79"/>
      <c r="C8" s="194" t="s">
        <v>29</v>
      </c>
      <c r="D8" s="195" t="s">
        <v>3</v>
      </c>
      <c r="E8" s="196">
        <v>8.8131000000000001E-2</v>
      </c>
      <c r="F8" s="29"/>
      <c r="G8" s="29"/>
      <c r="H8" s="29"/>
      <c r="I8" s="29"/>
      <c r="J8" s="29"/>
      <c r="K8" s="29"/>
      <c r="L8" s="29"/>
      <c r="M8" s="29"/>
      <c r="N8" s="29"/>
      <c r="O8" s="29"/>
      <c r="P8" s="29"/>
      <c r="Q8" s="29"/>
      <c r="R8" s="29"/>
      <c r="S8" s="29"/>
      <c r="T8" s="22"/>
      <c r="W8" s="173" t="s">
        <v>3</v>
      </c>
      <c r="X8" s="174">
        <v>0.164687</v>
      </c>
    </row>
    <row r="9" spans="1:24" ht="15.75" customHeight="1" x14ac:dyDescent="0.25">
      <c r="B9" s="79"/>
      <c r="C9" s="188" t="s">
        <v>32</v>
      </c>
      <c r="D9" s="197" t="s">
        <v>3</v>
      </c>
      <c r="E9" s="198">
        <v>7.6555999999999999E-2</v>
      </c>
      <c r="F9" s="29"/>
      <c r="G9" s="29"/>
      <c r="H9" s="29"/>
      <c r="I9" s="29"/>
      <c r="J9" s="29"/>
      <c r="K9" s="29"/>
      <c r="L9" s="29"/>
      <c r="M9" s="29"/>
      <c r="N9" s="29"/>
      <c r="O9" s="29"/>
      <c r="P9" s="29"/>
      <c r="Q9" s="29"/>
      <c r="R9" s="29"/>
      <c r="S9" s="29"/>
      <c r="T9" s="22"/>
      <c r="W9" s="173" t="s">
        <v>26</v>
      </c>
      <c r="X9" s="174">
        <v>0.13606700000000002</v>
      </c>
    </row>
    <row r="10" spans="1:24" ht="15" customHeight="1" x14ac:dyDescent="0.25">
      <c r="B10" s="79"/>
      <c r="C10" s="188" t="s">
        <v>139</v>
      </c>
      <c r="D10" s="197" t="s">
        <v>26</v>
      </c>
      <c r="E10" s="198">
        <v>5.9728000000000003E-2</v>
      </c>
      <c r="F10" s="29"/>
      <c r="G10" s="29"/>
      <c r="H10" s="29"/>
      <c r="I10" s="29"/>
      <c r="J10" s="29"/>
      <c r="K10" s="29"/>
      <c r="L10" s="29"/>
      <c r="M10" s="29"/>
      <c r="N10" s="29"/>
      <c r="O10" s="29"/>
      <c r="P10" s="29"/>
      <c r="Q10" s="29"/>
      <c r="R10" s="29"/>
      <c r="S10" s="29"/>
      <c r="T10" s="22"/>
      <c r="W10" s="173" t="s">
        <v>108</v>
      </c>
      <c r="X10" s="174">
        <v>0.105445</v>
      </c>
    </row>
    <row r="11" spans="1:24" ht="15" customHeight="1" x14ac:dyDescent="0.25">
      <c r="B11" s="79"/>
      <c r="C11" s="188" t="s">
        <v>201</v>
      </c>
      <c r="D11" s="197" t="s">
        <v>120</v>
      </c>
      <c r="E11" s="198">
        <v>5.0802E-2</v>
      </c>
      <c r="F11" s="29"/>
      <c r="G11" s="29"/>
      <c r="H11" s="29"/>
      <c r="I11" s="29"/>
      <c r="J11" s="29"/>
      <c r="K11" s="29"/>
      <c r="L11" s="29"/>
      <c r="M11" s="29"/>
      <c r="N11" s="29"/>
      <c r="O11" s="29"/>
      <c r="P11" s="29"/>
      <c r="Q11" s="29"/>
      <c r="R11" s="29"/>
      <c r="S11" s="29"/>
      <c r="T11" s="22"/>
      <c r="W11" s="173" t="s">
        <v>113</v>
      </c>
      <c r="X11" s="174">
        <v>5.9454E-2</v>
      </c>
    </row>
    <row r="12" spans="1:24" ht="15" customHeight="1" x14ac:dyDescent="0.25">
      <c r="B12" s="79"/>
      <c r="C12" s="188" t="s">
        <v>31</v>
      </c>
      <c r="D12" s="197" t="s">
        <v>6</v>
      </c>
      <c r="E12" s="198">
        <v>5.0368000000000003E-2</v>
      </c>
      <c r="F12" s="29"/>
      <c r="G12" s="29"/>
      <c r="H12" s="29"/>
      <c r="I12" s="29"/>
      <c r="J12" s="29"/>
      <c r="K12" s="29"/>
      <c r="L12" s="29"/>
      <c r="M12" s="29"/>
      <c r="N12" s="29"/>
      <c r="O12" s="29"/>
      <c r="P12" s="29"/>
      <c r="Q12" s="29"/>
      <c r="R12" s="29"/>
      <c r="S12" s="29"/>
      <c r="T12" s="22"/>
      <c r="W12" s="173" t="s">
        <v>120</v>
      </c>
      <c r="X12" s="174">
        <v>5.0802E-2</v>
      </c>
    </row>
    <row r="13" spans="1:24" ht="15" customHeight="1" x14ac:dyDescent="0.25">
      <c r="B13" s="79"/>
      <c r="C13" s="188" t="s">
        <v>106</v>
      </c>
      <c r="D13" s="197" t="s">
        <v>4</v>
      </c>
      <c r="E13" s="198">
        <v>4.7588999999999999E-2</v>
      </c>
      <c r="F13" s="29"/>
      <c r="G13" s="29"/>
      <c r="H13" s="29"/>
      <c r="I13" s="29"/>
      <c r="J13" s="29"/>
      <c r="K13" s="29"/>
      <c r="L13" s="29"/>
      <c r="M13" s="29"/>
      <c r="N13" s="29"/>
      <c r="O13" s="29"/>
      <c r="P13" s="29"/>
      <c r="Q13" s="29"/>
      <c r="R13" s="29"/>
      <c r="S13" s="29"/>
      <c r="T13" s="22"/>
      <c r="W13" s="173" t="s">
        <v>6</v>
      </c>
      <c r="X13" s="174">
        <v>5.0368000000000003E-2</v>
      </c>
    </row>
    <row r="14" spans="1:24" ht="15" customHeight="1" x14ac:dyDescent="0.25">
      <c r="B14" s="79"/>
      <c r="C14" s="188" t="s">
        <v>189</v>
      </c>
      <c r="D14" s="197" t="s">
        <v>114</v>
      </c>
      <c r="E14" s="198">
        <v>4.6064000000000001E-2</v>
      </c>
      <c r="F14" s="29"/>
      <c r="G14" s="29"/>
      <c r="H14" s="29"/>
      <c r="I14" s="29"/>
      <c r="J14" s="29"/>
      <c r="K14" s="29"/>
      <c r="L14" s="29"/>
      <c r="M14" s="29"/>
      <c r="N14" s="29"/>
      <c r="O14" s="29"/>
      <c r="P14" s="29"/>
      <c r="Q14" s="29"/>
      <c r="R14" s="29"/>
      <c r="S14" s="29"/>
      <c r="T14" s="22"/>
      <c r="W14" s="173" t="s">
        <v>4</v>
      </c>
      <c r="X14" s="174">
        <v>4.7588999999999999E-2</v>
      </c>
    </row>
    <row r="15" spans="1:24" ht="15" customHeight="1" x14ac:dyDescent="0.25">
      <c r="B15" s="79"/>
      <c r="C15" s="188" t="s">
        <v>315</v>
      </c>
      <c r="D15" s="197" t="s">
        <v>303</v>
      </c>
      <c r="E15" s="198">
        <v>4.2021999999999997E-2</v>
      </c>
      <c r="F15" s="29"/>
      <c r="G15" s="29"/>
      <c r="H15" s="29"/>
      <c r="I15" s="29"/>
      <c r="J15" s="29"/>
      <c r="K15" s="29"/>
      <c r="L15" s="29"/>
      <c r="M15" s="29"/>
      <c r="N15" s="29"/>
      <c r="O15" s="29"/>
      <c r="P15" s="29"/>
      <c r="Q15" s="29"/>
      <c r="R15" s="29"/>
      <c r="S15" s="29"/>
      <c r="T15" s="22"/>
      <c r="W15" s="173" t="s">
        <v>114</v>
      </c>
      <c r="X15" s="174">
        <v>4.6064000000000001E-2</v>
      </c>
    </row>
    <row r="16" spans="1:24" ht="15" customHeight="1" x14ac:dyDescent="0.25">
      <c r="B16" s="79"/>
      <c r="C16" s="188" t="s">
        <v>197</v>
      </c>
      <c r="D16" s="197" t="s">
        <v>108</v>
      </c>
      <c r="E16" s="198">
        <v>4.0053999999999999E-2</v>
      </c>
      <c r="F16" s="29"/>
      <c r="G16" s="29"/>
      <c r="H16" s="29"/>
      <c r="I16" s="29"/>
      <c r="J16" s="29"/>
      <c r="K16" s="29"/>
      <c r="L16" s="29"/>
      <c r="M16" s="29"/>
      <c r="N16" s="29"/>
      <c r="O16" s="29"/>
      <c r="P16" s="29"/>
      <c r="Q16" s="29"/>
      <c r="R16" s="29"/>
      <c r="S16" s="29"/>
      <c r="T16" s="22"/>
      <c r="W16" s="173" t="s">
        <v>303</v>
      </c>
      <c r="X16" s="174">
        <v>4.2021999999999997E-2</v>
      </c>
    </row>
    <row r="17" spans="2:24" ht="15" customHeight="1" x14ac:dyDescent="0.25">
      <c r="B17" s="79"/>
      <c r="C17" s="188" t="s">
        <v>28</v>
      </c>
      <c r="D17" s="197" t="s">
        <v>108</v>
      </c>
      <c r="E17" s="198">
        <v>3.7677000000000002E-2</v>
      </c>
      <c r="F17" s="29"/>
      <c r="G17" s="29"/>
      <c r="H17" s="29"/>
      <c r="I17" s="29"/>
      <c r="J17" s="29"/>
      <c r="K17" s="29"/>
      <c r="L17" s="29"/>
      <c r="M17" s="29"/>
      <c r="N17" s="29"/>
      <c r="O17" s="29"/>
      <c r="P17" s="29"/>
      <c r="Q17" s="29"/>
      <c r="R17" s="29"/>
      <c r="S17" s="29"/>
      <c r="T17" s="22"/>
      <c r="W17" s="173" t="s">
        <v>16</v>
      </c>
      <c r="X17" s="174">
        <v>3.2268999999999999E-2</v>
      </c>
    </row>
    <row r="18" spans="2:24" ht="15" customHeight="1" x14ac:dyDescent="0.25">
      <c r="B18" s="79"/>
      <c r="C18" s="188" t="s">
        <v>247</v>
      </c>
      <c r="D18" s="197" t="s">
        <v>16</v>
      </c>
      <c r="E18" s="198">
        <v>3.2268999999999999E-2</v>
      </c>
      <c r="F18" s="29"/>
      <c r="G18" s="29"/>
      <c r="H18" s="29"/>
      <c r="I18" s="29"/>
      <c r="J18" s="29"/>
      <c r="K18" s="29"/>
      <c r="L18" s="29"/>
      <c r="M18" s="29"/>
      <c r="N18" s="29"/>
      <c r="O18" s="29"/>
      <c r="P18" s="29"/>
      <c r="Q18" s="29"/>
      <c r="R18" s="29"/>
      <c r="S18" s="29"/>
      <c r="T18" s="22"/>
      <c r="W18" s="173" t="s">
        <v>112</v>
      </c>
      <c r="X18" s="174">
        <v>3.2136999999999999E-2</v>
      </c>
    </row>
    <row r="19" spans="2:24" ht="15" customHeight="1" x14ac:dyDescent="0.25">
      <c r="B19" s="79"/>
      <c r="C19" s="188" t="s">
        <v>217</v>
      </c>
      <c r="D19" s="197" t="s">
        <v>112</v>
      </c>
      <c r="E19" s="198">
        <v>3.2136999999999999E-2</v>
      </c>
      <c r="F19" s="29"/>
      <c r="G19" s="29"/>
      <c r="H19" s="29"/>
      <c r="I19" s="29"/>
      <c r="J19" s="29"/>
      <c r="K19" s="29"/>
      <c r="L19" s="29"/>
      <c r="M19" s="29"/>
      <c r="N19" s="29"/>
      <c r="O19" s="29"/>
      <c r="P19" s="29"/>
      <c r="Q19" s="29"/>
      <c r="R19" s="29"/>
      <c r="S19" s="29"/>
      <c r="T19" s="22"/>
      <c r="W19" s="173" t="s">
        <v>86</v>
      </c>
      <c r="X19" s="174">
        <v>3.0709E-2</v>
      </c>
    </row>
    <row r="20" spans="2:24" ht="15" customHeight="1" x14ac:dyDescent="0.25">
      <c r="B20" s="79"/>
      <c r="C20" s="188" t="s">
        <v>316</v>
      </c>
      <c r="D20" s="197" t="s">
        <v>86</v>
      </c>
      <c r="E20" s="198">
        <v>3.0709E-2</v>
      </c>
      <c r="F20" s="29"/>
      <c r="G20" s="29"/>
      <c r="H20" s="29"/>
      <c r="I20" s="29"/>
      <c r="J20" s="29"/>
      <c r="K20" s="29"/>
      <c r="L20" s="29"/>
      <c r="M20" s="29"/>
      <c r="N20" s="29"/>
      <c r="O20" s="29"/>
      <c r="P20" s="29"/>
      <c r="Q20" s="29"/>
      <c r="R20" s="29"/>
      <c r="S20" s="29"/>
      <c r="T20" s="22"/>
      <c r="W20" s="173" t="s">
        <v>187</v>
      </c>
      <c r="X20" s="174">
        <v>2.9349E-2</v>
      </c>
    </row>
    <row r="21" spans="2:24" ht="15" customHeight="1" x14ac:dyDescent="0.25">
      <c r="B21" s="79"/>
      <c r="C21" s="188" t="s">
        <v>269</v>
      </c>
      <c r="D21" s="197" t="s">
        <v>26</v>
      </c>
      <c r="E21" s="198">
        <v>3.0671E-2</v>
      </c>
      <c r="F21" s="29"/>
      <c r="G21" s="29"/>
      <c r="H21" s="29"/>
      <c r="I21" s="29"/>
      <c r="J21" s="29"/>
      <c r="K21" s="29"/>
      <c r="L21" s="29"/>
      <c r="M21" s="29"/>
      <c r="N21" s="29"/>
      <c r="O21" s="29"/>
      <c r="P21" s="29"/>
      <c r="Q21" s="29"/>
      <c r="R21" s="29"/>
      <c r="S21" s="29"/>
      <c r="T21" s="22"/>
      <c r="W21" s="173" t="s">
        <v>138</v>
      </c>
      <c r="X21" s="174">
        <v>2.8185000000000002E-2</v>
      </c>
    </row>
    <row r="22" spans="2:24" ht="15" customHeight="1" x14ac:dyDescent="0.25">
      <c r="B22" s="79"/>
      <c r="C22" s="188" t="s">
        <v>135</v>
      </c>
      <c r="D22" s="197" t="s">
        <v>113</v>
      </c>
      <c r="E22" s="198">
        <v>3.0048999999999999E-2</v>
      </c>
      <c r="F22" s="29"/>
      <c r="G22" s="29"/>
      <c r="H22" s="29"/>
      <c r="I22" s="29"/>
      <c r="J22" s="29"/>
      <c r="K22" s="29"/>
      <c r="L22" s="29"/>
      <c r="M22" s="29"/>
      <c r="N22" s="29"/>
      <c r="O22" s="29"/>
      <c r="P22" s="29"/>
      <c r="Q22" s="29"/>
      <c r="R22" s="29"/>
      <c r="S22" s="29"/>
      <c r="T22" s="22"/>
      <c r="W22" s="173" t="s">
        <v>242</v>
      </c>
      <c r="X22" s="174">
        <v>2.8125000000000001E-2</v>
      </c>
    </row>
    <row r="23" spans="2:24" ht="15" customHeight="1" x14ac:dyDescent="0.25">
      <c r="B23" s="79"/>
      <c r="C23" s="71"/>
      <c r="D23" s="157"/>
      <c r="E23" s="72"/>
      <c r="F23" s="29"/>
      <c r="G23" s="29"/>
      <c r="H23" s="29"/>
      <c r="I23" s="29"/>
      <c r="J23" s="29"/>
      <c r="K23" s="29"/>
      <c r="L23" s="29"/>
      <c r="M23" s="29"/>
      <c r="N23" s="29"/>
      <c r="O23" s="29"/>
      <c r="P23" s="29"/>
      <c r="Q23" s="29"/>
      <c r="R23" s="29"/>
      <c r="S23" s="29"/>
      <c r="T23" s="22"/>
      <c r="W23" s="173" t="s">
        <v>109</v>
      </c>
      <c r="X23" s="174">
        <v>2.4018999999999999E-2</v>
      </c>
    </row>
    <row r="24" spans="2:24" ht="15" customHeight="1" x14ac:dyDescent="0.25">
      <c r="B24" s="79"/>
      <c r="C24" s="73" t="s">
        <v>55</v>
      </c>
      <c r="D24" s="74"/>
      <c r="E24" s="75">
        <f>SUM(E8:E22)</f>
        <v>0.69482599999999994</v>
      </c>
      <c r="F24" s="29"/>
      <c r="G24" s="29"/>
      <c r="H24" s="29"/>
      <c r="I24" s="29"/>
      <c r="J24" s="29"/>
      <c r="K24" s="29"/>
      <c r="L24" s="29"/>
      <c r="M24" s="29"/>
      <c r="N24" s="29"/>
      <c r="O24" s="29"/>
      <c r="P24" s="29"/>
      <c r="Q24" s="29"/>
      <c r="R24" s="29"/>
      <c r="S24" s="29"/>
      <c r="T24" s="22"/>
      <c r="W24" s="173" t="s">
        <v>88</v>
      </c>
      <c r="X24" s="174">
        <v>2.3099999999999999E-2</v>
      </c>
    </row>
    <row r="25" spans="2:24" ht="15" customHeight="1" x14ac:dyDescent="0.25">
      <c r="B25" s="79"/>
      <c r="F25" s="29"/>
      <c r="G25" s="29"/>
      <c r="H25" s="29"/>
      <c r="I25" s="29"/>
      <c r="J25" s="29"/>
      <c r="K25" s="29"/>
      <c r="L25" s="29"/>
      <c r="M25" s="29"/>
      <c r="N25" s="29"/>
      <c r="O25" s="29"/>
      <c r="P25" s="29"/>
      <c r="Q25" s="29"/>
      <c r="R25" s="29"/>
      <c r="S25" s="29"/>
      <c r="T25" s="22"/>
      <c r="W25" s="173" t="s">
        <v>78</v>
      </c>
      <c r="X25" s="174">
        <v>2.1255E-2</v>
      </c>
    </row>
    <row r="26" spans="2:24" ht="15" customHeight="1" x14ac:dyDescent="0.25">
      <c r="B26" s="79"/>
      <c r="F26" s="29"/>
      <c r="G26" s="29"/>
      <c r="H26" s="29"/>
      <c r="I26" s="29"/>
      <c r="J26" s="29"/>
      <c r="K26" s="29"/>
      <c r="L26" s="29"/>
      <c r="M26" s="29"/>
      <c r="N26" s="29"/>
      <c r="O26" s="29"/>
      <c r="P26" s="29"/>
      <c r="Q26" s="29"/>
      <c r="R26" s="29"/>
      <c r="S26" s="29"/>
      <c r="T26" s="22"/>
      <c r="W26" s="173" t="s">
        <v>85</v>
      </c>
      <c r="X26" s="174">
        <v>1.9831999999999999E-2</v>
      </c>
    </row>
    <row r="27" spans="2:24" ht="15" customHeight="1" x14ac:dyDescent="0.25">
      <c r="B27" s="79"/>
      <c r="F27" s="29"/>
      <c r="G27" s="29"/>
      <c r="H27" s="29"/>
      <c r="I27" s="29"/>
      <c r="J27" s="29"/>
      <c r="K27" s="29"/>
      <c r="L27" s="29"/>
      <c r="M27" s="29"/>
      <c r="N27" s="29"/>
      <c r="O27" s="29"/>
      <c r="P27" s="29"/>
      <c r="Q27" s="29"/>
      <c r="R27" s="29"/>
      <c r="S27" s="29"/>
      <c r="T27" s="22"/>
      <c r="W27" s="173" t="s">
        <v>107</v>
      </c>
      <c r="X27" s="174">
        <v>1.9273999999999999E-2</v>
      </c>
    </row>
    <row r="28" spans="2:24" ht="15" customHeight="1" x14ac:dyDescent="0.25">
      <c r="B28" s="79"/>
      <c r="F28" s="29"/>
      <c r="G28" s="29"/>
      <c r="H28" s="29"/>
      <c r="I28" s="29"/>
      <c r="J28" s="29"/>
      <c r="K28" s="29"/>
      <c r="L28" s="29"/>
      <c r="M28" s="29"/>
      <c r="N28" s="29"/>
      <c r="O28" s="29"/>
      <c r="P28" s="29"/>
      <c r="Q28" s="29"/>
      <c r="R28" s="29"/>
      <c r="S28" s="29"/>
      <c r="T28" s="22"/>
      <c r="W28" s="173"/>
      <c r="X28" s="174"/>
    </row>
    <row r="29" spans="2:24" ht="15" customHeight="1" x14ac:dyDescent="0.25">
      <c r="B29" s="79"/>
      <c r="F29" s="29"/>
      <c r="G29" s="29"/>
      <c r="H29" s="29"/>
      <c r="I29" s="29"/>
      <c r="J29" s="29"/>
      <c r="K29" s="29"/>
      <c r="L29" s="29"/>
      <c r="M29" s="29"/>
      <c r="N29" s="29"/>
      <c r="O29" s="29"/>
      <c r="P29" s="29"/>
      <c r="Q29" s="29"/>
      <c r="R29" s="29"/>
      <c r="S29" s="29"/>
      <c r="T29" s="22"/>
      <c r="W29" s="173"/>
      <c r="X29" s="174"/>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 customHeight="1" x14ac:dyDescent="0.25">
      <c r="B32" s="79"/>
      <c r="F32" s="29"/>
      <c r="G32" s="29"/>
      <c r="H32" s="29"/>
      <c r="I32" s="29"/>
      <c r="J32" s="29"/>
      <c r="K32" s="29"/>
      <c r="L32" s="29"/>
      <c r="M32" s="29"/>
      <c r="N32" s="29"/>
      <c r="O32" s="29"/>
      <c r="P32" s="29"/>
      <c r="Q32" s="29"/>
      <c r="R32" s="29"/>
      <c r="S32" s="29"/>
      <c r="T32" s="22"/>
    </row>
    <row r="33" spans="2:20" ht="15.75" customHeight="1" x14ac:dyDescent="0.25">
      <c r="B33" s="79"/>
      <c r="F33" s="29"/>
      <c r="G33" s="29"/>
      <c r="H33" s="29"/>
      <c r="I33" s="29"/>
      <c r="J33" s="29"/>
      <c r="K33" s="29"/>
      <c r="L33" s="29"/>
      <c r="M33" s="29"/>
      <c r="N33" s="29"/>
      <c r="O33" s="29"/>
      <c r="P33" s="29"/>
      <c r="Q33" s="29"/>
      <c r="R33" s="29"/>
      <c r="S33" s="29"/>
      <c r="T33" s="22"/>
    </row>
    <row r="34" spans="2:20" ht="15.75" customHeight="1" x14ac:dyDescent="0.25">
      <c r="B34" s="79"/>
      <c r="F34" s="29"/>
      <c r="G34" s="29"/>
      <c r="H34" s="29"/>
      <c r="I34" s="29"/>
      <c r="J34" s="29"/>
      <c r="K34" s="29"/>
      <c r="L34" s="29"/>
      <c r="M34" s="29"/>
      <c r="N34" s="29"/>
      <c r="O34" s="29"/>
      <c r="P34" s="29"/>
      <c r="Q34" s="29"/>
      <c r="R34" s="29"/>
      <c r="S34" s="29"/>
      <c r="T34" s="22"/>
    </row>
    <row r="35" spans="2:20" ht="15.75" customHeight="1" x14ac:dyDescent="0.25">
      <c r="B35" s="79"/>
      <c r="F35" s="29"/>
      <c r="G35" s="29"/>
      <c r="H35" s="29"/>
      <c r="I35" s="29"/>
      <c r="J35" s="29"/>
      <c r="K35" s="29"/>
      <c r="L35" s="29"/>
      <c r="M35" s="29"/>
      <c r="N35" s="29"/>
      <c r="O35" s="29"/>
      <c r="P35" s="29"/>
      <c r="Q35" s="29"/>
      <c r="R35" s="29"/>
      <c r="S35" s="29"/>
      <c r="T35" s="22"/>
    </row>
    <row r="36" spans="2:20" ht="15" customHeight="1" thickBot="1" x14ac:dyDescent="0.3">
      <c r="B36" s="80"/>
      <c r="C36" s="81"/>
      <c r="D36" s="81"/>
      <c r="E36" s="81"/>
      <c r="F36" s="81"/>
      <c r="G36" s="81"/>
      <c r="H36" s="81"/>
      <c r="I36" s="81"/>
      <c r="J36" s="81"/>
      <c r="K36" s="81"/>
      <c r="L36" s="81"/>
      <c r="M36" s="81"/>
      <c r="N36" s="81"/>
      <c r="O36" s="81"/>
      <c r="P36" s="81"/>
      <c r="Q36" s="81"/>
      <c r="R36" s="81"/>
      <c r="S36" s="81"/>
      <c r="T36" s="23"/>
    </row>
    <row r="37" spans="2:20" ht="15" customHeight="1" thickBot="1" x14ac:dyDescent="0.3"/>
    <row r="38" spans="2:20" ht="15" customHeight="1" x14ac:dyDescent="0.25">
      <c r="B38" s="262" t="s">
        <v>184</v>
      </c>
      <c r="C38" s="263"/>
      <c r="D38" s="263"/>
      <c r="E38" s="263"/>
      <c r="F38" s="263"/>
      <c r="G38" s="263"/>
      <c r="H38" s="263"/>
      <c r="I38" s="263"/>
      <c r="J38" s="263"/>
      <c r="K38" s="263"/>
      <c r="L38" s="263"/>
      <c r="M38" s="263"/>
      <c r="N38" s="263"/>
      <c r="O38" s="263"/>
      <c r="P38" s="263"/>
      <c r="Q38" s="263"/>
      <c r="R38" s="264"/>
    </row>
    <row r="39" spans="2:20" ht="15" customHeight="1" x14ac:dyDescent="0.25">
      <c r="B39" s="265"/>
      <c r="C39" s="266"/>
      <c r="D39" s="266"/>
      <c r="E39" s="266"/>
      <c r="F39" s="266"/>
      <c r="G39" s="266"/>
      <c r="H39" s="266"/>
      <c r="I39" s="266"/>
      <c r="J39" s="266"/>
      <c r="K39" s="266"/>
      <c r="L39" s="266"/>
      <c r="M39" s="266"/>
      <c r="N39" s="266"/>
      <c r="O39" s="266"/>
      <c r="P39" s="266"/>
      <c r="Q39" s="266"/>
      <c r="R39" s="267"/>
    </row>
    <row r="40" spans="2:20" ht="15" customHeight="1" x14ac:dyDescent="0.25">
      <c r="B40" s="265"/>
      <c r="C40" s="266"/>
      <c r="D40" s="266"/>
      <c r="E40" s="266"/>
      <c r="F40" s="266"/>
      <c r="G40" s="266"/>
      <c r="H40" s="266"/>
      <c r="I40" s="266"/>
      <c r="J40" s="266"/>
      <c r="K40" s="266"/>
      <c r="L40" s="266"/>
      <c r="M40" s="266"/>
      <c r="N40" s="266"/>
      <c r="O40" s="266"/>
      <c r="P40" s="266"/>
      <c r="Q40" s="266"/>
      <c r="R40" s="267"/>
    </row>
    <row r="41" spans="2:20" ht="15" customHeight="1" x14ac:dyDescent="0.25">
      <c r="B41" s="265"/>
      <c r="C41" s="266"/>
      <c r="D41" s="266"/>
      <c r="E41" s="266"/>
      <c r="F41" s="266"/>
      <c r="G41" s="266"/>
      <c r="H41" s="266"/>
      <c r="I41" s="266"/>
      <c r="J41" s="266"/>
      <c r="K41" s="266"/>
      <c r="L41" s="266"/>
      <c r="M41" s="266"/>
      <c r="N41" s="266"/>
      <c r="O41" s="266"/>
      <c r="P41" s="266"/>
      <c r="Q41" s="266"/>
      <c r="R41" s="267"/>
    </row>
    <row r="42" spans="2:20" ht="15" customHeight="1" x14ac:dyDescent="0.25">
      <c r="B42" s="265"/>
      <c r="C42" s="266"/>
      <c r="D42" s="266"/>
      <c r="E42" s="266"/>
      <c r="F42" s="266"/>
      <c r="G42" s="266"/>
      <c r="H42" s="266"/>
      <c r="I42" s="266"/>
      <c r="J42" s="266"/>
      <c r="K42" s="266"/>
      <c r="L42" s="266"/>
      <c r="M42" s="266"/>
      <c r="N42" s="266"/>
      <c r="O42" s="266"/>
      <c r="P42" s="266"/>
      <c r="Q42" s="266"/>
      <c r="R42" s="267"/>
    </row>
    <row r="43" spans="2:20" ht="15" customHeight="1" x14ac:dyDescent="0.25">
      <c r="B43" s="265"/>
      <c r="C43" s="266"/>
      <c r="D43" s="266"/>
      <c r="E43" s="266"/>
      <c r="F43" s="266"/>
      <c r="G43" s="266"/>
      <c r="H43" s="266"/>
      <c r="I43" s="266"/>
      <c r="J43" s="266"/>
      <c r="K43" s="266"/>
      <c r="L43" s="266"/>
      <c r="M43" s="266"/>
      <c r="N43" s="266"/>
      <c r="O43" s="266"/>
      <c r="P43" s="266"/>
      <c r="Q43" s="266"/>
      <c r="R43" s="267"/>
    </row>
    <row r="44" spans="2:20" ht="15" customHeight="1" thickBot="1" x14ac:dyDescent="0.3">
      <c r="B44" s="268"/>
      <c r="C44" s="269"/>
      <c r="D44" s="269"/>
      <c r="E44" s="269"/>
      <c r="F44" s="269"/>
      <c r="G44" s="269"/>
      <c r="H44" s="269"/>
      <c r="I44" s="269"/>
      <c r="J44" s="269"/>
      <c r="K44" s="269"/>
      <c r="L44" s="269"/>
      <c r="M44" s="269"/>
      <c r="N44" s="269"/>
      <c r="O44" s="269"/>
      <c r="P44" s="269"/>
      <c r="Q44" s="269"/>
      <c r="R44" s="270"/>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8.42578125" style="39" customWidth="1"/>
    <col min="25" max="27" width="9.140625" style="39"/>
    <col min="28" max="16384" width="9.140625" style="19"/>
  </cols>
  <sheetData>
    <row r="1" spans="1:37" ht="15.75" customHeight="1" thickBot="1" x14ac:dyDescent="0.3">
      <c r="A1" s="3"/>
    </row>
    <row r="2" spans="1:37" ht="15" customHeight="1" x14ac:dyDescent="0.25">
      <c r="B2" s="77"/>
      <c r="C2" s="78"/>
      <c r="D2" s="78"/>
      <c r="E2" s="78"/>
      <c r="F2" s="78"/>
      <c r="G2" s="78"/>
      <c r="H2" s="78"/>
      <c r="I2" s="78"/>
      <c r="J2" s="78"/>
      <c r="K2" s="78"/>
      <c r="L2" s="78"/>
      <c r="M2" s="78"/>
      <c r="N2" s="78"/>
      <c r="O2" s="78"/>
      <c r="P2" s="78"/>
      <c r="Q2" s="78"/>
      <c r="R2" s="78"/>
      <c r="S2" s="78"/>
      <c r="T2" s="21"/>
    </row>
    <row r="3" spans="1:37" ht="20.25" customHeight="1" x14ac:dyDescent="0.25">
      <c r="B3" s="79"/>
      <c r="C3" s="271" t="s">
        <v>171</v>
      </c>
      <c r="D3" s="272"/>
      <c r="E3" s="272"/>
      <c r="F3" s="272"/>
      <c r="G3" s="272"/>
      <c r="H3" s="272"/>
      <c r="I3" s="272"/>
      <c r="J3" s="272"/>
      <c r="K3" s="272"/>
      <c r="L3" s="272"/>
      <c r="M3" s="272"/>
      <c r="N3" s="272"/>
      <c r="O3" s="272"/>
      <c r="P3" s="272"/>
      <c r="Q3" s="272"/>
      <c r="R3" s="272"/>
      <c r="S3" s="272"/>
      <c r="T3" s="22"/>
    </row>
    <row r="4" spans="1:37" ht="15.75" customHeight="1" x14ac:dyDescent="0.25">
      <c r="B4" s="79"/>
      <c r="C4" s="67" t="s">
        <v>356</v>
      </c>
      <c r="D4" s="29"/>
      <c r="E4" s="29"/>
      <c r="F4" s="29"/>
      <c r="G4" s="29"/>
      <c r="H4" s="29"/>
      <c r="I4" s="29"/>
      <c r="J4" s="29"/>
      <c r="K4" s="29"/>
      <c r="L4" s="29"/>
      <c r="M4" s="29"/>
      <c r="N4" s="29"/>
      <c r="O4" s="29"/>
      <c r="P4" s="29"/>
      <c r="Q4" s="29"/>
      <c r="R4" s="29"/>
      <c r="S4" s="29"/>
      <c r="T4" s="22"/>
    </row>
    <row r="5" spans="1:37" ht="18" customHeight="1" x14ac:dyDescent="0.25">
      <c r="B5" s="79"/>
      <c r="C5" s="222" t="s">
        <v>357</v>
      </c>
      <c r="D5" s="274" t="s">
        <v>362</v>
      </c>
      <c r="E5" s="275"/>
      <c r="F5" s="29"/>
      <c r="G5" s="29"/>
      <c r="H5" s="29"/>
      <c r="I5" s="29"/>
      <c r="J5" s="29"/>
      <c r="K5" s="29"/>
      <c r="L5" s="29"/>
      <c r="M5" s="29"/>
      <c r="N5" s="29"/>
      <c r="O5" s="29"/>
      <c r="P5" s="29"/>
      <c r="Q5" s="29"/>
      <c r="R5" s="29"/>
      <c r="S5" s="29"/>
      <c r="T5" s="22"/>
    </row>
    <row r="6" spans="1:37" ht="15" customHeight="1" x14ac:dyDescent="0.25">
      <c r="B6" s="79"/>
      <c r="C6" s="29"/>
      <c r="D6" s="29"/>
      <c r="E6" s="29"/>
      <c r="F6" s="29"/>
      <c r="G6" s="29"/>
      <c r="H6" s="29"/>
      <c r="I6" s="29"/>
      <c r="J6" s="29"/>
      <c r="K6" s="29"/>
      <c r="L6" s="29"/>
      <c r="M6" s="29"/>
      <c r="N6" s="29"/>
      <c r="O6" s="29"/>
      <c r="P6" s="29"/>
      <c r="Q6" s="29"/>
      <c r="R6" s="29"/>
      <c r="S6" s="29"/>
      <c r="T6" s="22"/>
      <c r="AK6" s="39"/>
    </row>
    <row r="7" spans="1:37"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37" ht="15" customHeight="1" x14ac:dyDescent="0.25">
      <c r="B8" s="79"/>
      <c r="C8" s="194" t="s">
        <v>29</v>
      </c>
      <c r="D8" s="195" t="s">
        <v>3</v>
      </c>
      <c r="E8" s="196">
        <v>5.2284999999999998E-2</v>
      </c>
      <c r="F8" s="29"/>
      <c r="G8" s="29"/>
      <c r="H8" s="29"/>
      <c r="I8" s="29"/>
      <c r="J8" s="29"/>
      <c r="K8" s="29"/>
      <c r="L8" s="29"/>
      <c r="M8" s="29"/>
      <c r="N8" s="29"/>
      <c r="O8" s="29"/>
      <c r="P8" s="29"/>
      <c r="Q8" s="29"/>
      <c r="R8" s="29"/>
      <c r="S8" s="29"/>
      <c r="T8" s="22"/>
      <c r="W8" s="180" t="s">
        <v>3</v>
      </c>
      <c r="X8" s="240">
        <v>0.17413699999999999</v>
      </c>
    </row>
    <row r="9" spans="1:37" ht="15.75" customHeight="1" x14ac:dyDescent="0.25">
      <c r="B9" s="79"/>
      <c r="C9" s="188" t="s">
        <v>31</v>
      </c>
      <c r="D9" s="197" t="s">
        <v>6</v>
      </c>
      <c r="E9" s="198">
        <v>4.7358999999999998E-2</v>
      </c>
      <c r="F9" s="29"/>
      <c r="G9" s="29"/>
      <c r="H9" s="29"/>
      <c r="I9" s="29"/>
      <c r="J9" s="29"/>
      <c r="K9" s="29"/>
      <c r="L9" s="29"/>
      <c r="M9" s="29"/>
      <c r="N9" s="29"/>
      <c r="O9" s="29"/>
      <c r="P9" s="29"/>
      <c r="Q9" s="29"/>
      <c r="R9" s="29"/>
      <c r="S9" s="29"/>
      <c r="T9" s="22"/>
      <c r="W9" s="180" t="s">
        <v>108</v>
      </c>
      <c r="X9" s="240">
        <v>8.2776000000000002E-2</v>
      </c>
    </row>
    <row r="10" spans="1:37" ht="15" customHeight="1" x14ac:dyDescent="0.25">
      <c r="B10" s="79"/>
      <c r="C10" s="188" t="s">
        <v>36</v>
      </c>
      <c r="D10" s="197" t="s">
        <v>3</v>
      </c>
      <c r="E10" s="198">
        <v>4.1846000000000001E-2</v>
      </c>
      <c r="F10" s="29"/>
      <c r="G10" s="29"/>
      <c r="H10" s="29"/>
      <c r="I10" s="29"/>
      <c r="J10" s="29"/>
      <c r="K10" s="29"/>
      <c r="L10" s="29"/>
      <c r="M10" s="29"/>
      <c r="N10" s="29"/>
      <c r="O10" s="29"/>
      <c r="P10" s="29"/>
      <c r="Q10" s="29"/>
      <c r="R10" s="29"/>
      <c r="S10" s="29"/>
      <c r="T10" s="22"/>
      <c r="W10" s="180" t="s">
        <v>112</v>
      </c>
      <c r="X10" s="240">
        <v>7.2664000000000006E-2</v>
      </c>
    </row>
    <row r="11" spans="1:37" ht="15" customHeight="1" x14ac:dyDescent="0.25">
      <c r="B11" s="79"/>
      <c r="C11" s="188" t="s">
        <v>32</v>
      </c>
      <c r="D11" s="197" t="s">
        <v>3</v>
      </c>
      <c r="E11" s="198">
        <v>3.6026000000000002E-2</v>
      </c>
      <c r="F11" s="29"/>
      <c r="G11" s="29"/>
      <c r="H11" s="29"/>
      <c r="I11" s="29"/>
      <c r="J11" s="29"/>
      <c r="K11" s="29"/>
      <c r="L11" s="29"/>
      <c r="M11" s="29"/>
      <c r="N11" s="29"/>
      <c r="O11" s="29"/>
      <c r="P11" s="29"/>
      <c r="Q11" s="29"/>
      <c r="R11" s="29"/>
      <c r="S11" s="29"/>
      <c r="T11" s="22"/>
      <c r="W11" s="180" t="s">
        <v>23</v>
      </c>
      <c r="X11" s="240">
        <v>5.0783999999999996E-2</v>
      </c>
    </row>
    <row r="12" spans="1:37" ht="15" customHeight="1" x14ac:dyDescent="0.25">
      <c r="B12" s="79"/>
      <c r="C12" s="188" t="s">
        <v>76</v>
      </c>
      <c r="D12" s="197" t="s">
        <v>11</v>
      </c>
      <c r="E12" s="198">
        <v>2.4518999999999999E-2</v>
      </c>
      <c r="F12" s="29"/>
      <c r="G12" s="29"/>
      <c r="H12" s="29"/>
      <c r="I12" s="29"/>
      <c r="J12" s="29"/>
      <c r="K12" s="29"/>
      <c r="L12" s="29"/>
      <c r="M12" s="29"/>
      <c r="N12" s="29"/>
      <c r="O12" s="29"/>
      <c r="P12" s="29"/>
      <c r="Q12" s="29"/>
      <c r="R12" s="29"/>
      <c r="S12" s="29"/>
      <c r="T12" s="22"/>
      <c r="W12" s="180" t="s">
        <v>6</v>
      </c>
      <c r="X12" s="240">
        <v>4.7358999999999998E-2</v>
      </c>
    </row>
    <row r="13" spans="1:37" ht="15.75" customHeight="1" x14ac:dyDescent="0.25">
      <c r="B13" s="79"/>
      <c r="C13" s="188" t="s">
        <v>99</v>
      </c>
      <c r="D13" s="197" t="s">
        <v>120</v>
      </c>
      <c r="E13" s="198">
        <v>2.4344999999999999E-2</v>
      </c>
      <c r="F13" s="29"/>
      <c r="G13" s="29"/>
      <c r="H13" s="29"/>
      <c r="I13" s="29"/>
      <c r="J13" s="29"/>
      <c r="K13" s="29"/>
      <c r="L13" s="29"/>
      <c r="M13" s="29"/>
      <c r="N13" s="29"/>
      <c r="O13" s="29"/>
      <c r="P13" s="29"/>
      <c r="Q13" s="29"/>
      <c r="R13" s="29"/>
      <c r="S13" s="29"/>
      <c r="T13" s="22"/>
      <c r="W13" s="180" t="s">
        <v>113</v>
      </c>
      <c r="X13" s="240">
        <v>4.6654000000000001E-2</v>
      </c>
    </row>
    <row r="14" spans="1:37" ht="15" customHeight="1" x14ac:dyDescent="0.25">
      <c r="B14" s="79"/>
      <c r="C14" s="188" t="s">
        <v>62</v>
      </c>
      <c r="D14" s="197" t="s">
        <v>10</v>
      </c>
      <c r="E14" s="198">
        <v>2.2995000000000002E-2</v>
      </c>
      <c r="F14" s="29"/>
      <c r="G14" s="29"/>
      <c r="H14" s="29"/>
      <c r="I14" s="29"/>
      <c r="J14" s="29"/>
      <c r="K14" s="29"/>
      <c r="L14" s="29"/>
      <c r="M14" s="29"/>
      <c r="N14" s="29"/>
      <c r="O14" s="29"/>
      <c r="P14" s="29"/>
      <c r="Q14" s="29"/>
      <c r="R14" s="29"/>
      <c r="S14" s="29"/>
      <c r="T14" s="22"/>
      <c r="W14" s="180" t="s">
        <v>87</v>
      </c>
      <c r="X14" s="240">
        <v>4.2612999999999998E-2</v>
      </c>
    </row>
    <row r="15" spans="1:37" ht="15" customHeight="1" x14ac:dyDescent="0.25">
      <c r="B15" s="79"/>
      <c r="C15" s="188" t="s">
        <v>30</v>
      </c>
      <c r="D15" s="197" t="s">
        <v>118</v>
      </c>
      <c r="E15" s="198">
        <v>2.1996000000000002E-2</v>
      </c>
      <c r="F15" s="29"/>
      <c r="G15" s="29"/>
      <c r="H15" s="29"/>
      <c r="I15" s="29"/>
      <c r="J15" s="29"/>
      <c r="K15" s="29"/>
      <c r="L15" s="29"/>
      <c r="M15" s="29"/>
      <c r="N15" s="29"/>
      <c r="O15" s="29"/>
      <c r="P15" s="29"/>
      <c r="Q15" s="29"/>
      <c r="R15" s="29"/>
      <c r="S15" s="29"/>
      <c r="T15" s="22"/>
      <c r="W15" s="180" t="s">
        <v>4</v>
      </c>
      <c r="X15" s="240">
        <v>4.1868999999999996E-2</v>
      </c>
    </row>
    <row r="16" spans="1:37" ht="15" customHeight="1" x14ac:dyDescent="0.25">
      <c r="B16" s="79"/>
      <c r="C16" s="188" t="s">
        <v>145</v>
      </c>
      <c r="D16" s="197" t="s">
        <v>113</v>
      </c>
      <c r="E16" s="198">
        <v>2.1555000000000001E-2</v>
      </c>
      <c r="F16" s="29"/>
      <c r="G16" s="29"/>
      <c r="H16" s="29"/>
      <c r="I16" s="29"/>
      <c r="J16" s="29"/>
      <c r="K16" s="29"/>
      <c r="L16" s="29"/>
      <c r="M16" s="29"/>
      <c r="N16" s="29"/>
      <c r="O16" s="29"/>
      <c r="P16" s="29"/>
      <c r="Q16" s="29"/>
      <c r="R16" s="29"/>
      <c r="S16" s="29"/>
      <c r="T16" s="22"/>
      <c r="W16" s="180" t="s">
        <v>10</v>
      </c>
      <c r="X16" s="240">
        <v>3.8448000000000003E-2</v>
      </c>
    </row>
    <row r="17" spans="2:24" ht="15" customHeight="1" x14ac:dyDescent="0.25">
      <c r="B17" s="79"/>
      <c r="C17" s="188" t="s">
        <v>136</v>
      </c>
      <c r="D17" s="197" t="s">
        <v>3</v>
      </c>
      <c r="E17" s="198">
        <v>2.0483999999999999E-2</v>
      </c>
      <c r="F17" s="29"/>
      <c r="G17" s="29"/>
      <c r="H17" s="29"/>
      <c r="I17" s="29"/>
      <c r="J17" s="29"/>
      <c r="K17" s="29"/>
      <c r="L17" s="29"/>
      <c r="M17" s="29"/>
      <c r="N17" s="29"/>
      <c r="O17" s="29"/>
      <c r="P17" s="29"/>
      <c r="Q17" s="29"/>
      <c r="R17" s="29"/>
      <c r="S17" s="29"/>
      <c r="T17" s="22"/>
      <c r="W17" s="180" t="s">
        <v>11</v>
      </c>
      <c r="X17" s="240">
        <v>3.3045999999999999E-2</v>
      </c>
    </row>
    <row r="18" spans="2:24" ht="15" customHeight="1" x14ac:dyDescent="0.25">
      <c r="B18" s="79"/>
      <c r="C18" s="188" t="s">
        <v>110</v>
      </c>
      <c r="D18" s="197" t="s">
        <v>111</v>
      </c>
      <c r="E18" s="198">
        <v>2.0438000000000001E-2</v>
      </c>
      <c r="F18" s="29"/>
      <c r="G18" s="29"/>
      <c r="H18" s="29"/>
      <c r="I18" s="29"/>
      <c r="J18" s="29"/>
      <c r="K18" s="29"/>
      <c r="L18" s="29"/>
      <c r="M18" s="29"/>
      <c r="N18" s="29"/>
      <c r="O18" s="29"/>
      <c r="P18" s="29"/>
      <c r="Q18" s="29"/>
      <c r="R18" s="29"/>
      <c r="S18" s="29"/>
      <c r="T18" s="22"/>
      <c r="W18" s="180" t="s">
        <v>111</v>
      </c>
      <c r="X18" s="240">
        <v>3.0830000000000003E-2</v>
      </c>
    </row>
    <row r="19" spans="2:24" ht="15" customHeight="1" x14ac:dyDescent="0.25">
      <c r="B19" s="79"/>
      <c r="C19" s="188" t="s">
        <v>33</v>
      </c>
      <c r="D19" s="197" t="s">
        <v>108</v>
      </c>
      <c r="E19" s="198">
        <v>2.0133000000000002E-2</v>
      </c>
      <c r="F19" s="29"/>
      <c r="G19" s="29"/>
      <c r="H19" s="29"/>
      <c r="I19" s="29"/>
      <c r="J19" s="29"/>
      <c r="K19" s="29"/>
      <c r="L19" s="29"/>
      <c r="M19" s="29"/>
      <c r="N19" s="29"/>
      <c r="O19" s="29"/>
      <c r="P19" s="29"/>
      <c r="Q19" s="29"/>
      <c r="R19" s="29"/>
      <c r="S19" s="29"/>
      <c r="T19" s="22"/>
      <c r="W19" s="180" t="s">
        <v>16</v>
      </c>
      <c r="X19" s="240">
        <v>2.4457E-2</v>
      </c>
    </row>
    <row r="20" spans="2:24" ht="15" customHeight="1" x14ac:dyDescent="0.25">
      <c r="B20" s="79"/>
      <c r="C20" s="188" t="s">
        <v>243</v>
      </c>
      <c r="D20" s="197" t="s">
        <v>87</v>
      </c>
      <c r="E20" s="198">
        <v>1.9691E-2</v>
      </c>
      <c r="F20" s="29"/>
      <c r="G20" s="29"/>
      <c r="H20" s="29"/>
      <c r="I20" s="29"/>
      <c r="J20" s="29"/>
      <c r="K20" s="29"/>
      <c r="L20" s="29"/>
      <c r="M20" s="29"/>
      <c r="N20" s="29"/>
      <c r="O20" s="29"/>
      <c r="P20" s="29"/>
      <c r="Q20" s="29"/>
      <c r="R20" s="29"/>
      <c r="S20" s="29"/>
      <c r="T20" s="22"/>
      <c r="W20" s="180" t="s">
        <v>120</v>
      </c>
      <c r="X20" s="240">
        <v>2.4344999999999999E-2</v>
      </c>
    </row>
    <row r="21" spans="2:24" ht="15" customHeight="1" x14ac:dyDescent="0.25">
      <c r="B21" s="79"/>
      <c r="C21" s="188" t="s">
        <v>28</v>
      </c>
      <c r="D21" s="197" t="s">
        <v>108</v>
      </c>
      <c r="E21" s="198">
        <v>1.9463000000000001E-2</v>
      </c>
      <c r="F21" s="29"/>
      <c r="G21" s="29"/>
      <c r="H21" s="29"/>
      <c r="I21" s="29"/>
      <c r="J21" s="29"/>
      <c r="K21" s="29"/>
      <c r="L21" s="29"/>
      <c r="M21" s="29"/>
      <c r="N21" s="29"/>
      <c r="O21" s="29"/>
      <c r="P21" s="29"/>
      <c r="Q21" s="29"/>
      <c r="R21" s="29"/>
      <c r="S21" s="29"/>
      <c r="T21" s="22"/>
      <c r="W21" s="180" t="s">
        <v>118</v>
      </c>
      <c r="X21" s="240">
        <v>2.1996000000000002E-2</v>
      </c>
    </row>
    <row r="22" spans="2:24" ht="15" customHeight="1" x14ac:dyDescent="0.25">
      <c r="B22" s="79"/>
      <c r="C22" s="188" t="s">
        <v>105</v>
      </c>
      <c r="D22" s="197" t="s">
        <v>112</v>
      </c>
      <c r="E22" s="198">
        <v>1.8724000000000001E-2</v>
      </c>
      <c r="F22" s="29"/>
      <c r="G22" s="29"/>
      <c r="H22" s="29"/>
      <c r="I22" s="29"/>
      <c r="J22" s="29"/>
      <c r="K22" s="29"/>
      <c r="L22" s="29"/>
      <c r="M22" s="29"/>
      <c r="N22" s="29"/>
      <c r="O22" s="29"/>
      <c r="P22" s="29"/>
      <c r="Q22" s="29"/>
      <c r="R22" s="29"/>
      <c r="S22" s="29"/>
      <c r="T22" s="22"/>
      <c r="W22" s="180" t="s">
        <v>114</v>
      </c>
      <c r="X22" s="240">
        <v>2.0264999999999998E-2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80" t="s">
        <v>107</v>
      </c>
      <c r="X23" s="240">
        <v>1.9222E-2</v>
      </c>
    </row>
    <row r="24" spans="2:24" ht="15" customHeight="1" x14ac:dyDescent="0.25">
      <c r="B24" s="79"/>
      <c r="C24" s="73" t="s">
        <v>55</v>
      </c>
      <c r="D24" s="74"/>
      <c r="E24" s="84">
        <f>SUM(E8:E22)</f>
        <v>0.41185900000000009</v>
      </c>
      <c r="F24" s="29"/>
      <c r="G24" s="29"/>
      <c r="H24" s="29"/>
      <c r="I24" s="29"/>
      <c r="J24" s="29"/>
      <c r="K24" s="29"/>
      <c r="L24" s="29"/>
      <c r="M24" s="29"/>
      <c r="N24" s="29"/>
      <c r="O24" s="29"/>
      <c r="P24" s="29"/>
      <c r="Q24" s="29"/>
      <c r="R24" s="29"/>
      <c r="S24" s="29"/>
      <c r="T24" s="22"/>
      <c r="W24" s="180" t="s">
        <v>85</v>
      </c>
      <c r="X24" s="240">
        <v>1.8433999999999999E-2</v>
      </c>
    </row>
    <row r="25" spans="2:24" ht="15" customHeight="1" x14ac:dyDescent="0.25">
      <c r="B25" s="79"/>
      <c r="C25" s="51"/>
      <c r="D25" s="51"/>
      <c r="E25" s="51"/>
      <c r="F25" s="29"/>
      <c r="G25" s="29"/>
      <c r="H25" s="29"/>
      <c r="I25" s="29"/>
      <c r="J25" s="29"/>
      <c r="K25" s="29"/>
      <c r="L25" s="29"/>
      <c r="M25" s="29"/>
      <c r="N25" s="29"/>
      <c r="O25" s="29"/>
      <c r="P25" s="29"/>
      <c r="Q25" s="29"/>
      <c r="R25" s="29"/>
      <c r="S25" s="29"/>
      <c r="T25" s="22"/>
      <c r="W25" s="180" t="s">
        <v>26</v>
      </c>
      <c r="X25" s="240">
        <v>1.7673999999999999E-2</v>
      </c>
    </row>
    <row r="26" spans="2:24" ht="15" customHeight="1" x14ac:dyDescent="0.25">
      <c r="B26" s="79"/>
      <c r="C26" s="85"/>
      <c r="D26" s="88"/>
      <c r="E26" s="161"/>
      <c r="F26" s="29"/>
      <c r="G26" s="29"/>
      <c r="H26" s="29"/>
      <c r="I26" s="29"/>
      <c r="J26" s="29"/>
      <c r="K26" s="29"/>
      <c r="L26" s="29"/>
      <c r="M26" s="29"/>
      <c r="N26" s="29"/>
      <c r="O26" s="29"/>
      <c r="P26" s="29"/>
      <c r="Q26" s="29"/>
      <c r="R26" s="29"/>
      <c r="S26" s="29"/>
      <c r="T26" s="22"/>
      <c r="W26" s="180" t="s">
        <v>109</v>
      </c>
      <c r="X26" s="240">
        <v>1.5712E-2</v>
      </c>
    </row>
    <row r="27" spans="2:24" ht="15" customHeight="1" x14ac:dyDescent="0.25">
      <c r="B27" s="79"/>
      <c r="F27" s="29"/>
      <c r="G27" s="29"/>
      <c r="H27" s="29"/>
      <c r="I27" s="29"/>
      <c r="J27" s="29"/>
      <c r="K27" s="29"/>
      <c r="L27" s="29"/>
      <c r="M27" s="29"/>
      <c r="N27" s="29"/>
      <c r="O27" s="29"/>
      <c r="P27" s="29"/>
      <c r="Q27" s="29"/>
      <c r="R27" s="29"/>
      <c r="S27" s="29"/>
      <c r="T27" s="22"/>
      <c r="W27" s="180" t="s">
        <v>122</v>
      </c>
      <c r="X27" s="240">
        <v>1.3143999999999999E-2</v>
      </c>
    </row>
    <row r="28" spans="2:24" ht="15" customHeight="1" x14ac:dyDescent="0.25">
      <c r="B28" s="79"/>
      <c r="F28" s="29"/>
      <c r="G28" s="29"/>
      <c r="H28" s="29"/>
      <c r="I28" s="29"/>
      <c r="J28" s="29"/>
      <c r="K28" s="29"/>
      <c r="L28" s="29"/>
      <c r="M28" s="29"/>
      <c r="N28" s="29"/>
      <c r="O28" s="29"/>
      <c r="P28" s="29"/>
      <c r="Q28" s="29"/>
      <c r="R28" s="29"/>
      <c r="S28" s="29"/>
      <c r="T28" s="22"/>
      <c r="W28" s="180" t="s">
        <v>127</v>
      </c>
      <c r="X28" s="240">
        <v>1.2917000000000001E-2</v>
      </c>
    </row>
    <row r="29" spans="2:24" ht="15" customHeight="1" x14ac:dyDescent="0.25">
      <c r="B29" s="79"/>
      <c r="F29" s="29"/>
      <c r="G29" s="29"/>
      <c r="H29" s="29"/>
      <c r="I29" s="29"/>
      <c r="J29" s="29"/>
      <c r="K29" s="29"/>
      <c r="L29" s="29"/>
      <c r="M29" s="29"/>
      <c r="N29" s="29"/>
      <c r="O29" s="29"/>
      <c r="P29" s="29"/>
      <c r="Q29" s="29"/>
      <c r="R29" s="29"/>
      <c r="S29" s="29"/>
      <c r="T29" s="22"/>
      <c r="W29" s="180" t="s">
        <v>134</v>
      </c>
      <c r="X29" s="240">
        <v>1.209E-2</v>
      </c>
    </row>
    <row r="30" spans="2:24" ht="15" customHeight="1" x14ac:dyDescent="0.25">
      <c r="B30" s="79"/>
      <c r="F30" s="29"/>
      <c r="G30" s="29"/>
      <c r="H30" s="29"/>
      <c r="I30" s="29"/>
      <c r="J30" s="29"/>
      <c r="K30" s="29"/>
      <c r="L30" s="29"/>
      <c r="M30" s="29"/>
      <c r="N30" s="29"/>
      <c r="O30" s="29"/>
      <c r="P30" s="29"/>
      <c r="Q30" s="29"/>
      <c r="R30" s="29"/>
      <c r="S30" s="29"/>
      <c r="T30" s="22"/>
      <c r="W30" s="180" t="s">
        <v>12</v>
      </c>
      <c r="X30" s="240">
        <v>1.1289E-2</v>
      </c>
    </row>
    <row r="31" spans="2:24" ht="15" customHeight="1" x14ac:dyDescent="0.25">
      <c r="B31" s="79"/>
      <c r="F31" s="29"/>
      <c r="G31" s="29"/>
      <c r="H31" s="29"/>
      <c r="I31" s="29"/>
      <c r="J31" s="29"/>
      <c r="K31" s="29"/>
      <c r="L31" s="29"/>
      <c r="M31" s="29"/>
      <c r="N31" s="29"/>
      <c r="O31" s="29"/>
      <c r="P31" s="29"/>
      <c r="Q31" s="29"/>
      <c r="R31" s="29"/>
      <c r="S31" s="29"/>
      <c r="T31" s="22"/>
      <c r="W31" s="180" t="s">
        <v>13</v>
      </c>
      <c r="X31" s="240">
        <v>1.1228999999999999E-2</v>
      </c>
    </row>
    <row r="32" spans="2:24" ht="15" customHeight="1" x14ac:dyDescent="0.25">
      <c r="B32" s="79"/>
      <c r="F32" s="29"/>
      <c r="G32" s="29"/>
      <c r="H32" s="29"/>
      <c r="I32" s="29"/>
      <c r="J32" s="29"/>
      <c r="K32" s="29"/>
      <c r="L32" s="29"/>
      <c r="M32" s="29"/>
      <c r="N32" s="29"/>
      <c r="O32" s="29"/>
      <c r="P32" s="29"/>
      <c r="Q32" s="29"/>
      <c r="R32" s="29"/>
      <c r="S32" s="29"/>
      <c r="T32" s="22"/>
      <c r="W32" s="180" t="s">
        <v>15</v>
      </c>
      <c r="X32" s="240">
        <v>1.0699999999999999E-2</v>
      </c>
    </row>
    <row r="33" spans="2:24" ht="15" customHeight="1" thickBot="1" x14ac:dyDescent="0.3">
      <c r="B33" s="80"/>
      <c r="C33" s="81"/>
      <c r="D33" s="81"/>
      <c r="E33" s="81"/>
      <c r="F33" s="81"/>
      <c r="G33" s="81"/>
      <c r="H33" s="81"/>
      <c r="I33" s="81"/>
      <c r="J33" s="81"/>
      <c r="K33" s="81"/>
      <c r="L33" s="81"/>
      <c r="M33" s="81"/>
      <c r="N33" s="81"/>
      <c r="O33" s="81"/>
      <c r="P33" s="81"/>
      <c r="Q33" s="81"/>
      <c r="R33" s="81"/>
      <c r="S33" s="81"/>
      <c r="T33" s="23"/>
      <c r="W33" s="180" t="s">
        <v>25</v>
      </c>
      <c r="X33" s="240">
        <v>1.0200000000000001E-2</v>
      </c>
    </row>
    <row r="34" spans="2:24" ht="15" customHeight="1" thickBot="1" x14ac:dyDescent="0.3">
      <c r="W34" s="180" t="s">
        <v>125</v>
      </c>
      <c r="X34" s="240">
        <v>1.0109E-2</v>
      </c>
    </row>
    <row r="35" spans="2:24" ht="15" customHeight="1" x14ac:dyDescent="0.25">
      <c r="B35" s="262" t="s">
        <v>184</v>
      </c>
      <c r="C35" s="263"/>
      <c r="D35" s="263"/>
      <c r="E35" s="263"/>
      <c r="F35" s="263"/>
      <c r="G35" s="263"/>
      <c r="H35" s="263"/>
      <c r="I35" s="263"/>
      <c r="J35" s="263"/>
      <c r="K35" s="263"/>
      <c r="L35" s="263"/>
      <c r="M35" s="263"/>
      <c r="N35" s="263"/>
      <c r="O35" s="263"/>
      <c r="P35" s="263"/>
      <c r="Q35" s="263"/>
      <c r="R35" s="264"/>
      <c r="W35" s="180" t="s">
        <v>117</v>
      </c>
      <c r="X35" s="240">
        <v>6.8560000000000001E-3</v>
      </c>
    </row>
    <row r="36" spans="2:24" ht="15" customHeight="1" x14ac:dyDescent="0.25">
      <c r="B36" s="265"/>
      <c r="C36" s="266"/>
      <c r="D36" s="266"/>
      <c r="E36" s="266"/>
      <c r="F36" s="266"/>
      <c r="G36" s="266"/>
      <c r="H36" s="266"/>
      <c r="I36" s="266"/>
      <c r="J36" s="266"/>
      <c r="K36" s="266"/>
      <c r="L36" s="266"/>
      <c r="M36" s="266"/>
      <c r="N36" s="266"/>
      <c r="O36" s="266"/>
      <c r="P36" s="266"/>
      <c r="Q36" s="266"/>
      <c r="R36" s="267"/>
      <c r="W36" s="180" t="s">
        <v>84</v>
      </c>
      <c r="X36" s="240">
        <v>6.7510000000000001E-3</v>
      </c>
    </row>
    <row r="37" spans="2:24" ht="15" customHeight="1" x14ac:dyDescent="0.25">
      <c r="B37" s="265"/>
      <c r="C37" s="266"/>
      <c r="D37" s="266"/>
      <c r="E37" s="266"/>
      <c r="F37" s="266"/>
      <c r="G37" s="266"/>
      <c r="H37" s="266"/>
      <c r="I37" s="266"/>
      <c r="J37" s="266"/>
      <c r="K37" s="266"/>
      <c r="L37" s="266"/>
      <c r="M37" s="266"/>
      <c r="N37" s="266"/>
      <c r="O37" s="266"/>
      <c r="P37" s="266"/>
      <c r="Q37" s="266"/>
      <c r="R37" s="267"/>
      <c r="W37" s="180" t="s">
        <v>119</v>
      </c>
      <c r="X37" s="240">
        <v>4.483E-3</v>
      </c>
    </row>
    <row r="38" spans="2:24" ht="15" customHeight="1" x14ac:dyDescent="0.25">
      <c r="B38" s="265"/>
      <c r="C38" s="266"/>
      <c r="D38" s="266"/>
      <c r="E38" s="266"/>
      <c r="F38" s="266"/>
      <c r="G38" s="266"/>
      <c r="H38" s="266"/>
      <c r="I38" s="266"/>
      <c r="J38" s="266"/>
      <c r="K38" s="266"/>
      <c r="L38" s="266"/>
      <c r="M38" s="266"/>
      <c r="N38" s="266"/>
      <c r="O38" s="266"/>
      <c r="P38" s="266"/>
      <c r="Q38" s="266"/>
      <c r="R38" s="267"/>
      <c r="W38" s="180" t="s">
        <v>147</v>
      </c>
      <c r="X38" s="240">
        <v>6.9300000000000004E-4</v>
      </c>
    </row>
    <row r="39" spans="2:24" ht="15" customHeight="1" x14ac:dyDescent="0.25">
      <c r="B39" s="265"/>
      <c r="C39" s="266"/>
      <c r="D39" s="266"/>
      <c r="E39" s="266"/>
      <c r="F39" s="266"/>
      <c r="G39" s="266"/>
      <c r="H39" s="266"/>
      <c r="I39" s="266"/>
      <c r="J39" s="266"/>
      <c r="K39" s="266"/>
      <c r="L39" s="266"/>
      <c r="M39" s="266"/>
      <c r="N39" s="266"/>
      <c r="O39" s="266"/>
      <c r="P39" s="266"/>
      <c r="Q39" s="266"/>
      <c r="R39" s="267"/>
      <c r="W39" s="180"/>
      <c r="X39" s="240"/>
    </row>
    <row r="40" spans="2:24" ht="15" customHeight="1" x14ac:dyDescent="0.25">
      <c r="B40" s="265"/>
      <c r="C40" s="266"/>
      <c r="D40" s="266"/>
      <c r="E40" s="266"/>
      <c r="F40" s="266"/>
      <c r="G40" s="266"/>
      <c r="H40" s="266"/>
      <c r="I40" s="266"/>
      <c r="J40" s="266"/>
      <c r="K40" s="266"/>
      <c r="L40" s="266"/>
      <c r="M40" s="266"/>
      <c r="N40" s="266"/>
      <c r="O40" s="266"/>
      <c r="P40" s="266"/>
      <c r="Q40" s="266"/>
      <c r="R40" s="267"/>
    </row>
    <row r="41" spans="2:24" ht="15" customHeight="1" thickBot="1" x14ac:dyDescent="0.3">
      <c r="B41" s="268"/>
      <c r="C41" s="269"/>
      <c r="D41" s="269"/>
      <c r="E41" s="269"/>
      <c r="F41" s="269"/>
      <c r="G41" s="269"/>
      <c r="H41" s="269"/>
      <c r="I41" s="269"/>
      <c r="J41" s="269"/>
      <c r="K41" s="269"/>
      <c r="L41" s="269"/>
      <c r="M41" s="269"/>
      <c r="N41" s="269"/>
      <c r="O41" s="269"/>
      <c r="P41" s="269"/>
      <c r="Q41" s="269"/>
      <c r="R41" s="270"/>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6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sheetPr codeName="Sheet11"/>
  <dimension ref="A1:AA59"/>
  <sheetViews>
    <sheetView showGridLines="0" zoomScale="75" zoomScaleNormal="75" workbookViewId="0">
      <selection activeCell="X8" sqref="X8:X38"/>
    </sheetView>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271" t="s">
        <v>170</v>
      </c>
      <c r="D3" s="272"/>
      <c r="E3" s="272"/>
      <c r="F3" s="272"/>
      <c r="G3" s="272"/>
      <c r="H3" s="272"/>
      <c r="I3" s="272"/>
      <c r="J3" s="272"/>
      <c r="K3" s="272"/>
      <c r="L3" s="272"/>
      <c r="M3" s="272"/>
      <c r="N3" s="272"/>
      <c r="O3" s="272"/>
      <c r="P3" s="272"/>
      <c r="Q3" s="272"/>
      <c r="R3" s="272"/>
      <c r="S3" s="272"/>
      <c r="T3" s="22"/>
      <c r="V3" s="40"/>
      <c r="W3" s="40"/>
      <c r="X3" s="40"/>
      <c r="Y3" s="40"/>
      <c r="Z3" s="40"/>
      <c r="AA3" s="40"/>
    </row>
    <row r="4" spans="1:27" ht="15.75" customHeight="1" x14ac:dyDescent="0.25">
      <c r="B4" s="79"/>
      <c r="C4" s="67" t="s">
        <v>356</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2" t="s">
        <v>357</v>
      </c>
      <c r="D5" s="273" t="s">
        <v>363</v>
      </c>
      <c r="E5" s="273"/>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206" t="s">
        <v>139</v>
      </c>
      <c r="D8" s="207" t="s">
        <v>26</v>
      </c>
      <c r="E8" s="204">
        <v>4.6944E-2</v>
      </c>
      <c r="F8" s="29"/>
      <c r="G8" s="29"/>
      <c r="H8" s="29"/>
      <c r="I8" s="29"/>
      <c r="J8" s="29"/>
      <c r="K8" s="29"/>
      <c r="L8" s="29"/>
      <c r="M8" s="29"/>
      <c r="N8" s="29"/>
      <c r="O8" s="29"/>
      <c r="P8" s="29"/>
      <c r="Q8" s="29"/>
      <c r="R8" s="29"/>
      <c r="S8" s="29"/>
      <c r="T8" s="22"/>
      <c r="V8" s="158"/>
      <c r="W8" s="180" t="s">
        <v>24</v>
      </c>
      <c r="X8" s="240">
        <v>0.12290300000000001</v>
      </c>
      <c r="Y8" s="158"/>
      <c r="Z8" s="40"/>
      <c r="AA8" s="40"/>
    </row>
    <row r="9" spans="1:27" ht="15.75" customHeight="1" x14ac:dyDescent="0.25">
      <c r="B9" s="79"/>
      <c r="C9" s="208" t="s">
        <v>140</v>
      </c>
      <c r="D9" s="209" t="s">
        <v>24</v>
      </c>
      <c r="E9" s="205">
        <v>3.2761999999999999E-2</v>
      </c>
      <c r="F9" s="29"/>
      <c r="G9" s="29"/>
      <c r="H9" s="29"/>
      <c r="I9" s="29"/>
      <c r="J9" s="29"/>
      <c r="K9" s="29"/>
      <c r="L9" s="29"/>
      <c r="M9" s="29"/>
      <c r="N9" s="29"/>
      <c r="O9" s="29"/>
      <c r="P9" s="29"/>
      <c r="Q9" s="29"/>
      <c r="R9" s="29"/>
      <c r="S9" s="29"/>
      <c r="T9" s="22"/>
      <c r="V9" s="158"/>
      <c r="W9" s="180" t="s">
        <v>111</v>
      </c>
      <c r="X9" s="240">
        <v>9.8568000000000003E-2</v>
      </c>
      <c r="Y9" s="158"/>
      <c r="Z9" s="40"/>
      <c r="AA9" s="40"/>
    </row>
    <row r="10" spans="1:27" ht="15" customHeight="1" x14ac:dyDescent="0.25">
      <c r="B10" s="79"/>
      <c r="C10" s="208" t="s">
        <v>192</v>
      </c>
      <c r="D10" s="209" t="s">
        <v>108</v>
      </c>
      <c r="E10" s="205">
        <v>3.0047999999999998E-2</v>
      </c>
      <c r="F10" s="29"/>
      <c r="G10" s="29"/>
      <c r="H10" s="29"/>
      <c r="I10" s="29"/>
      <c r="J10" s="29"/>
      <c r="K10" s="29"/>
      <c r="L10" s="29"/>
      <c r="M10" s="29"/>
      <c r="N10" s="29"/>
      <c r="O10" s="29"/>
      <c r="P10" s="29"/>
      <c r="Q10" s="29"/>
      <c r="R10" s="29"/>
      <c r="S10" s="29"/>
      <c r="T10" s="22"/>
      <c r="V10" s="158"/>
      <c r="W10" s="180" t="s">
        <v>120</v>
      </c>
      <c r="X10" s="240">
        <v>8.2683999999999994E-2</v>
      </c>
      <c r="Y10" s="158"/>
      <c r="Z10" s="40"/>
      <c r="AA10" s="40"/>
    </row>
    <row r="11" spans="1:27" ht="15" customHeight="1" x14ac:dyDescent="0.25">
      <c r="B11" s="79"/>
      <c r="C11" s="208" t="s">
        <v>221</v>
      </c>
      <c r="D11" s="209" t="s">
        <v>114</v>
      </c>
      <c r="E11" s="205">
        <v>2.9524999999999999E-2</v>
      </c>
      <c r="F11" s="29"/>
      <c r="G11" s="29"/>
      <c r="H11" s="29"/>
      <c r="I11" s="29"/>
      <c r="J11" s="29"/>
      <c r="K11" s="29"/>
      <c r="L11" s="29"/>
      <c r="M11" s="29"/>
      <c r="N11" s="29"/>
      <c r="O11" s="29"/>
      <c r="P11" s="29"/>
      <c r="Q11" s="29"/>
      <c r="R11" s="29"/>
      <c r="S11" s="29"/>
      <c r="T11" s="22"/>
      <c r="V11" s="158"/>
      <c r="W11" s="180" t="s">
        <v>16</v>
      </c>
      <c r="X11" s="240">
        <v>7.2618000000000002E-2</v>
      </c>
      <c r="Y11" s="158"/>
      <c r="Z11" s="40"/>
      <c r="AA11" s="40"/>
    </row>
    <row r="12" spans="1:27" ht="15" customHeight="1" x14ac:dyDescent="0.25">
      <c r="B12" s="79"/>
      <c r="C12" s="208" t="s">
        <v>99</v>
      </c>
      <c r="D12" s="209" t="s">
        <v>120</v>
      </c>
      <c r="E12" s="205">
        <v>2.5704000000000001E-2</v>
      </c>
      <c r="F12" s="29"/>
      <c r="G12" s="29"/>
      <c r="H12" s="29"/>
      <c r="I12" s="29"/>
      <c r="J12" s="29"/>
      <c r="K12" s="29"/>
      <c r="L12" s="29"/>
      <c r="M12" s="29"/>
      <c r="N12" s="29"/>
      <c r="O12" s="29"/>
      <c r="P12" s="29"/>
      <c r="Q12" s="29"/>
      <c r="R12" s="29"/>
      <c r="S12" s="29"/>
      <c r="T12" s="22"/>
      <c r="V12" s="158"/>
      <c r="W12" s="180" t="s">
        <v>26</v>
      </c>
      <c r="X12" s="240">
        <v>6.5659999999999996E-2</v>
      </c>
      <c r="Y12" s="158"/>
      <c r="Z12" s="40"/>
      <c r="AA12" s="40"/>
    </row>
    <row r="13" spans="1:27" ht="15" customHeight="1" x14ac:dyDescent="0.25">
      <c r="B13" s="79"/>
      <c r="C13" s="208" t="s">
        <v>247</v>
      </c>
      <c r="D13" s="209" t="s">
        <v>16</v>
      </c>
      <c r="E13" s="205">
        <v>2.5183000000000001E-2</v>
      </c>
      <c r="F13" s="29"/>
      <c r="G13" s="29"/>
      <c r="H13" s="29"/>
      <c r="I13" s="29"/>
      <c r="J13" s="29"/>
      <c r="K13" s="29"/>
      <c r="L13" s="29"/>
      <c r="M13" s="29"/>
      <c r="N13" s="29"/>
      <c r="O13" s="29"/>
      <c r="P13" s="29"/>
      <c r="Q13" s="29"/>
      <c r="R13" s="29"/>
      <c r="S13" s="29"/>
      <c r="T13" s="22"/>
      <c r="V13" s="158"/>
      <c r="W13" s="180" t="s">
        <v>108</v>
      </c>
      <c r="X13" s="240">
        <v>5.8994999999999999E-2</v>
      </c>
      <c r="Y13" s="158"/>
      <c r="Z13" s="40"/>
      <c r="AA13" s="40"/>
    </row>
    <row r="14" spans="1:27" ht="15" customHeight="1" x14ac:dyDescent="0.25">
      <c r="B14" s="79"/>
      <c r="C14" s="208" t="s">
        <v>137</v>
      </c>
      <c r="D14" s="209" t="s">
        <v>111</v>
      </c>
      <c r="E14" s="205">
        <v>2.4611000000000001E-2</v>
      </c>
      <c r="F14" s="29"/>
      <c r="G14" s="29"/>
      <c r="H14" s="29"/>
      <c r="I14" s="29"/>
      <c r="J14" s="29"/>
      <c r="K14" s="29"/>
      <c r="L14" s="29"/>
      <c r="M14" s="29"/>
      <c r="N14" s="29"/>
      <c r="O14" s="29"/>
      <c r="P14" s="29"/>
      <c r="Q14" s="29"/>
      <c r="R14" s="29"/>
      <c r="S14" s="29"/>
      <c r="T14" s="22"/>
      <c r="V14" s="158"/>
      <c r="W14" s="180" t="s">
        <v>112</v>
      </c>
      <c r="X14" s="240">
        <v>5.5168000000000002E-2</v>
      </c>
      <c r="Y14" s="158"/>
      <c r="Z14" s="40"/>
      <c r="AA14" s="40"/>
    </row>
    <row r="15" spans="1:27" ht="15.75" customHeight="1" x14ac:dyDescent="0.25">
      <c r="B15" s="79"/>
      <c r="C15" s="208" t="s">
        <v>95</v>
      </c>
      <c r="D15" s="209" t="s">
        <v>85</v>
      </c>
      <c r="E15" s="205">
        <v>2.3425000000000001E-2</v>
      </c>
      <c r="F15" s="29"/>
      <c r="G15" s="29"/>
      <c r="H15" s="29"/>
      <c r="I15" s="29"/>
      <c r="J15" s="29"/>
      <c r="K15" s="29"/>
      <c r="L15" s="29"/>
      <c r="M15" s="29"/>
      <c r="N15" s="29"/>
      <c r="O15" s="29"/>
      <c r="P15" s="29"/>
      <c r="Q15" s="29"/>
      <c r="R15" s="29"/>
      <c r="S15" s="29"/>
      <c r="T15" s="22"/>
      <c r="V15" s="158"/>
      <c r="W15" s="180" t="s">
        <v>114</v>
      </c>
      <c r="X15" s="240">
        <v>4.3275999999999995E-2</v>
      </c>
      <c r="Y15" s="158"/>
      <c r="Z15" s="40"/>
      <c r="AA15" s="40"/>
    </row>
    <row r="16" spans="1:27" ht="15" customHeight="1" x14ac:dyDescent="0.25">
      <c r="B16" s="79"/>
      <c r="C16" s="208" t="s">
        <v>72</v>
      </c>
      <c r="D16" s="209" t="s">
        <v>10</v>
      </c>
      <c r="E16" s="205">
        <v>2.2182E-2</v>
      </c>
      <c r="F16" s="29"/>
      <c r="G16" s="29"/>
      <c r="H16" s="29"/>
      <c r="I16" s="29"/>
      <c r="J16" s="29"/>
      <c r="K16" s="29"/>
      <c r="L16" s="29"/>
      <c r="M16" s="29"/>
      <c r="N16" s="29"/>
      <c r="O16" s="29"/>
      <c r="P16" s="29"/>
      <c r="Q16" s="29"/>
      <c r="R16" s="29"/>
      <c r="S16" s="29"/>
      <c r="T16" s="22"/>
      <c r="V16" s="158"/>
      <c r="W16" s="180" t="s">
        <v>85</v>
      </c>
      <c r="X16" s="240">
        <v>2.9575000000000001E-2</v>
      </c>
      <c r="Y16" s="158"/>
      <c r="Z16" s="40"/>
      <c r="AA16" s="40"/>
    </row>
    <row r="17" spans="2:27" ht="15.75" customHeight="1" x14ac:dyDescent="0.25">
      <c r="B17" s="79"/>
      <c r="C17" s="208" t="s">
        <v>201</v>
      </c>
      <c r="D17" s="209" t="s">
        <v>120</v>
      </c>
      <c r="E17" s="205">
        <v>2.1902000000000001E-2</v>
      </c>
      <c r="F17" s="29"/>
      <c r="G17" s="29"/>
      <c r="H17" s="29"/>
      <c r="I17" s="29"/>
      <c r="J17" s="29"/>
      <c r="K17" s="29"/>
      <c r="L17" s="29"/>
      <c r="M17" s="29"/>
      <c r="N17" s="29"/>
      <c r="O17" s="29"/>
      <c r="P17" s="29"/>
      <c r="Q17" s="29"/>
      <c r="R17" s="29"/>
      <c r="S17" s="29"/>
      <c r="T17" s="22"/>
      <c r="V17" s="158"/>
      <c r="W17" s="180" t="s">
        <v>12</v>
      </c>
      <c r="X17" s="240">
        <v>2.9555999999999999E-2</v>
      </c>
      <c r="Y17" s="158"/>
      <c r="Z17" s="40"/>
      <c r="AA17" s="40"/>
    </row>
    <row r="18" spans="2:27" ht="15.75" x14ac:dyDescent="0.25">
      <c r="B18" s="79"/>
      <c r="C18" s="208" t="s">
        <v>135</v>
      </c>
      <c r="D18" s="209" t="s">
        <v>113</v>
      </c>
      <c r="E18" s="205">
        <v>2.1194000000000001E-2</v>
      </c>
      <c r="F18" s="29"/>
      <c r="G18" s="29"/>
      <c r="H18" s="29"/>
      <c r="I18" s="29"/>
      <c r="J18" s="29"/>
      <c r="K18" s="29"/>
      <c r="L18" s="29"/>
      <c r="M18" s="29"/>
      <c r="N18" s="29"/>
      <c r="O18" s="29"/>
      <c r="P18" s="29"/>
      <c r="Q18" s="29"/>
      <c r="R18" s="29"/>
      <c r="S18" s="29"/>
      <c r="T18" s="22"/>
      <c r="V18" s="158"/>
      <c r="W18" s="180" t="s">
        <v>3</v>
      </c>
      <c r="X18" s="240">
        <v>2.8537E-2</v>
      </c>
      <c r="Y18" s="158"/>
      <c r="Z18" s="40"/>
      <c r="AA18" s="40"/>
    </row>
    <row r="19" spans="2:27" ht="15.75" customHeight="1" x14ac:dyDescent="0.25">
      <c r="B19" s="79"/>
      <c r="C19" s="208" t="s">
        <v>257</v>
      </c>
      <c r="D19" s="209" t="s">
        <v>120</v>
      </c>
      <c r="E19" s="205">
        <v>2.0722999999999998E-2</v>
      </c>
      <c r="F19" s="29"/>
      <c r="G19" s="29"/>
      <c r="H19" s="29"/>
      <c r="I19" s="29"/>
      <c r="J19" s="29"/>
      <c r="K19" s="29"/>
      <c r="L19" s="29"/>
      <c r="M19" s="29"/>
      <c r="N19" s="29"/>
      <c r="O19" s="29"/>
      <c r="P19" s="29"/>
      <c r="Q19" s="29"/>
      <c r="R19" s="29"/>
      <c r="S19" s="29"/>
      <c r="T19" s="22"/>
      <c r="V19" s="158"/>
      <c r="W19" s="180" t="s">
        <v>4</v>
      </c>
      <c r="X19" s="240">
        <v>2.8493000000000001E-2</v>
      </c>
      <c r="Y19" s="158"/>
      <c r="Z19" s="40"/>
      <c r="AA19" s="40"/>
    </row>
    <row r="20" spans="2:27" ht="15" customHeight="1" x14ac:dyDescent="0.25">
      <c r="B20" s="79"/>
      <c r="C20" s="208" t="s">
        <v>270</v>
      </c>
      <c r="D20" s="209" t="s">
        <v>24</v>
      </c>
      <c r="E20" s="205">
        <v>1.8616000000000001E-2</v>
      </c>
      <c r="F20" s="29"/>
      <c r="G20" s="29"/>
      <c r="H20" s="29"/>
      <c r="I20" s="29"/>
      <c r="J20" s="29"/>
      <c r="K20" s="29"/>
      <c r="L20" s="29"/>
      <c r="M20" s="29"/>
      <c r="N20" s="29"/>
      <c r="O20" s="29"/>
      <c r="P20" s="29"/>
      <c r="Q20" s="29"/>
      <c r="R20" s="29"/>
      <c r="S20" s="29"/>
      <c r="T20" s="22"/>
      <c r="V20" s="158"/>
      <c r="W20" s="180" t="s">
        <v>113</v>
      </c>
      <c r="X20" s="240">
        <v>2.6719E-2</v>
      </c>
      <c r="Y20" s="158"/>
      <c r="Z20" s="40"/>
      <c r="AA20" s="40"/>
    </row>
    <row r="21" spans="2:27" ht="15" customHeight="1" x14ac:dyDescent="0.25">
      <c r="B21" s="79"/>
      <c r="C21" s="208" t="s">
        <v>232</v>
      </c>
      <c r="D21" s="209" t="s">
        <v>187</v>
      </c>
      <c r="E21" s="205">
        <v>1.8027999999999999E-2</v>
      </c>
      <c r="F21" s="29"/>
      <c r="G21" s="29"/>
      <c r="H21" s="29"/>
      <c r="I21" s="29"/>
      <c r="J21" s="29"/>
      <c r="K21" s="29"/>
      <c r="L21" s="29"/>
      <c r="M21" s="29"/>
      <c r="N21" s="29"/>
      <c r="O21" s="29"/>
      <c r="P21" s="29"/>
      <c r="Q21" s="29"/>
      <c r="R21" s="29"/>
      <c r="S21" s="29"/>
      <c r="T21" s="22"/>
      <c r="V21" s="158"/>
      <c r="W21" s="180" t="s">
        <v>117</v>
      </c>
      <c r="X21" s="240">
        <v>2.4924000000000002E-2</v>
      </c>
      <c r="Y21" s="158"/>
      <c r="Z21" s="40"/>
      <c r="AA21" s="40"/>
    </row>
    <row r="22" spans="2:27" ht="15" customHeight="1" x14ac:dyDescent="0.25">
      <c r="B22" s="79"/>
      <c r="C22" s="208" t="s">
        <v>295</v>
      </c>
      <c r="D22" s="209" t="s">
        <v>3</v>
      </c>
      <c r="E22" s="205">
        <v>1.787E-2</v>
      </c>
      <c r="F22" s="29"/>
      <c r="G22" s="29"/>
      <c r="H22" s="29"/>
      <c r="I22" s="29"/>
      <c r="J22" s="29"/>
      <c r="K22" s="29"/>
      <c r="L22" s="29"/>
      <c r="M22" s="29"/>
      <c r="N22" s="29"/>
      <c r="O22" s="29"/>
      <c r="P22" s="29"/>
      <c r="Q22" s="29"/>
      <c r="R22" s="29"/>
      <c r="S22" s="29"/>
      <c r="T22" s="22"/>
      <c r="V22" s="158"/>
      <c r="W22" s="180" t="s">
        <v>78</v>
      </c>
      <c r="X22" s="240">
        <v>2.3486E-2</v>
      </c>
      <c r="Y22" s="158"/>
      <c r="Z22" s="40"/>
      <c r="AA22" s="40"/>
    </row>
    <row r="23" spans="2:27" ht="15" customHeight="1" x14ac:dyDescent="0.25">
      <c r="B23" s="79"/>
      <c r="C23" s="15"/>
      <c r="D23" s="16"/>
      <c r="E23" s="18"/>
      <c r="F23" s="29"/>
      <c r="G23" s="29"/>
      <c r="H23" s="29"/>
      <c r="I23" s="29"/>
      <c r="J23" s="29"/>
      <c r="K23" s="29"/>
      <c r="L23" s="29"/>
      <c r="M23" s="29"/>
      <c r="N23" s="29"/>
      <c r="O23" s="29"/>
      <c r="P23" s="29"/>
      <c r="Q23" s="29"/>
      <c r="R23" s="29"/>
      <c r="S23" s="29"/>
      <c r="T23" s="22"/>
      <c r="V23" s="158"/>
      <c r="W23" s="180" t="s">
        <v>10</v>
      </c>
      <c r="X23" s="240">
        <v>2.2182E-2</v>
      </c>
      <c r="Y23" s="158"/>
      <c r="Z23" s="40"/>
      <c r="AA23" s="40"/>
    </row>
    <row r="24" spans="2:27" ht="15" customHeight="1" x14ac:dyDescent="0.25">
      <c r="B24" s="79"/>
      <c r="C24" s="73" t="s">
        <v>55</v>
      </c>
      <c r="D24" s="74"/>
      <c r="E24" s="75">
        <f>SUM(E8:E23)</f>
        <v>0.37871699999999997</v>
      </c>
      <c r="F24" s="29"/>
      <c r="G24" s="29"/>
      <c r="H24" s="29"/>
      <c r="I24" s="29"/>
      <c r="J24" s="29"/>
      <c r="K24" s="29"/>
      <c r="L24" s="29"/>
      <c r="M24" s="29"/>
      <c r="N24" s="29"/>
      <c r="O24" s="29"/>
      <c r="P24" s="29"/>
      <c r="Q24" s="29"/>
      <c r="R24" s="29"/>
      <c r="S24" s="29"/>
      <c r="T24" s="22"/>
      <c r="V24" s="158"/>
      <c r="W24" s="180" t="s">
        <v>138</v>
      </c>
      <c r="X24" s="240">
        <v>1.8787999999999999E-2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180" t="s">
        <v>119</v>
      </c>
      <c r="X25" s="240">
        <v>1.8364999999999999E-2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180" t="s">
        <v>187</v>
      </c>
      <c r="X26" s="240">
        <v>1.8027999999999999E-2</v>
      </c>
      <c r="Y26" s="158"/>
      <c r="Z26" s="40"/>
      <c r="AA26" s="40"/>
    </row>
    <row r="27" spans="2:27" ht="15" customHeight="1" x14ac:dyDescent="0.25">
      <c r="B27" s="79"/>
      <c r="F27" s="29"/>
      <c r="G27" s="29"/>
      <c r="H27" s="29"/>
      <c r="I27" s="29"/>
      <c r="J27" s="29"/>
      <c r="K27" s="29"/>
      <c r="L27" s="29"/>
      <c r="M27" s="29"/>
      <c r="N27" s="29"/>
      <c r="O27" s="29"/>
      <c r="P27" s="29"/>
      <c r="Q27" s="29"/>
      <c r="R27" s="29"/>
      <c r="S27" s="29"/>
      <c r="T27" s="22"/>
      <c r="V27" s="158"/>
      <c r="W27" s="180" t="s">
        <v>115</v>
      </c>
      <c r="X27" s="240">
        <v>1.7559999999999999E-2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180" t="s">
        <v>107</v>
      </c>
      <c r="X28" s="240">
        <v>1.2996000000000001E-2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180" t="s">
        <v>88</v>
      </c>
      <c r="X29" s="240">
        <v>1.2348999999999999E-2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180" t="s">
        <v>13</v>
      </c>
      <c r="X30" s="240">
        <v>1.0611000000000001E-2</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180" t="s">
        <v>84</v>
      </c>
      <c r="X31" s="240">
        <v>9.3030000000000005E-3</v>
      </c>
      <c r="Y31" s="158"/>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80" t="s">
        <v>11</v>
      </c>
      <c r="X32" s="240">
        <v>8.9470000000000001E-3</v>
      </c>
    </row>
    <row r="33" spans="2:24" ht="15" customHeight="1" thickBot="1" x14ac:dyDescent="0.3">
      <c r="W33" s="180" t="s">
        <v>124</v>
      </c>
      <c r="X33" s="240">
        <v>7.7980000000000002E-3</v>
      </c>
    </row>
    <row r="34" spans="2:24" ht="15" customHeight="1" x14ac:dyDescent="0.25">
      <c r="B34" s="262" t="s">
        <v>184</v>
      </c>
      <c r="C34" s="263"/>
      <c r="D34" s="263"/>
      <c r="E34" s="263"/>
      <c r="F34" s="263"/>
      <c r="G34" s="263"/>
      <c r="H34" s="263"/>
      <c r="I34" s="263"/>
      <c r="J34" s="263"/>
      <c r="K34" s="263"/>
      <c r="L34" s="263"/>
      <c r="M34" s="263"/>
      <c r="N34" s="263"/>
      <c r="O34" s="263"/>
      <c r="P34" s="263"/>
      <c r="Q34" s="263"/>
      <c r="R34" s="264"/>
      <c r="W34" s="180" t="s">
        <v>127</v>
      </c>
      <c r="X34" s="240">
        <v>6.9620000000000003E-3</v>
      </c>
    </row>
    <row r="35" spans="2:24" ht="15" customHeight="1" x14ac:dyDescent="0.25">
      <c r="B35" s="265"/>
      <c r="C35" s="266"/>
      <c r="D35" s="266"/>
      <c r="E35" s="266"/>
      <c r="F35" s="266"/>
      <c r="G35" s="266"/>
      <c r="H35" s="266"/>
      <c r="I35" s="266"/>
      <c r="J35" s="266"/>
      <c r="K35" s="266"/>
      <c r="L35" s="266"/>
      <c r="M35" s="266"/>
      <c r="N35" s="266"/>
      <c r="O35" s="266"/>
      <c r="P35" s="266"/>
      <c r="Q35" s="266"/>
      <c r="R35" s="267"/>
      <c r="W35" s="180" t="s">
        <v>86</v>
      </c>
      <c r="X35" s="240">
        <v>5.489E-3</v>
      </c>
    </row>
    <row r="36" spans="2:24" ht="15" customHeight="1" x14ac:dyDescent="0.25">
      <c r="B36" s="265"/>
      <c r="C36" s="266"/>
      <c r="D36" s="266"/>
      <c r="E36" s="266"/>
      <c r="F36" s="266"/>
      <c r="G36" s="266"/>
      <c r="H36" s="266"/>
      <c r="I36" s="266"/>
      <c r="J36" s="266"/>
      <c r="K36" s="266"/>
      <c r="L36" s="266"/>
      <c r="M36" s="266"/>
      <c r="N36" s="266"/>
      <c r="O36" s="266"/>
      <c r="P36" s="266"/>
      <c r="Q36" s="266"/>
      <c r="R36" s="267"/>
      <c r="W36" s="180" t="s">
        <v>122</v>
      </c>
      <c r="X36" s="240">
        <v>5.4450000000000002E-3</v>
      </c>
    </row>
    <row r="37" spans="2:24" ht="15" customHeight="1" x14ac:dyDescent="0.25">
      <c r="B37" s="265"/>
      <c r="C37" s="266"/>
      <c r="D37" s="266"/>
      <c r="E37" s="266"/>
      <c r="F37" s="266"/>
      <c r="G37" s="266"/>
      <c r="H37" s="266"/>
      <c r="I37" s="266"/>
      <c r="J37" s="266"/>
      <c r="K37" s="266"/>
      <c r="L37" s="266"/>
      <c r="M37" s="266"/>
      <c r="N37" s="266"/>
      <c r="O37" s="266"/>
      <c r="P37" s="266"/>
      <c r="Q37" s="266"/>
      <c r="R37" s="267"/>
      <c r="W37" s="180" t="s">
        <v>188</v>
      </c>
      <c r="X37" s="240">
        <v>2.8080000000000002E-3</v>
      </c>
    </row>
    <row r="38" spans="2:24" ht="15" customHeight="1" x14ac:dyDescent="0.25">
      <c r="B38" s="265"/>
      <c r="C38" s="266"/>
      <c r="D38" s="266"/>
      <c r="E38" s="266"/>
      <c r="F38" s="266"/>
      <c r="G38" s="266"/>
      <c r="H38" s="266"/>
      <c r="I38" s="266"/>
      <c r="J38" s="266"/>
      <c r="K38" s="266"/>
      <c r="L38" s="266"/>
      <c r="M38" s="266"/>
      <c r="N38" s="266"/>
      <c r="O38" s="266"/>
      <c r="P38" s="266"/>
      <c r="Q38" s="266"/>
      <c r="R38" s="267"/>
      <c r="W38" s="180" t="s">
        <v>109</v>
      </c>
      <c r="X38" s="240">
        <v>1.714E-3</v>
      </c>
    </row>
    <row r="39" spans="2:24" ht="15" customHeight="1" x14ac:dyDescent="0.25">
      <c r="B39" s="265"/>
      <c r="C39" s="266"/>
      <c r="D39" s="266"/>
      <c r="E39" s="266"/>
      <c r="F39" s="266"/>
      <c r="G39" s="266"/>
      <c r="H39" s="266"/>
      <c r="I39" s="266"/>
      <c r="J39" s="266"/>
      <c r="K39" s="266"/>
      <c r="L39" s="266"/>
      <c r="M39" s="266"/>
      <c r="N39" s="266"/>
      <c r="O39" s="266"/>
      <c r="P39" s="266"/>
      <c r="Q39" s="266"/>
      <c r="R39" s="267"/>
      <c r="W39" s="180"/>
      <c r="X39" s="240"/>
    </row>
    <row r="40" spans="2:24" ht="21.75" customHeight="1" thickBot="1" x14ac:dyDescent="0.3">
      <c r="B40" s="268"/>
      <c r="C40" s="269"/>
      <c r="D40" s="269"/>
      <c r="E40" s="269"/>
      <c r="F40" s="269"/>
      <c r="G40" s="269"/>
      <c r="H40" s="269"/>
      <c r="I40" s="269"/>
      <c r="J40" s="269"/>
      <c r="K40" s="269"/>
      <c r="L40" s="269"/>
      <c r="M40" s="269"/>
      <c r="N40" s="269"/>
      <c r="O40" s="269"/>
      <c r="P40" s="269"/>
      <c r="Q40" s="269"/>
      <c r="R40" s="270"/>
      <c r="X40" s="179"/>
    </row>
    <row r="41" spans="2:24" ht="15" customHeight="1" x14ac:dyDescent="0.25">
      <c r="X41" s="179"/>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sheetPr codeName="Sheet20"/>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271" t="s">
        <v>169</v>
      </c>
      <c r="D3" s="272"/>
      <c r="E3" s="272"/>
      <c r="F3" s="272"/>
      <c r="G3" s="272"/>
      <c r="H3" s="272"/>
      <c r="I3" s="272"/>
      <c r="J3" s="272"/>
      <c r="K3" s="272"/>
      <c r="L3" s="272"/>
      <c r="M3" s="272"/>
      <c r="N3" s="272"/>
      <c r="O3" s="272"/>
      <c r="P3" s="272"/>
      <c r="Q3" s="272"/>
      <c r="R3" s="272"/>
      <c r="S3" s="272"/>
      <c r="T3" s="22"/>
      <c r="V3" s="40"/>
      <c r="W3" s="40"/>
      <c r="X3" s="40"/>
      <c r="Y3" s="40"/>
      <c r="Z3" s="40"/>
      <c r="AA3" s="40"/>
    </row>
    <row r="4" spans="1:27" ht="15.75" customHeight="1" x14ac:dyDescent="0.25">
      <c r="B4" s="79"/>
      <c r="C4" s="67" t="s">
        <v>356</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2" t="s">
        <v>357</v>
      </c>
      <c r="D5" s="273" t="s">
        <v>364</v>
      </c>
      <c r="E5" s="273"/>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206" t="s">
        <v>29</v>
      </c>
      <c r="D8" s="207" t="s">
        <v>3</v>
      </c>
      <c r="E8" s="204">
        <v>4.4299999999999999E-2</v>
      </c>
      <c r="F8" s="29"/>
      <c r="G8" s="29"/>
      <c r="H8" s="29"/>
      <c r="I8" s="29"/>
      <c r="J8" s="29"/>
      <c r="K8" s="29"/>
      <c r="L8" s="29"/>
      <c r="M8" s="29"/>
      <c r="N8" s="29"/>
      <c r="O8" s="29"/>
      <c r="P8" s="29"/>
      <c r="Q8" s="29"/>
      <c r="R8" s="29"/>
      <c r="S8" s="29"/>
      <c r="T8" s="22"/>
      <c r="V8" s="158"/>
      <c r="W8" s="180" t="s">
        <v>3</v>
      </c>
      <c r="X8" s="240">
        <v>0.144207</v>
      </c>
      <c r="Y8" s="158"/>
      <c r="Z8" s="40"/>
      <c r="AA8" s="40"/>
    </row>
    <row r="9" spans="1:27" ht="15.75" customHeight="1" x14ac:dyDescent="0.25">
      <c r="B9" s="79"/>
      <c r="C9" s="208" t="s">
        <v>31</v>
      </c>
      <c r="D9" s="209" t="s">
        <v>6</v>
      </c>
      <c r="E9" s="205">
        <v>3.7184000000000002E-2</v>
      </c>
      <c r="F9" s="29"/>
      <c r="G9" s="29"/>
      <c r="H9" s="29"/>
      <c r="I9" s="29"/>
      <c r="J9" s="29"/>
      <c r="K9" s="29"/>
      <c r="L9" s="29"/>
      <c r="M9" s="29"/>
      <c r="N9" s="29"/>
      <c r="O9" s="29"/>
      <c r="P9" s="29"/>
      <c r="Q9" s="29"/>
      <c r="R9" s="29"/>
      <c r="S9" s="29"/>
      <c r="T9" s="22"/>
      <c r="V9" s="158"/>
      <c r="W9" s="180" t="s">
        <v>112</v>
      </c>
      <c r="X9" s="240">
        <v>8.8639999999999997E-2</v>
      </c>
      <c r="Y9" s="158"/>
      <c r="Z9" s="40"/>
      <c r="AA9" s="40"/>
    </row>
    <row r="10" spans="1:27" ht="15" customHeight="1" x14ac:dyDescent="0.25">
      <c r="B10" s="79"/>
      <c r="C10" s="208" t="s">
        <v>36</v>
      </c>
      <c r="D10" s="209" t="s">
        <v>3</v>
      </c>
      <c r="E10" s="205">
        <v>2.5454999999999998E-2</v>
      </c>
      <c r="F10" s="29"/>
      <c r="G10" s="29"/>
      <c r="H10" s="29"/>
      <c r="I10" s="29"/>
      <c r="J10" s="29"/>
      <c r="K10" s="29"/>
      <c r="L10" s="29"/>
      <c r="M10" s="29"/>
      <c r="N10" s="29"/>
      <c r="O10" s="29"/>
      <c r="P10" s="29"/>
      <c r="Q10" s="29"/>
      <c r="R10" s="29"/>
      <c r="S10" s="29"/>
      <c r="T10" s="22"/>
      <c r="V10" s="158"/>
      <c r="W10" s="180" t="s">
        <v>108</v>
      </c>
      <c r="X10" s="240">
        <v>7.0008000000000001E-2</v>
      </c>
      <c r="Y10" s="158"/>
      <c r="Z10" s="40"/>
      <c r="AA10" s="40"/>
    </row>
    <row r="11" spans="1:27" ht="15" customHeight="1" x14ac:dyDescent="0.25">
      <c r="B11" s="79"/>
      <c r="C11" s="208" t="s">
        <v>32</v>
      </c>
      <c r="D11" s="209" t="s">
        <v>3</v>
      </c>
      <c r="E11" s="205">
        <v>2.5045000000000001E-2</v>
      </c>
      <c r="F11" s="29"/>
      <c r="G11" s="29"/>
      <c r="H11" s="29"/>
      <c r="I11" s="29"/>
      <c r="J11" s="29"/>
      <c r="K11" s="29"/>
      <c r="L11" s="29"/>
      <c r="M11" s="29"/>
      <c r="N11" s="29"/>
      <c r="O11" s="29"/>
      <c r="P11" s="29"/>
      <c r="Q11" s="29"/>
      <c r="R11" s="29"/>
      <c r="S11" s="29"/>
      <c r="T11" s="22"/>
      <c r="V11" s="158"/>
      <c r="W11" s="180" t="s">
        <v>16</v>
      </c>
      <c r="X11" s="240">
        <v>4.6085000000000001E-2</v>
      </c>
      <c r="Y11" s="158"/>
      <c r="Z11" s="40"/>
      <c r="AA11" s="40"/>
    </row>
    <row r="12" spans="1:27" ht="15" customHeight="1" x14ac:dyDescent="0.25">
      <c r="B12" s="79"/>
      <c r="C12" s="208" t="s">
        <v>249</v>
      </c>
      <c r="D12" s="209" t="s">
        <v>26</v>
      </c>
      <c r="E12" s="205">
        <v>2.2196E-2</v>
      </c>
      <c r="F12" s="29"/>
      <c r="G12" s="29"/>
      <c r="H12" s="29"/>
      <c r="I12" s="29"/>
      <c r="J12" s="29"/>
      <c r="K12" s="29"/>
      <c r="L12" s="29"/>
      <c r="M12" s="29"/>
      <c r="N12" s="29"/>
      <c r="O12" s="29"/>
      <c r="P12" s="29"/>
      <c r="Q12" s="29"/>
      <c r="R12" s="29"/>
      <c r="S12" s="29"/>
      <c r="T12" s="22"/>
      <c r="V12" s="158"/>
      <c r="W12" s="180" t="s">
        <v>23</v>
      </c>
      <c r="X12" s="240">
        <v>4.3003E-2</v>
      </c>
      <c r="Y12" s="158"/>
      <c r="Z12" s="40"/>
      <c r="AA12" s="40"/>
    </row>
    <row r="13" spans="1:27" ht="15" customHeight="1" x14ac:dyDescent="0.25">
      <c r="B13" s="79"/>
      <c r="C13" s="208" t="s">
        <v>28</v>
      </c>
      <c r="D13" s="209" t="s">
        <v>108</v>
      </c>
      <c r="E13" s="205">
        <v>2.214E-2</v>
      </c>
      <c r="F13" s="29"/>
      <c r="G13" s="29"/>
      <c r="H13" s="29"/>
      <c r="I13" s="29"/>
      <c r="J13" s="29"/>
      <c r="K13" s="29"/>
      <c r="L13" s="29"/>
      <c r="M13" s="29"/>
      <c r="N13" s="29"/>
      <c r="O13" s="29"/>
      <c r="P13" s="29"/>
      <c r="Q13" s="29"/>
      <c r="R13" s="29"/>
      <c r="S13" s="29"/>
      <c r="T13" s="22"/>
      <c r="V13" s="158"/>
      <c r="W13" s="180" t="s">
        <v>6</v>
      </c>
      <c r="X13" s="240">
        <v>4.2384000000000005E-2</v>
      </c>
      <c r="Y13" s="158"/>
      <c r="Z13" s="40"/>
      <c r="AA13" s="40"/>
    </row>
    <row r="14" spans="1:27" ht="15" customHeight="1" x14ac:dyDescent="0.25">
      <c r="B14" s="79"/>
      <c r="C14" s="208" t="s">
        <v>110</v>
      </c>
      <c r="D14" s="209" t="s">
        <v>111</v>
      </c>
      <c r="E14" s="205">
        <v>1.9866999999999999E-2</v>
      </c>
      <c r="F14" s="29"/>
      <c r="G14" s="29"/>
      <c r="H14" s="29"/>
      <c r="I14" s="29"/>
      <c r="J14" s="29"/>
      <c r="K14" s="29"/>
      <c r="L14" s="29"/>
      <c r="M14" s="29"/>
      <c r="N14" s="29"/>
      <c r="O14" s="29"/>
      <c r="P14" s="29"/>
      <c r="Q14" s="29"/>
      <c r="R14" s="29"/>
      <c r="S14" s="29"/>
      <c r="T14" s="22"/>
      <c r="V14" s="158"/>
      <c r="W14" s="180" t="s">
        <v>4</v>
      </c>
      <c r="X14" s="240">
        <v>4.2141999999999999E-2</v>
      </c>
      <c r="Y14" s="158"/>
      <c r="Z14" s="40"/>
      <c r="AA14" s="40"/>
    </row>
    <row r="15" spans="1:27" ht="15.75" customHeight="1" x14ac:dyDescent="0.25">
      <c r="B15" s="79"/>
      <c r="C15" s="208" t="s">
        <v>34</v>
      </c>
      <c r="D15" s="209" t="s">
        <v>23</v>
      </c>
      <c r="E15" s="205">
        <v>1.5186E-2</v>
      </c>
      <c r="F15" s="29"/>
      <c r="G15" s="29"/>
      <c r="H15" s="29"/>
      <c r="I15" s="29"/>
      <c r="J15" s="29"/>
      <c r="K15" s="29"/>
      <c r="L15" s="29"/>
      <c r="M15" s="29"/>
      <c r="N15" s="29"/>
      <c r="O15" s="29"/>
      <c r="P15" s="29"/>
      <c r="Q15" s="29"/>
      <c r="R15" s="29"/>
      <c r="S15" s="29"/>
      <c r="T15" s="22"/>
      <c r="V15" s="158"/>
      <c r="W15" s="180" t="s">
        <v>26</v>
      </c>
      <c r="X15" s="240">
        <v>4.1605000000000003E-2</v>
      </c>
      <c r="Y15" s="158"/>
      <c r="Z15" s="40"/>
      <c r="AA15" s="40"/>
    </row>
    <row r="16" spans="1:27" ht="15" customHeight="1" x14ac:dyDescent="0.25">
      <c r="B16" s="79"/>
      <c r="C16" s="208" t="s">
        <v>261</v>
      </c>
      <c r="D16" s="209" t="s">
        <v>107</v>
      </c>
      <c r="E16" s="205">
        <v>1.498E-2</v>
      </c>
      <c r="F16" s="29"/>
      <c r="G16" s="29"/>
      <c r="H16" s="29"/>
      <c r="I16" s="29"/>
      <c r="J16" s="29"/>
      <c r="K16" s="29"/>
      <c r="L16" s="29"/>
      <c r="M16" s="29"/>
      <c r="N16" s="29"/>
      <c r="O16" s="29"/>
      <c r="P16" s="29"/>
      <c r="Q16" s="29"/>
      <c r="R16" s="29"/>
      <c r="S16" s="29"/>
      <c r="T16" s="22"/>
      <c r="V16" s="158"/>
      <c r="W16" s="180" t="s">
        <v>87</v>
      </c>
      <c r="X16" s="240">
        <v>3.9912999999999997E-2</v>
      </c>
      <c r="Y16" s="158"/>
      <c r="Z16" s="40"/>
      <c r="AA16" s="40"/>
    </row>
    <row r="17" spans="2:27" ht="15.75" customHeight="1" x14ac:dyDescent="0.25">
      <c r="B17" s="79"/>
      <c r="C17" s="208" t="s">
        <v>262</v>
      </c>
      <c r="D17" s="209" t="s">
        <v>109</v>
      </c>
      <c r="E17" s="205">
        <v>1.4838E-2</v>
      </c>
      <c r="F17" s="29"/>
      <c r="G17" s="29"/>
      <c r="H17" s="29"/>
      <c r="I17" s="29"/>
      <c r="J17" s="29"/>
      <c r="K17" s="29"/>
      <c r="L17" s="29"/>
      <c r="M17" s="29"/>
      <c r="N17" s="29"/>
      <c r="O17" s="29"/>
      <c r="P17" s="29"/>
      <c r="Q17" s="29"/>
      <c r="R17" s="29"/>
      <c r="S17" s="29"/>
      <c r="T17" s="22"/>
      <c r="V17" s="158"/>
      <c r="W17" s="180" t="s">
        <v>114</v>
      </c>
      <c r="X17" s="240">
        <v>3.5785000000000004E-2</v>
      </c>
      <c r="Y17" s="158"/>
      <c r="Z17" s="40"/>
      <c r="AA17" s="40"/>
    </row>
    <row r="18" spans="2:27" ht="15.75" x14ac:dyDescent="0.25">
      <c r="B18" s="79"/>
      <c r="C18" s="208" t="s">
        <v>313</v>
      </c>
      <c r="D18" s="209" t="s">
        <v>4</v>
      </c>
      <c r="E18" s="205">
        <v>1.4645E-2</v>
      </c>
      <c r="F18" s="29"/>
      <c r="G18" s="29"/>
      <c r="H18" s="29"/>
      <c r="I18" s="29"/>
      <c r="J18" s="29"/>
      <c r="K18" s="29"/>
      <c r="L18" s="29"/>
      <c r="M18" s="29"/>
      <c r="N18" s="29"/>
      <c r="O18" s="29"/>
      <c r="P18" s="29"/>
      <c r="Q18" s="29"/>
      <c r="R18" s="29"/>
      <c r="S18" s="29"/>
      <c r="T18" s="22"/>
      <c r="V18" s="158"/>
      <c r="W18" s="180" t="s">
        <v>113</v>
      </c>
      <c r="X18" s="240">
        <v>3.4252000000000005E-2</v>
      </c>
      <c r="Y18" s="158"/>
      <c r="Z18" s="40"/>
      <c r="AA18" s="40"/>
    </row>
    <row r="19" spans="2:27" ht="15.75" customHeight="1" x14ac:dyDescent="0.25">
      <c r="B19" s="79"/>
      <c r="C19" s="208" t="s">
        <v>136</v>
      </c>
      <c r="D19" s="209" t="s">
        <v>3</v>
      </c>
      <c r="E19" s="205">
        <v>1.4239999999999999E-2</v>
      </c>
      <c r="F19" s="29"/>
      <c r="G19" s="29"/>
      <c r="H19" s="29"/>
      <c r="I19" s="29"/>
      <c r="J19" s="29"/>
      <c r="K19" s="29"/>
      <c r="L19" s="29"/>
      <c r="M19" s="29"/>
      <c r="N19" s="29"/>
      <c r="O19" s="29"/>
      <c r="P19" s="29"/>
      <c r="Q19" s="29"/>
      <c r="R19" s="29"/>
      <c r="S19" s="29"/>
      <c r="T19" s="22"/>
      <c r="V19" s="158"/>
      <c r="W19" s="180" t="s">
        <v>119</v>
      </c>
      <c r="X19" s="240">
        <v>3.2675000000000003E-2</v>
      </c>
      <c r="Y19" s="158"/>
      <c r="Z19" s="40"/>
      <c r="AA19" s="40"/>
    </row>
    <row r="20" spans="2:27" ht="15" customHeight="1" x14ac:dyDescent="0.25">
      <c r="B20" s="79"/>
      <c r="C20" s="208" t="s">
        <v>33</v>
      </c>
      <c r="D20" s="209" t="s">
        <v>108</v>
      </c>
      <c r="E20" s="205">
        <v>1.3605000000000001E-2</v>
      </c>
      <c r="F20" s="29"/>
      <c r="G20" s="29"/>
      <c r="H20" s="29"/>
      <c r="I20" s="29"/>
      <c r="J20" s="29"/>
      <c r="K20" s="29"/>
      <c r="L20" s="29"/>
      <c r="M20" s="29"/>
      <c r="N20" s="29"/>
      <c r="O20" s="29"/>
      <c r="P20" s="29"/>
      <c r="Q20" s="29"/>
      <c r="R20" s="29"/>
      <c r="S20" s="29"/>
      <c r="T20" s="22"/>
      <c r="V20" s="158"/>
      <c r="W20" s="180" t="s">
        <v>111</v>
      </c>
      <c r="X20" s="240">
        <v>2.7798E-2</v>
      </c>
      <c r="Y20" s="158"/>
      <c r="Z20" s="40"/>
      <c r="AA20" s="40"/>
    </row>
    <row r="21" spans="2:27" ht="15" customHeight="1" x14ac:dyDescent="0.25">
      <c r="B21" s="79"/>
      <c r="C21" s="208" t="s">
        <v>70</v>
      </c>
      <c r="D21" s="209" t="s">
        <v>12</v>
      </c>
      <c r="E21" s="205">
        <v>1.3454000000000001E-2</v>
      </c>
      <c r="F21" s="29"/>
      <c r="G21" s="29"/>
      <c r="H21" s="29"/>
      <c r="I21" s="29"/>
      <c r="J21" s="29"/>
      <c r="K21" s="29"/>
      <c r="L21" s="29"/>
      <c r="M21" s="29"/>
      <c r="N21" s="29"/>
      <c r="O21" s="29"/>
      <c r="P21" s="29"/>
      <c r="Q21" s="29"/>
      <c r="R21" s="29"/>
      <c r="S21" s="29"/>
      <c r="T21" s="22"/>
      <c r="V21" s="158"/>
      <c r="W21" s="180" t="s">
        <v>24</v>
      </c>
      <c r="X21" s="240">
        <v>2.7304999999999996E-2</v>
      </c>
      <c r="Y21" s="158"/>
      <c r="Z21" s="40"/>
      <c r="AA21" s="40"/>
    </row>
    <row r="22" spans="2:27" ht="15" customHeight="1" x14ac:dyDescent="0.25">
      <c r="B22" s="79"/>
      <c r="C22" s="208" t="s">
        <v>277</v>
      </c>
      <c r="D22" s="209" t="s">
        <v>112</v>
      </c>
      <c r="E22" s="205">
        <v>1.3266999999999999E-2</v>
      </c>
      <c r="F22" s="29"/>
      <c r="G22" s="29"/>
      <c r="H22" s="29"/>
      <c r="I22" s="29"/>
      <c r="J22" s="29"/>
      <c r="K22" s="29"/>
      <c r="L22" s="29"/>
      <c r="M22" s="29"/>
      <c r="N22" s="29"/>
      <c r="O22" s="29"/>
      <c r="P22" s="29"/>
      <c r="Q22" s="29"/>
      <c r="R22" s="29"/>
      <c r="S22" s="29"/>
      <c r="T22" s="22"/>
      <c r="V22" s="158"/>
      <c r="W22" s="180" t="s">
        <v>109</v>
      </c>
      <c r="X22" s="240">
        <v>2.3835000000000002E-2</v>
      </c>
      <c r="Y22" s="158"/>
      <c r="Z22" s="40"/>
      <c r="AA22" s="40"/>
    </row>
    <row r="23" spans="2:27" ht="15" customHeight="1" x14ac:dyDescent="0.25">
      <c r="B23" s="79"/>
      <c r="C23" s="71"/>
      <c r="D23" s="71"/>
      <c r="E23" s="153"/>
      <c r="F23" s="29"/>
      <c r="G23" s="29"/>
      <c r="H23" s="29"/>
      <c r="I23" s="29"/>
      <c r="J23" s="29"/>
      <c r="K23" s="29"/>
      <c r="L23" s="29"/>
      <c r="M23" s="29"/>
      <c r="N23" s="29"/>
      <c r="O23" s="29"/>
      <c r="P23" s="29"/>
      <c r="Q23" s="29"/>
      <c r="R23" s="29"/>
      <c r="S23" s="29"/>
      <c r="T23" s="22"/>
      <c r="V23" s="158"/>
      <c r="W23" s="180" t="s">
        <v>10</v>
      </c>
      <c r="X23" s="240">
        <v>2.3290999999999999E-2</v>
      </c>
      <c r="Y23" s="158"/>
      <c r="Z23" s="40"/>
      <c r="AA23" s="40"/>
    </row>
    <row r="24" spans="2:27" ht="15" customHeight="1" x14ac:dyDescent="0.25">
      <c r="B24" s="79"/>
      <c r="C24" s="73" t="s">
        <v>55</v>
      </c>
      <c r="D24" s="74"/>
      <c r="E24" s="75">
        <f>SUM(E8:E22)</f>
        <v>0.31040199999999996</v>
      </c>
      <c r="F24" s="29"/>
      <c r="G24" s="29"/>
      <c r="H24" s="29"/>
      <c r="I24" s="29"/>
      <c r="J24" s="29"/>
      <c r="K24" s="29"/>
      <c r="L24" s="29"/>
      <c r="M24" s="29"/>
      <c r="N24" s="29"/>
      <c r="O24" s="29"/>
      <c r="P24" s="29"/>
      <c r="Q24" s="29"/>
      <c r="R24" s="29"/>
      <c r="S24" s="29"/>
      <c r="T24" s="22"/>
      <c r="V24" s="158"/>
      <c r="W24" s="180" t="s">
        <v>85</v>
      </c>
      <c r="X24" s="240">
        <v>2.0875000000000001E-2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180" t="s">
        <v>107</v>
      </c>
      <c r="X25" s="240">
        <v>2.0212000000000001E-2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180" t="s">
        <v>138</v>
      </c>
      <c r="X26" s="240">
        <v>1.4813E-2</v>
      </c>
      <c r="Y26" s="158"/>
      <c r="Z26" s="40"/>
      <c r="AA26" s="40"/>
    </row>
    <row r="27" spans="2:27" ht="15" customHeight="1" x14ac:dyDescent="0.25">
      <c r="B27" s="79"/>
      <c r="D27" s="160"/>
      <c r="F27" s="29"/>
      <c r="G27" s="29"/>
      <c r="H27" s="29"/>
      <c r="I27" s="29"/>
      <c r="J27" s="29"/>
      <c r="K27" s="29"/>
      <c r="L27" s="29"/>
      <c r="M27" s="29"/>
      <c r="N27" s="29"/>
      <c r="O27" s="29"/>
      <c r="P27" s="29"/>
      <c r="Q27" s="29"/>
      <c r="R27" s="29"/>
      <c r="S27" s="29"/>
      <c r="T27" s="22"/>
      <c r="V27" s="158"/>
      <c r="W27" s="180" t="s">
        <v>84</v>
      </c>
      <c r="X27" s="240">
        <v>1.3575E-2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180" t="s">
        <v>12</v>
      </c>
      <c r="X28" s="240">
        <v>1.3454000000000001E-2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180" t="s">
        <v>120</v>
      </c>
      <c r="X29" s="240">
        <v>1.2775E-2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180" t="s">
        <v>127</v>
      </c>
      <c r="X30" s="240">
        <v>1.2430999999999999E-2</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180" t="s">
        <v>115</v>
      </c>
      <c r="X31" s="240">
        <v>1.2005999999999999E-2</v>
      </c>
      <c r="Y31" s="158"/>
      <c r="Z31" s="40"/>
      <c r="AA31" s="40"/>
    </row>
    <row r="32" spans="2:27" ht="15" customHeight="1" x14ac:dyDescent="0.25">
      <c r="B32" s="79"/>
      <c r="F32" s="29"/>
      <c r="G32" s="29"/>
      <c r="H32" s="29"/>
      <c r="I32" s="29"/>
      <c r="J32" s="29"/>
      <c r="K32" s="29"/>
      <c r="L32" s="29"/>
      <c r="M32" s="29"/>
      <c r="N32" s="29"/>
      <c r="O32" s="29"/>
      <c r="P32" s="29"/>
      <c r="Q32" s="29"/>
      <c r="R32" s="29"/>
      <c r="S32" s="29"/>
      <c r="T32" s="22"/>
      <c r="V32" s="158"/>
      <c r="W32" s="180" t="s">
        <v>11</v>
      </c>
      <c r="X32" s="240">
        <v>1.125E-2</v>
      </c>
      <c r="Y32" s="158"/>
      <c r="Z32" s="40"/>
      <c r="AA32" s="40"/>
    </row>
    <row r="33" spans="2:27" ht="15" customHeight="1" x14ac:dyDescent="0.25">
      <c r="B33" s="79"/>
      <c r="F33" s="29"/>
      <c r="G33" s="29"/>
      <c r="H33" s="29"/>
      <c r="I33" s="29"/>
      <c r="J33" s="29"/>
      <c r="K33" s="29"/>
      <c r="L33" s="29"/>
      <c r="M33" s="29"/>
      <c r="N33" s="29"/>
      <c r="O33" s="29"/>
      <c r="P33" s="29"/>
      <c r="Q33" s="29"/>
      <c r="R33" s="29"/>
      <c r="S33" s="29"/>
      <c r="T33" s="22"/>
      <c r="V33" s="158"/>
      <c r="W33" s="180" t="s">
        <v>118</v>
      </c>
      <c r="X33" s="240">
        <v>1.1214E-2</v>
      </c>
      <c r="Y33" s="158"/>
      <c r="Z33" s="40"/>
      <c r="AA33" s="40"/>
    </row>
    <row r="34" spans="2:27" ht="15" customHeight="1" x14ac:dyDescent="0.25">
      <c r="B34" s="79"/>
      <c r="F34" s="29"/>
      <c r="G34" s="29"/>
      <c r="H34" s="29"/>
      <c r="I34" s="29"/>
      <c r="J34" s="29"/>
      <c r="K34" s="29"/>
      <c r="L34" s="29"/>
      <c r="M34" s="29"/>
      <c r="N34" s="29"/>
      <c r="O34" s="29"/>
      <c r="P34" s="29"/>
      <c r="Q34" s="29"/>
      <c r="R34" s="29"/>
      <c r="S34" s="29"/>
      <c r="T34" s="22"/>
      <c r="V34" s="158"/>
      <c r="W34" s="180" t="s">
        <v>134</v>
      </c>
      <c r="X34" s="240">
        <v>1.0085999999999999E-2</v>
      </c>
      <c r="Y34" s="158"/>
      <c r="Z34" s="40"/>
      <c r="AA34" s="40"/>
    </row>
    <row r="35" spans="2:27" ht="15" customHeight="1" x14ac:dyDescent="0.25">
      <c r="B35" s="79"/>
      <c r="F35" s="29"/>
      <c r="G35" s="29"/>
      <c r="H35" s="29"/>
      <c r="I35" s="29"/>
      <c r="J35" s="29"/>
      <c r="K35" s="29"/>
      <c r="L35" s="29"/>
      <c r="M35" s="29"/>
      <c r="N35" s="29"/>
      <c r="O35" s="29"/>
      <c r="P35" s="29"/>
      <c r="Q35" s="29"/>
      <c r="R35" s="29"/>
      <c r="S35" s="29"/>
      <c r="T35" s="22"/>
      <c r="V35" s="158"/>
      <c r="W35" s="180" t="s">
        <v>122</v>
      </c>
      <c r="X35" s="240">
        <v>9.7630000000000008E-3</v>
      </c>
      <c r="Y35" s="158"/>
      <c r="Z35" s="40"/>
      <c r="AA35" s="40"/>
    </row>
    <row r="36" spans="2:27" ht="15" customHeight="1" x14ac:dyDescent="0.25">
      <c r="B36" s="79"/>
      <c r="F36" s="29"/>
      <c r="G36" s="29"/>
      <c r="H36" s="29"/>
      <c r="I36" s="29"/>
      <c r="J36" s="29"/>
      <c r="K36" s="29"/>
      <c r="L36" s="29"/>
      <c r="M36" s="29"/>
      <c r="N36" s="29"/>
      <c r="O36" s="29"/>
      <c r="P36" s="29"/>
      <c r="Q36" s="29"/>
      <c r="R36" s="29"/>
      <c r="S36" s="29"/>
      <c r="T36" s="22"/>
      <c r="V36" s="158"/>
      <c r="W36" s="180" t="s">
        <v>223</v>
      </c>
      <c r="X36" s="240">
        <v>9.4199999999999996E-3</v>
      </c>
      <c r="Y36" s="158"/>
      <c r="Z36" s="40"/>
      <c r="AA36" s="40"/>
    </row>
    <row r="37" spans="2:27" ht="15" customHeight="1" x14ac:dyDescent="0.25">
      <c r="B37" s="79"/>
      <c r="C37" s="29"/>
      <c r="D37" s="29"/>
      <c r="E37" s="29"/>
      <c r="F37" s="29"/>
      <c r="G37" s="29"/>
      <c r="H37" s="29"/>
      <c r="I37" s="29"/>
      <c r="J37" s="29"/>
      <c r="K37" s="29"/>
      <c r="L37" s="29"/>
      <c r="M37" s="29"/>
      <c r="N37" s="29"/>
      <c r="O37" s="29"/>
      <c r="P37" s="29"/>
      <c r="Q37" s="29"/>
      <c r="R37" s="29"/>
      <c r="S37" s="29"/>
      <c r="T37" s="22"/>
      <c r="W37" s="180" t="s">
        <v>15</v>
      </c>
      <c r="X37" s="240">
        <v>8.9269999999999992E-3</v>
      </c>
    </row>
    <row r="38" spans="2:27" ht="15" customHeight="1" thickBot="1" x14ac:dyDescent="0.3">
      <c r="B38" s="80"/>
      <c r="C38" s="81"/>
      <c r="D38" s="81"/>
      <c r="E38" s="81"/>
      <c r="F38" s="81"/>
      <c r="G38" s="81"/>
      <c r="H38" s="81"/>
      <c r="I38" s="81"/>
      <c r="J38" s="81"/>
      <c r="K38" s="81"/>
      <c r="L38" s="81"/>
      <c r="M38" s="81"/>
      <c r="N38" s="81"/>
      <c r="O38" s="81"/>
      <c r="P38" s="81"/>
      <c r="Q38" s="81"/>
      <c r="R38" s="81"/>
      <c r="S38" s="81"/>
      <c r="T38" s="23"/>
      <c r="W38" s="180" t="s">
        <v>86</v>
      </c>
      <c r="X38" s="240">
        <v>8.3339999999999994E-3</v>
      </c>
    </row>
    <row r="39" spans="2:27" ht="15" customHeight="1" thickBot="1" x14ac:dyDescent="0.3">
      <c r="W39" s="180" t="s">
        <v>187</v>
      </c>
      <c r="X39" s="240">
        <v>8.1250000000000003E-3</v>
      </c>
    </row>
    <row r="40" spans="2:27" ht="15" customHeight="1" x14ac:dyDescent="0.25">
      <c r="B40" s="262" t="s">
        <v>184</v>
      </c>
      <c r="C40" s="263"/>
      <c r="D40" s="263"/>
      <c r="E40" s="263"/>
      <c r="F40" s="263"/>
      <c r="G40" s="263"/>
      <c r="H40" s="263"/>
      <c r="I40" s="263"/>
      <c r="J40" s="263"/>
      <c r="K40" s="263"/>
      <c r="L40" s="263"/>
      <c r="M40" s="263"/>
      <c r="N40" s="263"/>
      <c r="O40" s="263"/>
      <c r="P40" s="263"/>
      <c r="Q40" s="263"/>
      <c r="R40" s="264"/>
      <c r="W40" s="19" t="s">
        <v>117</v>
      </c>
      <c r="X40" s="240">
        <v>7.2519999999999998E-3</v>
      </c>
    </row>
    <row r="41" spans="2:27" ht="15" customHeight="1" x14ac:dyDescent="0.25">
      <c r="B41" s="265"/>
      <c r="C41" s="266"/>
      <c r="D41" s="266"/>
      <c r="E41" s="266"/>
      <c r="F41" s="266"/>
      <c r="G41" s="266"/>
      <c r="H41" s="266"/>
      <c r="I41" s="266"/>
      <c r="J41" s="266"/>
      <c r="K41" s="266"/>
      <c r="L41" s="266"/>
      <c r="M41" s="266"/>
      <c r="N41" s="266"/>
      <c r="O41" s="266"/>
      <c r="P41" s="266"/>
      <c r="Q41" s="266"/>
      <c r="R41" s="267"/>
      <c r="W41" s="19" t="s">
        <v>25</v>
      </c>
      <c r="X41" s="240">
        <v>5.7260000000000002E-3</v>
      </c>
    </row>
    <row r="42" spans="2:27" ht="15" customHeight="1" x14ac:dyDescent="0.25">
      <c r="B42" s="265"/>
      <c r="C42" s="266"/>
      <c r="D42" s="266"/>
      <c r="E42" s="266"/>
      <c r="F42" s="266"/>
      <c r="G42" s="266"/>
      <c r="H42" s="266"/>
      <c r="I42" s="266"/>
      <c r="J42" s="266"/>
      <c r="K42" s="266"/>
      <c r="L42" s="266"/>
      <c r="M42" s="266"/>
      <c r="N42" s="266"/>
      <c r="O42" s="266"/>
      <c r="P42" s="266"/>
      <c r="Q42" s="266"/>
      <c r="R42" s="267"/>
      <c r="W42" s="19" t="s">
        <v>13</v>
      </c>
      <c r="X42" s="240">
        <v>3.4269999999999999E-3</v>
      </c>
    </row>
    <row r="43" spans="2:27" ht="15" customHeight="1" x14ac:dyDescent="0.25">
      <c r="B43" s="265"/>
      <c r="C43" s="266"/>
      <c r="D43" s="266"/>
      <c r="E43" s="266"/>
      <c r="F43" s="266"/>
      <c r="G43" s="266"/>
      <c r="H43" s="266"/>
      <c r="I43" s="266"/>
      <c r="J43" s="266"/>
      <c r="K43" s="266"/>
      <c r="L43" s="266"/>
      <c r="M43" s="266"/>
      <c r="N43" s="266"/>
      <c r="O43" s="266"/>
      <c r="P43" s="266"/>
      <c r="Q43" s="266"/>
      <c r="R43" s="267"/>
      <c r="W43" s="19" t="s">
        <v>147</v>
      </c>
      <c r="X43" s="240">
        <v>1.9269999999999999E-3</v>
      </c>
    </row>
    <row r="44" spans="2:27" ht="15" customHeight="1" x14ac:dyDescent="0.25">
      <c r="B44" s="265"/>
      <c r="C44" s="266"/>
      <c r="D44" s="266"/>
      <c r="E44" s="266"/>
      <c r="F44" s="266"/>
      <c r="G44" s="266"/>
      <c r="H44" s="266"/>
      <c r="I44" s="266"/>
      <c r="J44" s="266"/>
      <c r="K44" s="266"/>
      <c r="L44" s="266"/>
      <c r="M44" s="266"/>
      <c r="N44" s="266"/>
      <c r="O44" s="266"/>
      <c r="P44" s="266"/>
      <c r="Q44" s="266"/>
      <c r="R44" s="267"/>
      <c r="W44" s="19" t="s">
        <v>116</v>
      </c>
      <c r="X44" s="240">
        <v>1.3680000000000001E-3</v>
      </c>
    </row>
    <row r="45" spans="2:27" ht="15" customHeight="1" x14ac:dyDescent="0.25">
      <c r="B45" s="265"/>
      <c r="C45" s="266"/>
      <c r="D45" s="266"/>
      <c r="E45" s="266"/>
      <c r="F45" s="266"/>
      <c r="G45" s="266"/>
      <c r="H45" s="266"/>
      <c r="I45" s="266"/>
      <c r="J45" s="266"/>
      <c r="K45" s="266"/>
      <c r="L45" s="266"/>
      <c r="M45" s="266"/>
      <c r="N45" s="266"/>
      <c r="O45" s="266"/>
      <c r="P45" s="266"/>
      <c r="Q45" s="266"/>
      <c r="R45" s="267"/>
    </row>
    <row r="46" spans="2:27" ht="21.75" customHeight="1" thickBot="1" x14ac:dyDescent="0.3">
      <c r="B46" s="268"/>
      <c r="C46" s="269"/>
      <c r="D46" s="269"/>
      <c r="E46" s="269"/>
      <c r="F46" s="269"/>
      <c r="G46" s="269"/>
      <c r="H46" s="269"/>
      <c r="I46" s="269"/>
      <c r="J46" s="269"/>
      <c r="K46" s="269"/>
      <c r="L46" s="269"/>
      <c r="M46" s="269"/>
      <c r="N46" s="269"/>
      <c r="O46" s="269"/>
      <c r="P46" s="269"/>
      <c r="Q46" s="269"/>
      <c r="R46" s="270"/>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271" t="s">
        <v>168</v>
      </c>
      <c r="D3" s="271"/>
      <c r="E3" s="271"/>
      <c r="F3" s="271"/>
      <c r="G3" s="271"/>
      <c r="H3" s="271"/>
      <c r="I3" s="271"/>
      <c r="J3" s="271"/>
      <c r="K3" s="271"/>
      <c r="L3" s="271"/>
      <c r="M3" s="271"/>
      <c r="N3" s="271"/>
      <c r="O3" s="271"/>
      <c r="P3" s="271"/>
      <c r="Q3" s="271"/>
      <c r="R3" s="271"/>
      <c r="S3" s="271"/>
      <c r="T3" s="22"/>
      <c r="V3" s="40"/>
      <c r="W3" s="40"/>
      <c r="X3" s="40"/>
      <c r="Y3" s="40"/>
      <c r="Z3" s="40"/>
      <c r="AA3" s="40"/>
    </row>
    <row r="4" spans="1:27" ht="15.75" customHeight="1" x14ac:dyDescent="0.25">
      <c r="B4" s="79"/>
      <c r="C4" s="67" t="s">
        <v>356</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2" t="s">
        <v>357</v>
      </c>
      <c r="D5" s="273" t="s">
        <v>365</v>
      </c>
      <c r="E5" s="273"/>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194" t="s">
        <v>29</v>
      </c>
      <c r="D8" s="195" t="s">
        <v>3</v>
      </c>
      <c r="E8" s="204">
        <v>6.7826999999999998E-2</v>
      </c>
      <c r="F8" s="29"/>
      <c r="G8" s="29"/>
      <c r="H8" s="29"/>
      <c r="I8" s="29"/>
      <c r="J8" s="29"/>
      <c r="K8" s="29"/>
      <c r="L8" s="29"/>
      <c r="M8" s="29"/>
      <c r="N8" s="29"/>
      <c r="O8" s="29"/>
      <c r="P8" s="29"/>
      <c r="Q8" s="29"/>
      <c r="R8" s="29"/>
      <c r="S8" s="29"/>
      <c r="T8" s="22"/>
      <c r="V8" s="158"/>
      <c r="W8" s="61" t="s">
        <v>3</v>
      </c>
      <c r="X8" s="212">
        <v>0.191242</v>
      </c>
      <c r="Y8" s="158"/>
      <c r="Z8" s="40"/>
      <c r="AA8" s="40"/>
    </row>
    <row r="9" spans="1:27" ht="15.75" customHeight="1" x14ac:dyDescent="0.25">
      <c r="B9" s="79"/>
      <c r="C9" s="188" t="s">
        <v>32</v>
      </c>
      <c r="D9" s="197" t="s">
        <v>3</v>
      </c>
      <c r="E9" s="205">
        <v>6.6311999999999996E-2</v>
      </c>
      <c r="F9" s="29"/>
      <c r="G9" s="29"/>
      <c r="H9" s="29"/>
      <c r="I9" s="29"/>
      <c r="J9" s="29"/>
      <c r="K9" s="29"/>
      <c r="L9" s="29"/>
      <c r="M9" s="29"/>
      <c r="N9" s="29"/>
      <c r="O9" s="29"/>
      <c r="P9" s="29"/>
      <c r="Q9" s="29"/>
      <c r="R9" s="29"/>
      <c r="S9" s="29"/>
      <c r="T9" s="22"/>
      <c r="V9" s="158"/>
      <c r="W9" s="61" t="s">
        <v>4</v>
      </c>
      <c r="X9" s="212">
        <v>7.5445000000000012E-2</v>
      </c>
      <c r="Y9" s="158"/>
      <c r="Z9" s="40"/>
      <c r="AA9" s="40"/>
    </row>
    <row r="10" spans="1:27" ht="15" customHeight="1" x14ac:dyDescent="0.25">
      <c r="B10" s="79"/>
      <c r="C10" s="188" t="s">
        <v>31</v>
      </c>
      <c r="D10" s="197" t="s">
        <v>6</v>
      </c>
      <c r="E10" s="205">
        <v>4.5365999999999997E-2</v>
      </c>
      <c r="F10" s="29"/>
      <c r="G10" s="29"/>
      <c r="H10" s="29"/>
      <c r="I10" s="29"/>
      <c r="J10" s="29"/>
      <c r="K10" s="29"/>
      <c r="L10" s="29"/>
      <c r="M10" s="29"/>
      <c r="N10" s="29"/>
      <c r="O10" s="29"/>
      <c r="P10" s="29"/>
      <c r="Q10" s="29"/>
      <c r="R10" s="29"/>
      <c r="S10" s="29"/>
      <c r="T10" s="22"/>
      <c r="V10" s="158"/>
      <c r="W10" s="61" t="s">
        <v>108</v>
      </c>
      <c r="X10" s="212">
        <v>6.5941E-2</v>
      </c>
      <c r="Y10" s="158"/>
      <c r="Z10" s="40"/>
      <c r="AA10" s="40"/>
    </row>
    <row r="11" spans="1:27" ht="15" customHeight="1" x14ac:dyDescent="0.25">
      <c r="B11" s="79"/>
      <c r="C11" s="188" t="s">
        <v>28</v>
      </c>
      <c r="D11" s="197" t="s">
        <v>108</v>
      </c>
      <c r="E11" s="205">
        <v>4.4912000000000001E-2</v>
      </c>
      <c r="F11" s="29"/>
      <c r="G11" s="29"/>
      <c r="H11" s="29"/>
      <c r="I11" s="29"/>
      <c r="J11" s="29"/>
      <c r="K11" s="29"/>
      <c r="L11" s="29"/>
      <c r="M11" s="29"/>
      <c r="N11" s="29"/>
      <c r="O11" s="29"/>
      <c r="P11" s="29"/>
      <c r="Q11" s="29"/>
      <c r="R11" s="29"/>
      <c r="S11" s="29"/>
      <c r="T11" s="22"/>
      <c r="V11" s="158"/>
      <c r="W11" s="61" t="s">
        <v>112</v>
      </c>
      <c r="X11" s="212">
        <v>5.6293999999999997E-2</v>
      </c>
      <c r="Y11" s="158"/>
      <c r="Z11" s="40"/>
      <c r="AA11" s="40"/>
    </row>
    <row r="12" spans="1:27" ht="15" customHeight="1" x14ac:dyDescent="0.25">
      <c r="B12" s="79"/>
      <c r="C12" s="188" t="s">
        <v>36</v>
      </c>
      <c r="D12" s="197" t="s">
        <v>3</v>
      </c>
      <c r="E12" s="205">
        <v>3.0751000000000001E-2</v>
      </c>
      <c r="F12" s="29"/>
      <c r="G12" s="29"/>
      <c r="H12" s="29"/>
      <c r="I12" s="29"/>
      <c r="J12" s="29"/>
      <c r="K12" s="29"/>
      <c r="L12" s="29"/>
      <c r="M12" s="29"/>
      <c r="N12" s="29"/>
      <c r="O12" s="29"/>
      <c r="P12" s="29"/>
      <c r="Q12" s="29"/>
      <c r="R12" s="29"/>
      <c r="S12" s="29"/>
      <c r="T12" s="22"/>
      <c r="V12" s="158"/>
      <c r="W12" s="61" t="s">
        <v>113</v>
      </c>
      <c r="X12" s="212">
        <v>5.5518999999999999E-2</v>
      </c>
      <c r="Y12" s="158"/>
      <c r="Z12" s="40"/>
      <c r="AA12" s="40"/>
    </row>
    <row r="13" spans="1:27" ht="15" customHeight="1" x14ac:dyDescent="0.25">
      <c r="B13" s="79"/>
      <c r="C13" s="188" t="s">
        <v>70</v>
      </c>
      <c r="D13" s="197" t="s">
        <v>12</v>
      </c>
      <c r="E13" s="205">
        <v>2.7817000000000001E-2</v>
      </c>
      <c r="F13" s="29"/>
      <c r="G13" s="29"/>
      <c r="H13" s="29"/>
      <c r="I13" s="29"/>
      <c r="J13" s="29"/>
      <c r="K13" s="29"/>
      <c r="L13" s="29"/>
      <c r="M13" s="29"/>
      <c r="N13" s="29"/>
      <c r="O13" s="29"/>
      <c r="P13" s="29"/>
      <c r="Q13" s="29"/>
      <c r="R13" s="29"/>
      <c r="S13" s="29"/>
      <c r="T13" s="22"/>
      <c r="V13" s="158"/>
      <c r="W13" s="61" t="s">
        <v>26</v>
      </c>
      <c r="X13" s="212">
        <v>5.3819999999999993E-2</v>
      </c>
      <c r="Y13" s="158"/>
      <c r="Z13" s="40"/>
      <c r="AA13" s="40"/>
    </row>
    <row r="14" spans="1:27" ht="15" customHeight="1" x14ac:dyDescent="0.25">
      <c r="B14" s="79"/>
      <c r="C14" s="188" t="s">
        <v>37</v>
      </c>
      <c r="D14" s="197" t="s">
        <v>118</v>
      </c>
      <c r="E14" s="205">
        <v>2.111E-2</v>
      </c>
      <c r="F14" s="29"/>
      <c r="G14" s="29"/>
      <c r="H14" s="29"/>
      <c r="I14" s="29"/>
      <c r="J14" s="29"/>
      <c r="K14" s="29"/>
      <c r="L14" s="29"/>
      <c r="M14" s="29"/>
      <c r="N14" s="29"/>
      <c r="O14" s="29"/>
      <c r="P14" s="29"/>
      <c r="Q14" s="29"/>
      <c r="R14" s="29"/>
      <c r="S14" s="29"/>
      <c r="T14" s="22"/>
      <c r="V14" s="158"/>
      <c r="W14" s="61" t="s">
        <v>6</v>
      </c>
      <c r="X14" s="212">
        <v>4.5365999999999997E-2</v>
      </c>
      <c r="Y14" s="158"/>
      <c r="Z14" s="40"/>
      <c r="AA14" s="40"/>
    </row>
    <row r="15" spans="1:27" ht="15.75" customHeight="1" x14ac:dyDescent="0.25">
      <c r="B15" s="79"/>
      <c r="C15" s="188" t="s">
        <v>97</v>
      </c>
      <c r="D15" s="197" t="s">
        <v>113</v>
      </c>
      <c r="E15" s="205">
        <v>1.9979E-2</v>
      </c>
      <c r="F15" s="29"/>
      <c r="G15" s="29"/>
      <c r="H15" s="29"/>
      <c r="I15" s="29"/>
      <c r="J15" s="29"/>
      <c r="K15" s="29"/>
      <c r="L15" s="29"/>
      <c r="M15" s="29"/>
      <c r="N15" s="29"/>
      <c r="O15" s="29"/>
      <c r="P15" s="29"/>
      <c r="Q15" s="29"/>
      <c r="R15" s="29"/>
      <c r="S15" s="29"/>
      <c r="T15" s="22"/>
      <c r="V15" s="158"/>
      <c r="W15" s="61" t="s">
        <v>23</v>
      </c>
      <c r="X15" s="212">
        <v>3.5740000000000001E-2</v>
      </c>
      <c r="Y15" s="158"/>
      <c r="Z15" s="40"/>
      <c r="AA15" s="40"/>
    </row>
    <row r="16" spans="1:27" ht="15" customHeight="1" x14ac:dyDescent="0.25">
      <c r="B16" s="79"/>
      <c r="C16" s="188" t="s">
        <v>230</v>
      </c>
      <c r="D16" s="197" t="s">
        <v>26</v>
      </c>
      <c r="E16" s="205">
        <v>1.9210000000000001E-2</v>
      </c>
      <c r="F16" s="29"/>
      <c r="G16" s="29"/>
      <c r="H16" s="29"/>
      <c r="I16" s="29"/>
      <c r="J16" s="29"/>
      <c r="K16" s="29"/>
      <c r="L16" s="29"/>
      <c r="M16" s="29"/>
      <c r="N16" s="29"/>
      <c r="O16" s="29"/>
      <c r="P16" s="29"/>
      <c r="Q16" s="29"/>
      <c r="R16" s="29"/>
      <c r="S16" s="29"/>
      <c r="T16" s="22"/>
      <c r="V16" s="158"/>
      <c r="W16" s="61" t="s">
        <v>16</v>
      </c>
      <c r="X16" s="212">
        <v>3.5714999999999997E-2</v>
      </c>
      <c r="Y16" s="158"/>
      <c r="Z16" s="40"/>
      <c r="AA16" s="40"/>
    </row>
    <row r="17" spans="2:27" ht="15.75" customHeight="1" x14ac:dyDescent="0.25">
      <c r="B17" s="79"/>
      <c r="C17" s="188" t="s">
        <v>82</v>
      </c>
      <c r="D17" s="197" t="s">
        <v>4</v>
      </c>
      <c r="E17" s="205">
        <v>1.898E-2</v>
      </c>
      <c r="F17" s="29"/>
      <c r="G17" s="29"/>
      <c r="H17" s="29"/>
      <c r="I17" s="29"/>
      <c r="J17" s="29"/>
      <c r="K17" s="29"/>
      <c r="L17" s="29"/>
      <c r="M17" s="29"/>
      <c r="N17" s="29"/>
      <c r="O17" s="29"/>
      <c r="P17" s="29"/>
      <c r="Q17" s="29"/>
      <c r="R17" s="29"/>
      <c r="S17" s="29"/>
      <c r="T17" s="22"/>
      <c r="V17" s="158"/>
      <c r="W17" s="61" t="s">
        <v>118</v>
      </c>
      <c r="X17" s="212">
        <v>3.1521E-2</v>
      </c>
      <c r="Y17" s="158"/>
      <c r="Z17" s="40"/>
      <c r="AA17" s="40"/>
    </row>
    <row r="18" spans="2:27" ht="15.75" x14ac:dyDescent="0.25">
      <c r="B18" s="79"/>
      <c r="C18" s="188" t="s">
        <v>34</v>
      </c>
      <c r="D18" s="197" t="s">
        <v>23</v>
      </c>
      <c r="E18" s="205">
        <v>1.6951000000000001E-2</v>
      </c>
      <c r="F18" s="29"/>
      <c r="G18" s="29"/>
      <c r="H18" s="29"/>
      <c r="I18" s="29"/>
      <c r="J18" s="29"/>
      <c r="K18" s="29"/>
      <c r="L18" s="29"/>
      <c r="M18" s="29"/>
      <c r="N18" s="29"/>
      <c r="O18" s="29"/>
      <c r="P18" s="29"/>
      <c r="Q18" s="29"/>
      <c r="R18" s="29"/>
      <c r="S18" s="29"/>
      <c r="T18" s="22"/>
      <c r="V18" s="158"/>
      <c r="W18" s="61" t="s">
        <v>24</v>
      </c>
      <c r="X18" s="212">
        <v>2.8798999999999998E-2</v>
      </c>
      <c r="Y18" s="158"/>
      <c r="Z18" s="40"/>
      <c r="AA18" s="40"/>
    </row>
    <row r="19" spans="2:27" ht="15.75" customHeight="1" x14ac:dyDescent="0.25">
      <c r="B19" s="79"/>
      <c r="C19" s="188" t="s">
        <v>278</v>
      </c>
      <c r="D19" s="197" t="s">
        <v>16</v>
      </c>
      <c r="E19" s="205">
        <v>1.6934999999999999E-2</v>
      </c>
      <c r="F19" s="29"/>
      <c r="G19" s="29"/>
      <c r="H19" s="29"/>
      <c r="I19" s="29"/>
      <c r="J19" s="29"/>
      <c r="K19" s="29"/>
      <c r="L19" s="29"/>
      <c r="M19" s="29"/>
      <c r="N19" s="29"/>
      <c r="O19" s="29"/>
      <c r="P19" s="29"/>
      <c r="Q19" s="29"/>
      <c r="R19" s="29"/>
      <c r="S19" s="29"/>
      <c r="T19" s="22"/>
      <c r="V19" s="158"/>
      <c r="W19" s="61" t="s">
        <v>12</v>
      </c>
      <c r="X19" s="212">
        <v>2.7817000000000001E-2</v>
      </c>
      <c r="Y19" s="158"/>
      <c r="Z19" s="40"/>
      <c r="AA19" s="40"/>
    </row>
    <row r="20" spans="2:27" ht="15" customHeight="1" x14ac:dyDescent="0.25">
      <c r="B20" s="79"/>
      <c r="C20" s="188" t="s">
        <v>62</v>
      </c>
      <c r="D20" s="197" t="s">
        <v>10</v>
      </c>
      <c r="E20" s="205">
        <v>1.6792000000000001E-2</v>
      </c>
      <c r="F20" s="29"/>
      <c r="G20" s="29"/>
      <c r="H20" s="29"/>
      <c r="I20" s="29"/>
      <c r="J20" s="29"/>
      <c r="K20" s="29"/>
      <c r="L20" s="29"/>
      <c r="M20" s="29"/>
      <c r="N20" s="29"/>
      <c r="O20" s="29"/>
      <c r="P20" s="29"/>
      <c r="Q20" s="29"/>
      <c r="R20" s="29"/>
      <c r="S20" s="29"/>
      <c r="T20" s="22"/>
      <c r="V20" s="158"/>
      <c r="W20" s="61" t="s">
        <v>87</v>
      </c>
      <c r="X20" s="212">
        <v>2.7713999999999999E-2</v>
      </c>
      <c r="Y20" s="158"/>
      <c r="Z20" s="40"/>
      <c r="AA20" s="40"/>
    </row>
    <row r="21" spans="2:27" ht="15" customHeight="1" x14ac:dyDescent="0.25">
      <c r="B21" s="79"/>
      <c r="C21" s="188" t="s">
        <v>121</v>
      </c>
      <c r="D21" s="197" t="s">
        <v>113</v>
      </c>
      <c r="E21" s="205">
        <v>1.669E-2</v>
      </c>
      <c r="F21" s="29"/>
      <c r="G21" s="29"/>
      <c r="H21" s="29"/>
      <c r="I21" s="29"/>
      <c r="J21" s="29"/>
      <c r="K21" s="29"/>
      <c r="L21" s="29"/>
      <c r="M21" s="29"/>
      <c r="N21" s="29"/>
      <c r="O21" s="29"/>
      <c r="P21" s="29"/>
      <c r="Q21" s="29"/>
      <c r="R21" s="29"/>
      <c r="S21" s="29"/>
      <c r="T21" s="22"/>
      <c r="V21" s="158"/>
      <c r="W21" s="61" t="s">
        <v>10</v>
      </c>
      <c r="X21" s="212">
        <v>2.6558999999999999E-2</v>
      </c>
      <c r="Y21" s="158"/>
      <c r="Z21" s="40"/>
      <c r="AA21" s="40"/>
    </row>
    <row r="22" spans="2:27" ht="15" customHeight="1" x14ac:dyDescent="0.25">
      <c r="B22" s="79"/>
      <c r="C22" s="188" t="s">
        <v>136</v>
      </c>
      <c r="D22" s="197" t="s">
        <v>3</v>
      </c>
      <c r="E22" s="205">
        <v>1.5723000000000001E-2</v>
      </c>
      <c r="F22" s="29"/>
      <c r="G22" s="29"/>
      <c r="H22" s="29"/>
      <c r="I22" s="29"/>
      <c r="J22" s="29"/>
      <c r="K22" s="29"/>
      <c r="L22" s="29"/>
      <c r="M22" s="29"/>
      <c r="N22" s="29"/>
      <c r="O22" s="29"/>
      <c r="P22" s="29"/>
      <c r="Q22" s="29"/>
      <c r="R22" s="29"/>
      <c r="S22" s="29"/>
      <c r="T22" s="22"/>
      <c r="V22" s="158"/>
      <c r="W22" s="61" t="s">
        <v>111</v>
      </c>
      <c r="X22" s="212">
        <v>2.5368999999999999E-2</v>
      </c>
      <c r="Y22" s="158"/>
      <c r="Z22" s="40"/>
      <c r="AA22" s="40"/>
    </row>
    <row r="23" spans="2:27" ht="15" customHeight="1" x14ac:dyDescent="0.25">
      <c r="B23" s="79"/>
      <c r="C23" s="71"/>
      <c r="D23" s="71"/>
      <c r="E23" s="153"/>
      <c r="F23" s="29"/>
      <c r="G23" s="29"/>
      <c r="H23" s="29"/>
      <c r="I23" s="29"/>
      <c r="J23" s="29"/>
      <c r="K23" s="29"/>
      <c r="L23" s="29"/>
      <c r="M23" s="29"/>
      <c r="N23" s="29"/>
      <c r="O23" s="29"/>
      <c r="P23" s="29"/>
      <c r="Q23" s="29"/>
      <c r="R23" s="29"/>
      <c r="S23" s="29"/>
      <c r="T23" s="22"/>
      <c r="V23" s="158"/>
      <c r="W23" s="61" t="s">
        <v>120</v>
      </c>
      <c r="X23" s="212">
        <v>2.4888999999999998E-2</v>
      </c>
      <c r="Y23" s="158"/>
      <c r="Z23" s="40"/>
      <c r="AA23" s="40"/>
    </row>
    <row r="24" spans="2:27" ht="15" customHeight="1" x14ac:dyDescent="0.25">
      <c r="B24" s="79"/>
      <c r="C24" s="73" t="s">
        <v>55</v>
      </c>
      <c r="D24" s="74"/>
      <c r="E24" s="75">
        <f>SUM(E8:E22)</f>
        <v>0.445355</v>
      </c>
      <c r="F24" s="29"/>
      <c r="G24" s="29"/>
      <c r="H24" s="29"/>
      <c r="I24" s="29"/>
      <c r="J24" s="29"/>
      <c r="K24" s="29"/>
      <c r="L24" s="29"/>
      <c r="M24" s="29"/>
      <c r="N24" s="29"/>
      <c r="O24" s="29"/>
      <c r="P24" s="29"/>
      <c r="Q24" s="29"/>
      <c r="R24" s="29"/>
      <c r="S24" s="29"/>
      <c r="T24" s="22"/>
      <c r="V24" s="158"/>
      <c r="W24" s="61" t="s">
        <v>114</v>
      </c>
      <c r="X24" s="212">
        <v>1.3849999999999999E-2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61" t="s">
        <v>11</v>
      </c>
      <c r="X25" s="212">
        <v>1.3129999999999999E-2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61" t="s">
        <v>85</v>
      </c>
      <c r="X26" s="212">
        <v>1.3076000000000001E-2</v>
      </c>
      <c r="Y26" s="158"/>
      <c r="Z26" s="40"/>
      <c r="AA26" s="40"/>
    </row>
    <row r="27" spans="2:27" ht="15" customHeight="1" x14ac:dyDescent="0.25">
      <c r="B27" s="79"/>
      <c r="D27" s="160"/>
      <c r="F27" s="29"/>
      <c r="G27" s="29"/>
      <c r="H27" s="29"/>
      <c r="I27" s="29"/>
      <c r="J27" s="29"/>
      <c r="K27" s="29"/>
      <c r="L27" s="29"/>
      <c r="M27" s="29"/>
      <c r="N27" s="29"/>
      <c r="O27" s="29"/>
      <c r="P27" s="29"/>
      <c r="Q27" s="29"/>
      <c r="R27" s="29"/>
      <c r="S27" s="29"/>
      <c r="T27" s="22"/>
      <c r="V27" s="158"/>
      <c r="W27" s="61" t="s">
        <v>109</v>
      </c>
      <c r="X27" s="212">
        <v>1.1938000000000001E-2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61" t="s">
        <v>84</v>
      </c>
      <c r="X28" s="212">
        <v>1.0496999999999999E-2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61" t="s">
        <v>132</v>
      </c>
      <c r="X29" s="212">
        <v>9.665E-3</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56" t="s">
        <v>125</v>
      </c>
      <c r="X30" s="212">
        <v>9.6109999999999998E-3</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56" t="s">
        <v>127</v>
      </c>
      <c r="X31" s="212">
        <v>9.2819999999999986E-3</v>
      </c>
      <c r="Y31" s="158"/>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9" t="s">
        <v>107</v>
      </c>
      <c r="X32" s="212">
        <v>9.1050000000000002E-3</v>
      </c>
    </row>
    <row r="33" spans="2:24" ht="15" customHeight="1" thickBot="1" x14ac:dyDescent="0.3">
      <c r="W33" s="19" t="s">
        <v>78</v>
      </c>
      <c r="X33" s="212">
        <v>8.9809999999999994E-3</v>
      </c>
    </row>
    <row r="34" spans="2:24" ht="15" customHeight="1" x14ac:dyDescent="0.25">
      <c r="B34" s="262" t="s">
        <v>184</v>
      </c>
      <c r="C34" s="263"/>
      <c r="D34" s="263"/>
      <c r="E34" s="263"/>
      <c r="F34" s="263"/>
      <c r="G34" s="263"/>
      <c r="H34" s="263"/>
      <c r="I34" s="263"/>
      <c r="J34" s="263"/>
      <c r="K34" s="263"/>
      <c r="L34" s="263"/>
      <c r="M34" s="263"/>
      <c r="N34" s="263"/>
      <c r="O34" s="263"/>
      <c r="P34" s="263"/>
      <c r="Q34" s="263"/>
      <c r="R34" s="264"/>
      <c r="W34" s="19" t="s">
        <v>15</v>
      </c>
      <c r="X34" s="212">
        <v>8.4720000000000004E-3</v>
      </c>
    </row>
    <row r="35" spans="2:24" ht="15" customHeight="1" x14ac:dyDescent="0.25">
      <c r="B35" s="265"/>
      <c r="C35" s="266"/>
      <c r="D35" s="266"/>
      <c r="E35" s="266"/>
      <c r="F35" s="266"/>
      <c r="G35" s="266"/>
      <c r="H35" s="266"/>
      <c r="I35" s="266"/>
      <c r="J35" s="266"/>
      <c r="K35" s="266"/>
      <c r="L35" s="266"/>
      <c r="M35" s="266"/>
      <c r="N35" s="266"/>
      <c r="O35" s="266"/>
      <c r="P35" s="266"/>
      <c r="Q35" s="266"/>
      <c r="R35" s="267"/>
      <c r="W35" s="19" t="s">
        <v>134</v>
      </c>
      <c r="X35" s="212">
        <v>7.77E-3</v>
      </c>
    </row>
    <row r="36" spans="2:24" ht="15" customHeight="1" x14ac:dyDescent="0.25">
      <c r="B36" s="265"/>
      <c r="C36" s="266"/>
      <c r="D36" s="266"/>
      <c r="E36" s="266"/>
      <c r="F36" s="266"/>
      <c r="G36" s="266"/>
      <c r="H36" s="266"/>
      <c r="I36" s="266"/>
      <c r="J36" s="266"/>
      <c r="K36" s="266"/>
      <c r="L36" s="266"/>
      <c r="M36" s="266"/>
      <c r="N36" s="266"/>
      <c r="O36" s="266"/>
      <c r="P36" s="266"/>
      <c r="Q36" s="266"/>
      <c r="R36" s="267"/>
      <c r="W36" s="19" t="s">
        <v>25</v>
      </c>
      <c r="X36" s="212">
        <v>6.1269999999999996E-3</v>
      </c>
    </row>
    <row r="37" spans="2:24" ht="15" customHeight="1" x14ac:dyDescent="0.25">
      <c r="B37" s="265"/>
      <c r="C37" s="266"/>
      <c r="D37" s="266"/>
      <c r="E37" s="266"/>
      <c r="F37" s="266"/>
      <c r="G37" s="266"/>
      <c r="H37" s="266"/>
      <c r="I37" s="266"/>
      <c r="J37" s="266"/>
      <c r="K37" s="266"/>
      <c r="L37" s="266"/>
      <c r="M37" s="266"/>
      <c r="N37" s="266"/>
      <c r="O37" s="266"/>
      <c r="P37" s="266"/>
      <c r="Q37" s="266"/>
      <c r="R37" s="267"/>
      <c r="W37" s="19" t="s">
        <v>187</v>
      </c>
      <c r="X37" s="212">
        <v>5.7289999999999997E-3</v>
      </c>
    </row>
    <row r="38" spans="2:24" ht="15" customHeight="1" x14ac:dyDescent="0.25">
      <c r="B38" s="265"/>
      <c r="C38" s="266"/>
      <c r="D38" s="266"/>
      <c r="E38" s="266"/>
      <c r="F38" s="266"/>
      <c r="G38" s="266"/>
      <c r="H38" s="266"/>
      <c r="I38" s="266"/>
      <c r="J38" s="266"/>
      <c r="K38" s="266"/>
      <c r="L38" s="266"/>
      <c r="M38" s="266"/>
      <c r="N38" s="266"/>
      <c r="O38" s="266"/>
      <c r="P38" s="266"/>
      <c r="Q38" s="266"/>
      <c r="R38" s="267"/>
      <c r="W38" s="19" t="s">
        <v>147</v>
      </c>
      <c r="X38" s="212">
        <v>5.6600000000000001E-3</v>
      </c>
    </row>
    <row r="39" spans="2:24" ht="15" customHeight="1" x14ac:dyDescent="0.25">
      <c r="B39" s="265"/>
      <c r="C39" s="266"/>
      <c r="D39" s="266"/>
      <c r="E39" s="266"/>
      <c r="F39" s="266"/>
      <c r="G39" s="266"/>
      <c r="H39" s="266"/>
      <c r="I39" s="266"/>
      <c r="J39" s="266"/>
      <c r="K39" s="266"/>
      <c r="L39" s="266"/>
      <c r="M39" s="266"/>
      <c r="N39" s="266"/>
      <c r="O39" s="266"/>
      <c r="P39" s="266"/>
      <c r="Q39" s="266"/>
      <c r="R39" s="267"/>
      <c r="W39" s="19" t="s">
        <v>123</v>
      </c>
      <c r="X39" s="212">
        <v>5.3959999999999998E-3</v>
      </c>
    </row>
    <row r="40" spans="2:24" ht="21.75" customHeight="1" thickBot="1" x14ac:dyDescent="0.3">
      <c r="B40" s="268"/>
      <c r="C40" s="269"/>
      <c r="D40" s="269"/>
      <c r="E40" s="269"/>
      <c r="F40" s="269"/>
      <c r="G40" s="269"/>
      <c r="H40" s="269"/>
      <c r="I40" s="269"/>
      <c r="J40" s="269"/>
      <c r="K40" s="269"/>
      <c r="L40" s="269"/>
      <c r="M40" s="269"/>
      <c r="N40" s="269"/>
      <c r="O40" s="269"/>
      <c r="P40" s="269"/>
      <c r="Q40" s="269"/>
      <c r="R40" s="270"/>
      <c r="W40" s="19" t="s">
        <v>223</v>
      </c>
      <c r="X40" s="212">
        <v>5.0860000000000002E-3</v>
      </c>
    </row>
    <row r="41" spans="2:24" ht="15" customHeight="1" x14ac:dyDescent="0.25">
      <c r="W41" s="19" t="s">
        <v>119</v>
      </c>
      <c r="X41" s="212">
        <v>4.3949999999999996E-3</v>
      </c>
    </row>
    <row r="42" spans="2:24" ht="15" customHeight="1" x14ac:dyDescent="0.25">
      <c r="W42" s="19" t="s">
        <v>124</v>
      </c>
      <c r="X42" s="212">
        <v>4.1989999999999996E-3</v>
      </c>
    </row>
    <row r="43" spans="2:24" ht="15" customHeight="1" x14ac:dyDescent="0.25">
      <c r="W43" s="19" t="s">
        <v>122</v>
      </c>
      <c r="X43" s="212">
        <v>3.9480000000000001E-3</v>
      </c>
    </row>
    <row r="44" spans="2:24" ht="15" customHeight="1" x14ac:dyDescent="0.25">
      <c r="W44" s="19" t="s">
        <v>88</v>
      </c>
      <c r="X44" s="212">
        <v>2.2499999999999998E-3</v>
      </c>
    </row>
    <row r="45" spans="2:24" ht="15" customHeight="1" x14ac:dyDescent="0.25">
      <c r="X45" s="212"/>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1" t="s">
        <v>215</v>
      </c>
      <c r="D3" s="272"/>
      <c r="E3" s="272"/>
      <c r="F3" s="272"/>
      <c r="G3" s="272"/>
      <c r="H3" s="272"/>
      <c r="I3" s="272"/>
      <c r="J3" s="272"/>
      <c r="K3" s="272"/>
      <c r="L3" s="272"/>
      <c r="M3" s="272"/>
      <c r="N3" s="272"/>
      <c r="O3" s="272"/>
      <c r="P3" s="272"/>
      <c r="Q3" s="272"/>
      <c r="R3" s="272"/>
      <c r="S3" s="272"/>
      <c r="T3" s="22"/>
    </row>
    <row r="4" spans="1:24" ht="15.75" customHeight="1" x14ac:dyDescent="0.25">
      <c r="B4" s="79"/>
      <c r="C4" s="67" t="s">
        <v>356</v>
      </c>
      <c r="D4" s="29"/>
      <c r="E4" s="29"/>
      <c r="F4" s="29"/>
      <c r="G4" s="29"/>
      <c r="H4" s="29"/>
      <c r="I4" s="29"/>
      <c r="J4" s="29"/>
      <c r="K4" s="29"/>
      <c r="L4" s="29"/>
      <c r="M4" s="29"/>
      <c r="N4" s="29"/>
      <c r="O4" s="29"/>
      <c r="P4" s="29"/>
      <c r="Q4" s="29"/>
      <c r="R4" s="29"/>
      <c r="S4" s="29"/>
      <c r="T4" s="22"/>
    </row>
    <row r="5" spans="1:24" ht="18" customHeight="1" x14ac:dyDescent="0.25">
      <c r="B5" s="79"/>
      <c r="C5" s="222" t="s">
        <v>357</v>
      </c>
      <c r="D5" s="273" t="s">
        <v>366</v>
      </c>
      <c r="E5" s="273"/>
      <c r="F5" s="29"/>
      <c r="G5" s="156"/>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55" t="s">
        <v>2</v>
      </c>
    </row>
    <row r="8" spans="1:24" ht="15" customHeight="1" x14ac:dyDescent="0.25">
      <c r="B8" s="79"/>
      <c r="C8" s="194" t="s">
        <v>271</v>
      </c>
      <c r="D8" s="195" t="s">
        <v>117</v>
      </c>
      <c r="E8" s="196">
        <v>3.1588999999999999E-2</v>
      </c>
      <c r="F8" s="29"/>
      <c r="G8" s="29"/>
      <c r="H8" s="29"/>
      <c r="I8" s="29"/>
      <c r="J8" s="29"/>
      <c r="K8" s="29"/>
      <c r="L8" s="29"/>
      <c r="M8" s="29"/>
      <c r="N8" s="29"/>
      <c r="O8" s="29"/>
      <c r="P8" s="29"/>
      <c r="Q8" s="29"/>
      <c r="R8" s="29"/>
      <c r="S8" s="29"/>
      <c r="T8" s="22"/>
      <c r="W8" s="173" t="s">
        <v>4</v>
      </c>
      <c r="X8" s="174">
        <v>0.10825099999999999</v>
      </c>
    </row>
    <row r="9" spans="1:24" ht="15.75" customHeight="1" x14ac:dyDescent="0.25">
      <c r="B9" s="79"/>
      <c r="C9" s="188" t="s">
        <v>193</v>
      </c>
      <c r="D9" s="197" t="s">
        <v>4</v>
      </c>
      <c r="E9" s="198">
        <v>2.6079999999999999E-2</v>
      </c>
      <c r="F9" s="29"/>
      <c r="G9" s="29"/>
      <c r="H9" s="29"/>
      <c r="I9" s="29"/>
      <c r="J9" s="29"/>
      <c r="K9" s="29"/>
      <c r="L9" s="29"/>
      <c r="M9" s="29"/>
      <c r="N9" s="29"/>
      <c r="O9" s="29"/>
      <c r="P9" s="29"/>
      <c r="Q9" s="29"/>
      <c r="R9" s="29"/>
      <c r="S9" s="29"/>
      <c r="T9" s="22"/>
      <c r="W9" s="173" t="s">
        <v>112</v>
      </c>
      <c r="X9" s="174">
        <v>8.1886E-2</v>
      </c>
    </row>
    <row r="10" spans="1:24" ht="15" customHeight="1" x14ac:dyDescent="0.25">
      <c r="B10" s="79"/>
      <c r="C10" s="188" t="s">
        <v>282</v>
      </c>
      <c r="D10" s="197" t="s">
        <v>116</v>
      </c>
      <c r="E10" s="198">
        <v>2.4288000000000001E-2</v>
      </c>
      <c r="F10" s="29"/>
      <c r="G10" s="29"/>
      <c r="H10" s="29"/>
      <c r="I10" s="29"/>
      <c r="J10" s="29"/>
      <c r="K10" s="29"/>
      <c r="L10" s="29"/>
      <c r="M10" s="29"/>
      <c r="N10" s="29"/>
      <c r="O10" s="29"/>
      <c r="P10" s="29"/>
      <c r="Q10" s="29"/>
      <c r="R10" s="29"/>
      <c r="S10" s="29"/>
      <c r="T10" s="22"/>
      <c r="W10" s="173" t="s">
        <v>114</v>
      </c>
      <c r="X10" s="174">
        <v>5.9757000000000005E-2</v>
      </c>
    </row>
    <row r="11" spans="1:24" ht="15" customHeight="1" x14ac:dyDescent="0.25">
      <c r="B11" s="79"/>
      <c r="C11" s="188" t="s">
        <v>318</v>
      </c>
      <c r="D11" s="197" t="s">
        <v>114</v>
      </c>
      <c r="E11" s="198">
        <v>1.8338E-2</v>
      </c>
      <c r="F11" s="29"/>
      <c r="G11" s="29"/>
      <c r="H11" s="29"/>
      <c r="I11" s="29"/>
      <c r="J11" s="29"/>
      <c r="K11" s="29"/>
      <c r="L11" s="29"/>
      <c r="M11" s="29"/>
      <c r="N11" s="29"/>
      <c r="O11" s="29"/>
      <c r="P11" s="29"/>
      <c r="Q11" s="29"/>
      <c r="R11" s="29"/>
      <c r="S11" s="29"/>
      <c r="T11" s="22"/>
      <c r="W11" s="173" t="s">
        <v>3</v>
      </c>
      <c r="X11" s="174">
        <v>5.79E-2</v>
      </c>
    </row>
    <row r="12" spans="1:24" ht="15" customHeight="1" x14ac:dyDescent="0.25">
      <c r="B12" s="79"/>
      <c r="C12" s="188" t="s">
        <v>296</v>
      </c>
      <c r="D12" s="197" t="s">
        <v>3</v>
      </c>
      <c r="E12" s="198">
        <v>1.5754000000000001E-2</v>
      </c>
      <c r="F12" s="29"/>
      <c r="G12" s="29"/>
      <c r="H12" s="29"/>
      <c r="I12" s="29"/>
      <c r="J12" s="29"/>
      <c r="K12" s="29"/>
      <c r="L12" s="29"/>
      <c r="M12" s="29"/>
      <c r="N12" s="29"/>
      <c r="O12" s="29"/>
      <c r="P12" s="29"/>
      <c r="Q12" s="29"/>
      <c r="R12" s="29"/>
      <c r="S12" s="29"/>
      <c r="T12" s="22"/>
      <c r="W12" s="173" t="s">
        <v>16</v>
      </c>
      <c r="X12" s="174">
        <v>4.7099000000000002E-2</v>
      </c>
    </row>
    <row r="13" spans="1:24" ht="15" customHeight="1" x14ac:dyDescent="0.25">
      <c r="B13" s="79"/>
      <c r="C13" s="188" t="s">
        <v>201</v>
      </c>
      <c r="D13" s="197" t="s">
        <v>120</v>
      </c>
      <c r="E13" s="198">
        <v>1.5538E-2</v>
      </c>
      <c r="F13" s="29"/>
      <c r="G13" s="29"/>
      <c r="H13" s="29"/>
      <c r="I13" s="29"/>
      <c r="J13" s="29"/>
      <c r="K13" s="29"/>
      <c r="L13" s="29"/>
      <c r="M13" s="29"/>
      <c r="N13" s="29"/>
      <c r="O13" s="29"/>
      <c r="P13" s="29"/>
      <c r="Q13" s="29"/>
      <c r="R13" s="29"/>
      <c r="S13" s="29"/>
      <c r="T13" s="22"/>
      <c r="W13" s="173" t="s">
        <v>117</v>
      </c>
      <c r="X13" s="174">
        <v>4.6924999999999994E-2</v>
      </c>
    </row>
    <row r="14" spans="1:24" ht="15" customHeight="1" x14ac:dyDescent="0.25">
      <c r="B14" s="79"/>
      <c r="C14" s="188" t="s">
        <v>79</v>
      </c>
      <c r="D14" s="197" t="s">
        <v>24</v>
      </c>
      <c r="E14" s="198">
        <v>1.489E-2</v>
      </c>
      <c r="F14" s="29"/>
      <c r="G14" s="29"/>
      <c r="H14" s="29"/>
      <c r="I14" s="29"/>
      <c r="J14" s="29"/>
      <c r="K14" s="29"/>
      <c r="L14" s="29"/>
      <c r="M14" s="29"/>
      <c r="N14" s="29"/>
      <c r="O14" s="29"/>
      <c r="P14" s="29"/>
      <c r="Q14" s="29"/>
      <c r="R14" s="29"/>
      <c r="S14" s="29"/>
      <c r="T14" s="22"/>
      <c r="W14" s="173" t="s">
        <v>86</v>
      </c>
      <c r="X14" s="174">
        <v>4.3362999999999999E-2</v>
      </c>
    </row>
    <row r="15" spans="1:24" ht="15" customHeight="1" x14ac:dyDescent="0.25">
      <c r="B15" s="79"/>
      <c r="C15" s="188" t="s">
        <v>207</v>
      </c>
      <c r="D15" s="197" t="s">
        <v>4</v>
      </c>
      <c r="E15" s="198">
        <v>1.4371E-2</v>
      </c>
      <c r="F15" s="29"/>
      <c r="G15" s="29"/>
      <c r="H15" s="29"/>
      <c r="I15" s="29"/>
      <c r="J15" s="29"/>
      <c r="K15" s="29"/>
      <c r="L15" s="29"/>
      <c r="M15" s="29"/>
      <c r="N15" s="29"/>
      <c r="O15" s="29"/>
      <c r="P15" s="29"/>
      <c r="Q15" s="29"/>
      <c r="R15" s="29"/>
      <c r="S15" s="29"/>
      <c r="T15" s="22"/>
      <c r="W15" s="173" t="s">
        <v>120</v>
      </c>
      <c r="X15" s="174">
        <v>4.3157000000000001E-2</v>
      </c>
    </row>
    <row r="16" spans="1:24" ht="15" customHeight="1" x14ac:dyDescent="0.25">
      <c r="B16" s="79"/>
      <c r="C16" s="188" t="s">
        <v>202</v>
      </c>
      <c r="D16" s="197" t="s">
        <v>123</v>
      </c>
      <c r="E16" s="198">
        <v>1.3618E-2</v>
      </c>
      <c r="F16" s="29"/>
      <c r="G16" s="29"/>
      <c r="H16" s="29"/>
      <c r="I16" s="29"/>
      <c r="J16" s="29"/>
      <c r="K16" s="29"/>
      <c r="L16" s="29"/>
      <c r="M16" s="29"/>
      <c r="N16" s="29"/>
      <c r="O16" s="29"/>
      <c r="P16" s="29"/>
      <c r="Q16" s="29"/>
      <c r="R16" s="29"/>
      <c r="S16" s="29"/>
      <c r="T16" s="22"/>
      <c r="W16" s="173" t="s">
        <v>24</v>
      </c>
      <c r="X16" s="174">
        <v>4.1755E-2</v>
      </c>
    </row>
    <row r="17" spans="2:24" ht="15" customHeight="1" x14ac:dyDescent="0.25">
      <c r="B17" s="79"/>
      <c r="C17" s="188" t="s">
        <v>69</v>
      </c>
      <c r="D17" s="197" t="s">
        <v>4</v>
      </c>
      <c r="E17" s="198">
        <v>1.3552E-2</v>
      </c>
      <c r="F17" s="29"/>
      <c r="G17" s="29"/>
      <c r="H17" s="29"/>
      <c r="I17" s="29"/>
      <c r="J17" s="29"/>
      <c r="K17" s="29"/>
      <c r="L17" s="29"/>
      <c r="M17" s="29"/>
      <c r="N17" s="29"/>
      <c r="O17" s="29"/>
      <c r="P17" s="29"/>
      <c r="Q17" s="29"/>
      <c r="R17" s="29"/>
      <c r="S17" s="29"/>
      <c r="T17" s="22"/>
      <c r="W17" s="173" t="s">
        <v>123</v>
      </c>
      <c r="X17" s="174">
        <v>3.2121999999999998E-2</v>
      </c>
    </row>
    <row r="18" spans="2:24" ht="15" customHeight="1" x14ac:dyDescent="0.25">
      <c r="B18" s="79"/>
      <c r="C18" s="188" t="s">
        <v>283</v>
      </c>
      <c r="D18" s="197" t="s">
        <v>3</v>
      </c>
      <c r="E18" s="198">
        <v>1.3102000000000001E-2</v>
      </c>
      <c r="F18" s="29"/>
      <c r="G18" s="29"/>
      <c r="H18" s="29"/>
      <c r="I18" s="29"/>
      <c r="J18" s="29"/>
      <c r="K18" s="29"/>
      <c r="L18" s="29"/>
      <c r="M18" s="29"/>
      <c r="N18" s="29"/>
      <c r="O18" s="29"/>
      <c r="P18" s="29"/>
      <c r="Q18" s="29"/>
      <c r="R18" s="29"/>
      <c r="S18" s="29"/>
      <c r="T18" s="22"/>
      <c r="W18" s="173" t="s">
        <v>116</v>
      </c>
      <c r="X18" s="174">
        <v>3.0588000000000001E-2</v>
      </c>
    </row>
    <row r="19" spans="2:24" ht="15" customHeight="1" x14ac:dyDescent="0.25">
      <c r="B19" s="79"/>
      <c r="C19" s="188" t="s">
        <v>263</v>
      </c>
      <c r="D19" s="197" t="s">
        <v>244</v>
      </c>
      <c r="E19" s="198">
        <v>1.2257000000000001E-2</v>
      </c>
      <c r="F19" s="29"/>
      <c r="G19" s="29"/>
      <c r="H19" s="29"/>
      <c r="I19" s="29"/>
      <c r="J19" s="29"/>
      <c r="K19" s="29"/>
      <c r="L19" s="29"/>
      <c r="M19" s="29"/>
      <c r="N19" s="29"/>
      <c r="O19" s="29"/>
      <c r="P19" s="29"/>
      <c r="Q19" s="29"/>
      <c r="R19" s="29"/>
      <c r="S19" s="29"/>
      <c r="T19" s="22"/>
      <c r="W19" s="173" t="s">
        <v>111</v>
      </c>
      <c r="X19" s="174">
        <v>2.7034000000000002E-2</v>
      </c>
    </row>
    <row r="20" spans="2:24" ht="15" customHeight="1" x14ac:dyDescent="0.25">
      <c r="B20" s="79"/>
      <c r="C20" s="188" t="s">
        <v>332</v>
      </c>
      <c r="D20" s="197" t="s">
        <v>86</v>
      </c>
      <c r="E20" s="198">
        <v>1.1719E-2</v>
      </c>
      <c r="F20" s="29"/>
      <c r="G20" s="29"/>
      <c r="H20" s="29"/>
      <c r="I20" s="29"/>
      <c r="J20" s="29"/>
      <c r="K20" s="29"/>
      <c r="L20" s="29"/>
      <c r="M20" s="29"/>
      <c r="N20" s="29"/>
      <c r="O20" s="29"/>
      <c r="P20" s="29"/>
      <c r="Q20" s="29"/>
      <c r="R20" s="29"/>
      <c r="S20" s="29"/>
      <c r="T20" s="22"/>
      <c r="W20" s="173" t="s">
        <v>127</v>
      </c>
      <c r="X20" s="174">
        <v>2.5969000000000002E-2</v>
      </c>
    </row>
    <row r="21" spans="2:24" ht="15" customHeight="1" x14ac:dyDescent="0.25">
      <c r="B21" s="79"/>
      <c r="C21" s="188" t="s">
        <v>325</v>
      </c>
      <c r="D21" s="197" t="s">
        <v>134</v>
      </c>
      <c r="E21" s="198">
        <v>1.1479E-2</v>
      </c>
      <c r="F21" s="29"/>
      <c r="G21" s="29"/>
      <c r="H21" s="29"/>
      <c r="I21" s="29"/>
      <c r="J21" s="29"/>
      <c r="K21" s="29"/>
      <c r="L21" s="29"/>
      <c r="M21" s="29"/>
      <c r="N21" s="29"/>
      <c r="O21" s="29"/>
      <c r="P21" s="29"/>
      <c r="Q21" s="29"/>
      <c r="R21" s="29"/>
      <c r="S21" s="29"/>
      <c r="T21" s="22"/>
      <c r="W21" s="173" t="s">
        <v>78</v>
      </c>
      <c r="X21" s="174">
        <v>2.5960999999999998E-2</v>
      </c>
    </row>
    <row r="22" spans="2:24" ht="15" customHeight="1" x14ac:dyDescent="0.25">
      <c r="B22" s="79"/>
      <c r="C22" s="188" t="s">
        <v>333</v>
      </c>
      <c r="D22" s="197" t="s">
        <v>127</v>
      </c>
      <c r="E22" s="198">
        <v>1.1176999999999999E-2</v>
      </c>
      <c r="F22" s="29"/>
      <c r="G22" s="29"/>
      <c r="H22" s="29"/>
      <c r="I22" s="29"/>
      <c r="J22" s="29"/>
      <c r="K22" s="29"/>
      <c r="L22" s="29"/>
      <c r="M22" s="29"/>
      <c r="N22" s="29"/>
      <c r="O22" s="29"/>
      <c r="P22" s="29"/>
      <c r="Q22" s="29"/>
      <c r="R22" s="29"/>
      <c r="S22" s="29"/>
      <c r="T22" s="22"/>
      <c r="W22" s="173" t="s">
        <v>125</v>
      </c>
      <c r="X22" s="174">
        <v>2.2313000000000003E-2</v>
      </c>
    </row>
    <row r="23" spans="2:24" ht="15" customHeight="1" x14ac:dyDescent="0.25">
      <c r="B23" s="79"/>
      <c r="C23" s="71"/>
      <c r="D23" s="157"/>
      <c r="E23" s="72"/>
      <c r="F23" s="29"/>
      <c r="G23" s="29"/>
      <c r="H23" s="29"/>
      <c r="I23" s="29"/>
      <c r="J23" s="29"/>
      <c r="K23" s="29"/>
      <c r="L23" s="29"/>
      <c r="M23" s="29"/>
      <c r="N23" s="29"/>
      <c r="O23" s="29"/>
      <c r="P23" s="29"/>
      <c r="Q23" s="29"/>
      <c r="R23" s="29"/>
      <c r="S23" s="29"/>
      <c r="T23" s="22"/>
      <c r="W23" s="173" t="s">
        <v>26</v>
      </c>
      <c r="X23" s="174">
        <v>1.6537E-2</v>
      </c>
    </row>
    <row r="24" spans="2:24" ht="15" customHeight="1" x14ac:dyDescent="0.25">
      <c r="B24" s="79"/>
      <c r="C24" s="73" t="s">
        <v>55</v>
      </c>
      <c r="D24" s="74"/>
      <c r="E24" s="75">
        <f>SUM(E8:E22)</f>
        <v>0.247752</v>
      </c>
      <c r="F24" s="29"/>
      <c r="G24" s="29"/>
      <c r="H24" s="29"/>
      <c r="I24" s="29"/>
      <c r="J24" s="29"/>
      <c r="K24" s="29"/>
      <c r="L24" s="29"/>
      <c r="M24" s="29"/>
      <c r="N24" s="29"/>
      <c r="O24" s="29"/>
      <c r="P24" s="29"/>
      <c r="Q24" s="29"/>
      <c r="R24" s="29"/>
      <c r="S24" s="29"/>
      <c r="T24" s="22"/>
      <c r="W24" s="173" t="s">
        <v>138</v>
      </c>
      <c r="X24" s="174">
        <v>1.3679E-2</v>
      </c>
    </row>
    <row r="25" spans="2:24" ht="15" customHeight="1" x14ac:dyDescent="0.25">
      <c r="B25" s="79"/>
      <c r="F25" s="29"/>
      <c r="G25" s="29"/>
      <c r="H25" s="29"/>
      <c r="I25" s="29"/>
      <c r="J25" s="29"/>
      <c r="K25" s="29"/>
      <c r="L25" s="29"/>
      <c r="M25" s="29"/>
      <c r="N25" s="29"/>
      <c r="O25" s="29"/>
      <c r="P25" s="29"/>
      <c r="Q25" s="29"/>
      <c r="R25" s="29"/>
      <c r="S25" s="29"/>
      <c r="T25" s="22"/>
      <c r="W25" s="173" t="s">
        <v>23</v>
      </c>
      <c r="X25" s="174">
        <v>1.3389000000000002E-2</v>
      </c>
    </row>
    <row r="26" spans="2:24" ht="15" customHeight="1" x14ac:dyDescent="0.25">
      <c r="B26" s="79"/>
      <c r="F26" s="29"/>
      <c r="G26" s="29"/>
      <c r="H26" s="29"/>
      <c r="I26" s="29"/>
      <c r="J26" s="29"/>
      <c r="K26" s="29"/>
      <c r="L26" s="29"/>
      <c r="M26" s="29"/>
      <c r="N26" s="29"/>
      <c r="O26" s="29"/>
      <c r="P26" s="29"/>
      <c r="Q26" s="29"/>
      <c r="R26" s="29"/>
      <c r="S26" s="29"/>
      <c r="T26" s="22"/>
      <c r="W26" s="173" t="s">
        <v>85</v>
      </c>
      <c r="X26" s="174">
        <v>1.3161000000000001E-2</v>
      </c>
    </row>
    <row r="27" spans="2:24" ht="15" customHeight="1" x14ac:dyDescent="0.25">
      <c r="B27" s="79"/>
      <c r="F27" s="29"/>
      <c r="G27" s="29"/>
      <c r="H27" s="29"/>
      <c r="I27" s="29"/>
      <c r="J27" s="29"/>
      <c r="K27" s="29"/>
      <c r="L27" s="29"/>
      <c r="M27" s="29"/>
      <c r="N27" s="29"/>
      <c r="O27" s="29"/>
      <c r="P27" s="29"/>
      <c r="Q27" s="29"/>
      <c r="R27" s="29"/>
      <c r="S27" s="29"/>
      <c r="T27" s="22"/>
      <c r="W27" s="173" t="s">
        <v>244</v>
      </c>
      <c r="X27" s="174">
        <v>1.2257000000000001E-2</v>
      </c>
    </row>
    <row r="28" spans="2:24" ht="15" customHeight="1" x14ac:dyDescent="0.25">
      <c r="B28" s="79"/>
      <c r="F28" s="29"/>
      <c r="G28" s="29"/>
      <c r="H28" s="29"/>
      <c r="I28" s="29"/>
      <c r="J28" s="29"/>
      <c r="K28" s="29"/>
      <c r="L28" s="29"/>
      <c r="M28" s="29"/>
      <c r="N28" s="29"/>
      <c r="O28" s="29"/>
      <c r="P28" s="29"/>
      <c r="Q28" s="29"/>
      <c r="R28" s="29"/>
      <c r="S28" s="29"/>
      <c r="T28" s="22"/>
      <c r="W28" s="173" t="s">
        <v>134</v>
      </c>
      <c r="X28" s="174">
        <v>1.1479E-2</v>
      </c>
    </row>
    <row r="29" spans="2:24" ht="15" customHeight="1" x14ac:dyDescent="0.25">
      <c r="B29" s="79"/>
      <c r="F29" s="29"/>
      <c r="G29" s="29"/>
      <c r="H29" s="29"/>
      <c r="I29" s="29"/>
      <c r="J29" s="29"/>
      <c r="K29" s="29"/>
      <c r="L29" s="29"/>
      <c r="M29" s="29"/>
      <c r="N29" s="29"/>
      <c r="O29" s="29"/>
      <c r="P29" s="29"/>
      <c r="Q29" s="29"/>
      <c r="R29" s="29"/>
      <c r="S29" s="29"/>
      <c r="T29" s="22"/>
      <c r="W29" s="173" t="s">
        <v>115</v>
      </c>
      <c r="X29" s="174">
        <v>1.0978E-2</v>
      </c>
    </row>
    <row r="30" spans="2:24" ht="15" customHeight="1" x14ac:dyDescent="0.25">
      <c r="B30" s="79"/>
      <c r="F30" s="29"/>
      <c r="G30" s="29"/>
      <c r="H30" s="29"/>
      <c r="I30" s="29"/>
      <c r="J30" s="29"/>
      <c r="K30" s="29"/>
      <c r="L30" s="29"/>
      <c r="M30" s="29"/>
      <c r="N30" s="29"/>
      <c r="O30" s="29"/>
      <c r="P30" s="29"/>
      <c r="Q30" s="29"/>
      <c r="R30" s="29"/>
      <c r="S30" s="29"/>
      <c r="T30" s="22"/>
      <c r="W30" s="173" t="s">
        <v>11</v>
      </c>
      <c r="X30" s="174">
        <v>1.095E-2</v>
      </c>
    </row>
    <row r="31" spans="2:24" ht="15" customHeight="1" x14ac:dyDescent="0.25">
      <c r="B31" s="79"/>
      <c r="F31" s="29"/>
      <c r="G31" s="29"/>
      <c r="H31" s="29"/>
      <c r="I31" s="29"/>
      <c r="J31" s="29"/>
      <c r="K31" s="29"/>
      <c r="L31" s="29"/>
      <c r="M31" s="29"/>
      <c r="N31" s="29"/>
      <c r="O31" s="29"/>
      <c r="P31" s="29"/>
      <c r="Q31" s="29"/>
      <c r="R31" s="29"/>
      <c r="S31" s="29"/>
      <c r="T31" s="22"/>
      <c r="W31" s="173" t="s">
        <v>10</v>
      </c>
      <c r="X31" s="174">
        <v>1.069E-2</v>
      </c>
    </row>
    <row r="32" spans="2:24" ht="15" customHeight="1" x14ac:dyDescent="0.25">
      <c r="B32" s="79"/>
      <c r="F32" s="29"/>
      <c r="G32" s="29"/>
      <c r="H32" s="29"/>
      <c r="I32" s="29"/>
      <c r="J32" s="29"/>
      <c r="K32" s="29"/>
      <c r="L32" s="29"/>
      <c r="M32" s="29"/>
      <c r="N32" s="29"/>
      <c r="O32" s="29"/>
      <c r="P32" s="29"/>
      <c r="Q32" s="29"/>
      <c r="R32" s="29"/>
      <c r="S32" s="29"/>
      <c r="T32" s="22"/>
      <c r="W32" s="173" t="s">
        <v>107</v>
      </c>
      <c r="X32" s="174">
        <v>9.9380000000000007E-3</v>
      </c>
    </row>
    <row r="33" spans="2:24" ht="15.75" customHeight="1" x14ac:dyDescent="0.25">
      <c r="B33" s="79"/>
      <c r="F33" s="29"/>
      <c r="G33" s="29"/>
      <c r="H33" s="29"/>
      <c r="I33" s="29"/>
      <c r="J33" s="29"/>
      <c r="K33" s="29"/>
      <c r="L33" s="29"/>
      <c r="M33" s="29"/>
      <c r="N33" s="29"/>
      <c r="O33" s="29"/>
      <c r="P33" s="29"/>
      <c r="Q33" s="29"/>
      <c r="R33" s="29"/>
      <c r="S33" s="29"/>
      <c r="T33" s="22"/>
      <c r="W33" s="173" t="s">
        <v>6</v>
      </c>
      <c r="X33" s="174">
        <v>8.2950000000000003E-3</v>
      </c>
    </row>
    <row r="34" spans="2:24" ht="15.75" customHeight="1" x14ac:dyDescent="0.25">
      <c r="B34" s="79"/>
      <c r="F34" s="29"/>
      <c r="G34" s="29"/>
      <c r="H34" s="29"/>
      <c r="I34" s="29"/>
      <c r="J34" s="29"/>
      <c r="K34" s="29"/>
      <c r="L34" s="29"/>
      <c r="M34" s="29"/>
      <c r="N34" s="29"/>
      <c r="O34" s="29"/>
      <c r="P34" s="29"/>
      <c r="Q34" s="29"/>
      <c r="R34" s="29"/>
      <c r="S34" s="29"/>
      <c r="T34" s="22"/>
      <c r="W34" s="173" t="s">
        <v>109</v>
      </c>
      <c r="X34" s="174">
        <v>7.698E-3</v>
      </c>
    </row>
    <row r="35" spans="2:24" ht="15.75" customHeight="1" x14ac:dyDescent="0.25">
      <c r="B35" s="79"/>
      <c r="F35" s="29"/>
      <c r="G35" s="29"/>
      <c r="H35" s="29"/>
      <c r="I35" s="29"/>
      <c r="J35" s="29"/>
      <c r="K35" s="29"/>
      <c r="L35" s="29"/>
      <c r="M35" s="29"/>
      <c r="N35" s="29"/>
      <c r="O35" s="29"/>
      <c r="P35" s="29"/>
      <c r="Q35" s="29"/>
      <c r="R35" s="29"/>
      <c r="S35" s="29"/>
      <c r="T35" s="22"/>
      <c r="W35" s="173" t="s">
        <v>108</v>
      </c>
      <c r="X35" s="174">
        <v>7.6179999999999998E-3</v>
      </c>
    </row>
    <row r="36" spans="2:24" ht="15.75" customHeight="1" x14ac:dyDescent="0.25">
      <c r="B36" s="79"/>
      <c r="F36" s="29"/>
      <c r="G36" s="29"/>
      <c r="H36" s="29"/>
      <c r="I36" s="29"/>
      <c r="J36" s="29"/>
      <c r="K36" s="29"/>
      <c r="L36" s="29"/>
      <c r="M36" s="29"/>
      <c r="N36" s="29"/>
      <c r="O36" s="29"/>
      <c r="P36" s="29"/>
      <c r="Q36" s="29"/>
      <c r="R36" s="29"/>
      <c r="S36" s="29"/>
      <c r="T36" s="22"/>
      <c r="W36" s="173" t="s">
        <v>84</v>
      </c>
      <c r="X36" s="174">
        <v>7.058E-3</v>
      </c>
    </row>
    <row r="37" spans="2:24" ht="15.75" customHeight="1" x14ac:dyDescent="0.25">
      <c r="B37" s="79"/>
      <c r="F37" s="29"/>
      <c r="G37" s="29"/>
      <c r="H37" s="29"/>
      <c r="I37" s="29"/>
      <c r="J37" s="29"/>
      <c r="K37" s="29"/>
      <c r="L37" s="29"/>
      <c r="M37" s="29"/>
      <c r="N37" s="29"/>
      <c r="O37" s="29"/>
      <c r="P37" s="29"/>
      <c r="Q37" s="29"/>
      <c r="R37" s="29"/>
      <c r="S37" s="29"/>
      <c r="T37" s="22"/>
      <c r="W37" s="173" t="s">
        <v>88</v>
      </c>
      <c r="X37" s="174">
        <v>6.4100000000000008E-3</v>
      </c>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W38" s="173" t="s">
        <v>124</v>
      </c>
      <c r="X38" s="174">
        <v>5.6230000000000004E-3</v>
      </c>
    </row>
    <row r="39" spans="2:24" ht="15" customHeight="1" thickBot="1" x14ac:dyDescent="0.3">
      <c r="W39" s="173" t="s">
        <v>119</v>
      </c>
      <c r="X39" s="174">
        <v>5.3690000000000005E-3</v>
      </c>
    </row>
    <row r="40" spans="2:24" ht="15" customHeight="1" x14ac:dyDescent="0.25">
      <c r="B40" s="262" t="s">
        <v>184</v>
      </c>
      <c r="C40" s="263"/>
      <c r="D40" s="263"/>
      <c r="E40" s="263"/>
      <c r="F40" s="263"/>
      <c r="G40" s="263"/>
      <c r="H40" s="263"/>
      <c r="I40" s="263"/>
      <c r="J40" s="263"/>
      <c r="K40" s="263"/>
      <c r="L40" s="263"/>
      <c r="M40" s="263"/>
      <c r="N40" s="263"/>
      <c r="O40" s="263"/>
      <c r="P40" s="263"/>
      <c r="Q40" s="263"/>
      <c r="R40" s="264"/>
      <c r="W40" s="173" t="s">
        <v>187</v>
      </c>
      <c r="X40" s="174">
        <v>4.6179999999999997E-3</v>
      </c>
    </row>
    <row r="41" spans="2:24" ht="15" customHeight="1" x14ac:dyDescent="0.25">
      <c r="B41" s="265"/>
      <c r="C41" s="266"/>
      <c r="D41" s="266"/>
      <c r="E41" s="266"/>
      <c r="F41" s="266"/>
      <c r="G41" s="266"/>
      <c r="H41" s="266"/>
      <c r="I41" s="266"/>
      <c r="J41" s="266"/>
      <c r="K41" s="266"/>
      <c r="L41" s="266"/>
      <c r="M41" s="266"/>
      <c r="N41" s="266"/>
      <c r="O41" s="266"/>
      <c r="P41" s="266"/>
      <c r="Q41" s="266"/>
      <c r="R41" s="267"/>
      <c r="W41" s="173" t="s">
        <v>303</v>
      </c>
      <c r="X41" s="174">
        <v>4.4390000000000002E-3</v>
      </c>
    </row>
    <row r="42" spans="2:24" ht="15" customHeight="1" x14ac:dyDescent="0.25">
      <c r="B42" s="265"/>
      <c r="C42" s="266"/>
      <c r="D42" s="266"/>
      <c r="E42" s="266"/>
      <c r="F42" s="266"/>
      <c r="G42" s="266"/>
      <c r="H42" s="266"/>
      <c r="I42" s="266"/>
      <c r="J42" s="266"/>
      <c r="K42" s="266"/>
      <c r="L42" s="266"/>
      <c r="M42" s="266"/>
      <c r="N42" s="266"/>
      <c r="O42" s="266"/>
      <c r="P42" s="266"/>
      <c r="Q42" s="266"/>
      <c r="R42" s="267"/>
      <c r="W42" s="173" t="s">
        <v>15</v>
      </c>
      <c r="X42" s="174">
        <v>4.4089999999999997E-3</v>
      </c>
    </row>
    <row r="43" spans="2:24" ht="15" customHeight="1" x14ac:dyDescent="0.25">
      <c r="B43" s="265"/>
      <c r="C43" s="266"/>
      <c r="D43" s="266"/>
      <c r="E43" s="266"/>
      <c r="F43" s="266"/>
      <c r="G43" s="266"/>
      <c r="H43" s="266"/>
      <c r="I43" s="266"/>
      <c r="J43" s="266"/>
      <c r="K43" s="266"/>
      <c r="L43" s="266"/>
      <c r="M43" s="266"/>
      <c r="N43" s="266"/>
      <c r="O43" s="266"/>
      <c r="P43" s="266"/>
      <c r="Q43" s="266"/>
      <c r="R43" s="267"/>
      <c r="W43" s="173" t="s">
        <v>223</v>
      </c>
      <c r="X43" s="174">
        <v>3.5019999999999999E-3</v>
      </c>
    </row>
    <row r="44" spans="2:24" ht="15" customHeight="1" x14ac:dyDescent="0.25">
      <c r="B44" s="265"/>
      <c r="C44" s="266"/>
      <c r="D44" s="266"/>
      <c r="E44" s="266"/>
      <c r="F44" s="266"/>
      <c r="G44" s="266"/>
      <c r="H44" s="266"/>
      <c r="I44" s="266"/>
      <c r="J44" s="266"/>
      <c r="K44" s="266"/>
      <c r="L44" s="266"/>
      <c r="M44" s="266"/>
      <c r="N44" s="266"/>
      <c r="O44" s="266"/>
      <c r="P44" s="266"/>
      <c r="Q44" s="266"/>
      <c r="R44" s="267"/>
      <c r="W44" s="173" t="s">
        <v>188</v>
      </c>
      <c r="X44" s="174">
        <v>3.4169999999999999E-3</v>
      </c>
    </row>
    <row r="45" spans="2:24" ht="15" customHeight="1" x14ac:dyDescent="0.25">
      <c r="B45" s="265"/>
      <c r="C45" s="266"/>
      <c r="D45" s="266"/>
      <c r="E45" s="266"/>
      <c r="F45" s="266"/>
      <c r="G45" s="266"/>
      <c r="H45" s="266"/>
      <c r="I45" s="266"/>
      <c r="J45" s="266"/>
      <c r="K45" s="266"/>
      <c r="L45" s="266"/>
      <c r="M45" s="266"/>
      <c r="N45" s="266"/>
      <c r="O45" s="266"/>
      <c r="P45" s="266"/>
      <c r="Q45" s="266"/>
      <c r="R45" s="267"/>
      <c r="W45" s="173" t="s">
        <v>12</v>
      </c>
      <c r="X45" s="174">
        <v>3.2360000000000002E-3</v>
      </c>
    </row>
    <row r="46" spans="2:24" ht="15" customHeight="1" thickBot="1" x14ac:dyDescent="0.3">
      <c r="B46" s="268"/>
      <c r="C46" s="269"/>
      <c r="D46" s="269"/>
      <c r="E46" s="269"/>
      <c r="F46" s="269"/>
      <c r="G46" s="269"/>
      <c r="H46" s="269"/>
      <c r="I46" s="269"/>
      <c r="J46" s="269"/>
      <c r="K46" s="269"/>
      <c r="L46" s="269"/>
      <c r="M46" s="269"/>
      <c r="N46" s="269"/>
      <c r="O46" s="269"/>
      <c r="P46" s="269"/>
      <c r="Q46" s="269"/>
      <c r="R46" s="270"/>
      <c r="W46" s="173" t="s">
        <v>122</v>
      </c>
      <c r="X46" s="174">
        <v>3.1710000000000002E-3</v>
      </c>
    </row>
    <row r="47" spans="2:24" ht="15" customHeight="1" x14ac:dyDescent="0.25">
      <c r="W47" s="173" t="s">
        <v>25</v>
      </c>
      <c r="X47" s="174">
        <v>3.0230000000000001E-3</v>
      </c>
    </row>
    <row r="48" spans="2:24" ht="15" customHeight="1" x14ac:dyDescent="0.25">
      <c r="W48" s="173" t="s">
        <v>113</v>
      </c>
      <c r="X48" s="174">
        <v>1.689E-3</v>
      </c>
    </row>
    <row r="49" spans="23:24" ht="15" customHeight="1" x14ac:dyDescent="0.25">
      <c r="W49" s="173" t="s">
        <v>147</v>
      </c>
      <c r="X49" s="174">
        <v>1.191E-3</v>
      </c>
    </row>
    <row r="50" spans="23:24" ht="15" customHeight="1" x14ac:dyDescent="0.25">
      <c r="W50" s="173" t="s">
        <v>280</v>
      </c>
      <c r="X50" s="174">
        <v>1.178E-3</v>
      </c>
    </row>
    <row r="51" spans="23:24" ht="15" customHeight="1" x14ac:dyDescent="0.25">
      <c r="W51" s="173"/>
      <c r="X51" s="174"/>
    </row>
    <row r="52" spans="23:24" ht="15" customHeight="1" x14ac:dyDescent="0.25">
      <c r="W52" s="173"/>
      <c r="X52" s="174"/>
    </row>
    <row r="53" spans="23:24" ht="15" customHeight="1" x14ac:dyDescent="0.25">
      <c r="W53" s="173"/>
      <c r="X53" s="174"/>
    </row>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1" t="s">
        <v>167</v>
      </c>
      <c r="D3" s="272"/>
      <c r="E3" s="272"/>
      <c r="F3" s="272"/>
      <c r="G3" s="272"/>
      <c r="H3" s="272"/>
      <c r="I3" s="272"/>
      <c r="J3" s="272"/>
      <c r="K3" s="272"/>
      <c r="L3" s="272"/>
      <c r="M3" s="272"/>
      <c r="N3" s="272"/>
      <c r="O3" s="272"/>
      <c r="P3" s="272"/>
      <c r="Q3" s="272"/>
      <c r="R3" s="272"/>
      <c r="S3" s="272"/>
      <c r="T3" s="22"/>
    </row>
    <row r="4" spans="1:24" ht="15.75" customHeight="1" x14ac:dyDescent="0.25">
      <c r="B4" s="79"/>
      <c r="C4" s="67" t="s">
        <v>356</v>
      </c>
      <c r="D4" s="29"/>
      <c r="E4" s="29"/>
      <c r="F4" s="29"/>
      <c r="G4" s="29"/>
      <c r="H4" s="29"/>
      <c r="I4" s="29"/>
      <c r="J4" s="29"/>
      <c r="K4" s="29"/>
      <c r="L4" s="29"/>
      <c r="M4" s="29"/>
      <c r="N4" s="29"/>
      <c r="O4" s="29"/>
      <c r="P4" s="29"/>
      <c r="Q4" s="29"/>
      <c r="R4" s="29"/>
      <c r="S4" s="29"/>
      <c r="T4" s="22"/>
    </row>
    <row r="5" spans="1:24" ht="18" customHeight="1" x14ac:dyDescent="0.25">
      <c r="B5" s="79"/>
      <c r="C5" s="222" t="s">
        <v>357</v>
      </c>
      <c r="D5" s="273" t="s">
        <v>367</v>
      </c>
      <c r="E5" s="273"/>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8" t="s">
        <v>182</v>
      </c>
      <c r="D8" s="197" t="s">
        <v>24</v>
      </c>
      <c r="E8" s="205">
        <v>4.3125999999999998E-2</v>
      </c>
      <c r="F8" s="29"/>
      <c r="G8" s="29"/>
      <c r="H8" s="29"/>
      <c r="I8" s="29"/>
      <c r="J8" s="29"/>
      <c r="K8" s="29"/>
      <c r="L8" s="29"/>
      <c r="M8" s="29"/>
      <c r="N8" s="29"/>
      <c r="O8" s="29"/>
      <c r="P8" s="29"/>
      <c r="Q8" s="29"/>
      <c r="R8" s="29"/>
      <c r="S8" s="29"/>
      <c r="T8" s="22"/>
      <c r="W8" s="61" t="s">
        <v>23</v>
      </c>
      <c r="X8" s="62">
        <v>0.25230200000000003</v>
      </c>
    </row>
    <row r="9" spans="1:24" ht="15.75" customHeight="1" x14ac:dyDescent="0.25">
      <c r="B9" s="79"/>
      <c r="C9" s="188" t="s">
        <v>219</v>
      </c>
      <c r="D9" s="197" t="s">
        <v>23</v>
      </c>
      <c r="E9" s="205">
        <v>3.9546999999999999E-2</v>
      </c>
      <c r="F9" s="29"/>
      <c r="G9" s="29"/>
      <c r="H9" s="29"/>
      <c r="I9" s="29"/>
      <c r="J9" s="29"/>
      <c r="K9" s="29"/>
      <c r="L9" s="29"/>
      <c r="M9" s="29"/>
      <c r="N9" s="29"/>
      <c r="O9" s="29"/>
      <c r="P9" s="29"/>
      <c r="Q9" s="29"/>
      <c r="R9" s="29"/>
      <c r="S9" s="29"/>
      <c r="T9" s="22"/>
      <c r="W9" s="61" t="s">
        <v>120</v>
      </c>
      <c r="X9" s="62">
        <v>8.9648000000000005E-2</v>
      </c>
    </row>
    <row r="10" spans="1:24" ht="15" customHeight="1" x14ac:dyDescent="0.25">
      <c r="B10" s="79"/>
      <c r="C10" s="188" t="s">
        <v>31</v>
      </c>
      <c r="D10" s="197" t="s">
        <v>6</v>
      </c>
      <c r="E10" s="205">
        <v>3.5073E-2</v>
      </c>
      <c r="F10" s="29"/>
      <c r="G10" s="29"/>
      <c r="H10" s="29"/>
      <c r="I10" s="29"/>
      <c r="J10" s="29"/>
      <c r="K10" s="29"/>
      <c r="L10" s="29"/>
      <c r="M10" s="29"/>
      <c r="N10" s="29"/>
      <c r="O10" s="29"/>
      <c r="P10" s="29"/>
      <c r="Q10" s="29"/>
      <c r="R10" s="29"/>
      <c r="S10" s="29"/>
      <c r="T10" s="22"/>
      <c r="W10" s="61" t="s">
        <v>10</v>
      </c>
      <c r="X10" s="62">
        <v>8.5468000000000002E-2</v>
      </c>
    </row>
    <row r="11" spans="1:24" ht="15" customHeight="1" x14ac:dyDescent="0.25">
      <c r="B11" s="79"/>
      <c r="C11" s="188" t="s">
        <v>34</v>
      </c>
      <c r="D11" s="197" t="s">
        <v>23</v>
      </c>
      <c r="E11" s="205">
        <v>3.3063000000000002E-2</v>
      </c>
      <c r="F11" s="29"/>
      <c r="G11" s="29"/>
      <c r="H11" s="29"/>
      <c r="I11" s="29"/>
      <c r="J11" s="29"/>
      <c r="K11" s="29"/>
      <c r="L11" s="29"/>
      <c r="M11" s="29"/>
      <c r="N11" s="29"/>
      <c r="O11" s="29"/>
      <c r="P11" s="29"/>
      <c r="Q11" s="29"/>
      <c r="R11" s="29"/>
      <c r="S11" s="29"/>
      <c r="T11" s="22"/>
      <c r="W11" s="61" t="s">
        <v>24</v>
      </c>
      <c r="X11" s="62">
        <v>7.9883999999999997E-2</v>
      </c>
    </row>
    <row r="12" spans="1:24" ht="15" customHeight="1" x14ac:dyDescent="0.25">
      <c r="B12" s="79"/>
      <c r="C12" s="188" t="s">
        <v>264</v>
      </c>
      <c r="D12" s="197" t="s">
        <v>131</v>
      </c>
      <c r="E12" s="205">
        <v>3.3051999999999998E-2</v>
      </c>
      <c r="F12" s="29"/>
      <c r="G12" s="29"/>
      <c r="H12" s="29"/>
      <c r="I12" s="29"/>
      <c r="J12" s="29"/>
      <c r="K12" s="29"/>
      <c r="L12" s="29"/>
      <c r="M12" s="29"/>
      <c r="N12" s="29"/>
      <c r="O12" s="29"/>
      <c r="P12" s="29"/>
      <c r="Q12" s="29"/>
      <c r="R12" s="29"/>
      <c r="S12" s="29"/>
      <c r="T12" s="22"/>
      <c r="W12" s="61" t="s">
        <v>125</v>
      </c>
      <c r="X12" s="62">
        <v>5.2588999999999997E-2</v>
      </c>
    </row>
    <row r="13" spans="1:24" ht="15" customHeight="1" x14ac:dyDescent="0.25">
      <c r="B13" s="79"/>
      <c r="C13" s="188" t="s">
        <v>298</v>
      </c>
      <c r="D13" s="197" t="s">
        <v>4</v>
      </c>
      <c r="E13" s="205">
        <v>3.1871999999999998E-2</v>
      </c>
      <c r="F13" s="29"/>
      <c r="G13" s="29"/>
      <c r="H13" s="29"/>
      <c r="I13" s="29"/>
      <c r="J13" s="29"/>
      <c r="K13" s="29"/>
      <c r="L13" s="29"/>
      <c r="M13" s="29"/>
      <c r="N13" s="29"/>
      <c r="O13" s="29"/>
      <c r="P13" s="29"/>
      <c r="Q13" s="29"/>
      <c r="R13" s="29"/>
      <c r="S13" s="29"/>
      <c r="T13" s="22"/>
      <c r="W13" s="61" t="s">
        <v>12</v>
      </c>
      <c r="X13" s="62">
        <v>4.8008000000000002E-2</v>
      </c>
    </row>
    <row r="14" spans="1:24" ht="15" customHeight="1" x14ac:dyDescent="0.25">
      <c r="B14" s="79"/>
      <c r="C14" s="188" t="s">
        <v>148</v>
      </c>
      <c r="D14" s="197" t="s">
        <v>23</v>
      </c>
      <c r="E14" s="205">
        <v>2.8263E-2</v>
      </c>
      <c r="F14" s="29"/>
      <c r="G14" s="29"/>
      <c r="H14" s="29"/>
      <c r="I14" s="29"/>
      <c r="J14" s="29"/>
      <c r="K14" s="29"/>
      <c r="L14" s="29"/>
      <c r="M14" s="29"/>
      <c r="N14" s="29"/>
      <c r="O14" s="29"/>
      <c r="P14" s="29"/>
      <c r="Q14" s="29"/>
      <c r="R14" s="29"/>
      <c r="S14" s="29"/>
      <c r="T14" s="22"/>
      <c r="W14" s="61" t="s">
        <v>84</v>
      </c>
      <c r="X14" s="62">
        <v>4.6397999999999995E-2</v>
      </c>
    </row>
    <row r="15" spans="1:24" ht="15" customHeight="1" x14ac:dyDescent="0.25">
      <c r="B15" s="79"/>
      <c r="C15" s="188" t="s">
        <v>70</v>
      </c>
      <c r="D15" s="197" t="s">
        <v>12</v>
      </c>
      <c r="E15" s="205">
        <v>2.8062000000000004E-2</v>
      </c>
      <c r="F15" s="29"/>
      <c r="G15" s="29"/>
      <c r="H15" s="29"/>
      <c r="I15" s="29"/>
      <c r="J15" s="29"/>
      <c r="K15" s="29"/>
      <c r="L15" s="29"/>
      <c r="M15" s="29"/>
      <c r="N15" s="29"/>
      <c r="O15" s="29"/>
      <c r="P15" s="29"/>
      <c r="Q15" s="29"/>
      <c r="R15" s="29"/>
      <c r="S15" s="29"/>
      <c r="T15" s="22"/>
      <c r="W15" s="61" t="s">
        <v>138</v>
      </c>
      <c r="X15" s="62">
        <v>4.1950000000000001E-2</v>
      </c>
    </row>
    <row r="16" spans="1:24" ht="15" customHeight="1" x14ac:dyDescent="0.25">
      <c r="B16" s="79"/>
      <c r="C16" s="188" t="s">
        <v>319</v>
      </c>
      <c r="D16" s="197" t="s">
        <v>23</v>
      </c>
      <c r="E16" s="205">
        <v>2.6162999999999999E-2</v>
      </c>
      <c r="F16" s="29"/>
      <c r="G16" s="29"/>
      <c r="H16" s="29"/>
      <c r="I16" s="29"/>
      <c r="J16" s="29"/>
      <c r="K16" s="29"/>
      <c r="L16" s="29"/>
      <c r="M16" s="29"/>
      <c r="N16" s="29"/>
      <c r="O16" s="29"/>
      <c r="P16" s="29"/>
      <c r="Q16" s="29"/>
      <c r="R16" s="29"/>
      <c r="S16" s="29"/>
      <c r="T16" s="22"/>
      <c r="W16" s="61" t="s">
        <v>6</v>
      </c>
      <c r="X16" s="62">
        <v>4.0481000000000003E-2</v>
      </c>
    </row>
    <row r="17" spans="2:24" ht="15" customHeight="1" x14ac:dyDescent="0.25">
      <c r="B17" s="79"/>
      <c r="C17" s="188" t="s">
        <v>279</v>
      </c>
      <c r="D17" s="197" t="s">
        <v>23</v>
      </c>
      <c r="E17" s="205">
        <v>2.5902999999999999E-2</v>
      </c>
      <c r="F17" s="29"/>
      <c r="G17" s="29"/>
      <c r="H17" s="29"/>
      <c r="I17" s="29"/>
      <c r="J17" s="29"/>
      <c r="K17" s="29"/>
      <c r="L17" s="29"/>
      <c r="M17" s="29"/>
      <c r="N17" s="29"/>
      <c r="O17" s="29"/>
      <c r="P17" s="29"/>
      <c r="Q17" s="29"/>
      <c r="R17" s="29"/>
      <c r="S17" s="29"/>
      <c r="T17" s="22"/>
      <c r="W17" s="61" t="s">
        <v>111</v>
      </c>
      <c r="X17" s="62">
        <v>3.6664000000000002E-2</v>
      </c>
    </row>
    <row r="18" spans="2:24" ht="15" customHeight="1" x14ac:dyDescent="0.25">
      <c r="B18" s="79"/>
      <c r="C18" s="188" t="s">
        <v>64</v>
      </c>
      <c r="D18" s="197" t="s">
        <v>84</v>
      </c>
      <c r="E18" s="205">
        <v>2.4128E-2</v>
      </c>
      <c r="F18" s="29"/>
      <c r="G18" s="29"/>
      <c r="H18" s="29"/>
      <c r="I18" s="29"/>
      <c r="J18" s="29"/>
      <c r="K18" s="29"/>
      <c r="L18" s="29"/>
      <c r="M18" s="29"/>
      <c r="N18" s="29"/>
      <c r="O18" s="29"/>
      <c r="P18" s="29"/>
      <c r="Q18" s="29"/>
      <c r="R18" s="29"/>
      <c r="S18" s="29"/>
      <c r="T18" s="22"/>
      <c r="W18" s="61" t="s">
        <v>131</v>
      </c>
      <c r="X18" s="62">
        <v>3.3051999999999998E-2</v>
      </c>
    </row>
    <row r="19" spans="2:24" ht="15" customHeight="1" x14ac:dyDescent="0.25">
      <c r="B19" s="79"/>
      <c r="C19" s="188" t="s">
        <v>272</v>
      </c>
      <c r="D19" s="197" t="s">
        <v>23</v>
      </c>
      <c r="E19" s="205">
        <v>2.3207999999999999E-2</v>
      </c>
      <c r="F19" s="29"/>
      <c r="G19" s="29"/>
      <c r="H19" s="29"/>
      <c r="I19" s="29"/>
      <c r="J19" s="29"/>
      <c r="K19" s="29"/>
      <c r="L19" s="29"/>
      <c r="M19" s="29"/>
      <c r="N19" s="29"/>
      <c r="O19" s="29"/>
      <c r="P19" s="29"/>
      <c r="Q19" s="29"/>
      <c r="R19" s="29"/>
      <c r="S19" s="29"/>
      <c r="T19" s="22"/>
      <c r="W19" s="61" t="s">
        <v>4</v>
      </c>
      <c r="X19" s="62">
        <v>3.1871999999999998E-2</v>
      </c>
    </row>
    <row r="20" spans="2:24" ht="15" customHeight="1" x14ac:dyDescent="0.25">
      <c r="B20" s="79"/>
      <c r="C20" s="188" t="s">
        <v>334</v>
      </c>
      <c r="D20" s="197" t="s">
        <v>125</v>
      </c>
      <c r="E20" s="205">
        <v>2.1703E-2</v>
      </c>
      <c r="F20" s="29"/>
      <c r="G20" s="29"/>
      <c r="H20" s="29"/>
      <c r="I20" s="29"/>
      <c r="J20" s="29"/>
      <c r="K20" s="29"/>
      <c r="L20" s="29"/>
      <c r="M20" s="29"/>
      <c r="N20" s="29"/>
      <c r="O20" s="29"/>
      <c r="P20" s="29"/>
      <c r="Q20" s="29"/>
      <c r="R20" s="29"/>
      <c r="S20" s="29"/>
      <c r="T20" s="22"/>
      <c r="W20" s="61" t="s">
        <v>88</v>
      </c>
      <c r="X20" s="62">
        <v>3.1565999999999997E-2</v>
      </c>
    </row>
    <row r="21" spans="2:24" ht="15" customHeight="1" x14ac:dyDescent="0.25">
      <c r="B21" s="79"/>
      <c r="C21" s="188" t="s">
        <v>62</v>
      </c>
      <c r="D21" s="197" t="s">
        <v>10</v>
      </c>
      <c r="E21" s="205">
        <v>2.1517999999999999E-2</v>
      </c>
      <c r="F21" s="29"/>
      <c r="G21" s="29"/>
      <c r="H21" s="29"/>
      <c r="I21" s="29"/>
      <c r="J21" s="29"/>
      <c r="K21" s="29"/>
      <c r="L21" s="29"/>
      <c r="M21" s="29"/>
      <c r="N21" s="29"/>
      <c r="O21" s="29"/>
      <c r="P21" s="29"/>
      <c r="Q21" s="29"/>
      <c r="R21" s="29"/>
      <c r="S21" s="29"/>
      <c r="T21" s="22"/>
      <c r="W21" s="61" t="s">
        <v>25</v>
      </c>
      <c r="X21" s="62">
        <v>2.8922E-2</v>
      </c>
    </row>
    <row r="22" spans="2:24" ht="15" customHeight="1" x14ac:dyDescent="0.25">
      <c r="B22" s="79"/>
      <c r="C22" s="188" t="s">
        <v>130</v>
      </c>
      <c r="D22" s="197" t="s">
        <v>88</v>
      </c>
      <c r="E22" s="205">
        <v>2.1416000000000001E-2</v>
      </c>
      <c r="F22" s="29"/>
      <c r="G22" s="29"/>
      <c r="H22" s="29"/>
      <c r="I22" s="29"/>
      <c r="J22" s="29"/>
      <c r="K22" s="29"/>
      <c r="L22" s="29"/>
      <c r="M22" s="29"/>
      <c r="N22" s="29"/>
      <c r="O22" s="29"/>
      <c r="P22" s="29"/>
      <c r="Q22" s="29"/>
      <c r="R22" s="29"/>
      <c r="S22" s="29"/>
      <c r="T22" s="22"/>
      <c r="W22" s="56" t="s">
        <v>11</v>
      </c>
      <c r="X22" s="57">
        <v>2.5754000000000003E-2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56" t="s">
        <v>124</v>
      </c>
      <c r="X23" s="57">
        <v>1.8442E-2</v>
      </c>
    </row>
    <row r="24" spans="2:24" ht="15" customHeight="1" x14ac:dyDescent="0.25">
      <c r="B24" s="79"/>
      <c r="C24" s="73" t="s">
        <v>55</v>
      </c>
      <c r="D24" s="74"/>
      <c r="E24" s="75">
        <f>SUM(E8:E22)</f>
        <v>0.43609700000000001</v>
      </c>
      <c r="F24" s="29"/>
      <c r="G24" s="29"/>
      <c r="H24" s="29"/>
      <c r="I24" s="29"/>
      <c r="J24" s="29"/>
      <c r="K24" s="29"/>
      <c r="L24" s="29"/>
      <c r="M24" s="29"/>
      <c r="N24" s="29"/>
      <c r="O24" s="29"/>
      <c r="P24" s="29"/>
      <c r="Q24" s="29"/>
      <c r="R24" s="29"/>
      <c r="S24" s="29"/>
      <c r="T24" s="22"/>
      <c r="W24" s="56" t="s">
        <v>117</v>
      </c>
      <c r="X24" s="57">
        <v>1.5443999999999999E-2</v>
      </c>
    </row>
    <row r="25" spans="2:24" ht="15" customHeight="1" x14ac:dyDescent="0.25">
      <c r="B25" s="79"/>
      <c r="F25" s="29"/>
      <c r="G25" s="29"/>
      <c r="H25" s="29"/>
      <c r="I25" s="29"/>
      <c r="J25" s="29"/>
      <c r="K25" s="29"/>
      <c r="L25" s="29"/>
      <c r="M25" s="29"/>
      <c r="N25" s="29"/>
      <c r="O25" s="29"/>
      <c r="P25" s="29"/>
      <c r="Q25" s="29"/>
      <c r="R25" s="29"/>
      <c r="S25" s="29"/>
      <c r="T25" s="22"/>
      <c r="W25" s="56" t="s">
        <v>78</v>
      </c>
      <c r="X25" s="57">
        <v>1.5128000000000001E-2</v>
      </c>
    </row>
    <row r="26" spans="2:24" ht="15" customHeight="1" x14ac:dyDescent="0.25">
      <c r="B26" s="79"/>
      <c r="F26" s="29"/>
      <c r="G26" s="29"/>
      <c r="H26" s="29"/>
      <c r="I26" s="29"/>
      <c r="J26" s="29"/>
      <c r="K26" s="29"/>
      <c r="L26" s="29"/>
      <c r="M26" s="29"/>
      <c r="N26" s="29"/>
      <c r="O26" s="29"/>
      <c r="P26" s="29"/>
      <c r="Q26" s="29"/>
      <c r="R26" s="29"/>
      <c r="S26" s="29"/>
      <c r="T26" s="22"/>
      <c r="W26" s="56" t="s">
        <v>134</v>
      </c>
      <c r="X26" s="57">
        <v>5.7829999999999999E-3</v>
      </c>
    </row>
    <row r="27" spans="2:24" ht="15" customHeight="1" x14ac:dyDescent="0.25">
      <c r="B27" s="79"/>
      <c r="F27" s="29"/>
      <c r="G27" s="29"/>
      <c r="H27" s="29"/>
      <c r="I27" s="29"/>
      <c r="J27" s="29"/>
      <c r="K27" s="29"/>
      <c r="L27" s="29"/>
      <c r="M27" s="29"/>
      <c r="N27" s="29"/>
      <c r="O27" s="29"/>
      <c r="P27" s="29"/>
      <c r="Q27" s="29"/>
      <c r="R27" s="29"/>
      <c r="S27" s="29"/>
      <c r="T27" s="22"/>
      <c r="W27" s="154" t="s">
        <v>15</v>
      </c>
      <c r="X27" s="155">
        <v>5.6039999999999996E-3</v>
      </c>
    </row>
    <row r="28" spans="2:24" ht="15" customHeight="1" x14ac:dyDescent="0.25">
      <c r="B28" s="79"/>
      <c r="F28" s="29"/>
      <c r="G28" s="29"/>
      <c r="H28" s="29"/>
      <c r="I28" s="29"/>
      <c r="J28" s="29"/>
      <c r="K28" s="29"/>
      <c r="L28" s="29"/>
      <c r="M28" s="29"/>
      <c r="N28" s="29"/>
      <c r="O28" s="29"/>
      <c r="P28" s="29"/>
      <c r="Q28" s="29"/>
      <c r="R28" s="29"/>
      <c r="S28" s="29"/>
      <c r="T28" s="22"/>
      <c r="W28" s="154" t="s">
        <v>85</v>
      </c>
      <c r="X28" s="155">
        <v>3.5349999999999999E-3</v>
      </c>
    </row>
    <row r="29" spans="2:24" ht="15" customHeight="1" x14ac:dyDescent="0.25">
      <c r="B29" s="79"/>
      <c r="F29" s="29"/>
      <c r="G29" s="29"/>
      <c r="H29" s="29"/>
      <c r="I29" s="29"/>
      <c r="J29" s="29"/>
      <c r="K29" s="29"/>
      <c r="L29" s="29"/>
      <c r="M29" s="29"/>
      <c r="N29" s="29"/>
      <c r="O29" s="29"/>
      <c r="P29" s="29"/>
      <c r="Q29" s="29"/>
      <c r="R29" s="29"/>
      <c r="S29" s="29"/>
      <c r="T29" s="22"/>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75" customHeight="1" x14ac:dyDescent="0.25">
      <c r="B32" s="79"/>
      <c r="F32" s="29"/>
      <c r="G32" s="29"/>
      <c r="H32" s="29"/>
      <c r="I32" s="29"/>
      <c r="J32" s="29"/>
      <c r="K32" s="29"/>
      <c r="L32" s="29"/>
      <c r="M32" s="29"/>
      <c r="N32" s="29"/>
      <c r="O32" s="29"/>
      <c r="P32" s="29"/>
      <c r="Q32" s="29"/>
      <c r="R32" s="29"/>
      <c r="S32" s="29"/>
      <c r="T32" s="22"/>
    </row>
    <row r="33" spans="2:20" ht="15" customHeight="1" x14ac:dyDescent="0.25">
      <c r="B33" s="79"/>
      <c r="F33" s="29"/>
      <c r="G33" s="29"/>
      <c r="H33" s="29"/>
      <c r="I33" s="29"/>
      <c r="J33" s="29"/>
      <c r="K33" s="29"/>
      <c r="L33" s="29"/>
      <c r="M33" s="29"/>
      <c r="N33" s="29"/>
      <c r="O33" s="29"/>
      <c r="P33" s="29"/>
      <c r="Q33" s="29"/>
      <c r="R33" s="29"/>
      <c r="S33" s="29"/>
      <c r="T33" s="22"/>
    </row>
    <row r="34" spans="2:20" ht="15" customHeight="1" thickBot="1" x14ac:dyDescent="0.3">
      <c r="B34" s="80"/>
      <c r="C34" s="81"/>
      <c r="D34" s="81"/>
      <c r="E34" s="81"/>
      <c r="F34" s="81"/>
      <c r="G34" s="81"/>
      <c r="H34" s="81"/>
      <c r="I34" s="81"/>
      <c r="J34" s="81"/>
      <c r="K34" s="81"/>
      <c r="L34" s="81"/>
      <c r="M34" s="81"/>
      <c r="N34" s="81"/>
      <c r="O34" s="81"/>
      <c r="P34" s="81"/>
      <c r="Q34" s="81"/>
      <c r="R34" s="81"/>
      <c r="S34" s="81"/>
      <c r="T34" s="23"/>
    </row>
    <row r="35" spans="2:20" ht="15" customHeight="1" thickBot="1" x14ac:dyDescent="0.3"/>
    <row r="36" spans="2:20" ht="15" customHeight="1" x14ac:dyDescent="0.25">
      <c r="B36" s="262" t="s">
        <v>184</v>
      </c>
      <c r="C36" s="263"/>
      <c r="D36" s="263"/>
      <c r="E36" s="263"/>
      <c r="F36" s="263"/>
      <c r="G36" s="263"/>
      <c r="H36" s="263"/>
      <c r="I36" s="263"/>
      <c r="J36" s="263"/>
      <c r="K36" s="263"/>
      <c r="L36" s="263"/>
      <c r="M36" s="263"/>
      <c r="N36" s="263"/>
      <c r="O36" s="263"/>
      <c r="P36" s="263"/>
      <c r="Q36" s="263"/>
      <c r="R36" s="264"/>
    </row>
    <row r="37" spans="2:20" ht="15" customHeight="1" x14ac:dyDescent="0.25">
      <c r="B37" s="265"/>
      <c r="C37" s="266"/>
      <c r="D37" s="266"/>
      <c r="E37" s="266"/>
      <c r="F37" s="266"/>
      <c r="G37" s="266"/>
      <c r="H37" s="266"/>
      <c r="I37" s="266"/>
      <c r="J37" s="266"/>
      <c r="K37" s="266"/>
      <c r="L37" s="266"/>
      <c r="M37" s="266"/>
      <c r="N37" s="266"/>
      <c r="O37" s="266"/>
      <c r="P37" s="266"/>
      <c r="Q37" s="266"/>
      <c r="R37" s="267"/>
    </row>
    <row r="38" spans="2:20" ht="15" customHeight="1" x14ac:dyDescent="0.25">
      <c r="B38" s="265"/>
      <c r="C38" s="266"/>
      <c r="D38" s="266"/>
      <c r="E38" s="266"/>
      <c r="F38" s="266"/>
      <c r="G38" s="266"/>
      <c r="H38" s="266"/>
      <c r="I38" s="266"/>
      <c r="J38" s="266"/>
      <c r="K38" s="266"/>
      <c r="L38" s="266"/>
      <c r="M38" s="266"/>
      <c r="N38" s="266"/>
      <c r="O38" s="266"/>
      <c r="P38" s="266"/>
      <c r="Q38" s="266"/>
      <c r="R38" s="267"/>
    </row>
    <row r="39" spans="2:20" ht="15" customHeight="1" x14ac:dyDescent="0.25">
      <c r="B39" s="265"/>
      <c r="C39" s="266"/>
      <c r="D39" s="266"/>
      <c r="E39" s="266"/>
      <c r="F39" s="266"/>
      <c r="G39" s="266"/>
      <c r="H39" s="266"/>
      <c r="I39" s="266"/>
      <c r="J39" s="266"/>
      <c r="K39" s="266"/>
      <c r="L39" s="266"/>
      <c r="M39" s="266"/>
      <c r="N39" s="266"/>
      <c r="O39" s="266"/>
      <c r="P39" s="266"/>
      <c r="Q39" s="266"/>
      <c r="R39" s="267"/>
    </row>
    <row r="40" spans="2:20" ht="15" customHeight="1" x14ac:dyDescent="0.25">
      <c r="B40" s="265"/>
      <c r="C40" s="266"/>
      <c r="D40" s="266"/>
      <c r="E40" s="266"/>
      <c r="F40" s="266"/>
      <c r="G40" s="266"/>
      <c r="H40" s="266"/>
      <c r="I40" s="266"/>
      <c r="J40" s="266"/>
      <c r="K40" s="266"/>
      <c r="L40" s="266"/>
      <c r="M40" s="266"/>
      <c r="N40" s="266"/>
      <c r="O40" s="266"/>
      <c r="P40" s="266"/>
      <c r="Q40" s="266"/>
      <c r="R40" s="267"/>
    </row>
    <row r="41" spans="2:20" ht="15" customHeight="1" x14ac:dyDescent="0.25">
      <c r="B41" s="265"/>
      <c r="C41" s="266"/>
      <c r="D41" s="266"/>
      <c r="E41" s="266"/>
      <c r="F41" s="266"/>
      <c r="G41" s="266"/>
      <c r="H41" s="266"/>
      <c r="I41" s="266"/>
      <c r="J41" s="266"/>
      <c r="K41" s="266"/>
      <c r="L41" s="266"/>
      <c r="M41" s="266"/>
      <c r="N41" s="266"/>
      <c r="O41" s="266"/>
      <c r="P41" s="266"/>
      <c r="Q41" s="266"/>
      <c r="R41" s="267"/>
    </row>
    <row r="42" spans="2:20" ht="15" customHeight="1" thickBot="1" x14ac:dyDescent="0.3">
      <c r="B42" s="268"/>
      <c r="C42" s="269"/>
      <c r="D42" s="269"/>
      <c r="E42" s="269"/>
      <c r="F42" s="269"/>
      <c r="G42" s="269"/>
      <c r="H42" s="269"/>
      <c r="I42" s="269"/>
      <c r="J42" s="269"/>
      <c r="K42" s="269"/>
      <c r="L42" s="269"/>
      <c r="M42" s="269"/>
      <c r="N42" s="269"/>
      <c r="O42" s="269"/>
      <c r="P42" s="269"/>
      <c r="Q42" s="269"/>
      <c r="R42" s="270"/>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sheetPr codeName="Sheet22"/>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271" t="s">
        <v>166</v>
      </c>
      <c r="D3" s="272"/>
      <c r="E3" s="272"/>
      <c r="F3" s="272"/>
      <c r="G3" s="272"/>
      <c r="H3" s="272"/>
      <c r="I3" s="272"/>
      <c r="J3" s="272"/>
      <c r="K3" s="272"/>
      <c r="L3" s="272"/>
      <c r="M3" s="272"/>
      <c r="N3" s="272"/>
      <c r="O3" s="272"/>
      <c r="P3" s="272"/>
      <c r="Q3" s="272"/>
      <c r="R3" s="272"/>
      <c r="S3" s="272"/>
      <c r="T3" s="65"/>
      <c r="U3" s="66"/>
    </row>
    <row r="4" spans="1:24" ht="15.75" customHeight="1" x14ac:dyDescent="0.25">
      <c r="B4" s="64"/>
      <c r="C4" s="67" t="s">
        <v>356</v>
      </c>
      <c r="D4" s="29"/>
      <c r="E4" s="29"/>
      <c r="F4" s="29"/>
      <c r="G4" s="29"/>
      <c r="H4" s="29"/>
      <c r="I4" s="29"/>
      <c r="J4" s="29"/>
      <c r="K4" s="29"/>
      <c r="L4" s="29"/>
      <c r="M4" s="29"/>
      <c r="N4" s="29"/>
      <c r="O4" s="29"/>
      <c r="P4" s="29"/>
      <c r="Q4" s="29"/>
      <c r="R4" s="29"/>
      <c r="S4" s="29"/>
      <c r="T4" s="29"/>
      <c r="U4" s="25"/>
    </row>
    <row r="5" spans="1:24" ht="18" customHeight="1" x14ac:dyDescent="0.25">
      <c r="B5" s="64"/>
      <c r="C5" s="222" t="s">
        <v>357</v>
      </c>
      <c r="D5" s="275" t="s">
        <v>368</v>
      </c>
      <c r="E5" s="275"/>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4" t="s">
        <v>97</v>
      </c>
      <c r="D8" s="195" t="s">
        <v>113</v>
      </c>
      <c r="E8" s="196">
        <v>0.103839</v>
      </c>
      <c r="F8" s="29"/>
      <c r="G8" s="29"/>
      <c r="H8" s="29"/>
      <c r="I8" s="29"/>
      <c r="J8" s="29"/>
      <c r="K8" s="29"/>
      <c r="L8" s="29"/>
      <c r="M8" s="29"/>
      <c r="N8" s="29"/>
      <c r="O8" s="29"/>
      <c r="P8" s="29"/>
      <c r="Q8" s="29"/>
      <c r="R8" s="29"/>
      <c r="S8" s="29"/>
      <c r="T8" s="29"/>
      <c r="U8" s="25"/>
      <c r="W8" s="180" t="s">
        <v>113</v>
      </c>
      <c r="X8" s="240">
        <v>0.41315400000000002</v>
      </c>
    </row>
    <row r="9" spans="1:24" ht="15.75" customHeight="1" x14ac:dyDescent="0.25">
      <c r="B9" s="64"/>
      <c r="C9" s="188" t="s">
        <v>121</v>
      </c>
      <c r="D9" s="197" t="s">
        <v>113</v>
      </c>
      <c r="E9" s="198">
        <v>0.10330400000000001</v>
      </c>
      <c r="F9" s="29"/>
      <c r="G9" s="29"/>
      <c r="H9" s="29"/>
      <c r="I9" s="29"/>
      <c r="J9" s="29"/>
      <c r="K9" s="29"/>
      <c r="L9" s="29"/>
      <c r="M9" s="29"/>
      <c r="N9" s="29"/>
      <c r="O9" s="29"/>
      <c r="P9" s="29"/>
      <c r="Q9" s="29"/>
      <c r="R9" s="29"/>
      <c r="S9" s="29"/>
      <c r="T9" s="29"/>
      <c r="U9" s="25"/>
      <c r="W9" s="180" t="s">
        <v>111</v>
      </c>
      <c r="X9" s="240">
        <v>0.287997</v>
      </c>
    </row>
    <row r="10" spans="1:24" ht="15.75" x14ac:dyDescent="0.25">
      <c r="B10" s="64"/>
      <c r="C10" s="188" t="s">
        <v>81</v>
      </c>
      <c r="D10" s="197" t="s">
        <v>113</v>
      </c>
      <c r="E10" s="198">
        <v>7.7265E-2</v>
      </c>
      <c r="F10" s="29"/>
      <c r="G10" s="29"/>
      <c r="H10" s="29"/>
      <c r="I10" s="29"/>
      <c r="J10" s="29"/>
      <c r="K10" s="29"/>
      <c r="L10" s="29"/>
      <c r="M10" s="29"/>
      <c r="N10" s="29"/>
      <c r="O10" s="29"/>
      <c r="P10" s="29"/>
      <c r="Q10" s="29"/>
      <c r="R10" s="29"/>
      <c r="S10" s="29"/>
      <c r="T10" s="29"/>
      <c r="U10" s="25"/>
      <c r="W10" s="180" t="s">
        <v>125</v>
      </c>
      <c r="X10" s="240">
        <v>0.11476600000000001</v>
      </c>
    </row>
    <row r="11" spans="1:24" ht="15.75" customHeight="1" x14ac:dyDescent="0.25">
      <c r="B11" s="64"/>
      <c r="C11" s="188" t="s">
        <v>145</v>
      </c>
      <c r="D11" s="197" t="s">
        <v>113</v>
      </c>
      <c r="E11" s="198">
        <v>5.7202000000000003E-2</v>
      </c>
      <c r="F11" s="29"/>
      <c r="G11" s="29"/>
      <c r="H11" s="29"/>
      <c r="I11" s="29"/>
      <c r="J11" s="29"/>
      <c r="K11" s="29"/>
      <c r="L11" s="29"/>
      <c r="M11" s="29"/>
      <c r="N11" s="29"/>
      <c r="O11" s="29"/>
      <c r="P11" s="29"/>
      <c r="Q11" s="29"/>
      <c r="R11" s="29"/>
      <c r="S11" s="29"/>
      <c r="T11" s="29"/>
      <c r="U11" s="25"/>
      <c r="W11" s="180" t="s">
        <v>4</v>
      </c>
      <c r="X11" s="240">
        <v>4.0390999999999996E-2</v>
      </c>
    </row>
    <row r="12" spans="1:24" ht="15" customHeight="1" x14ac:dyDescent="0.25">
      <c r="B12" s="64"/>
      <c r="C12" s="188" t="s">
        <v>110</v>
      </c>
      <c r="D12" s="197" t="s">
        <v>111</v>
      </c>
      <c r="E12" s="198">
        <v>5.6594999999999999E-2</v>
      </c>
      <c r="F12" s="29"/>
      <c r="G12" s="29"/>
      <c r="H12" s="29"/>
      <c r="I12" s="29"/>
      <c r="J12" s="29"/>
      <c r="K12" s="29"/>
      <c r="L12" s="29"/>
      <c r="M12" s="29"/>
      <c r="N12" s="29"/>
      <c r="O12" s="29"/>
      <c r="P12" s="29"/>
      <c r="Q12" s="29"/>
      <c r="R12" s="29"/>
      <c r="S12" s="29"/>
      <c r="T12" s="29"/>
      <c r="U12" s="25"/>
      <c r="W12" s="180" t="s">
        <v>26</v>
      </c>
      <c r="X12" s="240">
        <v>2.2806E-2</v>
      </c>
    </row>
    <row r="13" spans="1:24" ht="15" customHeight="1" x14ac:dyDescent="0.25">
      <c r="B13" s="64"/>
      <c r="C13" s="188" t="s">
        <v>231</v>
      </c>
      <c r="D13" s="197" t="s">
        <v>113</v>
      </c>
      <c r="E13" s="198">
        <v>3.3554E-2</v>
      </c>
      <c r="F13" s="29"/>
      <c r="G13" s="29"/>
      <c r="H13" s="29"/>
      <c r="I13" s="29"/>
      <c r="J13" s="29"/>
      <c r="K13" s="29"/>
      <c r="L13" s="29"/>
      <c r="M13" s="29"/>
      <c r="N13" s="29"/>
      <c r="O13" s="29"/>
      <c r="P13" s="29"/>
      <c r="Q13" s="29"/>
      <c r="R13" s="29"/>
      <c r="S13" s="29"/>
      <c r="T13" s="29"/>
      <c r="U13" s="25"/>
      <c r="W13" s="61" t="s">
        <v>128</v>
      </c>
      <c r="X13" s="62">
        <v>2.1373E-2</v>
      </c>
    </row>
    <row r="14" spans="1:24" ht="15" customHeight="1" x14ac:dyDescent="0.25">
      <c r="B14" s="64"/>
      <c r="C14" s="188" t="s">
        <v>146</v>
      </c>
      <c r="D14" s="197" t="s">
        <v>125</v>
      </c>
      <c r="E14" s="198">
        <v>3.1960000000000002E-2</v>
      </c>
      <c r="F14" s="29"/>
      <c r="G14" s="29"/>
      <c r="H14" s="29"/>
      <c r="I14" s="29"/>
      <c r="J14" s="29"/>
      <c r="K14" s="29"/>
      <c r="L14" s="29"/>
      <c r="M14" s="29"/>
      <c r="N14" s="29"/>
      <c r="O14" s="29"/>
      <c r="P14" s="29"/>
      <c r="Q14" s="29"/>
      <c r="R14" s="29"/>
      <c r="S14" s="29"/>
      <c r="T14" s="29"/>
      <c r="U14" s="25"/>
      <c r="W14" s="61" t="s">
        <v>85</v>
      </c>
      <c r="X14" s="62">
        <v>1.5365E-2</v>
      </c>
    </row>
    <row r="15" spans="1:24" ht="15" customHeight="1" x14ac:dyDescent="0.25">
      <c r="B15" s="64"/>
      <c r="C15" s="188" t="s">
        <v>144</v>
      </c>
      <c r="D15" s="197" t="s">
        <v>113</v>
      </c>
      <c r="E15" s="198">
        <v>2.8846E-2</v>
      </c>
      <c r="F15" s="29"/>
      <c r="G15" s="29"/>
      <c r="H15" s="29"/>
      <c r="I15" s="29"/>
      <c r="J15" s="29"/>
      <c r="K15" s="29"/>
      <c r="L15" s="29"/>
      <c r="M15" s="29"/>
      <c r="N15" s="29"/>
      <c r="O15" s="29"/>
      <c r="P15" s="29"/>
      <c r="Q15" s="29"/>
      <c r="R15" s="29"/>
      <c r="S15" s="29"/>
      <c r="T15" s="29"/>
      <c r="U15" s="25"/>
      <c r="W15" s="61" t="s">
        <v>24</v>
      </c>
      <c r="X15" s="62">
        <v>1.2702E-2</v>
      </c>
    </row>
    <row r="16" spans="1:24" ht="15" customHeight="1" x14ac:dyDescent="0.25">
      <c r="B16" s="64"/>
      <c r="C16" s="188" t="s">
        <v>299</v>
      </c>
      <c r="D16" s="197" t="s">
        <v>4</v>
      </c>
      <c r="E16" s="198">
        <v>2.3678000000000001E-2</v>
      </c>
      <c r="F16" s="29"/>
      <c r="G16" s="29"/>
      <c r="H16" s="29"/>
      <c r="I16" s="29"/>
      <c r="J16" s="29"/>
      <c r="K16" s="29"/>
      <c r="L16" s="29"/>
      <c r="M16" s="29"/>
      <c r="N16" s="29"/>
      <c r="O16" s="29"/>
      <c r="P16" s="29"/>
      <c r="Q16" s="29"/>
      <c r="R16" s="29"/>
      <c r="S16" s="29"/>
      <c r="T16" s="29"/>
      <c r="U16" s="25"/>
      <c r="W16" s="61" t="s">
        <v>16</v>
      </c>
      <c r="X16" s="62">
        <v>1.1176999999999999E-2</v>
      </c>
    </row>
    <row r="17" spans="2:24" ht="15" customHeight="1" x14ac:dyDescent="0.25">
      <c r="B17" s="64"/>
      <c r="C17" s="188" t="s">
        <v>335</v>
      </c>
      <c r="D17" s="197" t="s">
        <v>111</v>
      </c>
      <c r="E17" s="198">
        <v>2.3116999999999999E-2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8" t="s">
        <v>230</v>
      </c>
      <c r="D18" s="197" t="s">
        <v>26</v>
      </c>
      <c r="E18" s="198">
        <v>2.2806E-2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8" t="s">
        <v>208</v>
      </c>
      <c r="D19" s="197" t="s">
        <v>111</v>
      </c>
      <c r="E19" s="198">
        <v>2.2645999999999999E-2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8" t="s">
        <v>336</v>
      </c>
      <c r="D20" s="197" t="s">
        <v>128</v>
      </c>
      <c r="E20" s="198">
        <v>2.1373E-2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8" t="s">
        <v>337</v>
      </c>
      <c r="D21" s="197" t="s">
        <v>111</v>
      </c>
      <c r="E21" s="198">
        <v>2.1167999999999999E-2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8" t="s">
        <v>276</v>
      </c>
      <c r="D22" s="197" t="s">
        <v>125</v>
      </c>
      <c r="E22" s="198">
        <v>2.0036000000000002E-2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0.6473890000000001</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262" t="s">
        <v>184</v>
      </c>
      <c r="C39" s="263"/>
      <c r="D39" s="263"/>
      <c r="E39" s="263"/>
      <c r="F39" s="263"/>
      <c r="G39" s="263"/>
      <c r="H39" s="263"/>
      <c r="I39" s="263"/>
      <c r="J39" s="263"/>
      <c r="K39" s="263"/>
      <c r="L39" s="263"/>
      <c r="M39" s="263"/>
      <c r="N39" s="263"/>
      <c r="O39" s="263"/>
      <c r="P39" s="263"/>
      <c r="Q39" s="263"/>
      <c r="R39" s="264"/>
      <c r="W39" s="61"/>
      <c r="X39" s="62"/>
    </row>
    <row r="40" spans="2:24" ht="15" customHeight="1" x14ac:dyDescent="0.25">
      <c r="B40" s="265"/>
      <c r="C40" s="266"/>
      <c r="D40" s="266"/>
      <c r="E40" s="266"/>
      <c r="F40" s="266"/>
      <c r="G40" s="266"/>
      <c r="H40" s="266"/>
      <c r="I40" s="266"/>
      <c r="J40" s="266"/>
      <c r="K40" s="266"/>
      <c r="L40" s="266"/>
      <c r="M40" s="266"/>
      <c r="N40" s="266"/>
      <c r="O40" s="266"/>
      <c r="P40" s="266"/>
      <c r="Q40" s="266"/>
      <c r="R40" s="267"/>
      <c r="W40" s="61"/>
      <c r="X40" s="62"/>
    </row>
    <row r="41" spans="2:24" ht="15" customHeight="1" x14ac:dyDescent="0.25">
      <c r="B41" s="265"/>
      <c r="C41" s="266"/>
      <c r="D41" s="266"/>
      <c r="E41" s="266"/>
      <c r="F41" s="266"/>
      <c r="G41" s="266"/>
      <c r="H41" s="266"/>
      <c r="I41" s="266"/>
      <c r="J41" s="266"/>
      <c r="K41" s="266"/>
      <c r="L41" s="266"/>
      <c r="M41" s="266"/>
      <c r="N41" s="266"/>
      <c r="O41" s="266"/>
      <c r="P41" s="266"/>
      <c r="Q41" s="266"/>
      <c r="R41" s="267"/>
      <c r="W41" s="61"/>
      <c r="X41" s="62"/>
    </row>
    <row r="42" spans="2:24" ht="15" customHeight="1" x14ac:dyDescent="0.25">
      <c r="B42" s="265"/>
      <c r="C42" s="266"/>
      <c r="D42" s="266"/>
      <c r="E42" s="266"/>
      <c r="F42" s="266"/>
      <c r="G42" s="266"/>
      <c r="H42" s="266"/>
      <c r="I42" s="266"/>
      <c r="J42" s="266"/>
      <c r="K42" s="266"/>
      <c r="L42" s="266"/>
      <c r="M42" s="266"/>
      <c r="N42" s="266"/>
      <c r="O42" s="266"/>
      <c r="P42" s="266"/>
      <c r="Q42" s="266"/>
      <c r="R42" s="267"/>
      <c r="W42" s="61"/>
      <c r="X42" s="62"/>
    </row>
    <row r="43" spans="2:24" ht="15" customHeight="1" x14ac:dyDescent="0.25">
      <c r="B43" s="265"/>
      <c r="C43" s="266"/>
      <c r="D43" s="266"/>
      <c r="E43" s="266"/>
      <c r="F43" s="266"/>
      <c r="G43" s="266"/>
      <c r="H43" s="266"/>
      <c r="I43" s="266"/>
      <c r="J43" s="266"/>
      <c r="K43" s="266"/>
      <c r="L43" s="266"/>
      <c r="M43" s="266"/>
      <c r="N43" s="266"/>
      <c r="O43" s="266"/>
      <c r="P43" s="266"/>
      <c r="Q43" s="266"/>
      <c r="R43" s="267"/>
    </row>
    <row r="44" spans="2:24" ht="15" customHeight="1" x14ac:dyDescent="0.25">
      <c r="B44" s="265"/>
      <c r="C44" s="266"/>
      <c r="D44" s="266"/>
      <c r="E44" s="266"/>
      <c r="F44" s="266"/>
      <c r="G44" s="266"/>
      <c r="H44" s="266"/>
      <c r="I44" s="266"/>
      <c r="J44" s="266"/>
      <c r="K44" s="266"/>
      <c r="L44" s="266"/>
      <c r="M44" s="266"/>
      <c r="N44" s="266"/>
      <c r="O44" s="266"/>
      <c r="P44" s="266"/>
      <c r="Q44" s="266"/>
      <c r="R44" s="267"/>
    </row>
    <row r="45" spans="2:24" ht="27.75" customHeight="1" thickBot="1" x14ac:dyDescent="0.3">
      <c r="B45" s="268"/>
      <c r="C45" s="269"/>
      <c r="D45" s="269"/>
      <c r="E45" s="269"/>
      <c r="F45" s="269"/>
      <c r="G45" s="269"/>
      <c r="H45" s="269"/>
      <c r="I45" s="269"/>
      <c r="J45" s="269"/>
      <c r="K45" s="269"/>
      <c r="L45" s="269"/>
      <c r="M45" s="269"/>
      <c r="N45" s="269"/>
      <c r="O45" s="269"/>
      <c r="P45" s="269"/>
      <c r="Q45" s="269"/>
      <c r="R45" s="27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sheetPr codeName="Sheet23"/>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271" t="s">
        <v>186</v>
      </c>
      <c r="D3" s="272"/>
      <c r="E3" s="272"/>
      <c r="F3" s="272"/>
      <c r="G3" s="272"/>
      <c r="H3" s="272"/>
      <c r="I3" s="272"/>
      <c r="J3" s="272"/>
      <c r="K3" s="272"/>
      <c r="L3" s="272"/>
      <c r="M3" s="272"/>
      <c r="N3" s="272"/>
      <c r="O3" s="272"/>
      <c r="P3" s="272"/>
      <c r="Q3" s="272"/>
      <c r="R3" s="272"/>
      <c r="S3" s="272"/>
      <c r="T3" s="65"/>
      <c r="U3" s="66"/>
    </row>
    <row r="4" spans="1:24" ht="15.75" customHeight="1" x14ac:dyDescent="0.25">
      <c r="B4" s="64"/>
      <c r="C4" s="67" t="s">
        <v>356</v>
      </c>
      <c r="D4" s="29"/>
      <c r="E4" s="29"/>
      <c r="F4" s="29"/>
      <c r="G4" s="29"/>
      <c r="H4" s="29"/>
      <c r="I4" s="29"/>
      <c r="J4" s="29"/>
      <c r="K4" s="29"/>
      <c r="L4" s="29"/>
      <c r="M4" s="29"/>
      <c r="N4" s="29"/>
      <c r="O4" s="29"/>
      <c r="P4" s="29"/>
      <c r="Q4" s="29"/>
      <c r="R4" s="29"/>
      <c r="S4" s="29"/>
      <c r="T4" s="29"/>
      <c r="U4" s="25"/>
    </row>
    <row r="5" spans="1:24" ht="18" customHeight="1" x14ac:dyDescent="0.25">
      <c r="B5" s="64"/>
      <c r="C5" s="222" t="s">
        <v>357</v>
      </c>
      <c r="D5" s="275" t="s">
        <v>369</v>
      </c>
      <c r="E5" s="275"/>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4" t="s">
        <v>32</v>
      </c>
      <c r="D8" s="195" t="s">
        <v>3</v>
      </c>
      <c r="E8" s="196">
        <v>0.142347</v>
      </c>
      <c r="F8" s="29"/>
      <c r="G8" s="29"/>
      <c r="H8" s="29"/>
      <c r="I8" s="29"/>
      <c r="J8" s="29"/>
      <c r="K8" s="29"/>
      <c r="L8" s="29"/>
      <c r="M8" s="29"/>
      <c r="N8" s="29"/>
      <c r="O8" s="29"/>
      <c r="P8" s="29"/>
      <c r="Q8" s="29"/>
      <c r="R8" s="29"/>
      <c r="S8" s="29"/>
      <c r="T8" s="29"/>
      <c r="U8" s="25"/>
      <c r="W8" s="180" t="s">
        <v>3</v>
      </c>
      <c r="X8" s="179">
        <v>0.46461600000000003</v>
      </c>
    </row>
    <row r="9" spans="1:24" ht="15.75" customHeight="1" x14ac:dyDescent="0.25">
      <c r="B9" s="64"/>
      <c r="C9" s="188" t="s">
        <v>29</v>
      </c>
      <c r="D9" s="197" t="s">
        <v>3</v>
      </c>
      <c r="E9" s="198">
        <v>0.14141400000000001</v>
      </c>
      <c r="F9" s="29"/>
      <c r="G9" s="29"/>
      <c r="H9" s="29"/>
      <c r="I9" s="29"/>
      <c r="J9" s="29"/>
      <c r="K9" s="29"/>
      <c r="L9" s="29"/>
      <c r="M9" s="29"/>
      <c r="N9" s="29"/>
      <c r="O9" s="29"/>
      <c r="P9" s="29"/>
      <c r="Q9" s="29"/>
      <c r="R9" s="29"/>
      <c r="S9" s="29"/>
      <c r="T9" s="29"/>
      <c r="U9" s="25"/>
      <c r="W9" s="180" t="s">
        <v>4</v>
      </c>
      <c r="X9" s="179">
        <v>0.29258499999999998</v>
      </c>
    </row>
    <row r="10" spans="1:24" ht="15.75" x14ac:dyDescent="0.25">
      <c r="B10" s="64"/>
      <c r="C10" s="188" t="s">
        <v>36</v>
      </c>
      <c r="D10" s="197" t="s">
        <v>3</v>
      </c>
      <c r="E10" s="198">
        <v>9.1007000000000005E-2</v>
      </c>
      <c r="F10" s="29"/>
      <c r="G10" s="29"/>
      <c r="H10" s="29"/>
      <c r="I10" s="29"/>
      <c r="J10" s="29"/>
      <c r="K10" s="29"/>
      <c r="L10" s="29"/>
      <c r="M10" s="29"/>
      <c r="N10" s="29"/>
      <c r="O10" s="29"/>
      <c r="P10" s="29"/>
      <c r="Q10" s="29"/>
      <c r="R10" s="29"/>
      <c r="S10" s="29"/>
      <c r="T10" s="29"/>
      <c r="U10" s="25"/>
      <c r="W10" s="180" t="s">
        <v>86</v>
      </c>
      <c r="X10" s="179">
        <v>9.7370000000000012E-2</v>
      </c>
    </row>
    <row r="11" spans="1:24" ht="15.75" customHeight="1" x14ac:dyDescent="0.25">
      <c r="B11" s="64"/>
      <c r="C11" s="188" t="s">
        <v>35</v>
      </c>
      <c r="D11" s="197" t="s">
        <v>3</v>
      </c>
      <c r="E11" s="198">
        <v>5.4781000000000003E-2</v>
      </c>
      <c r="F11" s="29"/>
      <c r="G11" s="29"/>
      <c r="H11" s="29"/>
      <c r="I11" s="29"/>
      <c r="J11" s="29"/>
      <c r="K11" s="29"/>
      <c r="L11" s="29"/>
      <c r="M11" s="29"/>
      <c r="N11" s="29"/>
      <c r="O11" s="29"/>
      <c r="P11" s="29"/>
      <c r="Q11" s="29"/>
      <c r="R11" s="29"/>
      <c r="S11" s="29"/>
      <c r="T11" s="29"/>
      <c r="U11" s="25"/>
      <c r="W11" s="180" t="s">
        <v>87</v>
      </c>
      <c r="X11" s="179">
        <v>8.7799000000000002E-2</v>
      </c>
    </row>
    <row r="12" spans="1:24" ht="15" customHeight="1" x14ac:dyDescent="0.25">
      <c r="B12" s="64"/>
      <c r="C12" s="188" t="s">
        <v>106</v>
      </c>
      <c r="D12" s="197" t="s">
        <v>4</v>
      </c>
      <c r="E12" s="198">
        <v>4.1894000000000001E-2</v>
      </c>
      <c r="F12" s="29"/>
      <c r="G12" s="29"/>
      <c r="H12" s="29"/>
      <c r="I12" s="29"/>
      <c r="J12" s="29"/>
      <c r="K12" s="29"/>
      <c r="L12" s="29"/>
      <c r="M12" s="29"/>
      <c r="N12" s="29"/>
      <c r="O12" s="29"/>
      <c r="P12" s="29"/>
      <c r="Q12" s="29"/>
      <c r="R12" s="29"/>
      <c r="S12" s="29"/>
      <c r="T12" s="29"/>
      <c r="U12" s="25"/>
      <c r="W12" s="180" t="s">
        <v>187</v>
      </c>
      <c r="X12" s="179">
        <v>3.7464999999999998E-2</v>
      </c>
    </row>
    <row r="13" spans="1:24" ht="15" customHeight="1" x14ac:dyDescent="0.25">
      <c r="B13" s="64"/>
      <c r="C13" s="188" t="s">
        <v>210</v>
      </c>
      <c r="D13" s="197" t="s">
        <v>4</v>
      </c>
      <c r="E13" s="198">
        <v>3.3001999999999997E-2</v>
      </c>
      <c r="F13" s="29"/>
      <c r="G13" s="29"/>
      <c r="H13" s="29"/>
      <c r="I13" s="29"/>
      <c r="J13" s="29"/>
      <c r="K13" s="29"/>
      <c r="L13" s="29"/>
      <c r="M13" s="29"/>
      <c r="N13" s="29"/>
      <c r="O13" s="29"/>
      <c r="P13" s="29"/>
      <c r="Q13" s="29"/>
      <c r="R13" s="29"/>
      <c r="S13" s="29"/>
      <c r="T13" s="29"/>
      <c r="U13" s="25"/>
      <c r="W13" s="61"/>
      <c r="X13" s="62"/>
    </row>
    <row r="14" spans="1:24" ht="15" customHeight="1" x14ac:dyDescent="0.25">
      <c r="B14" s="64"/>
      <c r="C14" s="188" t="s">
        <v>245</v>
      </c>
      <c r="D14" s="197" t="s">
        <v>4</v>
      </c>
      <c r="E14" s="198">
        <v>3.2998E-2</v>
      </c>
      <c r="F14" s="29"/>
      <c r="G14" s="29"/>
      <c r="H14" s="29"/>
      <c r="I14" s="29"/>
      <c r="J14" s="29"/>
      <c r="K14" s="29"/>
      <c r="L14" s="29"/>
      <c r="M14" s="29"/>
      <c r="N14" s="29"/>
      <c r="O14" s="29"/>
      <c r="P14" s="29"/>
      <c r="Q14" s="29"/>
      <c r="R14" s="29"/>
      <c r="S14" s="29"/>
      <c r="T14" s="29"/>
      <c r="U14" s="25"/>
      <c r="W14" s="61"/>
      <c r="X14" s="62"/>
    </row>
    <row r="15" spans="1:24" ht="15" customHeight="1" x14ac:dyDescent="0.25">
      <c r="B15" s="64"/>
      <c r="C15" s="188" t="s">
        <v>232</v>
      </c>
      <c r="D15" s="197" t="s">
        <v>187</v>
      </c>
      <c r="E15" s="198">
        <v>2.2637999999999998E-2</v>
      </c>
      <c r="F15" s="29"/>
      <c r="G15" s="29"/>
      <c r="H15" s="29"/>
      <c r="I15" s="29"/>
      <c r="J15" s="29"/>
      <c r="K15" s="29"/>
      <c r="L15" s="29"/>
      <c r="M15" s="29"/>
      <c r="N15" s="29"/>
      <c r="O15" s="29"/>
      <c r="P15" s="29"/>
      <c r="Q15" s="29"/>
      <c r="R15" s="29"/>
      <c r="S15" s="29"/>
      <c r="T15" s="29"/>
      <c r="U15" s="25"/>
      <c r="W15" s="61"/>
      <c r="X15" s="62"/>
    </row>
    <row r="16" spans="1:24" ht="15" customHeight="1" x14ac:dyDescent="0.25">
      <c r="B16" s="64"/>
      <c r="C16" s="188" t="s">
        <v>251</v>
      </c>
      <c r="D16" s="197" t="s">
        <v>86</v>
      </c>
      <c r="E16" s="198">
        <v>2.0964E-2</v>
      </c>
      <c r="F16" s="29"/>
      <c r="G16" s="29"/>
      <c r="H16" s="29"/>
      <c r="I16" s="29"/>
      <c r="J16" s="29"/>
      <c r="K16" s="29"/>
      <c r="L16" s="29"/>
      <c r="M16" s="29"/>
      <c r="N16" s="29"/>
      <c r="O16" s="29"/>
      <c r="P16" s="29"/>
      <c r="Q16" s="29"/>
      <c r="R16" s="29"/>
      <c r="S16" s="29"/>
      <c r="T16" s="29"/>
      <c r="U16" s="25"/>
      <c r="W16" s="61"/>
      <c r="X16" s="62"/>
    </row>
    <row r="17" spans="2:24" ht="15" customHeight="1" x14ac:dyDescent="0.25">
      <c r="B17" s="64"/>
      <c r="C17" s="188" t="s">
        <v>273</v>
      </c>
      <c r="D17" s="197" t="s">
        <v>86</v>
      </c>
      <c r="E17" s="198">
        <v>1.9861E-2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8" t="s">
        <v>136</v>
      </c>
      <c r="D18" s="197" t="s">
        <v>3</v>
      </c>
      <c r="E18" s="198">
        <v>1.9470999999999999E-2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8" t="s">
        <v>338</v>
      </c>
      <c r="D19" s="197" t="s">
        <v>4</v>
      </c>
      <c r="E19" s="198">
        <v>1.8360999999999999E-2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8" t="s">
        <v>193</v>
      </c>
      <c r="D20" s="197" t="s">
        <v>4</v>
      </c>
      <c r="E20" s="198">
        <v>1.511E-2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8" t="s">
        <v>306</v>
      </c>
      <c r="D21" s="197" t="s">
        <v>187</v>
      </c>
      <c r="E21" s="198">
        <v>1.4827E-2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8" t="s">
        <v>256</v>
      </c>
      <c r="D22" s="197" t="s">
        <v>86</v>
      </c>
      <c r="E22" s="198">
        <v>1.3955E-2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0.68263000000000007</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262" t="s">
        <v>184</v>
      </c>
      <c r="C39" s="263"/>
      <c r="D39" s="263"/>
      <c r="E39" s="263"/>
      <c r="F39" s="263"/>
      <c r="G39" s="263"/>
      <c r="H39" s="263"/>
      <c r="I39" s="263"/>
      <c r="J39" s="263"/>
      <c r="K39" s="263"/>
      <c r="L39" s="263"/>
      <c r="M39" s="263"/>
      <c r="N39" s="263"/>
      <c r="O39" s="263"/>
      <c r="P39" s="263"/>
      <c r="Q39" s="263"/>
      <c r="R39" s="264"/>
      <c r="W39" s="61"/>
      <c r="X39" s="62"/>
    </row>
    <row r="40" spans="2:24" ht="15" customHeight="1" x14ac:dyDescent="0.25">
      <c r="B40" s="265"/>
      <c r="C40" s="266"/>
      <c r="D40" s="266"/>
      <c r="E40" s="266"/>
      <c r="F40" s="266"/>
      <c r="G40" s="266"/>
      <c r="H40" s="266"/>
      <c r="I40" s="266"/>
      <c r="J40" s="266"/>
      <c r="K40" s="266"/>
      <c r="L40" s="266"/>
      <c r="M40" s="266"/>
      <c r="N40" s="266"/>
      <c r="O40" s="266"/>
      <c r="P40" s="266"/>
      <c r="Q40" s="266"/>
      <c r="R40" s="267"/>
      <c r="W40" s="61"/>
      <c r="X40" s="62"/>
    </row>
    <row r="41" spans="2:24" ht="15" customHeight="1" x14ac:dyDescent="0.25">
      <c r="B41" s="265"/>
      <c r="C41" s="266"/>
      <c r="D41" s="266"/>
      <c r="E41" s="266"/>
      <c r="F41" s="266"/>
      <c r="G41" s="266"/>
      <c r="H41" s="266"/>
      <c r="I41" s="266"/>
      <c r="J41" s="266"/>
      <c r="K41" s="266"/>
      <c r="L41" s="266"/>
      <c r="M41" s="266"/>
      <c r="N41" s="266"/>
      <c r="O41" s="266"/>
      <c r="P41" s="266"/>
      <c r="Q41" s="266"/>
      <c r="R41" s="267"/>
      <c r="W41" s="61"/>
      <c r="X41" s="62"/>
    </row>
    <row r="42" spans="2:24" ht="15" customHeight="1" x14ac:dyDescent="0.25">
      <c r="B42" s="265"/>
      <c r="C42" s="266"/>
      <c r="D42" s="266"/>
      <c r="E42" s="266"/>
      <c r="F42" s="266"/>
      <c r="G42" s="266"/>
      <c r="H42" s="266"/>
      <c r="I42" s="266"/>
      <c r="J42" s="266"/>
      <c r="K42" s="266"/>
      <c r="L42" s="266"/>
      <c r="M42" s="266"/>
      <c r="N42" s="266"/>
      <c r="O42" s="266"/>
      <c r="P42" s="266"/>
      <c r="Q42" s="266"/>
      <c r="R42" s="267"/>
      <c r="W42" s="61"/>
      <c r="X42" s="62"/>
    </row>
    <row r="43" spans="2:24" ht="15" customHeight="1" x14ac:dyDescent="0.25">
      <c r="B43" s="265"/>
      <c r="C43" s="266"/>
      <c r="D43" s="266"/>
      <c r="E43" s="266"/>
      <c r="F43" s="266"/>
      <c r="G43" s="266"/>
      <c r="H43" s="266"/>
      <c r="I43" s="266"/>
      <c r="J43" s="266"/>
      <c r="K43" s="266"/>
      <c r="L43" s="266"/>
      <c r="M43" s="266"/>
      <c r="N43" s="266"/>
      <c r="O43" s="266"/>
      <c r="P43" s="266"/>
      <c r="Q43" s="266"/>
      <c r="R43" s="267"/>
    </row>
    <row r="44" spans="2:24" ht="15" customHeight="1" x14ac:dyDescent="0.25">
      <c r="B44" s="265"/>
      <c r="C44" s="266"/>
      <c r="D44" s="266"/>
      <c r="E44" s="266"/>
      <c r="F44" s="266"/>
      <c r="G44" s="266"/>
      <c r="H44" s="266"/>
      <c r="I44" s="266"/>
      <c r="J44" s="266"/>
      <c r="K44" s="266"/>
      <c r="L44" s="266"/>
      <c r="M44" s="266"/>
      <c r="N44" s="266"/>
      <c r="O44" s="266"/>
      <c r="P44" s="266"/>
      <c r="Q44" s="266"/>
      <c r="R44" s="267"/>
    </row>
    <row r="45" spans="2:24" ht="27.75" customHeight="1" thickBot="1" x14ac:dyDescent="0.3">
      <c r="B45" s="268"/>
      <c r="C45" s="269"/>
      <c r="D45" s="269"/>
      <c r="E45" s="269"/>
      <c r="F45" s="269"/>
      <c r="G45" s="269"/>
      <c r="H45" s="269"/>
      <c r="I45" s="269"/>
      <c r="J45" s="269"/>
      <c r="K45" s="269"/>
      <c r="L45" s="269"/>
      <c r="M45" s="269"/>
      <c r="N45" s="269"/>
      <c r="O45" s="269"/>
      <c r="P45" s="269"/>
      <c r="Q45" s="269"/>
      <c r="R45" s="27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sheetPr codeName="Sheet2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1" t="s">
        <v>260</v>
      </c>
      <c r="D3" s="272"/>
      <c r="E3" s="272"/>
      <c r="F3" s="272"/>
      <c r="G3" s="272"/>
      <c r="H3" s="272"/>
      <c r="I3" s="272"/>
      <c r="J3" s="272"/>
      <c r="K3" s="272"/>
      <c r="L3" s="272"/>
      <c r="M3" s="272"/>
      <c r="N3" s="272"/>
      <c r="O3" s="272"/>
      <c r="P3" s="272"/>
      <c r="Q3" s="272"/>
      <c r="R3" s="272"/>
      <c r="S3" s="272"/>
      <c r="T3" s="22"/>
    </row>
    <row r="4" spans="1:24" ht="15.75" customHeight="1" x14ac:dyDescent="0.25">
      <c r="B4" s="79"/>
      <c r="C4" s="67" t="s">
        <v>356</v>
      </c>
      <c r="D4" s="29"/>
      <c r="E4" s="29"/>
      <c r="F4" s="29"/>
      <c r="G4" s="29"/>
      <c r="H4" s="29"/>
      <c r="I4" s="29"/>
      <c r="J4" s="29"/>
      <c r="K4" s="29"/>
      <c r="L4" s="29"/>
      <c r="M4" s="29"/>
      <c r="N4" s="29"/>
      <c r="O4" s="29"/>
      <c r="P4" s="29"/>
      <c r="Q4" s="29"/>
      <c r="R4" s="29"/>
      <c r="S4" s="29"/>
      <c r="T4" s="22"/>
    </row>
    <row r="5" spans="1:24" ht="18" customHeight="1" x14ac:dyDescent="0.25">
      <c r="B5" s="79"/>
      <c r="C5" s="222" t="s">
        <v>357</v>
      </c>
      <c r="D5" s="273" t="s">
        <v>370</v>
      </c>
      <c r="E5" s="273"/>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8" t="s">
        <v>265</v>
      </c>
      <c r="D8" s="197" t="s">
        <v>112</v>
      </c>
      <c r="E8" s="205">
        <v>3.9109999999999999E-2</v>
      </c>
      <c r="F8" s="29">
        <v>1</v>
      </c>
      <c r="G8" s="29"/>
      <c r="H8" s="29"/>
      <c r="I8" s="29"/>
      <c r="J8" s="29"/>
      <c r="K8" s="29"/>
      <c r="L8" s="29"/>
      <c r="M8" s="29"/>
      <c r="N8" s="29"/>
      <c r="O8" s="29"/>
      <c r="P8" s="29"/>
      <c r="Q8" s="29"/>
      <c r="R8" s="29"/>
      <c r="S8" s="29"/>
      <c r="T8" s="22"/>
      <c r="W8" s="180" t="s">
        <v>112</v>
      </c>
      <c r="X8" s="240">
        <v>0.12539400000000001</v>
      </c>
    </row>
    <row r="9" spans="1:24" ht="15.75" customHeight="1" x14ac:dyDescent="0.25">
      <c r="B9" s="79"/>
      <c r="C9" s="188" t="s">
        <v>230</v>
      </c>
      <c r="D9" s="197" t="s">
        <v>26</v>
      </c>
      <c r="E9" s="205">
        <v>3.2266999999999997E-2</v>
      </c>
      <c r="F9" s="29">
        <v>2</v>
      </c>
      <c r="G9" s="29"/>
      <c r="H9" s="29"/>
      <c r="I9" s="29"/>
      <c r="J9" s="29"/>
      <c r="K9" s="29"/>
      <c r="L9" s="29"/>
      <c r="M9" s="29"/>
      <c r="N9" s="29"/>
      <c r="O9" s="29"/>
      <c r="P9" s="29"/>
      <c r="Q9" s="29"/>
      <c r="R9" s="29"/>
      <c r="S9" s="29"/>
      <c r="T9" s="22"/>
      <c r="W9" s="180" t="s">
        <v>4</v>
      </c>
      <c r="X9" s="240">
        <v>9.0094999999999995E-2</v>
      </c>
    </row>
    <row r="10" spans="1:24" ht="15" customHeight="1" x14ac:dyDescent="0.25">
      <c r="B10" s="79"/>
      <c r="C10" s="188" t="s">
        <v>82</v>
      </c>
      <c r="D10" s="197" t="s">
        <v>4</v>
      </c>
      <c r="E10" s="205">
        <v>3.1071999999999999E-2</v>
      </c>
      <c r="F10" s="29">
        <v>3</v>
      </c>
      <c r="G10" s="29"/>
      <c r="H10" s="29"/>
      <c r="I10" s="29"/>
      <c r="J10" s="29"/>
      <c r="K10" s="29"/>
      <c r="L10" s="29"/>
      <c r="M10" s="29"/>
      <c r="N10" s="29"/>
      <c r="O10" s="29"/>
      <c r="P10" s="29"/>
      <c r="Q10" s="29"/>
      <c r="R10" s="29"/>
      <c r="S10" s="29"/>
      <c r="T10" s="22"/>
      <c r="W10" s="180" t="s">
        <v>26</v>
      </c>
      <c r="X10" s="240">
        <v>8.8909999999999989E-2</v>
      </c>
    </row>
    <row r="11" spans="1:24" ht="15" customHeight="1" x14ac:dyDescent="0.25">
      <c r="B11" s="79"/>
      <c r="C11" s="188" t="s">
        <v>70</v>
      </c>
      <c r="D11" s="197" t="s">
        <v>12</v>
      </c>
      <c r="E11" s="205">
        <v>3.0113999999999998E-2</v>
      </c>
      <c r="F11" s="29">
        <v>4</v>
      </c>
      <c r="G11" s="29"/>
      <c r="H11" s="29"/>
      <c r="I11" s="29"/>
      <c r="J11" s="29"/>
      <c r="K11" s="29"/>
      <c r="L11" s="29"/>
      <c r="M11" s="29"/>
      <c r="N11" s="29"/>
      <c r="O11" s="29"/>
      <c r="P11" s="29"/>
      <c r="Q11" s="29"/>
      <c r="R11" s="29"/>
      <c r="S11" s="29"/>
      <c r="T11" s="22"/>
      <c r="W11" s="180" t="s">
        <v>16</v>
      </c>
      <c r="X11" s="240">
        <v>6.5710000000000005E-2</v>
      </c>
    </row>
    <row r="12" spans="1:24" ht="15" customHeight="1" x14ac:dyDescent="0.25">
      <c r="B12" s="79"/>
      <c r="C12" s="188" t="s">
        <v>241</v>
      </c>
      <c r="D12" s="197" t="s">
        <v>26</v>
      </c>
      <c r="E12" s="205">
        <v>2.3432000000000001E-2</v>
      </c>
      <c r="F12" s="29">
        <v>5</v>
      </c>
      <c r="G12" s="29"/>
      <c r="H12" s="29"/>
      <c r="I12" s="29"/>
      <c r="J12" s="29"/>
      <c r="K12" s="29"/>
      <c r="L12" s="29"/>
      <c r="M12" s="29"/>
      <c r="N12" s="29"/>
      <c r="O12" s="29"/>
      <c r="P12" s="29"/>
      <c r="Q12" s="29"/>
      <c r="R12" s="29"/>
      <c r="S12" s="29"/>
      <c r="T12" s="22"/>
      <c r="W12" s="180" t="s">
        <v>78</v>
      </c>
      <c r="X12" s="240">
        <v>5.8051999999999999E-2</v>
      </c>
    </row>
    <row r="13" spans="1:24" ht="15" customHeight="1" x14ac:dyDescent="0.25">
      <c r="B13" s="79"/>
      <c r="C13" s="188" t="s">
        <v>266</v>
      </c>
      <c r="D13" s="197" t="s">
        <v>78</v>
      </c>
      <c r="E13" s="205">
        <v>2.3113000000000002E-2</v>
      </c>
      <c r="F13" s="29">
        <v>6</v>
      </c>
      <c r="G13" s="29"/>
      <c r="H13" s="29"/>
      <c r="I13" s="29"/>
      <c r="J13" s="29"/>
      <c r="K13" s="29"/>
      <c r="L13" s="29"/>
      <c r="M13" s="29"/>
      <c r="N13" s="29"/>
      <c r="O13" s="29"/>
      <c r="P13" s="29"/>
      <c r="Q13" s="29"/>
      <c r="R13" s="29"/>
      <c r="S13" s="29"/>
      <c r="T13" s="22"/>
      <c r="W13" s="180" t="s">
        <v>120</v>
      </c>
      <c r="X13" s="240">
        <v>4.1165999999999994E-2</v>
      </c>
    </row>
    <row r="14" spans="1:24" ht="15" customHeight="1" x14ac:dyDescent="0.25">
      <c r="B14" s="79"/>
      <c r="C14" s="188" t="s">
        <v>200</v>
      </c>
      <c r="D14" s="197" t="s">
        <v>107</v>
      </c>
      <c r="E14" s="205">
        <v>1.9994999999999999E-2</v>
      </c>
      <c r="F14" s="29">
        <v>7</v>
      </c>
      <c r="G14" s="29"/>
      <c r="H14" s="29"/>
      <c r="I14" s="29"/>
      <c r="J14" s="29"/>
      <c r="K14" s="29"/>
      <c r="L14" s="29"/>
      <c r="M14" s="29"/>
      <c r="N14" s="29"/>
      <c r="O14" s="29"/>
      <c r="P14" s="29"/>
      <c r="Q14" s="29"/>
      <c r="R14" s="29"/>
      <c r="S14" s="29"/>
      <c r="T14" s="22"/>
      <c r="W14" s="180" t="s">
        <v>138</v>
      </c>
      <c r="X14" s="240">
        <v>3.7949000000000004E-2</v>
      </c>
    </row>
    <row r="15" spans="1:24" ht="15" customHeight="1" x14ac:dyDescent="0.25">
      <c r="B15" s="79"/>
      <c r="C15" s="188" t="s">
        <v>274</v>
      </c>
      <c r="D15" s="197" t="s">
        <v>78</v>
      </c>
      <c r="E15" s="205">
        <v>1.9973000000000001E-2</v>
      </c>
      <c r="F15" s="29">
        <v>8</v>
      </c>
      <c r="G15" s="29"/>
      <c r="H15" s="29"/>
      <c r="I15" s="29"/>
      <c r="J15" s="29"/>
      <c r="K15" s="29"/>
      <c r="L15" s="29"/>
      <c r="M15" s="29"/>
      <c r="N15" s="29"/>
      <c r="O15" s="29"/>
      <c r="P15" s="29"/>
      <c r="Q15" s="29"/>
      <c r="R15" s="29"/>
      <c r="S15" s="29"/>
      <c r="T15" s="22"/>
      <c r="W15" s="180" t="s">
        <v>115</v>
      </c>
      <c r="X15" s="240">
        <v>3.7533999999999998E-2</v>
      </c>
    </row>
    <row r="16" spans="1:24" ht="15" customHeight="1" x14ac:dyDescent="0.25">
      <c r="B16" s="79"/>
      <c r="C16" s="188" t="s">
        <v>284</v>
      </c>
      <c r="D16" s="197" t="s">
        <v>138</v>
      </c>
      <c r="E16" s="205">
        <v>1.9726E-2</v>
      </c>
      <c r="F16" s="29">
        <v>9</v>
      </c>
      <c r="G16" s="29"/>
      <c r="H16" s="29"/>
      <c r="I16" s="29"/>
      <c r="J16" s="29"/>
      <c r="K16" s="29"/>
      <c r="L16" s="29"/>
      <c r="M16" s="29"/>
      <c r="N16" s="29"/>
      <c r="O16" s="29"/>
      <c r="P16" s="29"/>
      <c r="Q16" s="29"/>
      <c r="R16" s="29"/>
      <c r="S16" s="29"/>
      <c r="T16" s="22"/>
      <c r="W16" s="180" t="s">
        <v>117</v>
      </c>
      <c r="X16" s="240">
        <v>3.3770999999999995E-2</v>
      </c>
    </row>
    <row r="17" spans="2:24" ht="15" customHeight="1" x14ac:dyDescent="0.25">
      <c r="B17" s="79"/>
      <c r="C17" s="188" t="s">
        <v>320</v>
      </c>
      <c r="D17" s="197" t="s">
        <v>16</v>
      </c>
      <c r="E17" s="205">
        <v>1.8672000000000001E-2</v>
      </c>
      <c r="F17" s="29">
        <v>10</v>
      </c>
      <c r="G17" s="29"/>
      <c r="H17" s="29"/>
      <c r="I17" s="29"/>
      <c r="J17" s="29"/>
      <c r="K17" s="29"/>
      <c r="L17" s="29"/>
      <c r="M17" s="29"/>
      <c r="N17" s="29"/>
      <c r="O17" s="29"/>
      <c r="P17" s="29"/>
      <c r="Q17" s="29"/>
      <c r="R17" s="29"/>
      <c r="S17" s="29"/>
      <c r="T17" s="22"/>
      <c r="W17" s="180" t="s">
        <v>108</v>
      </c>
      <c r="X17" s="240">
        <v>3.3366E-2</v>
      </c>
    </row>
    <row r="18" spans="2:24" ht="15" customHeight="1" x14ac:dyDescent="0.25">
      <c r="B18" s="79"/>
      <c r="C18" s="188" t="s">
        <v>339</v>
      </c>
      <c r="D18" s="197" t="s">
        <v>117</v>
      </c>
      <c r="E18" s="205">
        <v>1.83E-2</v>
      </c>
      <c r="F18" s="29">
        <v>11</v>
      </c>
      <c r="G18" s="29"/>
      <c r="H18" s="29"/>
      <c r="I18" s="29"/>
      <c r="J18" s="29"/>
      <c r="K18" s="29"/>
      <c r="L18" s="29"/>
      <c r="M18" s="29"/>
      <c r="N18" s="29"/>
      <c r="O18" s="29"/>
      <c r="P18" s="29"/>
      <c r="Q18" s="29"/>
      <c r="R18" s="29"/>
      <c r="S18" s="29"/>
      <c r="T18" s="22"/>
      <c r="W18" s="180" t="s">
        <v>86</v>
      </c>
      <c r="X18" s="240">
        <v>3.0139000000000003E-2</v>
      </c>
    </row>
    <row r="19" spans="2:24" ht="15" customHeight="1" x14ac:dyDescent="0.25">
      <c r="B19" s="79"/>
      <c r="C19" s="188" t="s">
        <v>146</v>
      </c>
      <c r="D19" s="197" t="s">
        <v>125</v>
      </c>
      <c r="E19" s="205">
        <v>1.7794000000000001E-2</v>
      </c>
      <c r="F19" s="29">
        <v>12</v>
      </c>
      <c r="G19" s="29"/>
      <c r="H19" s="29"/>
      <c r="I19" s="29"/>
      <c r="J19" s="29"/>
      <c r="K19" s="29"/>
      <c r="L19" s="29"/>
      <c r="M19" s="29"/>
      <c r="N19" s="29"/>
      <c r="O19" s="29"/>
      <c r="P19" s="29"/>
      <c r="Q19" s="29"/>
      <c r="R19" s="29"/>
      <c r="S19" s="29"/>
      <c r="T19" s="22"/>
      <c r="W19" s="180" t="s">
        <v>12</v>
      </c>
      <c r="X19" s="240">
        <v>3.0113999999999998E-2</v>
      </c>
    </row>
    <row r="20" spans="2:24" ht="15" customHeight="1" x14ac:dyDescent="0.25">
      <c r="B20" s="79"/>
      <c r="C20" s="188" t="s">
        <v>273</v>
      </c>
      <c r="D20" s="197" t="s">
        <v>86</v>
      </c>
      <c r="E20" s="205">
        <v>1.7767000000000002E-2</v>
      </c>
      <c r="F20" s="29">
        <v>13</v>
      </c>
      <c r="G20" s="29"/>
      <c r="H20" s="29"/>
      <c r="I20" s="29"/>
      <c r="J20" s="29"/>
      <c r="K20" s="29"/>
      <c r="L20" s="29"/>
      <c r="M20" s="29"/>
      <c r="N20" s="29"/>
      <c r="O20" s="29"/>
      <c r="P20" s="29"/>
      <c r="Q20" s="29"/>
      <c r="R20" s="29"/>
      <c r="S20" s="29"/>
      <c r="T20" s="22"/>
      <c r="W20" s="180" t="s">
        <v>107</v>
      </c>
      <c r="X20" s="240">
        <v>2.8542999999999999E-2</v>
      </c>
    </row>
    <row r="21" spans="2:24" ht="15" customHeight="1" x14ac:dyDescent="0.25">
      <c r="B21" s="79"/>
      <c r="C21" s="188" t="s">
        <v>31</v>
      </c>
      <c r="D21" s="197" t="s">
        <v>6</v>
      </c>
      <c r="E21" s="205">
        <v>1.652E-2</v>
      </c>
      <c r="F21" s="29">
        <v>14</v>
      </c>
      <c r="G21" s="29"/>
      <c r="H21" s="29"/>
      <c r="I21" s="29"/>
      <c r="J21" s="29"/>
      <c r="K21" s="29"/>
      <c r="L21" s="29"/>
      <c r="M21" s="29"/>
      <c r="N21" s="29"/>
      <c r="O21" s="29"/>
      <c r="P21" s="29"/>
      <c r="Q21" s="29"/>
      <c r="R21" s="29"/>
      <c r="S21" s="29"/>
      <c r="T21" s="22"/>
      <c r="W21" s="180" t="s">
        <v>10</v>
      </c>
      <c r="X21" s="240">
        <v>2.4580000000000001E-2</v>
      </c>
    </row>
    <row r="22" spans="2:24" ht="15" customHeight="1" x14ac:dyDescent="0.25">
      <c r="B22" s="79"/>
      <c r="C22" s="188" t="s">
        <v>192</v>
      </c>
      <c r="D22" s="197" t="s">
        <v>108</v>
      </c>
      <c r="E22" s="205">
        <v>1.5701E-2</v>
      </c>
      <c r="F22" s="29">
        <v>15</v>
      </c>
      <c r="G22" s="29"/>
      <c r="H22" s="29"/>
      <c r="I22" s="29"/>
      <c r="J22" s="29"/>
      <c r="K22" s="29"/>
      <c r="L22" s="29"/>
      <c r="M22" s="29"/>
      <c r="N22" s="29"/>
      <c r="O22" s="29"/>
      <c r="P22" s="29"/>
      <c r="Q22" s="29"/>
      <c r="R22" s="29"/>
      <c r="S22" s="29"/>
      <c r="T22" s="22"/>
      <c r="W22" s="180" t="s">
        <v>24</v>
      </c>
      <c r="X22" s="240">
        <v>2.3022000000000001E-2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180" t="s">
        <v>111</v>
      </c>
      <c r="X23" s="240">
        <v>2.2297000000000001E-2</v>
      </c>
    </row>
    <row r="24" spans="2:24" ht="15" customHeight="1" x14ac:dyDescent="0.25">
      <c r="B24" s="79"/>
      <c r="C24" s="73" t="s">
        <v>55</v>
      </c>
      <c r="D24" s="74"/>
      <c r="E24" s="75">
        <f>SUM(E8:E22)</f>
        <v>0.34355599999999992</v>
      </c>
      <c r="F24" s="29"/>
      <c r="G24" s="29"/>
      <c r="H24" s="29"/>
      <c r="I24" s="29"/>
      <c r="J24" s="29"/>
      <c r="K24" s="29"/>
      <c r="L24" s="29"/>
      <c r="M24" s="29"/>
      <c r="N24" s="29"/>
      <c r="O24" s="29"/>
      <c r="P24" s="29"/>
      <c r="Q24" s="29"/>
      <c r="R24" s="29"/>
      <c r="S24" s="29"/>
      <c r="T24" s="22"/>
      <c r="W24" s="180" t="s">
        <v>87</v>
      </c>
      <c r="X24" s="240">
        <v>2.0213000000000002E-2</v>
      </c>
    </row>
    <row r="25" spans="2:24" ht="15" customHeight="1" x14ac:dyDescent="0.25">
      <c r="B25" s="79"/>
      <c r="F25" s="29"/>
      <c r="G25" s="29"/>
      <c r="H25" s="29"/>
      <c r="I25" s="29"/>
      <c r="J25" s="29"/>
      <c r="K25" s="29"/>
      <c r="L25" s="29"/>
      <c r="M25" s="29"/>
      <c r="N25" s="29"/>
      <c r="O25" s="29"/>
      <c r="P25" s="29"/>
      <c r="Q25" s="29"/>
      <c r="R25" s="29"/>
      <c r="S25" s="29"/>
      <c r="T25" s="22"/>
      <c r="W25" s="180" t="s">
        <v>85</v>
      </c>
      <c r="X25" s="240">
        <v>1.8762999999999998E-2</v>
      </c>
    </row>
    <row r="26" spans="2:24" ht="15" customHeight="1" x14ac:dyDescent="0.25">
      <c r="B26" s="79"/>
      <c r="F26" s="29"/>
      <c r="G26" s="29"/>
      <c r="H26" s="29"/>
      <c r="I26" s="29"/>
      <c r="J26" s="29"/>
      <c r="K26" s="29"/>
      <c r="L26" s="29"/>
      <c r="M26" s="29"/>
      <c r="N26" s="29"/>
      <c r="O26" s="29"/>
      <c r="P26" s="29"/>
      <c r="Q26" s="29"/>
      <c r="R26" s="29"/>
      <c r="S26" s="29"/>
      <c r="T26" s="22"/>
      <c r="W26" s="180" t="s">
        <v>125</v>
      </c>
      <c r="X26" s="240">
        <v>1.7794000000000001E-2</v>
      </c>
    </row>
    <row r="27" spans="2:24" ht="15" customHeight="1" x14ac:dyDescent="0.25">
      <c r="B27" s="79"/>
      <c r="F27" s="29"/>
      <c r="G27" s="29"/>
      <c r="H27" s="29"/>
      <c r="I27" s="29"/>
      <c r="J27" s="29"/>
      <c r="K27" s="29"/>
      <c r="L27" s="29"/>
      <c r="M27" s="29"/>
      <c r="N27" s="29"/>
      <c r="O27" s="29"/>
      <c r="P27" s="29"/>
      <c r="Q27" s="29"/>
      <c r="R27" s="29"/>
      <c r="S27" s="29"/>
      <c r="T27" s="22"/>
      <c r="W27" s="180" t="s">
        <v>6</v>
      </c>
      <c r="X27" s="240">
        <v>1.652E-2</v>
      </c>
    </row>
    <row r="28" spans="2:24" ht="15" customHeight="1" x14ac:dyDescent="0.25">
      <c r="B28" s="79"/>
      <c r="F28" s="29"/>
      <c r="G28" s="29"/>
      <c r="H28" s="29"/>
      <c r="I28" s="29"/>
      <c r="J28" s="29"/>
      <c r="K28" s="29"/>
      <c r="L28" s="29"/>
      <c r="M28" s="29"/>
      <c r="N28" s="29"/>
      <c r="O28" s="29"/>
      <c r="P28" s="29"/>
      <c r="Q28" s="29"/>
      <c r="R28" s="29"/>
      <c r="S28" s="29"/>
      <c r="T28" s="22"/>
      <c r="W28" s="180" t="s">
        <v>88</v>
      </c>
      <c r="X28" s="240">
        <v>1.3668E-2</v>
      </c>
    </row>
    <row r="29" spans="2:24" ht="15" customHeight="1" x14ac:dyDescent="0.25">
      <c r="B29" s="79"/>
      <c r="F29" s="29"/>
      <c r="G29" s="29"/>
      <c r="H29" s="29"/>
      <c r="I29" s="29"/>
      <c r="J29" s="29"/>
      <c r="K29" s="29"/>
      <c r="L29" s="29"/>
      <c r="M29" s="29"/>
      <c r="N29" s="29"/>
      <c r="O29" s="29"/>
      <c r="P29" s="29"/>
      <c r="Q29" s="29"/>
      <c r="R29" s="29"/>
      <c r="S29" s="29"/>
      <c r="T29" s="22"/>
      <c r="W29" s="180" t="s">
        <v>187</v>
      </c>
      <c r="X29" s="240">
        <v>1.2493000000000001E-2</v>
      </c>
    </row>
    <row r="30" spans="2:24" ht="15" customHeight="1" x14ac:dyDescent="0.25">
      <c r="B30" s="79"/>
      <c r="F30" s="29"/>
      <c r="G30" s="29"/>
      <c r="H30" s="29"/>
      <c r="I30" s="29"/>
      <c r="J30" s="29"/>
      <c r="K30" s="29"/>
      <c r="L30" s="29"/>
      <c r="M30" s="29"/>
      <c r="N30" s="29"/>
      <c r="O30" s="29"/>
      <c r="P30" s="29"/>
      <c r="Q30" s="29"/>
      <c r="R30" s="29"/>
      <c r="S30" s="29"/>
      <c r="T30" s="22"/>
      <c r="W30" s="180" t="s">
        <v>134</v>
      </c>
      <c r="X30" s="240">
        <v>1.2071E-2</v>
      </c>
    </row>
    <row r="31" spans="2:24" ht="15" customHeight="1" x14ac:dyDescent="0.25">
      <c r="B31" s="79"/>
      <c r="F31" s="29"/>
      <c r="G31" s="29"/>
      <c r="H31" s="29"/>
      <c r="I31" s="29"/>
      <c r="J31" s="29"/>
      <c r="K31" s="29"/>
      <c r="L31" s="29"/>
      <c r="M31" s="29"/>
      <c r="N31" s="29"/>
      <c r="O31" s="29"/>
      <c r="P31" s="29"/>
      <c r="Q31" s="29"/>
      <c r="R31" s="29"/>
      <c r="S31" s="29"/>
      <c r="T31" s="22"/>
      <c r="W31" s="180" t="s">
        <v>96</v>
      </c>
      <c r="X31" s="240">
        <v>1.1719E-2</v>
      </c>
    </row>
    <row r="32" spans="2:24" ht="15.75" customHeight="1" x14ac:dyDescent="0.25">
      <c r="B32" s="79"/>
      <c r="F32" s="29"/>
      <c r="G32" s="29"/>
      <c r="H32" s="29"/>
      <c r="I32" s="29"/>
      <c r="J32" s="29"/>
      <c r="K32" s="29"/>
      <c r="L32" s="29"/>
      <c r="M32" s="29"/>
      <c r="N32" s="29"/>
      <c r="O32" s="29"/>
      <c r="P32" s="29"/>
      <c r="Q32" s="29"/>
      <c r="R32" s="29"/>
      <c r="S32" s="29"/>
      <c r="T32" s="22"/>
      <c r="W32" s="180" t="s">
        <v>244</v>
      </c>
      <c r="X32" s="240">
        <v>1.1424999999999999E-2</v>
      </c>
    </row>
    <row r="33" spans="2:24" ht="15" customHeight="1" x14ac:dyDescent="0.25">
      <c r="B33" s="79"/>
      <c r="F33" s="29"/>
      <c r="G33" s="29"/>
      <c r="H33" s="29"/>
      <c r="I33" s="29"/>
      <c r="J33" s="29"/>
      <c r="K33" s="29"/>
      <c r="L33" s="29"/>
      <c r="M33" s="29"/>
      <c r="N33" s="29"/>
      <c r="O33" s="29"/>
      <c r="P33" s="29"/>
      <c r="Q33" s="29"/>
      <c r="R33" s="29"/>
      <c r="S33" s="29"/>
      <c r="T33" s="22"/>
      <c r="W33" s="180" t="s">
        <v>113</v>
      </c>
      <c r="X33" s="240">
        <v>1.1253000000000001E-2</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80" t="s">
        <v>3</v>
      </c>
      <c r="X34" s="240">
        <v>1.0037000000000001E-2</v>
      </c>
    </row>
    <row r="35" spans="2:24" ht="15" customHeight="1" thickBot="1" x14ac:dyDescent="0.3">
      <c r="W35" s="180" t="s">
        <v>124</v>
      </c>
      <c r="X35" s="240">
        <v>1.0031999999999999E-2</v>
      </c>
    </row>
    <row r="36" spans="2:24" ht="15" customHeight="1" x14ac:dyDescent="0.25">
      <c r="B36" s="262" t="s">
        <v>184</v>
      </c>
      <c r="C36" s="263"/>
      <c r="D36" s="263"/>
      <c r="E36" s="263"/>
      <c r="F36" s="263"/>
      <c r="G36" s="263"/>
      <c r="H36" s="263"/>
      <c r="I36" s="263"/>
      <c r="J36" s="263"/>
      <c r="K36" s="263"/>
      <c r="L36" s="263"/>
      <c r="M36" s="263"/>
      <c r="N36" s="263"/>
      <c r="O36" s="263"/>
      <c r="P36" s="263"/>
      <c r="Q36" s="263"/>
      <c r="R36" s="264"/>
      <c r="W36" s="180" t="s">
        <v>114</v>
      </c>
      <c r="X36" s="240">
        <v>9.9249999999999998E-3</v>
      </c>
    </row>
    <row r="37" spans="2:24" ht="15" customHeight="1" x14ac:dyDescent="0.25">
      <c r="B37" s="265"/>
      <c r="C37" s="266"/>
      <c r="D37" s="266"/>
      <c r="E37" s="266"/>
      <c r="F37" s="266"/>
      <c r="G37" s="266"/>
      <c r="H37" s="266"/>
      <c r="I37" s="266"/>
      <c r="J37" s="266"/>
      <c r="K37" s="266"/>
      <c r="L37" s="266"/>
      <c r="M37" s="266"/>
      <c r="N37" s="266"/>
      <c r="O37" s="266"/>
      <c r="P37" s="266"/>
      <c r="Q37" s="266"/>
      <c r="R37" s="267"/>
      <c r="W37" s="180" t="s">
        <v>23</v>
      </c>
      <c r="X37" s="240">
        <v>9.1970000000000003E-3</v>
      </c>
    </row>
    <row r="38" spans="2:24" ht="15" customHeight="1" x14ac:dyDescent="0.25">
      <c r="B38" s="265"/>
      <c r="C38" s="266"/>
      <c r="D38" s="266"/>
      <c r="E38" s="266"/>
      <c r="F38" s="266"/>
      <c r="G38" s="266"/>
      <c r="H38" s="266"/>
      <c r="I38" s="266"/>
      <c r="J38" s="266"/>
      <c r="K38" s="266"/>
      <c r="L38" s="266"/>
      <c r="M38" s="266"/>
      <c r="N38" s="266"/>
      <c r="O38" s="266"/>
      <c r="P38" s="266"/>
      <c r="Q38" s="266"/>
      <c r="R38" s="267"/>
      <c r="W38" s="180" t="s">
        <v>119</v>
      </c>
      <c r="X38" s="240">
        <v>8.829E-3</v>
      </c>
    </row>
    <row r="39" spans="2:24" ht="15" customHeight="1" x14ac:dyDescent="0.25">
      <c r="B39" s="265"/>
      <c r="C39" s="266"/>
      <c r="D39" s="266"/>
      <c r="E39" s="266"/>
      <c r="F39" s="266"/>
      <c r="G39" s="266"/>
      <c r="H39" s="266"/>
      <c r="I39" s="266"/>
      <c r="J39" s="266"/>
      <c r="K39" s="266"/>
      <c r="L39" s="266"/>
      <c r="M39" s="266"/>
      <c r="N39" s="266"/>
      <c r="O39" s="266"/>
      <c r="P39" s="266"/>
      <c r="Q39" s="266"/>
      <c r="R39" s="267"/>
      <c r="W39" s="180" t="s">
        <v>84</v>
      </c>
      <c r="X39" s="240">
        <v>8.5660000000000007E-3</v>
      </c>
    </row>
    <row r="40" spans="2:24" ht="15" customHeight="1" x14ac:dyDescent="0.25">
      <c r="B40" s="265"/>
      <c r="C40" s="266"/>
      <c r="D40" s="266"/>
      <c r="E40" s="266"/>
      <c r="F40" s="266"/>
      <c r="G40" s="266"/>
      <c r="H40" s="266"/>
      <c r="I40" s="266"/>
      <c r="J40" s="266"/>
      <c r="K40" s="266"/>
      <c r="L40" s="266"/>
      <c r="M40" s="266"/>
      <c r="N40" s="266"/>
      <c r="O40" s="266"/>
      <c r="P40" s="266"/>
      <c r="Q40" s="266"/>
      <c r="R40" s="267"/>
      <c r="W40" s="180" t="s">
        <v>126</v>
      </c>
      <c r="X40" s="240">
        <v>4.9249999999999997E-3</v>
      </c>
    </row>
    <row r="41" spans="2:24" ht="15" customHeight="1" x14ac:dyDescent="0.25">
      <c r="B41" s="265"/>
      <c r="C41" s="266"/>
      <c r="D41" s="266"/>
      <c r="E41" s="266"/>
      <c r="F41" s="266"/>
      <c r="G41" s="266"/>
      <c r="H41" s="266"/>
      <c r="I41" s="266"/>
      <c r="J41" s="266"/>
      <c r="K41" s="266"/>
      <c r="L41" s="266"/>
      <c r="M41" s="266"/>
      <c r="N41" s="266"/>
      <c r="O41" s="266"/>
      <c r="P41" s="266"/>
      <c r="Q41" s="266"/>
      <c r="R41" s="267"/>
      <c r="W41" s="180"/>
      <c r="X41" s="240"/>
    </row>
    <row r="42" spans="2:24" ht="15" customHeight="1" thickBot="1" x14ac:dyDescent="0.3">
      <c r="B42" s="268"/>
      <c r="C42" s="269"/>
      <c r="D42" s="269"/>
      <c r="E42" s="269"/>
      <c r="F42" s="269"/>
      <c r="G42" s="269"/>
      <c r="H42" s="269"/>
      <c r="I42" s="269"/>
      <c r="J42" s="269"/>
      <c r="K42" s="269"/>
      <c r="L42" s="269"/>
      <c r="M42" s="269"/>
      <c r="N42" s="269"/>
      <c r="O42" s="269"/>
      <c r="P42" s="269"/>
      <c r="Q42" s="269"/>
      <c r="R42" s="270"/>
      <c r="X42" s="240"/>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41">
    <sortCondition descending="1" ref="X41"/>
  </sortState>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184E-7FBB-441F-A5D7-C420096958FA}">
  <sheetPr codeName="Sheet38"/>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1" t="s">
        <v>396</v>
      </c>
      <c r="D3" s="272"/>
      <c r="E3" s="272"/>
      <c r="F3" s="272"/>
      <c r="G3" s="272"/>
      <c r="H3" s="272"/>
      <c r="I3" s="272"/>
      <c r="J3" s="272"/>
      <c r="K3" s="272"/>
      <c r="L3" s="272"/>
      <c r="M3" s="272"/>
      <c r="N3" s="272"/>
      <c r="O3" s="272"/>
      <c r="P3" s="272"/>
      <c r="Q3" s="272"/>
      <c r="R3" s="272"/>
      <c r="S3" s="272"/>
      <c r="T3" s="22"/>
    </row>
    <row r="4" spans="1:24" ht="15.75" customHeight="1" x14ac:dyDescent="0.25">
      <c r="B4" s="79"/>
      <c r="C4" s="67" t="s">
        <v>356</v>
      </c>
      <c r="D4" s="29"/>
      <c r="E4" s="29"/>
      <c r="F4" s="29"/>
      <c r="G4" s="29"/>
      <c r="H4" s="29"/>
      <c r="I4" s="29"/>
      <c r="J4" s="29"/>
      <c r="K4" s="29"/>
      <c r="L4" s="29"/>
      <c r="M4" s="29"/>
      <c r="N4" s="29"/>
      <c r="O4" s="29"/>
      <c r="P4" s="29"/>
      <c r="Q4" s="29"/>
      <c r="R4" s="29"/>
      <c r="S4" s="29"/>
      <c r="T4" s="22"/>
    </row>
    <row r="5" spans="1:24" ht="18" customHeight="1" x14ac:dyDescent="0.25">
      <c r="B5" s="79"/>
      <c r="C5" s="222" t="s">
        <v>357</v>
      </c>
      <c r="D5" s="273" t="s">
        <v>395</v>
      </c>
      <c r="E5" s="273"/>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8" t="s">
        <v>36</v>
      </c>
      <c r="D8" s="197" t="s">
        <v>3</v>
      </c>
      <c r="E8" s="205">
        <v>8.8339999999999998E-3</v>
      </c>
      <c r="F8" s="29">
        <v>1</v>
      </c>
      <c r="G8" s="29"/>
      <c r="H8" s="29"/>
      <c r="I8" s="29"/>
      <c r="J8" s="29"/>
      <c r="K8" s="29"/>
      <c r="L8" s="29"/>
      <c r="M8" s="29"/>
      <c r="N8" s="29"/>
      <c r="O8" s="29"/>
      <c r="P8" s="29"/>
      <c r="Q8" s="29"/>
      <c r="R8" s="29"/>
      <c r="S8" s="29"/>
      <c r="T8" s="22"/>
      <c r="W8" s="237" t="s">
        <v>3</v>
      </c>
      <c r="X8" s="240">
        <v>1.4253E-2</v>
      </c>
    </row>
    <row r="9" spans="1:24" ht="15.75" customHeight="1" x14ac:dyDescent="0.25">
      <c r="B9" s="79"/>
      <c r="C9" s="188" t="s">
        <v>31</v>
      </c>
      <c r="D9" s="197" t="s">
        <v>6</v>
      </c>
      <c r="E9" s="205">
        <v>7.8379999999999995E-3</v>
      </c>
      <c r="F9" s="29">
        <v>2</v>
      </c>
      <c r="G9" s="29"/>
      <c r="H9" s="29"/>
      <c r="I9" s="29"/>
      <c r="J9" s="29"/>
      <c r="K9" s="29"/>
      <c r="L9" s="29"/>
      <c r="M9" s="29"/>
      <c r="N9" s="29"/>
      <c r="O9" s="29"/>
      <c r="P9" s="29"/>
      <c r="Q9" s="29"/>
      <c r="R9" s="29"/>
      <c r="S9" s="29"/>
      <c r="T9" s="22"/>
      <c r="W9" s="237" t="s">
        <v>4</v>
      </c>
      <c r="X9" s="240">
        <v>8.686000000000001E-3</v>
      </c>
    </row>
    <row r="10" spans="1:24" ht="15" customHeight="1" x14ac:dyDescent="0.25">
      <c r="B10" s="79"/>
      <c r="C10" s="188" t="s">
        <v>279</v>
      </c>
      <c r="D10" s="197" t="s">
        <v>23</v>
      </c>
      <c r="E10" s="205">
        <v>6.8500000000000002E-3</v>
      </c>
      <c r="F10" s="29">
        <v>3</v>
      </c>
      <c r="G10" s="29"/>
      <c r="H10" s="29"/>
      <c r="I10" s="29"/>
      <c r="J10" s="29"/>
      <c r="K10" s="29"/>
      <c r="L10" s="29"/>
      <c r="M10" s="29"/>
      <c r="N10" s="29"/>
      <c r="O10" s="29"/>
      <c r="P10" s="29"/>
      <c r="Q10" s="29"/>
      <c r="R10" s="29"/>
      <c r="S10" s="29"/>
      <c r="T10" s="22"/>
      <c r="W10" s="237" t="s">
        <v>23</v>
      </c>
      <c r="X10" s="240">
        <v>8.3829999999999998E-3</v>
      </c>
    </row>
    <row r="11" spans="1:24" ht="15" customHeight="1" x14ac:dyDescent="0.25">
      <c r="B11" s="79"/>
      <c r="C11" s="188" t="s">
        <v>136</v>
      </c>
      <c r="D11" s="197" t="s">
        <v>3</v>
      </c>
      <c r="E11" s="205">
        <v>5.4190000000000002E-3</v>
      </c>
      <c r="F11" s="29">
        <v>4</v>
      </c>
      <c r="G11" s="29"/>
      <c r="H11" s="29"/>
      <c r="I11" s="29"/>
      <c r="J11" s="29"/>
      <c r="K11" s="29"/>
      <c r="L11" s="29"/>
      <c r="M11" s="29"/>
      <c r="N11" s="29"/>
      <c r="O11" s="29"/>
      <c r="P11" s="29"/>
      <c r="Q11" s="29"/>
      <c r="R11" s="29"/>
      <c r="S11" s="29"/>
      <c r="T11" s="22"/>
      <c r="W11" s="237" t="s">
        <v>6</v>
      </c>
      <c r="X11" s="240">
        <v>7.8379999999999995E-3</v>
      </c>
    </row>
    <row r="12" spans="1:24" ht="15" customHeight="1" x14ac:dyDescent="0.25">
      <c r="B12" s="79"/>
      <c r="C12" s="188" t="s">
        <v>352</v>
      </c>
      <c r="D12" s="197" t="s">
        <v>78</v>
      </c>
      <c r="E12" s="205">
        <v>4.1539999999999997E-3</v>
      </c>
      <c r="F12" s="29">
        <v>5</v>
      </c>
      <c r="G12" s="29"/>
      <c r="H12" s="29"/>
      <c r="I12" s="29"/>
      <c r="J12" s="29"/>
      <c r="K12" s="29"/>
      <c r="L12" s="29"/>
      <c r="M12" s="29"/>
      <c r="N12" s="29"/>
      <c r="O12" s="29"/>
      <c r="P12" s="29"/>
      <c r="Q12" s="29"/>
      <c r="R12" s="29"/>
      <c r="S12" s="29"/>
      <c r="T12" s="22"/>
      <c r="W12" s="237" t="s">
        <v>78</v>
      </c>
      <c r="X12" s="240">
        <v>4.1539999999999997E-3</v>
      </c>
    </row>
    <row r="13" spans="1:24" ht="15" customHeight="1" x14ac:dyDescent="0.25">
      <c r="B13" s="79"/>
      <c r="C13" s="188" t="s">
        <v>105</v>
      </c>
      <c r="D13" s="197" t="s">
        <v>112</v>
      </c>
      <c r="E13" s="205">
        <v>4.032E-3</v>
      </c>
      <c r="F13" s="29">
        <v>6</v>
      </c>
      <c r="G13" s="29"/>
      <c r="H13" s="29"/>
      <c r="I13" s="29"/>
      <c r="J13" s="29"/>
      <c r="K13" s="29"/>
      <c r="L13" s="29"/>
      <c r="M13" s="29"/>
      <c r="N13" s="29"/>
      <c r="O13" s="29"/>
      <c r="P13" s="29"/>
      <c r="Q13" s="29"/>
      <c r="R13" s="29"/>
      <c r="S13" s="29"/>
      <c r="T13" s="22"/>
      <c r="W13" s="237" t="s">
        <v>112</v>
      </c>
      <c r="X13" s="240">
        <v>4.032E-3</v>
      </c>
    </row>
    <row r="14" spans="1:24" ht="15" customHeight="1" x14ac:dyDescent="0.25">
      <c r="B14" s="79"/>
      <c r="C14" s="188" t="s">
        <v>397</v>
      </c>
      <c r="D14" s="197" t="s">
        <v>119</v>
      </c>
      <c r="E14" s="205">
        <v>3.9719999999999998E-3</v>
      </c>
      <c r="F14" s="29">
        <v>7</v>
      </c>
      <c r="G14" s="29"/>
      <c r="H14" s="29"/>
      <c r="I14" s="29"/>
      <c r="J14" s="29"/>
      <c r="K14" s="29"/>
      <c r="L14" s="29"/>
      <c r="M14" s="29"/>
      <c r="N14" s="29"/>
      <c r="O14" s="29"/>
      <c r="P14" s="29"/>
      <c r="Q14" s="29"/>
      <c r="R14" s="29"/>
      <c r="S14" s="29"/>
      <c r="T14" s="22"/>
      <c r="W14" s="237" t="s">
        <v>119</v>
      </c>
      <c r="X14" s="240">
        <v>3.9719999999999998E-3</v>
      </c>
    </row>
    <row r="15" spans="1:24" ht="15" customHeight="1" x14ac:dyDescent="0.25">
      <c r="B15" s="79"/>
      <c r="C15" s="188" t="s">
        <v>82</v>
      </c>
      <c r="D15" s="197" t="s">
        <v>4</v>
      </c>
      <c r="E15" s="205">
        <v>3.9280000000000001E-3</v>
      </c>
      <c r="F15" s="29">
        <v>8</v>
      </c>
      <c r="G15" s="29"/>
      <c r="H15" s="29"/>
      <c r="I15" s="29"/>
      <c r="J15" s="29"/>
      <c r="K15" s="29"/>
      <c r="L15" s="29"/>
      <c r="M15" s="29"/>
      <c r="N15" s="29"/>
      <c r="O15" s="29"/>
      <c r="P15" s="29"/>
      <c r="Q15" s="29"/>
      <c r="R15" s="29"/>
      <c r="S15" s="29"/>
      <c r="T15" s="22"/>
      <c r="W15" s="237" t="s">
        <v>115</v>
      </c>
      <c r="X15" s="240">
        <v>1.4009999999999999E-3</v>
      </c>
    </row>
    <row r="16" spans="1:24" ht="15" customHeight="1" x14ac:dyDescent="0.25">
      <c r="B16" s="79"/>
      <c r="C16" s="188" t="s">
        <v>398</v>
      </c>
      <c r="D16" s="197" t="s">
        <v>4</v>
      </c>
      <c r="E16" s="205">
        <v>2.702E-3</v>
      </c>
      <c r="F16" s="29">
        <v>9</v>
      </c>
      <c r="G16" s="29"/>
      <c r="H16" s="29"/>
      <c r="I16" s="29"/>
      <c r="J16" s="29"/>
      <c r="K16" s="29"/>
      <c r="L16" s="29"/>
      <c r="M16" s="29"/>
      <c r="N16" s="29"/>
      <c r="O16" s="29"/>
      <c r="P16" s="29"/>
      <c r="Q16" s="29"/>
      <c r="R16" s="29"/>
      <c r="S16" s="29"/>
      <c r="T16" s="22"/>
      <c r="W16" s="237" t="s">
        <v>26</v>
      </c>
      <c r="X16" s="240">
        <v>1.2960000000000001E-3</v>
      </c>
    </row>
    <row r="17" spans="2:24" ht="15" customHeight="1" x14ac:dyDescent="0.25">
      <c r="B17" s="79"/>
      <c r="C17" s="188" t="s">
        <v>399</v>
      </c>
      <c r="D17" s="197" t="s">
        <v>4</v>
      </c>
      <c r="E17" s="205">
        <v>2.0560000000000001E-3</v>
      </c>
      <c r="F17" s="29">
        <v>10</v>
      </c>
      <c r="G17" s="29"/>
      <c r="H17" s="29"/>
      <c r="I17" s="29"/>
      <c r="J17" s="29"/>
      <c r="K17" s="29"/>
      <c r="L17" s="29"/>
      <c r="M17" s="29"/>
      <c r="N17" s="29"/>
      <c r="O17" s="29"/>
      <c r="P17" s="29"/>
      <c r="Q17" s="29"/>
      <c r="R17" s="29"/>
      <c r="S17" s="29"/>
      <c r="T17" s="22"/>
      <c r="W17" s="237" t="s">
        <v>84</v>
      </c>
      <c r="X17" s="240">
        <v>7.1699999999999997E-4</v>
      </c>
    </row>
    <row r="18" spans="2:24" ht="15" customHeight="1" x14ac:dyDescent="0.25">
      <c r="B18" s="79"/>
      <c r="C18" s="188" t="s">
        <v>219</v>
      </c>
      <c r="D18" s="197" t="s">
        <v>23</v>
      </c>
      <c r="E18" s="205">
        <v>1.5330000000000001E-3</v>
      </c>
      <c r="F18" s="29">
        <v>11</v>
      </c>
      <c r="G18" s="29"/>
      <c r="H18" s="29"/>
      <c r="I18" s="29"/>
      <c r="J18" s="29"/>
      <c r="K18" s="29"/>
      <c r="L18" s="29"/>
      <c r="M18" s="29"/>
      <c r="N18" s="29"/>
      <c r="O18" s="29"/>
      <c r="P18" s="29"/>
      <c r="Q18" s="29"/>
      <c r="R18" s="29"/>
      <c r="S18" s="29"/>
      <c r="T18" s="22"/>
      <c r="W18" s="237" t="s">
        <v>187</v>
      </c>
      <c r="X18" s="240">
        <v>6.4899999999999995E-4</v>
      </c>
    </row>
    <row r="19" spans="2:24" ht="15" customHeight="1" x14ac:dyDescent="0.25">
      <c r="B19" s="79"/>
      <c r="C19" s="188" t="s">
        <v>400</v>
      </c>
      <c r="D19" s="197" t="s">
        <v>115</v>
      </c>
      <c r="E19" s="205">
        <v>1.4009999999999999E-3</v>
      </c>
      <c r="F19" s="29">
        <v>12</v>
      </c>
      <c r="G19" s="29"/>
      <c r="H19" s="29"/>
      <c r="I19" s="29"/>
      <c r="J19" s="29"/>
      <c r="K19" s="29"/>
      <c r="L19" s="29"/>
      <c r="M19" s="29"/>
      <c r="N19" s="29"/>
      <c r="O19" s="29"/>
      <c r="P19" s="29"/>
      <c r="Q19" s="29"/>
      <c r="R19" s="29"/>
      <c r="S19" s="29"/>
      <c r="T19" s="22"/>
      <c r="W19" s="237" t="s">
        <v>24</v>
      </c>
      <c r="X19" s="240">
        <v>3.3300000000000002E-4</v>
      </c>
    </row>
    <row r="20" spans="2:24" ht="15" customHeight="1" x14ac:dyDescent="0.25">
      <c r="B20" s="79"/>
      <c r="C20" s="188" t="s">
        <v>401</v>
      </c>
      <c r="D20" s="197" t="s">
        <v>26</v>
      </c>
      <c r="E20" s="205">
        <v>1.2960000000000001E-3</v>
      </c>
      <c r="F20" s="29">
        <v>13</v>
      </c>
      <c r="G20" s="29"/>
      <c r="H20" s="29"/>
      <c r="I20" s="29"/>
      <c r="J20" s="29"/>
      <c r="K20" s="29"/>
      <c r="L20" s="29"/>
      <c r="M20" s="29"/>
      <c r="N20" s="29"/>
      <c r="O20" s="29"/>
      <c r="P20" s="29"/>
      <c r="Q20" s="29"/>
      <c r="R20" s="29"/>
      <c r="S20" s="29"/>
      <c r="T20" s="22"/>
      <c r="W20" s="237" t="s">
        <v>16</v>
      </c>
      <c r="X20" s="240">
        <v>9.6000000000000002E-5</v>
      </c>
    </row>
    <row r="21" spans="2:24" ht="15" customHeight="1" x14ac:dyDescent="0.25">
      <c r="B21" s="79"/>
      <c r="C21" s="188" t="s">
        <v>402</v>
      </c>
      <c r="D21" s="197" t="s">
        <v>84</v>
      </c>
      <c r="E21" s="205">
        <v>7.1699999999999997E-4</v>
      </c>
      <c r="F21" s="29">
        <v>14</v>
      </c>
      <c r="G21" s="29"/>
      <c r="H21" s="29"/>
      <c r="I21" s="29"/>
      <c r="J21" s="29"/>
      <c r="K21" s="29"/>
      <c r="L21" s="29"/>
      <c r="M21" s="29"/>
      <c r="N21" s="29"/>
      <c r="O21" s="29"/>
      <c r="P21" s="29"/>
      <c r="Q21" s="29"/>
      <c r="R21" s="29"/>
      <c r="S21" s="29"/>
      <c r="T21" s="22"/>
      <c r="W21" s="180"/>
      <c r="X21" s="240"/>
    </row>
    <row r="22" spans="2:24" ht="15" customHeight="1" x14ac:dyDescent="0.25">
      <c r="B22" s="79"/>
      <c r="C22" s="188" t="s">
        <v>306</v>
      </c>
      <c r="D22" s="197" t="s">
        <v>187</v>
      </c>
      <c r="E22" s="205">
        <v>6.4899999999999995E-4</v>
      </c>
      <c r="F22" s="29">
        <v>15</v>
      </c>
      <c r="G22" s="29"/>
      <c r="H22" s="29"/>
      <c r="I22" s="29"/>
      <c r="J22" s="29"/>
      <c r="K22" s="29"/>
      <c r="L22" s="29"/>
      <c r="M22" s="29"/>
      <c r="N22" s="29"/>
      <c r="O22" s="29"/>
      <c r="P22" s="29"/>
      <c r="Q22" s="29"/>
      <c r="R22" s="29"/>
      <c r="S22" s="29"/>
      <c r="T22" s="22"/>
      <c r="W22" s="180"/>
      <c r="X22" s="240"/>
    </row>
    <row r="23" spans="2:24" ht="15" customHeight="1" x14ac:dyDescent="0.25">
      <c r="B23" s="79"/>
      <c r="C23" s="71"/>
      <c r="D23" s="71"/>
      <c r="E23" s="153"/>
      <c r="F23" s="29"/>
      <c r="G23" s="29"/>
      <c r="H23" s="29"/>
      <c r="I23" s="29"/>
      <c r="J23" s="29"/>
      <c r="K23" s="29"/>
      <c r="L23" s="29"/>
      <c r="M23" s="29"/>
      <c r="N23" s="29"/>
      <c r="O23" s="29"/>
      <c r="P23" s="29"/>
      <c r="Q23" s="29"/>
      <c r="R23" s="29"/>
      <c r="S23" s="29"/>
      <c r="T23" s="22"/>
      <c r="W23" s="180"/>
      <c r="X23" s="240"/>
    </row>
    <row r="24" spans="2:24" ht="15" customHeight="1" x14ac:dyDescent="0.25">
      <c r="B24" s="79"/>
      <c r="C24" s="73" t="s">
        <v>55</v>
      </c>
      <c r="D24" s="74"/>
      <c r="E24" s="75">
        <f>SUM(E8:E22)</f>
        <v>5.5381E-2</v>
      </c>
      <c r="F24" s="29"/>
      <c r="G24" s="29"/>
      <c r="H24" s="29"/>
      <c r="I24" s="29"/>
      <c r="J24" s="29"/>
      <c r="K24" s="29"/>
      <c r="L24" s="29"/>
      <c r="M24" s="29"/>
      <c r="N24" s="29"/>
      <c r="O24" s="29"/>
      <c r="P24" s="29"/>
      <c r="Q24" s="29"/>
      <c r="R24" s="29"/>
      <c r="S24" s="29"/>
      <c r="T24" s="22"/>
      <c r="W24" s="180"/>
      <c r="X24" s="240"/>
    </row>
    <row r="25" spans="2:24" ht="15" customHeight="1" x14ac:dyDescent="0.25">
      <c r="B25" s="79"/>
      <c r="F25" s="29"/>
      <c r="G25" s="29"/>
      <c r="H25" s="29"/>
      <c r="I25" s="29"/>
      <c r="J25" s="29"/>
      <c r="K25" s="29"/>
      <c r="L25" s="29"/>
      <c r="M25" s="29"/>
      <c r="N25" s="29"/>
      <c r="O25" s="29"/>
      <c r="P25" s="29"/>
      <c r="Q25" s="29"/>
      <c r="R25" s="29"/>
      <c r="S25" s="29"/>
      <c r="T25" s="22"/>
      <c r="W25" s="180"/>
      <c r="X25" s="240"/>
    </row>
    <row r="26" spans="2:24" ht="15" customHeight="1" x14ac:dyDescent="0.25">
      <c r="B26" s="79"/>
      <c r="F26" s="29"/>
      <c r="G26" s="29"/>
      <c r="H26" s="29"/>
      <c r="I26" s="29"/>
      <c r="J26" s="29"/>
      <c r="K26" s="29"/>
      <c r="L26" s="29"/>
      <c r="M26" s="29"/>
      <c r="N26" s="29"/>
      <c r="O26" s="29"/>
      <c r="P26" s="29"/>
      <c r="Q26" s="29"/>
      <c r="R26" s="29"/>
      <c r="S26" s="29"/>
      <c r="T26" s="22"/>
      <c r="W26" s="180"/>
      <c r="X26" s="240"/>
    </row>
    <row r="27" spans="2:24" ht="15" customHeight="1" x14ac:dyDescent="0.25">
      <c r="B27" s="79"/>
      <c r="F27" s="29"/>
      <c r="G27" s="29"/>
      <c r="H27" s="29"/>
      <c r="I27" s="29"/>
      <c r="J27" s="29"/>
      <c r="K27" s="29"/>
      <c r="L27" s="29"/>
      <c r="M27" s="29"/>
      <c r="N27" s="29"/>
      <c r="O27" s="29"/>
      <c r="P27" s="29"/>
      <c r="Q27" s="29"/>
      <c r="R27" s="29"/>
      <c r="S27" s="29"/>
      <c r="T27" s="22"/>
      <c r="W27" s="180"/>
      <c r="X27" s="240"/>
    </row>
    <row r="28" spans="2:24" ht="15" customHeight="1" x14ac:dyDescent="0.25">
      <c r="B28" s="79"/>
      <c r="F28" s="29"/>
      <c r="G28" s="29"/>
      <c r="H28" s="29"/>
      <c r="I28" s="29"/>
      <c r="J28" s="29"/>
      <c r="K28" s="29"/>
      <c r="L28" s="29"/>
      <c r="M28" s="29"/>
      <c r="N28" s="29"/>
      <c r="O28" s="29"/>
      <c r="P28" s="29"/>
      <c r="Q28" s="29"/>
      <c r="R28" s="29"/>
      <c r="S28" s="29"/>
      <c r="T28" s="22"/>
      <c r="W28" s="180"/>
      <c r="X28" s="240"/>
    </row>
    <row r="29" spans="2:24" ht="15" customHeight="1" x14ac:dyDescent="0.25">
      <c r="B29" s="79"/>
      <c r="F29" s="29"/>
      <c r="G29" s="29"/>
      <c r="H29" s="29"/>
      <c r="I29" s="29"/>
      <c r="J29" s="29"/>
      <c r="K29" s="29"/>
      <c r="L29" s="29"/>
      <c r="M29" s="29"/>
      <c r="N29" s="29"/>
      <c r="O29" s="29"/>
      <c r="P29" s="29"/>
      <c r="Q29" s="29"/>
      <c r="R29" s="29"/>
      <c r="S29" s="29"/>
      <c r="T29" s="22"/>
      <c r="W29" s="180"/>
      <c r="X29" s="240"/>
    </row>
    <row r="30" spans="2:24" ht="15" customHeight="1" x14ac:dyDescent="0.25">
      <c r="B30" s="79"/>
      <c r="F30" s="29"/>
      <c r="G30" s="29"/>
      <c r="H30" s="29"/>
      <c r="I30" s="29"/>
      <c r="J30" s="29"/>
      <c r="K30" s="29"/>
      <c r="L30" s="29"/>
      <c r="M30" s="29"/>
      <c r="N30" s="29"/>
      <c r="O30" s="29"/>
      <c r="P30" s="29"/>
      <c r="Q30" s="29"/>
      <c r="R30" s="29"/>
      <c r="S30" s="29"/>
      <c r="T30" s="22"/>
      <c r="W30" s="180"/>
      <c r="X30" s="240"/>
    </row>
    <row r="31" spans="2:24" ht="15" customHeight="1" x14ac:dyDescent="0.25">
      <c r="B31" s="79"/>
      <c r="F31" s="29"/>
      <c r="G31" s="29"/>
      <c r="H31" s="29"/>
      <c r="I31" s="29"/>
      <c r="J31" s="29"/>
      <c r="K31" s="29"/>
      <c r="L31" s="29"/>
      <c r="M31" s="29"/>
      <c r="N31" s="29"/>
      <c r="O31" s="29"/>
      <c r="P31" s="29"/>
      <c r="Q31" s="29"/>
      <c r="R31" s="29"/>
      <c r="S31" s="29"/>
      <c r="T31" s="22"/>
      <c r="W31" s="180"/>
      <c r="X31" s="240"/>
    </row>
    <row r="32" spans="2:24" ht="15.75" customHeight="1" x14ac:dyDescent="0.25">
      <c r="B32" s="79"/>
      <c r="F32" s="29"/>
      <c r="G32" s="29"/>
      <c r="H32" s="29"/>
      <c r="I32" s="29"/>
      <c r="J32" s="29"/>
      <c r="K32" s="29"/>
      <c r="L32" s="29"/>
      <c r="M32" s="29"/>
      <c r="N32" s="29"/>
      <c r="O32" s="29"/>
      <c r="P32" s="29"/>
      <c r="Q32" s="29"/>
      <c r="R32" s="29"/>
      <c r="S32" s="29"/>
      <c r="T32" s="22"/>
      <c r="W32" s="180"/>
      <c r="X32" s="240"/>
    </row>
    <row r="33" spans="2:24" ht="15" customHeight="1" x14ac:dyDescent="0.25">
      <c r="B33" s="79"/>
      <c r="F33" s="29"/>
      <c r="G33" s="29"/>
      <c r="H33" s="29"/>
      <c r="I33" s="29"/>
      <c r="J33" s="29"/>
      <c r="K33" s="29"/>
      <c r="L33" s="29"/>
      <c r="M33" s="29"/>
      <c r="N33" s="29"/>
      <c r="O33" s="29"/>
      <c r="P33" s="29"/>
      <c r="Q33" s="29"/>
      <c r="R33" s="29"/>
      <c r="S33" s="29"/>
      <c r="T33" s="22"/>
      <c r="W33" s="180"/>
      <c r="X33" s="240"/>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80"/>
      <c r="X34" s="240"/>
    </row>
    <row r="35" spans="2:24" ht="15" customHeight="1" thickBot="1" x14ac:dyDescent="0.3">
      <c r="W35" s="180"/>
      <c r="X35" s="240"/>
    </row>
    <row r="36" spans="2:24" ht="15" customHeight="1" x14ac:dyDescent="0.25">
      <c r="B36" s="262" t="s">
        <v>184</v>
      </c>
      <c r="C36" s="263"/>
      <c r="D36" s="263"/>
      <c r="E36" s="263"/>
      <c r="F36" s="263"/>
      <c r="G36" s="263"/>
      <c r="H36" s="263"/>
      <c r="I36" s="263"/>
      <c r="J36" s="263"/>
      <c r="K36" s="263"/>
      <c r="L36" s="263"/>
      <c r="M36" s="263"/>
      <c r="N36" s="263"/>
      <c r="O36" s="263"/>
      <c r="P36" s="263"/>
      <c r="Q36" s="263"/>
      <c r="R36" s="264"/>
      <c r="W36" s="180"/>
      <c r="X36" s="240"/>
    </row>
    <row r="37" spans="2:24" ht="15" customHeight="1" x14ac:dyDescent="0.25">
      <c r="B37" s="265"/>
      <c r="C37" s="266"/>
      <c r="D37" s="266"/>
      <c r="E37" s="266"/>
      <c r="F37" s="266"/>
      <c r="G37" s="266"/>
      <c r="H37" s="266"/>
      <c r="I37" s="266"/>
      <c r="J37" s="266"/>
      <c r="K37" s="266"/>
      <c r="L37" s="266"/>
      <c r="M37" s="266"/>
      <c r="N37" s="266"/>
      <c r="O37" s="266"/>
      <c r="P37" s="266"/>
      <c r="Q37" s="266"/>
      <c r="R37" s="267"/>
      <c r="W37" s="180"/>
      <c r="X37" s="240"/>
    </row>
    <row r="38" spans="2:24" ht="15" customHeight="1" x14ac:dyDescent="0.25">
      <c r="B38" s="265"/>
      <c r="C38" s="266"/>
      <c r="D38" s="266"/>
      <c r="E38" s="266"/>
      <c r="F38" s="266"/>
      <c r="G38" s="266"/>
      <c r="H38" s="266"/>
      <c r="I38" s="266"/>
      <c r="J38" s="266"/>
      <c r="K38" s="266"/>
      <c r="L38" s="266"/>
      <c r="M38" s="266"/>
      <c r="N38" s="266"/>
      <c r="O38" s="266"/>
      <c r="P38" s="266"/>
      <c r="Q38" s="266"/>
      <c r="R38" s="267"/>
      <c r="W38" s="180"/>
      <c r="X38" s="240"/>
    </row>
    <row r="39" spans="2:24" ht="15" customHeight="1" x14ac:dyDescent="0.25">
      <c r="B39" s="265"/>
      <c r="C39" s="266"/>
      <c r="D39" s="266"/>
      <c r="E39" s="266"/>
      <c r="F39" s="266"/>
      <c r="G39" s="266"/>
      <c r="H39" s="266"/>
      <c r="I39" s="266"/>
      <c r="J39" s="266"/>
      <c r="K39" s="266"/>
      <c r="L39" s="266"/>
      <c r="M39" s="266"/>
      <c r="N39" s="266"/>
      <c r="O39" s="266"/>
      <c r="P39" s="266"/>
      <c r="Q39" s="266"/>
      <c r="R39" s="267"/>
      <c r="W39" s="180"/>
      <c r="X39" s="240"/>
    </row>
    <row r="40" spans="2:24" ht="15" customHeight="1" x14ac:dyDescent="0.25">
      <c r="B40" s="265"/>
      <c r="C40" s="266"/>
      <c r="D40" s="266"/>
      <c r="E40" s="266"/>
      <c r="F40" s="266"/>
      <c r="G40" s="266"/>
      <c r="H40" s="266"/>
      <c r="I40" s="266"/>
      <c r="J40" s="266"/>
      <c r="K40" s="266"/>
      <c r="L40" s="266"/>
      <c r="M40" s="266"/>
      <c r="N40" s="266"/>
      <c r="O40" s="266"/>
      <c r="P40" s="266"/>
      <c r="Q40" s="266"/>
      <c r="R40" s="267"/>
      <c r="W40" s="180"/>
      <c r="X40" s="240"/>
    </row>
    <row r="41" spans="2:24" ht="15" customHeight="1" x14ac:dyDescent="0.25">
      <c r="B41" s="265"/>
      <c r="C41" s="266"/>
      <c r="D41" s="266"/>
      <c r="E41" s="266"/>
      <c r="F41" s="266"/>
      <c r="G41" s="266"/>
      <c r="H41" s="266"/>
      <c r="I41" s="266"/>
      <c r="J41" s="266"/>
      <c r="K41" s="266"/>
      <c r="L41" s="266"/>
      <c r="M41" s="266"/>
      <c r="N41" s="266"/>
      <c r="O41" s="266"/>
      <c r="P41" s="266"/>
      <c r="Q41" s="266"/>
      <c r="R41" s="267"/>
      <c r="W41" s="180"/>
      <c r="X41" s="240"/>
    </row>
    <row r="42" spans="2:24" ht="15" customHeight="1" thickBot="1" x14ac:dyDescent="0.3">
      <c r="B42" s="268"/>
      <c r="C42" s="269"/>
      <c r="D42" s="269"/>
      <c r="E42" s="269"/>
      <c r="F42" s="269"/>
      <c r="G42" s="269"/>
      <c r="H42" s="269"/>
      <c r="I42" s="269"/>
      <c r="J42" s="269"/>
      <c r="K42" s="269"/>
      <c r="L42" s="269"/>
      <c r="M42" s="269"/>
      <c r="N42" s="269"/>
      <c r="O42" s="269"/>
      <c r="P42" s="269"/>
      <c r="Q42" s="269"/>
      <c r="R42" s="270"/>
      <c r="X42" s="240"/>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S3"/>
    <mergeCell ref="D5:E5"/>
    <mergeCell ref="B36:R4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election activeCell="X8" sqref="X8:X36"/>
    </sheetView>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77"/>
      <c r="C2" s="78"/>
      <c r="D2" s="78"/>
      <c r="E2" s="78"/>
      <c r="F2" s="78"/>
      <c r="G2" s="78"/>
      <c r="H2" s="78"/>
      <c r="I2" s="78"/>
      <c r="J2" s="78"/>
      <c r="K2" s="78"/>
      <c r="L2" s="78"/>
      <c r="M2" s="78"/>
      <c r="N2" s="78"/>
      <c r="O2" s="78"/>
      <c r="P2" s="78"/>
      <c r="Q2" s="78"/>
      <c r="R2" s="78"/>
      <c r="S2" s="78"/>
      <c r="T2" s="21"/>
    </row>
    <row r="3" spans="1:25" ht="20.25" customHeight="1" x14ac:dyDescent="0.25">
      <c r="B3" s="79"/>
      <c r="C3" s="271" t="s">
        <v>216</v>
      </c>
      <c r="D3" s="272"/>
      <c r="E3" s="272"/>
      <c r="F3" s="272"/>
      <c r="G3" s="272"/>
      <c r="H3" s="272"/>
      <c r="I3" s="272"/>
      <c r="J3" s="272"/>
      <c r="K3" s="272"/>
      <c r="L3" s="272"/>
      <c r="M3" s="272"/>
      <c r="N3" s="272"/>
      <c r="O3" s="272"/>
      <c r="P3" s="272"/>
      <c r="Q3" s="272"/>
      <c r="R3" s="272"/>
      <c r="S3" s="272"/>
      <c r="T3" s="22"/>
    </row>
    <row r="4" spans="1:25" ht="15.75" customHeight="1" x14ac:dyDescent="0.25">
      <c r="B4" s="79"/>
      <c r="C4" s="67" t="s">
        <v>356</v>
      </c>
      <c r="D4" s="29"/>
      <c r="E4" s="29"/>
      <c r="F4" s="29"/>
      <c r="G4" s="29"/>
      <c r="H4" s="29"/>
      <c r="I4" s="29"/>
      <c r="J4" s="29"/>
      <c r="K4" s="29"/>
      <c r="L4" s="29"/>
      <c r="M4" s="29"/>
      <c r="N4" s="29"/>
      <c r="O4" s="29"/>
      <c r="P4" s="29"/>
      <c r="Q4" s="29"/>
      <c r="R4" s="29"/>
      <c r="S4" s="29"/>
      <c r="T4" s="22"/>
    </row>
    <row r="5" spans="1:25" ht="18" customHeight="1" x14ac:dyDescent="0.25">
      <c r="B5" s="79"/>
      <c r="C5" s="222" t="s">
        <v>357</v>
      </c>
      <c r="D5" s="273" t="s">
        <v>371</v>
      </c>
      <c r="E5" s="273"/>
      <c r="F5" s="29"/>
      <c r="G5" s="29"/>
      <c r="H5" s="29"/>
      <c r="I5" s="29"/>
      <c r="J5" s="29"/>
      <c r="K5" s="29"/>
      <c r="L5" s="29"/>
      <c r="M5" s="29"/>
      <c r="N5" s="29"/>
      <c r="O5" s="29"/>
      <c r="P5" s="29"/>
      <c r="Q5" s="29"/>
      <c r="R5" s="29"/>
      <c r="S5" s="29"/>
      <c r="T5" s="22"/>
    </row>
    <row r="6" spans="1:25" ht="15" customHeight="1" x14ac:dyDescent="0.25">
      <c r="B6" s="79"/>
      <c r="C6" s="29"/>
      <c r="D6" s="29"/>
      <c r="E6" s="29"/>
      <c r="F6" s="29"/>
      <c r="G6" s="29"/>
      <c r="H6" s="29"/>
      <c r="I6" s="29"/>
      <c r="J6" s="29"/>
      <c r="K6" s="29"/>
      <c r="L6" s="29"/>
      <c r="M6" s="29"/>
      <c r="N6" s="29"/>
      <c r="O6" s="29"/>
      <c r="P6" s="29"/>
      <c r="Q6" s="29"/>
      <c r="R6" s="29"/>
      <c r="S6" s="29"/>
      <c r="T6" s="22"/>
    </row>
    <row r="7" spans="1:25"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5" ht="15" customHeight="1" x14ac:dyDescent="0.25">
      <c r="B8" s="79"/>
      <c r="C8" s="194" t="s">
        <v>29</v>
      </c>
      <c r="D8" s="195" t="s">
        <v>3</v>
      </c>
      <c r="E8" s="196">
        <v>5.8881999999999997E-2</v>
      </c>
      <c r="F8" s="29"/>
      <c r="G8" s="29"/>
      <c r="H8" s="29"/>
      <c r="I8" s="29"/>
      <c r="J8" s="29"/>
      <c r="K8" s="29"/>
      <c r="L8" s="29"/>
      <c r="M8" s="29"/>
      <c r="N8" s="29"/>
      <c r="O8" s="29"/>
      <c r="P8" s="29"/>
      <c r="Q8" s="29"/>
      <c r="R8" s="29"/>
      <c r="S8" s="29"/>
      <c r="T8" s="22"/>
      <c r="W8" s="173" t="s">
        <v>3</v>
      </c>
      <c r="X8" s="174">
        <v>0.19780799999999998</v>
      </c>
      <c r="Y8" s="149"/>
    </row>
    <row r="9" spans="1:25" ht="15.75" customHeight="1" x14ac:dyDescent="0.25">
      <c r="B9" s="79"/>
      <c r="C9" s="188" t="s">
        <v>32</v>
      </c>
      <c r="D9" s="197" t="s">
        <v>3</v>
      </c>
      <c r="E9" s="198">
        <v>5.1930999999999998E-2</v>
      </c>
      <c r="F9" s="29"/>
      <c r="G9" s="29"/>
      <c r="H9" s="29"/>
      <c r="I9" s="29"/>
      <c r="J9" s="29"/>
      <c r="K9" s="29"/>
      <c r="L9" s="29"/>
      <c r="M9" s="29"/>
      <c r="N9" s="29"/>
      <c r="O9" s="29"/>
      <c r="P9" s="29"/>
      <c r="Q9" s="29"/>
      <c r="R9" s="29"/>
      <c r="S9" s="29"/>
      <c r="T9" s="22"/>
      <c r="W9" s="173" t="s">
        <v>108</v>
      </c>
      <c r="X9" s="174">
        <v>9.3319000000000013E-2</v>
      </c>
      <c r="Y9" s="149"/>
    </row>
    <row r="10" spans="1:25" ht="15" customHeight="1" x14ac:dyDescent="0.25">
      <c r="B10" s="79"/>
      <c r="C10" s="188" t="s">
        <v>31</v>
      </c>
      <c r="D10" s="197" t="s">
        <v>6</v>
      </c>
      <c r="E10" s="198">
        <v>5.0196999999999999E-2</v>
      </c>
      <c r="F10" s="29"/>
      <c r="G10" s="29"/>
      <c r="H10" s="29"/>
      <c r="I10" s="29"/>
      <c r="J10" s="29"/>
      <c r="K10" s="29"/>
      <c r="L10" s="29"/>
      <c r="M10" s="29"/>
      <c r="N10" s="29"/>
      <c r="O10" s="29"/>
      <c r="P10" s="29"/>
      <c r="Q10" s="29"/>
      <c r="R10" s="29"/>
      <c r="S10" s="29"/>
      <c r="T10" s="22"/>
      <c r="W10" s="173" t="s">
        <v>112</v>
      </c>
      <c r="X10" s="174">
        <v>8.7674000000000002E-2</v>
      </c>
      <c r="Y10" s="149"/>
    </row>
    <row r="11" spans="1:25" ht="15" customHeight="1" x14ac:dyDescent="0.25">
      <c r="B11" s="79"/>
      <c r="C11" s="188" t="s">
        <v>36</v>
      </c>
      <c r="D11" s="197" t="s">
        <v>3</v>
      </c>
      <c r="E11" s="198">
        <v>4.1889000000000003E-2</v>
      </c>
      <c r="F11" s="29"/>
      <c r="G11" s="29"/>
      <c r="H11" s="29"/>
      <c r="I11" s="29"/>
      <c r="J11" s="29"/>
      <c r="K11" s="29"/>
      <c r="L11" s="29"/>
      <c r="M11" s="29"/>
      <c r="N11" s="29"/>
      <c r="O11" s="29"/>
      <c r="P11" s="29"/>
      <c r="Q11" s="29"/>
      <c r="R11" s="29"/>
      <c r="S11" s="29"/>
      <c r="T11" s="22"/>
      <c r="W11" s="173" t="s">
        <v>23</v>
      </c>
      <c r="X11" s="174">
        <v>5.3443999999999998E-2</v>
      </c>
      <c r="Y11" s="149"/>
    </row>
    <row r="12" spans="1:25" ht="15" customHeight="1" x14ac:dyDescent="0.25">
      <c r="B12" s="79"/>
      <c r="C12" s="188" t="s">
        <v>28</v>
      </c>
      <c r="D12" s="197" t="s">
        <v>108</v>
      </c>
      <c r="E12" s="198">
        <v>3.5707000000000003E-2</v>
      </c>
      <c r="F12" s="29"/>
      <c r="G12" s="29"/>
      <c r="H12" s="29"/>
      <c r="I12" s="29"/>
      <c r="J12" s="29"/>
      <c r="K12" s="29"/>
      <c r="L12" s="29"/>
      <c r="M12" s="29"/>
      <c r="N12" s="29"/>
      <c r="O12" s="29"/>
      <c r="P12" s="29"/>
      <c r="Q12" s="29"/>
      <c r="R12" s="29"/>
      <c r="S12" s="29"/>
      <c r="T12" s="22"/>
      <c r="W12" s="173" t="s">
        <v>6</v>
      </c>
      <c r="X12" s="174">
        <v>5.0196999999999999E-2</v>
      </c>
      <c r="Y12" s="149"/>
    </row>
    <row r="13" spans="1:25" ht="15" customHeight="1" x14ac:dyDescent="0.25">
      <c r="B13" s="79"/>
      <c r="C13" s="188" t="s">
        <v>70</v>
      </c>
      <c r="D13" s="197" t="s">
        <v>12</v>
      </c>
      <c r="E13" s="198">
        <v>2.5571E-2</v>
      </c>
      <c r="F13" s="29"/>
      <c r="G13" s="29"/>
      <c r="H13" s="29"/>
      <c r="I13" s="29"/>
      <c r="J13" s="29"/>
      <c r="K13" s="29"/>
      <c r="L13" s="29"/>
      <c r="M13" s="29"/>
      <c r="N13" s="29"/>
      <c r="O13" s="29"/>
      <c r="P13" s="29"/>
      <c r="Q13" s="29"/>
      <c r="R13" s="29"/>
      <c r="S13" s="29"/>
      <c r="T13" s="22"/>
      <c r="W13" s="173" t="s">
        <v>113</v>
      </c>
      <c r="X13" s="174">
        <v>4.5464999999999998E-2</v>
      </c>
      <c r="Y13" s="149"/>
    </row>
    <row r="14" spans="1:25" ht="15" customHeight="1" x14ac:dyDescent="0.25">
      <c r="B14" s="79"/>
      <c r="C14" s="188" t="s">
        <v>62</v>
      </c>
      <c r="D14" s="197" t="s">
        <v>10</v>
      </c>
      <c r="E14" s="198">
        <v>2.4107E-2</v>
      </c>
      <c r="F14" s="29"/>
      <c r="G14" s="29"/>
      <c r="H14" s="29"/>
      <c r="I14" s="29"/>
      <c r="J14" s="29"/>
      <c r="K14" s="29"/>
      <c r="L14" s="29"/>
      <c r="M14" s="29"/>
      <c r="N14" s="29"/>
      <c r="O14" s="29"/>
      <c r="P14" s="29"/>
      <c r="Q14" s="29"/>
      <c r="R14" s="29"/>
      <c r="S14" s="29"/>
      <c r="T14" s="22"/>
      <c r="W14" s="173" t="s">
        <v>87</v>
      </c>
      <c r="X14" s="174">
        <v>3.6979999999999999E-2</v>
      </c>
      <c r="Y14" s="149"/>
    </row>
    <row r="15" spans="1:25" ht="15" customHeight="1" x14ac:dyDescent="0.25">
      <c r="B15" s="79"/>
      <c r="C15" s="188" t="s">
        <v>76</v>
      </c>
      <c r="D15" s="197" t="s">
        <v>11</v>
      </c>
      <c r="E15" s="198">
        <v>2.1205999999999999E-2</v>
      </c>
      <c r="F15" s="29"/>
      <c r="G15" s="29"/>
      <c r="H15" s="29"/>
      <c r="I15" s="29"/>
      <c r="J15" s="29"/>
      <c r="K15" s="29"/>
      <c r="L15" s="29"/>
      <c r="M15" s="29"/>
      <c r="N15" s="29"/>
      <c r="O15" s="29"/>
      <c r="P15" s="29"/>
      <c r="Q15" s="29"/>
      <c r="R15" s="29"/>
      <c r="S15" s="29"/>
      <c r="T15" s="22"/>
      <c r="W15" s="173" t="s">
        <v>111</v>
      </c>
      <c r="X15" s="174">
        <v>3.6700999999999998E-2</v>
      </c>
      <c r="Y15" s="149"/>
    </row>
    <row r="16" spans="1:25" ht="15" customHeight="1" x14ac:dyDescent="0.25">
      <c r="B16" s="79"/>
      <c r="C16" s="188" t="s">
        <v>99</v>
      </c>
      <c r="D16" s="197" t="s">
        <v>120</v>
      </c>
      <c r="E16" s="198">
        <v>2.1159000000000001E-2</v>
      </c>
      <c r="F16" s="29"/>
      <c r="G16" s="29"/>
      <c r="H16" s="29"/>
      <c r="I16" s="29"/>
      <c r="J16" s="29"/>
      <c r="K16" s="29"/>
      <c r="L16" s="29"/>
      <c r="M16" s="29"/>
      <c r="N16" s="29"/>
      <c r="O16" s="29"/>
      <c r="P16" s="29"/>
      <c r="Q16" s="29"/>
      <c r="R16" s="29"/>
      <c r="S16" s="29"/>
      <c r="T16" s="22"/>
      <c r="W16" s="173" t="s">
        <v>4</v>
      </c>
      <c r="X16" s="174">
        <v>3.0246000000000002E-2</v>
      </c>
      <c r="Y16" s="149"/>
    </row>
    <row r="17" spans="2:25" ht="15" customHeight="1" x14ac:dyDescent="0.25">
      <c r="B17" s="79"/>
      <c r="C17" s="188" t="s">
        <v>105</v>
      </c>
      <c r="D17" s="197" t="s">
        <v>112</v>
      </c>
      <c r="E17" s="198">
        <v>1.9119000000000001E-2</v>
      </c>
      <c r="F17" s="29"/>
      <c r="G17" s="29"/>
      <c r="H17" s="29"/>
      <c r="I17" s="29"/>
      <c r="J17" s="29"/>
      <c r="K17" s="29"/>
      <c r="L17" s="29"/>
      <c r="M17" s="29"/>
      <c r="N17" s="29"/>
      <c r="O17" s="29"/>
      <c r="P17" s="29"/>
      <c r="Q17" s="29"/>
      <c r="R17" s="29"/>
      <c r="S17" s="29"/>
      <c r="T17" s="22"/>
      <c r="W17" s="173" t="s">
        <v>10</v>
      </c>
      <c r="X17" s="174">
        <v>2.9864999999999999E-2</v>
      </c>
      <c r="Y17" s="149"/>
    </row>
    <row r="18" spans="2:25" ht="15" customHeight="1" x14ac:dyDescent="0.25">
      <c r="B18" s="79"/>
      <c r="C18" s="188" t="s">
        <v>97</v>
      </c>
      <c r="D18" s="197" t="s">
        <v>113</v>
      </c>
      <c r="E18" s="198">
        <v>1.8001E-2</v>
      </c>
      <c r="F18" s="29"/>
      <c r="G18" s="29"/>
      <c r="H18" s="29"/>
      <c r="I18" s="29"/>
      <c r="J18" s="29"/>
      <c r="K18" s="29"/>
      <c r="L18" s="29"/>
      <c r="M18" s="29"/>
      <c r="N18" s="29"/>
      <c r="O18" s="29"/>
      <c r="P18" s="29"/>
      <c r="Q18" s="29"/>
      <c r="R18" s="29"/>
      <c r="S18" s="29"/>
      <c r="T18" s="22"/>
      <c r="W18" s="173" t="s">
        <v>11</v>
      </c>
      <c r="X18" s="174">
        <v>2.8944999999999999E-2</v>
      </c>
      <c r="Y18" s="149"/>
    </row>
    <row r="19" spans="2:25" ht="15" customHeight="1" x14ac:dyDescent="0.25">
      <c r="B19" s="79"/>
      <c r="C19" s="188" t="s">
        <v>279</v>
      </c>
      <c r="D19" s="197" t="s">
        <v>23</v>
      </c>
      <c r="E19" s="198">
        <v>1.7836000000000001E-2</v>
      </c>
      <c r="F19" s="29"/>
      <c r="G19" s="29"/>
      <c r="H19" s="29"/>
      <c r="I19" s="29"/>
      <c r="J19" s="29"/>
      <c r="K19" s="29"/>
      <c r="L19" s="29"/>
      <c r="M19" s="29"/>
      <c r="N19" s="29"/>
      <c r="O19" s="29"/>
      <c r="P19" s="29"/>
      <c r="Q19" s="29"/>
      <c r="R19" s="29"/>
      <c r="S19" s="29"/>
      <c r="T19" s="22"/>
      <c r="W19" s="173" t="s">
        <v>85</v>
      </c>
      <c r="X19" s="174">
        <v>2.6790999999999999E-2</v>
      </c>
      <c r="Y19" s="149"/>
    </row>
    <row r="20" spans="2:25" ht="15" customHeight="1" x14ac:dyDescent="0.25">
      <c r="B20" s="79"/>
      <c r="C20" s="188" t="s">
        <v>243</v>
      </c>
      <c r="D20" s="197" t="s">
        <v>87</v>
      </c>
      <c r="E20" s="198">
        <v>1.7741E-2</v>
      </c>
      <c r="F20" s="29"/>
      <c r="G20" s="29"/>
      <c r="H20" s="29"/>
      <c r="I20" s="29"/>
      <c r="J20" s="29"/>
      <c r="K20" s="29"/>
      <c r="L20" s="29"/>
      <c r="M20" s="29"/>
      <c r="N20" s="29"/>
      <c r="O20" s="29"/>
      <c r="P20" s="29"/>
      <c r="Q20" s="29"/>
      <c r="R20" s="29"/>
      <c r="S20" s="29"/>
      <c r="T20" s="22"/>
      <c r="W20" s="173" t="s">
        <v>12</v>
      </c>
      <c r="X20" s="174">
        <v>2.5571E-2</v>
      </c>
      <c r="Y20" s="149"/>
    </row>
    <row r="21" spans="2:25" ht="15" customHeight="1" x14ac:dyDescent="0.25">
      <c r="B21" s="79"/>
      <c r="C21" s="188" t="s">
        <v>110</v>
      </c>
      <c r="D21" s="197" t="s">
        <v>111</v>
      </c>
      <c r="E21" s="198">
        <v>1.7676999999999998E-2</v>
      </c>
      <c r="F21" s="29"/>
      <c r="G21" s="29"/>
      <c r="H21" s="29"/>
      <c r="I21" s="29"/>
      <c r="J21" s="29"/>
      <c r="K21" s="29"/>
      <c r="L21" s="29"/>
      <c r="M21" s="29"/>
      <c r="N21" s="29"/>
      <c r="O21" s="29"/>
      <c r="P21" s="29"/>
      <c r="Q21" s="29"/>
      <c r="R21" s="29"/>
      <c r="S21" s="29"/>
      <c r="T21" s="22"/>
      <c r="W21" s="173" t="s">
        <v>107</v>
      </c>
      <c r="X21" s="174">
        <v>2.5488E-2</v>
      </c>
      <c r="Y21" s="149"/>
    </row>
    <row r="22" spans="2:25" ht="15" customHeight="1" x14ac:dyDescent="0.25">
      <c r="B22" s="79"/>
      <c r="C22" s="188" t="s">
        <v>30</v>
      </c>
      <c r="D22" s="197" t="s">
        <v>118</v>
      </c>
      <c r="E22" s="198">
        <v>1.7614999999999999E-2</v>
      </c>
      <c r="F22" s="29"/>
      <c r="G22" s="29"/>
      <c r="H22" s="29"/>
      <c r="I22" s="29"/>
      <c r="J22" s="29"/>
      <c r="K22" s="29"/>
      <c r="L22" s="29"/>
      <c r="M22" s="29"/>
      <c r="N22" s="29"/>
      <c r="O22" s="29"/>
      <c r="P22" s="29"/>
      <c r="Q22" s="29"/>
      <c r="R22" s="29"/>
      <c r="S22" s="29"/>
      <c r="T22" s="22"/>
      <c r="W22" s="173" t="s">
        <v>26</v>
      </c>
      <c r="X22" s="174">
        <v>2.3649999999999997E-2</v>
      </c>
      <c r="Y22" s="149"/>
    </row>
    <row r="23" spans="2:25" ht="15" customHeight="1" x14ac:dyDescent="0.25">
      <c r="B23" s="79"/>
      <c r="C23" s="71"/>
      <c r="D23" s="71"/>
      <c r="E23" s="72"/>
      <c r="F23" s="29"/>
      <c r="G23" s="29"/>
      <c r="H23" s="29"/>
      <c r="I23" s="29"/>
      <c r="J23" s="29"/>
      <c r="K23" s="29"/>
      <c r="L23" s="29"/>
      <c r="M23" s="29"/>
      <c r="N23" s="29"/>
      <c r="O23" s="29"/>
      <c r="P23" s="29"/>
      <c r="Q23" s="29"/>
      <c r="R23" s="29"/>
      <c r="S23" s="29"/>
      <c r="T23" s="22"/>
      <c r="W23" s="173" t="s">
        <v>120</v>
      </c>
      <c r="X23" s="174">
        <v>2.1159000000000001E-2</v>
      </c>
      <c r="Y23" s="149"/>
    </row>
    <row r="24" spans="2:25" ht="15" customHeight="1" x14ac:dyDescent="0.25">
      <c r="B24" s="79"/>
      <c r="C24" s="73" t="s">
        <v>55</v>
      </c>
      <c r="D24" s="74"/>
      <c r="E24" s="75">
        <f>SUM(E8:E22)</f>
        <v>0.43863799999999997</v>
      </c>
      <c r="F24" s="29"/>
      <c r="G24" s="29"/>
      <c r="H24" s="29"/>
      <c r="I24" s="29"/>
      <c r="J24" s="29"/>
      <c r="K24" s="29"/>
      <c r="L24" s="29"/>
      <c r="M24" s="29"/>
      <c r="N24" s="29"/>
      <c r="O24" s="29"/>
      <c r="P24" s="29"/>
      <c r="Q24" s="29"/>
      <c r="R24" s="29"/>
      <c r="S24" s="29"/>
      <c r="T24" s="22"/>
      <c r="W24" s="173" t="s">
        <v>109</v>
      </c>
      <c r="X24" s="174">
        <v>1.8308000000000001E-2</v>
      </c>
      <c r="Y24" s="149"/>
    </row>
    <row r="25" spans="2:25" ht="15" customHeight="1" x14ac:dyDescent="0.25">
      <c r="B25" s="79"/>
      <c r="F25" s="29"/>
      <c r="G25" s="29"/>
      <c r="H25" s="29"/>
      <c r="I25" s="29"/>
      <c r="J25" s="29"/>
      <c r="K25" s="29"/>
      <c r="L25" s="29"/>
      <c r="M25" s="29"/>
      <c r="N25" s="29"/>
      <c r="O25" s="29"/>
      <c r="P25" s="29"/>
      <c r="Q25" s="29"/>
      <c r="R25" s="29"/>
      <c r="S25" s="29"/>
      <c r="T25" s="22"/>
      <c r="W25" s="173" t="s">
        <v>84</v>
      </c>
      <c r="X25" s="174">
        <v>1.8197999999999999E-2</v>
      </c>
      <c r="Y25" s="149"/>
    </row>
    <row r="26" spans="2:25" ht="15" customHeight="1" x14ac:dyDescent="0.25">
      <c r="B26" s="79"/>
      <c r="F26" s="29"/>
      <c r="G26" s="29"/>
      <c r="H26" s="29"/>
      <c r="I26" s="29"/>
      <c r="J26" s="29"/>
      <c r="K26" s="29"/>
      <c r="L26" s="29"/>
      <c r="M26" s="29"/>
      <c r="N26" s="29"/>
      <c r="O26" s="29"/>
      <c r="P26" s="29"/>
      <c r="Q26" s="29"/>
      <c r="R26" s="29"/>
      <c r="S26" s="29"/>
      <c r="T26" s="22"/>
      <c r="W26" s="173" t="s">
        <v>118</v>
      </c>
      <c r="X26" s="174">
        <v>1.7614999999999999E-2</v>
      </c>
      <c r="Y26" s="149"/>
    </row>
    <row r="27" spans="2:25" ht="15" customHeight="1" x14ac:dyDescent="0.25">
      <c r="B27" s="79"/>
      <c r="F27" s="29"/>
      <c r="G27" s="29"/>
      <c r="H27" s="29"/>
      <c r="I27" s="29"/>
      <c r="J27" s="29"/>
      <c r="K27" s="29"/>
      <c r="L27" s="29"/>
      <c r="M27" s="29"/>
      <c r="N27" s="29"/>
      <c r="O27" s="29"/>
      <c r="P27" s="29"/>
      <c r="Q27" s="29"/>
      <c r="R27" s="29"/>
      <c r="S27" s="29"/>
      <c r="T27" s="22"/>
      <c r="W27" s="173" t="s">
        <v>114</v>
      </c>
      <c r="X27" s="174">
        <v>1.5960999999999999E-2</v>
      </c>
      <c r="Y27" s="149"/>
    </row>
    <row r="28" spans="2:25" ht="15" customHeight="1" x14ac:dyDescent="0.25">
      <c r="B28" s="79"/>
      <c r="F28" s="29"/>
      <c r="G28" s="29"/>
      <c r="H28" s="29"/>
      <c r="I28" s="29"/>
      <c r="J28" s="29"/>
      <c r="K28" s="29"/>
      <c r="L28" s="29"/>
      <c r="M28" s="29"/>
      <c r="N28" s="29"/>
      <c r="O28" s="29"/>
      <c r="P28" s="29"/>
      <c r="Q28" s="29"/>
      <c r="R28" s="29"/>
      <c r="S28" s="29"/>
      <c r="T28" s="22"/>
      <c r="W28" s="173" t="s">
        <v>16</v>
      </c>
      <c r="X28" s="174">
        <v>1.5486E-2</v>
      </c>
      <c r="Y28" s="149"/>
    </row>
    <row r="29" spans="2:25" ht="15" customHeight="1" x14ac:dyDescent="0.25">
      <c r="B29" s="79"/>
      <c r="F29" s="29"/>
      <c r="G29" s="29"/>
      <c r="H29" s="29"/>
      <c r="I29" s="29"/>
      <c r="J29" s="29"/>
      <c r="K29" s="29"/>
      <c r="L29" s="29"/>
      <c r="M29" s="29"/>
      <c r="N29" s="29"/>
      <c r="O29" s="29"/>
      <c r="P29" s="29"/>
      <c r="Q29" s="29"/>
      <c r="R29" s="29"/>
      <c r="S29" s="29"/>
      <c r="T29" s="22"/>
      <c r="W29" s="173" t="s">
        <v>15</v>
      </c>
      <c r="X29" s="174">
        <v>1.234E-2</v>
      </c>
      <c r="Y29" s="149"/>
    </row>
    <row r="30" spans="2:25" ht="15" customHeight="1" x14ac:dyDescent="0.25">
      <c r="B30" s="79"/>
      <c r="F30" s="29"/>
      <c r="G30" s="29"/>
      <c r="H30" s="29"/>
      <c r="I30" s="29"/>
      <c r="J30" s="29"/>
      <c r="K30" s="29"/>
      <c r="L30" s="29"/>
      <c r="M30" s="29"/>
      <c r="N30" s="29"/>
      <c r="O30" s="29"/>
      <c r="P30" s="29"/>
      <c r="Q30" s="29"/>
      <c r="R30" s="29"/>
      <c r="S30" s="29"/>
      <c r="T30" s="22"/>
      <c r="W30" s="173" t="s">
        <v>122</v>
      </c>
      <c r="X30" s="174">
        <v>1.1901999999999999E-2</v>
      </c>
    </row>
    <row r="31" spans="2:25" ht="15" customHeight="1" x14ac:dyDescent="0.25">
      <c r="B31" s="79"/>
      <c r="F31" s="29"/>
      <c r="G31" s="29"/>
      <c r="H31" s="29"/>
      <c r="I31" s="29"/>
      <c r="J31" s="29"/>
      <c r="K31" s="29"/>
      <c r="L31" s="29"/>
      <c r="M31" s="29"/>
      <c r="N31" s="29"/>
      <c r="O31" s="29"/>
      <c r="P31" s="29"/>
      <c r="Q31" s="29"/>
      <c r="R31" s="29"/>
      <c r="S31" s="29"/>
      <c r="T31" s="22"/>
      <c r="W31" s="173" t="s">
        <v>134</v>
      </c>
      <c r="X31" s="174">
        <v>1.0456999999999999E-2</v>
      </c>
    </row>
    <row r="32" spans="2:25" ht="15" customHeight="1" x14ac:dyDescent="0.25">
      <c r="B32" s="79"/>
      <c r="F32" s="29"/>
      <c r="G32" s="29"/>
      <c r="H32" s="29"/>
      <c r="I32" s="29"/>
      <c r="J32" s="29"/>
      <c r="K32" s="29"/>
      <c r="L32" s="29"/>
      <c r="M32" s="29"/>
      <c r="N32" s="29"/>
      <c r="O32" s="29"/>
      <c r="P32" s="29"/>
      <c r="Q32" s="29"/>
      <c r="R32" s="29"/>
      <c r="S32" s="29"/>
      <c r="T32" s="22"/>
      <c r="W32" s="173" t="s">
        <v>125</v>
      </c>
      <c r="X32" s="174">
        <v>9.4330000000000004E-3</v>
      </c>
    </row>
    <row r="33" spans="2:24" ht="15" customHeight="1" x14ac:dyDescent="0.25">
      <c r="B33" s="79"/>
      <c r="F33" s="29"/>
      <c r="G33" s="29"/>
      <c r="H33" s="29"/>
      <c r="I33" s="29"/>
      <c r="J33" s="29"/>
      <c r="K33" s="29"/>
      <c r="L33" s="29"/>
      <c r="M33" s="29"/>
      <c r="N33" s="29"/>
      <c r="O33" s="29"/>
      <c r="P33" s="29"/>
      <c r="Q33" s="29"/>
      <c r="R33" s="29"/>
      <c r="S33" s="29"/>
      <c r="T33" s="22"/>
      <c r="W33" s="173" t="s">
        <v>119</v>
      </c>
      <c r="X33" s="174">
        <v>8.7189999999999993E-3</v>
      </c>
    </row>
    <row r="34" spans="2:24" ht="15" customHeight="1" x14ac:dyDescent="0.25">
      <c r="B34" s="79"/>
      <c r="F34" s="29"/>
      <c r="G34" s="29"/>
      <c r="H34" s="29"/>
      <c r="I34" s="29"/>
      <c r="J34" s="29"/>
      <c r="K34" s="29"/>
      <c r="L34" s="29"/>
      <c r="M34" s="29"/>
      <c r="N34" s="29"/>
      <c r="O34" s="29"/>
      <c r="P34" s="29"/>
      <c r="Q34" s="29"/>
      <c r="R34" s="29"/>
      <c r="S34" s="29"/>
      <c r="T34" s="22"/>
      <c r="W34" s="173" t="s">
        <v>223</v>
      </c>
      <c r="X34" s="174">
        <v>6.6819999999999996E-3</v>
      </c>
    </row>
    <row r="35" spans="2:24" ht="15" customHeight="1" x14ac:dyDescent="0.25">
      <c r="B35" s="79"/>
      <c r="F35" s="29"/>
      <c r="G35" s="29"/>
      <c r="H35" s="29"/>
      <c r="I35" s="29"/>
      <c r="J35" s="29"/>
      <c r="K35" s="29"/>
      <c r="L35" s="29"/>
      <c r="M35" s="29"/>
      <c r="N35" s="29"/>
      <c r="O35" s="29"/>
      <c r="P35" s="29"/>
      <c r="Q35" s="29"/>
      <c r="R35" s="29"/>
      <c r="S35" s="29"/>
      <c r="T35" s="22"/>
      <c r="W35" s="173" t="s">
        <v>117</v>
      </c>
      <c r="X35" s="174">
        <v>5.9300000000000004E-3</v>
      </c>
    </row>
    <row r="36" spans="2:24" ht="15" customHeight="1" x14ac:dyDescent="0.25">
      <c r="B36" s="79"/>
      <c r="F36" s="29"/>
      <c r="G36" s="29"/>
      <c r="H36" s="29"/>
      <c r="I36" s="29"/>
      <c r="J36" s="29"/>
      <c r="K36" s="29"/>
      <c r="L36" s="29"/>
      <c r="M36" s="29"/>
      <c r="N36" s="29"/>
      <c r="O36" s="29"/>
      <c r="P36" s="29"/>
      <c r="Q36" s="29"/>
      <c r="R36" s="29"/>
      <c r="S36" s="29"/>
      <c r="T36" s="22"/>
      <c r="W36" s="173" t="s">
        <v>24</v>
      </c>
      <c r="X36" s="174">
        <v>3.9370000000000004E-3</v>
      </c>
    </row>
    <row r="37" spans="2:24" ht="15" customHeight="1" x14ac:dyDescent="0.25">
      <c r="B37" s="79"/>
      <c r="F37" s="29"/>
      <c r="G37" s="29"/>
      <c r="H37" s="29"/>
      <c r="I37" s="29"/>
      <c r="J37" s="29"/>
      <c r="K37" s="29"/>
      <c r="L37" s="29"/>
      <c r="M37" s="29"/>
      <c r="N37" s="29"/>
      <c r="O37" s="29"/>
      <c r="P37" s="29"/>
      <c r="Q37" s="29"/>
      <c r="R37" s="29"/>
      <c r="S37" s="29"/>
      <c r="T37" s="22"/>
      <c r="W37" s="173"/>
      <c r="X37" s="174"/>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X38" s="174"/>
    </row>
    <row r="39" spans="2:24" ht="15" customHeight="1" thickBot="1" x14ac:dyDescent="0.3"/>
    <row r="40" spans="2:24" ht="15" customHeight="1" x14ac:dyDescent="0.25">
      <c r="B40" s="262" t="s">
        <v>184</v>
      </c>
      <c r="C40" s="263"/>
      <c r="D40" s="263"/>
      <c r="E40" s="263"/>
      <c r="F40" s="263"/>
      <c r="G40" s="263"/>
      <c r="H40" s="263"/>
      <c r="I40" s="263"/>
      <c r="J40" s="263"/>
      <c r="K40" s="263"/>
      <c r="L40" s="263"/>
      <c r="M40" s="263"/>
      <c r="N40" s="263"/>
      <c r="O40" s="263"/>
      <c r="P40" s="263"/>
      <c r="Q40" s="263"/>
      <c r="R40" s="264"/>
    </row>
    <row r="41" spans="2:24" ht="15" customHeight="1" x14ac:dyDescent="0.25">
      <c r="B41" s="265"/>
      <c r="C41" s="266"/>
      <c r="D41" s="266"/>
      <c r="E41" s="266"/>
      <c r="F41" s="266"/>
      <c r="G41" s="266"/>
      <c r="H41" s="266"/>
      <c r="I41" s="266"/>
      <c r="J41" s="266"/>
      <c r="K41" s="266"/>
      <c r="L41" s="266"/>
      <c r="M41" s="266"/>
      <c r="N41" s="266"/>
      <c r="O41" s="266"/>
      <c r="P41" s="266"/>
      <c r="Q41" s="266"/>
      <c r="R41" s="267"/>
    </row>
    <row r="42" spans="2:24" ht="15" customHeight="1" x14ac:dyDescent="0.25">
      <c r="B42" s="265"/>
      <c r="C42" s="266"/>
      <c r="D42" s="266"/>
      <c r="E42" s="266"/>
      <c r="F42" s="266"/>
      <c r="G42" s="266"/>
      <c r="H42" s="266"/>
      <c r="I42" s="266"/>
      <c r="J42" s="266"/>
      <c r="K42" s="266"/>
      <c r="L42" s="266"/>
      <c r="M42" s="266"/>
      <c r="N42" s="266"/>
      <c r="O42" s="266"/>
      <c r="P42" s="266"/>
      <c r="Q42" s="266"/>
      <c r="R42" s="267"/>
    </row>
    <row r="43" spans="2:24" ht="15" customHeight="1" x14ac:dyDescent="0.25">
      <c r="B43" s="265"/>
      <c r="C43" s="266"/>
      <c r="D43" s="266"/>
      <c r="E43" s="266"/>
      <c r="F43" s="266"/>
      <c r="G43" s="266"/>
      <c r="H43" s="266"/>
      <c r="I43" s="266"/>
      <c r="J43" s="266"/>
      <c r="K43" s="266"/>
      <c r="L43" s="266"/>
      <c r="M43" s="266"/>
      <c r="N43" s="266"/>
      <c r="O43" s="266"/>
      <c r="P43" s="266"/>
      <c r="Q43" s="266"/>
      <c r="R43" s="267"/>
    </row>
    <row r="44" spans="2:24" ht="15" customHeight="1" x14ac:dyDescent="0.25">
      <c r="B44" s="265"/>
      <c r="C44" s="266"/>
      <c r="D44" s="266"/>
      <c r="E44" s="266"/>
      <c r="F44" s="266"/>
      <c r="G44" s="266"/>
      <c r="H44" s="266"/>
      <c r="I44" s="266"/>
      <c r="J44" s="266"/>
      <c r="K44" s="266"/>
      <c r="L44" s="266"/>
      <c r="M44" s="266"/>
      <c r="N44" s="266"/>
      <c r="O44" s="266"/>
      <c r="P44" s="266"/>
      <c r="Q44" s="266"/>
      <c r="R44" s="267"/>
    </row>
    <row r="45" spans="2:24" ht="15" customHeight="1" x14ac:dyDescent="0.25">
      <c r="B45" s="265"/>
      <c r="C45" s="266"/>
      <c r="D45" s="266"/>
      <c r="E45" s="266"/>
      <c r="F45" s="266"/>
      <c r="G45" s="266"/>
      <c r="H45" s="266"/>
      <c r="I45" s="266"/>
      <c r="J45" s="266"/>
      <c r="K45" s="266"/>
      <c r="L45" s="266"/>
      <c r="M45" s="266"/>
      <c r="N45" s="266"/>
      <c r="O45" s="266"/>
      <c r="P45" s="266"/>
      <c r="Q45" s="266"/>
      <c r="R45" s="267"/>
    </row>
    <row r="46" spans="2:24" ht="15" customHeight="1" thickBot="1" x14ac:dyDescent="0.3">
      <c r="B46" s="268"/>
      <c r="C46" s="269"/>
      <c r="D46" s="269"/>
      <c r="E46" s="269"/>
      <c r="F46" s="269"/>
      <c r="G46" s="269"/>
      <c r="H46" s="269"/>
      <c r="I46" s="269"/>
      <c r="J46" s="269"/>
      <c r="K46" s="269"/>
      <c r="L46" s="269"/>
      <c r="M46" s="269"/>
      <c r="N46" s="269"/>
      <c r="O46" s="269"/>
      <c r="P46" s="269"/>
      <c r="Q46" s="269"/>
      <c r="R46" s="270"/>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pageSetUpPr fitToPage="1"/>
  </sheetPr>
  <dimension ref="A1:AA1486"/>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21.85546875" style="3"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1"/>
      <c r="C2" s="42"/>
      <c r="D2" s="42"/>
      <c r="E2" s="42"/>
      <c r="F2" s="42"/>
      <c r="G2" s="42"/>
      <c r="H2" s="42"/>
      <c r="I2" s="42"/>
      <c r="J2" s="42"/>
      <c r="K2" s="42"/>
      <c r="L2" s="42"/>
      <c r="M2" s="42"/>
      <c r="N2" s="42"/>
      <c r="O2" s="42"/>
      <c r="P2" s="42"/>
      <c r="Q2" s="92"/>
    </row>
    <row r="3" spans="2:27" ht="20.25" customHeight="1" x14ac:dyDescent="0.2">
      <c r="B3" s="93"/>
      <c r="C3" s="256" t="s">
        <v>164</v>
      </c>
      <c r="D3" s="256"/>
      <c r="E3" s="256"/>
      <c r="F3" s="256"/>
      <c r="G3" s="256"/>
      <c r="H3" s="256"/>
      <c r="I3" s="256"/>
      <c r="J3" s="256"/>
      <c r="K3" s="256"/>
      <c r="L3" s="256"/>
      <c r="M3" s="256"/>
      <c r="N3" s="256"/>
      <c r="O3" s="256"/>
      <c r="P3" s="256"/>
      <c r="Q3" s="20"/>
    </row>
    <row r="4" spans="2:27" ht="15.75" x14ac:dyDescent="0.25">
      <c r="B4" s="93"/>
      <c r="C4" s="67" t="s">
        <v>356</v>
      </c>
      <c r="D4" s="5"/>
      <c r="E4" s="5"/>
      <c r="F4" s="5"/>
      <c r="G4" s="5"/>
      <c r="H4" s="5"/>
      <c r="I4" s="5"/>
      <c r="J4" s="5"/>
      <c r="K4" s="5"/>
      <c r="L4" s="5"/>
      <c r="M4" s="5"/>
      <c r="N4" s="5"/>
      <c r="O4" s="5"/>
      <c r="P4" s="5"/>
      <c r="Q4" s="20"/>
    </row>
    <row r="5" spans="2:27" ht="20.25" x14ac:dyDescent="0.2">
      <c r="B5" s="93"/>
      <c r="C5" s="222" t="s">
        <v>357</v>
      </c>
      <c r="D5" s="273" t="s">
        <v>372</v>
      </c>
      <c r="E5" s="273"/>
      <c r="F5" s="5"/>
      <c r="G5" s="5"/>
      <c r="H5" s="5"/>
      <c r="I5" s="5"/>
      <c r="J5" s="5"/>
      <c r="K5" s="5"/>
      <c r="L5" s="5"/>
      <c r="M5" s="5"/>
      <c r="N5" s="5"/>
      <c r="O5" s="5"/>
      <c r="P5" s="5"/>
      <c r="Q5" s="20"/>
    </row>
    <row r="6" spans="2:27" x14ac:dyDescent="0.2">
      <c r="B6" s="93"/>
      <c r="C6" s="5"/>
      <c r="D6" s="5"/>
      <c r="E6" s="5"/>
      <c r="F6" s="5"/>
      <c r="G6" s="5"/>
      <c r="H6" s="5"/>
      <c r="I6" s="5"/>
      <c r="J6" s="5"/>
      <c r="K6" s="5"/>
      <c r="L6" s="5"/>
      <c r="M6" s="5"/>
      <c r="N6" s="5"/>
      <c r="O6" s="5"/>
      <c r="P6" s="5"/>
      <c r="Q6" s="20"/>
      <c r="R6" s="2"/>
      <c r="S6" s="2"/>
      <c r="T6" s="1"/>
    </row>
    <row r="7" spans="2:27" ht="32.25" customHeight="1" x14ac:dyDescent="0.2">
      <c r="B7" s="93"/>
      <c r="C7" s="167" t="s">
        <v>0</v>
      </c>
      <c r="D7" s="95" t="s">
        <v>1</v>
      </c>
      <c r="E7" s="119" t="s">
        <v>2</v>
      </c>
      <c r="F7" s="5"/>
      <c r="G7" s="5"/>
      <c r="H7" s="5"/>
      <c r="I7" s="5"/>
      <c r="J7" s="5"/>
      <c r="K7" s="5"/>
      <c r="L7" s="5"/>
      <c r="M7" s="5"/>
      <c r="N7" s="5"/>
      <c r="O7" s="5"/>
      <c r="P7" s="5"/>
      <c r="Q7" s="20"/>
      <c r="R7" s="12" t="s">
        <v>38</v>
      </c>
      <c r="S7" s="12" t="s">
        <v>165</v>
      </c>
      <c r="T7" s="171"/>
    </row>
    <row r="8" spans="2:27" ht="15.75" x14ac:dyDescent="0.25">
      <c r="B8" s="93"/>
      <c r="C8" s="102"/>
      <c r="D8" s="38"/>
      <c r="E8" s="219"/>
      <c r="F8" s="5"/>
      <c r="G8" s="5"/>
      <c r="H8" s="5"/>
      <c r="I8" s="5"/>
      <c r="J8" s="5"/>
      <c r="K8" s="5"/>
      <c r="L8" s="5"/>
      <c r="M8" s="5"/>
      <c r="N8" s="5"/>
      <c r="O8" s="5"/>
      <c r="P8" s="5"/>
      <c r="Q8" s="20"/>
      <c r="R8" s="12" t="s">
        <v>39</v>
      </c>
      <c r="S8" s="13">
        <f>E9</f>
        <v>0.73824199999999995</v>
      </c>
      <c r="T8" s="171"/>
      <c r="V8" s="56"/>
      <c r="W8" s="57"/>
      <c r="Z8" s="43"/>
      <c r="AA8" s="43"/>
    </row>
    <row r="9" spans="2:27" ht="15.75" x14ac:dyDescent="0.25">
      <c r="B9" s="93"/>
      <c r="C9" s="128" t="s">
        <v>39</v>
      </c>
      <c r="D9" s="125"/>
      <c r="E9" s="191">
        <v>0.73824199999999995</v>
      </c>
      <c r="F9" s="47"/>
      <c r="G9" s="5"/>
      <c r="H9" s="5"/>
      <c r="I9" s="5"/>
      <c r="J9" s="5"/>
      <c r="K9" s="5"/>
      <c r="L9" s="5"/>
      <c r="M9" s="5"/>
      <c r="N9" s="5"/>
      <c r="O9" s="5"/>
      <c r="P9" s="5"/>
      <c r="Q9" s="20"/>
      <c r="R9" s="12" t="s">
        <v>40</v>
      </c>
      <c r="S9" s="13">
        <f>100%-S8</f>
        <v>0.26175800000000005</v>
      </c>
      <c r="T9" s="171"/>
      <c r="V9" s="56"/>
      <c r="W9" s="57"/>
      <c r="Z9" s="43"/>
      <c r="AA9" s="43"/>
    </row>
    <row r="10" spans="2:27" ht="15.75" x14ac:dyDescent="0.25">
      <c r="B10" s="93"/>
      <c r="C10" s="102"/>
      <c r="D10" s="38"/>
      <c r="E10" s="218"/>
      <c r="F10" s="47"/>
      <c r="G10" s="5"/>
      <c r="H10" s="5"/>
      <c r="I10" s="5"/>
      <c r="J10" s="5"/>
      <c r="K10" s="5"/>
      <c r="L10" s="5"/>
      <c r="M10" s="5"/>
      <c r="N10" s="5"/>
      <c r="O10" s="5"/>
      <c r="P10" s="5"/>
      <c r="Q10" s="20"/>
      <c r="R10" s="172"/>
      <c r="S10" s="171"/>
      <c r="T10" s="171"/>
      <c r="V10" s="56"/>
      <c r="W10" s="57"/>
      <c r="Z10" s="43"/>
      <c r="AA10" s="43"/>
    </row>
    <row r="11" spans="2:27" ht="15.75" x14ac:dyDescent="0.25">
      <c r="B11" s="93"/>
      <c r="C11" s="128" t="s">
        <v>41</v>
      </c>
      <c r="D11" s="125"/>
      <c r="E11" s="191">
        <v>7.6602000000000003E-2</v>
      </c>
      <c r="F11" s="47"/>
      <c r="G11" s="5"/>
      <c r="H11" s="5"/>
      <c r="I11" s="5"/>
      <c r="J11" s="5"/>
      <c r="K11" s="5"/>
      <c r="L11" s="5"/>
      <c r="M11" s="5"/>
      <c r="N11" s="5"/>
      <c r="O11" s="5"/>
      <c r="P11" s="5"/>
      <c r="Q11" s="20"/>
      <c r="R11" s="14"/>
      <c r="S11" s="1"/>
      <c r="T11" s="1"/>
      <c r="V11" s="56"/>
      <c r="W11" s="57"/>
    </row>
    <row r="12" spans="2:27" ht="15.75" x14ac:dyDescent="0.25">
      <c r="B12" s="93"/>
      <c r="C12" s="223"/>
      <c r="D12" s="226"/>
      <c r="E12" s="224"/>
      <c r="F12" s="47"/>
      <c r="G12" s="5"/>
      <c r="H12" s="5"/>
      <c r="I12" s="5"/>
      <c r="J12" s="5"/>
      <c r="K12" s="5"/>
      <c r="L12" s="5"/>
      <c r="M12" s="5"/>
      <c r="N12" s="5"/>
      <c r="O12" s="5"/>
      <c r="P12" s="5"/>
      <c r="Q12" s="20"/>
      <c r="R12" s="14"/>
      <c r="S12" s="1"/>
      <c r="T12" s="1"/>
      <c r="V12" s="56"/>
      <c r="W12" s="57"/>
    </row>
    <row r="13" spans="2:27" ht="15.75" x14ac:dyDescent="0.25">
      <c r="B13" s="93"/>
      <c r="C13" s="128" t="s">
        <v>42</v>
      </c>
      <c r="D13" s="125"/>
      <c r="E13" s="191">
        <v>7.2000000000000005E-4</v>
      </c>
      <c r="F13" s="47"/>
      <c r="G13" s="5"/>
      <c r="H13" s="5"/>
      <c r="I13" s="5"/>
      <c r="J13" s="5"/>
      <c r="K13" s="5"/>
      <c r="L13" s="5"/>
      <c r="M13" s="5"/>
      <c r="N13" s="5"/>
      <c r="O13" s="5"/>
      <c r="P13" s="5"/>
      <c r="Q13" s="20"/>
      <c r="R13" s="49"/>
      <c r="V13" s="56"/>
      <c r="W13" s="57"/>
    </row>
    <row r="14" spans="2:27" ht="15.75" x14ac:dyDescent="0.25">
      <c r="B14" s="93"/>
      <c r="C14" s="102"/>
      <c r="D14" s="38"/>
      <c r="E14" s="225"/>
      <c r="F14" s="47"/>
      <c r="G14" s="5"/>
      <c r="H14" s="5"/>
      <c r="I14" s="5"/>
      <c r="J14" s="5"/>
      <c r="K14" s="5"/>
      <c r="L14" s="5"/>
      <c r="M14" s="5"/>
      <c r="N14" s="5"/>
      <c r="O14" s="5"/>
      <c r="P14" s="5"/>
      <c r="Q14" s="20"/>
      <c r="R14" s="49"/>
      <c r="V14" s="56"/>
      <c r="W14" s="57"/>
    </row>
    <row r="15" spans="2:27" ht="15.75" x14ac:dyDescent="0.25">
      <c r="B15" s="93"/>
      <c r="C15" s="102" t="s">
        <v>228</v>
      </c>
      <c r="D15" s="38"/>
      <c r="E15" s="225">
        <v>0.12789200000000001</v>
      </c>
      <c r="F15" s="47"/>
      <c r="G15" s="5"/>
      <c r="H15" s="5"/>
      <c r="I15" s="5"/>
      <c r="J15" s="5"/>
      <c r="K15" s="5"/>
      <c r="L15" s="5"/>
      <c r="M15" s="5"/>
      <c r="N15" s="5"/>
      <c r="O15" s="5"/>
      <c r="P15" s="5"/>
      <c r="Q15" s="20"/>
      <c r="R15" s="49"/>
      <c r="V15" s="56"/>
      <c r="W15" s="57"/>
    </row>
    <row r="16" spans="2:27" ht="15.75" x14ac:dyDescent="0.25">
      <c r="B16" s="93"/>
      <c r="C16" s="102" t="s">
        <v>177</v>
      </c>
      <c r="D16" s="38"/>
      <c r="E16" s="225">
        <v>4.9887000000000001E-2</v>
      </c>
      <c r="F16" s="47"/>
      <c r="G16" s="5"/>
      <c r="H16" s="5"/>
      <c r="I16" s="5"/>
      <c r="J16" s="5"/>
      <c r="K16" s="5"/>
      <c r="L16" s="5"/>
      <c r="M16" s="5"/>
      <c r="N16" s="5"/>
      <c r="O16" s="5"/>
      <c r="P16" s="5"/>
      <c r="Q16" s="20"/>
      <c r="R16" s="49"/>
      <c r="V16" s="56"/>
      <c r="W16" s="57"/>
    </row>
    <row r="17" spans="1:27" ht="15.75" x14ac:dyDescent="0.25">
      <c r="B17" s="93"/>
      <c r="C17" s="128" t="s">
        <v>227</v>
      </c>
      <c r="D17" s="125"/>
      <c r="E17" s="191">
        <v>0.17777899999999999</v>
      </c>
      <c r="F17" s="47"/>
      <c r="G17" s="29"/>
      <c r="H17" s="29"/>
      <c r="I17" s="29"/>
      <c r="J17" s="29"/>
      <c r="K17" s="29"/>
      <c r="L17" s="29"/>
      <c r="M17" s="29"/>
      <c r="N17" s="29"/>
      <c r="O17" s="29"/>
      <c r="P17" s="29"/>
      <c r="Q17" s="20"/>
      <c r="R17" s="49"/>
    </row>
    <row r="18" spans="1:27" ht="15.75" x14ac:dyDescent="0.25">
      <c r="B18" s="93"/>
      <c r="C18" s="102"/>
      <c r="D18" s="38"/>
      <c r="E18" s="218"/>
      <c r="F18" s="5"/>
      <c r="G18" s="29"/>
      <c r="H18" s="29"/>
      <c r="I18" s="29"/>
      <c r="J18" s="29"/>
      <c r="K18" s="29"/>
      <c r="L18" s="29"/>
      <c r="M18" s="29"/>
      <c r="N18" s="29"/>
      <c r="O18" s="29"/>
      <c r="P18" s="29"/>
      <c r="Q18" s="20"/>
      <c r="R18" s="49"/>
    </row>
    <row r="19" spans="1:27" ht="15.75" x14ac:dyDescent="0.2">
      <c r="B19" s="93"/>
      <c r="C19" s="128" t="s">
        <v>20</v>
      </c>
      <c r="D19" s="125"/>
      <c r="E19" s="191">
        <v>6.6570000000000257E-3</v>
      </c>
      <c r="F19" s="148"/>
      <c r="G19" s="5"/>
      <c r="H19" s="5"/>
      <c r="I19" s="5"/>
      <c r="J19" s="5"/>
      <c r="K19" s="5"/>
      <c r="L19" s="5"/>
      <c r="M19" s="5"/>
      <c r="N19" s="5"/>
      <c r="O19" s="5"/>
      <c r="P19" s="5"/>
      <c r="Q19" s="20"/>
      <c r="R19" s="49"/>
    </row>
    <row r="20" spans="1:27" x14ac:dyDescent="0.2">
      <c r="B20" s="93"/>
      <c r="C20" s="102"/>
      <c r="D20" s="38"/>
      <c r="E20" s="218"/>
      <c r="F20" s="5"/>
      <c r="G20" s="5"/>
      <c r="H20" s="5"/>
      <c r="I20" s="5"/>
      <c r="J20" s="5"/>
      <c r="K20" s="5"/>
      <c r="L20" s="5"/>
      <c r="M20" s="5"/>
      <c r="N20" s="5"/>
      <c r="O20" s="5"/>
      <c r="P20" s="5"/>
      <c r="Q20" s="20"/>
      <c r="R20" s="49"/>
    </row>
    <row r="21" spans="1:27" ht="15.75" x14ac:dyDescent="0.2">
      <c r="B21" s="93"/>
      <c r="C21" s="215" t="s">
        <v>21</v>
      </c>
      <c r="D21" s="227"/>
      <c r="E21" s="220">
        <f>SUM(E19+E17+E13+E11+E9)</f>
        <v>1</v>
      </c>
      <c r="F21" s="148"/>
      <c r="G21" s="5"/>
      <c r="H21" s="5"/>
      <c r="I21" s="5"/>
      <c r="J21" s="5"/>
      <c r="K21" s="5"/>
      <c r="L21" s="5"/>
      <c r="M21" s="5"/>
      <c r="N21" s="5"/>
      <c r="O21" s="5"/>
      <c r="P21" s="5"/>
      <c r="Q21" s="20"/>
      <c r="R21" s="49"/>
    </row>
    <row r="22" spans="1:27" x14ac:dyDescent="0.2">
      <c r="B22" s="93"/>
      <c r="F22" s="5"/>
      <c r="G22" s="5"/>
      <c r="H22" s="5"/>
      <c r="I22" s="5"/>
      <c r="J22" s="5"/>
      <c r="K22" s="5"/>
      <c r="L22" s="5"/>
      <c r="M22" s="5"/>
      <c r="N22" s="5"/>
      <c r="O22" s="5"/>
      <c r="P22" s="5"/>
      <c r="Q22" s="20"/>
      <c r="R22" s="49"/>
    </row>
    <row r="23" spans="1:27" x14ac:dyDescent="0.2">
      <c r="B23" s="93"/>
      <c r="F23" s="5"/>
      <c r="G23" s="5"/>
      <c r="H23" s="5"/>
      <c r="I23" s="5"/>
      <c r="J23" s="5"/>
      <c r="K23" s="5"/>
      <c r="L23" s="5"/>
      <c r="M23" s="5"/>
      <c r="N23" s="5"/>
      <c r="O23" s="5"/>
      <c r="P23" s="5"/>
      <c r="Q23" s="20"/>
      <c r="R23" s="49"/>
    </row>
    <row r="24" spans="1:27" ht="15.75" thickBot="1" x14ac:dyDescent="0.25">
      <c r="A24" s="5"/>
      <c r="B24" s="96"/>
      <c r="C24" s="45"/>
      <c r="D24" s="45"/>
      <c r="E24" s="45"/>
      <c r="F24" s="45"/>
      <c r="G24" s="45"/>
      <c r="H24" s="45"/>
      <c r="I24" s="45"/>
      <c r="J24" s="45"/>
      <c r="K24" s="45"/>
      <c r="L24" s="45"/>
      <c r="M24" s="45"/>
      <c r="N24" s="45"/>
      <c r="O24" s="45"/>
      <c r="P24" s="45"/>
      <c r="Q24" s="118"/>
      <c r="R24" s="50"/>
      <c r="S24" s="5"/>
      <c r="T24" s="5"/>
      <c r="U24" s="5"/>
      <c r="V24" s="5"/>
      <c r="W24" s="5"/>
      <c r="X24" s="5"/>
      <c r="Y24" s="5"/>
      <c r="Z24" s="5"/>
      <c r="AA24" s="5"/>
    </row>
    <row r="25" spans="1:27" ht="15.75" thickBot="1" x14ac:dyDescent="0.25">
      <c r="A25" s="5"/>
      <c r="B25" s="5"/>
      <c r="C25" s="5"/>
      <c r="D25" s="5"/>
      <c r="E25" s="5"/>
      <c r="F25" s="5"/>
      <c r="G25" s="5"/>
      <c r="H25" s="5"/>
      <c r="I25" s="5"/>
      <c r="J25" s="5"/>
      <c r="K25" s="5"/>
      <c r="L25" s="5"/>
      <c r="M25" s="5"/>
      <c r="N25" s="5"/>
      <c r="O25" s="5"/>
      <c r="P25" s="5"/>
      <c r="Q25" s="5"/>
      <c r="R25" s="50"/>
      <c r="S25" s="5"/>
      <c r="T25" s="5"/>
      <c r="U25" s="5"/>
      <c r="V25" s="5"/>
      <c r="W25" s="5"/>
      <c r="X25" s="5"/>
      <c r="Y25" s="5"/>
      <c r="Z25" s="5"/>
      <c r="AA25" s="5"/>
    </row>
    <row r="26" spans="1:27" ht="15" customHeight="1" x14ac:dyDescent="0.2">
      <c r="A26" s="5"/>
      <c r="B26" s="262" t="s">
        <v>184</v>
      </c>
      <c r="C26" s="263"/>
      <c r="D26" s="263"/>
      <c r="E26" s="263"/>
      <c r="F26" s="263"/>
      <c r="G26" s="263"/>
      <c r="H26" s="263"/>
      <c r="I26" s="263"/>
      <c r="J26" s="263"/>
      <c r="K26" s="263"/>
      <c r="L26" s="263"/>
      <c r="M26" s="263"/>
      <c r="N26" s="263"/>
      <c r="O26" s="263"/>
      <c r="P26" s="263"/>
      <c r="Q26" s="263"/>
      <c r="R26" s="264"/>
      <c r="S26" s="5"/>
      <c r="T26" s="5"/>
      <c r="U26" s="5"/>
      <c r="V26" s="5"/>
      <c r="W26" s="5"/>
      <c r="X26" s="5"/>
      <c r="Y26" s="5"/>
      <c r="Z26" s="5"/>
      <c r="AA26" s="5"/>
    </row>
    <row r="27" spans="1:27" x14ac:dyDescent="0.2">
      <c r="A27" s="5"/>
      <c r="B27" s="265"/>
      <c r="C27" s="266"/>
      <c r="D27" s="266"/>
      <c r="E27" s="266"/>
      <c r="F27" s="266"/>
      <c r="G27" s="266"/>
      <c r="H27" s="266"/>
      <c r="I27" s="266"/>
      <c r="J27" s="266"/>
      <c r="K27" s="266"/>
      <c r="L27" s="266"/>
      <c r="M27" s="266"/>
      <c r="N27" s="266"/>
      <c r="O27" s="266"/>
      <c r="P27" s="266"/>
      <c r="Q27" s="266"/>
      <c r="R27" s="267"/>
      <c r="S27" s="5"/>
      <c r="T27" s="5"/>
      <c r="U27" s="5"/>
      <c r="V27" s="5"/>
      <c r="W27" s="5"/>
      <c r="X27" s="5"/>
      <c r="Y27" s="5"/>
      <c r="Z27" s="5"/>
      <c r="AA27" s="5"/>
    </row>
    <row r="28" spans="1:27" x14ac:dyDescent="0.2">
      <c r="A28" s="5"/>
      <c r="B28" s="265"/>
      <c r="C28" s="266"/>
      <c r="D28" s="266"/>
      <c r="E28" s="266"/>
      <c r="F28" s="266"/>
      <c r="G28" s="266"/>
      <c r="H28" s="266"/>
      <c r="I28" s="266"/>
      <c r="J28" s="266"/>
      <c r="K28" s="266"/>
      <c r="L28" s="266"/>
      <c r="M28" s="266"/>
      <c r="N28" s="266"/>
      <c r="O28" s="266"/>
      <c r="P28" s="266"/>
      <c r="Q28" s="266"/>
      <c r="R28" s="267"/>
      <c r="S28" s="5"/>
      <c r="T28" s="5"/>
      <c r="U28" s="5"/>
      <c r="V28" s="5"/>
      <c r="W28" s="5"/>
      <c r="X28" s="5"/>
      <c r="Y28" s="5"/>
      <c r="Z28" s="5"/>
      <c r="AA28" s="5"/>
    </row>
    <row r="29" spans="1:27" x14ac:dyDescent="0.2">
      <c r="A29" s="5"/>
      <c r="B29" s="265"/>
      <c r="C29" s="266"/>
      <c r="D29" s="266"/>
      <c r="E29" s="266"/>
      <c r="F29" s="266"/>
      <c r="G29" s="266"/>
      <c r="H29" s="266"/>
      <c r="I29" s="266"/>
      <c r="J29" s="266"/>
      <c r="K29" s="266"/>
      <c r="L29" s="266"/>
      <c r="M29" s="266"/>
      <c r="N29" s="266"/>
      <c r="O29" s="266"/>
      <c r="P29" s="266"/>
      <c r="Q29" s="266"/>
      <c r="R29" s="267"/>
      <c r="S29" s="5"/>
      <c r="T29" s="5"/>
      <c r="U29" s="5"/>
      <c r="V29" s="5"/>
      <c r="W29" s="5"/>
      <c r="X29" s="5"/>
      <c r="Y29" s="5"/>
      <c r="Z29" s="5"/>
      <c r="AA29" s="5"/>
    </row>
    <row r="30" spans="1:27" x14ac:dyDescent="0.2">
      <c r="A30" s="5"/>
      <c r="B30" s="265"/>
      <c r="C30" s="266"/>
      <c r="D30" s="266"/>
      <c r="E30" s="266"/>
      <c r="F30" s="266"/>
      <c r="G30" s="266"/>
      <c r="H30" s="266"/>
      <c r="I30" s="266"/>
      <c r="J30" s="266"/>
      <c r="K30" s="266"/>
      <c r="L30" s="266"/>
      <c r="M30" s="266"/>
      <c r="N30" s="266"/>
      <c r="O30" s="266"/>
      <c r="P30" s="266"/>
      <c r="Q30" s="266"/>
      <c r="R30" s="267"/>
      <c r="S30" s="5"/>
      <c r="T30" s="5"/>
      <c r="U30" s="5"/>
      <c r="V30" s="5"/>
      <c r="W30" s="5"/>
      <c r="X30" s="5"/>
      <c r="Y30" s="5"/>
      <c r="Z30" s="5"/>
      <c r="AA30" s="5"/>
    </row>
    <row r="31" spans="1:27" x14ac:dyDescent="0.2">
      <c r="A31" s="5"/>
      <c r="B31" s="265"/>
      <c r="C31" s="266"/>
      <c r="D31" s="266"/>
      <c r="E31" s="266"/>
      <c r="F31" s="266"/>
      <c r="G31" s="266"/>
      <c r="H31" s="266"/>
      <c r="I31" s="266"/>
      <c r="J31" s="266"/>
      <c r="K31" s="266"/>
      <c r="L31" s="266"/>
      <c r="M31" s="266"/>
      <c r="N31" s="266"/>
      <c r="O31" s="266"/>
      <c r="P31" s="266"/>
      <c r="Q31" s="266"/>
      <c r="R31" s="267"/>
      <c r="S31" s="5"/>
      <c r="T31" s="5"/>
      <c r="U31" s="5"/>
      <c r="V31" s="5"/>
      <c r="W31" s="5"/>
      <c r="X31" s="5"/>
      <c r="Y31" s="5"/>
      <c r="Z31" s="5"/>
      <c r="AA31" s="5"/>
    </row>
    <row r="32" spans="1:27" ht="15.75" thickBot="1" x14ac:dyDescent="0.25">
      <c r="A32" s="5"/>
      <c r="B32" s="268"/>
      <c r="C32" s="269"/>
      <c r="D32" s="269"/>
      <c r="E32" s="269"/>
      <c r="F32" s="269"/>
      <c r="G32" s="269"/>
      <c r="H32" s="269"/>
      <c r="I32" s="269"/>
      <c r="J32" s="269"/>
      <c r="K32" s="269"/>
      <c r="L32" s="269"/>
      <c r="M32" s="269"/>
      <c r="N32" s="269"/>
      <c r="O32" s="269"/>
      <c r="P32" s="269"/>
      <c r="Q32" s="269"/>
      <c r="R32" s="270"/>
      <c r="S32" s="5"/>
      <c r="T32" s="5"/>
      <c r="U32" s="5"/>
      <c r="V32" s="5"/>
      <c r="W32" s="5"/>
      <c r="X32" s="5"/>
      <c r="Y32" s="5"/>
      <c r="Z32" s="5"/>
      <c r="AA32" s="5"/>
    </row>
    <row r="33" spans="1:27" x14ac:dyDescent="0.2">
      <c r="A33" s="5"/>
      <c r="B33" s="5"/>
      <c r="F33" s="5"/>
      <c r="G33" s="5"/>
      <c r="H33" s="5"/>
      <c r="I33" s="5"/>
      <c r="J33" s="5"/>
      <c r="K33" s="5"/>
      <c r="L33" s="5"/>
      <c r="M33" s="5"/>
      <c r="N33" s="5"/>
      <c r="O33" s="5"/>
      <c r="P33" s="5"/>
      <c r="Q33" s="5"/>
      <c r="R33" s="50"/>
      <c r="S33" s="5"/>
      <c r="T33" s="5"/>
      <c r="U33" s="5"/>
      <c r="V33" s="5"/>
      <c r="W33" s="5"/>
      <c r="X33" s="5"/>
      <c r="Y33" s="5"/>
      <c r="Z33" s="5"/>
      <c r="AA33" s="5"/>
    </row>
    <row r="34" spans="1:27" x14ac:dyDescent="0.2">
      <c r="A34" s="5"/>
      <c r="B34" s="5"/>
      <c r="F34" s="5"/>
      <c r="G34" s="5"/>
      <c r="H34" s="5"/>
      <c r="I34" s="5"/>
      <c r="J34" s="5"/>
      <c r="K34" s="5"/>
      <c r="L34" s="5"/>
      <c r="M34" s="5"/>
      <c r="N34" s="5"/>
      <c r="O34" s="5"/>
      <c r="P34" s="5"/>
      <c r="Q34" s="5"/>
      <c r="R34" s="50"/>
      <c r="S34" s="5"/>
      <c r="T34" s="5"/>
      <c r="U34" s="5"/>
      <c r="V34" s="5"/>
      <c r="W34" s="5"/>
      <c r="X34" s="5"/>
      <c r="Y34" s="5"/>
      <c r="Z34" s="5"/>
      <c r="AA34" s="5"/>
    </row>
    <row r="35" spans="1:27" x14ac:dyDescent="0.2">
      <c r="A35" s="5"/>
      <c r="B35" s="5"/>
      <c r="F35" s="5"/>
      <c r="G35" s="5"/>
      <c r="H35" s="5"/>
      <c r="I35" s="5"/>
      <c r="J35" s="5"/>
      <c r="K35" s="5"/>
      <c r="L35" s="5"/>
      <c r="M35" s="5"/>
      <c r="N35" s="5"/>
      <c r="O35" s="5"/>
      <c r="P35" s="5"/>
      <c r="Q35" s="5"/>
      <c r="R35" s="50"/>
      <c r="S35" s="5"/>
      <c r="T35" s="5"/>
      <c r="U35" s="5"/>
      <c r="V35" s="5"/>
      <c r="W35" s="5"/>
      <c r="X35" s="5"/>
      <c r="Y35" s="5"/>
      <c r="Z35" s="5"/>
      <c r="AA35" s="5"/>
    </row>
    <row r="36" spans="1:27" x14ac:dyDescent="0.2">
      <c r="A36" s="5"/>
      <c r="B36" s="5"/>
      <c r="F36" s="5"/>
      <c r="G36" s="5"/>
      <c r="H36" s="5"/>
      <c r="I36" s="5"/>
      <c r="J36" s="5"/>
      <c r="K36" s="5"/>
      <c r="L36" s="5"/>
      <c r="M36" s="5"/>
      <c r="N36" s="5"/>
      <c r="O36" s="5"/>
      <c r="P36" s="5"/>
      <c r="Q36" s="5"/>
      <c r="R36" s="50"/>
      <c r="S36" s="5"/>
      <c r="T36" s="5"/>
      <c r="U36" s="5"/>
      <c r="V36" s="5"/>
      <c r="W36" s="5"/>
      <c r="X36" s="5"/>
      <c r="Y36" s="5"/>
      <c r="Z36" s="5"/>
      <c r="AA36" s="5"/>
    </row>
    <row r="37" spans="1:27" x14ac:dyDescent="0.2">
      <c r="A37" s="5"/>
      <c r="B37" s="5"/>
      <c r="F37" s="5"/>
      <c r="G37" s="5"/>
      <c r="H37" s="5"/>
      <c r="I37" s="5"/>
      <c r="J37" s="5"/>
      <c r="K37" s="5"/>
      <c r="L37" s="5"/>
      <c r="M37" s="5"/>
      <c r="N37" s="5"/>
      <c r="O37" s="5"/>
      <c r="P37" s="5"/>
      <c r="Q37" s="5"/>
      <c r="R37" s="50"/>
      <c r="S37" s="5"/>
      <c r="T37" s="5"/>
      <c r="U37" s="5"/>
      <c r="V37" s="5"/>
      <c r="W37" s="5"/>
      <c r="X37" s="5"/>
      <c r="Y37" s="5"/>
      <c r="Z37" s="5"/>
      <c r="AA37" s="5"/>
    </row>
    <row r="38" spans="1:27" x14ac:dyDescent="0.2">
      <c r="A38" s="5"/>
      <c r="B38" s="5"/>
      <c r="F38" s="5"/>
      <c r="G38" s="5"/>
      <c r="H38" s="5"/>
      <c r="I38" s="5"/>
      <c r="J38" s="5"/>
      <c r="K38" s="5"/>
      <c r="L38" s="5"/>
      <c r="M38" s="5"/>
      <c r="N38" s="5"/>
      <c r="O38" s="5"/>
      <c r="P38" s="5"/>
      <c r="Q38" s="5"/>
      <c r="R38" s="50"/>
      <c r="S38" s="5"/>
      <c r="T38" s="5"/>
      <c r="U38" s="5"/>
      <c r="V38" s="5"/>
      <c r="W38" s="5"/>
      <c r="X38" s="5"/>
      <c r="Y38" s="5"/>
      <c r="Z38" s="5"/>
      <c r="AA38" s="5"/>
    </row>
    <row r="39" spans="1:27" x14ac:dyDescent="0.2">
      <c r="A39" s="5"/>
      <c r="B39" s="5"/>
      <c r="F39" s="5"/>
      <c r="G39" s="5"/>
      <c r="H39" s="5"/>
      <c r="I39" s="5"/>
      <c r="J39" s="5"/>
      <c r="K39" s="5"/>
      <c r="L39" s="5"/>
      <c r="M39" s="5"/>
      <c r="N39" s="5"/>
      <c r="O39" s="5"/>
      <c r="P39" s="5"/>
      <c r="Q39" s="5"/>
      <c r="R39" s="50"/>
      <c r="S39" s="5"/>
      <c r="T39" s="5"/>
      <c r="U39" s="5"/>
      <c r="V39" s="5"/>
      <c r="W39" s="5"/>
      <c r="X39" s="5"/>
      <c r="Y39" s="5"/>
      <c r="Z39" s="5"/>
      <c r="AA39" s="5"/>
    </row>
    <row r="40" spans="1:27" x14ac:dyDescent="0.2">
      <c r="A40" s="5"/>
      <c r="B40" s="5"/>
      <c r="F40" s="5"/>
      <c r="G40" s="5"/>
      <c r="H40" s="5"/>
      <c r="I40" s="5"/>
      <c r="J40" s="5"/>
      <c r="K40" s="5"/>
      <c r="L40" s="5"/>
      <c r="M40" s="5"/>
      <c r="N40" s="5"/>
      <c r="O40" s="5"/>
      <c r="P40" s="5"/>
      <c r="Q40" s="5"/>
      <c r="R40" s="50"/>
      <c r="S40" s="5"/>
      <c r="T40" s="5"/>
      <c r="U40" s="5"/>
      <c r="V40" s="5"/>
      <c r="W40" s="5"/>
      <c r="X40" s="5"/>
      <c r="Y40" s="5"/>
      <c r="Z40" s="5"/>
      <c r="AA40" s="5"/>
    </row>
    <row r="41" spans="1:27" x14ac:dyDescent="0.2">
      <c r="A41" s="5"/>
      <c r="B41" s="5"/>
      <c r="F41" s="5"/>
      <c r="G41" s="5"/>
      <c r="H41" s="5"/>
      <c r="I41" s="5"/>
      <c r="J41" s="5"/>
      <c r="K41" s="5"/>
      <c r="L41" s="5"/>
      <c r="M41" s="5"/>
      <c r="N41" s="5"/>
      <c r="O41" s="5"/>
      <c r="P41" s="5"/>
      <c r="Q41" s="5"/>
      <c r="R41" s="50"/>
      <c r="S41" s="5"/>
      <c r="T41" s="5"/>
      <c r="U41" s="5"/>
      <c r="V41" s="5"/>
      <c r="W41" s="5"/>
      <c r="X41" s="5"/>
      <c r="Y41" s="5"/>
      <c r="Z41" s="5"/>
      <c r="AA41" s="5"/>
    </row>
    <row r="42" spans="1:27" x14ac:dyDescent="0.2">
      <c r="A42" s="5"/>
      <c r="B42" s="5"/>
      <c r="F42" s="5"/>
      <c r="G42" s="5"/>
      <c r="H42" s="5"/>
      <c r="I42" s="5"/>
      <c r="J42" s="5"/>
      <c r="K42" s="5"/>
      <c r="L42" s="5"/>
      <c r="M42" s="5"/>
      <c r="N42" s="5"/>
      <c r="O42" s="5"/>
      <c r="P42" s="5"/>
      <c r="Q42" s="5"/>
      <c r="R42" s="50"/>
      <c r="S42" s="5"/>
      <c r="T42" s="5"/>
      <c r="U42" s="5"/>
      <c r="V42" s="5"/>
      <c r="W42" s="5"/>
      <c r="X42" s="5"/>
      <c r="Y42" s="5"/>
      <c r="Z42" s="5"/>
      <c r="AA42" s="5"/>
    </row>
    <row r="43" spans="1:27" x14ac:dyDescent="0.2">
      <c r="A43" s="5"/>
      <c r="B43" s="5"/>
      <c r="C43" s="5"/>
      <c r="D43" s="5"/>
      <c r="E43" s="5"/>
      <c r="F43" s="5"/>
      <c r="G43" s="5"/>
      <c r="H43" s="5"/>
      <c r="I43" s="5"/>
      <c r="J43" s="5"/>
      <c r="K43" s="5"/>
      <c r="L43" s="5"/>
      <c r="M43" s="5"/>
      <c r="N43" s="5"/>
      <c r="O43" s="5"/>
      <c r="P43" s="5"/>
      <c r="Q43" s="5"/>
      <c r="R43" s="50"/>
      <c r="S43" s="5"/>
      <c r="T43" s="5"/>
      <c r="U43" s="5"/>
      <c r="V43" s="5"/>
      <c r="W43" s="5"/>
      <c r="X43" s="5"/>
      <c r="Y43" s="5"/>
      <c r="Z43" s="5"/>
      <c r="AA43" s="5"/>
    </row>
    <row r="44" spans="1:27" x14ac:dyDescent="0.2">
      <c r="A44" s="5"/>
      <c r="B44" s="5"/>
      <c r="C44" s="5"/>
      <c r="D44" s="5"/>
      <c r="E44" s="5"/>
      <c r="F44" s="5"/>
      <c r="G44" s="5"/>
      <c r="H44" s="5"/>
      <c r="I44" s="5"/>
      <c r="J44" s="5"/>
      <c r="K44" s="5"/>
      <c r="L44" s="5"/>
      <c r="M44" s="5"/>
      <c r="N44" s="5"/>
      <c r="O44" s="5"/>
      <c r="P44" s="5"/>
      <c r="Q44" s="5"/>
      <c r="R44" s="50"/>
      <c r="S44" s="5"/>
      <c r="T44" s="5"/>
      <c r="U44" s="5"/>
      <c r="V44" s="5"/>
      <c r="W44" s="5"/>
      <c r="X44" s="5"/>
      <c r="Y44" s="5"/>
      <c r="Z44" s="5"/>
      <c r="AA44" s="5"/>
    </row>
    <row r="45" spans="1:27" x14ac:dyDescent="0.2">
      <c r="A45" s="5"/>
      <c r="B45" s="5"/>
      <c r="C45" s="5"/>
      <c r="D45" s="5"/>
      <c r="E45" s="5"/>
      <c r="F45" s="5"/>
      <c r="G45" s="5"/>
      <c r="H45" s="5"/>
      <c r="I45" s="5"/>
      <c r="J45" s="5"/>
      <c r="K45" s="5"/>
      <c r="L45" s="5"/>
      <c r="M45" s="5"/>
      <c r="N45" s="5"/>
      <c r="O45" s="5"/>
      <c r="P45" s="5"/>
      <c r="Q45" s="5"/>
      <c r="R45" s="50"/>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50"/>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50"/>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0"/>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0"/>
      <c r="S94" s="5"/>
      <c r="T94" s="5"/>
      <c r="U94" s="5"/>
      <c r="V94" s="5"/>
      <c r="W94" s="5"/>
      <c r="X94" s="5"/>
      <c r="Y94" s="5"/>
      <c r="Z94" s="5"/>
      <c r="AA94" s="5"/>
    </row>
    <row r="95" spans="1:27" x14ac:dyDescent="0.2">
      <c r="B95" s="5"/>
      <c r="C95" s="5"/>
      <c r="D95" s="5"/>
      <c r="E95" s="5"/>
      <c r="F95" s="5"/>
      <c r="G95" s="5"/>
      <c r="H95" s="5"/>
      <c r="I95" s="5"/>
      <c r="J95" s="5"/>
      <c r="K95" s="5"/>
      <c r="L95" s="5"/>
      <c r="M95" s="5"/>
      <c r="N95" s="5"/>
      <c r="O95" s="5"/>
      <c r="P95" s="5"/>
      <c r="Q95" s="5"/>
      <c r="R95" s="49"/>
    </row>
    <row r="96" spans="1:27" x14ac:dyDescent="0.2">
      <c r="B96" s="5"/>
      <c r="C96" s="5"/>
      <c r="D96" s="5"/>
      <c r="E96" s="5"/>
      <c r="F96" s="5"/>
      <c r="G96" s="5"/>
      <c r="H96" s="5"/>
      <c r="I96" s="5"/>
      <c r="J96" s="5"/>
      <c r="K96" s="5"/>
      <c r="L96" s="5"/>
      <c r="M96" s="5"/>
      <c r="N96" s="5"/>
      <c r="O96" s="5"/>
      <c r="P96" s="5"/>
      <c r="Q96" s="5"/>
      <c r="R96" s="49"/>
    </row>
    <row r="97" spans="2:18" x14ac:dyDescent="0.2">
      <c r="B97" s="5"/>
      <c r="C97" s="5"/>
      <c r="D97" s="5"/>
      <c r="E97" s="5"/>
      <c r="F97" s="5"/>
      <c r="G97" s="5"/>
      <c r="H97" s="5"/>
      <c r="I97" s="5"/>
      <c r="J97" s="5"/>
      <c r="K97" s="5"/>
      <c r="L97" s="5"/>
      <c r="M97" s="5"/>
      <c r="N97" s="5"/>
      <c r="O97" s="5"/>
      <c r="P97" s="5"/>
      <c r="Q97" s="5"/>
      <c r="R97" s="49"/>
    </row>
    <row r="98" spans="2:18" x14ac:dyDescent="0.2">
      <c r="B98" s="5"/>
      <c r="C98" s="5"/>
      <c r="D98" s="5"/>
      <c r="E98" s="5"/>
      <c r="F98" s="5"/>
      <c r="G98" s="5"/>
      <c r="H98" s="5"/>
      <c r="I98" s="5"/>
      <c r="J98" s="5"/>
      <c r="K98" s="5"/>
      <c r="L98" s="5"/>
      <c r="M98" s="5"/>
      <c r="N98" s="5"/>
      <c r="O98" s="5"/>
      <c r="P98" s="5"/>
      <c r="Q98" s="5"/>
      <c r="R98" s="49"/>
    </row>
    <row r="99" spans="2:18" x14ac:dyDescent="0.2">
      <c r="R99" s="49"/>
    </row>
    <row r="100" spans="2:18" x14ac:dyDescent="0.2">
      <c r="R100" s="49"/>
    </row>
    <row r="101" spans="2:18" x14ac:dyDescent="0.2">
      <c r="R101" s="49"/>
    </row>
    <row r="102" spans="2:18" x14ac:dyDescent="0.2">
      <c r="R102" s="49"/>
    </row>
    <row r="103" spans="2:18" x14ac:dyDescent="0.2">
      <c r="R103" s="49"/>
    </row>
    <row r="104" spans="2:18" x14ac:dyDescent="0.2">
      <c r="R104" s="49"/>
    </row>
    <row r="105" spans="2:18" x14ac:dyDescent="0.2">
      <c r="R105" s="49"/>
    </row>
    <row r="106" spans="2:18" x14ac:dyDescent="0.2">
      <c r="R106" s="49"/>
    </row>
    <row r="107" spans="2:18" x14ac:dyDescent="0.2">
      <c r="R107" s="49"/>
    </row>
    <row r="108" spans="2:18" x14ac:dyDescent="0.2">
      <c r="R108" s="49"/>
    </row>
    <row r="109" spans="2:18" x14ac:dyDescent="0.2">
      <c r="R109" s="49"/>
    </row>
    <row r="110" spans="2:18" x14ac:dyDescent="0.2">
      <c r="R110" s="49"/>
    </row>
    <row r="111" spans="2:18" x14ac:dyDescent="0.2">
      <c r="R111" s="49"/>
    </row>
    <row r="112" spans="2: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row r="671" spans="18:18" x14ac:dyDescent="0.2">
      <c r="R671" s="49"/>
    </row>
    <row r="672" spans="18:18" x14ac:dyDescent="0.2">
      <c r="R672" s="49"/>
    </row>
    <row r="673" spans="18:18" x14ac:dyDescent="0.2">
      <c r="R673" s="49"/>
    </row>
    <row r="674" spans="18:18" x14ac:dyDescent="0.2">
      <c r="R674" s="49"/>
    </row>
    <row r="675" spans="18:18" x14ac:dyDescent="0.2">
      <c r="R675" s="49"/>
    </row>
    <row r="676" spans="18:18" x14ac:dyDescent="0.2">
      <c r="R676" s="49"/>
    </row>
    <row r="677" spans="18:18" x14ac:dyDescent="0.2">
      <c r="R677" s="49"/>
    </row>
    <row r="678" spans="18:18" x14ac:dyDescent="0.2">
      <c r="R678" s="49"/>
    </row>
    <row r="679" spans="18:18" x14ac:dyDescent="0.2">
      <c r="R679" s="49"/>
    </row>
    <row r="680" spans="18:18" x14ac:dyDescent="0.2">
      <c r="R680" s="49"/>
    </row>
    <row r="681" spans="18:18" x14ac:dyDescent="0.2">
      <c r="R681" s="49"/>
    </row>
    <row r="682" spans="18:18" x14ac:dyDescent="0.2">
      <c r="R682" s="49"/>
    </row>
    <row r="683" spans="18:18" x14ac:dyDescent="0.2">
      <c r="R683" s="49"/>
    </row>
    <row r="684" spans="18:18" x14ac:dyDescent="0.2">
      <c r="R684" s="49"/>
    </row>
    <row r="685" spans="18:18" x14ac:dyDescent="0.2">
      <c r="R685" s="49"/>
    </row>
    <row r="686" spans="18:18" x14ac:dyDescent="0.2">
      <c r="R686" s="49"/>
    </row>
    <row r="687" spans="18:18" x14ac:dyDescent="0.2">
      <c r="R687" s="49"/>
    </row>
    <row r="688" spans="18:18" x14ac:dyDescent="0.2">
      <c r="R688" s="49"/>
    </row>
    <row r="689" spans="18:18" x14ac:dyDescent="0.2">
      <c r="R689" s="49"/>
    </row>
    <row r="690" spans="18:18" x14ac:dyDescent="0.2">
      <c r="R690" s="49"/>
    </row>
    <row r="691" spans="18:18" x14ac:dyDescent="0.2">
      <c r="R691" s="49"/>
    </row>
    <row r="692" spans="18:18" x14ac:dyDescent="0.2">
      <c r="R692" s="49"/>
    </row>
    <row r="693" spans="18:18" x14ac:dyDescent="0.2">
      <c r="R693" s="49"/>
    </row>
    <row r="694" spans="18:18" x14ac:dyDescent="0.2">
      <c r="R694" s="49"/>
    </row>
    <row r="695" spans="18:18" x14ac:dyDescent="0.2">
      <c r="R695" s="49"/>
    </row>
    <row r="696" spans="18:18" x14ac:dyDescent="0.2">
      <c r="R696" s="49"/>
    </row>
    <row r="697" spans="18:18" x14ac:dyDescent="0.2">
      <c r="R697" s="49"/>
    </row>
    <row r="698" spans="18:18" x14ac:dyDescent="0.2">
      <c r="R698" s="49"/>
    </row>
    <row r="699" spans="18:18" x14ac:dyDescent="0.2">
      <c r="R699" s="49"/>
    </row>
    <row r="700" spans="18:18" x14ac:dyDescent="0.2">
      <c r="R700" s="49"/>
    </row>
    <row r="701" spans="18:18" x14ac:dyDescent="0.2">
      <c r="R701" s="49"/>
    </row>
    <row r="702" spans="18:18" x14ac:dyDescent="0.2">
      <c r="R702" s="49"/>
    </row>
    <row r="703" spans="18:18" x14ac:dyDescent="0.2">
      <c r="R703" s="49"/>
    </row>
    <row r="704" spans="18:18" x14ac:dyDescent="0.2">
      <c r="R704" s="49"/>
    </row>
    <row r="705" spans="18:18" x14ac:dyDescent="0.2">
      <c r="R705" s="49"/>
    </row>
    <row r="706" spans="18:18" x14ac:dyDescent="0.2">
      <c r="R706" s="49"/>
    </row>
    <row r="707" spans="18:18" x14ac:dyDescent="0.2">
      <c r="R707" s="49"/>
    </row>
    <row r="708" spans="18:18" x14ac:dyDescent="0.2">
      <c r="R708" s="49"/>
    </row>
    <row r="709" spans="18:18" x14ac:dyDescent="0.2">
      <c r="R709" s="49"/>
    </row>
    <row r="710" spans="18:18" x14ac:dyDescent="0.2">
      <c r="R710" s="49"/>
    </row>
    <row r="711" spans="18:18" x14ac:dyDescent="0.2">
      <c r="R711" s="49"/>
    </row>
    <row r="712" spans="18:18" x14ac:dyDescent="0.2">
      <c r="R712" s="49"/>
    </row>
    <row r="713" spans="18:18" x14ac:dyDescent="0.2">
      <c r="R713" s="49"/>
    </row>
    <row r="714" spans="18:18" x14ac:dyDescent="0.2">
      <c r="R714" s="49"/>
    </row>
    <row r="715" spans="18:18" x14ac:dyDescent="0.2">
      <c r="R715" s="49"/>
    </row>
    <row r="716" spans="18:18" x14ac:dyDescent="0.2">
      <c r="R716" s="49"/>
    </row>
    <row r="717" spans="18:18" x14ac:dyDescent="0.2">
      <c r="R717" s="49"/>
    </row>
    <row r="718" spans="18:18" x14ac:dyDescent="0.2">
      <c r="R718" s="49"/>
    </row>
    <row r="719" spans="18:18" x14ac:dyDescent="0.2">
      <c r="R719" s="49"/>
    </row>
    <row r="720" spans="18:18" x14ac:dyDescent="0.2">
      <c r="R720" s="49"/>
    </row>
    <row r="721" spans="18:18" x14ac:dyDescent="0.2">
      <c r="R721" s="49"/>
    </row>
    <row r="722" spans="18:18" x14ac:dyDescent="0.2">
      <c r="R722" s="49"/>
    </row>
    <row r="723" spans="18:18" x14ac:dyDescent="0.2">
      <c r="R723" s="49"/>
    </row>
    <row r="724" spans="18:18" x14ac:dyDescent="0.2">
      <c r="R724" s="49"/>
    </row>
    <row r="725" spans="18:18" x14ac:dyDescent="0.2">
      <c r="R725" s="49"/>
    </row>
    <row r="726" spans="18:18" x14ac:dyDescent="0.2">
      <c r="R726" s="49"/>
    </row>
    <row r="727" spans="18:18" x14ac:dyDescent="0.2">
      <c r="R727" s="49"/>
    </row>
    <row r="728" spans="18:18" x14ac:dyDescent="0.2">
      <c r="R728" s="49"/>
    </row>
    <row r="729" spans="18:18" x14ac:dyDescent="0.2">
      <c r="R729" s="49"/>
    </row>
    <row r="730" spans="18:18" x14ac:dyDescent="0.2">
      <c r="R730" s="49"/>
    </row>
    <row r="731" spans="18:18" x14ac:dyDescent="0.2">
      <c r="R731" s="49"/>
    </row>
    <row r="732" spans="18:18" x14ac:dyDescent="0.2">
      <c r="R732" s="49"/>
    </row>
    <row r="733" spans="18:18" x14ac:dyDescent="0.2">
      <c r="R733" s="49"/>
    </row>
    <row r="734" spans="18:18" x14ac:dyDescent="0.2">
      <c r="R734" s="49"/>
    </row>
    <row r="735" spans="18:18" x14ac:dyDescent="0.2">
      <c r="R735" s="49"/>
    </row>
    <row r="736" spans="18:18" x14ac:dyDescent="0.2">
      <c r="R736" s="49"/>
    </row>
    <row r="737" spans="18:18" x14ac:dyDescent="0.2">
      <c r="R737" s="49"/>
    </row>
    <row r="738" spans="18:18" x14ac:dyDescent="0.2">
      <c r="R738" s="49"/>
    </row>
    <row r="739" spans="18:18" x14ac:dyDescent="0.2">
      <c r="R739" s="49"/>
    </row>
    <row r="740" spans="18:18" x14ac:dyDescent="0.2">
      <c r="R740" s="49"/>
    </row>
    <row r="741" spans="18:18" x14ac:dyDescent="0.2">
      <c r="R741" s="49"/>
    </row>
    <row r="742" spans="18:18" x14ac:dyDescent="0.2">
      <c r="R742" s="49"/>
    </row>
    <row r="743" spans="18:18" x14ac:dyDescent="0.2">
      <c r="R743" s="49"/>
    </row>
    <row r="744" spans="18:18" x14ac:dyDescent="0.2">
      <c r="R744" s="49"/>
    </row>
    <row r="745" spans="18:18" x14ac:dyDescent="0.2">
      <c r="R745" s="49"/>
    </row>
    <row r="746" spans="18:18" x14ac:dyDescent="0.2">
      <c r="R746" s="49"/>
    </row>
    <row r="747" spans="18:18" x14ac:dyDescent="0.2">
      <c r="R747" s="49"/>
    </row>
    <row r="748" spans="18:18" x14ac:dyDescent="0.2">
      <c r="R748" s="49"/>
    </row>
    <row r="749" spans="18:18" x14ac:dyDescent="0.2">
      <c r="R749" s="49"/>
    </row>
    <row r="750" spans="18:18" x14ac:dyDescent="0.2">
      <c r="R750" s="49"/>
    </row>
    <row r="751" spans="18:18" x14ac:dyDescent="0.2">
      <c r="R751" s="49"/>
    </row>
    <row r="752" spans="18:18" x14ac:dyDescent="0.2">
      <c r="R752" s="49"/>
    </row>
    <row r="753" spans="18:18" x14ac:dyDescent="0.2">
      <c r="R753" s="49"/>
    </row>
    <row r="754" spans="18:18" x14ac:dyDescent="0.2">
      <c r="R754" s="49"/>
    </row>
    <row r="755" spans="18:18" x14ac:dyDescent="0.2">
      <c r="R755" s="49"/>
    </row>
    <row r="756" spans="18:18" x14ac:dyDescent="0.2">
      <c r="R756" s="49"/>
    </row>
    <row r="757" spans="18:18" x14ac:dyDescent="0.2">
      <c r="R757" s="49"/>
    </row>
    <row r="758" spans="18:18" x14ac:dyDescent="0.2">
      <c r="R758" s="49"/>
    </row>
    <row r="759" spans="18:18" x14ac:dyDescent="0.2">
      <c r="R759" s="49"/>
    </row>
    <row r="760" spans="18:18" x14ac:dyDescent="0.2">
      <c r="R760" s="49"/>
    </row>
    <row r="761" spans="18:18" x14ac:dyDescent="0.2">
      <c r="R761" s="49"/>
    </row>
    <row r="762" spans="18:18" x14ac:dyDescent="0.2">
      <c r="R762" s="49"/>
    </row>
    <row r="763" spans="18:18" x14ac:dyDescent="0.2">
      <c r="R763" s="49"/>
    </row>
    <row r="764" spans="18:18" x14ac:dyDescent="0.2">
      <c r="R764" s="49"/>
    </row>
    <row r="765" spans="18:18" x14ac:dyDescent="0.2">
      <c r="R765" s="49"/>
    </row>
    <row r="766" spans="18:18" x14ac:dyDescent="0.2">
      <c r="R766" s="49"/>
    </row>
    <row r="767" spans="18:18" x14ac:dyDescent="0.2">
      <c r="R767" s="49"/>
    </row>
    <row r="768" spans="18:18" x14ac:dyDescent="0.2">
      <c r="R768" s="49"/>
    </row>
    <row r="769" spans="18:18" x14ac:dyDescent="0.2">
      <c r="R769" s="49"/>
    </row>
    <row r="770" spans="18:18" x14ac:dyDescent="0.2">
      <c r="R770" s="49"/>
    </row>
    <row r="771" spans="18:18" x14ac:dyDescent="0.2">
      <c r="R771" s="49"/>
    </row>
    <row r="772" spans="18:18" x14ac:dyDescent="0.2">
      <c r="R772" s="49"/>
    </row>
    <row r="773" spans="18:18" x14ac:dyDescent="0.2">
      <c r="R773" s="49"/>
    </row>
    <row r="774" spans="18:18" x14ac:dyDescent="0.2">
      <c r="R774" s="49"/>
    </row>
    <row r="775" spans="18:18" x14ac:dyDescent="0.2">
      <c r="R775" s="49"/>
    </row>
    <row r="776" spans="18:18" x14ac:dyDescent="0.2">
      <c r="R776" s="49"/>
    </row>
    <row r="777" spans="18:18" x14ac:dyDescent="0.2">
      <c r="R777" s="49"/>
    </row>
    <row r="778" spans="18:18" x14ac:dyDescent="0.2">
      <c r="R778" s="49"/>
    </row>
    <row r="779" spans="18:18" x14ac:dyDescent="0.2">
      <c r="R779" s="49"/>
    </row>
    <row r="780" spans="18:18" x14ac:dyDescent="0.2">
      <c r="R780" s="49"/>
    </row>
    <row r="781" spans="18:18" x14ac:dyDescent="0.2">
      <c r="R781" s="49"/>
    </row>
    <row r="782" spans="18:18" x14ac:dyDescent="0.2">
      <c r="R782" s="49"/>
    </row>
    <row r="783" spans="18:18" x14ac:dyDescent="0.2">
      <c r="R783" s="49"/>
    </row>
    <row r="784" spans="18:18" x14ac:dyDescent="0.2">
      <c r="R784" s="49"/>
    </row>
    <row r="785" spans="18:18" x14ac:dyDescent="0.2">
      <c r="R785" s="49"/>
    </row>
    <row r="786" spans="18:18" x14ac:dyDescent="0.2">
      <c r="R786" s="49"/>
    </row>
    <row r="787" spans="18:18" x14ac:dyDescent="0.2">
      <c r="R787" s="49"/>
    </row>
    <row r="788" spans="18:18" x14ac:dyDescent="0.2">
      <c r="R788" s="49"/>
    </row>
    <row r="789" spans="18:18" x14ac:dyDescent="0.2">
      <c r="R789" s="49"/>
    </row>
    <row r="790" spans="18:18" x14ac:dyDescent="0.2">
      <c r="R790" s="49"/>
    </row>
    <row r="791" spans="18:18" x14ac:dyDescent="0.2">
      <c r="R791" s="49"/>
    </row>
    <row r="792" spans="18:18" x14ac:dyDescent="0.2">
      <c r="R792" s="49"/>
    </row>
    <row r="793" spans="18:18" x14ac:dyDescent="0.2">
      <c r="R793" s="49"/>
    </row>
    <row r="794" spans="18:18" x14ac:dyDescent="0.2">
      <c r="R794" s="49"/>
    </row>
    <row r="795" spans="18:18" x14ac:dyDescent="0.2">
      <c r="R795" s="49"/>
    </row>
    <row r="796" spans="18:18" x14ac:dyDescent="0.2">
      <c r="R796" s="49"/>
    </row>
    <row r="797" spans="18:18" x14ac:dyDescent="0.2">
      <c r="R797" s="49"/>
    </row>
    <row r="798" spans="18:18" x14ac:dyDescent="0.2">
      <c r="R798" s="49"/>
    </row>
    <row r="799" spans="18:18" x14ac:dyDescent="0.2">
      <c r="R799" s="49"/>
    </row>
    <row r="800" spans="18:18" x14ac:dyDescent="0.2">
      <c r="R800" s="49"/>
    </row>
    <row r="801" spans="18:18" x14ac:dyDescent="0.2">
      <c r="R801" s="49"/>
    </row>
    <row r="802" spans="18:18" x14ac:dyDescent="0.2">
      <c r="R802" s="49"/>
    </row>
    <row r="803" spans="18:18" x14ac:dyDescent="0.2">
      <c r="R803" s="49"/>
    </row>
    <row r="804" spans="18:18" x14ac:dyDescent="0.2">
      <c r="R804" s="49"/>
    </row>
    <row r="805" spans="18:18" x14ac:dyDescent="0.2">
      <c r="R805" s="49"/>
    </row>
    <row r="806" spans="18:18" x14ac:dyDescent="0.2">
      <c r="R806" s="49"/>
    </row>
    <row r="807" spans="18:18" x14ac:dyDescent="0.2">
      <c r="R807" s="49"/>
    </row>
    <row r="808" spans="18:18" x14ac:dyDescent="0.2">
      <c r="R808" s="49"/>
    </row>
    <row r="809" spans="18:18" x14ac:dyDescent="0.2">
      <c r="R809" s="49"/>
    </row>
    <row r="810" spans="18:18" x14ac:dyDescent="0.2">
      <c r="R810" s="49"/>
    </row>
    <row r="811" spans="18:18" x14ac:dyDescent="0.2">
      <c r="R811" s="49"/>
    </row>
    <row r="812" spans="18:18" x14ac:dyDescent="0.2">
      <c r="R812" s="49"/>
    </row>
    <row r="813" spans="18:18" x14ac:dyDescent="0.2">
      <c r="R813" s="49"/>
    </row>
    <row r="814" spans="18:18" x14ac:dyDescent="0.2">
      <c r="R814" s="49"/>
    </row>
    <row r="815" spans="18:18" x14ac:dyDescent="0.2">
      <c r="R815" s="49"/>
    </row>
    <row r="816" spans="18:18" x14ac:dyDescent="0.2">
      <c r="R816" s="49"/>
    </row>
    <row r="817" spans="18:18" x14ac:dyDescent="0.2">
      <c r="R817" s="49"/>
    </row>
    <row r="818" spans="18:18" x14ac:dyDescent="0.2">
      <c r="R818" s="49"/>
    </row>
    <row r="819" spans="18:18" x14ac:dyDescent="0.2">
      <c r="R819" s="49"/>
    </row>
    <row r="820" spans="18:18" x14ac:dyDescent="0.2">
      <c r="R820" s="49"/>
    </row>
    <row r="821" spans="18:18" x14ac:dyDescent="0.2">
      <c r="R821" s="49"/>
    </row>
    <row r="822" spans="18:18" x14ac:dyDescent="0.2">
      <c r="R822" s="49"/>
    </row>
    <row r="823" spans="18:18" x14ac:dyDescent="0.2">
      <c r="R823" s="49"/>
    </row>
    <row r="824" spans="18:18" x14ac:dyDescent="0.2">
      <c r="R824" s="49"/>
    </row>
    <row r="825" spans="18:18" x14ac:dyDescent="0.2">
      <c r="R825" s="49"/>
    </row>
    <row r="826" spans="18:18" x14ac:dyDescent="0.2">
      <c r="R826" s="49"/>
    </row>
    <row r="827" spans="18:18" x14ac:dyDescent="0.2">
      <c r="R827" s="49"/>
    </row>
    <row r="828" spans="18:18" x14ac:dyDescent="0.2">
      <c r="R828" s="49"/>
    </row>
    <row r="829" spans="18:18" x14ac:dyDescent="0.2">
      <c r="R829" s="49"/>
    </row>
    <row r="830" spans="18:18" x14ac:dyDescent="0.2">
      <c r="R830" s="49"/>
    </row>
    <row r="831" spans="18:18" x14ac:dyDescent="0.2">
      <c r="R831" s="49"/>
    </row>
    <row r="832" spans="18:18" x14ac:dyDescent="0.2">
      <c r="R832" s="49"/>
    </row>
    <row r="833" spans="18:18" x14ac:dyDescent="0.2">
      <c r="R833" s="49"/>
    </row>
    <row r="834" spans="18:18" x14ac:dyDescent="0.2">
      <c r="R834" s="49"/>
    </row>
    <row r="835" spans="18:18" x14ac:dyDescent="0.2">
      <c r="R835" s="49"/>
    </row>
    <row r="836" spans="18:18" x14ac:dyDescent="0.2">
      <c r="R836" s="49"/>
    </row>
    <row r="837" spans="18:18" x14ac:dyDescent="0.2">
      <c r="R837" s="49"/>
    </row>
    <row r="838" spans="18:18" x14ac:dyDescent="0.2">
      <c r="R838" s="49"/>
    </row>
    <row r="839" spans="18:18" x14ac:dyDescent="0.2">
      <c r="R839" s="49"/>
    </row>
    <row r="840" spans="18:18" x14ac:dyDescent="0.2">
      <c r="R840" s="49"/>
    </row>
    <row r="841" spans="18:18" x14ac:dyDescent="0.2">
      <c r="R841" s="49"/>
    </row>
    <row r="842" spans="18:18" x14ac:dyDescent="0.2">
      <c r="R842" s="49"/>
    </row>
    <row r="843" spans="18:18" x14ac:dyDescent="0.2">
      <c r="R843" s="49"/>
    </row>
    <row r="844" spans="18:18" x14ac:dyDescent="0.2">
      <c r="R844" s="49"/>
    </row>
    <row r="845" spans="18:18" x14ac:dyDescent="0.2">
      <c r="R845" s="49"/>
    </row>
    <row r="846" spans="18:18" x14ac:dyDescent="0.2">
      <c r="R846" s="49"/>
    </row>
    <row r="847" spans="18:18" x14ac:dyDescent="0.2">
      <c r="R847" s="49"/>
    </row>
    <row r="848" spans="18:18" x14ac:dyDescent="0.2">
      <c r="R848" s="49"/>
    </row>
    <row r="849" spans="18:18" x14ac:dyDescent="0.2">
      <c r="R849" s="49"/>
    </row>
    <row r="850" spans="18:18" x14ac:dyDescent="0.2">
      <c r="R850" s="49"/>
    </row>
    <row r="851" spans="18:18" x14ac:dyDescent="0.2">
      <c r="R851" s="49"/>
    </row>
    <row r="852" spans="18:18" x14ac:dyDescent="0.2">
      <c r="R852" s="49"/>
    </row>
    <row r="853" spans="18:18" x14ac:dyDescent="0.2">
      <c r="R853" s="49"/>
    </row>
    <row r="854" spans="18:18" x14ac:dyDescent="0.2">
      <c r="R854" s="49"/>
    </row>
    <row r="855" spans="18:18" x14ac:dyDescent="0.2">
      <c r="R855" s="49"/>
    </row>
    <row r="856" spans="18:18" x14ac:dyDescent="0.2">
      <c r="R856" s="49"/>
    </row>
    <row r="857" spans="18:18" x14ac:dyDescent="0.2">
      <c r="R857" s="49"/>
    </row>
    <row r="858" spans="18:18" x14ac:dyDescent="0.2">
      <c r="R858" s="49"/>
    </row>
    <row r="859" spans="18:18" x14ac:dyDescent="0.2">
      <c r="R859" s="49"/>
    </row>
    <row r="860" spans="18:18" x14ac:dyDescent="0.2">
      <c r="R860" s="49"/>
    </row>
    <row r="861" spans="18:18" x14ac:dyDescent="0.2">
      <c r="R861" s="49"/>
    </row>
    <row r="862" spans="18:18" x14ac:dyDescent="0.2">
      <c r="R862" s="49"/>
    </row>
    <row r="863" spans="18:18" x14ac:dyDescent="0.2">
      <c r="R863" s="49"/>
    </row>
    <row r="864" spans="18:18" x14ac:dyDescent="0.2">
      <c r="R864" s="49"/>
    </row>
    <row r="865" spans="18:18" x14ac:dyDescent="0.2">
      <c r="R865" s="49"/>
    </row>
    <row r="866" spans="18:18" x14ac:dyDescent="0.2">
      <c r="R866" s="49"/>
    </row>
    <row r="867" spans="18:18" x14ac:dyDescent="0.2">
      <c r="R867" s="49"/>
    </row>
    <row r="868" spans="18:18" x14ac:dyDescent="0.2">
      <c r="R868" s="49"/>
    </row>
    <row r="869" spans="18:18" x14ac:dyDescent="0.2">
      <c r="R869" s="49"/>
    </row>
    <row r="870" spans="18:18" x14ac:dyDescent="0.2">
      <c r="R870" s="49"/>
    </row>
    <row r="871" spans="18:18" x14ac:dyDescent="0.2">
      <c r="R871" s="49"/>
    </row>
    <row r="872" spans="18:18" x14ac:dyDescent="0.2">
      <c r="R872" s="49"/>
    </row>
    <row r="873" spans="18:18" x14ac:dyDescent="0.2">
      <c r="R873" s="49"/>
    </row>
    <row r="874" spans="18:18" x14ac:dyDescent="0.2">
      <c r="R874" s="49"/>
    </row>
    <row r="875" spans="18:18" x14ac:dyDescent="0.2">
      <c r="R875" s="49"/>
    </row>
    <row r="876" spans="18:18" x14ac:dyDescent="0.2">
      <c r="R876" s="49"/>
    </row>
    <row r="877" spans="18:18" x14ac:dyDescent="0.2">
      <c r="R877" s="49"/>
    </row>
    <row r="878" spans="18:18" x14ac:dyDescent="0.2">
      <c r="R878" s="49"/>
    </row>
    <row r="879" spans="18:18" x14ac:dyDescent="0.2">
      <c r="R879" s="49"/>
    </row>
    <row r="880" spans="18:18" x14ac:dyDescent="0.2">
      <c r="R880" s="49"/>
    </row>
    <row r="881" spans="18:18" x14ac:dyDescent="0.2">
      <c r="R881" s="49"/>
    </row>
    <row r="882" spans="18:18" x14ac:dyDescent="0.2">
      <c r="R882" s="49"/>
    </row>
    <row r="883" spans="18:18" x14ac:dyDescent="0.2">
      <c r="R883" s="49"/>
    </row>
    <row r="884" spans="18:18" x14ac:dyDescent="0.2">
      <c r="R884" s="49"/>
    </row>
    <row r="885" spans="18:18" x14ac:dyDescent="0.2">
      <c r="R885" s="49"/>
    </row>
    <row r="886" spans="18:18" x14ac:dyDescent="0.2">
      <c r="R886" s="49"/>
    </row>
    <row r="887" spans="18:18" x14ac:dyDescent="0.2">
      <c r="R887" s="49"/>
    </row>
    <row r="888" spans="18:18" x14ac:dyDescent="0.2">
      <c r="R888" s="49"/>
    </row>
    <row r="889" spans="18:18" x14ac:dyDescent="0.2">
      <c r="R889" s="49"/>
    </row>
    <row r="890" spans="18:18" x14ac:dyDescent="0.2">
      <c r="R890" s="49"/>
    </row>
    <row r="891" spans="18:18" x14ac:dyDescent="0.2">
      <c r="R891" s="49"/>
    </row>
    <row r="892" spans="18:18" x14ac:dyDescent="0.2">
      <c r="R892" s="49"/>
    </row>
    <row r="893" spans="18:18" x14ac:dyDescent="0.2">
      <c r="R893" s="49"/>
    </row>
    <row r="894" spans="18:18" x14ac:dyDescent="0.2">
      <c r="R894" s="49"/>
    </row>
    <row r="895" spans="18:18" x14ac:dyDescent="0.2">
      <c r="R895" s="49"/>
    </row>
    <row r="896" spans="18:18" x14ac:dyDescent="0.2">
      <c r="R896" s="49"/>
    </row>
    <row r="897" spans="18:18" x14ac:dyDescent="0.2">
      <c r="R897" s="49"/>
    </row>
    <row r="898" spans="18:18" x14ac:dyDescent="0.2">
      <c r="R898" s="49"/>
    </row>
    <row r="899" spans="18:18" x14ac:dyDescent="0.2">
      <c r="R899" s="49"/>
    </row>
    <row r="900" spans="18:18" x14ac:dyDescent="0.2">
      <c r="R900" s="49"/>
    </row>
    <row r="901" spans="18:18" x14ac:dyDescent="0.2">
      <c r="R901" s="49"/>
    </row>
    <row r="902" spans="18:18" x14ac:dyDescent="0.2">
      <c r="R902" s="49"/>
    </row>
    <row r="903" spans="18:18" x14ac:dyDescent="0.2">
      <c r="R903" s="49"/>
    </row>
    <row r="904" spans="18:18" x14ac:dyDescent="0.2">
      <c r="R904" s="49"/>
    </row>
    <row r="905" spans="18:18" x14ac:dyDescent="0.2">
      <c r="R905" s="49"/>
    </row>
    <row r="906" spans="18:18" x14ac:dyDescent="0.2">
      <c r="R906" s="49"/>
    </row>
    <row r="907" spans="18:18" x14ac:dyDescent="0.2">
      <c r="R907" s="49"/>
    </row>
    <row r="908" spans="18:18" x14ac:dyDescent="0.2">
      <c r="R908" s="49"/>
    </row>
    <row r="909" spans="18:18" x14ac:dyDescent="0.2">
      <c r="R909" s="49"/>
    </row>
    <row r="910" spans="18:18" x14ac:dyDescent="0.2">
      <c r="R910" s="49"/>
    </row>
    <row r="911" spans="18:18" x14ac:dyDescent="0.2">
      <c r="R911" s="49"/>
    </row>
    <row r="912" spans="18:18" x14ac:dyDescent="0.2">
      <c r="R912" s="49"/>
    </row>
    <row r="913" spans="18:18" x14ac:dyDescent="0.2">
      <c r="R913" s="49"/>
    </row>
    <row r="914" spans="18:18" x14ac:dyDescent="0.2">
      <c r="R914" s="49"/>
    </row>
    <row r="915" spans="18:18" x14ac:dyDescent="0.2">
      <c r="R915" s="49"/>
    </row>
    <row r="916" spans="18:18" x14ac:dyDescent="0.2">
      <c r="R916" s="49"/>
    </row>
    <row r="917" spans="18:18" x14ac:dyDescent="0.2">
      <c r="R917" s="49"/>
    </row>
    <row r="918" spans="18:18" x14ac:dyDescent="0.2">
      <c r="R918" s="49"/>
    </row>
    <row r="919" spans="18:18" x14ac:dyDescent="0.2">
      <c r="R919" s="49"/>
    </row>
    <row r="920" spans="18:18" x14ac:dyDescent="0.2">
      <c r="R920" s="49"/>
    </row>
    <row r="921" spans="18:18" x14ac:dyDescent="0.2">
      <c r="R921" s="49"/>
    </row>
    <row r="922" spans="18:18" x14ac:dyDescent="0.2">
      <c r="R922" s="49"/>
    </row>
    <row r="923" spans="18:18" x14ac:dyDescent="0.2">
      <c r="R923" s="49"/>
    </row>
    <row r="924" spans="18:18" x14ac:dyDescent="0.2">
      <c r="R924" s="49"/>
    </row>
    <row r="925" spans="18:18" x14ac:dyDescent="0.2">
      <c r="R925" s="49"/>
    </row>
    <row r="926" spans="18:18" x14ac:dyDescent="0.2">
      <c r="R926" s="49"/>
    </row>
    <row r="927" spans="18:18" x14ac:dyDescent="0.2">
      <c r="R927" s="49"/>
    </row>
    <row r="928" spans="18:18" x14ac:dyDescent="0.2">
      <c r="R928" s="49"/>
    </row>
    <row r="929" spans="18:18" x14ac:dyDescent="0.2">
      <c r="R929" s="49"/>
    </row>
    <row r="930" spans="18:18" x14ac:dyDescent="0.2">
      <c r="R930" s="49"/>
    </row>
    <row r="931" spans="18:18" x14ac:dyDescent="0.2">
      <c r="R931" s="49"/>
    </row>
    <row r="932" spans="18:18" x14ac:dyDescent="0.2">
      <c r="R932" s="49"/>
    </row>
    <row r="933" spans="18:18" x14ac:dyDescent="0.2">
      <c r="R933" s="49"/>
    </row>
    <row r="934" spans="18:18" x14ac:dyDescent="0.2">
      <c r="R934" s="49"/>
    </row>
    <row r="935" spans="18:18" x14ac:dyDescent="0.2">
      <c r="R935" s="49"/>
    </row>
    <row r="936" spans="18:18" x14ac:dyDescent="0.2">
      <c r="R936" s="49"/>
    </row>
    <row r="937" spans="18:18" x14ac:dyDescent="0.2">
      <c r="R937" s="49"/>
    </row>
    <row r="938" spans="18:18" x14ac:dyDescent="0.2">
      <c r="R938" s="49"/>
    </row>
    <row r="939" spans="18:18" x14ac:dyDescent="0.2">
      <c r="R939" s="49"/>
    </row>
    <row r="940" spans="18:18" x14ac:dyDescent="0.2">
      <c r="R940" s="49"/>
    </row>
    <row r="941" spans="18:18" x14ac:dyDescent="0.2">
      <c r="R941" s="49"/>
    </row>
    <row r="942" spans="18:18" x14ac:dyDescent="0.2">
      <c r="R942" s="49"/>
    </row>
    <row r="943" spans="18:18" x14ac:dyDescent="0.2">
      <c r="R943" s="49"/>
    </row>
    <row r="944" spans="18:18" x14ac:dyDescent="0.2">
      <c r="R944" s="49"/>
    </row>
    <row r="945" spans="18:18" x14ac:dyDescent="0.2">
      <c r="R945" s="49"/>
    </row>
    <row r="946" spans="18:18" x14ac:dyDescent="0.2">
      <c r="R946" s="49"/>
    </row>
    <row r="947" spans="18:18" x14ac:dyDescent="0.2">
      <c r="R947" s="49"/>
    </row>
    <row r="948" spans="18:18" x14ac:dyDescent="0.2">
      <c r="R948" s="49"/>
    </row>
    <row r="949" spans="18:18" x14ac:dyDescent="0.2">
      <c r="R949" s="49"/>
    </row>
    <row r="950" spans="18:18" x14ac:dyDescent="0.2">
      <c r="R950" s="49"/>
    </row>
    <row r="951" spans="18:18" x14ac:dyDescent="0.2">
      <c r="R951" s="49"/>
    </row>
    <row r="952" spans="18:18" x14ac:dyDescent="0.2">
      <c r="R952" s="49"/>
    </row>
    <row r="953" spans="18:18" x14ac:dyDescent="0.2">
      <c r="R953" s="49"/>
    </row>
    <row r="954" spans="18:18" x14ac:dyDescent="0.2">
      <c r="R954" s="49"/>
    </row>
    <row r="955" spans="18:18" x14ac:dyDescent="0.2">
      <c r="R955" s="49"/>
    </row>
    <row r="956" spans="18:18" x14ac:dyDescent="0.2">
      <c r="R956" s="49"/>
    </row>
    <row r="957" spans="18:18" x14ac:dyDescent="0.2">
      <c r="R957" s="49"/>
    </row>
    <row r="958" spans="18:18" x14ac:dyDescent="0.2">
      <c r="R958" s="49"/>
    </row>
    <row r="959" spans="18:18" x14ac:dyDescent="0.2">
      <c r="R959" s="49"/>
    </row>
    <row r="960" spans="18:18" x14ac:dyDescent="0.2">
      <c r="R960" s="49"/>
    </row>
    <row r="961" spans="18:18" x14ac:dyDescent="0.2">
      <c r="R961" s="49"/>
    </row>
    <row r="962" spans="18:18" x14ac:dyDescent="0.2">
      <c r="R962" s="49"/>
    </row>
    <row r="963" spans="18:18" x14ac:dyDescent="0.2">
      <c r="R963" s="49"/>
    </row>
    <row r="964" spans="18:18" x14ac:dyDescent="0.2">
      <c r="R964" s="49"/>
    </row>
    <row r="965" spans="18:18" x14ac:dyDescent="0.2">
      <c r="R965" s="49"/>
    </row>
    <row r="966" spans="18:18" x14ac:dyDescent="0.2">
      <c r="R966" s="49"/>
    </row>
    <row r="967" spans="18:18" x14ac:dyDescent="0.2">
      <c r="R967" s="49"/>
    </row>
    <row r="968" spans="18:18" x14ac:dyDescent="0.2">
      <c r="R968" s="49"/>
    </row>
    <row r="969" spans="18:18" x14ac:dyDescent="0.2">
      <c r="R969" s="49"/>
    </row>
    <row r="970" spans="18:18" x14ac:dyDescent="0.2">
      <c r="R970" s="49"/>
    </row>
    <row r="971" spans="18:18" x14ac:dyDescent="0.2">
      <c r="R971" s="49"/>
    </row>
    <row r="972" spans="18:18" x14ac:dyDescent="0.2">
      <c r="R972" s="49"/>
    </row>
    <row r="973" spans="18:18" x14ac:dyDescent="0.2">
      <c r="R973" s="49"/>
    </row>
    <row r="974" spans="18:18" x14ac:dyDescent="0.2">
      <c r="R974" s="49"/>
    </row>
    <row r="975" spans="18:18" x14ac:dyDescent="0.2">
      <c r="R975" s="49"/>
    </row>
    <row r="976" spans="18:18" x14ac:dyDescent="0.2">
      <c r="R976" s="49"/>
    </row>
    <row r="977" spans="18:18" x14ac:dyDescent="0.2">
      <c r="R977" s="49"/>
    </row>
    <row r="978" spans="18:18" x14ac:dyDescent="0.2">
      <c r="R978" s="49"/>
    </row>
    <row r="979" spans="18:18" x14ac:dyDescent="0.2">
      <c r="R979" s="49"/>
    </row>
    <row r="980" spans="18:18" x14ac:dyDescent="0.2">
      <c r="R980" s="49"/>
    </row>
    <row r="981" spans="18:18" x14ac:dyDescent="0.2">
      <c r="R981" s="49"/>
    </row>
    <row r="982" spans="18:18" x14ac:dyDescent="0.2">
      <c r="R982" s="49"/>
    </row>
    <row r="983" spans="18:18" x14ac:dyDescent="0.2">
      <c r="R983" s="49"/>
    </row>
    <row r="984" spans="18:18" x14ac:dyDescent="0.2">
      <c r="R984" s="49"/>
    </row>
    <row r="985" spans="18:18" x14ac:dyDescent="0.2">
      <c r="R985" s="49"/>
    </row>
    <row r="986" spans="18:18" x14ac:dyDescent="0.2">
      <c r="R986" s="49"/>
    </row>
    <row r="987" spans="18:18" x14ac:dyDescent="0.2">
      <c r="R987" s="49"/>
    </row>
    <row r="988" spans="18:18" x14ac:dyDescent="0.2">
      <c r="R988" s="49"/>
    </row>
    <row r="989" spans="18:18" x14ac:dyDescent="0.2">
      <c r="R989" s="49"/>
    </row>
    <row r="990" spans="18:18" x14ac:dyDescent="0.2">
      <c r="R990" s="49"/>
    </row>
    <row r="991" spans="18:18" x14ac:dyDescent="0.2">
      <c r="R991" s="49"/>
    </row>
    <row r="992" spans="18:18" x14ac:dyDescent="0.2">
      <c r="R992" s="49"/>
    </row>
    <row r="993" spans="18:18" x14ac:dyDescent="0.2">
      <c r="R993" s="49"/>
    </row>
    <row r="994" spans="18:18" x14ac:dyDescent="0.2">
      <c r="R994" s="49"/>
    </row>
    <row r="995" spans="18:18" x14ac:dyDescent="0.2">
      <c r="R995" s="49"/>
    </row>
    <row r="996" spans="18:18" x14ac:dyDescent="0.2">
      <c r="R996" s="49"/>
    </row>
    <row r="997" spans="18:18" x14ac:dyDescent="0.2">
      <c r="R997" s="49"/>
    </row>
    <row r="998" spans="18:18" x14ac:dyDescent="0.2">
      <c r="R998" s="49"/>
    </row>
    <row r="999" spans="18:18" x14ac:dyDescent="0.2">
      <c r="R999" s="49"/>
    </row>
    <row r="1000" spans="18:18" x14ac:dyDescent="0.2">
      <c r="R1000" s="49"/>
    </row>
    <row r="1001" spans="18:18" x14ac:dyDescent="0.2">
      <c r="R1001" s="49"/>
    </row>
    <row r="1002" spans="18:18" x14ac:dyDescent="0.2">
      <c r="R1002" s="49"/>
    </row>
    <row r="1003" spans="18:18" x14ac:dyDescent="0.2">
      <c r="R1003" s="49"/>
    </row>
    <row r="1004" spans="18:18" x14ac:dyDescent="0.2">
      <c r="R1004" s="49"/>
    </row>
    <row r="1005" spans="18:18" x14ac:dyDescent="0.2">
      <c r="R1005" s="49"/>
    </row>
    <row r="1006" spans="18:18" x14ac:dyDescent="0.2">
      <c r="R1006" s="49"/>
    </row>
    <row r="1007" spans="18:18" x14ac:dyDescent="0.2">
      <c r="R1007" s="49"/>
    </row>
    <row r="1008" spans="18:18" x14ac:dyDescent="0.2">
      <c r="R1008" s="49"/>
    </row>
    <row r="1009" spans="18:18" x14ac:dyDescent="0.2">
      <c r="R1009" s="49"/>
    </row>
    <row r="1010" spans="18:18" x14ac:dyDescent="0.2">
      <c r="R1010" s="49"/>
    </row>
    <row r="1011" spans="18:18" x14ac:dyDescent="0.2">
      <c r="R1011" s="49"/>
    </row>
    <row r="1012" spans="18:18" x14ac:dyDescent="0.2">
      <c r="R1012" s="49"/>
    </row>
    <row r="1013" spans="18:18" x14ac:dyDescent="0.2">
      <c r="R1013" s="49"/>
    </row>
    <row r="1014" spans="18:18" x14ac:dyDescent="0.2">
      <c r="R1014" s="49"/>
    </row>
    <row r="1015" spans="18:18" x14ac:dyDescent="0.2">
      <c r="R1015" s="49"/>
    </row>
    <row r="1016" spans="18:18" x14ac:dyDescent="0.2">
      <c r="R1016" s="49"/>
    </row>
    <row r="1017" spans="18:18" x14ac:dyDescent="0.2">
      <c r="R1017" s="49"/>
    </row>
    <row r="1018" spans="18:18" x14ac:dyDescent="0.2">
      <c r="R1018" s="49"/>
    </row>
    <row r="1019" spans="18:18" x14ac:dyDescent="0.2">
      <c r="R1019" s="49"/>
    </row>
    <row r="1020" spans="18:18" x14ac:dyDescent="0.2">
      <c r="R1020" s="49"/>
    </row>
    <row r="1021" spans="18:18" x14ac:dyDescent="0.2">
      <c r="R1021" s="49"/>
    </row>
    <row r="1022" spans="18:18" x14ac:dyDescent="0.2">
      <c r="R1022" s="49"/>
    </row>
    <row r="1023" spans="18:18" x14ac:dyDescent="0.2">
      <c r="R1023" s="49"/>
    </row>
    <row r="1024" spans="18:18" x14ac:dyDescent="0.2">
      <c r="R1024" s="49"/>
    </row>
    <row r="1025" spans="18:18" x14ac:dyDescent="0.2">
      <c r="R1025" s="49"/>
    </row>
    <row r="1026" spans="18:18" x14ac:dyDescent="0.2">
      <c r="R1026" s="49"/>
    </row>
    <row r="1027" spans="18:18" x14ac:dyDescent="0.2">
      <c r="R1027" s="49"/>
    </row>
    <row r="1028" spans="18:18" x14ac:dyDescent="0.2">
      <c r="R1028" s="49"/>
    </row>
    <row r="1029" spans="18:18" x14ac:dyDescent="0.2">
      <c r="R1029" s="49"/>
    </row>
    <row r="1030" spans="18:18" x14ac:dyDescent="0.2">
      <c r="R1030" s="49"/>
    </row>
    <row r="1031" spans="18:18" x14ac:dyDescent="0.2">
      <c r="R1031" s="49"/>
    </row>
    <row r="1032" spans="18:18" x14ac:dyDescent="0.2">
      <c r="R1032" s="49"/>
    </row>
    <row r="1033" spans="18:18" x14ac:dyDescent="0.2">
      <c r="R1033" s="49"/>
    </row>
    <row r="1034" spans="18:18" x14ac:dyDescent="0.2">
      <c r="R1034" s="49"/>
    </row>
    <row r="1035" spans="18:18" x14ac:dyDescent="0.2">
      <c r="R1035" s="49"/>
    </row>
    <row r="1036" spans="18:18" x14ac:dyDescent="0.2">
      <c r="R1036" s="49"/>
    </row>
    <row r="1037" spans="18:18" x14ac:dyDescent="0.2">
      <c r="R1037" s="49"/>
    </row>
    <row r="1038" spans="18:18" x14ac:dyDescent="0.2">
      <c r="R1038" s="49"/>
    </row>
    <row r="1039" spans="18:18" x14ac:dyDescent="0.2">
      <c r="R1039" s="49"/>
    </row>
    <row r="1040" spans="18:18" x14ac:dyDescent="0.2">
      <c r="R1040" s="49"/>
    </row>
    <row r="1041" spans="18:18" x14ac:dyDescent="0.2">
      <c r="R1041" s="49"/>
    </row>
    <row r="1042" spans="18:18" x14ac:dyDescent="0.2">
      <c r="R1042" s="49"/>
    </row>
    <row r="1043" spans="18:18" x14ac:dyDescent="0.2">
      <c r="R1043" s="49"/>
    </row>
    <row r="1044" spans="18:18" x14ac:dyDescent="0.2">
      <c r="R1044" s="49"/>
    </row>
    <row r="1045" spans="18:18" x14ac:dyDescent="0.2">
      <c r="R1045" s="49"/>
    </row>
    <row r="1046" spans="18:18" x14ac:dyDescent="0.2">
      <c r="R1046" s="49"/>
    </row>
    <row r="1047" spans="18:18" x14ac:dyDescent="0.2">
      <c r="R1047" s="49"/>
    </row>
    <row r="1048" spans="18:18" x14ac:dyDescent="0.2">
      <c r="R1048" s="49"/>
    </row>
    <row r="1049" spans="18:18" x14ac:dyDescent="0.2">
      <c r="R1049" s="49"/>
    </row>
    <row r="1050" spans="18:18" x14ac:dyDescent="0.2">
      <c r="R1050" s="49"/>
    </row>
    <row r="1051" spans="18:18" x14ac:dyDescent="0.2">
      <c r="R1051" s="49"/>
    </row>
    <row r="1052" spans="18:18" x14ac:dyDescent="0.2">
      <c r="R1052" s="49"/>
    </row>
    <row r="1053" spans="18:18" x14ac:dyDescent="0.2">
      <c r="R1053" s="49"/>
    </row>
    <row r="1054" spans="18:18" x14ac:dyDescent="0.2">
      <c r="R1054" s="49"/>
    </row>
    <row r="1055" spans="18:18" x14ac:dyDescent="0.2">
      <c r="R1055" s="49"/>
    </row>
    <row r="1056" spans="18:18" x14ac:dyDescent="0.2">
      <c r="R1056" s="49"/>
    </row>
    <row r="1057" spans="18:18" x14ac:dyDescent="0.2">
      <c r="R1057" s="49"/>
    </row>
    <row r="1058" spans="18:18" x14ac:dyDescent="0.2">
      <c r="R1058" s="49"/>
    </row>
    <row r="1059" spans="18:18" x14ac:dyDescent="0.2">
      <c r="R1059" s="49"/>
    </row>
    <row r="1060" spans="18:18" x14ac:dyDescent="0.2">
      <c r="R1060" s="49"/>
    </row>
    <row r="1061" spans="18:18" x14ac:dyDescent="0.2">
      <c r="R1061" s="49"/>
    </row>
    <row r="1062" spans="18:18" x14ac:dyDescent="0.2">
      <c r="R1062" s="49"/>
    </row>
    <row r="1063" spans="18:18" x14ac:dyDescent="0.2">
      <c r="R1063" s="49"/>
    </row>
    <row r="1064" spans="18:18" x14ac:dyDescent="0.2">
      <c r="R1064" s="49"/>
    </row>
    <row r="1065" spans="18:18" x14ac:dyDescent="0.2">
      <c r="R1065" s="49"/>
    </row>
    <row r="1066" spans="18:18" x14ac:dyDescent="0.2">
      <c r="R1066" s="49"/>
    </row>
    <row r="1067" spans="18:18" x14ac:dyDescent="0.2">
      <c r="R1067" s="49"/>
    </row>
    <row r="1068" spans="18:18" x14ac:dyDescent="0.2">
      <c r="R1068" s="49"/>
    </row>
    <row r="1069" spans="18:18" x14ac:dyDescent="0.2">
      <c r="R1069" s="49"/>
    </row>
    <row r="1070" spans="18:18" x14ac:dyDescent="0.2">
      <c r="R1070" s="49"/>
    </row>
    <row r="1071" spans="18:18" x14ac:dyDescent="0.2">
      <c r="R1071" s="49"/>
    </row>
    <row r="1072" spans="18:18" x14ac:dyDescent="0.2">
      <c r="R1072" s="49"/>
    </row>
    <row r="1073" spans="18:18" x14ac:dyDescent="0.2">
      <c r="R1073" s="49"/>
    </row>
    <row r="1074" spans="18:18" x14ac:dyDescent="0.2">
      <c r="R1074" s="49"/>
    </row>
    <row r="1075" spans="18:18" x14ac:dyDescent="0.2">
      <c r="R1075" s="49"/>
    </row>
    <row r="1076" spans="18:18" x14ac:dyDescent="0.2">
      <c r="R1076" s="49"/>
    </row>
    <row r="1077" spans="18:18" x14ac:dyDescent="0.2">
      <c r="R1077" s="49"/>
    </row>
    <row r="1078" spans="18:18" x14ac:dyDescent="0.2">
      <c r="R1078" s="49"/>
    </row>
    <row r="1079" spans="18:18" x14ac:dyDescent="0.2">
      <c r="R1079" s="49"/>
    </row>
    <row r="1080" spans="18:18" x14ac:dyDescent="0.2">
      <c r="R1080" s="49"/>
    </row>
    <row r="1081" spans="18:18" x14ac:dyDescent="0.2">
      <c r="R1081" s="49"/>
    </row>
    <row r="1082" spans="18:18" x14ac:dyDescent="0.2">
      <c r="R1082" s="49"/>
    </row>
    <row r="1083" spans="18:18" x14ac:dyDescent="0.2">
      <c r="R1083" s="49"/>
    </row>
    <row r="1084" spans="18:18" x14ac:dyDescent="0.2">
      <c r="R1084" s="49"/>
    </row>
    <row r="1085" spans="18:18" x14ac:dyDescent="0.2">
      <c r="R1085" s="49"/>
    </row>
    <row r="1086" spans="18:18" x14ac:dyDescent="0.2">
      <c r="R1086" s="49"/>
    </row>
    <row r="1087" spans="18:18" x14ac:dyDescent="0.2">
      <c r="R1087" s="49"/>
    </row>
    <row r="1088" spans="18:18" x14ac:dyDescent="0.2">
      <c r="R1088" s="49"/>
    </row>
    <row r="1089" spans="18:18" x14ac:dyDescent="0.2">
      <c r="R1089" s="49"/>
    </row>
    <row r="1090" spans="18:18" x14ac:dyDescent="0.2">
      <c r="R1090" s="49"/>
    </row>
    <row r="1091" spans="18:18" x14ac:dyDescent="0.2">
      <c r="R1091" s="49"/>
    </row>
    <row r="1092" spans="18:18" x14ac:dyDescent="0.2">
      <c r="R1092" s="49"/>
    </row>
    <row r="1093" spans="18:18" x14ac:dyDescent="0.2">
      <c r="R1093" s="49"/>
    </row>
    <row r="1094" spans="18:18" x14ac:dyDescent="0.2">
      <c r="R1094" s="49"/>
    </row>
    <row r="1095" spans="18:18" x14ac:dyDescent="0.2">
      <c r="R1095" s="49"/>
    </row>
    <row r="1096" spans="18:18" x14ac:dyDescent="0.2">
      <c r="R1096" s="49"/>
    </row>
    <row r="1097" spans="18:18" x14ac:dyDescent="0.2">
      <c r="R1097" s="49"/>
    </row>
    <row r="1098" spans="18:18" x14ac:dyDescent="0.2">
      <c r="R1098" s="49"/>
    </row>
    <row r="1099" spans="18:18" x14ac:dyDescent="0.2">
      <c r="R1099" s="49"/>
    </row>
    <row r="1100" spans="18:18" x14ac:dyDescent="0.2">
      <c r="R1100" s="49"/>
    </row>
    <row r="1101" spans="18:18" x14ac:dyDescent="0.2">
      <c r="R1101" s="49"/>
    </row>
    <row r="1102" spans="18:18" x14ac:dyDescent="0.2">
      <c r="R1102" s="49"/>
    </row>
    <row r="1103" spans="18:18" x14ac:dyDescent="0.2">
      <c r="R1103" s="49"/>
    </row>
    <row r="1104" spans="18:18" x14ac:dyDescent="0.2">
      <c r="R1104" s="49"/>
    </row>
    <row r="1105" spans="18:18" x14ac:dyDescent="0.2">
      <c r="R1105" s="49"/>
    </row>
    <row r="1106" spans="18:18" x14ac:dyDescent="0.2">
      <c r="R1106" s="49"/>
    </row>
    <row r="1107" spans="18:18" x14ac:dyDescent="0.2">
      <c r="R1107" s="49"/>
    </row>
    <row r="1108" spans="18:18" x14ac:dyDescent="0.2">
      <c r="R1108" s="49"/>
    </row>
    <row r="1109" spans="18:18" x14ac:dyDescent="0.2">
      <c r="R1109" s="49"/>
    </row>
    <row r="1110" spans="18:18" x14ac:dyDescent="0.2">
      <c r="R1110" s="49"/>
    </row>
    <row r="1111" spans="18:18" x14ac:dyDescent="0.2">
      <c r="R1111" s="49"/>
    </row>
    <row r="1112" spans="18:18" x14ac:dyDescent="0.2">
      <c r="R1112" s="49"/>
    </row>
    <row r="1113" spans="18:18" x14ac:dyDescent="0.2">
      <c r="R1113" s="49"/>
    </row>
    <row r="1114" spans="18:18" x14ac:dyDescent="0.2">
      <c r="R1114" s="49"/>
    </row>
    <row r="1115" spans="18:18" x14ac:dyDescent="0.2">
      <c r="R1115" s="49"/>
    </row>
    <row r="1116" spans="18:18" x14ac:dyDescent="0.2">
      <c r="R1116" s="49"/>
    </row>
    <row r="1117" spans="18:18" x14ac:dyDescent="0.2">
      <c r="R1117" s="49"/>
    </row>
    <row r="1118" spans="18:18" x14ac:dyDescent="0.2">
      <c r="R1118" s="49"/>
    </row>
    <row r="1119" spans="18:18" x14ac:dyDescent="0.2">
      <c r="R1119" s="49"/>
    </row>
    <row r="1120" spans="18:18" x14ac:dyDescent="0.2">
      <c r="R1120" s="49"/>
    </row>
    <row r="1121" spans="18:18" x14ac:dyDescent="0.2">
      <c r="R1121" s="49"/>
    </row>
    <row r="1122" spans="18:18" x14ac:dyDescent="0.2">
      <c r="R1122" s="49"/>
    </row>
    <row r="1123" spans="18:18" x14ac:dyDescent="0.2">
      <c r="R1123" s="49"/>
    </row>
    <row r="1124" spans="18:18" x14ac:dyDescent="0.2">
      <c r="R1124" s="49"/>
    </row>
    <row r="1125" spans="18:18" x14ac:dyDescent="0.2">
      <c r="R1125" s="49"/>
    </row>
    <row r="1126" spans="18:18" x14ac:dyDescent="0.2">
      <c r="R1126" s="49"/>
    </row>
    <row r="1127" spans="18:18" x14ac:dyDescent="0.2">
      <c r="R1127" s="49"/>
    </row>
    <row r="1128" spans="18:18" x14ac:dyDescent="0.2">
      <c r="R1128" s="49"/>
    </row>
    <row r="1129" spans="18:18" x14ac:dyDescent="0.2">
      <c r="R1129" s="49"/>
    </row>
    <row r="1130" spans="18:18" x14ac:dyDescent="0.2">
      <c r="R1130" s="49"/>
    </row>
    <row r="1131" spans="18:18" x14ac:dyDescent="0.2">
      <c r="R1131" s="49"/>
    </row>
    <row r="1132" spans="18:18" x14ac:dyDescent="0.2">
      <c r="R1132" s="49"/>
    </row>
    <row r="1133" spans="18:18" x14ac:dyDescent="0.2">
      <c r="R1133" s="49"/>
    </row>
    <row r="1134" spans="18:18" x14ac:dyDescent="0.2">
      <c r="R1134" s="49"/>
    </row>
    <row r="1135" spans="18:18" x14ac:dyDescent="0.2">
      <c r="R1135" s="49"/>
    </row>
    <row r="1136" spans="18:18" x14ac:dyDescent="0.2">
      <c r="R1136" s="49"/>
    </row>
    <row r="1137" spans="18:18" x14ac:dyDescent="0.2">
      <c r="R1137" s="49"/>
    </row>
    <row r="1138" spans="18:18" x14ac:dyDescent="0.2">
      <c r="R1138" s="49"/>
    </row>
    <row r="1139" spans="18:18" x14ac:dyDescent="0.2">
      <c r="R1139" s="49"/>
    </row>
    <row r="1140" spans="18:18" x14ac:dyDescent="0.2">
      <c r="R1140" s="49"/>
    </row>
    <row r="1141" spans="18:18" x14ac:dyDescent="0.2">
      <c r="R1141" s="49"/>
    </row>
    <row r="1142" spans="18:18" x14ac:dyDescent="0.2">
      <c r="R1142" s="49"/>
    </row>
    <row r="1143" spans="18:18" x14ac:dyDescent="0.2">
      <c r="R1143" s="49"/>
    </row>
    <row r="1144" spans="18:18" x14ac:dyDescent="0.2">
      <c r="R1144" s="49"/>
    </row>
    <row r="1145" spans="18:18" x14ac:dyDescent="0.2">
      <c r="R1145" s="49"/>
    </row>
    <row r="1146" spans="18:18" x14ac:dyDescent="0.2">
      <c r="R1146" s="49"/>
    </row>
    <row r="1147" spans="18:18" x14ac:dyDescent="0.2">
      <c r="R1147" s="49"/>
    </row>
    <row r="1148" spans="18:18" x14ac:dyDescent="0.2">
      <c r="R1148" s="49"/>
    </row>
    <row r="1149" spans="18:18" x14ac:dyDescent="0.2">
      <c r="R1149" s="49"/>
    </row>
    <row r="1150" spans="18:18" x14ac:dyDescent="0.2">
      <c r="R1150" s="49"/>
    </row>
    <row r="1151" spans="18:18" x14ac:dyDescent="0.2">
      <c r="R1151" s="49"/>
    </row>
    <row r="1152" spans="18:18" x14ac:dyDescent="0.2">
      <c r="R1152" s="49"/>
    </row>
    <row r="1153" spans="18:18" x14ac:dyDescent="0.2">
      <c r="R1153" s="49"/>
    </row>
    <row r="1154" spans="18:18" x14ac:dyDescent="0.2">
      <c r="R1154" s="49"/>
    </row>
    <row r="1155" spans="18:18" x14ac:dyDescent="0.2">
      <c r="R1155" s="49"/>
    </row>
    <row r="1156" spans="18:18" x14ac:dyDescent="0.2">
      <c r="R1156" s="49"/>
    </row>
    <row r="1157" spans="18:18" x14ac:dyDescent="0.2">
      <c r="R1157" s="49"/>
    </row>
    <row r="1158" spans="18:18" x14ac:dyDescent="0.2">
      <c r="R1158" s="49"/>
    </row>
    <row r="1159" spans="18:18" x14ac:dyDescent="0.2">
      <c r="R1159" s="49"/>
    </row>
    <row r="1160" spans="18:18" x14ac:dyDescent="0.2">
      <c r="R1160" s="49"/>
    </row>
    <row r="1161" spans="18:18" x14ac:dyDescent="0.2">
      <c r="R1161" s="49"/>
    </row>
    <row r="1162" spans="18:18" x14ac:dyDescent="0.2">
      <c r="R1162" s="49"/>
    </row>
    <row r="1163" spans="18:18" x14ac:dyDescent="0.2">
      <c r="R1163" s="49"/>
    </row>
    <row r="1164" spans="18:18" x14ac:dyDescent="0.2">
      <c r="R1164" s="49"/>
    </row>
    <row r="1165" spans="18:18" x14ac:dyDescent="0.2">
      <c r="R1165" s="49"/>
    </row>
    <row r="1166" spans="18:18" x14ac:dyDescent="0.2">
      <c r="R1166" s="49"/>
    </row>
    <row r="1167" spans="18:18" x14ac:dyDescent="0.2">
      <c r="R1167" s="49"/>
    </row>
    <row r="1168" spans="18:18" x14ac:dyDescent="0.2">
      <c r="R1168" s="49"/>
    </row>
    <row r="1169" spans="18:18" x14ac:dyDescent="0.2">
      <c r="R1169" s="49"/>
    </row>
    <row r="1170" spans="18:18" x14ac:dyDescent="0.2">
      <c r="R1170" s="49"/>
    </row>
    <row r="1171" spans="18:18" x14ac:dyDescent="0.2">
      <c r="R1171" s="49"/>
    </row>
    <row r="1172" spans="18:18" x14ac:dyDescent="0.2">
      <c r="R1172" s="49"/>
    </row>
    <row r="1173" spans="18:18" x14ac:dyDescent="0.2">
      <c r="R1173" s="49"/>
    </row>
    <row r="1174" spans="18:18" x14ac:dyDescent="0.2">
      <c r="R1174" s="49"/>
    </row>
    <row r="1175" spans="18:18" x14ac:dyDescent="0.2">
      <c r="R1175" s="49"/>
    </row>
    <row r="1176" spans="18:18" x14ac:dyDescent="0.2">
      <c r="R1176" s="49"/>
    </row>
    <row r="1177" spans="18:18" x14ac:dyDescent="0.2">
      <c r="R1177" s="49"/>
    </row>
    <row r="1178" spans="18:18" x14ac:dyDescent="0.2">
      <c r="R1178" s="49"/>
    </row>
    <row r="1179" spans="18:18" x14ac:dyDescent="0.2">
      <c r="R1179" s="49"/>
    </row>
    <row r="1180" spans="18:18" x14ac:dyDescent="0.2">
      <c r="R1180" s="49"/>
    </row>
    <row r="1181" spans="18:18" x14ac:dyDescent="0.2">
      <c r="R1181" s="49"/>
    </row>
    <row r="1182" spans="18:18" x14ac:dyDescent="0.2">
      <c r="R1182" s="49"/>
    </row>
    <row r="1183" spans="18:18" x14ac:dyDescent="0.2">
      <c r="R1183" s="49"/>
    </row>
    <row r="1184" spans="18:18" x14ac:dyDescent="0.2">
      <c r="R1184" s="49"/>
    </row>
    <row r="1185" spans="18:18" x14ac:dyDescent="0.2">
      <c r="R1185" s="49"/>
    </row>
    <row r="1186" spans="18:18" x14ac:dyDescent="0.2">
      <c r="R1186" s="49"/>
    </row>
    <row r="1187" spans="18:18" x14ac:dyDescent="0.2">
      <c r="R1187" s="49"/>
    </row>
    <row r="1188" spans="18:18" x14ac:dyDescent="0.2">
      <c r="R1188" s="49"/>
    </row>
    <row r="1189" spans="18:18" x14ac:dyDescent="0.2">
      <c r="R1189" s="49"/>
    </row>
    <row r="1190" spans="18:18" x14ac:dyDescent="0.2">
      <c r="R1190" s="49"/>
    </row>
    <row r="1191" spans="18:18" x14ac:dyDescent="0.2">
      <c r="R1191" s="49"/>
    </row>
    <row r="1192" spans="18:18" x14ac:dyDescent="0.2">
      <c r="R1192" s="49"/>
    </row>
    <row r="1193" spans="18:18" x14ac:dyDescent="0.2">
      <c r="R1193" s="49"/>
    </row>
    <row r="1194" spans="18:18" x14ac:dyDescent="0.2">
      <c r="R1194" s="49"/>
    </row>
    <row r="1195" spans="18:18" x14ac:dyDescent="0.2">
      <c r="R1195" s="49"/>
    </row>
    <row r="1196" spans="18:18" x14ac:dyDescent="0.2">
      <c r="R1196" s="49"/>
    </row>
    <row r="1197" spans="18:18" x14ac:dyDescent="0.2">
      <c r="R1197" s="49"/>
    </row>
    <row r="1198" spans="18:18" x14ac:dyDescent="0.2">
      <c r="R1198" s="49"/>
    </row>
    <row r="1199" spans="18:18" x14ac:dyDescent="0.2">
      <c r="R1199" s="49"/>
    </row>
    <row r="1200" spans="18:18" x14ac:dyDescent="0.2">
      <c r="R1200" s="49"/>
    </row>
    <row r="1201" spans="18:18" x14ac:dyDescent="0.2">
      <c r="R1201" s="49"/>
    </row>
    <row r="1202" spans="18:18" x14ac:dyDescent="0.2">
      <c r="R1202" s="49"/>
    </row>
    <row r="1203" spans="18:18" x14ac:dyDescent="0.2">
      <c r="R1203" s="49"/>
    </row>
    <row r="1204" spans="18:18" x14ac:dyDescent="0.2">
      <c r="R1204" s="49"/>
    </row>
    <row r="1205" spans="18:18" x14ac:dyDescent="0.2">
      <c r="R1205" s="49"/>
    </row>
    <row r="1206" spans="18:18" x14ac:dyDescent="0.2">
      <c r="R1206" s="49"/>
    </row>
    <row r="1207" spans="18:18" x14ac:dyDescent="0.2">
      <c r="R1207" s="49"/>
    </row>
    <row r="1208" spans="18:18" x14ac:dyDescent="0.2">
      <c r="R1208" s="49"/>
    </row>
    <row r="1209" spans="18:18" x14ac:dyDescent="0.2">
      <c r="R1209" s="49"/>
    </row>
    <row r="1210" spans="18:18" x14ac:dyDescent="0.2">
      <c r="R1210" s="49"/>
    </row>
    <row r="1211" spans="18:18" x14ac:dyDescent="0.2">
      <c r="R1211" s="49"/>
    </row>
    <row r="1212" spans="18:18" x14ac:dyDescent="0.2">
      <c r="R1212" s="49"/>
    </row>
    <row r="1213" spans="18:18" x14ac:dyDescent="0.2">
      <c r="R1213" s="49"/>
    </row>
    <row r="1214" spans="18:18" x14ac:dyDescent="0.2">
      <c r="R1214" s="49"/>
    </row>
    <row r="1215" spans="18:18" x14ac:dyDescent="0.2">
      <c r="R1215" s="49"/>
    </row>
    <row r="1216" spans="18:18" x14ac:dyDescent="0.2">
      <c r="R1216" s="49"/>
    </row>
    <row r="1217" spans="18:18" x14ac:dyDescent="0.2">
      <c r="R1217" s="49"/>
    </row>
    <row r="1218" spans="18:18" x14ac:dyDescent="0.2">
      <c r="R1218" s="49"/>
    </row>
    <row r="1219" spans="18:18" x14ac:dyDescent="0.2">
      <c r="R1219" s="49"/>
    </row>
    <row r="1220" spans="18:18" x14ac:dyDescent="0.2">
      <c r="R1220" s="49"/>
    </row>
    <row r="1221" spans="18:18" x14ac:dyDescent="0.2">
      <c r="R1221" s="49"/>
    </row>
    <row r="1222" spans="18:18" x14ac:dyDescent="0.2">
      <c r="R1222" s="49"/>
    </row>
    <row r="1223" spans="18:18" x14ac:dyDescent="0.2">
      <c r="R1223" s="49"/>
    </row>
    <row r="1224" spans="18:18" x14ac:dyDescent="0.2">
      <c r="R1224" s="49"/>
    </row>
    <row r="1225" spans="18:18" x14ac:dyDescent="0.2">
      <c r="R1225" s="49"/>
    </row>
    <row r="1226" spans="18:18" x14ac:dyDescent="0.2">
      <c r="R1226" s="49"/>
    </row>
    <row r="1227" spans="18:18" x14ac:dyDescent="0.2">
      <c r="R1227" s="49"/>
    </row>
    <row r="1228" spans="18:18" x14ac:dyDescent="0.2">
      <c r="R1228" s="49"/>
    </row>
    <row r="1229" spans="18:18" x14ac:dyDescent="0.2">
      <c r="R1229" s="49"/>
    </row>
    <row r="1230" spans="18:18" x14ac:dyDescent="0.2">
      <c r="R1230" s="49"/>
    </row>
    <row r="1231" spans="18:18" x14ac:dyDescent="0.2">
      <c r="R1231" s="49"/>
    </row>
    <row r="1232" spans="18:18" x14ac:dyDescent="0.2">
      <c r="R1232" s="49"/>
    </row>
    <row r="1233" spans="18:18" x14ac:dyDescent="0.2">
      <c r="R1233" s="49"/>
    </row>
    <row r="1234" spans="18:18" x14ac:dyDescent="0.2">
      <c r="R1234" s="49"/>
    </row>
    <row r="1235" spans="18:18" x14ac:dyDescent="0.2">
      <c r="R1235" s="49"/>
    </row>
    <row r="1236" spans="18:18" x14ac:dyDescent="0.2">
      <c r="R1236" s="49"/>
    </row>
    <row r="1237" spans="18:18" x14ac:dyDescent="0.2">
      <c r="R1237" s="49"/>
    </row>
    <row r="1238" spans="18:18" x14ac:dyDescent="0.2">
      <c r="R1238" s="49"/>
    </row>
    <row r="1239" spans="18:18" x14ac:dyDescent="0.2">
      <c r="R1239" s="49"/>
    </row>
    <row r="1240" spans="18:18" x14ac:dyDescent="0.2">
      <c r="R1240" s="49"/>
    </row>
    <row r="1241" spans="18:18" x14ac:dyDescent="0.2">
      <c r="R1241" s="49"/>
    </row>
    <row r="1242" spans="18:18" x14ac:dyDescent="0.2">
      <c r="R1242" s="49"/>
    </row>
    <row r="1243" spans="18:18" x14ac:dyDescent="0.2">
      <c r="R1243" s="49"/>
    </row>
    <row r="1244" spans="18:18" x14ac:dyDescent="0.2">
      <c r="R1244" s="49"/>
    </row>
    <row r="1245" spans="18:18" x14ac:dyDescent="0.2">
      <c r="R1245" s="49"/>
    </row>
    <row r="1246" spans="18:18" x14ac:dyDescent="0.2">
      <c r="R1246" s="49"/>
    </row>
    <row r="1247" spans="18:18" x14ac:dyDescent="0.2">
      <c r="R1247" s="49"/>
    </row>
    <row r="1248" spans="18:18" x14ac:dyDescent="0.2">
      <c r="R1248" s="49"/>
    </row>
    <row r="1249" spans="18:18" x14ac:dyDescent="0.2">
      <c r="R1249" s="49"/>
    </row>
    <row r="1250" spans="18:18" x14ac:dyDescent="0.2">
      <c r="R1250" s="49"/>
    </row>
    <row r="1251" spans="18:18" x14ac:dyDescent="0.2">
      <c r="R1251" s="49"/>
    </row>
    <row r="1252" spans="18:18" x14ac:dyDescent="0.2">
      <c r="R1252" s="49"/>
    </row>
    <row r="1253" spans="18:18" x14ac:dyDescent="0.2">
      <c r="R1253" s="49"/>
    </row>
    <row r="1254" spans="18:18" x14ac:dyDescent="0.2">
      <c r="R1254" s="49"/>
    </row>
    <row r="1255" spans="18:18" x14ac:dyDescent="0.2">
      <c r="R1255" s="49"/>
    </row>
    <row r="1256" spans="18:18" x14ac:dyDescent="0.2">
      <c r="R1256" s="49"/>
    </row>
    <row r="1257" spans="18:18" x14ac:dyDescent="0.2">
      <c r="R1257" s="49"/>
    </row>
    <row r="1258" spans="18:18" x14ac:dyDescent="0.2">
      <c r="R1258" s="49"/>
    </row>
    <row r="1259" spans="18:18" x14ac:dyDescent="0.2">
      <c r="R1259" s="49"/>
    </row>
    <row r="1260" spans="18:18" x14ac:dyDescent="0.2">
      <c r="R1260" s="49"/>
    </row>
    <row r="1261" spans="18:18" x14ac:dyDescent="0.2">
      <c r="R1261" s="49"/>
    </row>
    <row r="1262" spans="18:18" x14ac:dyDescent="0.2">
      <c r="R1262" s="49"/>
    </row>
    <row r="1263" spans="18:18" x14ac:dyDescent="0.2">
      <c r="R1263" s="49"/>
    </row>
    <row r="1264" spans="18:18" x14ac:dyDescent="0.2">
      <c r="R1264" s="49"/>
    </row>
    <row r="1265" spans="18:18" x14ac:dyDescent="0.2">
      <c r="R1265" s="49"/>
    </row>
    <row r="1266" spans="18:18" x14ac:dyDescent="0.2">
      <c r="R1266" s="49"/>
    </row>
    <row r="1267" spans="18:18" x14ac:dyDescent="0.2">
      <c r="R1267" s="49"/>
    </row>
    <row r="1268" spans="18:18" x14ac:dyDescent="0.2">
      <c r="R1268" s="49"/>
    </row>
    <row r="1269" spans="18:18" x14ac:dyDescent="0.2">
      <c r="R1269" s="49"/>
    </row>
    <row r="1270" spans="18:18" x14ac:dyDescent="0.2">
      <c r="R1270" s="49"/>
    </row>
    <row r="1271" spans="18:18" x14ac:dyDescent="0.2">
      <c r="R1271" s="49"/>
    </row>
    <row r="1272" spans="18:18" x14ac:dyDescent="0.2">
      <c r="R1272" s="49"/>
    </row>
    <row r="1273" spans="18:18" x14ac:dyDescent="0.2">
      <c r="R1273" s="49"/>
    </row>
    <row r="1274" spans="18:18" x14ac:dyDescent="0.2">
      <c r="R1274" s="49"/>
    </row>
    <row r="1275" spans="18:18" x14ac:dyDescent="0.2">
      <c r="R1275" s="49"/>
    </row>
    <row r="1276" spans="18:18" x14ac:dyDescent="0.2">
      <c r="R1276" s="49"/>
    </row>
    <row r="1277" spans="18:18" x14ac:dyDescent="0.2">
      <c r="R1277" s="49"/>
    </row>
    <row r="1278" spans="18:18" x14ac:dyDescent="0.2">
      <c r="R1278" s="49"/>
    </row>
    <row r="1279" spans="18:18" x14ac:dyDescent="0.2">
      <c r="R1279" s="49"/>
    </row>
    <row r="1280" spans="18:18" x14ac:dyDescent="0.2">
      <c r="R1280" s="49"/>
    </row>
    <row r="1281" spans="18:18" x14ac:dyDescent="0.2">
      <c r="R1281" s="49"/>
    </row>
    <row r="1282" spans="18:18" x14ac:dyDescent="0.2">
      <c r="R1282" s="49"/>
    </row>
    <row r="1283" spans="18:18" x14ac:dyDescent="0.2">
      <c r="R1283" s="49"/>
    </row>
    <row r="1284" spans="18:18" x14ac:dyDescent="0.2">
      <c r="R1284" s="49"/>
    </row>
    <row r="1285" spans="18:18" x14ac:dyDescent="0.2">
      <c r="R1285" s="49"/>
    </row>
    <row r="1286" spans="18:18" x14ac:dyDescent="0.2">
      <c r="R1286" s="49"/>
    </row>
    <row r="1287" spans="18:18" x14ac:dyDescent="0.2">
      <c r="R1287" s="49"/>
    </row>
    <row r="1288" spans="18:18" x14ac:dyDescent="0.2">
      <c r="R1288" s="49"/>
    </row>
    <row r="1289" spans="18:18" x14ac:dyDescent="0.2">
      <c r="R1289" s="49"/>
    </row>
    <row r="1290" spans="18:18" x14ac:dyDescent="0.2">
      <c r="R1290" s="49"/>
    </row>
    <row r="1291" spans="18:18" x14ac:dyDescent="0.2">
      <c r="R1291" s="49"/>
    </row>
    <row r="1292" spans="18:18" x14ac:dyDescent="0.2">
      <c r="R1292" s="49"/>
    </row>
    <row r="1293" spans="18:18" x14ac:dyDescent="0.2">
      <c r="R1293" s="49"/>
    </row>
    <row r="1294" spans="18:18" x14ac:dyDescent="0.2">
      <c r="R1294" s="49"/>
    </row>
    <row r="1295" spans="18:18" x14ac:dyDescent="0.2">
      <c r="R1295" s="49"/>
    </row>
    <row r="1296" spans="18:18" x14ac:dyDescent="0.2">
      <c r="R1296" s="49"/>
    </row>
    <row r="1297" spans="18:18" x14ac:dyDescent="0.2">
      <c r="R1297" s="49"/>
    </row>
    <row r="1298" spans="18:18" x14ac:dyDescent="0.2">
      <c r="R1298" s="49"/>
    </row>
    <row r="1299" spans="18:18" x14ac:dyDescent="0.2">
      <c r="R1299" s="49"/>
    </row>
    <row r="1300" spans="18:18" x14ac:dyDescent="0.2">
      <c r="R1300" s="49"/>
    </row>
    <row r="1301" spans="18:18" x14ac:dyDescent="0.2">
      <c r="R1301" s="49"/>
    </row>
    <row r="1302" spans="18:18" x14ac:dyDescent="0.2">
      <c r="R1302" s="49"/>
    </row>
    <row r="1303" spans="18:18" x14ac:dyDescent="0.2">
      <c r="R1303" s="49"/>
    </row>
    <row r="1304" spans="18:18" x14ac:dyDescent="0.2">
      <c r="R1304" s="49"/>
    </row>
    <row r="1305" spans="18:18" x14ac:dyDescent="0.2">
      <c r="R1305" s="49"/>
    </row>
    <row r="1306" spans="18:18" x14ac:dyDescent="0.2">
      <c r="R1306" s="49"/>
    </row>
    <row r="1307" spans="18:18" x14ac:dyDescent="0.2">
      <c r="R1307" s="49"/>
    </row>
    <row r="1308" spans="18:18" x14ac:dyDescent="0.2">
      <c r="R1308" s="49"/>
    </row>
    <row r="1309" spans="18:18" x14ac:dyDescent="0.2">
      <c r="R1309" s="49"/>
    </row>
    <row r="1310" spans="18:18" x14ac:dyDescent="0.2">
      <c r="R1310" s="49"/>
    </row>
    <row r="1311" spans="18:18" x14ac:dyDescent="0.2">
      <c r="R1311" s="49"/>
    </row>
    <row r="1312" spans="18:18" x14ac:dyDescent="0.2">
      <c r="R1312" s="49"/>
    </row>
    <row r="1313" spans="18:18" x14ac:dyDescent="0.2">
      <c r="R1313" s="49"/>
    </row>
    <row r="1314" spans="18:18" x14ac:dyDescent="0.2">
      <c r="R1314" s="49"/>
    </row>
    <row r="1315" spans="18:18" x14ac:dyDescent="0.2">
      <c r="R1315" s="49"/>
    </row>
    <row r="1316" spans="18:18" x14ac:dyDescent="0.2">
      <c r="R1316" s="49"/>
    </row>
    <row r="1317" spans="18:18" x14ac:dyDescent="0.2">
      <c r="R1317" s="49"/>
    </row>
    <row r="1318" spans="18:18" x14ac:dyDescent="0.2">
      <c r="R1318" s="49"/>
    </row>
    <row r="1319" spans="18:18" x14ac:dyDescent="0.2">
      <c r="R1319" s="49"/>
    </row>
    <row r="1320" spans="18:18" x14ac:dyDescent="0.2">
      <c r="R1320" s="49"/>
    </row>
    <row r="1321" spans="18:18" x14ac:dyDescent="0.2">
      <c r="R1321" s="49"/>
    </row>
    <row r="1322" spans="18:18" x14ac:dyDescent="0.2">
      <c r="R1322" s="49"/>
    </row>
    <row r="1323" spans="18:18" x14ac:dyDescent="0.2">
      <c r="R1323" s="49"/>
    </row>
    <row r="1324" spans="18:18" x14ac:dyDescent="0.2">
      <c r="R1324" s="49"/>
    </row>
    <row r="1325" spans="18:18" x14ac:dyDescent="0.2">
      <c r="R1325" s="49"/>
    </row>
    <row r="1326" spans="18:18" x14ac:dyDescent="0.2">
      <c r="R1326" s="49"/>
    </row>
    <row r="1327" spans="18:18" x14ac:dyDescent="0.2">
      <c r="R1327" s="49"/>
    </row>
    <row r="1328" spans="18:18" x14ac:dyDescent="0.2">
      <c r="R1328" s="49"/>
    </row>
    <row r="1329" spans="18:18" x14ac:dyDescent="0.2">
      <c r="R1329" s="49"/>
    </row>
    <row r="1330" spans="18:18" x14ac:dyDescent="0.2">
      <c r="R1330" s="49"/>
    </row>
    <row r="1331" spans="18:18" x14ac:dyDescent="0.2">
      <c r="R1331" s="49"/>
    </row>
    <row r="1332" spans="18:18" x14ac:dyDescent="0.2">
      <c r="R1332" s="49"/>
    </row>
    <row r="1333" spans="18:18" x14ac:dyDescent="0.2">
      <c r="R1333" s="49"/>
    </row>
    <row r="1334" spans="18:18" x14ac:dyDescent="0.2">
      <c r="R1334" s="49"/>
    </row>
    <row r="1335" spans="18:18" x14ac:dyDescent="0.2">
      <c r="R1335" s="49"/>
    </row>
    <row r="1336" spans="18:18" x14ac:dyDescent="0.2">
      <c r="R1336" s="49"/>
    </row>
    <row r="1337" spans="18:18" x14ac:dyDescent="0.2">
      <c r="R1337" s="49"/>
    </row>
    <row r="1338" spans="18:18" x14ac:dyDescent="0.2">
      <c r="R1338" s="49"/>
    </row>
    <row r="1339" spans="18:18" x14ac:dyDescent="0.2">
      <c r="R1339" s="49"/>
    </row>
    <row r="1340" spans="18:18" x14ac:dyDescent="0.2">
      <c r="R1340" s="49"/>
    </row>
    <row r="1341" spans="18:18" x14ac:dyDescent="0.2">
      <c r="R1341" s="49"/>
    </row>
    <row r="1342" spans="18:18" x14ac:dyDescent="0.2">
      <c r="R1342" s="49"/>
    </row>
    <row r="1343" spans="18:18" x14ac:dyDescent="0.2">
      <c r="R1343" s="49"/>
    </row>
    <row r="1344" spans="18:18" x14ac:dyDescent="0.2">
      <c r="R1344" s="49"/>
    </row>
    <row r="1345" spans="18:18" x14ac:dyDescent="0.2">
      <c r="R1345" s="49"/>
    </row>
    <row r="1346" spans="18:18" x14ac:dyDescent="0.2">
      <c r="R1346" s="49"/>
    </row>
    <row r="1347" spans="18:18" x14ac:dyDescent="0.2">
      <c r="R1347" s="49"/>
    </row>
    <row r="1348" spans="18:18" x14ac:dyDescent="0.2">
      <c r="R1348" s="49"/>
    </row>
    <row r="1349" spans="18:18" x14ac:dyDescent="0.2">
      <c r="R1349" s="49"/>
    </row>
    <row r="1350" spans="18:18" x14ac:dyDescent="0.2">
      <c r="R1350" s="49"/>
    </row>
    <row r="1351" spans="18:18" x14ac:dyDescent="0.2">
      <c r="R1351" s="49"/>
    </row>
    <row r="1352" spans="18:18" x14ac:dyDescent="0.2">
      <c r="R1352" s="49"/>
    </row>
    <row r="1353" spans="18:18" x14ac:dyDescent="0.2">
      <c r="R1353" s="49"/>
    </row>
    <row r="1354" spans="18:18" x14ac:dyDescent="0.2">
      <c r="R1354" s="49"/>
    </row>
    <row r="1355" spans="18:18" x14ac:dyDescent="0.2">
      <c r="R1355" s="49"/>
    </row>
    <row r="1356" spans="18:18" x14ac:dyDescent="0.2">
      <c r="R1356" s="49"/>
    </row>
    <row r="1357" spans="18:18" x14ac:dyDescent="0.2">
      <c r="R1357" s="49"/>
    </row>
    <row r="1358" spans="18:18" x14ac:dyDescent="0.2">
      <c r="R1358" s="49"/>
    </row>
    <row r="1359" spans="18:18" x14ac:dyDescent="0.2">
      <c r="R1359" s="49"/>
    </row>
    <row r="1360" spans="18:18" x14ac:dyDescent="0.2">
      <c r="R1360" s="49"/>
    </row>
    <row r="1361" spans="18:18" x14ac:dyDescent="0.2">
      <c r="R1361" s="49"/>
    </row>
    <row r="1362" spans="18:18" x14ac:dyDescent="0.2">
      <c r="R1362" s="49"/>
    </row>
    <row r="1363" spans="18:18" x14ac:dyDescent="0.2">
      <c r="R1363" s="49"/>
    </row>
    <row r="1364" spans="18:18" x14ac:dyDescent="0.2">
      <c r="R1364" s="49"/>
    </row>
    <row r="1365" spans="18:18" x14ac:dyDescent="0.2">
      <c r="R1365" s="49"/>
    </row>
    <row r="1366" spans="18:18" x14ac:dyDescent="0.2">
      <c r="R1366" s="49"/>
    </row>
    <row r="1367" spans="18:18" x14ac:dyDescent="0.2">
      <c r="R1367" s="49"/>
    </row>
    <row r="1368" spans="18:18" x14ac:dyDescent="0.2">
      <c r="R1368" s="49"/>
    </row>
    <row r="1369" spans="18:18" x14ac:dyDescent="0.2">
      <c r="R1369" s="49"/>
    </row>
    <row r="1370" spans="18:18" x14ac:dyDescent="0.2">
      <c r="R1370" s="49"/>
    </row>
    <row r="1371" spans="18:18" x14ac:dyDescent="0.2">
      <c r="R1371" s="49"/>
    </row>
    <row r="1372" spans="18:18" x14ac:dyDescent="0.2">
      <c r="R1372" s="49"/>
    </row>
    <row r="1373" spans="18:18" x14ac:dyDescent="0.2">
      <c r="R1373" s="49"/>
    </row>
    <row r="1374" spans="18:18" x14ac:dyDescent="0.2">
      <c r="R1374" s="49"/>
    </row>
    <row r="1375" spans="18:18" x14ac:dyDescent="0.2">
      <c r="R1375" s="49"/>
    </row>
    <row r="1376" spans="18:18" x14ac:dyDescent="0.2">
      <c r="R1376" s="49"/>
    </row>
    <row r="1377" spans="18:18" x14ac:dyDescent="0.2">
      <c r="R1377" s="49"/>
    </row>
    <row r="1378" spans="18:18" x14ac:dyDescent="0.2">
      <c r="R1378" s="49"/>
    </row>
    <row r="1379" spans="18:18" x14ac:dyDescent="0.2">
      <c r="R1379" s="49"/>
    </row>
    <row r="1380" spans="18:18" x14ac:dyDescent="0.2">
      <c r="R1380" s="49"/>
    </row>
    <row r="1381" spans="18:18" x14ac:dyDescent="0.2">
      <c r="R1381" s="49"/>
    </row>
    <row r="1382" spans="18:18" x14ac:dyDescent="0.2">
      <c r="R1382" s="49"/>
    </row>
    <row r="1383" spans="18:18" x14ac:dyDescent="0.2">
      <c r="R1383" s="49"/>
    </row>
    <row r="1384" spans="18:18" x14ac:dyDescent="0.2">
      <c r="R1384" s="49"/>
    </row>
    <row r="1385" spans="18:18" x14ac:dyDescent="0.2">
      <c r="R1385" s="49"/>
    </row>
    <row r="1386" spans="18:18" x14ac:dyDescent="0.2">
      <c r="R1386" s="49"/>
    </row>
    <row r="1387" spans="18:18" x14ac:dyDescent="0.2">
      <c r="R1387" s="49"/>
    </row>
    <row r="1388" spans="18:18" x14ac:dyDescent="0.2">
      <c r="R1388" s="49"/>
    </row>
    <row r="1389" spans="18:18" x14ac:dyDescent="0.2">
      <c r="R1389" s="49"/>
    </row>
    <row r="1390" spans="18:18" x14ac:dyDescent="0.2">
      <c r="R1390" s="49"/>
    </row>
    <row r="1391" spans="18:18" x14ac:dyDescent="0.2">
      <c r="R1391" s="49"/>
    </row>
    <row r="1392" spans="18:18" x14ac:dyDescent="0.2">
      <c r="R1392" s="49"/>
    </row>
    <row r="1393" spans="18:18" x14ac:dyDescent="0.2">
      <c r="R1393" s="49"/>
    </row>
    <row r="1394" spans="18:18" x14ac:dyDescent="0.2">
      <c r="R1394" s="49"/>
    </row>
    <row r="1395" spans="18:18" x14ac:dyDescent="0.2">
      <c r="R1395" s="49"/>
    </row>
    <row r="1396" spans="18:18" x14ac:dyDescent="0.2">
      <c r="R1396" s="49"/>
    </row>
    <row r="1397" spans="18:18" x14ac:dyDescent="0.2">
      <c r="R1397" s="49"/>
    </row>
    <row r="1398" spans="18:18" x14ac:dyDescent="0.2">
      <c r="R1398" s="49"/>
    </row>
    <row r="1399" spans="18:18" x14ac:dyDescent="0.2">
      <c r="R1399" s="49"/>
    </row>
    <row r="1400" spans="18:18" x14ac:dyDescent="0.2">
      <c r="R1400" s="49"/>
    </row>
    <row r="1401" spans="18:18" x14ac:dyDescent="0.2">
      <c r="R1401" s="49"/>
    </row>
    <row r="1402" spans="18:18" x14ac:dyDescent="0.2">
      <c r="R1402" s="49"/>
    </row>
    <row r="1403" spans="18:18" x14ac:dyDescent="0.2">
      <c r="R1403" s="49"/>
    </row>
    <row r="1404" spans="18:18" x14ac:dyDescent="0.2">
      <c r="R1404" s="49"/>
    </row>
    <row r="1405" spans="18:18" x14ac:dyDescent="0.2">
      <c r="R1405" s="49"/>
    </row>
    <row r="1406" spans="18:18" x14ac:dyDescent="0.2">
      <c r="R1406" s="49"/>
    </row>
    <row r="1407" spans="18:18" x14ac:dyDescent="0.2">
      <c r="R1407" s="49"/>
    </row>
    <row r="1408" spans="18:18" x14ac:dyDescent="0.2">
      <c r="R1408" s="49"/>
    </row>
    <row r="1409" spans="18:18" x14ac:dyDescent="0.2">
      <c r="R1409" s="49"/>
    </row>
    <row r="1410" spans="18:18" x14ac:dyDescent="0.2">
      <c r="R1410" s="49"/>
    </row>
    <row r="1411" spans="18:18" x14ac:dyDescent="0.2">
      <c r="R1411" s="49"/>
    </row>
    <row r="1412" spans="18:18" x14ac:dyDescent="0.2">
      <c r="R1412" s="49"/>
    </row>
    <row r="1413" spans="18:18" x14ac:dyDescent="0.2">
      <c r="R1413" s="49"/>
    </row>
    <row r="1414" spans="18:18" x14ac:dyDescent="0.2">
      <c r="R1414" s="49"/>
    </row>
    <row r="1415" spans="18:18" x14ac:dyDescent="0.2">
      <c r="R1415" s="49"/>
    </row>
    <row r="1416" spans="18:18" x14ac:dyDescent="0.2">
      <c r="R1416" s="49"/>
    </row>
    <row r="1417" spans="18:18" x14ac:dyDescent="0.2">
      <c r="R1417" s="49"/>
    </row>
    <row r="1418" spans="18:18" x14ac:dyDescent="0.2">
      <c r="R1418" s="49"/>
    </row>
    <row r="1419" spans="18:18" x14ac:dyDescent="0.2">
      <c r="R1419" s="49"/>
    </row>
    <row r="1420" spans="18:18" x14ac:dyDescent="0.2">
      <c r="R1420" s="49"/>
    </row>
    <row r="1421" spans="18:18" x14ac:dyDescent="0.2">
      <c r="R1421" s="49"/>
    </row>
    <row r="1422" spans="18:18" x14ac:dyDescent="0.2">
      <c r="R1422" s="49"/>
    </row>
    <row r="1423" spans="18:18" x14ac:dyDescent="0.2">
      <c r="R1423" s="49"/>
    </row>
    <row r="1424" spans="18:18" x14ac:dyDescent="0.2">
      <c r="R1424" s="49"/>
    </row>
    <row r="1425" spans="18:18" x14ac:dyDescent="0.2">
      <c r="R1425" s="49"/>
    </row>
    <row r="1426" spans="18:18" x14ac:dyDescent="0.2">
      <c r="R1426" s="49"/>
    </row>
    <row r="1427" spans="18:18" x14ac:dyDescent="0.2">
      <c r="R1427" s="49"/>
    </row>
    <row r="1428" spans="18:18" x14ac:dyDescent="0.2">
      <c r="R1428" s="49"/>
    </row>
    <row r="1429" spans="18:18" x14ac:dyDescent="0.2">
      <c r="R1429" s="49"/>
    </row>
    <row r="1430" spans="18:18" x14ac:dyDescent="0.2">
      <c r="R1430" s="49"/>
    </row>
    <row r="1431" spans="18:18" x14ac:dyDescent="0.2">
      <c r="R1431" s="49"/>
    </row>
    <row r="1432" spans="18:18" x14ac:dyDescent="0.2">
      <c r="R1432" s="49"/>
    </row>
    <row r="1433" spans="18:18" x14ac:dyDescent="0.2">
      <c r="R1433" s="49"/>
    </row>
    <row r="1434" spans="18:18" x14ac:dyDescent="0.2">
      <c r="R1434" s="49"/>
    </row>
    <row r="1435" spans="18:18" x14ac:dyDescent="0.2">
      <c r="R1435" s="49"/>
    </row>
    <row r="1436" spans="18:18" x14ac:dyDescent="0.2">
      <c r="R1436" s="49"/>
    </row>
    <row r="1437" spans="18:18" x14ac:dyDescent="0.2">
      <c r="R1437" s="49"/>
    </row>
    <row r="1438" spans="18:18" x14ac:dyDescent="0.2">
      <c r="R1438" s="49"/>
    </row>
    <row r="1439" spans="18:18" x14ac:dyDescent="0.2">
      <c r="R1439" s="49"/>
    </row>
    <row r="1440" spans="18:18" x14ac:dyDescent="0.2">
      <c r="R1440" s="49"/>
    </row>
    <row r="1441" spans="18:18" x14ac:dyDescent="0.2">
      <c r="R1441" s="49"/>
    </row>
    <row r="1442" spans="18:18" x14ac:dyDescent="0.2">
      <c r="R1442" s="49"/>
    </row>
    <row r="1443" spans="18:18" x14ac:dyDescent="0.2">
      <c r="R1443" s="49"/>
    </row>
    <row r="1444" spans="18:18" x14ac:dyDescent="0.2">
      <c r="R1444" s="49"/>
    </row>
    <row r="1445" spans="18:18" x14ac:dyDescent="0.2">
      <c r="R1445" s="49"/>
    </row>
    <row r="1446" spans="18:18" x14ac:dyDescent="0.2">
      <c r="R1446" s="49"/>
    </row>
    <row r="1447" spans="18:18" x14ac:dyDescent="0.2">
      <c r="R1447" s="49"/>
    </row>
    <row r="1448" spans="18:18" x14ac:dyDescent="0.2">
      <c r="R1448" s="49"/>
    </row>
    <row r="1449" spans="18:18" x14ac:dyDescent="0.2">
      <c r="R1449" s="49"/>
    </row>
    <row r="1450" spans="18:18" x14ac:dyDescent="0.2">
      <c r="R1450" s="49"/>
    </row>
    <row r="1451" spans="18:18" x14ac:dyDescent="0.2">
      <c r="R1451" s="49"/>
    </row>
    <row r="1452" spans="18:18" x14ac:dyDescent="0.2">
      <c r="R1452" s="49"/>
    </row>
    <row r="1453" spans="18:18" x14ac:dyDescent="0.2">
      <c r="R1453" s="49"/>
    </row>
    <row r="1454" spans="18:18" x14ac:dyDescent="0.2">
      <c r="R1454" s="49"/>
    </row>
    <row r="1455" spans="18:18" x14ac:dyDescent="0.2">
      <c r="R1455" s="49"/>
    </row>
    <row r="1456" spans="18:18" x14ac:dyDescent="0.2">
      <c r="R1456" s="49"/>
    </row>
    <row r="1457" spans="18:18" x14ac:dyDescent="0.2">
      <c r="R1457" s="49"/>
    </row>
    <row r="1458" spans="18:18" x14ac:dyDescent="0.2">
      <c r="R1458" s="49"/>
    </row>
    <row r="1459" spans="18:18" x14ac:dyDescent="0.2">
      <c r="R1459" s="49"/>
    </row>
    <row r="1460" spans="18:18" x14ac:dyDescent="0.2">
      <c r="R1460" s="49"/>
    </row>
    <row r="1461" spans="18:18" x14ac:dyDescent="0.2">
      <c r="R1461" s="49"/>
    </row>
    <row r="1462" spans="18:18" x14ac:dyDescent="0.2">
      <c r="R1462" s="49"/>
    </row>
    <row r="1463" spans="18:18" x14ac:dyDescent="0.2">
      <c r="R1463" s="49"/>
    </row>
    <row r="1464" spans="18:18" x14ac:dyDescent="0.2">
      <c r="R1464" s="49"/>
    </row>
    <row r="1465" spans="18:18" x14ac:dyDescent="0.2">
      <c r="R1465" s="49"/>
    </row>
    <row r="1466" spans="18:18" x14ac:dyDescent="0.2">
      <c r="R1466" s="49"/>
    </row>
    <row r="1467" spans="18:18" x14ac:dyDescent="0.2">
      <c r="R1467" s="49"/>
    </row>
    <row r="1468" spans="18:18" x14ac:dyDescent="0.2">
      <c r="R1468" s="49"/>
    </row>
    <row r="1469" spans="18:18" x14ac:dyDescent="0.2">
      <c r="R1469" s="49"/>
    </row>
    <row r="1470" spans="18:18" x14ac:dyDescent="0.2">
      <c r="R1470" s="49"/>
    </row>
    <row r="1471" spans="18:18" x14ac:dyDescent="0.2">
      <c r="R1471" s="49"/>
    </row>
    <row r="1472" spans="18:18" x14ac:dyDescent="0.2">
      <c r="R1472" s="49"/>
    </row>
    <row r="1473" spans="18:18" x14ac:dyDescent="0.2">
      <c r="R1473" s="49"/>
    </row>
    <row r="1474" spans="18:18" x14ac:dyDescent="0.2">
      <c r="R1474" s="49"/>
    </row>
    <row r="1475" spans="18:18" x14ac:dyDescent="0.2">
      <c r="R1475" s="49"/>
    </row>
    <row r="1476" spans="18:18" x14ac:dyDescent="0.2">
      <c r="R1476" s="49"/>
    </row>
    <row r="1477" spans="18:18" x14ac:dyDescent="0.2">
      <c r="R1477" s="49"/>
    </row>
    <row r="1478" spans="18:18" x14ac:dyDescent="0.2">
      <c r="R1478" s="49"/>
    </row>
    <row r="1479" spans="18:18" x14ac:dyDescent="0.2">
      <c r="R1479" s="49"/>
    </row>
    <row r="1480" spans="18:18" x14ac:dyDescent="0.2">
      <c r="R1480" s="49"/>
    </row>
    <row r="1481" spans="18:18" x14ac:dyDescent="0.2">
      <c r="R1481" s="49"/>
    </row>
    <row r="1482" spans="18:18" x14ac:dyDescent="0.2">
      <c r="R1482" s="49"/>
    </row>
    <row r="1483" spans="18:18" x14ac:dyDescent="0.2">
      <c r="R1483" s="49"/>
    </row>
    <row r="1484" spans="18:18" x14ac:dyDescent="0.2">
      <c r="R1484" s="49"/>
    </row>
    <row r="1485" spans="18:18" x14ac:dyDescent="0.2">
      <c r="R1485" s="49"/>
    </row>
    <row r="1486" spans="18:18" x14ac:dyDescent="0.2">
      <c r="R1486" s="49"/>
    </row>
  </sheetData>
  <sortState ref="C15:E16">
    <sortCondition descending="1" ref="E15"/>
  </sortState>
  <mergeCells count="3">
    <mergeCell ref="C3:P3"/>
    <mergeCell ref="D5:E5"/>
    <mergeCell ref="B26:R32"/>
  </mergeCells>
  <pageMargins left="0.7" right="0.7" top="0.75" bottom="0.75" header="0.3" footer="0.3"/>
  <pageSetup scale="6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0"/>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3"/>
      <c r="C2" s="28"/>
      <c r="D2" s="28"/>
      <c r="E2" s="28"/>
      <c r="F2" s="28"/>
      <c r="G2" s="28"/>
      <c r="H2" s="28"/>
      <c r="I2" s="28"/>
      <c r="J2" s="28"/>
      <c r="K2" s="28"/>
      <c r="L2" s="28"/>
      <c r="M2" s="28"/>
      <c r="N2" s="28"/>
      <c r="O2" s="28"/>
      <c r="P2" s="28"/>
      <c r="Q2" s="28"/>
      <c r="R2" s="28"/>
      <c r="S2" s="28"/>
      <c r="T2" s="24"/>
    </row>
    <row r="3" spans="1:25" ht="20.25" customHeight="1" x14ac:dyDescent="0.25">
      <c r="B3" s="64"/>
      <c r="C3" s="271" t="s">
        <v>163</v>
      </c>
      <c r="D3" s="272"/>
      <c r="E3" s="272"/>
      <c r="F3" s="272"/>
      <c r="G3" s="272"/>
      <c r="H3" s="272"/>
      <c r="I3" s="272"/>
      <c r="J3" s="272"/>
      <c r="K3" s="272"/>
      <c r="L3" s="272"/>
      <c r="M3" s="272"/>
      <c r="N3" s="272"/>
      <c r="O3" s="272"/>
      <c r="P3" s="272"/>
      <c r="Q3" s="272"/>
      <c r="R3" s="272"/>
      <c r="S3" s="272"/>
      <c r="T3" s="25"/>
    </row>
    <row r="4" spans="1:25" ht="15.75" customHeight="1" x14ac:dyDescent="0.25">
      <c r="B4" s="64"/>
      <c r="C4" s="67" t="s">
        <v>356</v>
      </c>
      <c r="D4" s="29"/>
      <c r="E4" s="29"/>
      <c r="F4" s="29"/>
      <c r="G4" s="29"/>
      <c r="H4" s="29"/>
      <c r="I4" s="29"/>
      <c r="J4" s="29"/>
      <c r="K4" s="29"/>
      <c r="L4" s="29"/>
      <c r="M4" s="29"/>
      <c r="N4" s="29"/>
      <c r="O4" s="29"/>
      <c r="P4" s="29"/>
      <c r="Q4" s="29"/>
      <c r="R4" s="29"/>
      <c r="S4" s="29"/>
      <c r="T4" s="25"/>
    </row>
    <row r="5" spans="1:25" ht="18" customHeight="1" x14ac:dyDescent="0.25">
      <c r="B5" s="64"/>
      <c r="C5" s="222" t="s">
        <v>357</v>
      </c>
      <c r="D5" s="273" t="s">
        <v>373</v>
      </c>
      <c r="E5" s="273"/>
      <c r="F5" s="29"/>
      <c r="G5" s="29"/>
      <c r="H5" s="29"/>
      <c r="I5" s="29"/>
      <c r="J5" s="29"/>
      <c r="K5" s="29"/>
      <c r="L5" s="29"/>
      <c r="M5" s="29"/>
      <c r="N5" s="29"/>
      <c r="O5" s="29"/>
      <c r="P5" s="29"/>
      <c r="Q5" s="29"/>
      <c r="R5" s="29"/>
      <c r="S5" s="29"/>
      <c r="T5" s="25"/>
    </row>
    <row r="6" spans="1:25" ht="15" customHeight="1" x14ac:dyDescent="0.25">
      <c r="B6" s="64"/>
      <c r="C6" s="29"/>
      <c r="D6" s="29"/>
      <c r="E6" s="29"/>
      <c r="F6" s="29"/>
      <c r="G6" s="29"/>
      <c r="H6" s="29"/>
      <c r="I6" s="29"/>
      <c r="J6" s="29"/>
      <c r="K6" s="29"/>
      <c r="L6" s="29"/>
      <c r="M6" s="29"/>
      <c r="N6" s="29"/>
      <c r="O6" s="29"/>
      <c r="P6" s="29"/>
      <c r="Q6" s="29"/>
      <c r="R6" s="29"/>
      <c r="S6" s="29"/>
      <c r="T6" s="25"/>
      <c r="W6" s="39"/>
      <c r="X6" s="39"/>
      <c r="Y6" s="39"/>
    </row>
    <row r="7" spans="1:25" ht="32.25" customHeight="1" x14ac:dyDescent="0.25">
      <c r="B7" s="64"/>
      <c r="C7" s="126" t="s">
        <v>0</v>
      </c>
      <c r="D7" s="69" t="s">
        <v>44</v>
      </c>
      <c r="E7" s="70" t="s">
        <v>2</v>
      </c>
      <c r="F7" s="29"/>
      <c r="G7" s="29"/>
      <c r="H7" s="29"/>
      <c r="I7" s="29"/>
      <c r="J7" s="29"/>
      <c r="K7" s="29"/>
      <c r="L7" s="29"/>
      <c r="M7" s="29"/>
      <c r="N7" s="29"/>
      <c r="O7" s="29"/>
      <c r="P7" s="29"/>
      <c r="Q7" s="29"/>
      <c r="R7" s="29"/>
      <c r="S7" s="29"/>
      <c r="T7" s="25"/>
      <c r="W7" s="39" t="s">
        <v>22</v>
      </c>
      <c r="X7" s="39" t="s">
        <v>2</v>
      </c>
      <c r="Y7" s="39"/>
    </row>
    <row r="8" spans="1:25" ht="15" customHeight="1" x14ac:dyDescent="0.25">
      <c r="B8" s="64"/>
      <c r="C8" s="187" t="s">
        <v>32</v>
      </c>
      <c r="D8" s="188" t="s">
        <v>3</v>
      </c>
      <c r="E8" s="189">
        <v>2.6705E-2</v>
      </c>
      <c r="F8" s="29"/>
      <c r="G8" s="29"/>
      <c r="H8" s="29"/>
      <c r="I8" s="29"/>
      <c r="J8" s="29"/>
      <c r="K8" s="29"/>
      <c r="L8" s="29"/>
      <c r="M8" s="29"/>
      <c r="N8" s="29"/>
      <c r="O8" s="29"/>
      <c r="P8" s="29"/>
      <c r="Q8" s="29"/>
      <c r="R8" s="29"/>
      <c r="S8" s="29"/>
      <c r="T8" s="25"/>
      <c r="W8" s="237" t="s">
        <v>3</v>
      </c>
      <c r="X8" s="240">
        <v>5.4856000000000002E-2</v>
      </c>
      <c r="Y8" s="39"/>
    </row>
    <row r="9" spans="1:25" ht="15.75" customHeight="1" x14ac:dyDescent="0.25">
      <c r="B9" s="64"/>
      <c r="C9" s="187" t="s">
        <v>31</v>
      </c>
      <c r="D9" s="188" t="s">
        <v>6</v>
      </c>
      <c r="E9" s="189">
        <v>2.3151999999999999E-2</v>
      </c>
      <c r="F9" s="29"/>
      <c r="G9" s="29"/>
      <c r="H9" s="29"/>
      <c r="I9" s="29"/>
      <c r="J9" s="29"/>
      <c r="K9" s="29"/>
      <c r="L9" s="29"/>
      <c r="M9" s="29"/>
      <c r="N9" s="29"/>
      <c r="O9" s="29"/>
      <c r="P9" s="29"/>
      <c r="Q9" s="29"/>
      <c r="R9" s="29"/>
      <c r="S9" s="29"/>
      <c r="T9" s="25"/>
      <c r="W9" s="237" t="s">
        <v>26</v>
      </c>
      <c r="X9" s="240">
        <v>4.6952999999999995E-2</v>
      </c>
      <c r="Y9" s="39"/>
    </row>
    <row r="10" spans="1:25" ht="15" customHeight="1" x14ac:dyDescent="0.25">
      <c r="B10" s="64"/>
      <c r="C10" s="187" t="s">
        <v>28</v>
      </c>
      <c r="D10" s="188" t="s">
        <v>108</v>
      </c>
      <c r="E10" s="189">
        <v>1.5830999999999998E-2</v>
      </c>
      <c r="F10" s="29"/>
      <c r="G10" s="29"/>
      <c r="H10" s="29"/>
      <c r="I10" s="29"/>
      <c r="J10" s="29"/>
      <c r="K10" s="29"/>
      <c r="L10" s="29"/>
      <c r="M10" s="29"/>
      <c r="N10" s="29"/>
      <c r="O10" s="29"/>
      <c r="P10" s="29"/>
      <c r="Q10" s="29"/>
      <c r="R10" s="29"/>
      <c r="S10" s="29"/>
      <c r="T10" s="25"/>
      <c r="W10" s="237" t="s">
        <v>4</v>
      </c>
      <c r="X10" s="240">
        <v>3.4171000000000014E-2</v>
      </c>
      <c r="Y10" s="39"/>
    </row>
    <row r="11" spans="1:25" ht="15" customHeight="1" x14ac:dyDescent="0.25">
      <c r="B11" s="64"/>
      <c r="C11" s="187" t="s">
        <v>29</v>
      </c>
      <c r="D11" s="188" t="s">
        <v>3</v>
      </c>
      <c r="E11" s="189">
        <v>1.3200999999999997E-2</v>
      </c>
      <c r="F11" s="29"/>
      <c r="G11" s="29"/>
      <c r="H11" s="29"/>
      <c r="I11" s="29"/>
      <c r="J11" s="29"/>
      <c r="K11" s="29"/>
      <c r="L11" s="29"/>
      <c r="M11" s="29"/>
      <c r="N11" s="29"/>
      <c r="O11" s="29"/>
      <c r="P11" s="29"/>
      <c r="Q11" s="29"/>
      <c r="R11" s="29"/>
      <c r="S11" s="29"/>
      <c r="T11" s="25"/>
      <c r="W11" s="237" t="s">
        <v>108</v>
      </c>
      <c r="X11" s="240">
        <v>2.6750000000000006E-2</v>
      </c>
      <c r="Y11" s="39"/>
    </row>
    <row r="12" spans="1:25" ht="15" customHeight="1" x14ac:dyDescent="0.25">
      <c r="B12" s="64"/>
      <c r="C12" s="187" t="s">
        <v>230</v>
      </c>
      <c r="D12" s="188" t="s">
        <v>26</v>
      </c>
      <c r="E12" s="189">
        <v>1.2929E-2</v>
      </c>
      <c r="F12" s="29"/>
      <c r="G12" s="29"/>
      <c r="H12" s="29"/>
      <c r="I12" s="29"/>
      <c r="J12" s="29"/>
      <c r="K12" s="29"/>
      <c r="L12" s="29"/>
      <c r="M12" s="29"/>
      <c r="N12" s="29"/>
      <c r="O12" s="29"/>
      <c r="P12" s="29"/>
      <c r="Q12" s="29"/>
      <c r="R12" s="29"/>
      <c r="S12" s="29"/>
      <c r="T12" s="25"/>
      <c r="W12" s="237" t="s">
        <v>112</v>
      </c>
      <c r="X12" s="240">
        <v>2.5646000000000006E-2</v>
      </c>
      <c r="Y12" s="39"/>
    </row>
    <row r="13" spans="1:25" ht="15" customHeight="1" x14ac:dyDescent="0.25">
      <c r="B13" s="64"/>
      <c r="C13" s="187" t="s">
        <v>325</v>
      </c>
      <c r="D13" s="188" t="s">
        <v>134</v>
      </c>
      <c r="E13" s="189">
        <v>1.2874E-2</v>
      </c>
      <c r="F13" s="29"/>
      <c r="G13" s="29"/>
      <c r="H13" s="29"/>
      <c r="I13" s="29"/>
      <c r="J13" s="29"/>
      <c r="K13" s="29"/>
      <c r="L13" s="29"/>
      <c r="M13" s="29"/>
      <c r="N13" s="29"/>
      <c r="O13" s="29"/>
      <c r="P13" s="29"/>
      <c r="Q13" s="29"/>
      <c r="R13" s="29"/>
      <c r="S13" s="29"/>
      <c r="T13" s="25"/>
      <c r="W13" s="237" t="s">
        <v>6</v>
      </c>
      <c r="X13" s="240">
        <v>2.3151999999999999E-2</v>
      </c>
      <c r="Y13" s="39"/>
    </row>
    <row r="14" spans="1:25" ht="15.75" customHeight="1" x14ac:dyDescent="0.25">
      <c r="B14" s="64"/>
      <c r="C14" s="187" t="s">
        <v>70</v>
      </c>
      <c r="D14" s="188" t="s">
        <v>12</v>
      </c>
      <c r="E14" s="189">
        <v>1.2332000000000003E-2</v>
      </c>
      <c r="F14" s="29"/>
      <c r="G14" s="29"/>
      <c r="H14" s="29"/>
      <c r="I14" s="29"/>
      <c r="J14" s="29"/>
      <c r="K14" s="29"/>
      <c r="L14" s="29"/>
      <c r="M14" s="29"/>
      <c r="N14" s="29"/>
      <c r="O14" s="29"/>
      <c r="P14" s="29"/>
      <c r="Q14" s="29"/>
      <c r="R14" s="29"/>
      <c r="S14" s="29"/>
      <c r="T14" s="25"/>
      <c r="W14" s="237" t="s">
        <v>120</v>
      </c>
      <c r="X14" s="240">
        <v>2.2963000000000001E-2</v>
      </c>
      <c r="Y14" s="39"/>
    </row>
    <row r="15" spans="1:25" ht="15.75" x14ac:dyDescent="0.25">
      <c r="B15" s="64"/>
      <c r="C15" s="187" t="s">
        <v>241</v>
      </c>
      <c r="D15" s="188" t="s">
        <v>26</v>
      </c>
      <c r="E15" s="189">
        <v>1.2194E-2</v>
      </c>
      <c r="F15" s="29"/>
      <c r="G15" s="29"/>
      <c r="H15" s="29"/>
      <c r="I15" s="29"/>
      <c r="J15" s="29"/>
      <c r="K15" s="29"/>
      <c r="L15" s="29"/>
      <c r="M15" s="29"/>
      <c r="N15" s="29"/>
      <c r="O15" s="29"/>
      <c r="P15" s="29"/>
      <c r="Q15" s="29"/>
      <c r="R15" s="29"/>
      <c r="S15" s="29"/>
      <c r="T15" s="25"/>
      <c r="W15" s="237" t="s">
        <v>78</v>
      </c>
      <c r="X15" s="240">
        <v>1.8401000000000001E-2</v>
      </c>
      <c r="Y15" s="39"/>
    </row>
    <row r="16" spans="1:25" ht="15.75" customHeight="1" x14ac:dyDescent="0.25">
      <c r="B16" s="64"/>
      <c r="C16" s="187" t="s">
        <v>82</v>
      </c>
      <c r="D16" s="188" t="s">
        <v>4</v>
      </c>
      <c r="E16" s="189">
        <v>1.0614000000000005E-2</v>
      </c>
      <c r="F16" s="29"/>
      <c r="G16" s="29"/>
      <c r="H16" s="29"/>
      <c r="I16" s="29"/>
      <c r="J16" s="29"/>
      <c r="K16" s="29"/>
      <c r="L16" s="29"/>
      <c r="M16" s="29"/>
      <c r="N16" s="29"/>
      <c r="O16" s="29"/>
      <c r="P16" s="29"/>
      <c r="Q16" s="29"/>
      <c r="R16" s="29"/>
      <c r="S16" s="29"/>
      <c r="T16" s="25"/>
      <c r="W16" s="237" t="s">
        <v>113</v>
      </c>
      <c r="X16" s="240">
        <v>1.8155999999999999E-2</v>
      </c>
      <c r="Y16" s="39"/>
    </row>
    <row r="17" spans="2:25" ht="15" customHeight="1" x14ac:dyDescent="0.25">
      <c r="B17" s="64"/>
      <c r="C17" s="187" t="s">
        <v>36</v>
      </c>
      <c r="D17" s="188" t="s">
        <v>3</v>
      </c>
      <c r="E17" s="189">
        <v>1.0253999999999999E-2</v>
      </c>
      <c r="F17" s="29"/>
      <c r="G17" s="29"/>
      <c r="H17" s="29"/>
      <c r="I17" s="29"/>
      <c r="J17" s="29"/>
      <c r="K17" s="29"/>
      <c r="L17" s="29"/>
      <c r="M17" s="29"/>
      <c r="N17" s="29"/>
      <c r="O17" s="29"/>
      <c r="P17" s="29"/>
      <c r="Q17" s="29"/>
      <c r="R17" s="29"/>
      <c r="S17" s="29"/>
      <c r="T17" s="25"/>
      <c r="W17" s="237" t="s">
        <v>10</v>
      </c>
      <c r="X17" s="240">
        <v>1.8140999999999997E-2</v>
      </c>
      <c r="Y17" s="39"/>
    </row>
    <row r="18" spans="2:25" ht="15" customHeight="1" x14ac:dyDescent="0.25">
      <c r="B18" s="64"/>
      <c r="C18" s="187" t="s">
        <v>34</v>
      </c>
      <c r="D18" s="188" t="s">
        <v>23</v>
      </c>
      <c r="E18" s="189">
        <v>1.0206000000000002E-2</v>
      </c>
      <c r="F18" s="29"/>
      <c r="G18" s="29"/>
      <c r="H18" s="29"/>
      <c r="I18" s="29"/>
      <c r="J18" s="29"/>
      <c r="K18" s="29"/>
      <c r="L18" s="29"/>
      <c r="M18" s="29"/>
      <c r="N18" s="29"/>
      <c r="O18" s="29"/>
      <c r="P18" s="29"/>
      <c r="Q18" s="29"/>
      <c r="R18" s="29"/>
      <c r="S18" s="29"/>
      <c r="T18" s="25"/>
      <c r="W18" s="237" t="s">
        <v>23</v>
      </c>
      <c r="X18" s="240">
        <v>1.8068000000000001E-2</v>
      </c>
      <c r="Y18" s="39"/>
    </row>
    <row r="19" spans="2:25" ht="15" customHeight="1" x14ac:dyDescent="0.25">
      <c r="B19" s="64"/>
      <c r="C19" s="187" t="s">
        <v>69</v>
      </c>
      <c r="D19" s="188" t="s">
        <v>4</v>
      </c>
      <c r="E19" s="189">
        <v>9.5390000000000006E-3</v>
      </c>
      <c r="F19" s="29"/>
      <c r="G19" s="29"/>
      <c r="H19" s="29"/>
      <c r="I19" s="29"/>
      <c r="J19" s="29"/>
      <c r="K19" s="29"/>
      <c r="L19" s="29"/>
      <c r="M19" s="29"/>
      <c r="N19" s="29"/>
      <c r="O19" s="29"/>
      <c r="P19" s="29"/>
      <c r="Q19" s="29"/>
      <c r="R19" s="29"/>
      <c r="S19" s="29"/>
      <c r="T19" s="25"/>
      <c r="W19" s="237" t="s">
        <v>111</v>
      </c>
      <c r="X19" s="240">
        <v>1.3764999999999999E-2</v>
      </c>
      <c r="Y19" s="39"/>
    </row>
    <row r="20" spans="2:25" ht="15" customHeight="1" x14ac:dyDescent="0.25">
      <c r="B20" s="64"/>
      <c r="C20" s="187" t="s">
        <v>212</v>
      </c>
      <c r="D20" s="188" t="s">
        <v>120</v>
      </c>
      <c r="E20" s="189">
        <v>9.3229999999999997E-3</v>
      </c>
      <c r="F20" s="29"/>
      <c r="G20" s="29"/>
      <c r="H20" s="29"/>
      <c r="I20" s="29"/>
      <c r="J20" s="29"/>
      <c r="K20" s="29"/>
      <c r="L20" s="29"/>
      <c r="M20" s="29"/>
      <c r="N20" s="29"/>
      <c r="O20" s="29"/>
      <c r="P20" s="29"/>
      <c r="Q20" s="29"/>
      <c r="R20" s="29"/>
      <c r="S20" s="29"/>
      <c r="T20" s="25"/>
      <c r="W20" s="237" t="s">
        <v>134</v>
      </c>
      <c r="X20" s="240">
        <v>1.2874E-2</v>
      </c>
      <c r="Y20" s="39"/>
    </row>
    <row r="21" spans="2:25" ht="15" customHeight="1" x14ac:dyDescent="0.25">
      <c r="B21" s="64"/>
      <c r="C21" s="187" t="s">
        <v>274</v>
      </c>
      <c r="D21" s="188" t="s">
        <v>78</v>
      </c>
      <c r="E21" s="189">
        <v>9.0299999999999998E-3</v>
      </c>
      <c r="F21" s="29"/>
      <c r="G21" s="29"/>
      <c r="H21" s="29"/>
      <c r="I21" s="29"/>
      <c r="J21" s="29"/>
      <c r="K21" s="29"/>
      <c r="L21" s="29"/>
      <c r="M21" s="29"/>
      <c r="N21" s="29"/>
      <c r="O21" s="29"/>
      <c r="P21" s="29"/>
      <c r="Q21" s="29"/>
      <c r="R21" s="29"/>
      <c r="S21" s="29"/>
      <c r="T21" s="25"/>
      <c r="W21" s="237" t="s">
        <v>114</v>
      </c>
      <c r="X21" s="240">
        <v>1.2448999999999998E-2</v>
      </c>
      <c r="Y21" s="39"/>
    </row>
    <row r="22" spans="2:25" ht="15" customHeight="1" x14ac:dyDescent="0.25">
      <c r="B22" s="64"/>
      <c r="C22" s="187" t="s">
        <v>193</v>
      </c>
      <c r="D22" s="188" t="s">
        <v>4</v>
      </c>
      <c r="E22" s="189">
        <v>8.9079999999999993E-3</v>
      </c>
      <c r="F22" s="29"/>
      <c r="G22" s="29"/>
      <c r="H22" s="29"/>
      <c r="I22" s="29"/>
      <c r="J22" s="29"/>
      <c r="K22" s="29"/>
      <c r="L22" s="29"/>
      <c r="M22" s="29"/>
      <c r="N22" s="29"/>
      <c r="O22" s="29"/>
      <c r="P22" s="29"/>
      <c r="Q22" s="29"/>
      <c r="R22" s="29"/>
      <c r="S22" s="29"/>
      <c r="T22" s="25"/>
      <c r="W22" s="237" t="s">
        <v>12</v>
      </c>
      <c r="X22" s="240">
        <v>1.2307999999999999E-2</v>
      </c>
      <c r="Y22" s="39"/>
    </row>
    <row r="23" spans="2:25" ht="16.5" customHeight="1" x14ac:dyDescent="0.25">
      <c r="B23" s="64"/>
      <c r="C23" s="128" t="s">
        <v>65</v>
      </c>
      <c r="D23" s="129"/>
      <c r="E23" s="130">
        <v>0.19709199999999999</v>
      </c>
      <c r="F23" s="29"/>
      <c r="G23" s="29"/>
      <c r="H23" s="29"/>
      <c r="I23" s="29"/>
      <c r="J23" s="29"/>
      <c r="K23" s="29"/>
      <c r="L23" s="29"/>
      <c r="M23" s="29"/>
      <c r="N23" s="29"/>
      <c r="O23" s="29"/>
      <c r="P23" s="29"/>
      <c r="Q23" s="29"/>
      <c r="R23" s="29"/>
      <c r="S23" s="29"/>
      <c r="T23" s="25"/>
      <c r="W23" s="237" t="s">
        <v>187</v>
      </c>
      <c r="X23" s="240">
        <v>8.881E-3</v>
      </c>
      <c r="Y23" s="39"/>
    </row>
    <row r="24" spans="2:25" ht="15" customHeight="1" x14ac:dyDescent="0.25">
      <c r="B24" s="64"/>
      <c r="C24" s="131"/>
      <c r="D24" s="82"/>
      <c r="E24" s="127"/>
      <c r="F24" s="29"/>
      <c r="G24" s="29"/>
      <c r="H24" s="29"/>
      <c r="I24" s="29"/>
      <c r="J24" s="29"/>
      <c r="K24" s="29"/>
      <c r="L24" s="29"/>
      <c r="M24" s="29"/>
      <c r="N24" s="29"/>
      <c r="O24" s="29"/>
      <c r="P24" s="29"/>
      <c r="Q24" s="29"/>
      <c r="R24" s="29"/>
      <c r="S24" s="29"/>
      <c r="T24" s="25"/>
      <c r="W24" s="237" t="s">
        <v>118</v>
      </c>
      <c r="X24" s="240">
        <v>8.6830000000000015E-3</v>
      </c>
      <c r="Y24" s="39"/>
    </row>
    <row r="25" spans="2:25" ht="15" customHeight="1" x14ac:dyDescent="0.25">
      <c r="B25" s="64"/>
      <c r="C25" s="128" t="s">
        <v>59</v>
      </c>
      <c r="D25" s="129"/>
      <c r="E25" s="190">
        <v>0.232068</v>
      </c>
      <c r="F25" s="29"/>
      <c r="G25" s="29"/>
      <c r="H25" s="29"/>
      <c r="I25" s="29"/>
      <c r="J25" s="29"/>
      <c r="K25" s="29"/>
      <c r="L25" s="29"/>
      <c r="M25" s="29"/>
      <c r="N25" s="29"/>
      <c r="O25" s="29"/>
      <c r="P25" s="29"/>
      <c r="Q25" s="29"/>
      <c r="R25" s="29"/>
      <c r="S25" s="29"/>
      <c r="T25" s="25"/>
      <c r="W25" s="237" t="s">
        <v>107</v>
      </c>
      <c r="X25" s="240">
        <v>7.7990000000000004E-3</v>
      </c>
      <c r="Y25" s="39"/>
    </row>
    <row r="26" spans="2:25" ht="15" customHeight="1" x14ac:dyDescent="0.25">
      <c r="B26" s="64"/>
      <c r="C26" s="131"/>
      <c r="D26" s="82"/>
      <c r="E26" s="127"/>
      <c r="F26" s="29"/>
      <c r="G26" s="29"/>
      <c r="H26" s="29"/>
      <c r="I26" s="29"/>
      <c r="J26" s="29"/>
      <c r="K26" s="29"/>
      <c r="L26" s="29"/>
      <c r="M26" s="29"/>
      <c r="N26" s="29"/>
      <c r="O26" s="29"/>
      <c r="P26" s="29"/>
      <c r="Q26" s="29"/>
      <c r="R26" s="29"/>
      <c r="S26" s="29"/>
      <c r="T26" s="25"/>
      <c r="W26" s="237" t="s">
        <v>84</v>
      </c>
      <c r="X26" s="240">
        <v>6.7700000000000017E-3</v>
      </c>
      <c r="Y26" s="39"/>
    </row>
    <row r="27" spans="2:25" ht="18" customHeight="1" x14ac:dyDescent="0.25">
      <c r="B27" s="64"/>
      <c r="C27" s="128" t="s">
        <v>58</v>
      </c>
      <c r="D27" s="108"/>
      <c r="E27" s="191">
        <v>0.40815400000000002</v>
      </c>
      <c r="F27" s="29"/>
      <c r="G27" s="29"/>
      <c r="H27" s="29"/>
      <c r="I27" s="29"/>
      <c r="J27" s="29"/>
      <c r="K27" s="29"/>
      <c r="L27" s="29"/>
      <c r="M27" s="29"/>
      <c r="N27" s="29"/>
      <c r="O27" s="29"/>
      <c r="P27" s="29"/>
      <c r="Q27" s="29"/>
      <c r="R27" s="29"/>
      <c r="S27" s="29"/>
      <c r="T27" s="25"/>
      <c r="W27" s="237" t="s">
        <v>86</v>
      </c>
      <c r="X27" s="240">
        <v>6.581E-3</v>
      </c>
    </row>
    <row r="28" spans="2:25" ht="18" customHeight="1" x14ac:dyDescent="0.25">
      <c r="B28" s="64"/>
      <c r="C28" s="241"/>
      <c r="D28" s="242"/>
      <c r="E28" s="127"/>
      <c r="F28" s="29"/>
      <c r="G28" s="29"/>
      <c r="H28" s="29"/>
      <c r="I28" s="29"/>
      <c r="J28" s="29"/>
      <c r="K28" s="29"/>
      <c r="L28" s="29"/>
      <c r="M28" s="29"/>
      <c r="N28" s="29"/>
      <c r="O28" s="29"/>
      <c r="P28" s="29"/>
      <c r="Q28" s="29"/>
      <c r="R28" s="29"/>
      <c r="S28" s="29"/>
      <c r="T28" s="25"/>
      <c r="W28" s="237" t="s">
        <v>25</v>
      </c>
      <c r="X28" s="240">
        <v>6.2009999999999999E-3</v>
      </c>
    </row>
    <row r="29" spans="2:25" ht="15" customHeight="1" x14ac:dyDescent="0.25">
      <c r="B29" s="64"/>
      <c r="C29" s="243" t="s">
        <v>36</v>
      </c>
      <c r="D29" s="242" t="s">
        <v>308</v>
      </c>
      <c r="E29" s="189">
        <v>8.4110000000000001E-3</v>
      </c>
      <c r="F29" s="29"/>
      <c r="G29" s="29"/>
      <c r="H29" s="29"/>
      <c r="I29" s="29"/>
      <c r="J29" s="29"/>
      <c r="K29" s="29"/>
      <c r="L29" s="29"/>
      <c r="M29" s="29"/>
      <c r="N29" s="29"/>
      <c r="O29" s="29"/>
      <c r="P29" s="29"/>
      <c r="Q29" s="29"/>
      <c r="R29" s="29"/>
      <c r="S29" s="29"/>
      <c r="T29" s="25"/>
      <c r="W29" s="237" t="s">
        <v>88</v>
      </c>
      <c r="X29" s="240">
        <v>5.7279999999999996E-3</v>
      </c>
    </row>
    <row r="30" spans="2:25" ht="15" customHeight="1" x14ac:dyDescent="0.25">
      <c r="B30" s="64"/>
      <c r="C30" s="133" t="s">
        <v>307</v>
      </c>
      <c r="D30" s="129"/>
      <c r="E30" s="130">
        <v>8.4110000000000001E-3</v>
      </c>
      <c r="F30" s="29"/>
      <c r="G30" s="132"/>
      <c r="H30" s="29"/>
      <c r="I30" s="29"/>
      <c r="J30" s="29"/>
      <c r="K30" s="29"/>
      <c r="L30" s="29"/>
      <c r="M30" s="29"/>
      <c r="N30" s="29"/>
      <c r="O30" s="29"/>
      <c r="P30" s="29"/>
      <c r="Q30" s="29"/>
      <c r="R30" s="29"/>
      <c r="S30" s="29"/>
      <c r="T30" s="25"/>
      <c r="W30" s="237" t="s">
        <v>125</v>
      </c>
      <c r="X30" s="240">
        <v>4.7390000000000002E-3</v>
      </c>
    </row>
    <row r="31" spans="2:25" ht="15" customHeight="1" x14ac:dyDescent="0.25">
      <c r="B31" s="64"/>
      <c r="C31" s="241"/>
      <c r="D31" s="242"/>
      <c r="E31" s="127"/>
      <c r="F31" s="29"/>
      <c r="G31" s="132"/>
      <c r="H31" s="29"/>
      <c r="I31" s="29"/>
      <c r="J31" s="29"/>
      <c r="K31" s="29"/>
      <c r="L31" s="29"/>
      <c r="M31" s="29"/>
      <c r="N31" s="29"/>
      <c r="O31" s="29"/>
      <c r="P31" s="29"/>
      <c r="Q31" s="29"/>
      <c r="R31" s="29"/>
      <c r="S31" s="29"/>
      <c r="T31" s="25"/>
      <c r="W31" s="237" t="s">
        <v>85</v>
      </c>
      <c r="X31" s="240">
        <v>4.2100000000000002E-3</v>
      </c>
    </row>
    <row r="32" spans="2:25" ht="15" customHeight="1" x14ac:dyDescent="0.25">
      <c r="B32" s="64"/>
      <c r="C32" s="241" t="s">
        <v>310</v>
      </c>
      <c r="D32" s="242" t="s">
        <v>305</v>
      </c>
      <c r="E32" s="127">
        <v>8.5719999999999998E-3</v>
      </c>
      <c r="F32" s="29"/>
      <c r="G32" s="132"/>
      <c r="H32" s="29"/>
      <c r="I32" s="29"/>
      <c r="J32" s="29"/>
      <c r="K32" s="29"/>
      <c r="L32" s="29"/>
      <c r="M32" s="29"/>
      <c r="N32" s="29"/>
      <c r="O32" s="29"/>
      <c r="P32" s="29"/>
      <c r="Q32" s="29"/>
      <c r="R32" s="29"/>
      <c r="S32" s="29"/>
      <c r="T32" s="25"/>
      <c r="W32" s="237" t="s">
        <v>109</v>
      </c>
      <c r="X32" s="240">
        <v>4.1980000000000003E-3</v>
      </c>
    </row>
    <row r="33" spans="2:24" ht="15" customHeight="1" x14ac:dyDescent="0.25">
      <c r="B33" s="64"/>
      <c r="C33" s="243" t="s">
        <v>290</v>
      </c>
      <c r="D33" s="242" t="s">
        <v>291</v>
      </c>
      <c r="E33" s="127">
        <v>6.4859999999999996E-3</v>
      </c>
      <c r="F33" s="29"/>
      <c r="G33" s="132"/>
      <c r="H33" s="29"/>
      <c r="I33" s="29"/>
      <c r="J33" s="29"/>
      <c r="K33" s="29"/>
      <c r="L33" s="29"/>
      <c r="M33" s="29"/>
      <c r="N33" s="29"/>
      <c r="O33" s="29"/>
      <c r="P33" s="29"/>
      <c r="Q33" s="29"/>
      <c r="R33" s="29"/>
      <c r="S33" s="29"/>
      <c r="T33" s="25"/>
      <c r="W33" s="237" t="s">
        <v>138</v>
      </c>
      <c r="X33" s="240">
        <v>3.9029999999999998E-3</v>
      </c>
    </row>
    <row r="34" spans="2:24" ht="15" customHeight="1" x14ac:dyDescent="0.25">
      <c r="B34" s="64"/>
      <c r="C34" s="243" t="s">
        <v>289</v>
      </c>
      <c r="D34" s="242" t="s">
        <v>305</v>
      </c>
      <c r="E34" s="127">
        <v>2.1779999999999998E-3</v>
      </c>
      <c r="F34" s="29"/>
      <c r="G34" s="132"/>
      <c r="H34" s="29"/>
      <c r="I34" s="29"/>
      <c r="J34" s="29"/>
      <c r="K34" s="29"/>
      <c r="L34" s="29"/>
      <c r="M34" s="29"/>
      <c r="N34" s="29"/>
      <c r="O34" s="29"/>
      <c r="P34" s="29"/>
      <c r="Q34" s="29"/>
      <c r="R34" s="29"/>
      <c r="S34" s="29"/>
      <c r="T34" s="25"/>
      <c r="W34" s="237" t="s">
        <v>13</v>
      </c>
      <c r="X34" s="240">
        <v>3.199E-3</v>
      </c>
    </row>
    <row r="35" spans="2:24" ht="15" customHeight="1" x14ac:dyDescent="0.25">
      <c r="B35" s="64"/>
      <c r="C35" s="243" t="s">
        <v>326</v>
      </c>
      <c r="D35" s="242" t="s">
        <v>305</v>
      </c>
      <c r="E35" s="127">
        <v>2.1519999999999998E-3</v>
      </c>
      <c r="F35" s="29"/>
      <c r="G35" s="132"/>
      <c r="H35" s="29"/>
      <c r="I35" s="29"/>
      <c r="J35" s="29"/>
      <c r="K35" s="29"/>
      <c r="L35" s="29"/>
      <c r="M35" s="29"/>
      <c r="N35" s="29"/>
      <c r="O35" s="29"/>
      <c r="P35" s="29"/>
      <c r="Q35" s="29"/>
      <c r="R35" s="29"/>
      <c r="S35" s="29"/>
      <c r="T35" s="25"/>
      <c r="W35" s="237" t="s">
        <v>117</v>
      </c>
      <c r="X35" s="240">
        <v>-2.1999999999999884E-5</v>
      </c>
    </row>
    <row r="36" spans="2:24" ht="15" customHeight="1" x14ac:dyDescent="0.25">
      <c r="B36" s="64"/>
      <c r="C36" s="243" t="s">
        <v>62</v>
      </c>
      <c r="D36" s="242" t="s">
        <v>63</v>
      </c>
      <c r="E36" s="291">
        <v>4.3000000000000002E-5</v>
      </c>
      <c r="F36" s="29"/>
      <c r="G36" s="132"/>
      <c r="H36" s="29"/>
      <c r="I36" s="29"/>
      <c r="J36" s="29"/>
      <c r="K36" s="29"/>
      <c r="L36" s="29"/>
      <c r="M36" s="29"/>
      <c r="N36" s="29"/>
      <c r="O36" s="29"/>
      <c r="P36" s="29"/>
      <c r="Q36" s="29"/>
      <c r="R36" s="29"/>
      <c r="S36" s="29"/>
      <c r="T36" s="25"/>
      <c r="W36" s="237" t="s">
        <v>119</v>
      </c>
      <c r="X36" s="240">
        <v>-3.7999999999999839E-5</v>
      </c>
    </row>
    <row r="37" spans="2:24" ht="15" customHeight="1" x14ac:dyDescent="0.25">
      <c r="B37" s="64"/>
      <c r="C37" s="133" t="s">
        <v>5</v>
      </c>
      <c r="D37" s="129"/>
      <c r="E37" s="130">
        <v>1.9431E-2</v>
      </c>
      <c r="F37" s="29"/>
      <c r="G37" s="132"/>
      <c r="H37" s="29"/>
      <c r="I37" s="29"/>
      <c r="J37" s="29"/>
      <c r="K37" s="29"/>
      <c r="L37" s="29"/>
      <c r="M37" s="29"/>
      <c r="N37" s="29"/>
      <c r="O37" s="29"/>
      <c r="P37" s="29"/>
      <c r="Q37" s="29"/>
      <c r="R37" s="29"/>
      <c r="S37" s="29"/>
      <c r="T37" s="25"/>
      <c r="W37" s="237" t="s">
        <v>11</v>
      </c>
      <c r="X37" s="240">
        <v>-4.9999999999999697E-5</v>
      </c>
    </row>
    <row r="38" spans="2:24" ht="15" customHeight="1" x14ac:dyDescent="0.25">
      <c r="B38" s="64"/>
      <c r="C38" s="234"/>
      <c r="D38" s="235"/>
      <c r="E38" s="235"/>
      <c r="F38" s="29"/>
      <c r="G38" s="134"/>
      <c r="H38" s="29"/>
      <c r="I38" s="29"/>
      <c r="J38" s="29"/>
      <c r="K38" s="29"/>
      <c r="L38" s="29"/>
      <c r="M38" s="29"/>
      <c r="N38" s="29"/>
      <c r="O38" s="29"/>
      <c r="P38" s="29"/>
      <c r="Q38" s="29"/>
      <c r="R38" s="29"/>
      <c r="S38" s="29"/>
      <c r="T38" s="25"/>
      <c r="W38" s="237" t="s">
        <v>16</v>
      </c>
      <c r="X38" s="240">
        <v>-5.3000000000000096E-5</v>
      </c>
    </row>
    <row r="39" spans="2:24" ht="15" customHeight="1" x14ac:dyDescent="0.25">
      <c r="B39" s="64"/>
      <c r="C39" s="141" t="s">
        <v>199</v>
      </c>
      <c r="D39" s="142" t="s">
        <v>61</v>
      </c>
      <c r="E39" s="236">
        <v>5.8328999999999999E-2</v>
      </c>
      <c r="F39" s="29"/>
      <c r="G39" s="29"/>
      <c r="H39" s="29"/>
      <c r="I39" s="135"/>
      <c r="J39" s="29"/>
      <c r="K39" s="29"/>
      <c r="L39" s="29"/>
      <c r="M39" s="29"/>
      <c r="N39" s="29"/>
      <c r="O39" s="29"/>
      <c r="P39" s="29"/>
      <c r="Q39" s="29"/>
      <c r="R39" s="29"/>
      <c r="S39" s="29"/>
      <c r="T39" s="25"/>
      <c r="W39" s="237" t="s">
        <v>122</v>
      </c>
      <c r="X39" s="240">
        <v>-1.0500000000000093E-4</v>
      </c>
    </row>
    <row r="40" spans="2:24" ht="15" customHeight="1" x14ac:dyDescent="0.25">
      <c r="B40" s="64"/>
      <c r="C40" s="141" t="s">
        <v>229</v>
      </c>
      <c r="D40" s="142" t="s">
        <v>61</v>
      </c>
      <c r="E40" s="236">
        <v>3.6150000000000002E-2</v>
      </c>
      <c r="F40" s="29"/>
      <c r="G40" s="29"/>
      <c r="H40" s="29"/>
      <c r="I40" s="135"/>
      <c r="J40" s="29"/>
      <c r="K40" s="29"/>
      <c r="L40" s="29"/>
      <c r="M40" s="29"/>
      <c r="N40" s="29"/>
      <c r="O40" s="29"/>
      <c r="P40" s="29"/>
      <c r="Q40" s="29"/>
      <c r="R40" s="29"/>
      <c r="S40" s="29"/>
      <c r="T40" s="25"/>
      <c r="W40" s="237" t="s">
        <v>87</v>
      </c>
      <c r="X40" s="240">
        <v>-1.1700000000000078E-4</v>
      </c>
    </row>
    <row r="41" spans="2:24" ht="15" customHeight="1" x14ac:dyDescent="0.25">
      <c r="B41" s="64"/>
      <c r="C41" s="131" t="s">
        <v>203</v>
      </c>
      <c r="D41" s="142" t="s">
        <v>61</v>
      </c>
      <c r="E41" s="184">
        <v>1.3318999999999999E-2</v>
      </c>
      <c r="F41" s="29"/>
      <c r="G41" s="29"/>
      <c r="H41" s="29"/>
      <c r="I41" s="135"/>
      <c r="J41" s="29"/>
      <c r="K41" s="29"/>
      <c r="L41" s="29"/>
      <c r="M41" s="29"/>
      <c r="N41" s="29"/>
      <c r="O41" s="29"/>
      <c r="P41" s="29"/>
      <c r="Q41" s="29"/>
      <c r="R41" s="29"/>
      <c r="S41" s="29"/>
      <c r="T41" s="25"/>
      <c r="W41" s="237"/>
      <c r="X41" s="240"/>
    </row>
    <row r="42" spans="2:24" ht="15" customHeight="1" x14ac:dyDescent="0.25">
      <c r="B42" s="64"/>
      <c r="C42" s="141" t="s">
        <v>248</v>
      </c>
      <c r="D42" s="142" t="s">
        <v>61</v>
      </c>
      <c r="E42" s="236">
        <v>2.5530000000000001E-3</v>
      </c>
      <c r="F42" s="29"/>
      <c r="G42" s="29"/>
      <c r="H42" s="29"/>
      <c r="I42" s="135"/>
      <c r="J42" s="29"/>
      <c r="K42" s="29"/>
      <c r="L42" s="29"/>
      <c r="M42" s="29"/>
      <c r="N42" s="29"/>
      <c r="O42" s="29"/>
      <c r="P42" s="29"/>
      <c r="Q42" s="29"/>
      <c r="R42" s="29"/>
      <c r="S42" s="29"/>
      <c r="T42" s="25"/>
      <c r="W42" s="237"/>
      <c r="X42" s="240"/>
    </row>
    <row r="43" spans="2:24" ht="15" customHeight="1" x14ac:dyDescent="0.25">
      <c r="B43" s="64"/>
      <c r="C43" s="128" t="s">
        <v>327</v>
      </c>
      <c r="D43" s="108"/>
      <c r="E43" s="130">
        <v>0.110351</v>
      </c>
      <c r="F43" s="29"/>
      <c r="G43" s="29"/>
      <c r="H43" s="29"/>
      <c r="I43" s="135"/>
      <c r="J43" s="29"/>
      <c r="K43" s="29"/>
      <c r="L43" s="29"/>
      <c r="M43" s="29"/>
      <c r="N43" s="29"/>
      <c r="O43" s="29"/>
      <c r="P43" s="29"/>
      <c r="Q43" s="29"/>
      <c r="R43" s="29"/>
      <c r="S43" s="29"/>
      <c r="T43" s="25"/>
      <c r="W43" s="237"/>
      <c r="X43" s="240"/>
    </row>
    <row r="44" spans="2:24" s="53" customFormat="1" ht="15" customHeight="1" x14ac:dyDescent="0.25">
      <c r="B44" s="136"/>
      <c r="C44" s="137"/>
      <c r="D44" s="138"/>
      <c r="E44" s="139"/>
      <c r="F44" s="51"/>
      <c r="G44" s="51"/>
      <c r="H44" s="51"/>
      <c r="I44" s="140"/>
      <c r="J44" s="51"/>
      <c r="K44" s="51"/>
      <c r="L44" s="51"/>
      <c r="M44" s="51"/>
      <c r="N44" s="51"/>
      <c r="O44" s="51"/>
      <c r="P44" s="51"/>
      <c r="Q44" s="51"/>
      <c r="R44" s="51"/>
      <c r="S44" s="51"/>
      <c r="T44" s="52"/>
      <c r="W44" s="237"/>
      <c r="X44" s="240"/>
    </row>
    <row r="45" spans="2:24" s="53" customFormat="1" ht="15" customHeight="1" x14ac:dyDescent="0.25">
      <c r="B45" s="136"/>
      <c r="C45" s="141" t="s">
        <v>329</v>
      </c>
      <c r="D45" s="142" t="s">
        <v>291</v>
      </c>
      <c r="E45" s="236">
        <v>1.2732E-2</v>
      </c>
      <c r="F45" s="51"/>
      <c r="G45" s="51"/>
      <c r="H45" s="51"/>
      <c r="I45" s="140"/>
      <c r="J45" s="51"/>
      <c r="K45" s="51"/>
      <c r="L45" s="51"/>
      <c r="M45" s="51"/>
      <c r="N45" s="51"/>
      <c r="O45" s="51"/>
      <c r="P45" s="51"/>
      <c r="Q45" s="51"/>
      <c r="R45" s="51"/>
      <c r="S45" s="51"/>
      <c r="T45" s="52"/>
      <c r="W45" s="237"/>
      <c r="X45" s="240"/>
    </row>
    <row r="46" spans="2:24" s="53" customFormat="1" ht="15" customHeight="1" x14ac:dyDescent="0.25">
      <c r="B46" s="136"/>
      <c r="C46" s="128" t="s">
        <v>328</v>
      </c>
      <c r="D46" s="108"/>
      <c r="E46" s="130">
        <v>1.2732E-2</v>
      </c>
      <c r="F46" s="51"/>
      <c r="G46" s="51"/>
      <c r="H46" s="51"/>
      <c r="I46" s="140"/>
      <c r="J46" s="51"/>
      <c r="K46" s="51"/>
      <c r="L46" s="51"/>
      <c r="M46" s="51"/>
      <c r="N46" s="51"/>
      <c r="O46" s="51"/>
      <c r="P46" s="51"/>
      <c r="Q46" s="51"/>
      <c r="R46" s="51"/>
      <c r="S46" s="51"/>
      <c r="T46" s="52"/>
      <c r="W46" s="237"/>
      <c r="X46" s="240"/>
    </row>
    <row r="47" spans="2:24" s="53" customFormat="1" ht="15" customHeight="1" x14ac:dyDescent="0.25">
      <c r="B47" s="136"/>
      <c r="C47" s="137"/>
      <c r="D47" s="138"/>
      <c r="E47" s="139"/>
      <c r="F47" s="51"/>
      <c r="G47" s="51"/>
      <c r="H47" s="51"/>
      <c r="I47" s="140"/>
      <c r="J47" s="51"/>
      <c r="K47" s="51"/>
      <c r="L47" s="51"/>
      <c r="M47" s="51"/>
      <c r="N47" s="51"/>
      <c r="O47" s="51"/>
      <c r="P47" s="51"/>
      <c r="Q47" s="51"/>
      <c r="R47" s="51"/>
      <c r="S47" s="51"/>
      <c r="T47" s="52"/>
      <c r="W47" s="237"/>
      <c r="X47" s="240"/>
    </row>
    <row r="48" spans="2:24" s="53" customFormat="1" ht="15" customHeight="1" x14ac:dyDescent="0.25">
      <c r="B48" s="136"/>
      <c r="C48" s="143" t="s">
        <v>68</v>
      </c>
      <c r="D48" s="144"/>
      <c r="E48" s="190">
        <v>1.1760999999999959E-2</v>
      </c>
      <c r="F48" s="51"/>
      <c r="G48" s="51"/>
      <c r="H48" s="51"/>
      <c r="I48" s="140"/>
      <c r="J48" s="51"/>
      <c r="K48" s="51"/>
      <c r="L48" s="51"/>
      <c r="M48" s="51"/>
      <c r="N48" s="51"/>
      <c r="O48" s="51"/>
      <c r="P48" s="51"/>
      <c r="Q48" s="51"/>
      <c r="R48" s="51"/>
      <c r="S48" s="51"/>
      <c r="T48" s="52"/>
      <c r="W48" s="237"/>
      <c r="X48" s="240"/>
    </row>
    <row r="49" spans="2:24" s="53" customFormat="1" ht="15" customHeight="1" x14ac:dyDescent="0.25">
      <c r="B49" s="136"/>
      <c r="C49" s="145"/>
      <c r="D49" s="113"/>
      <c r="E49" s="146"/>
      <c r="F49" s="51"/>
      <c r="G49" s="51"/>
      <c r="H49" s="51"/>
      <c r="I49" s="140"/>
      <c r="J49" s="51"/>
      <c r="K49" s="51"/>
      <c r="L49" s="51"/>
      <c r="M49" s="51"/>
      <c r="N49" s="51"/>
      <c r="O49" s="51"/>
      <c r="P49" s="51"/>
      <c r="Q49" s="51"/>
      <c r="R49" s="51"/>
      <c r="S49" s="51"/>
      <c r="T49" s="52"/>
      <c r="X49" s="179"/>
    </row>
    <row r="50" spans="2:24" s="53" customFormat="1" ht="15" customHeight="1" x14ac:dyDescent="0.25">
      <c r="B50" s="136"/>
      <c r="C50" s="147" t="s">
        <v>21</v>
      </c>
      <c r="D50" s="74"/>
      <c r="E50" s="75">
        <f>E48+E43+E37+E27+E25+E23+E30+E46</f>
        <v>1</v>
      </c>
      <c r="F50" s="51"/>
      <c r="G50" s="51"/>
      <c r="H50" s="51"/>
      <c r="I50" s="140"/>
      <c r="J50" s="51"/>
      <c r="K50" s="51"/>
      <c r="L50" s="51"/>
      <c r="M50" s="51"/>
      <c r="N50" s="51"/>
      <c r="O50" s="51"/>
      <c r="P50" s="51"/>
      <c r="Q50" s="51"/>
      <c r="R50" s="51"/>
      <c r="S50" s="51"/>
      <c r="T50" s="52"/>
    </row>
    <row r="51" spans="2:24" ht="15" customHeight="1" x14ac:dyDescent="0.25">
      <c r="B51" s="64"/>
      <c r="F51" s="29"/>
      <c r="G51" s="29"/>
      <c r="H51" s="29"/>
      <c r="I51" s="135"/>
      <c r="J51" s="29"/>
      <c r="K51" s="29"/>
      <c r="L51" s="29"/>
      <c r="M51" s="29"/>
      <c r="N51" s="29"/>
      <c r="O51" s="29"/>
      <c r="P51" s="29"/>
      <c r="Q51" s="29"/>
      <c r="R51" s="29"/>
      <c r="S51" s="29"/>
      <c r="T51" s="25"/>
    </row>
    <row r="52" spans="2:24" ht="15" customHeight="1" x14ac:dyDescent="0.25">
      <c r="B52" s="64"/>
      <c r="F52" s="29"/>
      <c r="G52" s="29"/>
      <c r="H52" s="29"/>
      <c r="I52" s="135"/>
      <c r="J52" s="29"/>
      <c r="K52" s="29"/>
      <c r="L52" s="29"/>
      <c r="M52" s="29"/>
      <c r="N52" s="29"/>
      <c r="O52" s="29"/>
      <c r="P52" s="29"/>
      <c r="Q52" s="29"/>
      <c r="R52" s="29"/>
      <c r="S52" s="29"/>
      <c r="T52" s="25"/>
    </row>
    <row r="53" spans="2:24" ht="15" customHeight="1" thickBot="1" x14ac:dyDescent="0.3">
      <c r="B53" s="76"/>
      <c r="C53" s="30"/>
      <c r="D53" s="30"/>
      <c r="E53" s="30"/>
      <c r="F53" s="30"/>
      <c r="G53" s="30"/>
      <c r="H53" s="30"/>
      <c r="I53" s="30"/>
      <c r="J53" s="30"/>
      <c r="K53" s="30"/>
      <c r="L53" s="30"/>
      <c r="M53" s="30"/>
      <c r="N53" s="30"/>
      <c r="O53" s="30"/>
      <c r="P53" s="30"/>
      <c r="Q53" s="30"/>
      <c r="R53" s="30"/>
      <c r="S53" s="30"/>
      <c r="T53" s="26"/>
    </row>
    <row r="54" spans="2:24" ht="15" customHeight="1" thickBot="1" x14ac:dyDescent="0.3"/>
    <row r="55" spans="2:24" ht="15" customHeight="1" x14ac:dyDescent="0.25">
      <c r="B55" s="262" t="s">
        <v>184</v>
      </c>
      <c r="C55" s="263"/>
      <c r="D55" s="263"/>
      <c r="E55" s="263"/>
      <c r="F55" s="263"/>
      <c r="G55" s="263"/>
      <c r="H55" s="263"/>
      <c r="I55" s="263"/>
      <c r="J55" s="263"/>
      <c r="K55" s="263"/>
      <c r="L55" s="263"/>
      <c r="M55" s="263"/>
      <c r="N55" s="263"/>
      <c r="O55" s="263"/>
      <c r="P55" s="263"/>
      <c r="Q55" s="263"/>
      <c r="R55" s="264"/>
    </row>
    <row r="56" spans="2:24" ht="15" customHeight="1" x14ac:dyDescent="0.25">
      <c r="B56" s="265"/>
      <c r="C56" s="266"/>
      <c r="D56" s="266"/>
      <c r="E56" s="266"/>
      <c r="F56" s="266"/>
      <c r="G56" s="266"/>
      <c r="H56" s="266"/>
      <c r="I56" s="266"/>
      <c r="J56" s="266"/>
      <c r="K56" s="266"/>
      <c r="L56" s="266"/>
      <c r="M56" s="266"/>
      <c r="N56" s="266"/>
      <c r="O56" s="266"/>
      <c r="P56" s="266"/>
      <c r="Q56" s="266"/>
      <c r="R56" s="267"/>
    </row>
    <row r="57" spans="2:24" ht="15" customHeight="1" x14ac:dyDescent="0.25">
      <c r="B57" s="265"/>
      <c r="C57" s="266"/>
      <c r="D57" s="266"/>
      <c r="E57" s="266"/>
      <c r="F57" s="266"/>
      <c r="G57" s="266"/>
      <c r="H57" s="266"/>
      <c r="I57" s="266"/>
      <c r="J57" s="266"/>
      <c r="K57" s="266"/>
      <c r="L57" s="266"/>
      <c r="M57" s="266"/>
      <c r="N57" s="266"/>
      <c r="O57" s="266"/>
      <c r="P57" s="266"/>
      <c r="Q57" s="266"/>
      <c r="R57" s="267"/>
    </row>
    <row r="58" spans="2:24" ht="15" customHeight="1" x14ac:dyDescent="0.25">
      <c r="B58" s="265"/>
      <c r="C58" s="266"/>
      <c r="D58" s="266"/>
      <c r="E58" s="266"/>
      <c r="F58" s="266"/>
      <c r="G58" s="266"/>
      <c r="H58" s="266"/>
      <c r="I58" s="266"/>
      <c r="J58" s="266"/>
      <c r="K58" s="266"/>
      <c r="L58" s="266"/>
      <c r="M58" s="266"/>
      <c r="N58" s="266"/>
      <c r="O58" s="266"/>
      <c r="P58" s="266"/>
      <c r="Q58" s="266"/>
      <c r="R58" s="267"/>
    </row>
    <row r="59" spans="2:24" ht="15" customHeight="1" x14ac:dyDescent="0.25">
      <c r="B59" s="265"/>
      <c r="C59" s="266"/>
      <c r="D59" s="266"/>
      <c r="E59" s="266"/>
      <c r="F59" s="266"/>
      <c r="G59" s="266"/>
      <c r="H59" s="266"/>
      <c r="I59" s="266"/>
      <c r="J59" s="266"/>
      <c r="K59" s="266"/>
      <c r="L59" s="266"/>
      <c r="M59" s="266"/>
      <c r="N59" s="266"/>
      <c r="O59" s="266"/>
      <c r="P59" s="266"/>
      <c r="Q59" s="266"/>
      <c r="R59" s="267"/>
    </row>
    <row r="60" spans="2:24" ht="15" customHeight="1" x14ac:dyDescent="0.25">
      <c r="B60" s="265"/>
      <c r="C60" s="266"/>
      <c r="D60" s="266"/>
      <c r="E60" s="266"/>
      <c r="F60" s="266"/>
      <c r="G60" s="266"/>
      <c r="H60" s="266"/>
      <c r="I60" s="266"/>
      <c r="J60" s="266"/>
      <c r="K60" s="266"/>
      <c r="L60" s="266"/>
      <c r="M60" s="266"/>
      <c r="N60" s="266"/>
      <c r="O60" s="266"/>
      <c r="P60" s="266"/>
      <c r="Q60" s="266"/>
      <c r="R60" s="267"/>
    </row>
    <row r="61" spans="2:24" ht="24.75" customHeight="1" thickBot="1" x14ac:dyDescent="0.3">
      <c r="B61" s="268"/>
      <c r="C61" s="269"/>
      <c r="D61" s="269"/>
      <c r="E61" s="269"/>
      <c r="F61" s="269"/>
      <c r="G61" s="269"/>
      <c r="H61" s="269"/>
      <c r="I61" s="269"/>
      <c r="J61" s="269"/>
      <c r="K61" s="269"/>
      <c r="L61" s="269"/>
      <c r="M61" s="269"/>
      <c r="N61" s="269"/>
      <c r="O61" s="269"/>
      <c r="P61" s="269"/>
      <c r="Q61" s="269"/>
      <c r="R61" s="270"/>
    </row>
    <row r="62" spans="2:24" ht="15" customHeight="1" x14ac:dyDescent="0.25"/>
    <row r="63" spans="2:24" ht="15" customHeight="1" x14ac:dyDescent="0.25"/>
    <row r="64" spans="2:2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sortState ref="C32:E36">
    <sortCondition descending="1" ref="E32"/>
  </sortState>
  <mergeCells count="3">
    <mergeCell ref="C3:S3"/>
    <mergeCell ref="D5:E5"/>
    <mergeCell ref="B55:R61"/>
  </mergeCells>
  <pageMargins left="0.7" right="0.7" top="0.75" bottom="0.75" header="0.3" footer="0.3"/>
  <pageSetup scale="3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7"/>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7.28515625" style="3" bestFit="1"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1"/>
      <c r="C2" s="42"/>
      <c r="D2" s="42"/>
      <c r="E2" s="42"/>
      <c r="F2" s="42"/>
      <c r="G2" s="42"/>
      <c r="H2" s="42"/>
      <c r="I2" s="42"/>
      <c r="J2" s="42"/>
      <c r="K2" s="42"/>
      <c r="L2" s="42"/>
      <c r="M2" s="42"/>
      <c r="N2" s="92"/>
    </row>
    <row r="3" spans="2:19" ht="20.25" customHeight="1" x14ac:dyDescent="0.2">
      <c r="B3" s="93"/>
      <c r="C3" s="256" t="s">
        <v>162</v>
      </c>
      <c r="D3" s="256"/>
      <c r="E3" s="256"/>
      <c r="F3" s="256"/>
      <c r="G3" s="256"/>
      <c r="H3" s="256"/>
      <c r="I3" s="256"/>
      <c r="J3" s="256"/>
      <c r="K3" s="256"/>
      <c r="L3" s="256"/>
      <c r="M3" s="256"/>
      <c r="N3" s="257"/>
    </row>
    <row r="4" spans="2:19" ht="15.75" x14ac:dyDescent="0.25">
      <c r="B4" s="93"/>
      <c r="C4" s="67" t="s">
        <v>356</v>
      </c>
      <c r="D4" s="29"/>
      <c r="E4" s="29"/>
      <c r="F4" s="5"/>
      <c r="G4" s="5"/>
      <c r="H4" s="5"/>
      <c r="I4" s="5"/>
      <c r="J4" s="5"/>
      <c r="K4" s="5"/>
      <c r="L4" s="5"/>
      <c r="M4" s="5"/>
      <c r="N4" s="20"/>
    </row>
    <row r="5" spans="2:19" ht="20.25" customHeight="1" x14ac:dyDescent="0.2">
      <c r="B5" s="93"/>
      <c r="C5" s="222" t="s">
        <v>357</v>
      </c>
      <c r="D5" s="273" t="s">
        <v>374</v>
      </c>
      <c r="E5" s="273"/>
      <c r="F5" s="5"/>
      <c r="G5" s="5"/>
      <c r="H5" s="5"/>
      <c r="I5" s="5"/>
      <c r="J5" s="5"/>
      <c r="K5" s="5"/>
      <c r="L5" s="5"/>
      <c r="M5" s="5"/>
      <c r="N5" s="20"/>
    </row>
    <row r="6" spans="2:19" ht="15.75" x14ac:dyDescent="0.25">
      <c r="B6" s="93"/>
      <c r="C6" s="29"/>
      <c r="D6" s="29"/>
      <c r="E6" s="29"/>
      <c r="F6" s="5"/>
      <c r="G6" s="5"/>
      <c r="H6" s="5"/>
      <c r="I6" s="5"/>
      <c r="J6" s="5"/>
      <c r="K6" s="5"/>
      <c r="L6" s="5"/>
      <c r="M6" s="5"/>
      <c r="N6" s="20"/>
    </row>
    <row r="7" spans="2:19" ht="32.25" customHeight="1" x14ac:dyDescent="0.2">
      <c r="B7" s="93"/>
      <c r="C7" s="95" t="s">
        <v>43</v>
      </c>
      <c r="D7" s="119" t="s">
        <v>44</v>
      </c>
      <c r="E7" s="232" t="s">
        <v>45</v>
      </c>
      <c r="F7" s="5"/>
      <c r="G7" s="258" t="s">
        <v>46</v>
      </c>
      <c r="H7" s="258"/>
      <c r="I7" s="258"/>
      <c r="J7" s="258"/>
      <c r="K7" s="258"/>
      <c r="L7" s="258"/>
      <c r="M7" s="258"/>
      <c r="N7" s="259"/>
    </row>
    <row r="8" spans="2:19" x14ac:dyDescent="0.2">
      <c r="B8" s="93"/>
      <c r="C8" s="120" t="s">
        <v>37</v>
      </c>
      <c r="D8" s="121" t="s">
        <v>118</v>
      </c>
      <c r="E8" s="192">
        <v>5.47E-3</v>
      </c>
      <c r="F8" s="5"/>
      <c r="G8" s="246" t="s">
        <v>47</v>
      </c>
      <c r="H8" s="247">
        <v>1</v>
      </c>
      <c r="I8" s="293">
        <f>H8/SUM($H$8:$H$10)</f>
        <v>1</v>
      </c>
      <c r="J8" s="250"/>
      <c r="K8" s="294"/>
      <c r="L8" s="250"/>
      <c r="M8" s="5"/>
      <c r="N8" s="20"/>
      <c r="S8" s="49"/>
    </row>
    <row r="9" spans="2:19" ht="15.75" customHeight="1" x14ac:dyDescent="0.2">
      <c r="B9" s="93"/>
      <c r="C9" s="122" t="s">
        <v>277</v>
      </c>
      <c r="D9" s="38" t="s">
        <v>112</v>
      </c>
      <c r="E9" s="192">
        <v>4.9000000000000007E-3</v>
      </c>
      <c r="F9" s="5"/>
      <c r="G9" s="246" t="s">
        <v>57</v>
      </c>
      <c r="H9" s="249">
        <v>0</v>
      </c>
      <c r="I9" s="293">
        <f>H9/SUM($H$8:$H$10)</f>
        <v>0</v>
      </c>
      <c r="J9" s="250" t="s">
        <v>100</v>
      </c>
      <c r="K9" s="294">
        <f>E23+E25</f>
        <v>0.114453</v>
      </c>
      <c r="L9" s="250"/>
      <c r="M9" s="5"/>
      <c r="N9" s="20"/>
      <c r="S9" s="49"/>
    </row>
    <row r="10" spans="2:19" x14ac:dyDescent="0.2">
      <c r="B10" s="93"/>
      <c r="C10" s="122" t="s">
        <v>252</v>
      </c>
      <c r="D10" s="38" t="s">
        <v>16</v>
      </c>
      <c r="E10" s="192">
        <v>4.7239999999999999E-3</v>
      </c>
      <c r="F10" s="31"/>
      <c r="G10" s="246" t="s">
        <v>48</v>
      </c>
      <c r="H10" s="249">
        <v>0</v>
      </c>
      <c r="I10" s="293">
        <f>H10/SUM($H$8:$H$10)</f>
        <v>0</v>
      </c>
      <c r="J10" s="250" t="s">
        <v>20</v>
      </c>
      <c r="K10" s="294">
        <f>E43</f>
        <v>4.9580000000000055E-2</v>
      </c>
      <c r="L10" s="250"/>
      <c r="M10" s="5"/>
      <c r="N10" s="20"/>
      <c r="S10" s="49"/>
    </row>
    <row r="11" spans="2:19" x14ac:dyDescent="0.2">
      <c r="B11" s="93"/>
      <c r="C11" s="122" t="s">
        <v>30</v>
      </c>
      <c r="D11" s="38" t="s">
        <v>118</v>
      </c>
      <c r="E11" s="192">
        <v>4.7229999999999998E-3</v>
      </c>
      <c r="F11" s="5"/>
      <c r="G11" s="246"/>
      <c r="H11" s="246"/>
      <c r="I11" s="250"/>
      <c r="L11" s="250"/>
      <c r="M11" s="5"/>
      <c r="N11" s="20"/>
      <c r="S11" s="49"/>
    </row>
    <row r="12" spans="2:19" ht="15.75" customHeight="1" x14ac:dyDescent="0.2">
      <c r="B12" s="93"/>
      <c r="C12" s="122" t="s">
        <v>89</v>
      </c>
      <c r="D12" s="38" t="s">
        <v>109</v>
      </c>
      <c r="E12" s="192">
        <v>4.5900000000000003E-3</v>
      </c>
      <c r="F12" s="31"/>
      <c r="G12" s="246"/>
      <c r="H12" s="247"/>
      <c r="I12" s="250"/>
      <c r="J12" s="250" t="s">
        <v>41</v>
      </c>
      <c r="K12" s="294">
        <f>E38</f>
        <v>9.2421000000000003E-2</v>
      </c>
      <c r="L12" s="250"/>
      <c r="M12" s="5"/>
      <c r="N12" s="20"/>
      <c r="S12" s="49"/>
    </row>
    <row r="13" spans="2:19" x14ac:dyDescent="0.2">
      <c r="B13" s="93"/>
      <c r="C13" s="122" t="s">
        <v>70</v>
      </c>
      <c r="D13" s="38" t="s">
        <v>12</v>
      </c>
      <c r="E13" s="192">
        <v>4.4210000000000013E-3</v>
      </c>
      <c r="F13" s="31"/>
      <c r="G13" s="246"/>
      <c r="H13" s="246"/>
      <c r="I13" s="250"/>
      <c r="L13" s="250"/>
      <c r="M13" s="5"/>
      <c r="N13" s="20"/>
      <c r="S13" s="49"/>
    </row>
    <row r="14" spans="2:19" x14ac:dyDescent="0.2">
      <c r="B14" s="93"/>
      <c r="C14" s="122" t="s">
        <v>32</v>
      </c>
      <c r="D14" s="38" t="s">
        <v>3</v>
      </c>
      <c r="E14" s="192">
        <v>4.4089999999999963E-3</v>
      </c>
      <c r="F14" s="31"/>
      <c r="G14" s="246"/>
      <c r="H14" s="246"/>
      <c r="I14" s="250"/>
      <c r="J14" s="250" t="s">
        <v>227</v>
      </c>
      <c r="K14" s="294">
        <f>E29</f>
        <v>0.12072099999999999</v>
      </c>
      <c r="L14" s="250"/>
      <c r="M14" s="5"/>
      <c r="N14" s="20"/>
      <c r="S14" s="49"/>
    </row>
    <row r="15" spans="2:19" x14ac:dyDescent="0.2">
      <c r="B15" s="93"/>
      <c r="C15" s="122" t="s">
        <v>287</v>
      </c>
      <c r="D15" s="38" t="s">
        <v>87</v>
      </c>
      <c r="E15" s="192">
        <v>4.2590000000000015E-3</v>
      </c>
      <c r="F15" s="5"/>
      <c r="G15" s="246"/>
      <c r="H15" s="246"/>
      <c r="I15" s="250"/>
      <c r="J15" s="250" t="s">
        <v>42</v>
      </c>
      <c r="K15" s="294">
        <f>E41</f>
        <v>4.4644000000000003E-2</v>
      </c>
      <c r="L15" s="250"/>
      <c r="M15" s="5"/>
      <c r="N15" s="20"/>
      <c r="S15" s="49"/>
    </row>
    <row r="16" spans="2:19" x14ac:dyDescent="0.2">
      <c r="B16" s="93"/>
      <c r="C16" s="122" t="s">
        <v>300</v>
      </c>
      <c r="D16" s="38" t="s">
        <v>122</v>
      </c>
      <c r="E16" s="192">
        <v>4.0949999999999997E-3</v>
      </c>
      <c r="F16" s="5"/>
      <c r="G16" s="246"/>
      <c r="H16" s="246"/>
      <c r="I16" s="250"/>
      <c r="J16" s="250" t="s">
        <v>60</v>
      </c>
      <c r="K16" s="294">
        <f>E33</f>
        <v>0.57805799999999996</v>
      </c>
      <c r="L16" s="250"/>
      <c r="M16" s="5"/>
      <c r="N16" s="20"/>
      <c r="S16" s="49"/>
    </row>
    <row r="17" spans="2:19" x14ac:dyDescent="0.2">
      <c r="B17" s="93"/>
      <c r="C17" s="123" t="s">
        <v>278</v>
      </c>
      <c r="D17" s="105" t="s">
        <v>16</v>
      </c>
      <c r="E17" s="192">
        <v>4.0820000000000006E-3</v>
      </c>
      <c r="F17" s="5"/>
      <c r="G17" s="246"/>
      <c r="H17" s="246"/>
      <c r="I17" s="246"/>
      <c r="J17" s="250" t="s">
        <v>403</v>
      </c>
      <c r="K17" s="294">
        <v>1.2300000000000001E-4</v>
      </c>
      <c r="L17" s="250"/>
      <c r="M17" s="5"/>
      <c r="N17" s="20"/>
      <c r="S17" s="49"/>
    </row>
    <row r="18" spans="2:19" x14ac:dyDescent="0.2">
      <c r="B18" s="93"/>
      <c r="C18" s="122" t="s">
        <v>330</v>
      </c>
      <c r="D18" s="38" t="s">
        <v>109</v>
      </c>
      <c r="E18" s="192">
        <v>3.9890000000000004E-3</v>
      </c>
      <c r="F18" s="5"/>
      <c r="G18" s="250"/>
      <c r="H18" s="250"/>
      <c r="I18" s="250"/>
      <c r="J18" s="250"/>
      <c r="K18" s="250"/>
      <c r="L18" s="250"/>
      <c r="M18" s="5"/>
      <c r="N18" s="20"/>
      <c r="S18" s="49"/>
    </row>
    <row r="19" spans="2:19" x14ac:dyDescent="0.2">
      <c r="B19" s="93"/>
      <c r="C19" s="122" t="s">
        <v>64</v>
      </c>
      <c r="D19" s="38" t="s">
        <v>84</v>
      </c>
      <c r="E19" s="192">
        <v>3.9820000000000003E-3</v>
      </c>
      <c r="F19" s="5"/>
      <c r="G19" s="250"/>
      <c r="H19" s="250"/>
      <c r="I19" s="250"/>
      <c r="J19" s="250"/>
      <c r="K19" s="250"/>
      <c r="L19" s="250"/>
      <c r="M19" s="5"/>
      <c r="N19" s="20"/>
      <c r="S19" s="49"/>
    </row>
    <row r="20" spans="2:19" ht="15.75" customHeight="1" x14ac:dyDescent="0.25">
      <c r="B20" s="93"/>
      <c r="C20" s="122" t="s">
        <v>196</v>
      </c>
      <c r="D20" s="38" t="s">
        <v>108</v>
      </c>
      <c r="E20" s="192">
        <v>3.9469999999999991E-3</v>
      </c>
      <c r="F20" s="5"/>
      <c r="G20" s="276" t="s">
        <v>101</v>
      </c>
      <c r="H20" s="277"/>
      <c r="I20" s="277"/>
      <c r="J20" s="277"/>
      <c r="K20" s="277"/>
      <c r="L20" s="181">
        <v>2.4318045041427752</v>
      </c>
      <c r="M20" s="124"/>
      <c r="N20" s="107"/>
      <c r="P20" s="19"/>
      <c r="S20" s="49"/>
    </row>
    <row r="21" spans="2:19" ht="15.75" x14ac:dyDescent="0.25">
      <c r="B21" s="93"/>
      <c r="C21" s="122" t="s">
        <v>33</v>
      </c>
      <c r="D21" s="38" t="s">
        <v>108</v>
      </c>
      <c r="E21" s="192">
        <v>3.9289999999999985E-3</v>
      </c>
      <c r="F21" s="5"/>
      <c r="G21" s="5"/>
      <c r="H21" s="5"/>
      <c r="I21" s="5"/>
      <c r="J21" s="5"/>
      <c r="K21" s="5"/>
      <c r="L21" s="5"/>
      <c r="M21" s="5"/>
      <c r="N21" s="20"/>
      <c r="P21" s="19"/>
      <c r="S21" s="49"/>
    </row>
    <row r="22" spans="2:19" ht="15.75" x14ac:dyDescent="0.25">
      <c r="B22" s="93"/>
      <c r="C22" s="122" t="s">
        <v>143</v>
      </c>
      <c r="D22" s="38" t="s">
        <v>112</v>
      </c>
      <c r="E22" s="192">
        <v>3.8839999999999999E-3</v>
      </c>
      <c r="F22" s="5"/>
      <c r="G22" s="31"/>
      <c r="H22" s="31"/>
      <c r="I22" s="31"/>
      <c r="J22" s="5"/>
      <c r="K22" s="31"/>
      <c r="L22" s="5"/>
      <c r="M22" s="5"/>
      <c r="N22" s="20"/>
      <c r="P22" s="19"/>
      <c r="S22" s="49"/>
    </row>
    <row r="23" spans="2:19" ht="15.75" customHeight="1" x14ac:dyDescent="0.25">
      <c r="B23" s="93"/>
      <c r="C23" s="108" t="s">
        <v>90</v>
      </c>
      <c r="D23" s="108"/>
      <c r="E23" s="109">
        <f>SUM(E8:E22)</f>
        <v>6.5404000000000004E-2</v>
      </c>
      <c r="F23" s="5"/>
      <c r="G23" s="258" t="s">
        <v>50</v>
      </c>
      <c r="H23" s="258"/>
      <c r="I23" s="258"/>
      <c r="J23" s="258"/>
      <c r="K23" s="258"/>
      <c r="L23" s="258"/>
      <c r="M23" s="258"/>
      <c r="N23" s="259"/>
      <c r="P23" s="19"/>
      <c r="S23" s="49"/>
    </row>
    <row r="24" spans="2:19" ht="15.75" x14ac:dyDescent="0.25">
      <c r="B24" s="93"/>
      <c r="C24" s="4"/>
      <c r="D24" s="4"/>
      <c r="E24" s="6"/>
      <c r="F24" s="5"/>
      <c r="G24" s="5"/>
      <c r="H24" s="5"/>
      <c r="I24" s="5"/>
      <c r="J24" s="5"/>
      <c r="K24" s="5"/>
      <c r="L24" s="5"/>
      <c r="M24" s="5"/>
      <c r="N24" s="20"/>
      <c r="P24" s="19"/>
      <c r="S24" s="49"/>
    </row>
    <row r="25" spans="2:19" ht="15.75" x14ac:dyDescent="0.25">
      <c r="B25" s="93"/>
      <c r="C25" s="108" t="s">
        <v>91</v>
      </c>
      <c r="D25" s="108"/>
      <c r="E25" s="109">
        <v>4.9048999999999995E-2</v>
      </c>
      <c r="F25" s="5"/>
      <c r="G25" s="5"/>
      <c r="H25" s="5"/>
      <c r="I25" s="5"/>
      <c r="J25" s="5"/>
      <c r="K25" s="5"/>
      <c r="L25" s="5"/>
      <c r="M25" s="5"/>
      <c r="N25" s="20"/>
      <c r="P25" s="19"/>
      <c r="S25" s="49"/>
    </row>
    <row r="26" spans="2:19" ht="15.75" x14ac:dyDescent="0.25">
      <c r="B26" s="93"/>
      <c r="C26" s="211"/>
      <c r="D26" s="211"/>
      <c r="E26" s="192"/>
      <c r="F26" s="5"/>
      <c r="G26" s="5"/>
      <c r="H26" s="5"/>
      <c r="I26" s="5"/>
      <c r="J26" s="5"/>
      <c r="K26" s="5"/>
      <c r="L26" s="5"/>
      <c r="M26" s="5"/>
      <c r="N26" s="20"/>
      <c r="P26" s="19"/>
      <c r="S26" s="49"/>
    </row>
    <row r="27" spans="2:19" ht="15.75" x14ac:dyDescent="0.25">
      <c r="B27" s="93"/>
      <c r="C27" s="211" t="s">
        <v>228</v>
      </c>
      <c r="D27" s="211"/>
      <c r="E27" s="192">
        <v>6.2286000000000001E-2</v>
      </c>
      <c r="F27" s="5"/>
      <c r="G27" s="5"/>
      <c r="H27" s="5"/>
      <c r="I27" s="5"/>
      <c r="J27" s="5"/>
      <c r="K27" s="5"/>
      <c r="L27" s="5"/>
      <c r="M27" s="5"/>
      <c r="N27" s="20"/>
      <c r="P27" s="19"/>
      <c r="S27" s="49"/>
    </row>
    <row r="28" spans="2:19" ht="15.75" x14ac:dyDescent="0.25">
      <c r="B28" s="93"/>
      <c r="C28" s="211" t="s">
        <v>181</v>
      </c>
      <c r="D28" s="211"/>
      <c r="E28" s="192">
        <v>5.8435000000000001E-2</v>
      </c>
      <c r="F28" s="5"/>
      <c r="G28" s="5"/>
      <c r="H28" s="5"/>
      <c r="I28" s="5"/>
      <c r="J28" s="5"/>
      <c r="K28" s="5"/>
      <c r="L28" s="5"/>
      <c r="M28" s="5"/>
      <c r="N28" s="20"/>
      <c r="P28" s="19"/>
      <c r="S28" s="49"/>
    </row>
    <row r="29" spans="2:19" ht="15.75" x14ac:dyDescent="0.25">
      <c r="B29" s="93"/>
      <c r="C29" s="108" t="s">
        <v>227</v>
      </c>
      <c r="D29" s="108"/>
      <c r="E29" s="186">
        <v>0.12072099999999999</v>
      </c>
      <c r="F29" s="5"/>
      <c r="G29" s="5"/>
      <c r="H29" s="5"/>
      <c r="I29" s="5"/>
      <c r="J29" s="5"/>
      <c r="K29" s="5"/>
      <c r="L29" s="5"/>
      <c r="M29" s="5"/>
      <c r="N29" s="20"/>
      <c r="P29" s="19"/>
      <c r="S29" s="49"/>
    </row>
    <row r="30" spans="2:19" ht="15.75" x14ac:dyDescent="0.25">
      <c r="B30" s="93"/>
      <c r="C30" s="245"/>
      <c r="D30" s="295"/>
      <c r="E30" s="292"/>
      <c r="F30" s="5"/>
      <c r="G30" s="5"/>
      <c r="H30" s="5"/>
      <c r="I30" s="5"/>
      <c r="J30" s="5"/>
      <c r="K30" s="5"/>
      <c r="L30" s="5"/>
      <c r="M30" s="5"/>
      <c r="N30" s="20"/>
      <c r="P30" s="19"/>
      <c r="S30" s="49"/>
    </row>
    <row r="31" spans="2:19" ht="15.75" x14ac:dyDescent="0.25">
      <c r="B31" s="93"/>
      <c r="C31" s="108" t="s">
        <v>403</v>
      </c>
      <c r="D31" s="296"/>
      <c r="E31" s="186">
        <v>1.2300000000000001E-4</v>
      </c>
      <c r="F31" s="5"/>
      <c r="G31" s="5"/>
      <c r="H31" s="5"/>
      <c r="I31" s="5"/>
      <c r="J31" s="5"/>
      <c r="K31" s="5"/>
      <c r="L31" s="5"/>
      <c r="M31" s="5"/>
      <c r="N31" s="20"/>
      <c r="P31" s="19"/>
      <c r="S31" s="49"/>
    </row>
    <row r="32" spans="2:19" ht="15.75" x14ac:dyDescent="0.25">
      <c r="B32" s="93"/>
      <c r="C32" s="38"/>
      <c r="D32" s="5"/>
      <c r="E32" s="38"/>
      <c r="F32" s="5"/>
      <c r="G32" s="5"/>
      <c r="H32" s="5"/>
      <c r="I32" s="5"/>
      <c r="J32" s="5"/>
      <c r="K32" s="5"/>
      <c r="L32" s="5"/>
      <c r="M32" s="5"/>
      <c r="N32" s="20"/>
      <c r="P32" s="19"/>
      <c r="S32" s="49"/>
    </row>
    <row r="33" spans="2:19" ht="15" customHeight="1" x14ac:dyDescent="0.25">
      <c r="B33" s="93"/>
      <c r="C33" s="108" t="s">
        <v>58</v>
      </c>
      <c r="D33" s="296"/>
      <c r="E33" s="186">
        <v>0.57805799999999996</v>
      </c>
      <c r="F33" s="5"/>
      <c r="G33" s="5"/>
      <c r="H33" s="5"/>
      <c r="I33" s="5"/>
      <c r="J33" s="5"/>
      <c r="K33" s="5"/>
      <c r="L33" s="5"/>
      <c r="M33" s="5"/>
      <c r="N33" s="20"/>
      <c r="P33" s="19"/>
      <c r="S33" s="49"/>
    </row>
    <row r="34" spans="2:19" ht="15" customHeight="1" x14ac:dyDescent="0.25">
      <c r="B34" s="93"/>
      <c r="C34" s="211"/>
      <c r="D34" s="297"/>
      <c r="E34" s="193"/>
      <c r="F34" s="5"/>
      <c r="G34" s="5"/>
      <c r="H34" s="5"/>
      <c r="I34" s="5"/>
      <c r="J34" s="5"/>
      <c r="K34" s="5"/>
      <c r="L34" s="5"/>
      <c r="M34" s="5"/>
      <c r="N34" s="20"/>
      <c r="P34" s="19"/>
      <c r="S34" s="49"/>
    </row>
    <row r="35" spans="2:19" s="48" customFormat="1" ht="15.75" x14ac:dyDescent="0.25">
      <c r="B35" s="110"/>
      <c r="C35" s="211" t="s">
        <v>77</v>
      </c>
      <c r="D35" s="297" t="s">
        <v>63</v>
      </c>
      <c r="E35" s="192">
        <v>3.0863999999999999E-2</v>
      </c>
      <c r="F35" s="41"/>
      <c r="G35" s="41"/>
      <c r="H35" s="41"/>
      <c r="I35" s="41"/>
      <c r="J35" s="41"/>
      <c r="K35" s="41"/>
      <c r="L35" s="41"/>
      <c r="M35" s="41"/>
      <c r="N35" s="111"/>
      <c r="P35" s="53"/>
      <c r="S35" s="112"/>
    </row>
    <row r="36" spans="2:19" s="48" customFormat="1" ht="15.75" x14ac:dyDescent="0.25">
      <c r="B36" s="110"/>
      <c r="C36" s="211" t="s">
        <v>75</v>
      </c>
      <c r="D36" s="297" t="s">
        <v>63</v>
      </c>
      <c r="E36" s="192">
        <v>3.0846999999999999E-2</v>
      </c>
      <c r="F36" s="41"/>
      <c r="G36" s="41"/>
      <c r="H36" s="41"/>
      <c r="I36" s="41"/>
      <c r="J36" s="41"/>
      <c r="K36" s="41"/>
      <c r="L36" s="41"/>
      <c r="M36" s="41"/>
      <c r="N36" s="111"/>
      <c r="P36" s="53"/>
      <c r="S36" s="112"/>
    </row>
    <row r="37" spans="2:19" ht="15.75" x14ac:dyDescent="0.25">
      <c r="B37" s="93"/>
      <c r="C37" s="211" t="s">
        <v>183</v>
      </c>
      <c r="D37" s="297" t="s">
        <v>63</v>
      </c>
      <c r="E37" s="192">
        <v>3.0710000000000001E-2</v>
      </c>
      <c r="F37" s="5"/>
      <c r="G37" s="5"/>
      <c r="H37" s="5"/>
      <c r="I37" s="5"/>
      <c r="J37" s="5"/>
      <c r="K37" s="5"/>
      <c r="L37" s="5"/>
      <c r="M37" s="5"/>
      <c r="N37" s="20"/>
      <c r="P37" s="19"/>
      <c r="S37" s="49"/>
    </row>
    <row r="38" spans="2:19" ht="15.75" x14ac:dyDescent="0.25">
      <c r="B38" s="93"/>
      <c r="C38" s="108" t="s">
        <v>49</v>
      </c>
      <c r="D38" s="296"/>
      <c r="E38" s="186">
        <v>9.2421000000000003E-2</v>
      </c>
      <c r="F38" s="5"/>
      <c r="G38" s="5"/>
      <c r="H38" s="5"/>
      <c r="I38" s="5"/>
      <c r="J38" s="5"/>
      <c r="K38" s="5"/>
      <c r="L38" s="5"/>
      <c r="M38" s="5"/>
      <c r="N38" s="20"/>
      <c r="P38" s="19"/>
      <c r="S38" s="49"/>
    </row>
    <row r="39" spans="2:19" ht="15.75" x14ac:dyDescent="0.25">
      <c r="B39" s="93"/>
      <c r="C39" s="113"/>
      <c r="D39" s="90"/>
      <c r="E39" s="114"/>
      <c r="F39" s="5"/>
      <c r="G39" s="5"/>
      <c r="H39" s="5"/>
      <c r="I39" s="5"/>
      <c r="J39" s="5"/>
      <c r="K39" s="5"/>
      <c r="L39" s="5"/>
      <c r="M39" s="5"/>
      <c r="N39" s="20"/>
      <c r="P39" s="19"/>
      <c r="S39" s="49"/>
    </row>
    <row r="40" spans="2:19" ht="15.75" x14ac:dyDescent="0.25">
      <c r="B40" s="93"/>
      <c r="C40" s="27" t="s">
        <v>203</v>
      </c>
      <c r="D40" s="33" t="s">
        <v>61</v>
      </c>
      <c r="E40" s="192">
        <v>4.4644000000000003E-2</v>
      </c>
      <c r="F40" s="5"/>
      <c r="G40" s="5"/>
      <c r="H40" s="5"/>
      <c r="I40" s="5"/>
      <c r="J40" s="5"/>
      <c r="K40" s="5"/>
      <c r="L40" s="5"/>
      <c r="M40" s="5"/>
      <c r="N40" s="20"/>
      <c r="P40" s="19"/>
      <c r="S40" s="49"/>
    </row>
    <row r="41" spans="2:19" ht="15.75" x14ac:dyDescent="0.25">
      <c r="B41" s="93"/>
      <c r="C41" s="108" t="s">
        <v>42</v>
      </c>
      <c r="D41" s="296"/>
      <c r="E41" s="186">
        <v>4.4644000000000003E-2</v>
      </c>
      <c r="F41" s="5"/>
      <c r="G41" s="5"/>
      <c r="H41" s="5"/>
      <c r="I41" s="5"/>
      <c r="J41" s="5"/>
      <c r="K41" s="5"/>
      <c r="L41" s="5"/>
      <c r="M41" s="5"/>
      <c r="N41" s="20"/>
      <c r="P41" s="19"/>
      <c r="S41" s="49"/>
    </row>
    <row r="42" spans="2:19" ht="15.75" x14ac:dyDescent="0.25">
      <c r="B42" s="93"/>
      <c r="C42" s="4"/>
      <c r="D42" s="298"/>
      <c r="E42" s="32"/>
      <c r="F42" s="5"/>
      <c r="G42" s="5"/>
      <c r="H42" s="5"/>
      <c r="I42" s="5"/>
      <c r="J42" s="5"/>
      <c r="K42" s="5"/>
      <c r="L42" s="5"/>
      <c r="M42" s="5"/>
      <c r="N42" s="20"/>
      <c r="P42" s="19"/>
      <c r="S42" s="49"/>
    </row>
    <row r="43" spans="2:19" ht="15.75" x14ac:dyDescent="0.25">
      <c r="B43" s="93"/>
      <c r="C43" s="108" t="s">
        <v>20</v>
      </c>
      <c r="D43" s="296"/>
      <c r="E43" s="186">
        <v>4.9580000000000055E-2</v>
      </c>
      <c r="F43" s="5"/>
      <c r="G43" s="5"/>
      <c r="H43" s="5"/>
      <c r="I43" s="5"/>
      <c r="J43" s="5"/>
      <c r="K43" s="5"/>
      <c r="L43" s="5"/>
      <c r="M43" s="5"/>
      <c r="N43" s="20"/>
      <c r="P43" s="19"/>
      <c r="S43" s="49"/>
    </row>
    <row r="44" spans="2:19" ht="15.75" x14ac:dyDescent="0.25">
      <c r="B44" s="93"/>
      <c r="C44" s="4"/>
      <c r="D44" s="298"/>
      <c r="E44" s="32"/>
      <c r="F44" s="5"/>
      <c r="G44" s="5"/>
      <c r="H44" s="5"/>
      <c r="I44" s="5"/>
      <c r="J44" s="5"/>
      <c r="K44" s="5"/>
      <c r="L44" s="5"/>
      <c r="M44" s="5"/>
      <c r="N44" s="20"/>
      <c r="P44" s="19"/>
      <c r="S44" s="49"/>
    </row>
    <row r="45" spans="2:19" ht="15.75" x14ac:dyDescent="0.25">
      <c r="B45" s="93"/>
      <c r="C45" s="115" t="s">
        <v>21</v>
      </c>
      <c r="D45" s="299"/>
      <c r="E45" s="116">
        <v>1</v>
      </c>
      <c r="F45" s="5"/>
      <c r="G45" s="5"/>
      <c r="H45" s="5"/>
      <c r="I45" s="5"/>
      <c r="J45" s="5"/>
      <c r="K45" s="5"/>
      <c r="L45" s="5"/>
      <c r="M45" s="5"/>
      <c r="N45" s="20"/>
      <c r="P45" s="19"/>
      <c r="S45" s="49"/>
    </row>
    <row r="46" spans="2:19" ht="15.75" x14ac:dyDescent="0.25">
      <c r="B46" s="93"/>
      <c r="F46" s="5"/>
      <c r="G46" s="5"/>
      <c r="H46" s="5"/>
      <c r="I46" s="5"/>
      <c r="J46" s="5"/>
      <c r="K46" s="5"/>
      <c r="L46" s="5"/>
      <c r="M46" s="5"/>
      <c r="N46" s="20"/>
      <c r="P46" s="19"/>
      <c r="S46" s="49"/>
    </row>
    <row r="47" spans="2:19" ht="15.75" x14ac:dyDescent="0.25">
      <c r="B47" s="93"/>
      <c r="C47" s="5"/>
      <c r="D47" s="5"/>
      <c r="E47" s="5"/>
      <c r="F47" s="5"/>
      <c r="G47" s="5"/>
      <c r="H47" s="5"/>
      <c r="I47" s="5"/>
      <c r="J47" s="5"/>
      <c r="K47" s="5"/>
      <c r="L47" s="5"/>
      <c r="M47" s="5"/>
      <c r="N47" s="20"/>
      <c r="P47" s="19"/>
      <c r="S47" s="49"/>
    </row>
    <row r="48" spans="2:19" ht="11.25" customHeight="1" thickBot="1" x14ac:dyDescent="0.25">
      <c r="B48" s="96"/>
      <c r="C48" s="45"/>
      <c r="D48" s="45"/>
      <c r="E48" s="45"/>
      <c r="F48" s="45"/>
      <c r="G48" s="45"/>
      <c r="H48" s="45"/>
      <c r="I48" s="45"/>
      <c r="J48" s="45"/>
      <c r="K48" s="45"/>
      <c r="L48" s="45"/>
      <c r="M48" s="45"/>
      <c r="N48" s="118"/>
      <c r="S48" s="49"/>
    </row>
    <row r="49" spans="2:19" ht="15.75" thickBot="1" x14ac:dyDescent="0.25">
      <c r="S49" s="49"/>
    </row>
    <row r="50" spans="2:19" ht="15" customHeight="1" x14ac:dyDescent="0.2">
      <c r="B50" s="262" t="s">
        <v>184</v>
      </c>
      <c r="C50" s="263"/>
      <c r="D50" s="263"/>
      <c r="E50" s="263"/>
      <c r="F50" s="263"/>
      <c r="G50" s="263"/>
      <c r="H50" s="263"/>
      <c r="I50" s="263"/>
      <c r="J50" s="263"/>
      <c r="K50" s="263"/>
      <c r="L50" s="263"/>
      <c r="M50" s="263"/>
      <c r="N50" s="263"/>
      <c r="O50" s="263"/>
      <c r="P50" s="263"/>
      <c r="Q50" s="263"/>
      <c r="R50" s="264"/>
      <c r="S50" s="49"/>
    </row>
    <row r="51" spans="2:19" x14ac:dyDescent="0.2">
      <c r="B51" s="265"/>
      <c r="C51" s="266"/>
      <c r="D51" s="266"/>
      <c r="E51" s="266"/>
      <c r="F51" s="266"/>
      <c r="G51" s="266"/>
      <c r="H51" s="266"/>
      <c r="I51" s="266"/>
      <c r="J51" s="266"/>
      <c r="K51" s="266"/>
      <c r="L51" s="266"/>
      <c r="M51" s="266"/>
      <c r="N51" s="266"/>
      <c r="O51" s="266"/>
      <c r="P51" s="266"/>
      <c r="Q51" s="266"/>
      <c r="R51" s="267"/>
      <c r="S51" s="49"/>
    </row>
    <row r="52" spans="2:19" x14ac:dyDescent="0.2">
      <c r="B52" s="265"/>
      <c r="C52" s="266"/>
      <c r="D52" s="266"/>
      <c r="E52" s="266"/>
      <c r="F52" s="266"/>
      <c r="G52" s="266"/>
      <c r="H52" s="266"/>
      <c r="I52" s="266"/>
      <c r="J52" s="266"/>
      <c r="K52" s="266"/>
      <c r="L52" s="266"/>
      <c r="M52" s="266"/>
      <c r="N52" s="266"/>
      <c r="O52" s="266"/>
      <c r="P52" s="266"/>
      <c r="Q52" s="266"/>
      <c r="R52" s="267"/>
      <c r="S52" s="49"/>
    </row>
    <row r="53" spans="2:19" x14ac:dyDescent="0.2">
      <c r="B53" s="265"/>
      <c r="C53" s="266"/>
      <c r="D53" s="266"/>
      <c r="E53" s="266"/>
      <c r="F53" s="266"/>
      <c r="G53" s="266"/>
      <c r="H53" s="266"/>
      <c r="I53" s="266"/>
      <c r="J53" s="266"/>
      <c r="K53" s="266"/>
      <c r="L53" s="266"/>
      <c r="M53" s="266"/>
      <c r="N53" s="266"/>
      <c r="O53" s="266"/>
      <c r="P53" s="266"/>
      <c r="Q53" s="266"/>
      <c r="R53" s="267"/>
      <c r="S53" s="49"/>
    </row>
    <row r="54" spans="2:19" x14ac:dyDescent="0.2">
      <c r="B54" s="265"/>
      <c r="C54" s="266"/>
      <c r="D54" s="266"/>
      <c r="E54" s="266"/>
      <c r="F54" s="266"/>
      <c r="G54" s="266"/>
      <c r="H54" s="266"/>
      <c r="I54" s="266"/>
      <c r="J54" s="266"/>
      <c r="K54" s="266"/>
      <c r="L54" s="266"/>
      <c r="M54" s="266"/>
      <c r="N54" s="266"/>
      <c r="O54" s="266"/>
      <c r="P54" s="266"/>
      <c r="Q54" s="266"/>
      <c r="R54" s="267"/>
      <c r="S54" s="49"/>
    </row>
    <row r="55" spans="2:19" x14ac:dyDescent="0.2">
      <c r="B55" s="265"/>
      <c r="C55" s="266"/>
      <c r="D55" s="266"/>
      <c r="E55" s="266"/>
      <c r="F55" s="266"/>
      <c r="G55" s="266"/>
      <c r="H55" s="266"/>
      <c r="I55" s="266"/>
      <c r="J55" s="266"/>
      <c r="K55" s="266"/>
      <c r="L55" s="266"/>
      <c r="M55" s="266"/>
      <c r="N55" s="266"/>
      <c r="O55" s="266"/>
      <c r="P55" s="266"/>
      <c r="Q55" s="266"/>
      <c r="R55" s="267"/>
      <c r="S55" s="49"/>
    </row>
    <row r="56" spans="2:19" ht="15.75" thickBot="1" x14ac:dyDescent="0.25">
      <c r="B56" s="268"/>
      <c r="C56" s="269"/>
      <c r="D56" s="269"/>
      <c r="E56" s="269"/>
      <c r="F56" s="269"/>
      <c r="G56" s="269"/>
      <c r="H56" s="269"/>
      <c r="I56" s="269"/>
      <c r="J56" s="269"/>
      <c r="K56" s="269"/>
      <c r="L56" s="269"/>
      <c r="M56" s="269"/>
      <c r="N56" s="269"/>
      <c r="O56" s="269"/>
      <c r="P56" s="269"/>
      <c r="Q56" s="269"/>
      <c r="R56" s="270"/>
      <c r="S56" s="49"/>
    </row>
    <row r="57" spans="2:19" x14ac:dyDescent="0.2">
      <c r="S57" s="49"/>
    </row>
    <row r="58" spans="2:19" x14ac:dyDescent="0.2">
      <c r="S58" s="49"/>
    </row>
    <row r="59" spans="2:19" x14ac:dyDescent="0.2">
      <c r="S59" s="49"/>
    </row>
    <row r="60" spans="2:19" x14ac:dyDescent="0.2">
      <c r="S60" s="49"/>
    </row>
    <row r="61" spans="2:19" x14ac:dyDescent="0.2">
      <c r="S61" s="49"/>
    </row>
    <row r="62" spans="2:19" x14ac:dyDescent="0.2">
      <c r="S62" s="49"/>
    </row>
    <row r="63" spans="2:19" x14ac:dyDescent="0.2">
      <c r="S63" s="49"/>
    </row>
    <row r="64" spans="2: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sheetData>
  <sortState ref="C27:E28">
    <sortCondition descending="1" ref="E27"/>
  </sortState>
  <mergeCells count="6">
    <mergeCell ref="B50:R56"/>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R667"/>
  <sheetViews>
    <sheetView showGridLines="0" zoomScale="80" zoomScaleNormal="80" workbookViewId="0">
      <selection activeCell="H8" sqref="H8"/>
    </sheetView>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56" t="s">
        <v>292</v>
      </c>
      <c r="D3" s="256"/>
      <c r="E3" s="256"/>
      <c r="F3" s="256"/>
      <c r="G3" s="256"/>
      <c r="H3" s="256"/>
      <c r="I3" s="256"/>
      <c r="J3" s="256"/>
      <c r="K3" s="256"/>
      <c r="L3" s="256"/>
      <c r="M3" s="256"/>
      <c r="N3" s="257"/>
    </row>
    <row r="4" spans="2:18" ht="15.75" x14ac:dyDescent="0.25">
      <c r="B4" s="93"/>
      <c r="C4" s="67" t="s">
        <v>356</v>
      </c>
      <c r="D4" s="29"/>
      <c r="E4" s="29"/>
      <c r="F4" s="5"/>
      <c r="G4" s="5"/>
      <c r="H4" s="5"/>
      <c r="I4" s="5"/>
      <c r="J4" s="5"/>
      <c r="K4" s="5"/>
      <c r="L4" s="5"/>
      <c r="M4" s="5"/>
      <c r="N4" s="20"/>
    </row>
    <row r="5" spans="2:18" ht="20.25" customHeight="1" x14ac:dyDescent="0.2">
      <c r="B5" s="93"/>
      <c r="C5" s="222" t="s">
        <v>357</v>
      </c>
      <c r="D5" s="273" t="s">
        <v>375</v>
      </c>
      <c r="E5" s="273"/>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167" t="s">
        <v>43</v>
      </c>
      <c r="D7" s="232" t="s">
        <v>44</v>
      </c>
      <c r="E7" s="119" t="s">
        <v>45</v>
      </c>
      <c r="F7" s="5"/>
      <c r="G7" s="258" t="s">
        <v>46</v>
      </c>
      <c r="H7" s="258"/>
      <c r="I7" s="258"/>
      <c r="J7" s="258"/>
      <c r="K7" s="258"/>
      <c r="L7" s="258"/>
      <c r="M7" s="258"/>
      <c r="N7" s="259"/>
    </row>
    <row r="8" spans="2:18" x14ac:dyDescent="0.2">
      <c r="B8" s="93"/>
      <c r="C8" s="229" t="s">
        <v>135</v>
      </c>
      <c r="D8" s="197" t="s">
        <v>113</v>
      </c>
      <c r="E8" s="204">
        <v>1.6848999999999999E-2</v>
      </c>
      <c r="F8" s="5"/>
      <c r="G8" s="246" t="s">
        <v>47</v>
      </c>
      <c r="H8" s="251">
        <f>100%-H9-H10</f>
        <v>0.89683099999999993</v>
      </c>
      <c r="I8" s="248">
        <f>H8/SUM($H$8:$H$10)</f>
        <v>0.89683099999999993</v>
      </c>
      <c r="J8" s="246"/>
      <c r="K8" s="247"/>
      <c r="L8" s="246"/>
      <c r="M8" s="5"/>
      <c r="N8" s="20"/>
      <c r="R8" s="49"/>
    </row>
    <row r="9" spans="2:18" ht="15.75" customHeight="1" x14ac:dyDescent="0.2">
      <c r="B9" s="93"/>
      <c r="C9" s="187" t="s">
        <v>137</v>
      </c>
      <c r="D9" s="197" t="s">
        <v>111</v>
      </c>
      <c r="E9" s="205">
        <v>1.1558000000000001E-2</v>
      </c>
      <c r="F9" s="5"/>
      <c r="G9" s="246" t="s">
        <v>57</v>
      </c>
      <c r="H9" s="251">
        <f>E32</f>
        <v>3.4328999999999998E-2</v>
      </c>
      <c r="I9" s="248">
        <f t="shared" ref="I9:I10" si="0">H9/SUM($H$8:$H$10)</f>
        <v>3.4328999999999998E-2</v>
      </c>
      <c r="J9" s="246" t="s">
        <v>41</v>
      </c>
      <c r="K9" s="247">
        <f>E35</f>
        <v>0.27684500000000001</v>
      </c>
      <c r="L9" s="246"/>
      <c r="M9" s="5"/>
      <c r="N9" s="20"/>
      <c r="R9" s="49"/>
    </row>
    <row r="10" spans="2:18" x14ac:dyDescent="0.2">
      <c r="B10" s="93"/>
      <c r="C10" s="187" t="s">
        <v>106</v>
      </c>
      <c r="D10" s="197" t="s">
        <v>4</v>
      </c>
      <c r="E10" s="205">
        <v>9.9030000000000003E-3</v>
      </c>
      <c r="F10" s="31"/>
      <c r="G10" s="246" t="s">
        <v>48</v>
      </c>
      <c r="H10" s="300">
        <f>E29+E33</f>
        <v>6.8839999999999998E-2</v>
      </c>
      <c r="I10" s="248">
        <f t="shared" si="0"/>
        <v>6.8839999999999998E-2</v>
      </c>
      <c r="J10" s="246" t="s">
        <v>98</v>
      </c>
      <c r="K10" s="247">
        <f>E19+E22+E24</f>
        <v>0.24574799999999999</v>
      </c>
      <c r="L10" s="246"/>
      <c r="M10" s="5"/>
      <c r="N10" s="20"/>
      <c r="R10" s="49"/>
    </row>
    <row r="11" spans="2:18" x14ac:dyDescent="0.2">
      <c r="B11" s="93"/>
      <c r="C11" s="187" t="s">
        <v>151</v>
      </c>
      <c r="D11" s="197" t="s">
        <v>122</v>
      </c>
      <c r="E11" s="205">
        <v>9.3710000000000009E-3</v>
      </c>
      <c r="F11" s="5"/>
      <c r="G11" s="246"/>
      <c r="H11" s="246"/>
      <c r="I11" s="246"/>
      <c r="J11" s="246" t="s">
        <v>20</v>
      </c>
      <c r="K11" s="247">
        <f>E44</f>
        <v>5.6628999999999999E-2</v>
      </c>
      <c r="L11" s="246"/>
      <c r="M11" s="5"/>
      <c r="N11" s="20"/>
      <c r="R11" s="49"/>
    </row>
    <row r="12" spans="2:18" ht="15.75" customHeight="1" x14ac:dyDescent="0.2">
      <c r="B12" s="93"/>
      <c r="C12" s="187" t="s">
        <v>33</v>
      </c>
      <c r="D12" s="197" t="s">
        <v>108</v>
      </c>
      <c r="E12" s="205">
        <v>8.6619999999999996E-3</v>
      </c>
      <c r="F12" s="31"/>
      <c r="G12" s="246"/>
      <c r="H12" s="247"/>
      <c r="I12" s="246"/>
      <c r="J12" s="246" t="s">
        <v>42</v>
      </c>
      <c r="K12" s="247">
        <f>E42</f>
        <v>0.41756199999999999</v>
      </c>
      <c r="L12" s="246"/>
      <c r="M12" s="5"/>
      <c r="N12" s="20"/>
      <c r="R12" s="49"/>
    </row>
    <row r="13" spans="2:18" x14ac:dyDescent="0.2">
      <c r="B13" s="93"/>
      <c r="C13" s="187" t="s">
        <v>149</v>
      </c>
      <c r="D13" s="197" t="s">
        <v>108</v>
      </c>
      <c r="E13" s="205">
        <v>8.6090000000000003E-3</v>
      </c>
      <c r="F13" s="31"/>
      <c r="G13" s="246"/>
      <c r="H13" s="246"/>
      <c r="I13" s="246"/>
      <c r="J13" s="246"/>
      <c r="K13" s="247"/>
      <c r="L13" s="246"/>
      <c r="M13" s="5"/>
      <c r="N13" s="20"/>
      <c r="R13" s="49"/>
    </row>
    <row r="14" spans="2:18" x14ac:dyDescent="0.2">
      <c r="B14" s="93"/>
      <c r="C14" s="187" t="s">
        <v>29</v>
      </c>
      <c r="D14" s="197" t="s">
        <v>3</v>
      </c>
      <c r="E14" s="205">
        <v>7.1240000000000001E-3</v>
      </c>
      <c r="F14" s="31"/>
      <c r="G14" s="246"/>
      <c r="H14" s="246"/>
      <c r="I14" s="246"/>
      <c r="J14" s="1" t="s">
        <v>204</v>
      </c>
      <c r="K14" s="252">
        <f>E27</f>
        <v>3.2160000000000001E-3</v>
      </c>
      <c r="L14" s="246"/>
      <c r="M14" s="5"/>
      <c r="N14" s="20"/>
      <c r="R14" s="49"/>
    </row>
    <row r="15" spans="2:18" x14ac:dyDescent="0.2">
      <c r="B15" s="93"/>
      <c r="C15" s="187" t="s">
        <v>36</v>
      </c>
      <c r="D15" s="197" t="s">
        <v>3</v>
      </c>
      <c r="E15" s="205">
        <v>3.0179999999999998E-3</v>
      </c>
      <c r="F15" s="5"/>
      <c r="G15" s="246"/>
      <c r="H15" s="246"/>
      <c r="I15" s="246"/>
      <c r="J15" s="1"/>
      <c r="K15" s="1"/>
      <c r="L15" s="246"/>
      <c r="M15" s="5"/>
      <c r="N15" s="20"/>
      <c r="R15" s="49"/>
    </row>
    <row r="16" spans="2:18" x14ac:dyDescent="0.2">
      <c r="B16" s="93"/>
      <c r="C16" s="187" t="s">
        <v>136</v>
      </c>
      <c r="D16" s="197" t="s">
        <v>3</v>
      </c>
      <c r="E16" s="205">
        <v>2.7299999999999998E-3</v>
      </c>
      <c r="F16" s="5"/>
      <c r="G16" s="246"/>
      <c r="H16" s="246"/>
      <c r="I16" s="246"/>
      <c r="J16" s="246"/>
      <c r="K16" s="246"/>
      <c r="L16" s="246"/>
      <c r="M16" s="5"/>
      <c r="N16" s="20"/>
      <c r="R16" s="49"/>
    </row>
    <row r="17" spans="2:18" x14ac:dyDescent="0.2">
      <c r="B17" s="93"/>
      <c r="C17" s="187"/>
      <c r="D17" s="197"/>
      <c r="E17" s="205"/>
      <c r="F17" s="5"/>
      <c r="G17" s="5"/>
      <c r="H17" s="5"/>
      <c r="I17" s="5"/>
      <c r="J17" s="5"/>
      <c r="K17" s="5"/>
      <c r="L17" s="5"/>
      <c r="M17" s="5"/>
      <c r="N17" s="20"/>
      <c r="R17" s="49"/>
    </row>
    <row r="18" spans="2:18" x14ac:dyDescent="0.2">
      <c r="B18" s="93"/>
      <c r="C18" s="187"/>
      <c r="D18" s="197"/>
      <c r="E18" s="205"/>
      <c r="F18" s="5"/>
      <c r="G18" s="5"/>
      <c r="H18" s="5"/>
      <c r="I18" s="5"/>
      <c r="J18" s="5"/>
      <c r="K18" s="5"/>
      <c r="L18" s="5"/>
      <c r="M18" s="5"/>
      <c r="N18" s="20"/>
      <c r="R18" s="49"/>
    </row>
    <row r="19" spans="2:18" ht="15.75" x14ac:dyDescent="0.2">
      <c r="B19" s="93"/>
      <c r="C19" s="230" t="s">
        <v>56</v>
      </c>
      <c r="D19" s="117"/>
      <c r="E19" s="231">
        <v>7.7824000000000004E-2</v>
      </c>
      <c r="F19" s="5"/>
      <c r="G19" s="5"/>
      <c r="H19" s="5"/>
      <c r="I19" s="5"/>
      <c r="J19" s="5"/>
      <c r="K19" s="5"/>
      <c r="L19" s="5"/>
      <c r="M19" s="5"/>
      <c r="N19" s="20"/>
      <c r="R19" s="49"/>
    </row>
    <row r="20" spans="2:18" ht="15.75" customHeight="1" x14ac:dyDescent="0.25">
      <c r="B20" s="93"/>
      <c r="C20" s="214"/>
      <c r="D20" s="4"/>
      <c r="E20" s="46"/>
      <c r="F20" s="5"/>
      <c r="G20" s="276" t="s">
        <v>101</v>
      </c>
      <c r="H20" s="277"/>
      <c r="I20" s="277"/>
      <c r="J20" s="277"/>
      <c r="K20" s="277"/>
      <c r="L20" s="181">
        <v>12.327990042218405</v>
      </c>
      <c r="M20" s="106"/>
      <c r="N20" s="107"/>
      <c r="R20" s="49"/>
    </row>
    <row r="21" spans="2:18" x14ac:dyDescent="0.2">
      <c r="B21" s="93"/>
      <c r="C21" s="214" t="s">
        <v>175</v>
      </c>
      <c r="D21" s="4"/>
      <c r="E21" s="216">
        <v>0.16792399999999999</v>
      </c>
      <c r="F21" s="5"/>
      <c r="G21" s="5"/>
      <c r="H21" s="5"/>
      <c r="I21" s="5"/>
      <c r="J21" s="5"/>
      <c r="K21" s="5"/>
      <c r="L21" s="5"/>
      <c r="M21" s="5"/>
      <c r="N21" s="20"/>
      <c r="R21" s="49"/>
    </row>
    <row r="22" spans="2:18" ht="15.75" x14ac:dyDescent="0.2">
      <c r="B22" s="93"/>
      <c r="C22" s="128" t="s">
        <v>83</v>
      </c>
      <c r="D22" s="108"/>
      <c r="E22" s="191">
        <v>0.16792399999999999</v>
      </c>
      <c r="F22" s="5"/>
      <c r="G22" s="31"/>
      <c r="H22" s="31"/>
      <c r="I22" s="31"/>
      <c r="J22" s="5"/>
      <c r="K22" s="31"/>
      <c r="L22" s="5"/>
      <c r="M22" s="5"/>
      <c r="N22" s="20"/>
      <c r="R22" s="49"/>
    </row>
    <row r="23" spans="2:18" ht="15.75" customHeight="1" x14ac:dyDescent="0.2">
      <c r="B23" s="93"/>
      <c r="C23" s="223"/>
      <c r="D23" s="113"/>
      <c r="E23" s="244"/>
      <c r="F23" s="5"/>
      <c r="G23" s="258" t="s">
        <v>50</v>
      </c>
      <c r="H23" s="258"/>
      <c r="I23" s="258"/>
      <c r="J23" s="258"/>
      <c r="K23" s="258"/>
      <c r="L23" s="258"/>
      <c r="M23" s="258"/>
      <c r="N23" s="259"/>
      <c r="R23" s="49"/>
    </row>
    <row r="24" spans="2:18" ht="15.75" x14ac:dyDescent="0.2">
      <c r="B24" s="93"/>
      <c r="C24" s="128" t="s">
        <v>66</v>
      </c>
      <c r="D24" s="108"/>
      <c r="E24" s="217">
        <v>0</v>
      </c>
      <c r="F24" s="5"/>
      <c r="G24" s="5"/>
      <c r="H24" s="5"/>
      <c r="I24" s="5"/>
      <c r="J24" s="5"/>
      <c r="K24" s="5"/>
      <c r="L24" s="5"/>
      <c r="M24" s="5"/>
      <c r="N24" s="20"/>
      <c r="R24" s="49"/>
    </row>
    <row r="25" spans="2:18" x14ac:dyDescent="0.2">
      <c r="B25" s="93"/>
      <c r="C25" s="102"/>
      <c r="D25" s="38"/>
      <c r="E25" s="228"/>
      <c r="F25" s="5"/>
      <c r="G25" s="5"/>
      <c r="H25" s="5"/>
      <c r="I25" s="5"/>
      <c r="J25" s="5"/>
      <c r="K25" s="5"/>
      <c r="L25" s="5"/>
      <c r="M25" s="5"/>
      <c r="N25" s="20"/>
      <c r="R25" s="49"/>
    </row>
    <row r="26" spans="2:18" x14ac:dyDescent="0.2">
      <c r="B26" s="93"/>
      <c r="C26" s="102" t="s">
        <v>204</v>
      </c>
      <c r="D26" s="38"/>
      <c r="E26" s="216">
        <v>3.2160000000000001E-3</v>
      </c>
      <c r="F26" s="5"/>
      <c r="G26" s="5"/>
      <c r="H26" s="5"/>
      <c r="I26" s="5"/>
      <c r="J26" s="5"/>
      <c r="K26" s="5"/>
      <c r="L26" s="5"/>
      <c r="M26" s="5"/>
      <c r="N26" s="20"/>
      <c r="R26" s="49"/>
    </row>
    <row r="27" spans="2:18" ht="15.75" x14ac:dyDescent="0.2">
      <c r="B27" s="93"/>
      <c r="C27" s="128" t="s">
        <v>204</v>
      </c>
      <c r="D27" s="108"/>
      <c r="E27" s="191">
        <v>3.2160000000000001E-3</v>
      </c>
      <c r="F27" s="5"/>
      <c r="G27" s="5"/>
      <c r="H27" s="5"/>
      <c r="I27" s="5"/>
      <c r="J27" s="5"/>
      <c r="K27" s="5"/>
      <c r="L27" s="5"/>
      <c r="M27" s="5"/>
      <c r="N27" s="20"/>
      <c r="R27" s="49"/>
    </row>
    <row r="28" spans="2:18" s="48" customFormat="1" x14ac:dyDescent="0.2">
      <c r="B28" s="110"/>
      <c r="C28" s="213"/>
      <c r="D28" s="201"/>
      <c r="E28" s="216"/>
      <c r="F28" s="41"/>
      <c r="G28" s="41"/>
      <c r="H28" s="41"/>
      <c r="I28" s="41"/>
      <c r="J28" s="41"/>
      <c r="K28" s="41"/>
      <c r="L28" s="41"/>
      <c r="M28" s="41"/>
      <c r="N28" s="111"/>
      <c r="R28" s="112"/>
    </row>
    <row r="29" spans="2:18" x14ac:dyDescent="0.2">
      <c r="B29" s="93"/>
      <c r="C29" s="102" t="s">
        <v>289</v>
      </c>
      <c r="D29" s="201" t="s">
        <v>305</v>
      </c>
      <c r="E29" s="216">
        <v>3.4578999999999999E-2</v>
      </c>
      <c r="F29" s="5"/>
      <c r="G29" s="5"/>
      <c r="H29" s="5"/>
      <c r="I29" s="5"/>
      <c r="J29" s="5"/>
      <c r="K29" s="5"/>
      <c r="L29" s="5"/>
      <c r="M29" s="5"/>
      <c r="N29" s="20"/>
      <c r="R29" s="49"/>
    </row>
    <row r="30" spans="2:18" x14ac:dyDescent="0.2">
      <c r="B30" s="93"/>
      <c r="C30" s="213" t="s">
        <v>77</v>
      </c>
      <c r="D30" s="201" t="s">
        <v>63</v>
      </c>
      <c r="E30" s="216">
        <v>8.5847999999999994E-2</v>
      </c>
      <c r="F30" s="5"/>
      <c r="G30" s="5"/>
      <c r="H30" s="5"/>
      <c r="I30" s="5"/>
      <c r="J30" s="5"/>
      <c r="K30" s="5"/>
      <c r="L30" s="5"/>
      <c r="M30" s="5"/>
      <c r="N30" s="20"/>
      <c r="R30" s="49"/>
    </row>
    <row r="31" spans="2:18" x14ac:dyDescent="0.2">
      <c r="B31" s="93"/>
      <c r="C31" s="102" t="s">
        <v>82</v>
      </c>
      <c r="D31" s="201" t="s">
        <v>63</v>
      </c>
      <c r="E31" s="233">
        <v>8.5266999999999996E-2</v>
      </c>
      <c r="F31" s="5"/>
      <c r="G31" s="5"/>
      <c r="H31" s="5"/>
      <c r="I31" s="5"/>
      <c r="J31" s="5"/>
      <c r="K31" s="5"/>
      <c r="L31" s="5"/>
      <c r="M31" s="5"/>
      <c r="N31" s="20"/>
      <c r="R31" s="49"/>
    </row>
    <row r="32" spans="2:18" x14ac:dyDescent="0.2">
      <c r="B32" s="93"/>
      <c r="C32" s="102" t="s">
        <v>290</v>
      </c>
      <c r="D32" s="201" t="s">
        <v>291</v>
      </c>
      <c r="E32" s="233">
        <v>3.4328999999999998E-2</v>
      </c>
      <c r="F32" s="5"/>
      <c r="G32" s="5"/>
      <c r="H32" s="5"/>
      <c r="I32" s="5"/>
      <c r="J32" s="5"/>
      <c r="K32" s="5"/>
      <c r="L32" s="5"/>
      <c r="M32" s="5"/>
      <c r="N32" s="20"/>
      <c r="R32" s="49"/>
    </row>
    <row r="33" spans="1:18" x14ac:dyDescent="0.2">
      <c r="B33" s="93"/>
      <c r="C33" s="213" t="s">
        <v>293</v>
      </c>
      <c r="D33" s="201" t="s">
        <v>305</v>
      </c>
      <c r="E33" s="216">
        <v>3.4261E-2</v>
      </c>
      <c r="F33" s="5"/>
      <c r="G33" s="5"/>
      <c r="H33" s="5"/>
      <c r="I33" s="5"/>
      <c r="J33" s="5"/>
      <c r="K33" s="5"/>
      <c r="L33" s="5"/>
      <c r="M33" s="5"/>
      <c r="N33" s="20"/>
      <c r="R33" s="49"/>
    </row>
    <row r="34" spans="1:18" x14ac:dyDescent="0.2">
      <c r="B34" s="93"/>
      <c r="C34" s="213" t="s">
        <v>71</v>
      </c>
      <c r="D34" s="201" t="s">
        <v>63</v>
      </c>
      <c r="E34" s="216">
        <v>2.5609999999999999E-3</v>
      </c>
      <c r="F34" s="5"/>
      <c r="G34" s="5"/>
      <c r="H34" s="5"/>
      <c r="I34" s="5"/>
      <c r="J34" s="5"/>
      <c r="K34" s="5"/>
      <c r="L34" s="5"/>
      <c r="M34" s="5"/>
      <c r="N34" s="20"/>
      <c r="R34" s="49"/>
    </row>
    <row r="35" spans="1:18" ht="15.75" x14ac:dyDescent="0.2">
      <c r="B35" s="93"/>
      <c r="C35" s="128" t="s">
        <v>49</v>
      </c>
      <c r="D35" s="108"/>
      <c r="E35" s="217">
        <v>0.27684500000000001</v>
      </c>
      <c r="F35" s="5"/>
      <c r="G35" s="5"/>
      <c r="H35" s="5"/>
      <c r="I35" s="5"/>
      <c r="J35" s="5"/>
      <c r="K35" s="5"/>
      <c r="L35" s="5"/>
      <c r="M35" s="5"/>
      <c r="N35" s="20"/>
      <c r="R35" s="49"/>
    </row>
    <row r="36" spans="1:18" x14ac:dyDescent="0.2">
      <c r="B36" s="93"/>
      <c r="C36" s="102"/>
      <c r="D36" s="38"/>
      <c r="E36" s="216"/>
      <c r="F36" s="5"/>
      <c r="G36" s="5"/>
      <c r="H36" s="5"/>
      <c r="I36" s="5"/>
      <c r="J36" s="5"/>
      <c r="K36" s="5"/>
      <c r="L36" s="5"/>
      <c r="M36" s="5"/>
      <c r="N36" s="20"/>
      <c r="R36" s="49"/>
    </row>
    <row r="37" spans="1:18" x14ac:dyDescent="0.2">
      <c r="B37" s="93"/>
      <c r="C37" s="102" t="s">
        <v>229</v>
      </c>
      <c r="D37" s="38" t="s">
        <v>61</v>
      </c>
      <c r="E37" s="216">
        <v>0.251139</v>
      </c>
      <c r="F37" s="5"/>
      <c r="G37" s="5"/>
      <c r="H37" s="5"/>
      <c r="I37" s="5"/>
      <c r="J37" s="5"/>
      <c r="K37" s="5"/>
      <c r="L37" s="5"/>
      <c r="M37" s="5"/>
      <c r="N37" s="20"/>
      <c r="R37" s="49"/>
    </row>
    <row r="38" spans="1:18" x14ac:dyDescent="0.2">
      <c r="B38" s="93"/>
      <c r="C38" s="102" t="s">
        <v>199</v>
      </c>
      <c r="D38" s="38" t="s">
        <v>61</v>
      </c>
      <c r="E38" s="216">
        <v>0.13156799999999999</v>
      </c>
      <c r="F38" s="5"/>
      <c r="G38" s="5"/>
      <c r="H38" s="5"/>
      <c r="I38" s="5"/>
      <c r="J38" s="5"/>
      <c r="K38" s="5"/>
      <c r="L38" s="5"/>
      <c r="M38" s="5"/>
      <c r="N38" s="20"/>
      <c r="R38" s="49"/>
    </row>
    <row r="39" spans="1:18" x14ac:dyDescent="0.2">
      <c r="B39" s="93"/>
      <c r="C39" s="102" t="s">
        <v>104</v>
      </c>
      <c r="D39" s="38" t="s">
        <v>61</v>
      </c>
      <c r="E39" s="216">
        <v>2.2873999999999999E-2</v>
      </c>
      <c r="F39" s="5"/>
      <c r="G39" s="5"/>
      <c r="H39" s="5"/>
      <c r="I39" s="5"/>
      <c r="J39" s="5"/>
      <c r="K39" s="5"/>
      <c r="L39" s="5"/>
      <c r="M39" s="5"/>
      <c r="N39" s="20"/>
      <c r="R39" s="49"/>
    </row>
    <row r="40" spans="1:18" x14ac:dyDescent="0.2">
      <c r="B40" s="93"/>
      <c r="C40" s="102" t="s">
        <v>141</v>
      </c>
      <c r="D40" s="38" t="s">
        <v>61</v>
      </c>
      <c r="E40" s="216">
        <v>1.0422000000000001E-2</v>
      </c>
      <c r="F40" s="5"/>
      <c r="G40" s="5"/>
      <c r="H40" s="5"/>
      <c r="I40" s="5"/>
      <c r="J40" s="5"/>
      <c r="K40" s="5"/>
      <c r="L40" s="5"/>
      <c r="M40" s="5"/>
      <c r="N40" s="20"/>
      <c r="R40" s="49"/>
    </row>
    <row r="41" spans="1:18" x14ac:dyDescent="0.2">
      <c r="B41" s="93"/>
      <c r="C41" s="102" t="s">
        <v>67</v>
      </c>
      <c r="D41" s="38" t="s">
        <v>61</v>
      </c>
      <c r="E41" s="216">
        <v>1.5590000000000001E-3</v>
      </c>
      <c r="F41" s="5"/>
      <c r="G41" s="5"/>
      <c r="H41" s="5"/>
      <c r="I41" s="5"/>
      <c r="J41" s="5"/>
      <c r="K41" s="5"/>
      <c r="L41" s="5"/>
      <c r="M41" s="5"/>
      <c r="N41" s="20"/>
      <c r="R41" s="49"/>
    </row>
    <row r="42" spans="1:18" ht="15.75" x14ac:dyDescent="0.2">
      <c r="B42" s="93"/>
      <c r="C42" s="128" t="s">
        <v>42</v>
      </c>
      <c r="D42" s="108"/>
      <c r="E42" s="191">
        <v>0.41756199999999999</v>
      </c>
      <c r="F42" s="5"/>
      <c r="G42" s="5"/>
      <c r="H42" s="5"/>
      <c r="I42" s="5"/>
      <c r="J42" s="5"/>
      <c r="K42" s="5"/>
      <c r="L42" s="5"/>
      <c r="M42" s="5"/>
      <c r="N42" s="20"/>
      <c r="R42" s="49"/>
    </row>
    <row r="43" spans="1:18" x14ac:dyDescent="0.2">
      <c r="B43" s="93"/>
      <c r="C43" s="102"/>
      <c r="D43" s="38"/>
      <c r="E43" s="218"/>
      <c r="F43" s="5"/>
      <c r="G43" s="5"/>
      <c r="H43" s="5"/>
      <c r="I43" s="5"/>
      <c r="J43" s="5"/>
      <c r="K43" s="5"/>
      <c r="L43" s="5"/>
      <c r="M43" s="5"/>
      <c r="N43" s="20"/>
      <c r="R43" s="49"/>
    </row>
    <row r="44" spans="1:18" ht="15.75" x14ac:dyDescent="0.2">
      <c r="B44" s="93"/>
      <c r="C44" s="128" t="s">
        <v>20</v>
      </c>
      <c r="D44" s="108"/>
      <c r="E44" s="217">
        <v>5.6628999999999999E-2</v>
      </c>
      <c r="F44" s="5"/>
      <c r="G44" s="44"/>
      <c r="H44" s="5"/>
      <c r="I44" s="5"/>
      <c r="J44" s="5"/>
      <c r="K44" s="5"/>
      <c r="L44" s="5"/>
      <c r="M44" s="5"/>
      <c r="N44" s="20"/>
      <c r="R44" s="49"/>
    </row>
    <row r="45" spans="1:18" x14ac:dyDescent="0.2">
      <c r="B45" s="93"/>
      <c r="C45" s="214"/>
      <c r="D45" s="4"/>
      <c r="E45" s="219"/>
      <c r="F45" s="5"/>
      <c r="G45" s="5"/>
      <c r="H45" s="5"/>
      <c r="I45" s="5"/>
      <c r="J45" s="5"/>
      <c r="K45" s="5"/>
      <c r="L45" s="5"/>
      <c r="M45" s="5"/>
      <c r="N45" s="20"/>
      <c r="R45" s="49"/>
    </row>
    <row r="46" spans="1:18" ht="15.75" x14ac:dyDescent="0.2">
      <c r="A46" s="5"/>
      <c r="B46" s="93"/>
      <c r="C46" s="215" t="s">
        <v>21</v>
      </c>
      <c r="D46" s="115"/>
      <c r="E46" s="220">
        <f>E44+E42+E35+E27+E24+E22+E19</f>
        <v>1</v>
      </c>
      <c r="F46" s="5"/>
      <c r="J46" s="5"/>
      <c r="K46" s="5"/>
      <c r="L46" s="5"/>
      <c r="M46" s="5"/>
      <c r="N46" s="20"/>
      <c r="O46" s="5"/>
      <c r="R46" s="49"/>
    </row>
    <row r="47" spans="1:18" x14ac:dyDescent="0.2">
      <c r="A47" s="5"/>
      <c r="B47" s="93"/>
      <c r="F47" s="5"/>
      <c r="G47" s="5"/>
      <c r="H47" s="5"/>
      <c r="I47" s="5"/>
      <c r="J47" s="5"/>
      <c r="K47" s="5"/>
      <c r="L47" s="5"/>
      <c r="M47" s="5"/>
      <c r="N47" s="20"/>
      <c r="O47" s="5"/>
      <c r="R47" s="49"/>
    </row>
    <row r="48" spans="1:18" ht="15.75" thickBot="1" x14ac:dyDescent="0.25">
      <c r="A48" s="5"/>
      <c r="B48" s="96"/>
      <c r="C48" s="54"/>
      <c r="D48" s="54"/>
      <c r="E48" s="55"/>
      <c r="F48" s="45"/>
      <c r="G48" s="45"/>
      <c r="H48" s="45"/>
      <c r="I48" s="45"/>
      <c r="J48" s="45"/>
      <c r="K48" s="45"/>
      <c r="L48" s="45"/>
      <c r="M48" s="45"/>
      <c r="N48" s="118"/>
      <c r="O48" s="5"/>
      <c r="R48" s="49"/>
    </row>
    <row r="49" spans="2:18" ht="15.75" thickBot="1" x14ac:dyDescent="0.25">
      <c r="R49" s="49"/>
    </row>
    <row r="50" spans="2:18" ht="15" customHeight="1" x14ac:dyDescent="0.2">
      <c r="B50" s="262" t="s">
        <v>184</v>
      </c>
      <c r="C50" s="263"/>
      <c r="D50" s="263"/>
      <c r="E50" s="263"/>
      <c r="F50" s="263"/>
      <c r="G50" s="263"/>
      <c r="H50" s="263"/>
      <c r="I50" s="263"/>
      <c r="J50" s="263"/>
      <c r="K50" s="263"/>
      <c r="L50" s="263"/>
      <c r="M50" s="263"/>
      <c r="N50" s="263"/>
      <c r="O50" s="263"/>
      <c r="P50" s="263"/>
      <c r="Q50" s="263"/>
      <c r="R50" s="264"/>
    </row>
    <row r="51" spans="2:18" x14ac:dyDescent="0.2">
      <c r="B51" s="265"/>
      <c r="C51" s="266"/>
      <c r="D51" s="266"/>
      <c r="E51" s="266"/>
      <c r="F51" s="266"/>
      <c r="G51" s="266"/>
      <c r="H51" s="266"/>
      <c r="I51" s="266"/>
      <c r="J51" s="266"/>
      <c r="K51" s="266"/>
      <c r="L51" s="266"/>
      <c r="M51" s="266"/>
      <c r="N51" s="266"/>
      <c r="O51" s="266"/>
      <c r="P51" s="266"/>
      <c r="Q51" s="266"/>
      <c r="R51" s="267"/>
    </row>
    <row r="52" spans="2:18" x14ac:dyDescent="0.2">
      <c r="B52" s="265"/>
      <c r="C52" s="266"/>
      <c r="D52" s="266"/>
      <c r="E52" s="266"/>
      <c r="F52" s="266"/>
      <c r="G52" s="266"/>
      <c r="H52" s="266"/>
      <c r="I52" s="266"/>
      <c r="J52" s="266"/>
      <c r="K52" s="266"/>
      <c r="L52" s="266"/>
      <c r="M52" s="266"/>
      <c r="N52" s="266"/>
      <c r="O52" s="266"/>
      <c r="P52" s="266"/>
      <c r="Q52" s="266"/>
      <c r="R52" s="267"/>
    </row>
    <row r="53" spans="2:18" x14ac:dyDescent="0.2">
      <c r="B53" s="265"/>
      <c r="C53" s="266"/>
      <c r="D53" s="266"/>
      <c r="E53" s="266"/>
      <c r="F53" s="266"/>
      <c r="G53" s="266"/>
      <c r="H53" s="266"/>
      <c r="I53" s="266"/>
      <c r="J53" s="266"/>
      <c r="K53" s="266"/>
      <c r="L53" s="266"/>
      <c r="M53" s="266"/>
      <c r="N53" s="266"/>
      <c r="O53" s="266"/>
      <c r="P53" s="266"/>
      <c r="Q53" s="266"/>
      <c r="R53" s="267"/>
    </row>
    <row r="54" spans="2:18" x14ac:dyDescent="0.2">
      <c r="B54" s="265"/>
      <c r="C54" s="266"/>
      <c r="D54" s="266"/>
      <c r="E54" s="266"/>
      <c r="F54" s="266"/>
      <c r="G54" s="266"/>
      <c r="H54" s="266"/>
      <c r="I54" s="266"/>
      <c r="J54" s="266"/>
      <c r="K54" s="266"/>
      <c r="L54" s="266"/>
      <c r="M54" s="266"/>
      <c r="N54" s="266"/>
      <c r="O54" s="266"/>
      <c r="P54" s="266"/>
      <c r="Q54" s="266"/>
      <c r="R54" s="267"/>
    </row>
    <row r="55" spans="2:18" x14ac:dyDescent="0.2">
      <c r="B55" s="265"/>
      <c r="C55" s="266"/>
      <c r="D55" s="266"/>
      <c r="E55" s="266"/>
      <c r="F55" s="266"/>
      <c r="G55" s="266"/>
      <c r="H55" s="266"/>
      <c r="I55" s="266"/>
      <c r="J55" s="266"/>
      <c r="K55" s="266"/>
      <c r="L55" s="266"/>
      <c r="M55" s="266"/>
      <c r="N55" s="266"/>
      <c r="O55" s="266"/>
      <c r="P55" s="266"/>
      <c r="Q55" s="266"/>
      <c r="R55" s="267"/>
    </row>
    <row r="56" spans="2:18" ht="15.75" thickBot="1" x14ac:dyDescent="0.25">
      <c r="B56" s="268"/>
      <c r="C56" s="269"/>
      <c r="D56" s="269"/>
      <c r="E56" s="269"/>
      <c r="F56" s="269"/>
      <c r="G56" s="269"/>
      <c r="H56" s="269"/>
      <c r="I56" s="269"/>
      <c r="J56" s="269"/>
      <c r="K56" s="269"/>
      <c r="L56" s="269"/>
      <c r="M56" s="269"/>
      <c r="N56" s="269"/>
      <c r="O56" s="269"/>
      <c r="P56" s="269"/>
      <c r="Q56" s="269"/>
      <c r="R56" s="270"/>
    </row>
    <row r="57" spans="2:18" ht="15.75" thickBot="1" x14ac:dyDescent="0.25">
      <c r="R57" s="49"/>
    </row>
    <row r="58" spans="2:18" x14ac:dyDescent="0.2">
      <c r="B58" s="278" t="s">
        <v>209</v>
      </c>
      <c r="C58" s="279"/>
      <c r="D58" s="279"/>
      <c r="E58" s="279"/>
      <c r="F58" s="279"/>
      <c r="G58" s="279"/>
      <c r="H58" s="279"/>
      <c r="I58" s="279"/>
      <c r="J58" s="279"/>
      <c r="K58" s="279"/>
      <c r="L58" s="279"/>
      <c r="M58" s="279"/>
      <c r="N58" s="280"/>
      <c r="R58" s="49"/>
    </row>
    <row r="59" spans="2:18" x14ac:dyDescent="0.2">
      <c r="B59" s="281"/>
      <c r="C59" s="282"/>
      <c r="D59" s="282"/>
      <c r="E59" s="282"/>
      <c r="F59" s="282"/>
      <c r="G59" s="282"/>
      <c r="H59" s="282"/>
      <c r="I59" s="282"/>
      <c r="J59" s="282"/>
      <c r="K59" s="282"/>
      <c r="L59" s="282"/>
      <c r="M59" s="282"/>
      <c r="N59" s="283"/>
      <c r="R59" s="49"/>
    </row>
    <row r="60" spans="2:18" x14ac:dyDescent="0.2">
      <c r="B60" s="281"/>
      <c r="C60" s="282"/>
      <c r="D60" s="282"/>
      <c r="E60" s="282"/>
      <c r="F60" s="282"/>
      <c r="G60" s="282"/>
      <c r="H60" s="282"/>
      <c r="I60" s="282"/>
      <c r="J60" s="282"/>
      <c r="K60" s="282"/>
      <c r="L60" s="282"/>
      <c r="M60" s="282"/>
      <c r="N60" s="283"/>
      <c r="R60" s="49"/>
    </row>
    <row r="61" spans="2:18" ht="15.75" thickBot="1" x14ac:dyDescent="0.25">
      <c r="B61" s="284"/>
      <c r="C61" s="285"/>
      <c r="D61" s="285"/>
      <c r="E61" s="285"/>
      <c r="F61" s="285"/>
      <c r="G61" s="285"/>
      <c r="H61" s="285"/>
      <c r="I61" s="285"/>
      <c r="J61" s="285"/>
      <c r="K61" s="285"/>
      <c r="L61" s="285"/>
      <c r="M61" s="285"/>
      <c r="N61" s="286"/>
      <c r="R61" s="49"/>
    </row>
    <row r="62" spans="2:18" x14ac:dyDescent="0.2">
      <c r="R62" s="49"/>
    </row>
    <row r="63" spans="2:18" x14ac:dyDescent="0.2">
      <c r="R63" s="49"/>
    </row>
    <row r="64" spans="2: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sheetData>
  <sortState ref="C30:E34">
    <sortCondition descending="1" ref="E29"/>
  </sortState>
  <mergeCells count="7">
    <mergeCell ref="B58:N61"/>
    <mergeCell ref="B50:R56"/>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8"/>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0.42578125" style="3" customWidth="1"/>
    <col min="4" max="4" width="31.8554687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56" t="s">
        <v>161</v>
      </c>
      <c r="D3" s="256"/>
      <c r="E3" s="256"/>
      <c r="F3" s="256"/>
      <c r="G3" s="256"/>
      <c r="H3" s="256"/>
      <c r="I3" s="256"/>
      <c r="J3" s="256"/>
      <c r="K3" s="256"/>
      <c r="L3" s="256"/>
      <c r="M3" s="256"/>
      <c r="N3" s="257"/>
    </row>
    <row r="4" spans="2:18" ht="15.75" x14ac:dyDescent="0.25">
      <c r="B4" s="93"/>
      <c r="C4" s="67" t="s">
        <v>356</v>
      </c>
      <c r="D4" s="29"/>
      <c r="E4" s="29"/>
      <c r="F4" s="5"/>
      <c r="G4" s="5"/>
      <c r="H4" s="5"/>
      <c r="I4" s="5"/>
      <c r="J4" s="5"/>
      <c r="K4" s="5"/>
      <c r="L4" s="5"/>
      <c r="M4" s="5"/>
      <c r="N4" s="20"/>
    </row>
    <row r="5" spans="2:18" ht="20.25" customHeight="1" x14ac:dyDescent="0.2">
      <c r="B5" s="93"/>
      <c r="C5" s="222" t="s">
        <v>357</v>
      </c>
      <c r="D5" s="273" t="s">
        <v>376</v>
      </c>
      <c r="E5" s="273"/>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95" t="s">
        <v>43</v>
      </c>
      <c r="D7" s="95" t="s">
        <v>44</v>
      </c>
      <c r="E7" s="95" t="s">
        <v>45</v>
      </c>
      <c r="F7" s="5"/>
      <c r="G7" s="258" t="s">
        <v>46</v>
      </c>
      <c r="H7" s="258"/>
      <c r="I7" s="258"/>
      <c r="J7" s="258"/>
      <c r="K7" s="258"/>
      <c r="L7" s="258"/>
      <c r="M7" s="258"/>
      <c r="N7" s="259"/>
    </row>
    <row r="8" spans="2:18" x14ac:dyDescent="0.2">
      <c r="B8" s="93"/>
      <c r="C8" s="38" t="s">
        <v>70</v>
      </c>
      <c r="D8" s="58" t="s">
        <v>12</v>
      </c>
      <c r="E8" s="6">
        <v>3.4161999999999998E-2</v>
      </c>
      <c r="F8" s="5"/>
      <c r="G8" s="171" t="s">
        <v>47</v>
      </c>
      <c r="H8" s="253">
        <f>100%-H9-H10</f>
        <v>0.97173100000000001</v>
      </c>
      <c r="I8" s="254">
        <f>H8/SUM($H$8:$H$10)</f>
        <v>0.97173100000000001</v>
      </c>
      <c r="J8" s="246"/>
      <c r="K8" s="247"/>
      <c r="L8" s="5"/>
      <c r="M8" s="5"/>
      <c r="N8" s="20"/>
      <c r="R8" s="49"/>
    </row>
    <row r="9" spans="2:18" ht="15.75" customHeight="1" x14ac:dyDescent="0.2">
      <c r="B9" s="93"/>
      <c r="C9" s="38" t="s">
        <v>28</v>
      </c>
      <c r="D9" s="58" t="s">
        <v>108</v>
      </c>
      <c r="E9" s="6">
        <v>3.2210999999999997E-2</v>
      </c>
      <c r="F9" s="5"/>
      <c r="G9" s="171" t="s">
        <v>57</v>
      </c>
      <c r="H9" s="253">
        <f>E30</f>
        <v>7.378E-3</v>
      </c>
      <c r="I9" s="254">
        <f>H9/SUM($H$8:$H$10)</f>
        <v>7.378E-3</v>
      </c>
      <c r="J9" s="246" t="s">
        <v>41</v>
      </c>
      <c r="K9" s="247">
        <f>E37</f>
        <v>0.102712</v>
      </c>
      <c r="L9" s="5"/>
      <c r="M9" s="5"/>
      <c r="N9" s="20"/>
      <c r="R9" s="49"/>
    </row>
    <row r="10" spans="2:18" x14ac:dyDescent="0.2">
      <c r="B10" s="93"/>
      <c r="C10" s="38" t="s">
        <v>31</v>
      </c>
      <c r="D10" s="58" t="s">
        <v>6</v>
      </c>
      <c r="E10" s="6">
        <v>3.1389E-2</v>
      </c>
      <c r="F10" s="31"/>
      <c r="G10" s="171" t="s">
        <v>48</v>
      </c>
      <c r="H10" s="253">
        <f>E29+E31+E35</f>
        <v>2.0891E-2</v>
      </c>
      <c r="I10" s="254">
        <f>H10/SUM($H$8:$H$10)</f>
        <v>2.0891E-2</v>
      </c>
      <c r="J10" s="246" t="s">
        <v>142</v>
      </c>
      <c r="K10" s="247">
        <f>E24+E26</f>
        <v>0.77622299999999989</v>
      </c>
      <c r="L10" s="5"/>
      <c r="M10" s="5"/>
      <c r="N10" s="20"/>
      <c r="R10" s="49"/>
    </row>
    <row r="11" spans="2:18" x14ac:dyDescent="0.2">
      <c r="B11" s="93"/>
      <c r="C11" s="38" t="s">
        <v>36</v>
      </c>
      <c r="D11" s="58" t="s">
        <v>3</v>
      </c>
      <c r="E11" s="6">
        <v>2.9936999999999998E-2</v>
      </c>
      <c r="F11" s="5"/>
      <c r="G11" s="246"/>
      <c r="H11" s="246"/>
      <c r="I11" s="246"/>
      <c r="J11" s="246"/>
      <c r="K11" s="247"/>
      <c r="L11" s="5"/>
      <c r="M11" s="5"/>
      <c r="N11" s="20"/>
      <c r="R11" s="49"/>
    </row>
    <row r="12" spans="2:18" ht="15.75" customHeight="1" x14ac:dyDescent="0.2">
      <c r="B12" s="93"/>
      <c r="C12" s="38" t="s">
        <v>230</v>
      </c>
      <c r="D12" s="58" t="s">
        <v>26</v>
      </c>
      <c r="E12" s="6">
        <v>2.8653999999999999E-2</v>
      </c>
      <c r="F12" s="31"/>
      <c r="G12" s="246"/>
      <c r="H12" s="247"/>
      <c r="I12" s="246"/>
      <c r="J12" s="246" t="s">
        <v>20</v>
      </c>
      <c r="K12" s="247">
        <f>E45</f>
        <v>2.5163999999999999E-2</v>
      </c>
      <c r="L12" s="5"/>
      <c r="M12" s="5"/>
      <c r="N12" s="20"/>
      <c r="R12" s="49"/>
    </row>
    <row r="13" spans="2:18" x14ac:dyDescent="0.2">
      <c r="B13" s="93"/>
      <c r="C13" s="38" t="s">
        <v>62</v>
      </c>
      <c r="D13" s="58" t="s">
        <v>10</v>
      </c>
      <c r="E13" s="6">
        <v>2.8039999999999999E-2</v>
      </c>
      <c r="F13" s="31"/>
      <c r="G13" s="246"/>
      <c r="H13" s="246"/>
      <c r="I13" s="246"/>
      <c r="J13" s="246" t="s">
        <v>42</v>
      </c>
      <c r="K13" s="247">
        <f>E43</f>
        <v>9.5901E-2</v>
      </c>
      <c r="L13" s="5"/>
      <c r="M13" s="5"/>
      <c r="N13" s="20"/>
      <c r="R13" s="49"/>
    </row>
    <row r="14" spans="2:18" x14ac:dyDescent="0.2">
      <c r="B14" s="93"/>
      <c r="C14" s="38" t="s">
        <v>82</v>
      </c>
      <c r="D14" s="58" t="s">
        <v>4</v>
      </c>
      <c r="E14" s="6">
        <v>2.6637999999999998E-2</v>
      </c>
      <c r="F14" s="31"/>
      <c r="G14" s="246"/>
      <c r="H14" s="246"/>
      <c r="I14" s="246"/>
      <c r="J14" s="246"/>
      <c r="K14" s="247"/>
      <c r="L14" s="5"/>
      <c r="M14" s="5"/>
      <c r="N14" s="20"/>
      <c r="R14" s="49"/>
    </row>
    <row r="15" spans="2:18" x14ac:dyDescent="0.2">
      <c r="B15" s="93"/>
      <c r="C15" s="38" t="s">
        <v>192</v>
      </c>
      <c r="D15" s="58" t="s">
        <v>108</v>
      </c>
      <c r="E15" s="6">
        <v>2.4750000000000001E-2</v>
      </c>
      <c r="F15" s="5"/>
      <c r="G15" s="246"/>
      <c r="H15" s="246"/>
      <c r="I15" s="246"/>
      <c r="J15" s="246"/>
      <c r="K15" s="247"/>
      <c r="L15" s="5"/>
      <c r="M15" s="5"/>
      <c r="N15" s="20"/>
      <c r="R15" s="49"/>
    </row>
    <row r="16" spans="2:18" x14ac:dyDescent="0.2">
      <c r="B16" s="93"/>
      <c r="C16" s="38" t="s">
        <v>29</v>
      </c>
      <c r="D16" s="58" t="s">
        <v>3</v>
      </c>
      <c r="E16" s="6">
        <v>1.9918000000000002E-2</v>
      </c>
      <c r="F16" s="5"/>
      <c r="G16" s="246"/>
      <c r="H16" s="246"/>
      <c r="I16" s="246"/>
      <c r="J16" s="246"/>
      <c r="K16" s="246"/>
      <c r="L16" s="5"/>
      <c r="M16" s="5"/>
      <c r="N16" s="20"/>
      <c r="R16" s="49"/>
    </row>
    <row r="17" spans="2:18" x14ac:dyDescent="0.2">
      <c r="B17" s="93"/>
      <c r="C17" s="38" t="s">
        <v>200</v>
      </c>
      <c r="D17" s="58" t="s">
        <v>107</v>
      </c>
      <c r="E17" s="6">
        <v>1.8265E-2</v>
      </c>
      <c r="F17" s="5"/>
      <c r="G17" s="246"/>
      <c r="H17" s="246"/>
      <c r="I17" s="246"/>
      <c r="J17" s="246"/>
      <c r="K17" s="246"/>
      <c r="L17" s="5"/>
      <c r="M17" s="5"/>
      <c r="N17" s="20"/>
      <c r="R17" s="49"/>
    </row>
    <row r="18" spans="2:18" x14ac:dyDescent="0.2">
      <c r="B18" s="93"/>
      <c r="C18" s="38" t="s">
        <v>69</v>
      </c>
      <c r="D18" s="58" t="s">
        <v>4</v>
      </c>
      <c r="E18" s="6">
        <v>1.7916999999999999E-2</v>
      </c>
      <c r="F18" s="5"/>
      <c r="G18" s="5"/>
      <c r="H18" s="5"/>
      <c r="I18" s="5"/>
      <c r="J18" s="5"/>
      <c r="K18" s="5"/>
      <c r="L18" s="5"/>
      <c r="M18" s="5"/>
      <c r="N18" s="20"/>
      <c r="R18" s="49"/>
    </row>
    <row r="19" spans="2:18" x14ac:dyDescent="0.2">
      <c r="B19" s="93"/>
      <c r="C19" s="38" t="s">
        <v>32</v>
      </c>
      <c r="D19" s="58" t="s">
        <v>3</v>
      </c>
      <c r="E19" s="6">
        <v>1.7417999999999999E-2</v>
      </c>
      <c r="F19" s="5"/>
      <c r="G19" s="5"/>
      <c r="H19" s="5"/>
      <c r="I19" s="5"/>
      <c r="J19" s="5"/>
      <c r="K19" s="5"/>
      <c r="L19" s="5"/>
      <c r="M19" s="5"/>
      <c r="N19" s="20"/>
      <c r="R19" s="49"/>
    </row>
    <row r="20" spans="2:18" ht="33.75" customHeight="1" x14ac:dyDescent="0.25">
      <c r="B20" s="93"/>
      <c r="C20" s="38" t="s">
        <v>265</v>
      </c>
      <c r="D20" s="58" t="s">
        <v>112</v>
      </c>
      <c r="E20" s="6">
        <v>1.5789999999999998E-2</v>
      </c>
      <c r="F20" s="5"/>
      <c r="G20" s="276" t="s">
        <v>101</v>
      </c>
      <c r="H20" s="277"/>
      <c r="I20" s="277"/>
      <c r="J20" s="277"/>
      <c r="K20" s="277"/>
      <c r="L20" s="181">
        <v>11.309171871238991</v>
      </c>
      <c r="M20" s="106"/>
      <c r="N20" s="177"/>
      <c r="R20" s="49"/>
    </row>
    <row r="21" spans="2:18" ht="30" x14ac:dyDescent="0.2">
      <c r="B21" s="93"/>
      <c r="C21" s="38" t="s">
        <v>285</v>
      </c>
      <c r="D21" s="58" t="s">
        <v>112</v>
      </c>
      <c r="E21" s="6">
        <v>1.4598E-2</v>
      </c>
      <c r="F21" s="5"/>
      <c r="G21" s="5"/>
      <c r="H21" s="5"/>
      <c r="I21" s="5"/>
      <c r="J21" s="5"/>
      <c r="K21" s="5"/>
      <c r="L21" s="5"/>
      <c r="M21" s="5"/>
      <c r="N21" s="20"/>
      <c r="R21" s="49"/>
    </row>
    <row r="22" spans="2:18" x14ac:dyDescent="0.2">
      <c r="B22" s="93"/>
      <c r="C22" s="38" t="s">
        <v>271</v>
      </c>
      <c r="D22" s="58" t="s">
        <v>117</v>
      </c>
      <c r="E22" s="6">
        <v>1.3912000000000001E-2</v>
      </c>
      <c r="F22" s="5"/>
      <c r="G22" s="31"/>
      <c r="H22" s="31"/>
      <c r="I22" s="31"/>
      <c r="J22" s="5"/>
      <c r="K22" s="31"/>
      <c r="L22" s="5"/>
      <c r="M22" s="5"/>
      <c r="N22" s="20"/>
      <c r="R22" s="49"/>
    </row>
    <row r="23" spans="2:18" ht="15.75" customHeight="1" x14ac:dyDescent="0.2">
      <c r="B23" s="93"/>
      <c r="C23" s="38"/>
      <c r="D23" s="4"/>
      <c r="E23" s="6"/>
      <c r="F23" s="5"/>
      <c r="G23" s="258" t="s">
        <v>50</v>
      </c>
      <c r="H23" s="258"/>
      <c r="I23" s="258"/>
      <c r="J23" s="258"/>
      <c r="K23" s="258"/>
      <c r="L23" s="258"/>
      <c r="M23" s="258"/>
      <c r="N23" s="259"/>
      <c r="R23" s="49"/>
    </row>
    <row r="24" spans="2:18" ht="15.75" x14ac:dyDescent="0.2">
      <c r="B24" s="93"/>
      <c r="C24" s="108" t="s">
        <v>56</v>
      </c>
      <c r="D24" s="108"/>
      <c r="E24" s="109">
        <f>SUM(E8:E22)</f>
        <v>0.35359899999999994</v>
      </c>
      <c r="F24" s="5"/>
      <c r="G24" s="5"/>
      <c r="H24" s="5"/>
      <c r="I24" s="5"/>
      <c r="J24" s="5"/>
      <c r="K24" s="5"/>
      <c r="L24" s="5"/>
      <c r="M24" s="5"/>
      <c r="N24" s="20"/>
      <c r="R24" s="49"/>
    </row>
    <row r="25" spans="2:18" x14ac:dyDescent="0.2">
      <c r="B25" s="93"/>
      <c r="C25" s="4"/>
      <c r="D25" s="4"/>
      <c r="E25" s="6"/>
      <c r="F25" s="5"/>
      <c r="G25" s="5"/>
      <c r="H25" s="5"/>
      <c r="I25" s="5"/>
      <c r="J25" s="5"/>
      <c r="K25" s="5"/>
      <c r="L25" s="5"/>
      <c r="M25" s="5"/>
      <c r="N25" s="20"/>
      <c r="R25" s="49"/>
    </row>
    <row r="26" spans="2:18" ht="15.75" x14ac:dyDescent="0.2">
      <c r="B26" s="93"/>
      <c r="C26" s="108" t="s">
        <v>66</v>
      </c>
      <c r="D26" s="108"/>
      <c r="E26" s="109">
        <v>0.422624</v>
      </c>
      <c r="F26" s="31"/>
      <c r="G26" s="5"/>
      <c r="H26" s="5"/>
      <c r="I26" s="5"/>
      <c r="J26" s="5"/>
      <c r="K26" s="5"/>
      <c r="L26" s="5"/>
      <c r="M26" s="5"/>
      <c r="N26" s="20"/>
      <c r="R26" s="49"/>
    </row>
    <row r="27" spans="2:18" x14ac:dyDescent="0.2">
      <c r="B27" s="93"/>
      <c r="C27" s="38" t="s">
        <v>312</v>
      </c>
      <c r="D27" s="58" t="s">
        <v>63</v>
      </c>
      <c r="E27" s="6">
        <v>3.0501E-2</v>
      </c>
      <c r="F27" s="5"/>
      <c r="G27" s="5"/>
      <c r="H27" s="5"/>
      <c r="I27" s="5"/>
      <c r="J27" s="5"/>
      <c r="K27" s="5"/>
      <c r="L27" s="5"/>
      <c r="M27" s="5"/>
      <c r="N27" s="20"/>
      <c r="R27" s="49"/>
    </row>
    <row r="28" spans="2:18" s="48" customFormat="1" ht="13.5" customHeight="1" x14ac:dyDescent="0.2">
      <c r="B28" s="110"/>
      <c r="C28" s="38" t="s">
        <v>82</v>
      </c>
      <c r="D28" s="58" t="s">
        <v>63</v>
      </c>
      <c r="E28" s="6">
        <v>1.8327E-2</v>
      </c>
      <c r="F28" s="41"/>
      <c r="G28" s="41"/>
      <c r="H28" s="41"/>
      <c r="I28" s="41"/>
      <c r="J28" s="41"/>
      <c r="K28" s="41"/>
      <c r="L28" s="41"/>
      <c r="M28" s="41"/>
      <c r="N28" s="111"/>
      <c r="R28" s="112"/>
    </row>
    <row r="29" spans="2:18" x14ac:dyDescent="0.2">
      <c r="B29" s="93"/>
      <c r="C29" s="38" t="s">
        <v>289</v>
      </c>
      <c r="D29" s="58" t="s">
        <v>305</v>
      </c>
      <c r="E29" s="6">
        <v>7.4320000000000002E-3</v>
      </c>
      <c r="F29" s="5"/>
      <c r="G29" s="5"/>
      <c r="H29" s="5"/>
      <c r="I29" s="5"/>
      <c r="J29" s="5"/>
      <c r="K29" s="5"/>
      <c r="L29" s="5"/>
      <c r="M29" s="5"/>
      <c r="N29" s="20"/>
      <c r="R29" s="49"/>
    </row>
    <row r="30" spans="2:18" x14ac:dyDescent="0.2">
      <c r="B30" s="93"/>
      <c r="C30" s="38" t="s">
        <v>290</v>
      </c>
      <c r="D30" s="58" t="s">
        <v>291</v>
      </c>
      <c r="E30" s="6">
        <v>7.378E-3</v>
      </c>
      <c r="F30" s="5"/>
      <c r="G30" s="5"/>
      <c r="H30" s="5"/>
      <c r="I30" s="5"/>
      <c r="J30" s="5"/>
      <c r="K30" s="5"/>
      <c r="L30" s="5"/>
      <c r="M30" s="5"/>
      <c r="N30" s="20"/>
      <c r="R30" s="49"/>
    </row>
    <row r="31" spans="2:18" x14ac:dyDescent="0.2">
      <c r="B31" s="93"/>
      <c r="C31" s="38" t="s">
        <v>293</v>
      </c>
      <c r="D31" s="58" t="s">
        <v>305</v>
      </c>
      <c r="E31" s="6">
        <v>7.3639999999999999E-3</v>
      </c>
      <c r="F31" s="5"/>
      <c r="G31" s="5"/>
      <c r="H31" s="5"/>
      <c r="I31" s="5"/>
      <c r="J31" s="5"/>
      <c r="K31" s="5"/>
      <c r="L31" s="5"/>
      <c r="M31" s="5"/>
      <c r="N31" s="20"/>
      <c r="R31" s="49"/>
    </row>
    <row r="32" spans="2:18" x14ac:dyDescent="0.2">
      <c r="B32" s="93"/>
      <c r="C32" s="38" t="s">
        <v>77</v>
      </c>
      <c r="D32" s="58" t="s">
        <v>63</v>
      </c>
      <c r="E32" s="6">
        <v>7.3400000000000002E-3</v>
      </c>
      <c r="F32" s="5"/>
      <c r="G32" s="5"/>
      <c r="H32" s="5"/>
      <c r="I32" s="5"/>
      <c r="J32" s="5"/>
      <c r="K32" s="5"/>
      <c r="L32" s="5"/>
      <c r="M32" s="5"/>
      <c r="N32" s="20"/>
      <c r="R32" s="49"/>
    </row>
    <row r="33" spans="1:18" x14ac:dyDescent="0.2">
      <c r="B33" s="93"/>
      <c r="C33" s="38" t="s">
        <v>29</v>
      </c>
      <c r="D33" s="58" t="s">
        <v>63</v>
      </c>
      <c r="E33" s="6">
        <v>6.1000000000000004E-3</v>
      </c>
      <c r="F33" s="5"/>
      <c r="G33" s="5"/>
      <c r="H33" s="5"/>
      <c r="I33" s="5"/>
      <c r="J33" s="5"/>
      <c r="K33" s="5"/>
      <c r="L33" s="5"/>
      <c r="M33" s="5"/>
      <c r="N33" s="20"/>
      <c r="R33" s="49"/>
    </row>
    <row r="34" spans="1:18" x14ac:dyDescent="0.2">
      <c r="B34" s="93"/>
      <c r="C34" s="38" t="s">
        <v>69</v>
      </c>
      <c r="D34" s="58" t="s">
        <v>63</v>
      </c>
      <c r="E34" s="6">
        <v>6.097E-3</v>
      </c>
      <c r="F34" s="5"/>
      <c r="G34" s="5"/>
      <c r="H34" s="5"/>
      <c r="I34" s="5"/>
      <c r="J34" s="5"/>
      <c r="K34" s="5"/>
      <c r="L34" s="5"/>
      <c r="M34" s="5"/>
      <c r="N34" s="20"/>
      <c r="R34" s="49"/>
    </row>
    <row r="35" spans="1:18" x14ac:dyDescent="0.2">
      <c r="B35" s="93"/>
      <c r="C35" s="38" t="s">
        <v>310</v>
      </c>
      <c r="D35" s="58" t="s">
        <v>305</v>
      </c>
      <c r="E35" s="6">
        <v>6.0949999999999997E-3</v>
      </c>
      <c r="F35" s="5"/>
      <c r="G35" s="5"/>
      <c r="H35" s="5"/>
      <c r="I35" s="5"/>
      <c r="J35" s="5"/>
      <c r="K35" s="5"/>
      <c r="L35" s="5"/>
      <c r="M35" s="5"/>
      <c r="N35" s="20"/>
      <c r="R35" s="49"/>
    </row>
    <row r="36" spans="1:18" x14ac:dyDescent="0.2">
      <c r="B36" s="93"/>
      <c r="C36" s="38" t="s">
        <v>75</v>
      </c>
      <c r="D36" s="58" t="s">
        <v>63</v>
      </c>
      <c r="E36" s="6">
        <v>6.0780000000000001E-3</v>
      </c>
      <c r="F36" s="5"/>
      <c r="G36" s="5"/>
      <c r="H36" s="5"/>
      <c r="I36" s="5"/>
      <c r="J36" s="5"/>
      <c r="K36" s="5"/>
      <c r="L36" s="5"/>
      <c r="M36" s="5"/>
      <c r="N36" s="20"/>
      <c r="R36" s="49"/>
    </row>
    <row r="37" spans="1:18" ht="15.75" x14ac:dyDescent="0.2">
      <c r="B37" s="93"/>
      <c r="C37" s="108" t="s">
        <v>49</v>
      </c>
      <c r="D37" s="108"/>
      <c r="E37" s="109">
        <v>0.102712</v>
      </c>
      <c r="F37" s="5"/>
      <c r="G37" s="5"/>
      <c r="H37" s="5"/>
      <c r="I37" s="5"/>
      <c r="J37" s="5"/>
      <c r="K37" s="5"/>
      <c r="L37" s="5"/>
      <c r="M37" s="5"/>
      <c r="N37" s="20"/>
      <c r="R37" s="49"/>
    </row>
    <row r="38" spans="1:18" x14ac:dyDescent="0.2">
      <c r="B38" s="93"/>
      <c r="C38" s="38" t="s">
        <v>229</v>
      </c>
      <c r="D38" s="4" t="s">
        <v>61</v>
      </c>
      <c r="E38" s="200">
        <v>7.9683000000000004E-2</v>
      </c>
      <c r="F38" s="5"/>
      <c r="G38" s="5"/>
      <c r="H38" s="5"/>
      <c r="I38" s="5"/>
      <c r="J38" s="5"/>
      <c r="K38" s="5"/>
      <c r="L38" s="5"/>
      <c r="M38" s="5"/>
      <c r="N38" s="20"/>
      <c r="R38" s="49"/>
    </row>
    <row r="39" spans="1:18" s="48" customFormat="1" x14ac:dyDescent="0.2">
      <c r="B39" s="110"/>
      <c r="C39" s="38" t="s">
        <v>73</v>
      </c>
      <c r="D39" s="4" t="s">
        <v>61</v>
      </c>
      <c r="E39" s="200">
        <v>6.3239999999999998E-3</v>
      </c>
      <c r="F39" s="41"/>
      <c r="G39" s="5"/>
      <c r="H39" s="5"/>
      <c r="I39" s="5"/>
      <c r="J39" s="5"/>
      <c r="K39" s="5"/>
      <c r="L39" s="41"/>
      <c r="M39" s="41"/>
      <c r="N39" s="111"/>
      <c r="R39" s="112"/>
    </row>
    <row r="40" spans="1:18" x14ac:dyDescent="0.2">
      <c r="B40" s="93"/>
      <c r="C40" s="38" t="s">
        <v>199</v>
      </c>
      <c r="D40" s="4" t="s">
        <v>61</v>
      </c>
      <c r="E40" s="200">
        <v>6.2839999999999997E-3</v>
      </c>
      <c r="F40" s="5"/>
      <c r="G40" s="5"/>
      <c r="H40" s="5"/>
      <c r="I40" s="5"/>
      <c r="J40" s="5"/>
      <c r="K40" s="5"/>
      <c r="L40" s="5"/>
      <c r="M40" s="5"/>
      <c r="N40" s="20"/>
      <c r="R40" s="49"/>
    </row>
    <row r="41" spans="1:18" x14ac:dyDescent="0.2">
      <c r="A41" s="5"/>
      <c r="B41" s="93"/>
      <c r="C41" s="38" t="s">
        <v>67</v>
      </c>
      <c r="D41" s="4" t="s">
        <v>61</v>
      </c>
      <c r="E41" s="200">
        <v>2.4819999999999998E-3</v>
      </c>
      <c r="F41" s="5"/>
      <c r="G41" s="5"/>
      <c r="H41" s="5"/>
      <c r="I41" s="5"/>
      <c r="J41" s="5"/>
      <c r="K41" s="5"/>
      <c r="L41" s="5"/>
      <c r="M41" s="5"/>
      <c r="N41" s="20"/>
      <c r="O41" s="5"/>
      <c r="R41" s="49"/>
    </row>
    <row r="42" spans="1:18" x14ac:dyDescent="0.2">
      <c r="A42" s="5"/>
      <c r="B42" s="93"/>
      <c r="C42" s="38" t="s">
        <v>74</v>
      </c>
      <c r="D42" s="4" t="s">
        <v>61</v>
      </c>
      <c r="E42" s="200">
        <v>1.1280000000000001E-3</v>
      </c>
      <c r="F42" s="5"/>
      <c r="G42" s="5"/>
      <c r="H42" s="5"/>
      <c r="I42" s="5"/>
      <c r="J42" s="5"/>
      <c r="K42" s="5"/>
      <c r="L42" s="5"/>
      <c r="M42" s="5"/>
      <c r="N42" s="20"/>
      <c r="O42" s="5"/>
      <c r="R42" s="49"/>
    </row>
    <row r="43" spans="1:18" ht="15.75" x14ac:dyDescent="0.2">
      <c r="A43" s="5"/>
      <c r="B43" s="93"/>
      <c r="C43" s="108" t="s">
        <v>42</v>
      </c>
      <c r="D43" s="108"/>
      <c r="E43" s="109">
        <v>9.5901E-2</v>
      </c>
      <c r="F43" s="5"/>
      <c r="G43" s="5"/>
      <c r="H43" s="5"/>
      <c r="I43" s="5"/>
      <c r="J43" s="5"/>
      <c r="K43" s="5"/>
      <c r="L43" s="5"/>
      <c r="M43" s="5"/>
      <c r="N43" s="20"/>
      <c r="O43" s="5"/>
      <c r="R43" s="49"/>
    </row>
    <row r="44" spans="1:18" ht="15.75" x14ac:dyDescent="0.2">
      <c r="A44" s="5"/>
      <c r="B44" s="93"/>
      <c r="C44" s="113"/>
      <c r="D44" s="113"/>
      <c r="E44" s="114"/>
      <c r="F44" s="5"/>
      <c r="G44" s="5"/>
      <c r="H44" s="5"/>
      <c r="I44" s="5"/>
      <c r="J44" s="5"/>
      <c r="K44" s="5"/>
      <c r="L44" s="5"/>
      <c r="M44" s="5"/>
      <c r="N44" s="20"/>
      <c r="O44" s="5"/>
      <c r="R44" s="49"/>
    </row>
    <row r="45" spans="1:18" ht="15.75" x14ac:dyDescent="0.2">
      <c r="A45" s="5"/>
      <c r="B45" s="93"/>
      <c r="C45" s="108" t="s">
        <v>20</v>
      </c>
      <c r="D45" s="108"/>
      <c r="E45" s="109">
        <v>2.5163999999999999E-2</v>
      </c>
      <c r="F45" s="5"/>
      <c r="G45" s="5"/>
      <c r="H45" s="5"/>
      <c r="I45" s="5"/>
      <c r="J45" s="5"/>
      <c r="K45" s="5"/>
      <c r="L45" s="5"/>
      <c r="M45" s="5"/>
      <c r="N45" s="20"/>
      <c r="O45" s="5"/>
      <c r="R45" s="49"/>
    </row>
    <row r="46" spans="1:18" x14ac:dyDescent="0.2">
      <c r="A46" s="5"/>
      <c r="B46" s="93"/>
      <c r="C46" s="4"/>
      <c r="D46" s="4"/>
      <c r="E46" s="32"/>
      <c r="F46" s="5"/>
      <c r="G46" s="5"/>
      <c r="H46" s="5"/>
      <c r="I46" s="5"/>
      <c r="J46" s="5"/>
      <c r="K46" s="5"/>
      <c r="L46" s="5"/>
      <c r="M46" s="5"/>
      <c r="N46" s="20"/>
      <c r="O46" s="5"/>
      <c r="R46" s="49"/>
    </row>
    <row r="47" spans="1:18" ht="15.75" x14ac:dyDescent="0.2">
      <c r="A47" s="5"/>
      <c r="B47" s="93"/>
      <c r="C47" s="115" t="s">
        <v>21</v>
      </c>
      <c r="D47" s="115"/>
      <c r="E47" s="116">
        <f>E45+E43+E37+E26+E24</f>
        <v>1</v>
      </c>
      <c r="F47" s="5"/>
      <c r="G47" s="5"/>
      <c r="H47" s="5"/>
      <c r="I47" s="5"/>
      <c r="J47" s="5"/>
      <c r="K47" s="5"/>
      <c r="L47" s="5"/>
      <c r="M47" s="5"/>
      <c r="N47" s="20"/>
      <c r="O47" s="5"/>
      <c r="R47" s="49"/>
    </row>
    <row r="48" spans="1:18" x14ac:dyDescent="0.2">
      <c r="A48" s="5"/>
      <c r="B48" s="93"/>
      <c r="F48" s="5"/>
      <c r="G48" s="5"/>
      <c r="H48" s="5"/>
      <c r="I48" s="5"/>
      <c r="J48" s="5"/>
      <c r="K48" s="5"/>
      <c r="L48" s="5"/>
      <c r="M48" s="5"/>
      <c r="N48" s="20"/>
      <c r="O48" s="5"/>
      <c r="R48" s="49"/>
    </row>
    <row r="49" spans="1:18" ht="15.75" thickBot="1" x14ac:dyDescent="0.25">
      <c r="A49" s="5"/>
      <c r="B49" s="96"/>
      <c r="C49" s="45"/>
      <c r="D49" s="45"/>
      <c r="E49" s="45"/>
      <c r="F49" s="45"/>
      <c r="G49" s="45"/>
      <c r="H49" s="45"/>
      <c r="I49" s="45"/>
      <c r="J49" s="45"/>
      <c r="K49" s="45"/>
      <c r="L49" s="45"/>
      <c r="M49" s="45"/>
      <c r="N49" s="118"/>
      <c r="O49" s="5"/>
      <c r="R49" s="49"/>
    </row>
    <row r="50" spans="1:18" ht="15.75" thickBot="1" x14ac:dyDescent="0.25">
      <c r="R50" s="49"/>
    </row>
    <row r="51" spans="1:18" ht="15" customHeight="1" x14ac:dyDescent="0.2">
      <c r="B51" s="262" t="s">
        <v>184</v>
      </c>
      <c r="C51" s="263"/>
      <c r="D51" s="263"/>
      <c r="E51" s="263"/>
      <c r="F51" s="263"/>
      <c r="G51" s="263"/>
      <c r="H51" s="263"/>
      <c r="I51" s="263"/>
      <c r="J51" s="263"/>
      <c r="K51" s="263"/>
      <c r="L51" s="263"/>
      <c r="M51" s="263"/>
      <c r="N51" s="263"/>
      <c r="O51" s="263"/>
      <c r="P51" s="263"/>
      <c r="Q51" s="263"/>
      <c r="R51" s="264"/>
    </row>
    <row r="52" spans="1:18" x14ac:dyDescent="0.2">
      <c r="B52" s="265"/>
      <c r="C52" s="266"/>
      <c r="D52" s="266"/>
      <c r="E52" s="266"/>
      <c r="F52" s="266"/>
      <c r="G52" s="266"/>
      <c r="H52" s="266"/>
      <c r="I52" s="266"/>
      <c r="J52" s="266"/>
      <c r="K52" s="266"/>
      <c r="L52" s="266"/>
      <c r="M52" s="266"/>
      <c r="N52" s="266"/>
      <c r="O52" s="266"/>
      <c r="P52" s="266"/>
      <c r="Q52" s="266"/>
      <c r="R52" s="267"/>
    </row>
    <row r="53" spans="1:18" x14ac:dyDescent="0.2">
      <c r="B53" s="265"/>
      <c r="C53" s="266"/>
      <c r="D53" s="266"/>
      <c r="E53" s="266"/>
      <c r="F53" s="266"/>
      <c r="G53" s="266"/>
      <c r="H53" s="266"/>
      <c r="I53" s="266"/>
      <c r="J53" s="266"/>
      <c r="K53" s="266"/>
      <c r="L53" s="266"/>
      <c r="M53" s="266"/>
      <c r="N53" s="266"/>
      <c r="O53" s="266"/>
      <c r="P53" s="266"/>
      <c r="Q53" s="266"/>
      <c r="R53" s="267"/>
    </row>
    <row r="54" spans="1:18" x14ac:dyDescent="0.2">
      <c r="B54" s="265"/>
      <c r="C54" s="266"/>
      <c r="D54" s="266"/>
      <c r="E54" s="266"/>
      <c r="F54" s="266"/>
      <c r="G54" s="266"/>
      <c r="H54" s="266"/>
      <c r="I54" s="266"/>
      <c r="J54" s="266"/>
      <c r="K54" s="266"/>
      <c r="L54" s="266"/>
      <c r="M54" s="266"/>
      <c r="N54" s="266"/>
      <c r="O54" s="266"/>
      <c r="P54" s="266"/>
      <c r="Q54" s="266"/>
      <c r="R54" s="267"/>
    </row>
    <row r="55" spans="1:18" x14ac:dyDescent="0.2">
      <c r="B55" s="265"/>
      <c r="C55" s="266"/>
      <c r="D55" s="266"/>
      <c r="E55" s="266"/>
      <c r="F55" s="266"/>
      <c r="G55" s="266"/>
      <c r="H55" s="266"/>
      <c r="I55" s="266"/>
      <c r="J55" s="266"/>
      <c r="K55" s="266"/>
      <c r="L55" s="266"/>
      <c r="M55" s="266"/>
      <c r="N55" s="266"/>
      <c r="O55" s="266"/>
      <c r="P55" s="266"/>
      <c r="Q55" s="266"/>
      <c r="R55" s="267"/>
    </row>
    <row r="56" spans="1:18" x14ac:dyDescent="0.2">
      <c r="B56" s="265"/>
      <c r="C56" s="266"/>
      <c r="D56" s="266"/>
      <c r="E56" s="266"/>
      <c r="F56" s="266"/>
      <c r="G56" s="266"/>
      <c r="H56" s="266"/>
      <c r="I56" s="266"/>
      <c r="J56" s="266"/>
      <c r="K56" s="266"/>
      <c r="L56" s="266"/>
      <c r="M56" s="266"/>
      <c r="N56" s="266"/>
      <c r="O56" s="266"/>
      <c r="P56" s="266"/>
      <c r="Q56" s="266"/>
      <c r="R56" s="267"/>
    </row>
    <row r="57" spans="1:18" ht="15.75" thickBot="1" x14ac:dyDescent="0.25">
      <c r="B57" s="268"/>
      <c r="C57" s="269"/>
      <c r="D57" s="269"/>
      <c r="E57" s="269"/>
      <c r="F57" s="269"/>
      <c r="G57" s="269"/>
      <c r="H57" s="269"/>
      <c r="I57" s="269"/>
      <c r="J57" s="269"/>
      <c r="K57" s="269"/>
      <c r="L57" s="269"/>
      <c r="M57" s="269"/>
      <c r="N57" s="269"/>
      <c r="O57" s="269"/>
      <c r="P57" s="269"/>
      <c r="Q57" s="269"/>
      <c r="R57" s="270"/>
    </row>
    <row r="58" spans="1:18" x14ac:dyDescent="0.2">
      <c r="R58" s="49"/>
    </row>
    <row r="59" spans="1:18" x14ac:dyDescent="0.2">
      <c r="R59" s="49"/>
    </row>
    <row r="60" spans="1:18" x14ac:dyDescent="0.2">
      <c r="R60" s="49"/>
    </row>
    <row r="61" spans="1:18" x14ac:dyDescent="0.2">
      <c r="R61" s="49"/>
    </row>
    <row r="62" spans="1:18" x14ac:dyDescent="0.2">
      <c r="R62" s="49"/>
    </row>
    <row r="63" spans="1:18" x14ac:dyDescent="0.2">
      <c r="R63" s="49"/>
    </row>
    <row r="64" spans="1: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sheetData>
  <sortState ref="C38:E42">
    <sortCondition descending="1" ref="E38"/>
  </sortState>
  <mergeCells count="6">
    <mergeCell ref="B51:R57"/>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codeName="Sheet26">
    <pageSetUpPr fitToPage="1"/>
  </sheetPr>
  <dimension ref="A1:S65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21"/>
    </row>
    <row r="3" spans="2:19" ht="20.25" customHeight="1" x14ac:dyDescent="0.2">
      <c r="B3" s="93"/>
      <c r="C3" s="256" t="s">
        <v>205</v>
      </c>
      <c r="D3" s="256"/>
      <c r="E3" s="256"/>
      <c r="F3" s="256"/>
      <c r="G3" s="256"/>
      <c r="H3" s="256"/>
      <c r="I3" s="256"/>
      <c r="J3" s="256"/>
      <c r="K3" s="256"/>
      <c r="L3" s="256"/>
      <c r="M3" s="256"/>
      <c r="N3" s="257"/>
    </row>
    <row r="4" spans="2:19" ht="15.75" x14ac:dyDescent="0.25">
      <c r="B4" s="93"/>
      <c r="C4" s="67" t="s">
        <v>356</v>
      </c>
      <c r="D4" s="29"/>
      <c r="E4" s="29"/>
      <c r="F4" s="5"/>
      <c r="G4" s="5"/>
      <c r="H4" s="5"/>
      <c r="I4" s="5"/>
      <c r="J4" s="5"/>
      <c r="K4" s="5"/>
      <c r="L4" s="5"/>
      <c r="M4" s="5"/>
      <c r="N4" s="20"/>
    </row>
    <row r="5" spans="2:19" ht="20.25" customHeight="1" x14ac:dyDescent="0.2">
      <c r="B5" s="93"/>
      <c r="C5" s="222" t="s">
        <v>357</v>
      </c>
      <c r="D5" s="273" t="s">
        <v>377</v>
      </c>
      <c r="E5" s="273"/>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232" t="s">
        <v>45</v>
      </c>
      <c r="F7" s="5"/>
      <c r="G7" s="5"/>
      <c r="H7" s="5"/>
      <c r="I7" s="5"/>
      <c r="J7" s="5"/>
      <c r="K7" s="5"/>
      <c r="L7" s="5"/>
      <c r="M7" s="5"/>
      <c r="N7" s="20"/>
      <c r="P7" s="237" t="s">
        <v>3</v>
      </c>
      <c r="Q7" s="240">
        <v>8.9550000000000018E-2</v>
      </c>
    </row>
    <row r="8" spans="2:19" ht="15.75" x14ac:dyDescent="0.25">
      <c r="B8" s="93"/>
      <c r="C8" s="199" t="s">
        <v>31</v>
      </c>
      <c r="D8" s="104" t="s">
        <v>6</v>
      </c>
      <c r="E8" s="200">
        <v>3.3569000000000002E-2</v>
      </c>
      <c r="F8" s="5"/>
      <c r="G8" s="5"/>
      <c r="H8" s="5"/>
      <c r="I8" s="5"/>
      <c r="J8" s="5"/>
      <c r="K8" s="5"/>
      <c r="L8" s="5"/>
      <c r="M8" s="5"/>
      <c r="N8" s="20"/>
      <c r="P8" s="237" t="s">
        <v>26</v>
      </c>
      <c r="Q8" s="240">
        <v>3.9599999999999996E-2</v>
      </c>
      <c r="R8" s="49"/>
    </row>
    <row r="9" spans="2:19" ht="15.75" customHeight="1" x14ac:dyDescent="0.25">
      <c r="B9" s="93"/>
      <c r="C9" s="122" t="s">
        <v>29</v>
      </c>
      <c r="D9" s="38" t="s">
        <v>3</v>
      </c>
      <c r="E9" s="200">
        <v>3.0145999999999999E-2</v>
      </c>
      <c r="F9" s="5"/>
      <c r="G9" s="5"/>
      <c r="H9" s="5"/>
      <c r="I9" s="5"/>
      <c r="J9" s="5"/>
      <c r="K9" s="5"/>
      <c r="L9" s="5"/>
      <c r="M9" s="5"/>
      <c r="N9" s="20"/>
      <c r="P9" s="237" t="s">
        <v>4</v>
      </c>
      <c r="Q9" s="240">
        <v>3.8971999999999993E-2</v>
      </c>
      <c r="R9" s="49"/>
    </row>
    <row r="10" spans="2:19" ht="15.75" x14ac:dyDescent="0.25">
      <c r="B10" s="93"/>
      <c r="C10" s="122" t="s">
        <v>32</v>
      </c>
      <c r="D10" s="38" t="s">
        <v>3</v>
      </c>
      <c r="E10" s="200">
        <v>2.4333999999999998E-2</v>
      </c>
      <c r="F10" s="31"/>
      <c r="G10" s="5"/>
      <c r="H10" s="5"/>
      <c r="I10" s="5"/>
      <c r="J10" s="5"/>
      <c r="K10" s="5"/>
      <c r="L10" s="5"/>
      <c r="M10" s="5"/>
      <c r="N10" s="20"/>
      <c r="P10" s="237" t="s">
        <v>108</v>
      </c>
      <c r="Q10" s="240">
        <v>3.4481999999999999E-2</v>
      </c>
      <c r="R10" s="49"/>
    </row>
    <row r="11" spans="2:19" ht="15.75" x14ac:dyDescent="0.25">
      <c r="B11" s="93"/>
      <c r="C11" s="122" t="s">
        <v>36</v>
      </c>
      <c r="D11" s="38" t="s">
        <v>3</v>
      </c>
      <c r="E11" s="200">
        <v>2.3385E-2</v>
      </c>
      <c r="F11" s="5"/>
      <c r="G11" s="5"/>
      <c r="H11" s="5"/>
      <c r="I11" s="5"/>
      <c r="J11" s="5"/>
      <c r="K11" s="5"/>
      <c r="L11" s="5"/>
      <c r="M11" s="5"/>
      <c r="N11" s="20"/>
      <c r="P11" s="237" t="s">
        <v>6</v>
      </c>
      <c r="Q11" s="240">
        <v>3.3569000000000002E-2</v>
      </c>
      <c r="R11" s="49"/>
    </row>
    <row r="12" spans="2:19" ht="15.75" customHeight="1" x14ac:dyDescent="0.25">
      <c r="B12" s="93"/>
      <c r="C12" s="122" t="s">
        <v>30</v>
      </c>
      <c r="D12" s="38" t="s">
        <v>118</v>
      </c>
      <c r="E12" s="200">
        <v>2.1831E-2</v>
      </c>
      <c r="F12" s="31"/>
      <c r="G12" s="5"/>
      <c r="H12" s="5"/>
      <c r="I12" s="5"/>
      <c r="J12" s="5"/>
      <c r="K12" s="5"/>
      <c r="L12" s="5"/>
      <c r="M12" s="5"/>
      <c r="N12" s="20"/>
      <c r="P12" s="237" t="s">
        <v>113</v>
      </c>
      <c r="Q12" s="240">
        <v>2.8777E-2</v>
      </c>
      <c r="R12" s="49"/>
    </row>
    <row r="13" spans="2:19" ht="15.75" x14ac:dyDescent="0.25">
      <c r="B13" s="93"/>
      <c r="C13" s="122" t="s">
        <v>241</v>
      </c>
      <c r="D13" s="38" t="s">
        <v>26</v>
      </c>
      <c r="E13" s="200">
        <v>2.1246000000000001E-2</v>
      </c>
      <c r="F13" s="31"/>
      <c r="G13" s="5"/>
      <c r="H13" s="5"/>
      <c r="I13" s="5"/>
      <c r="J13" s="5"/>
      <c r="K13" s="5"/>
      <c r="L13" s="5"/>
      <c r="M13" s="5"/>
      <c r="N13" s="20"/>
      <c r="P13" s="237" t="s">
        <v>11</v>
      </c>
      <c r="Q13" s="240">
        <v>2.4091000000000001E-2</v>
      </c>
      <c r="R13" s="49"/>
    </row>
    <row r="14" spans="2:19" ht="15.75" x14ac:dyDescent="0.25">
      <c r="B14" s="93"/>
      <c r="C14" s="122" t="s">
        <v>70</v>
      </c>
      <c r="D14" s="38" t="s">
        <v>12</v>
      </c>
      <c r="E14" s="200">
        <v>2.0270999999999997E-2</v>
      </c>
      <c r="F14" s="31"/>
      <c r="G14" s="5"/>
      <c r="H14" s="5"/>
      <c r="I14" s="5"/>
      <c r="J14" s="5"/>
      <c r="K14" s="5"/>
      <c r="L14" s="5"/>
      <c r="M14" s="5"/>
      <c r="N14" s="20"/>
      <c r="P14" s="237" t="s">
        <v>118</v>
      </c>
      <c r="Q14" s="240">
        <v>2.1831E-2</v>
      </c>
      <c r="R14" s="49"/>
    </row>
    <row r="15" spans="2:19" ht="15.75" x14ac:dyDescent="0.25">
      <c r="B15" s="93"/>
      <c r="C15" s="122" t="s">
        <v>28</v>
      </c>
      <c r="D15" s="38" t="s">
        <v>108</v>
      </c>
      <c r="E15" s="200">
        <v>1.9460000000000002E-2</v>
      </c>
      <c r="F15" s="5"/>
      <c r="G15" s="5"/>
      <c r="H15" s="5"/>
      <c r="I15" s="5"/>
      <c r="J15" s="5"/>
      <c r="K15" s="5"/>
      <c r="L15" s="5"/>
      <c r="M15" s="5"/>
      <c r="N15" s="20"/>
      <c r="P15" s="237" t="s">
        <v>112</v>
      </c>
      <c r="Q15" s="240">
        <v>2.1425E-2</v>
      </c>
      <c r="R15" s="49"/>
    </row>
    <row r="16" spans="2:19" ht="15.75" x14ac:dyDescent="0.25">
      <c r="B16" s="93"/>
      <c r="C16" s="122" t="s">
        <v>230</v>
      </c>
      <c r="D16" s="38" t="s">
        <v>26</v>
      </c>
      <c r="E16" s="200">
        <v>1.8353999999999999E-2</v>
      </c>
      <c r="F16" s="5"/>
      <c r="G16" s="5"/>
      <c r="H16" s="5"/>
      <c r="I16" s="5"/>
      <c r="J16" s="5"/>
      <c r="K16" s="5"/>
      <c r="L16" s="5"/>
      <c r="M16" s="5"/>
      <c r="N16" s="20"/>
      <c r="P16" s="237" t="s">
        <v>12</v>
      </c>
      <c r="Q16" s="240">
        <v>2.0270999999999997E-2</v>
      </c>
      <c r="R16" s="49"/>
    </row>
    <row r="17" spans="2:18" ht="15.75" x14ac:dyDescent="0.25">
      <c r="B17" s="93"/>
      <c r="C17" s="122" t="s">
        <v>76</v>
      </c>
      <c r="D17" s="105" t="s">
        <v>11</v>
      </c>
      <c r="E17" s="200">
        <v>1.7469999999999999E-2</v>
      </c>
      <c r="F17" s="5"/>
      <c r="G17" s="5"/>
      <c r="H17" s="5"/>
      <c r="I17" s="5"/>
      <c r="J17" s="5"/>
      <c r="K17" s="5"/>
      <c r="L17" s="5"/>
      <c r="M17" s="5"/>
      <c r="N17" s="20"/>
      <c r="P17" s="237" t="s">
        <v>120</v>
      </c>
      <c r="Q17" s="240">
        <v>1.8903E-2</v>
      </c>
      <c r="R17" s="49"/>
    </row>
    <row r="18" spans="2:18" ht="15.75" x14ac:dyDescent="0.25">
      <c r="B18" s="93"/>
      <c r="C18" s="122" t="s">
        <v>77</v>
      </c>
      <c r="D18" s="38" t="s">
        <v>4</v>
      </c>
      <c r="E18" s="200">
        <v>1.4907E-2</v>
      </c>
      <c r="F18" s="5"/>
      <c r="G18" s="5"/>
      <c r="H18" s="5"/>
      <c r="I18" s="5"/>
      <c r="J18" s="5"/>
      <c r="K18" s="5"/>
      <c r="L18" s="5"/>
      <c r="M18" s="5"/>
      <c r="N18" s="20"/>
      <c r="P18" s="237" t="s">
        <v>111</v>
      </c>
      <c r="Q18" s="240">
        <v>1.5470999999999999E-2</v>
      </c>
      <c r="R18" s="49"/>
    </row>
    <row r="19" spans="2:18" ht="15.75" x14ac:dyDescent="0.25">
      <c r="B19" s="93"/>
      <c r="C19" s="122" t="s">
        <v>146</v>
      </c>
      <c r="D19" s="38" t="s">
        <v>125</v>
      </c>
      <c r="E19" s="200">
        <v>1.4357E-2</v>
      </c>
      <c r="F19" s="5"/>
      <c r="G19" s="5"/>
      <c r="H19" s="5"/>
      <c r="I19" s="5"/>
      <c r="J19" s="5"/>
      <c r="K19" s="5"/>
      <c r="L19" s="5"/>
      <c r="M19" s="5"/>
      <c r="N19" s="20"/>
      <c r="P19" s="237" t="s">
        <v>107</v>
      </c>
      <c r="Q19" s="240">
        <v>1.5143E-2</v>
      </c>
      <c r="R19" s="49"/>
    </row>
    <row r="20" spans="2:18" ht="15.75" customHeight="1" x14ac:dyDescent="0.25">
      <c r="B20" s="93"/>
      <c r="C20" s="122" t="s">
        <v>137</v>
      </c>
      <c r="D20" s="38" t="s">
        <v>111</v>
      </c>
      <c r="E20" s="200">
        <v>1.4001E-2</v>
      </c>
      <c r="F20" s="5"/>
      <c r="G20" s="5"/>
      <c r="H20" s="5"/>
      <c r="I20" s="5"/>
      <c r="J20" s="5"/>
      <c r="K20" s="5"/>
      <c r="L20" s="5"/>
      <c r="M20" s="5"/>
      <c r="N20" s="20"/>
      <c r="P20" s="237" t="s">
        <v>87</v>
      </c>
      <c r="Q20" s="240">
        <v>1.4987E-2</v>
      </c>
      <c r="R20" s="49"/>
    </row>
    <row r="21" spans="2:18" ht="15.75" x14ac:dyDescent="0.25">
      <c r="B21" s="93"/>
      <c r="C21" s="122" t="s">
        <v>190</v>
      </c>
      <c r="D21" s="38" t="s">
        <v>10</v>
      </c>
      <c r="E21" s="200">
        <v>1.3754000000000001E-2</v>
      </c>
      <c r="F21" s="5"/>
      <c r="G21" s="5"/>
      <c r="H21" s="5"/>
      <c r="I21" s="5"/>
      <c r="J21" s="5"/>
      <c r="K21" s="5"/>
      <c r="L21" s="5"/>
      <c r="M21" s="5"/>
      <c r="N21" s="20"/>
      <c r="P21" s="237" t="s">
        <v>125</v>
      </c>
      <c r="Q21" s="240">
        <v>1.4357E-2</v>
      </c>
      <c r="R21" s="49"/>
    </row>
    <row r="22" spans="2:18" ht="15.75" x14ac:dyDescent="0.25">
      <c r="B22" s="93"/>
      <c r="C22" s="122" t="s">
        <v>34</v>
      </c>
      <c r="D22" s="38" t="s">
        <v>23</v>
      </c>
      <c r="E22" s="200">
        <v>1.3495E-2</v>
      </c>
      <c r="F22" s="5"/>
      <c r="G22" s="31"/>
      <c r="H22" s="31"/>
      <c r="I22" s="31"/>
      <c r="J22" s="5"/>
      <c r="K22" s="31"/>
      <c r="L22" s="5"/>
      <c r="M22" s="5"/>
      <c r="N22" s="20"/>
      <c r="P22" s="237" t="s">
        <v>10</v>
      </c>
      <c r="Q22" s="240">
        <v>1.3754000000000001E-2</v>
      </c>
      <c r="R22" s="49"/>
    </row>
    <row r="23" spans="2:18" ht="15.75" customHeight="1" x14ac:dyDescent="0.25">
      <c r="B23" s="93"/>
      <c r="C23" s="38"/>
      <c r="D23" s="4"/>
      <c r="E23" s="6"/>
      <c r="F23" s="5"/>
      <c r="G23" s="31"/>
      <c r="H23" s="31"/>
      <c r="I23" s="31"/>
      <c r="J23" s="5"/>
      <c r="K23" s="31"/>
      <c r="L23" s="5"/>
      <c r="M23" s="5"/>
      <c r="N23" s="20"/>
      <c r="P23" s="237" t="s">
        <v>23</v>
      </c>
      <c r="Q23" s="240">
        <v>1.3495E-2</v>
      </c>
      <c r="R23" s="49"/>
    </row>
    <row r="24" spans="2:18" ht="15.75" x14ac:dyDescent="0.25">
      <c r="B24" s="93"/>
      <c r="C24" s="108" t="s">
        <v>56</v>
      </c>
      <c r="D24" s="108"/>
      <c r="E24" s="109">
        <v>0.30057999999999996</v>
      </c>
      <c r="F24" s="5"/>
      <c r="G24" s="5"/>
      <c r="H24" s="5"/>
      <c r="I24" s="5"/>
      <c r="J24" s="5"/>
      <c r="K24" s="5"/>
      <c r="L24" s="5"/>
      <c r="M24" s="5"/>
      <c r="N24" s="20"/>
      <c r="P24" s="237" t="s">
        <v>132</v>
      </c>
      <c r="Q24" s="240">
        <v>1.2333999999999999E-2</v>
      </c>
      <c r="R24" s="49"/>
    </row>
    <row r="25" spans="2:18" ht="15.75" x14ac:dyDescent="0.25">
      <c r="B25" s="93"/>
      <c r="C25" s="4"/>
      <c r="D25" s="4"/>
      <c r="E25" s="6"/>
      <c r="F25" s="5"/>
      <c r="G25" s="5"/>
      <c r="H25" s="5"/>
      <c r="I25" s="5"/>
      <c r="J25" s="5"/>
      <c r="K25" s="5"/>
      <c r="L25" s="5"/>
      <c r="M25" s="5"/>
      <c r="N25" s="20"/>
      <c r="P25" s="237" t="s">
        <v>117</v>
      </c>
      <c r="Q25" s="240">
        <v>1.2115000000000001E-2</v>
      </c>
      <c r="R25" s="49"/>
    </row>
    <row r="26" spans="2:18" ht="15.75" x14ac:dyDescent="0.25">
      <c r="B26" s="93"/>
      <c r="C26" s="108" t="s">
        <v>66</v>
      </c>
      <c r="D26" s="108"/>
      <c r="E26" s="109">
        <v>0.23532900000000001</v>
      </c>
      <c r="F26" s="31"/>
      <c r="G26" s="5"/>
      <c r="H26" s="5"/>
      <c r="I26" s="5"/>
      <c r="J26" s="5"/>
      <c r="K26" s="5"/>
      <c r="L26" s="5"/>
      <c r="M26" s="5"/>
      <c r="N26" s="20"/>
      <c r="P26" s="237" t="s">
        <v>15</v>
      </c>
      <c r="Q26" s="240">
        <v>1.1949E-2</v>
      </c>
      <c r="R26" s="49"/>
    </row>
    <row r="27" spans="2:18" ht="15.75" x14ac:dyDescent="0.25">
      <c r="B27" s="93"/>
      <c r="C27" s="38"/>
      <c r="D27" s="58"/>
      <c r="E27" s="6"/>
      <c r="F27" s="5"/>
      <c r="G27" s="5"/>
      <c r="H27" s="5"/>
      <c r="I27" s="5"/>
      <c r="J27" s="5"/>
      <c r="K27" s="5"/>
      <c r="L27" s="5"/>
      <c r="M27" s="5"/>
      <c r="N27" s="20"/>
      <c r="P27" s="237" t="s">
        <v>114</v>
      </c>
      <c r="Q27" s="240">
        <v>9.5950000000000011E-3</v>
      </c>
      <c r="R27" s="49"/>
    </row>
    <row r="28" spans="2:18" s="48" customFormat="1" ht="13.5" customHeight="1" x14ac:dyDescent="0.25">
      <c r="B28" s="110"/>
      <c r="C28" s="108" t="s">
        <v>58</v>
      </c>
      <c r="D28" s="108"/>
      <c r="E28" s="186">
        <v>0.21132899999999999</v>
      </c>
      <c r="F28" s="41"/>
      <c r="G28" s="41"/>
      <c r="H28" s="41"/>
      <c r="I28" s="41"/>
      <c r="J28" s="41"/>
      <c r="K28" s="41"/>
      <c r="L28" s="41"/>
      <c r="M28" s="41"/>
      <c r="N28" s="111"/>
      <c r="P28" s="237" t="s">
        <v>16</v>
      </c>
      <c r="Q28" s="240">
        <v>8.6820000000000022E-3</v>
      </c>
      <c r="R28" s="112"/>
    </row>
    <row r="29" spans="2:18" ht="15.75" x14ac:dyDescent="0.25">
      <c r="B29" s="93"/>
      <c r="C29" s="38"/>
      <c r="D29" s="38"/>
      <c r="E29" s="38"/>
      <c r="F29" s="5"/>
      <c r="G29" s="5"/>
      <c r="H29" s="5"/>
      <c r="I29" s="5"/>
      <c r="J29" s="5"/>
      <c r="K29" s="5"/>
      <c r="L29" s="5"/>
      <c r="M29" s="5"/>
      <c r="N29" s="20"/>
      <c r="P29" s="237" t="s">
        <v>119</v>
      </c>
      <c r="Q29" s="240">
        <v>6.1619999999999999E-3</v>
      </c>
      <c r="R29" s="49"/>
    </row>
    <row r="30" spans="2:18" ht="15.75" x14ac:dyDescent="0.25">
      <c r="B30" s="93"/>
      <c r="C30" s="38" t="s">
        <v>229</v>
      </c>
      <c r="D30" s="4" t="s">
        <v>61</v>
      </c>
      <c r="E30" s="200">
        <v>0.235623</v>
      </c>
      <c r="F30" s="5"/>
      <c r="G30" s="5"/>
      <c r="H30" s="5"/>
      <c r="I30" s="5"/>
      <c r="J30" s="5"/>
      <c r="K30" s="5"/>
      <c r="L30" s="5"/>
      <c r="M30" s="5"/>
      <c r="N30" s="20"/>
      <c r="P30" s="237" t="s">
        <v>131</v>
      </c>
      <c r="Q30" s="240">
        <v>5.6839999999999998E-3</v>
      </c>
      <c r="R30" s="49"/>
    </row>
    <row r="31" spans="2:18" ht="15.75" x14ac:dyDescent="0.25">
      <c r="B31" s="93"/>
      <c r="C31" s="108" t="s">
        <v>42</v>
      </c>
      <c r="D31" s="108"/>
      <c r="E31" s="109">
        <v>0.235623</v>
      </c>
      <c r="F31" s="5"/>
      <c r="G31" s="5"/>
      <c r="H31" s="5"/>
      <c r="I31" s="5"/>
      <c r="J31" s="5"/>
      <c r="K31" s="5"/>
      <c r="L31" s="5"/>
      <c r="M31" s="5"/>
      <c r="N31" s="20"/>
      <c r="P31" s="237" t="s">
        <v>86</v>
      </c>
      <c r="Q31" s="240">
        <v>4.0289999999999996E-3</v>
      </c>
      <c r="R31" s="49"/>
    </row>
    <row r="32" spans="2:18" ht="15.75" x14ac:dyDescent="0.25">
      <c r="B32" s="93"/>
      <c r="C32" s="113"/>
      <c r="D32" s="113"/>
      <c r="E32" s="114"/>
      <c r="F32" s="5"/>
      <c r="G32" s="5"/>
      <c r="H32" s="5"/>
      <c r="I32" s="5"/>
      <c r="J32" s="5"/>
      <c r="K32" s="5"/>
      <c r="L32" s="5"/>
      <c r="M32" s="5"/>
      <c r="N32" s="20"/>
      <c r="P32" s="237" t="s">
        <v>85</v>
      </c>
      <c r="Q32" s="240">
        <v>2.849E-3</v>
      </c>
      <c r="R32" s="49"/>
    </row>
    <row r="33" spans="1:18" ht="15.75" x14ac:dyDescent="0.25">
      <c r="B33" s="93"/>
      <c r="C33" s="108" t="s">
        <v>20</v>
      </c>
      <c r="D33" s="108"/>
      <c r="E33" s="109">
        <v>1.7139000000000005E-2</v>
      </c>
      <c r="F33" s="5"/>
      <c r="G33" s="5"/>
      <c r="H33" s="5"/>
      <c r="I33" s="5"/>
      <c r="J33" s="5"/>
      <c r="K33" s="5"/>
      <c r="L33" s="5"/>
      <c r="M33" s="5"/>
      <c r="N33" s="20"/>
      <c r="P33" s="237" t="s">
        <v>96</v>
      </c>
      <c r="Q33" s="240">
        <v>2.0019999999999999E-3</v>
      </c>
      <c r="R33" s="49"/>
    </row>
    <row r="34" spans="1:18" ht="15.75" x14ac:dyDescent="0.25">
      <c r="B34" s="93"/>
      <c r="C34" s="4"/>
      <c r="D34" s="4"/>
      <c r="E34" s="32"/>
      <c r="F34" s="5"/>
      <c r="G34" s="5"/>
      <c r="H34" s="5"/>
      <c r="I34" s="5"/>
      <c r="J34" s="5"/>
      <c r="K34" s="5"/>
      <c r="L34" s="5"/>
      <c r="M34" s="5"/>
      <c r="N34" s="20"/>
      <c r="P34" s="237" t="s">
        <v>25</v>
      </c>
      <c r="Q34" s="240">
        <v>1.1659999999999999E-3</v>
      </c>
      <c r="R34" s="49"/>
    </row>
    <row r="35" spans="1:18" ht="15.75" x14ac:dyDescent="0.25">
      <c r="B35" s="93"/>
      <c r="C35" s="115" t="s">
        <v>21</v>
      </c>
      <c r="D35" s="115"/>
      <c r="E35" s="116">
        <f>E33+E31+E28+E26+E24</f>
        <v>0.99999999999999989</v>
      </c>
      <c r="F35" s="5"/>
      <c r="G35" s="5"/>
      <c r="H35" s="5"/>
      <c r="I35" s="5"/>
      <c r="J35" s="5"/>
      <c r="K35" s="5"/>
      <c r="L35" s="5"/>
      <c r="M35" s="5"/>
      <c r="N35" s="20"/>
      <c r="P35" s="237" t="s">
        <v>78</v>
      </c>
      <c r="Q35" s="240">
        <v>6.6399999999999999E-4</v>
      </c>
      <c r="R35" s="49"/>
    </row>
    <row r="36" spans="1:18" x14ac:dyDescent="0.2">
      <c r="B36" s="93"/>
      <c r="F36" s="5"/>
      <c r="G36" s="5"/>
      <c r="H36" s="5"/>
      <c r="I36" s="5"/>
      <c r="J36" s="5"/>
      <c r="K36" s="5"/>
      <c r="L36" s="5"/>
      <c r="M36" s="5"/>
      <c r="N36" s="20"/>
      <c r="R36" s="49"/>
    </row>
    <row r="37" spans="1:18" x14ac:dyDescent="0.2">
      <c r="B37" s="93"/>
      <c r="F37" s="5"/>
      <c r="G37" s="5"/>
      <c r="H37" s="5"/>
      <c r="I37" s="5"/>
      <c r="J37" s="5"/>
      <c r="K37" s="5"/>
      <c r="L37" s="5"/>
      <c r="M37" s="5"/>
      <c r="N37" s="20"/>
      <c r="R37" s="49"/>
    </row>
    <row r="38" spans="1:18" x14ac:dyDescent="0.2">
      <c r="B38" s="93"/>
      <c r="F38" s="5"/>
      <c r="G38" s="5"/>
      <c r="H38" s="5"/>
      <c r="I38" s="5"/>
      <c r="J38" s="5"/>
      <c r="K38" s="5"/>
      <c r="L38" s="5"/>
      <c r="M38" s="5"/>
      <c r="N38" s="20"/>
      <c r="R38" s="49"/>
    </row>
    <row r="39" spans="1:18" s="48" customFormat="1" x14ac:dyDescent="0.2">
      <c r="B39" s="110"/>
      <c r="F39" s="41"/>
      <c r="G39" s="5"/>
      <c r="H39" s="5"/>
      <c r="I39" s="5"/>
      <c r="J39" s="5"/>
      <c r="K39" s="5"/>
      <c r="L39" s="41"/>
      <c r="M39" s="41"/>
      <c r="N39" s="111"/>
      <c r="R39" s="112"/>
    </row>
    <row r="40" spans="1:18" x14ac:dyDescent="0.2">
      <c r="B40" s="93"/>
      <c r="F40" s="5"/>
      <c r="G40" s="5"/>
      <c r="H40" s="5"/>
      <c r="I40" s="5"/>
      <c r="J40" s="5"/>
      <c r="K40" s="5"/>
      <c r="L40" s="5"/>
      <c r="M40" s="5"/>
      <c r="N40" s="20"/>
      <c r="R40" s="49"/>
    </row>
    <row r="41" spans="1:18" x14ac:dyDescent="0.2">
      <c r="A41" s="5"/>
      <c r="B41" s="93"/>
      <c r="F41" s="5"/>
      <c r="G41" s="5"/>
      <c r="H41" s="5"/>
      <c r="I41" s="5"/>
      <c r="J41" s="5"/>
      <c r="K41" s="5"/>
      <c r="L41" s="5"/>
      <c r="M41" s="5"/>
      <c r="N41" s="20"/>
      <c r="O41" s="5"/>
      <c r="R41" s="49"/>
    </row>
    <row r="42" spans="1:18" ht="15.75" thickBot="1" x14ac:dyDescent="0.25">
      <c r="A42" s="5"/>
      <c r="B42" s="96"/>
      <c r="C42" s="45"/>
      <c r="D42" s="45"/>
      <c r="E42" s="45"/>
      <c r="F42" s="45"/>
      <c r="G42" s="45"/>
      <c r="H42" s="45"/>
      <c r="I42" s="45"/>
      <c r="J42" s="45"/>
      <c r="K42" s="45"/>
      <c r="L42" s="45"/>
      <c r="M42" s="45"/>
      <c r="N42" s="118"/>
      <c r="O42" s="5"/>
      <c r="R42" s="49"/>
    </row>
    <row r="43" spans="1:18" ht="15.75" thickBot="1" x14ac:dyDescent="0.25">
      <c r="R43" s="49"/>
    </row>
    <row r="44" spans="1:18" ht="15" customHeight="1" x14ac:dyDescent="0.2">
      <c r="B44" s="262" t="s">
        <v>184</v>
      </c>
      <c r="C44" s="263"/>
      <c r="D44" s="263"/>
      <c r="E44" s="263"/>
      <c r="F44" s="263"/>
      <c r="G44" s="263"/>
      <c r="H44" s="263"/>
      <c r="I44" s="263"/>
      <c r="J44" s="263"/>
      <c r="K44" s="263"/>
      <c r="L44" s="263"/>
      <c r="M44" s="263"/>
      <c r="N44" s="263"/>
      <c r="O44" s="263"/>
      <c r="P44" s="263"/>
      <c r="Q44" s="263"/>
      <c r="R44" s="264"/>
    </row>
    <row r="45" spans="1:18" x14ac:dyDescent="0.2">
      <c r="B45" s="265"/>
      <c r="C45" s="266"/>
      <c r="D45" s="266"/>
      <c r="E45" s="266"/>
      <c r="F45" s="266"/>
      <c r="G45" s="266"/>
      <c r="H45" s="266"/>
      <c r="I45" s="266"/>
      <c r="J45" s="266"/>
      <c r="K45" s="266"/>
      <c r="L45" s="266"/>
      <c r="M45" s="266"/>
      <c r="N45" s="266"/>
      <c r="O45" s="266"/>
      <c r="P45" s="266"/>
      <c r="Q45" s="266"/>
      <c r="R45" s="267"/>
    </row>
    <row r="46" spans="1:18" x14ac:dyDescent="0.2">
      <c r="B46" s="265"/>
      <c r="C46" s="266"/>
      <c r="D46" s="266"/>
      <c r="E46" s="266"/>
      <c r="F46" s="266"/>
      <c r="G46" s="266"/>
      <c r="H46" s="266"/>
      <c r="I46" s="266"/>
      <c r="J46" s="266"/>
      <c r="K46" s="266"/>
      <c r="L46" s="266"/>
      <c r="M46" s="266"/>
      <c r="N46" s="266"/>
      <c r="O46" s="266"/>
      <c r="P46" s="266"/>
      <c r="Q46" s="266"/>
      <c r="R46" s="267"/>
    </row>
    <row r="47" spans="1:18" x14ac:dyDescent="0.2">
      <c r="B47" s="265"/>
      <c r="C47" s="266"/>
      <c r="D47" s="266"/>
      <c r="E47" s="266"/>
      <c r="F47" s="266"/>
      <c r="G47" s="266"/>
      <c r="H47" s="266"/>
      <c r="I47" s="266"/>
      <c r="J47" s="266"/>
      <c r="K47" s="266"/>
      <c r="L47" s="266"/>
      <c r="M47" s="266"/>
      <c r="N47" s="266"/>
      <c r="O47" s="266"/>
      <c r="P47" s="266"/>
      <c r="Q47" s="266"/>
      <c r="R47" s="267"/>
    </row>
    <row r="48" spans="1:18" x14ac:dyDescent="0.2">
      <c r="B48" s="265"/>
      <c r="C48" s="266"/>
      <c r="D48" s="266"/>
      <c r="E48" s="266"/>
      <c r="F48" s="266"/>
      <c r="G48" s="266"/>
      <c r="H48" s="266"/>
      <c r="I48" s="266"/>
      <c r="J48" s="266"/>
      <c r="K48" s="266"/>
      <c r="L48" s="266"/>
      <c r="M48" s="266"/>
      <c r="N48" s="266"/>
      <c r="O48" s="266"/>
      <c r="P48" s="266"/>
      <c r="Q48" s="266"/>
      <c r="R48" s="267"/>
    </row>
    <row r="49" spans="2:18" x14ac:dyDescent="0.2">
      <c r="B49" s="265"/>
      <c r="C49" s="266"/>
      <c r="D49" s="266"/>
      <c r="E49" s="266"/>
      <c r="F49" s="266"/>
      <c r="G49" s="266"/>
      <c r="H49" s="266"/>
      <c r="I49" s="266"/>
      <c r="J49" s="266"/>
      <c r="K49" s="266"/>
      <c r="L49" s="266"/>
      <c r="M49" s="266"/>
      <c r="N49" s="266"/>
      <c r="O49" s="266"/>
      <c r="P49" s="266"/>
      <c r="Q49" s="266"/>
      <c r="R49" s="267"/>
    </row>
    <row r="50" spans="2:18" ht="15.75" thickBot="1" x14ac:dyDescent="0.25">
      <c r="B50" s="268"/>
      <c r="C50" s="269"/>
      <c r="D50" s="269"/>
      <c r="E50" s="269"/>
      <c r="F50" s="269"/>
      <c r="G50" s="269"/>
      <c r="H50" s="269"/>
      <c r="I50" s="269"/>
      <c r="J50" s="269"/>
      <c r="K50" s="269"/>
      <c r="L50" s="269"/>
      <c r="M50" s="269"/>
      <c r="N50" s="269"/>
      <c r="O50" s="269"/>
      <c r="P50" s="269"/>
      <c r="Q50" s="269"/>
      <c r="R50" s="270"/>
    </row>
    <row r="51" spans="2:18" x14ac:dyDescent="0.2">
      <c r="R51" s="49"/>
    </row>
    <row r="52" spans="2:18" x14ac:dyDescent="0.2">
      <c r="R52" s="49"/>
    </row>
    <row r="53" spans="2:18" x14ac:dyDescent="0.2">
      <c r="R53" s="49"/>
    </row>
    <row r="54" spans="2:18" x14ac:dyDescent="0.2">
      <c r="R54" s="49"/>
    </row>
    <row r="55" spans="2:18" x14ac:dyDescent="0.2">
      <c r="R55" s="49"/>
    </row>
    <row r="56" spans="2:18" x14ac:dyDescent="0.2">
      <c r="R56" s="49"/>
    </row>
    <row r="57" spans="2:18" x14ac:dyDescent="0.2">
      <c r="R57" s="49"/>
    </row>
    <row r="58" spans="2:18" x14ac:dyDescent="0.2">
      <c r="R58" s="49"/>
    </row>
    <row r="59" spans="2:18" x14ac:dyDescent="0.2">
      <c r="R59" s="49"/>
    </row>
    <row r="60" spans="2:18" x14ac:dyDescent="0.2">
      <c r="R60" s="49"/>
    </row>
    <row r="61" spans="2:18" x14ac:dyDescent="0.2">
      <c r="R61" s="49"/>
    </row>
    <row r="62" spans="2:18" x14ac:dyDescent="0.2">
      <c r="R62" s="49"/>
    </row>
    <row r="63" spans="2:18" x14ac:dyDescent="0.2">
      <c r="R63" s="49"/>
    </row>
    <row r="64" spans="2: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sheetData>
  <sortState ref="P7:Q35">
    <sortCondition descending="1" ref="Q7"/>
  </sortState>
  <mergeCells count="3">
    <mergeCell ref="B44:R50"/>
    <mergeCell ref="C3:N3"/>
    <mergeCell ref="D5:E5"/>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codeName="Sheet27">
    <pageSetUpPr fitToPage="1"/>
  </sheetPr>
  <dimension ref="A1:S654"/>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21"/>
    </row>
    <row r="3" spans="2:19" ht="20.25" customHeight="1" x14ac:dyDescent="0.2">
      <c r="B3" s="93"/>
      <c r="C3" s="256" t="s">
        <v>240</v>
      </c>
      <c r="D3" s="256" t="s">
        <v>240</v>
      </c>
      <c r="E3" s="256" t="s">
        <v>240</v>
      </c>
      <c r="F3" s="256" t="s">
        <v>240</v>
      </c>
      <c r="G3" s="256" t="s">
        <v>240</v>
      </c>
      <c r="H3" s="256" t="s">
        <v>240</v>
      </c>
      <c r="I3" s="256" t="s">
        <v>240</v>
      </c>
      <c r="J3" s="256" t="s">
        <v>240</v>
      </c>
      <c r="K3" s="256" t="s">
        <v>240</v>
      </c>
      <c r="L3" s="256" t="s">
        <v>240</v>
      </c>
      <c r="M3" s="256" t="s">
        <v>240</v>
      </c>
      <c r="N3" s="257" t="s">
        <v>240</v>
      </c>
    </row>
    <row r="4" spans="2:19" ht="15.75" x14ac:dyDescent="0.25">
      <c r="B4" s="93"/>
      <c r="C4" s="67" t="s">
        <v>356</v>
      </c>
      <c r="D4" s="29"/>
      <c r="E4" s="29"/>
      <c r="F4" s="5"/>
      <c r="G4" s="5"/>
      <c r="H4" s="5"/>
      <c r="I4" s="5"/>
      <c r="J4" s="5"/>
      <c r="K4" s="5"/>
      <c r="L4" s="5"/>
      <c r="M4" s="5"/>
      <c r="N4" s="20"/>
    </row>
    <row r="5" spans="2:19" ht="20.25" customHeight="1" x14ac:dyDescent="0.2">
      <c r="B5" s="93"/>
      <c r="C5" s="222" t="s">
        <v>357</v>
      </c>
      <c r="D5" s="273" t="s">
        <v>378</v>
      </c>
      <c r="E5" s="273"/>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95" t="s">
        <v>45</v>
      </c>
      <c r="F7" s="5"/>
      <c r="G7" s="5"/>
      <c r="H7" s="5"/>
      <c r="I7" s="5"/>
      <c r="J7" s="5"/>
      <c r="K7" s="5"/>
      <c r="L7" s="5"/>
      <c r="M7" s="5"/>
      <c r="N7" s="20"/>
      <c r="P7" s="237" t="s">
        <v>3</v>
      </c>
      <c r="Q7" s="240">
        <v>8.6334999999999995E-2</v>
      </c>
    </row>
    <row r="8" spans="2:19" ht="15.75" x14ac:dyDescent="0.25">
      <c r="B8" s="93"/>
      <c r="C8" s="38" t="s">
        <v>29</v>
      </c>
      <c r="D8" s="38" t="s">
        <v>3</v>
      </c>
      <c r="E8" s="6">
        <v>2.2665000000000001E-2</v>
      </c>
      <c r="F8" s="5"/>
      <c r="G8" s="5"/>
      <c r="H8" s="5"/>
      <c r="I8" s="5"/>
      <c r="J8" s="5"/>
      <c r="K8" s="5"/>
      <c r="L8" s="5"/>
      <c r="M8" s="5"/>
      <c r="N8" s="20"/>
      <c r="P8" s="237" t="s">
        <v>4</v>
      </c>
      <c r="Q8" s="240">
        <v>3.4970000000000001E-2</v>
      </c>
      <c r="R8" s="49"/>
    </row>
    <row r="9" spans="2:19" ht="15.75" customHeight="1" x14ac:dyDescent="0.25">
      <c r="B9" s="93"/>
      <c r="C9" s="38" t="s">
        <v>32</v>
      </c>
      <c r="D9" s="38" t="s">
        <v>3</v>
      </c>
      <c r="E9" s="6">
        <v>2.0812000000000001E-2</v>
      </c>
      <c r="F9" s="5"/>
      <c r="G9" s="5"/>
      <c r="H9" s="5"/>
      <c r="I9" s="5"/>
      <c r="J9" s="5"/>
      <c r="K9" s="5"/>
      <c r="L9" s="5"/>
      <c r="M9" s="5"/>
      <c r="N9" s="20"/>
      <c r="P9" s="237" t="s">
        <v>112</v>
      </c>
      <c r="Q9" s="240">
        <v>3.1642000000000003E-2</v>
      </c>
      <c r="R9" s="49"/>
    </row>
    <row r="10" spans="2:19" ht="15.75" x14ac:dyDescent="0.25">
      <c r="B10" s="93"/>
      <c r="C10" s="38" t="s">
        <v>31</v>
      </c>
      <c r="D10" s="38" t="s">
        <v>6</v>
      </c>
      <c r="E10" s="6">
        <v>2.0315999999999997E-2</v>
      </c>
      <c r="F10" s="31"/>
      <c r="G10" s="5"/>
      <c r="H10" s="5"/>
      <c r="I10" s="5"/>
      <c r="J10" s="5"/>
      <c r="K10" s="5"/>
      <c r="L10" s="5"/>
      <c r="M10" s="5"/>
      <c r="N10" s="20"/>
      <c r="P10" s="237" t="s">
        <v>26</v>
      </c>
      <c r="Q10" s="240">
        <v>3.1199000000000001E-2</v>
      </c>
      <c r="R10" s="49"/>
    </row>
    <row r="11" spans="2:19" ht="15.75" x14ac:dyDescent="0.25">
      <c r="B11" s="93"/>
      <c r="C11" s="38" t="s">
        <v>28</v>
      </c>
      <c r="D11" s="38" t="s">
        <v>108</v>
      </c>
      <c r="E11" s="6">
        <v>1.5427E-2</v>
      </c>
      <c r="F11" s="5"/>
      <c r="G11" s="5"/>
      <c r="H11" s="5"/>
      <c r="I11" s="5"/>
      <c r="J11" s="5"/>
      <c r="K11" s="5"/>
      <c r="L11" s="5"/>
      <c r="M11" s="5"/>
      <c r="N11" s="20"/>
      <c r="P11" s="237" t="s">
        <v>108</v>
      </c>
      <c r="Q11" s="240">
        <v>2.5606000000000004E-2</v>
      </c>
      <c r="R11" s="49"/>
    </row>
    <row r="12" spans="2:19" ht="15.75" customHeight="1" x14ac:dyDescent="0.25">
      <c r="B12" s="93"/>
      <c r="C12" s="38" t="s">
        <v>36</v>
      </c>
      <c r="D12" s="38" t="s">
        <v>3</v>
      </c>
      <c r="E12" s="6">
        <v>1.2969E-2</v>
      </c>
      <c r="F12" s="31"/>
      <c r="G12" s="5"/>
      <c r="H12" s="5"/>
      <c r="I12" s="5"/>
      <c r="J12" s="5"/>
      <c r="K12" s="5"/>
      <c r="L12" s="5"/>
      <c r="M12" s="5"/>
      <c r="N12" s="20"/>
      <c r="P12" s="237" t="s">
        <v>113</v>
      </c>
      <c r="Q12" s="240">
        <v>2.5361999999999996E-2</v>
      </c>
      <c r="R12" s="49"/>
    </row>
    <row r="13" spans="2:19" ht="15.75" x14ac:dyDescent="0.25">
      <c r="B13" s="93"/>
      <c r="C13" s="38" t="s">
        <v>37</v>
      </c>
      <c r="D13" s="38" t="s">
        <v>118</v>
      </c>
      <c r="E13" s="6">
        <v>9.9799999999999993E-3</v>
      </c>
      <c r="F13" s="31"/>
      <c r="G13" s="5"/>
      <c r="H13" s="5"/>
      <c r="I13" s="5"/>
      <c r="J13" s="5"/>
      <c r="K13" s="5"/>
      <c r="L13" s="5"/>
      <c r="M13" s="5"/>
      <c r="N13" s="20"/>
      <c r="P13" s="237" t="s">
        <v>6</v>
      </c>
      <c r="Q13" s="240">
        <v>2.0315999999999997E-2</v>
      </c>
      <c r="R13" s="49"/>
    </row>
    <row r="14" spans="2:19" ht="15.75" x14ac:dyDescent="0.25">
      <c r="B14" s="93"/>
      <c r="C14" s="38" t="s">
        <v>97</v>
      </c>
      <c r="D14" s="38" t="s">
        <v>113</v>
      </c>
      <c r="E14" s="6">
        <v>8.4790000000000004E-3</v>
      </c>
      <c r="F14" s="31"/>
      <c r="G14" s="5"/>
      <c r="H14" s="5"/>
      <c r="I14" s="5"/>
      <c r="J14" s="5"/>
      <c r="K14" s="5"/>
      <c r="L14" s="5"/>
      <c r="M14" s="5"/>
      <c r="N14" s="20"/>
      <c r="P14" s="237" t="s">
        <v>16</v>
      </c>
      <c r="Q14" s="240">
        <v>1.9958000000000004E-2</v>
      </c>
      <c r="R14" s="49"/>
    </row>
    <row r="15" spans="2:19" ht="15.75" x14ac:dyDescent="0.25">
      <c r="B15" s="93"/>
      <c r="C15" s="38" t="s">
        <v>121</v>
      </c>
      <c r="D15" s="38" t="s">
        <v>113</v>
      </c>
      <c r="E15" s="6">
        <v>8.3420000000000005E-3</v>
      </c>
      <c r="F15" s="5"/>
      <c r="G15" s="5"/>
      <c r="H15" s="5"/>
      <c r="I15" s="5"/>
      <c r="J15" s="5"/>
      <c r="K15" s="5"/>
      <c r="L15" s="5"/>
      <c r="M15" s="5"/>
      <c r="N15" s="20"/>
      <c r="P15" s="237" t="s">
        <v>118</v>
      </c>
      <c r="Q15" s="240">
        <v>1.7151E-2</v>
      </c>
      <c r="R15" s="49"/>
    </row>
    <row r="16" spans="2:19" ht="15.75" x14ac:dyDescent="0.25">
      <c r="B16" s="93"/>
      <c r="C16" s="38" t="s">
        <v>249</v>
      </c>
      <c r="D16" s="38" t="s">
        <v>26</v>
      </c>
      <c r="E16" s="6">
        <v>7.9319999999999998E-3</v>
      </c>
      <c r="F16" s="5"/>
      <c r="G16" s="5"/>
      <c r="H16" s="5"/>
      <c r="I16" s="5"/>
      <c r="J16" s="5"/>
      <c r="K16" s="5"/>
      <c r="L16" s="5"/>
      <c r="M16" s="5"/>
      <c r="N16" s="20"/>
      <c r="P16" s="237" t="s">
        <v>24</v>
      </c>
      <c r="Q16" s="240">
        <v>1.661E-2</v>
      </c>
      <c r="R16" s="49"/>
    </row>
    <row r="17" spans="2:18" ht="15.75" x14ac:dyDescent="0.25">
      <c r="B17" s="93"/>
      <c r="C17" s="38" t="s">
        <v>62</v>
      </c>
      <c r="D17" s="38" t="s">
        <v>10</v>
      </c>
      <c r="E17" s="6">
        <v>7.7019999999999996E-3</v>
      </c>
      <c r="F17" s="5"/>
      <c r="G17" s="5"/>
      <c r="H17" s="5"/>
      <c r="I17" s="5"/>
      <c r="J17" s="5"/>
      <c r="K17" s="5"/>
      <c r="L17" s="5"/>
      <c r="M17" s="5"/>
      <c r="N17" s="20"/>
      <c r="P17" s="237" t="s">
        <v>23</v>
      </c>
      <c r="Q17" s="240">
        <v>1.6188000000000001E-2</v>
      </c>
      <c r="R17" s="49"/>
    </row>
    <row r="18" spans="2:18" ht="15.75" x14ac:dyDescent="0.25">
      <c r="B18" s="93"/>
      <c r="C18" s="38" t="s">
        <v>230</v>
      </c>
      <c r="D18" s="38" t="s">
        <v>26</v>
      </c>
      <c r="E18" s="6">
        <v>7.5799999999999999E-3</v>
      </c>
      <c r="F18" s="5"/>
      <c r="G18" s="5"/>
      <c r="H18" s="5"/>
      <c r="I18" s="5"/>
      <c r="J18" s="5"/>
      <c r="K18" s="5"/>
      <c r="L18" s="5"/>
      <c r="M18" s="5"/>
      <c r="N18" s="20"/>
      <c r="P18" s="237" t="s">
        <v>120</v>
      </c>
      <c r="Q18" s="240">
        <v>1.5709999999999998E-2</v>
      </c>
      <c r="R18" s="49"/>
    </row>
    <row r="19" spans="2:18" ht="15.75" x14ac:dyDescent="0.25">
      <c r="B19" s="93"/>
      <c r="C19" s="38" t="s">
        <v>136</v>
      </c>
      <c r="D19" s="38" t="s">
        <v>3</v>
      </c>
      <c r="E19" s="6">
        <v>7.529000000000001E-3</v>
      </c>
      <c r="F19" s="5"/>
      <c r="G19" s="5"/>
      <c r="H19" s="5"/>
      <c r="I19" s="5"/>
      <c r="J19" s="5"/>
      <c r="K19" s="5"/>
      <c r="L19" s="5"/>
      <c r="M19" s="5"/>
      <c r="N19" s="20"/>
      <c r="P19" s="237" t="s">
        <v>87</v>
      </c>
      <c r="Q19" s="240">
        <v>1.5417E-2</v>
      </c>
      <c r="R19" s="49"/>
    </row>
    <row r="20" spans="2:18" ht="15.75" customHeight="1" x14ac:dyDescent="0.25">
      <c r="B20" s="93"/>
      <c r="C20" s="38" t="s">
        <v>105</v>
      </c>
      <c r="D20" s="38" t="s">
        <v>112</v>
      </c>
      <c r="E20" s="6">
        <v>7.1849999999999995E-3</v>
      </c>
      <c r="F20" s="5"/>
      <c r="G20" s="5"/>
      <c r="H20" s="5"/>
      <c r="I20" s="5"/>
      <c r="J20" s="5"/>
      <c r="K20" s="5"/>
      <c r="L20" s="5"/>
      <c r="M20" s="5"/>
      <c r="N20" s="20"/>
      <c r="P20" s="237" t="s">
        <v>111</v>
      </c>
      <c r="Q20" s="240">
        <v>1.3311E-2</v>
      </c>
      <c r="R20" s="49"/>
    </row>
    <row r="21" spans="2:18" ht="15.75" x14ac:dyDescent="0.25">
      <c r="B21" s="93"/>
      <c r="C21" s="38" t="s">
        <v>30</v>
      </c>
      <c r="D21" s="38" t="s">
        <v>118</v>
      </c>
      <c r="E21" s="6">
        <v>7.1709999999999986E-3</v>
      </c>
      <c r="F21" s="5"/>
      <c r="G21" s="5"/>
      <c r="H21" s="5"/>
      <c r="I21" s="5"/>
      <c r="J21" s="5"/>
      <c r="K21" s="5"/>
      <c r="L21" s="5"/>
      <c r="M21" s="5"/>
      <c r="N21" s="20"/>
      <c r="P21" s="237" t="s">
        <v>10</v>
      </c>
      <c r="Q21" s="240">
        <v>1.2544999999999999E-2</v>
      </c>
      <c r="R21" s="49"/>
    </row>
    <row r="22" spans="2:18" ht="15.75" x14ac:dyDescent="0.25">
      <c r="B22" s="93"/>
      <c r="C22" s="38" t="s">
        <v>70</v>
      </c>
      <c r="D22" s="38" t="s">
        <v>12</v>
      </c>
      <c r="E22" s="6">
        <v>6.6049999999999998E-3</v>
      </c>
      <c r="F22" s="5"/>
      <c r="G22" s="31"/>
      <c r="H22" s="31"/>
      <c r="I22" s="31"/>
      <c r="J22" s="5"/>
      <c r="K22" s="31"/>
      <c r="L22" s="5"/>
      <c r="M22" s="5"/>
      <c r="N22" s="20"/>
      <c r="P22" s="237" t="s">
        <v>119</v>
      </c>
      <c r="Q22" s="240">
        <v>1.2400999999999999E-2</v>
      </c>
      <c r="R22" s="49"/>
    </row>
    <row r="23" spans="2:18" ht="15.75" customHeight="1" x14ac:dyDescent="0.25">
      <c r="B23" s="93"/>
      <c r="C23" s="38"/>
      <c r="D23" s="4"/>
      <c r="E23" s="6"/>
      <c r="F23" s="5"/>
      <c r="G23" s="31"/>
      <c r="H23" s="31"/>
      <c r="I23" s="31"/>
      <c r="J23" s="5"/>
      <c r="K23" s="31"/>
      <c r="L23" s="5"/>
      <c r="M23" s="5"/>
      <c r="N23" s="20"/>
      <c r="P23" s="237" t="s">
        <v>114</v>
      </c>
      <c r="Q23" s="240">
        <v>1.2100000000000001E-2</v>
      </c>
      <c r="R23" s="49"/>
    </row>
    <row r="24" spans="2:18" ht="15.75" x14ac:dyDescent="0.25">
      <c r="B24" s="93"/>
      <c r="C24" s="108" t="s">
        <v>56</v>
      </c>
      <c r="D24" s="108"/>
      <c r="E24" s="109">
        <f>SUM(E8:E22)</f>
        <v>0.17069400000000001</v>
      </c>
      <c r="F24" s="5"/>
      <c r="G24" s="5"/>
      <c r="H24" s="5"/>
      <c r="I24" s="5"/>
      <c r="J24" s="5"/>
      <c r="K24" s="5"/>
      <c r="L24" s="5"/>
      <c r="M24" s="5"/>
      <c r="N24" s="20"/>
      <c r="P24" s="237" t="s">
        <v>127</v>
      </c>
      <c r="Q24" s="240">
        <v>1.0751999999999999E-2</v>
      </c>
      <c r="R24" s="49"/>
    </row>
    <row r="25" spans="2:18" ht="15.75" x14ac:dyDescent="0.25">
      <c r="B25" s="93"/>
      <c r="C25" s="4"/>
      <c r="D25" s="4"/>
      <c r="E25" s="6"/>
      <c r="F25" s="5"/>
      <c r="G25" s="5"/>
      <c r="H25" s="5"/>
      <c r="I25" s="5"/>
      <c r="J25" s="5"/>
      <c r="K25" s="5"/>
      <c r="L25" s="5"/>
      <c r="M25" s="5"/>
      <c r="N25" s="20"/>
      <c r="P25" s="237" t="s">
        <v>109</v>
      </c>
      <c r="Q25" s="240">
        <v>1.0352E-2</v>
      </c>
      <c r="R25" s="49"/>
    </row>
    <row r="26" spans="2:18" ht="15.75" x14ac:dyDescent="0.25">
      <c r="B26" s="93"/>
      <c r="C26" s="108" t="s">
        <v>66</v>
      </c>
      <c r="D26" s="108"/>
      <c r="E26" s="109">
        <v>0.35031299999999993</v>
      </c>
      <c r="F26" s="31"/>
      <c r="G26" s="5"/>
      <c r="H26" s="5"/>
      <c r="I26" s="5"/>
      <c r="J26" s="5"/>
      <c r="K26" s="5"/>
      <c r="L26" s="5"/>
      <c r="M26" s="5"/>
      <c r="N26" s="20"/>
      <c r="P26" s="237" t="s">
        <v>84</v>
      </c>
      <c r="Q26" s="240">
        <v>9.9820000000000013E-3</v>
      </c>
      <c r="R26" s="49"/>
    </row>
    <row r="27" spans="2:18" ht="15.75" x14ac:dyDescent="0.25">
      <c r="B27" s="93"/>
      <c r="C27" s="38"/>
      <c r="D27" s="58"/>
      <c r="E27" s="6"/>
      <c r="F27" s="5"/>
      <c r="G27" s="5"/>
      <c r="H27" s="5"/>
      <c r="I27" s="5"/>
      <c r="J27" s="5"/>
      <c r="K27" s="5"/>
      <c r="L27" s="5"/>
      <c r="M27" s="5"/>
      <c r="N27" s="20"/>
      <c r="P27" s="237" t="s">
        <v>85</v>
      </c>
      <c r="Q27" s="240">
        <v>9.8250000000000004E-3</v>
      </c>
      <c r="R27" s="49"/>
    </row>
    <row r="28" spans="2:18" s="48" customFormat="1" ht="13.5" customHeight="1" x14ac:dyDescent="0.25">
      <c r="B28" s="110"/>
      <c r="C28" s="108" t="s">
        <v>58</v>
      </c>
      <c r="D28" s="108"/>
      <c r="E28" s="186">
        <v>0.15809799999999999</v>
      </c>
      <c r="F28" s="41"/>
      <c r="G28" s="41"/>
      <c r="H28" s="41"/>
      <c r="I28" s="41"/>
      <c r="J28" s="41"/>
      <c r="K28" s="41"/>
      <c r="L28" s="41"/>
      <c r="M28" s="41"/>
      <c r="N28" s="111"/>
      <c r="P28" s="237" t="s">
        <v>25</v>
      </c>
      <c r="Q28" s="240">
        <v>9.6089999999999995E-3</v>
      </c>
      <c r="R28" s="112"/>
    </row>
    <row r="29" spans="2:18" ht="15.75" x14ac:dyDescent="0.25">
      <c r="B29" s="93"/>
      <c r="C29" s="38"/>
      <c r="D29" s="38"/>
      <c r="E29" s="6"/>
      <c r="F29" s="5"/>
      <c r="G29" s="5"/>
      <c r="H29" s="5"/>
      <c r="I29" s="5"/>
      <c r="J29" s="5"/>
      <c r="K29" s="5"/>
      <c r="L29" s="5"/>
      <c r="M29" s="5"/>
      <c r="N29" s="20"/>
      <c r="P29" s="237" t="s">
        <v>11</v>
      </c>
      <c r="Q29" s="240">
        <v>7.274000000000001E-3</v>
      </c>
      <c r="R29" s="49"/>
    </row>
    <row r="30" spans="2:18" ht="15.75" x14ac:dyDescent="0.25">
      <c r="B30" s="93"/>
      <c r="C30" s="38" t="s">
        <v>239</v>
      </c>
      <c r="D30" s="38" t="s">
        <v>237</v>
      </c>
      <c r="E30" s="6">
        <v>5.9708999999999998E-2</v>
      </c>
      <c r="F30" s="5"/>
      <c r="G30" s="5"/>
      <c r="H30" s="5"/>
      <c r="I30" s="5"/>
      <c r="J30" s="5"/>
      <c r="K30" s="5"/>
      <c r="L30" s="5"/>
      <c r="M30" s="5"/>
      <c r="N30" s="20"/>
      <c r="P30" s="237" t="s">
        <v>12</v>
      </c>
      <c r="Q30" s="240">
        <v>6.6049999999999998E-3</v>
      </c>
      <c r="R30" s="49"/>
    </row>
    <row r="31" spans="2:18" ht="15.75" x14ac:dyDescent="0.25">
      <c r="B31" s="93"/>
      <c r="C31" s="38" t="s">
        <v>238</v>
      </c>
      <c r="D31" s="38" t="s">
        <v>237</v>
      </c>
      <c r="E31" s="6">
        <v>5.7154999999999997E-2</v>
      </c>
      <c r="F31" s="5"/>
      <c r="G31" s="5"/>
      <c r="H31" s="5"/>
      <c r="I31" s="5"/>
      <c r="J31" s="5"/>
      <c r="K31" s="5"/>
      <c r="L31" s="5"/>
      <c r="M31" s="5"/>
      <c r="N31" s="20"/>
      <c r="P31" s="237" t="s">
        <v>147</v>
      </c>
      <c r="Q31" s="240">
        <v>5.7860000000000003E-3</v>
      </c>
      <c r="R31" s="49"/>
    </row>
    <row r="32" spans="2:18" ht="15.75" x14ac:dyDescent="0.25">
      <c r="B32" s="93"/>
      <c r="C32" s="108" t="s">
        <v>236</v>
      </c>
      <c r="D32" s="108"/>
      <c r="E32" s="186">
        <v>0.116864</v>
      </c>
      <c r="F32" s="5"/>
      <c r="G32" s="5"/>
      <c r="H32" s="5"/>
      <c r="I32" s="5"/>
      <c r="J32" s="5"/>
      <c r="K32" s="5"/>
      <c r="L32" s="5"/>
      <c r="M32" s="5"/>
      <c r="N32" s="20"/>
      <c r="P32" s="237" t="s">
        <v>78</v>
      </c>
      <c r="Q32" s="240">
        <v>5.4590000000000003E-3</v>
      </c>
      <c r="R32" s="49"/>
    </row>
    <row r="33" spans="1:18" ht="15.75" x14ac:dyDescent="0.25">
      <c r="B33" s="93"/>
      <c r="C33" s="38"/>
      <c r="D33" s="4"/>
      <c r="E33" s="200"/>
      <c r="F33" s="5"/>
      <c r="G33" s="5"/>
      <c r="H33" s="5"/>
      <c r="I33" s="5"/>
      <c r="J33" s="5"/>
      <c r="K33" s="5"/>
      <c r="L33" s="5"/>
      <c r="M33" s="5"/>
      <c r="N33" s="20"/>
      <c r="P33" s="237" t="s">
        <v>86</v>
      </c>
      <c r="Q33" s="240">
        <v>5.2570000000000004E-3</v>
      </c>
      <c r="R33" s="49"/>
    </row>
    <row r="34" spans="1:18" ht="15.75" x14ac:dyDescent="0.25">
      <c r="B34" s="93"/>
      <c r="C34" s="38" t="s">
        <v>229</v>
      </c>
      <c r="D34" s="4" t="s">
        <v>61</v>
      </c>
      <c r="E34" s="200">
        <v>8.0962999999999993E-2</v>
      </c>
      <c r="F34" s="5"/>
      <c r="G34" s="5"/>
      <c r="H34" s="5"/>
      <c r="I34" s="5"/>
      <c r="J34" s="5"/>
      <c r="K34" s="5"/>
      <c r="L34" s="5"/>
      <c r="M34" s="5"/>
      <c r="N34" s="20"/>
      <c r="P34" s="237" t="s">
        <v>132</v>
      </c>
      <c r="Q34" s="240">
        <v>4.3039999999999997E-3</v>
      </c>
      <c r="R34" s="49"/>
    </row>
    <row r="35" spans="1:18" ht="15.75" x14ac:dyDescent="0.25">
      <c r="B35" s="93"/>
      <c r="C35" s="108" t="s">
        <v>42</v>
      </c>
      <c r="D35" s="108"/>
      <c r="E35" s="109">
        <v>8.0962999999999993E-2</v>
      </c>
      <c r="F35" s="5"/>
      <c r="G35" s="5"/>
      <c r="H35" s="5"/>
      <c r="I35" s="5"/>
      <c r="J35" s="5"/>
      <c r="K35" s="5"/>
      <c r="L35" s="5"/>
      <c r="M35" s="5"/>
      <c r="N35" s="20"/>
      <c r="P35" s="237" t="s">
        <v>123</v>
      </c>
      <c r="Q35" s="240">
        <v>4.1289999999999999E-3</v>
      </c>
      <c r="R35" s="49"/>
    </row>
    <row r="36" spans="1:18" ht="15.75" x14ac:dyDescent="0.25">
      <c r="B36" s="93"/>
      <c r="C36" s="113"/>
      <c r="D36" s="113"/>
      <c r="E36" s="114"/>
      <c r="F36" s="5"/>
      <c r="G36" s="5"/>
      <c r="H36" s="5"/>
      <c r="I36" s="5"/>
      <c r="J36" s="5"/>
      <c r="K36" s="5"/>
      <c r="L36" s="5"/>
      <c r="M36" s="5"/>
      <c r="N36" s="20"/>
      <c r="P36" s="237" t="s">
        <v>15</v>
      </c>
      <c r="Q36" s="240">
        <v>3.1840000000000002E-3</v>
      </c>
      <c r="R36" s="49"/>
    </row>
    <row r="37" spans="1:18" ht="15.75" x14ac:dyDescent="0.25">
      <c r="B37" s="93"/>
      <c r="C37" s="38" t="s">
        <v>235</v>
      </c>
      <c r="D37" s="38" t="s">
        <v>237</v>
      </c>
      <c r="E37" s="200">
        <v>9.6065999999999999E-2</v>
      </c>
      <c r="F37" s="5"/>
      <c r="G37" s="5"/>
      <c r="H37" s="5"/>
      <c r="I37" s="5"/>
      <c r="J37" s="5"/>
      <c r="K37" s="5"/>
      <c r="L37" s="5"/>
      <c r="M37" s="5"/>
      <c r="N37" s="20"/>
      <c r="P37" s="237" t="s">
        <v>134</v>
      </c>
      <c r="Q37" s="240">
        <v>2.8839999999999998E-3</v>
      </c>
      <c r="R37" s="49"/>
    </row>
    <row r="38" spans="1:18" ht="15.75" x14ac:dyDescent="0.25">
      <c r="B38" s="93"/>
      <c r="C38" s="108" t="s">
        <v>234</v>
      </c>
      <c r="D38" s="108"/>
      <c r="E38" s="109">
        <v>9.6065999999999999E-2</v>
      </c>
      <c r="F38" s="5"/>
      <c r="G38" s="5"/>
      <c r="H38" s="5"/>
      <c r="I38" s="5"/>
      <c r="J38" s="5"/>
      <c r="K38" s="5"/>
      <c r="L38" s="5"/>
      <c r="M38" s="5"/>
      <c r="N38" s="20"/>
      <c r="P38" s="237" t="s">
        <v>125</v>
      </c>
      <c r="Q38" s="240">
        <v>2.696E-3</v>
      </c>
      <c r="R38" s="49"/>
    </row>
    <row r="39" spans="1:18" ht="15.75" x14ac:dyDescent="0.25">
      <c r="B39" s="93"/>
      <c r="C39" s="113"/>
      <c r="D39" s="113"/>
      <c r="E39" s="114"/>
      <c r="F39" s="5"/>
      <c r="G39" s="5"/>
      <c r="H39" s="5"/>
      <c r="I39" s="5"/>
      <c r="J39" s="5"/>
      <c r="K39" s="5"/>
      <c r="L39" s="5"/>
      <c r="M39" s="5"/>
      <c r="N39" s="20"/>
      <c r="P39" s="237" t="s">
        <v>117</v>
      </c>
      <c r="Q39" s="240">
        <v>2.594E-3</v>
      </c>
      <c r="R39" s="49"/>
    </row>
    <row r="40" spans="1:18" ht="15.75" x14ac:dyDescent="0.25">
      <c r="B40" s="93"/>
      <c r="C40" s="108" t="s">
        <v>20</v>
      </c>
      <c r="D40" s="108"/>
      <c r="E40" s="109">
        <v>2.7001999999999998E-2</v>
      </c>
      <c r="F40" s="5"/>
      <c r="G40" s="5"/>
      <c r="H40" s="5"/>
      <c r="I40" s="5"/>
      <c r="J40" s="5"/>
      <c r="K40" s="5"/>
      <c r="L40" s="5"/>
      <c r="M40" s="5"/>
      <c r="N40" s="20"/>
      <c r="P40" s="237" t="s">
        <v>115</v>
      </c>
      <c r="Q40" s="240">
        <v>2.516E-3</v>
      </c>
      <c r="R40" s="49"/>
    </row>
    <row r="41" spans="1:18" ht="15.75" x14ac:dyDescent="0.25">
      <c r="B41" s="93"/>
      <c r="C41" s="4"/>
      <c r="D41" s="4"/>
      <c r="E41" s="32"/>
      <c r="F41" s="5"/>
      <c r="G41" s="5"/>
      <c r="H41" s="5"/>
      <c r="I41" s="5"/>
      <c r="J41" s="5"/>
      <c r="K41" s="5"/>
      <c r="L41" s="5"/>
      <c r="M41" s="5"/>
      <c r="N41" s="20"/>
      <c r="P41" s="237" t="s">
        <v>122</v>
      </c>
      <c r="Q41" s="240">
        <v>2.3700000000000001E-3</v>
      </c>
      <c r="R41" s="49"/>
    </row>
    <row r="42" spans="1:18" s="48" customFormat="1" ht="15.75" x14ac:dyDescent="0.25">
      <c r="B42" s="110"/>
      <c r="C42" s="115" t="s">
        <v>21</v>
      </c>
      <c r="D42" s="115"/>
      <c r="E42" s="116">
        <f>E40+E38+E35+E32+E28+E26+E24</f>
        <v>0.99999999999999989</v>
      </c>
      <c r="F42" s="41"/>
      <c r="G42" s="5"/>
      <c r="H42" s="5"/>
      <c r="I42" s="5"/>
      <c r="J42" s="5"/>
      <c r="K42" s="5"/>
      <c r="L42" s="41"/>
      <c r="M42" s="41"/>
      <c r="N42" s="111"/>
      <c r="P42" s="237" t="s">
        <v>223</v>
      </c>
      <c r="Q42" s="240">
        <v>2.3389999999999999E-3</v>
      </c>
      <c r="R42" s="112"/>
    </row>
    <row r="43" spans="1:18" ht="15.75" x14ac:dyDescent="0.25">
      <c r="B43" s="93"/>
      <c r="F43" s="5"/>
      <c r="G43" s="5"/>
      <c r="H43" s="5"/>
      <c r="I43" s="5"/>
      <c r="J43" s="5"/>
      <c r="K43" s="5"/>
      <c r="L43" s="5"/>
      <c r="M43" s="5"/>
      <c r="N43" s="20"/>
      <c r="P43" s="237" t="s">
        <v>88</v>
      </c>
      <c r="Q43" s="240">
        <v>2.085E-3</v>
      </c>
      <c r="R43" s="49"/>
    </row>
    <row r="44" spans="1:18" ht="15.75" x14ac:dyDescent="0.25">
      <c r="A44" s="5"/>
      <c r="B44" s="93"/>
      <c r="F44" s="5"/>
      <c r="G44" s="5"/>
      <c r="H44" s="5"/>
      <c r="I44" s="5"/>
      <c r="J44" s="5"/>
      <c r="K44" s="5"/>
      <c r="L44" s="5"/>
      <c r="M44" s="5"/>
      <c r="N44" s="20"/>
      <c r="O44" s="5"/>
      <c r="P44" s="237" t="s">
        <v>124</v>
      </c>
      <c r="Q44" s="240">
        <v>1.7049999999999999E-3</v>
      </c>
      <c r="R44" s="49"/>
    </row>
    <row r="45" spans="1:18" ht="16.5" thickBot="1" x14ac:dyDescent="0.3">
      <c r="A45" s="5"/>
      <c r="B45" s="96"/>
      <c r="C45" s="45"/>
      <c r="D45" s="45"/>
      <c r="E45" s="45"/>
      <c r="F45" s="45"/>
      <c r="G45" s="45"/>
      <c r="H45" s="45"/>
      <c r="I45" s="45"/>
      <c r="J45" s="45"/>
      <c r="K45" s="45"/>
      <c r="L45" s="45"/>
      <c r="M45" s="45"/>
      <c r="N45" s="118"/>
      <c r="O45" s="5"/>
      <c r="P45" s="237" t="s">
        <v>107</v>
      </c>
      <c r="Q45" s="240">
        <v>1.498E-3</v>
      </c>
      <c r="R45" s="49"/>
    </row>
    <row r="46" spans="1:18" ht="15.75" x14ac:dyDescent="0.25">
      <c r="P46" s="237" t="s">
        <v>244</v>
      </c>
      <c r="Q46" s="240">
        <v>9.810000000000001E-4</v>
      </c>
      <c r="R46" s="49"/>
    </row>
    <row r="47" spans="1:18" ht="15" customHeight="1" thickBot="1" x14ac:dyDescent="0.3">
      <c r="P47" s="237"/>
      <c r="Q47" s="240"/>
    </row>
    <row r="48" spans="1:18" ht="103.5" customHeight="1" thickBot="1" x14ac:dyDescent="0.25">
      <c r="B48" s="287" t="s">
        <v>184</v>
      </c>
      <c r="C48" s="288"/>
      <c r="D48" s="288"/>
      <c r="E48" s="288"/>
      <c r="F48" s="288"/>
      <c r="G48" s="288"/>
      <c r="H48" s="288"/>
      <c r="I48" s="288"/>
      <c r="J48" s="288"/>
      <c r="K48" s="288"/>
      <c r="L48" s="288"/>
      <c r="M48" s="288"/>
      <c r="N48" s="288"/>
      <c r="O48" s="288"/>
      <c r="P48" s="288"/>
      <c r="Q48" s="288"/>
      <c r="R48" s="289"/>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sheetData>
  <sortState ref="C30:E31">
    <sortCondition descending="1" ref="E30"/>
  </sortState>
  <mergeCells count="3">
    <mergeCell ref="C3:N3"/>
    <mergeCell ref="D5:E5"/>
    <mergeCell ref="B48:R48"/>
  </mergeCells>
  <pageMargins left="0.7" right="0.7" top="0.75" bottom="0.75" header="0.3" footer="0.3"/>
  <pageSetup paperSize="9" scale="4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1"/>
      <c r="C2" s="42"/>
      <c r="D2" s="42"/>
      <c r="E2" s="42"/>
      <c r="F2" s="42"/>
      <c r="G2" s="42"/>
      <c r="H2" s="42"/>
      <c r="I2" s="42"/>
      <c r="J2" s="42"/>
      <c r="K2" s="42"/>
      <c r="L2" s="42"/>
      <c r="M2" s="92"/>
    </row>
    <row r="3" spans="2:16" ht="20.25" customHeight="1" x14ac:dyDescent="0.2">
      <c r="B3" s="93"/>
      <c r="C3" s="256" t="s">
        <v>160</v>
      </c>
      <c r="D3" s="256"/>
      <c r="E3" s="256"/>
      <c r="F3" s="256"/>
      <c r="G3" s="256"/>
      <c r="H3" s="256"/>
      <c r="I3" s="256"/>
      <c r="J3" s="256"/>
      <c r="K3" s="256"/>
      <c r="L3" s="256"/>
      <c r="M3" s="257"/>
    </row>
    <row r="4" spans="2:16" ht="15.75" x14ac:dyDescent="0.25">
      <c r="B4" s="93"/>
      <c r="C4" s="67" t="s">
        <v>356</v>
      </c>
      <c r="D4" s="29"/>
      <c r="E4" s="29"/>
      <c r="F4" s="5"/>
      <c r="G4" s="5"/>
      <c r="H4" s="5"/>
      <c r="I4" s="5"/>
      <c r="J4" s="5"/>
      <c r="K4" s="5"/>
      <c r="L4" s="5"/>
      <c r="M4" s="20"/>
    </row>
    <row r="5" spans="2:16" ht="20.25" customHeight="1" x14ac:dyDescent="0.25">
      <c r="B5" s="93"/>
      <c r="C5" s="222" t="s">
        <v>357</v>
      </c>
      <c r="D5" s="94" t="s">
        <v>379</v>
      </c>
      <c r="E5" s="19"/>
      <c r="F5" s="5"/>
      <c r="G5" s="5"/>
      <c r="H5" s="5"/>
      <c r="I5" s="5"/>
      <c r="J5" s="5"/>
      <c r="K5" s="5"/>
      <c r="L5" s="5"/>
      <c r="M5" s="20"/>
    </row>
    <row r="6" spans="2:16" x14ac:dyDescent="0.2">
      <c r="B6" s="93"/>
      <c r="C6" s="5"/>
      <c r="D6" s="5"/>
      <c r="E6" s="5"/>
      <c r="F6" s="5"/>
      <c r="G6" s="5"/>
      <c r="H6" s="5"/>
      <c r="I6" s="5"/>
      <c r="J6" s="5"/>
      <c r="K6" s="5"/>
      <c r="L6" s="5"/>
      <c r="M6" s="20"/>
    </row>
    <row r="7" spans="2:16" ht="32.25" customHeight="1" x14ac:dyDescent="0.2">
      <c r="B7" s="93"/>
      <c r="C7" s="95" t="s">
        <v>43</v>
      </c>
      <c r="D7" s="95" t="s">
        <v>45</v>
      </c>
      <c r="E7" s="5"/>
      <c r="F7" s="258" t="s">
        <v>50</v>
      </c>
      <c r="G7" s="258"/>
      <c r="H7" s="258"/>
      <c r="I7" s="258"/>
      <c r="J7" s="258"/>
      <c r="K7" s="258"/>
      <c r="L7" s="258"/>
      <c r="M7" s="259"/>
    </row>
    <row r="8" spans="2:16" ht="15.75" x14ac:dyDescent="0.25">
      <c r="B8" s="93"/>
      <c r="C8" s="38" t="s">
        <v>181</v>
      </c>
      <c r="D8" s="201">
        <v>9.3745999999999996E-2</v>
      </c>
      <c r="E8" s="29"/>
      <c r="F8" s="5"/>
      <c r="G8" s="31"/>
      <c r="H8" s="5"/>
      <c r="I8" s="5"/>
      <c r="J8" s="47"/>
      <c r="K8" s="5"/>
      <c r="L8" s="5"/>
      <c r="M8" s="20"/>
      <c r="P8" s="49"/>
    </row>
    <row r="9" spans="2:16" x14ac:dyDescent="0.2">
      <c r="B9" s="93"/>
      <c r="C9" s="102" t="s">
        <v>177</v>
      </c>
      <c r="D9" s="182">
        <v>8.9949000000000001E-2</v>
      </c>
      <c r="E9" s="5"/>
      <c r="F9" s="5"/>
      <c r="G9" s="5"/>
      <c r="H9" s="5"/>
      <c r="I9" s="5" t="s">
        <v>51</v>
      </c>
      <c r="J9" s="47">
        <f>D11</f>
        <v>0.27074900000000002</v>
      </c>
      <c r="K9" s="5"/>
      <c r="L9" s="5"/>
      <c r="M9" s="20"/>
      <c r="P9" s="49"/>
    </row>
    <row r="10" spans="2:16" x14ac:dyDescent="0.2">
      <c r="B10" s="93"/>
      <c r="C10" s="102" t="s">
        <v>178</v>
      </c>
      <c r="D10" s="182">
        <v>8.7054000000000006E-2</v>
      </c>
      <c r="E10" s="5"/>
      <c r="F10" s="5"/>
      <c r="G10" s="5"/>
      <c r="H10" s="5"/>
      <c r="I10" s="5" t="s">
        <v>53</v>
      </c>
      <c r="J10" s="47">
        <f>D16</f>
        <v>0.69223199999999996</v>
      </c>
      <c r="K10" s="5"/>
      <c r="L10" s="5"/>
      <c r="M10" s="20"/>
      <c r="P10" s="49"/>
    </row>
    <row r="11" spans="2:16" ht="15.75" x14ac:dyDescent="0.25">
      <c r="B11" s="93"/>
      <c r="C11" s="7" t="s">
        <v>52</v>
      </c>
      <c r="D11" s="8">
        <f>SUM(D8:D10)</f>
        <v>0.27074900000000002</v>
      </c>
      <c r="E11" s="5"/>
      <c r="F11" s="5"/>
      <c r="G11" s="5"/>
      <c r="H11" s="5"/>
      <c r="I11" s="5" t="s">
        <v>20</v>
      </c>
      <c r="J11" s="47">
        <f>D18</f>
        <v>3.7019000000000003E-2</v>
      </c>
      <c r="K11" s="5"/>
      <c r="L11" s="5"/>
      <c r="M11" s="20"/>
      <c r="P11" s="49"/>
    </row>
    <row r="12" spans="2:16" x14ac:dyDescent="0.2">
      <c r="B12" s="93"/>
      <c r="C12" s="102"/>
      <c r="D12" s="38"/>
      <c r="E12" s="5"/>
      <c r="F12" s="5"/>
      <c r="G12" s="5"/>
      <c r="H12" s="5"/>
      <c r="K12" s="5"/>
      <c r="L12" s="5"/>
      <c r="M12" s="20"/>
      <c r="P12" s="49"/>
    </row>
    <row r="13" spans="2:16" ht="15.75" customHeight="1" x14ac:dyDescent="0.2">
      <c r="B13" s="93"/>
      <c r="C13" s="4" t="s">
        <v>180</v>
      </c>
      <c r="D13" s="182">
        <v>0.615981</v>
      </c>
      <c r="E13" s="5"/>
      <c r="F13" s="5"/>
      <c r="G13" s="5"/>
      <c r="H13" s="5"/>
      <c r="I13" s="5"/>
      <c r="J13" s="47"/>
      <c r="K13" s="5"/>
      <c r="L13" s="5"/>
      <c r="M13" s="20"/>
      <c r="P13" s="49"/>
    </row>
    <row r="14" spans="2:16" ht="15.75" customHeight="1" x14ac:dyDescent="0.2">
      <c r="B14" s="93"/>
      <c r="C14" s="4" t="s">
        <v>179</v>
      </c>
      <c r="D14" s="182">
        <v>6.2525999999999998E-2</v>
      </c>
      <c r="E14" s="5"/>
      <c r="F14" s="5"/>
      <c r="G14" s="5"/>
      <c r="H14" s="5"/>
      <c r="I14" s="5"/>
      <c r="J14" s="47"/>
      <c r="K14" s="5"/>
      <c r="L14" s="5"/>
      <c r="M14" s="20"/>
      <c r="P14" s="49"/>
    </row>
    <row r="15" spans="2:16" x14ac:dyDescent="0.2">
      <c r="B15" s="93"/>
      <c r="C15" s="4" t="s">
        <v>214</v>
      </c>
      <c r="D15" s="182">
        <v>1.3724999999999999E-2</v>
      </c>
      <c r="E15" s="5"/>
      <c r="F15" s="5"/>
      <c r="G15" s="5"/>
      <c r="H15" s="5"/>
      <c r="I15" s="5"/>
      <c r="J15" s="103"/>
      <c r="K15" s="5"/>
      <c r="L15" s="5"/>
      <c r="M15" s="20"/>
      <c r="P15" s="49"/>
    </row>
    <row r="16" spans="2:16" ht="15.75" x14ac:dyDescent="0.25">
      <c r="B16" s="93"/>
      <c r="C16" s="7" t="s">
        <v>19</v>
      </c>
      <c r="D16" s="8">
        <f>SUM(D13:D15)</f>
        <v>0.69223199999999996</v>
      </c>
      <c r="E16" s="5"/>
      <c r="F16" s="5"/>
      <c r="G16" s="5"/>
      <c r="H16" s="5"/>
      <c r="I16" s="5"/>
      <c r="J16" s="5"/>
      <c r="K16" s="5"/>
      <c r="L16" s="5"/>
      <c r="M16" s="20"/>
      <c r="P16" s="49"/>
    </row>
    <row r="17" spans="2:18" ht="15.75" customHeight="1" x14ac:dyDescent="0.2">
      <c r="B17" s="93"/>
      <c r="C17" s="4"/>
      <c r="D17" s="6"/>
      <c r="E17" s="5"/>
      <c r="F17" s="5"/>
      <c r="G17" s="5"/>
      <c r="H17" s="5"/>
      <c r="I17" s="5"/>
      <c r="J17" s="5"/>
      <c r="K17" s="5"/>
      <c r="L17" s="5"/>
      <c r="M17" s="20"/>
      <c r="P17" s="49"/>
    </row>
    <row r="18" spans="2:18" ht="15.75" x14ac:dyDescent="0.25">
      <c r="B18" s="93"/>
      <c r="C18" s="7" t="s">
        <v>20</v>
      </c>
      <c r="D18" s="210">
        <v>3.7019000000000003E-2</v>
      </c>
      <c r="E18" s="5"/>
      <c r="F18" s="5"/>
      <c r="G18" s="5"/>
      <c r="H18" s="5"/>
      <c r="I18" s="5"/>
      <c r="J18" s="5"/>
      <c r="K18" s="5"/>
      <c r="L18" s="5"/>
      <c r="M18" s="20"/>
      <c r="P18" s="49"/>
    </row>
    <row r="19" spans="2:18" x14ac:dyDescent="0.2">
      <c r="B19" s="93"/>
      <c r="C19" s="4"/>
      <c r="D19" s="6"/>
      <c r="E19" s="5"/>
      <c r="F19" s="5"/>
      <c r="G19" s="5"/>
      <c r="H19" s="5"/>
      <c r="I19" s="5"/>
      <c r="J19" s="5"/>
      <c r="K19" s="5"/>
      <c r="L19" s="5"/>
      <c r="M19" s="20"/>
      <c r="P19" s="49"/>
    </row>
    <row r="20" spans="2:18" ht="15.75" x14ac:dyDescent="0.25">
      <c r="B20" s="93"/>
      <c r="C20" s="9" t="s">
        <v>54</v>
      </c>
      <c r="D20" s="10">
        <f>SUM(D18,D16,D11)</f>
        <v>1</v>
      </c>
      <c r="E20" s="5"/>
      <c r="F20" s="5"/>
      <c r="G20" s="5"/>
      <c r="H20" s="5"/>
      <c r="I20" s="5"/>
      <c r="J20" s="5"/>
      <c r="K20" s="5"/>
      <c r="L20" s="5"/>
      <c r="M20" s="20"/>
      <c r="P20" s="49"/>
    </row>
    <row r="21" spans="2:18" x14ac:dyDescent="0.2">
      <c r="B21" s="93"/>
      <c r="E21" s="5"/>
      <c r="F21" s="5"/>
      <c r="G21" s="5"/>
      <c r="H21" s="5"/>
      <c r="I21" s="5"/>
      <c r="J21" s="5"/>
      <c r="K21" s="5"/>
      <c r="L21" s="5"/>
      <c r="M21" s="20"/>
      <c r="P21" s="49"/>
    </row>
    <row r="22" spans="2:18" x14ac:dyDescent="0.2">
      <c r="B22" s="93"/>
      <c r="E22" s="5"/>
      <c r="F22" s="5"/>
      <c r="G22" s="5"/>
      <c r="H22" s="5"/>
      <c r="I22" s="5"/>
      <c r="J22" s="5"/>
      <c r="K22" s="5"/>
      <c r="L22" s="5"/>
      <c r="M22" s="20"/>
      <c r="P22" s="49"/>
    </row>
    <row r="23" spans="2:18" ht="15" customHeight="1" x14ac:dyDescent="0.2">
      <c r="B23" s="93"/>
      <c r="C23" s="290"/>
      <c r="D23" s="290"/>
      <c r="E23" s="290"/>
      <c r="F23" s="290"/>
      <c r="G23" s="290"/>
      <c r="H23" s="5"/>
      <c r="I23" s="5"/>
      <c r="J23" s="5"/>
      <c r="K23" s="5"/>
      <c r="L23" s="5"/>
      <c r="M23" s="11"/>
      <c r="P23" s="49"/>
    </row>
    <row r="24" spans="2:18" ht="16.5" thickBot="1" x14ac:dyDescent="0.3">
      <c r="B24" s="96"/>
      <c r="C24" s="260"/>
      <c r="D24" s="260"/>
      <c r="E24" s="260"/>
      <c r="F24" s="260"/>
      <c r="G24" s="260"/>
      <c r="H24" s="260"/>
      <c r="I24" s="260"/>
      <c r="J24" s="260"/>
      <c r="K24" s="260"/>
      <c r="L24" s="260"/>
      <c r="M24" s="261"/>
      <c r="P24" s="49"/>
    </row>
    <row r="25" spans="2:18" ht="15.75" thickBot="1" x14ac:dyDescent="0.25">
      <c r="P25" s="49"/>
    </row>
    <row r="26" spans="2:18" ht="15" customHeight="1" x14ac:dyDescent="0.2">
      <c r="B26" s="262" t="s">
        <v>184</v>
      </c>
      <c r="C26" s="263"/>
      <c r="D26" s="263"/>
      <c r="E26" s="263"/>
      <c r="F26" s="263"/>
      <c r="G26" s="263"/>
      <c r="H26" s="263"/>
      <c r="I26" s="263"/>
      <c r="J26" s="263"/>
      <c r="K26" s="263"/>
      <c r="L26" s="263"/>
      <c r="M26" s="263"/>
      <c r="N26" s="263"/>
      <c r="O26" s="263"/>
      <c r="P26" s="263"/>
      <c r="Q26" s="263"/>
      <c r="R26" s="264"/>
    </row>
    <row r="27" spans="2:18" x14ac:dyDescent="0.2">
      <c r="B27" s="265"/>
      <c r="C27" s="266"/>
      <c r="D27" s="266"/>
      <c r="E27" s="266"/>
      <c r="F27" s="266"/>
      <c r="G27" s="266"/>
      <c r="H27" s="266"/>
      <c r="I27" s="266"/>
      <c r="J27" s="266"/>
      <c r="K27" s="266"/>
      <c r="L27" s="266"/>
      <c r="M27" s="266"/>
      <c r="N27" s="266"/>
      <c r="O27" s="266"/>
      <c r="P27" s="266"/>
      <c r="Q27" s="266"/>
      <c r="R27" s="267"/>
    </row>
    <row r="28" spans="2:18" x14ac:dyDescent="0.2">
      <c r="B28" s="265"/>
      <c r="C28" s="266"/>
      <c r="D28" s="266"/>
      <c r="E28" s="266"/>
      <c r="F28" s="266"/>
      <c r="G28" s="266"/>
      <c r="H28" s="266"/>
      <c r="I28" s="266"/>
      <c r="J28" s="266"/>
      <c r="K28" s="266"/>
      <c r="L28" s="266"/>
      <c r="M28" s="266"/>
      <c r="N28" s="266"/>
      <c r="O28" s="266"/>
      <c r="P28" s="266"/>
      <c r="Q28" s="266"/>
      <c r="R28" s="267"/>
    </row>
    <row r="29" spans="2:18" x14ac:dyDescent="0.2">
      <c r="B29" s="265"/>
      <c r="C29" s="266"/>
      <c r="D29" s="266"/>
      <c r="E29" s="266"/>
      <c r="F29" s="266"/>
      <c r="G29" s="266"/>
      <c r="H29" s="266"/>
      <c r="I29" s="266"/>
      <c r="J29" s="266"/>
      <c r="K29" s="266"/>
      <c r="L29" s="266"/>
      <c r="M29" s="266"/>
      <c r="N29" s="266"/>
      <c r="O29" s="266"/>
      <c r="P29" s="266"/>
      <c r="Q29" s="266"/>
      <c r="R29" s="267"/>
    </row>
    <row r="30" spans="2:18" x14ac:dyDescent="0.2">
      <c r="B30" s="265"/>
      <c r="C30" s="266"/>
      <c r="D30" s="266"/>
      <c r="E30" s="266"/>
      <c r="F30" s="266"/>
      <c r="G30" s="266"/>
      <c r="H30" s="266"/>
      <c r="I30" s="266"/>
      <c r="J30" s="266"/>
      <c r="K30" s="266"/>
      <c r="L30" s="266"/>
      <c r="M30" s="266"/>
      <c r="N30" s="266"/>
      <c r="O30" s="266"/>
      <c r="P30" s="266"/>
      <c r="Q30" s="266"/>
      <c r="R30" s="267"/>
    </row>
    <row r="31" spans="2:18" x14ac:dyDescent="0.2">
      <c r="B31" s="265"/>
      <c r="C31" s="266"/>
      <c r="D31" s="266"/>
      <c r="E31" s="266"/>
      <c r="F31" s="266"/>
      <c r="G31" s="266"/>
      <c r="H31" s="266"/>
      <c r="I31" s="266"/>
      <c r="J31" s="266"/>
      <c r="K31" s="266"/>
      <c r="L31" s="266"/>
      <c r="M31" s="266"/>
      <c r="N31" s="266"/>
      <c r="O31" s="266"/>
      <c r="P31" s="266"/>
      <c r="Q31" s="266"/>
      <c r="R31" s="267"/>
    </row>
    <row r="32" spans="2:18" ht="15.75" thickBot="1" x14ac:dyDescent="0.25">
      <c r="B32" s="268"/>
      <c r="C32" s="269"/>
      <c r="D32" s="269"/>
      <c r="E32" s="269"/>
      <c r="F32" s="269"/>
      <c r="G32" s="269"/>
      <c r="H32" s="269"/>
      <c r="I32" s="269"/>
      <c r="J32" s="269"/>
      <c r="K32" s="269"/>
      <c r="L32" s="269"/>
      <c r="M32" s="269"/>
      <c r="N32" s="269"/>
      <c r="O32" s="269"/>
      <c r="P32" s="269"/>
      <c r="Q32" s="269"/>
      <c r="R32" s="270"/>
    </row>
    <row r="33" spans="3:16" x14ac:dyDescent="0.2">
      <c r="P33" s="49"/>
    </row>
    <row r="34" spans="3:16" x14ac:dyDescent="0.2">
      <c r="C34" s="175"/>
      <c r="D34" s="176"/>
      <c r="P34" s="49"/>
    </row>
    <row r="35" spans="3:16" x14ac:dyDescent="0.2">
      <c r="C35" s="239"/>
      <c r="D35" s="238"/>
      <c r="P35" s="49"/>
    </row>
    <row r="36" spans="3:16" x14ac:dyDescent="0.2">
      <c r="C36" s="239"/>
      <c r="D36" s="238"/>
      <c r="P36" s="49"/>
    </row>
    <row r="37" spans="3:16" x14ac:dyDescent="0.2">
      <c r="C37" s="239"/>
      <c r="D37" s="238"/>
      <c r="P37" s="49"/>
    </row>
    <row r="38" spans="3:16" x14ac:dyDescent="0.2">
      <c r="C38" s="239"/>
      <c r="D38" s="238"/>
      <c r="P38" s="49"/>
    </row>
    <row r="39" spans="3:16" x14ac:dyDescent="0.2">
      <c r="C39" s="239"/>
      <c r="D39" s="238"/>
      <c r="P39" s="49"/>
    </row>
    <row r="40" spans="3:16" x14ac:dyDescent="0.2">
      <c r="C40" s="239"/>
      <c r="D40" s="238"/>
      <c r="P40" s="49"/>
    </row>
    <row r="41" spans="3:16" x14ac:dyDescent="0.2">
      <c r="C41" s="239"/>
      <c r="D41" s="238"/>
      <c r="P41" s="49"/>
    </row>
    <row r="42" spans="3:16" x14ac:dyDescent="0.2">
      <c r="C42" s="175"/>
      <c r="D42" s="255"/>
      <c r="P42" s="49"/>
    </row>
    <row r="43" spans="3:16" x14ac:dyDescent="0.2">
      <c r="C43" s="175"/>
      <c r="D43" s="176"/>
      <c r="P43" s="49"/>
    </row>
    <row r="44" spans="3:16" x14ac:dyDescent="0.2">
      <c r="C44" s="175"/>
      <c r="D44" s="176"/>
      <c r="P44" s="49"/>
    </row>
    <row r="45" spans="3:16" x14ac:dyDescent="0.2">
      <c r="D45" s="176"/>
      <c r="P45" s="49"/>
    </row>
    <row r="46" spans="3:16" x14ac:dyDescent="0.2">
      <c r="P46" s="49"/>
    </row>
    <row r="47" spans="3:16" x14ac:dyDescent="0.2">
      <c r="P47" s="49"/>
    </row>
    <row r="48" spans="3:16" x14ac:dyDescent="0.2">
      <c r="P48" s="49"/>
    </row>
    <row r="49" spans="16:16" x14ac:dyDescent="0.2">
      <c r="P49" s="49"/>
    </row>
    <row r="50" spans="16:16" x14ac:dyDescent="0.2">
      <c r="P50" s="49"/>
    </row>
    <row r="51" spans="16:16" x14ac:dyDescent="0.2">
      <c r="P51" s="49"/>
    </row>
    <row r="52" spans="16:16" x14ac:dyDescent="0.2">
      <c r="P52" s="49"/>
    </row>
    <row r="53" spans="16:16" x14ac:dyDescent="0.2">
      <c r="P53" s="49"/>
    </row>
    <row r="54" spans="16:16" x14ac:dyDescent="0.2">
      <c r="P54" s="49"/>
    </row>
    <row r="55" spans="16:16" x14ac:dyDescent="0.2">
      <c r="P55" s="49"/>
    </row>
    <row r="56" spans="16:16" x14ac:dyDescent="0.2">
      <c r="P56" s="49"/>
    </row>
    <row r="57" spans="16:16" x14ac:dyDescent="0.2">
      <c r="P57" s="49"/>
    </row>
    <row r="58" spans="16:16" x14ac:dyDescent="0.2">
      <c r="P58" s="49"/>
    </row>
    <row r="59" spans="16:16" x14ac:dyDescent="0.2">
      <c r="P59" s="49"/>
    </row>
    <row r="60" spans="16:16" x14ac:dyDescent="0.2">
      <c r="P60" s="49"/>
    </row>
    <row r="61" spans="16:16" x14ac:dyDescent="0.2">
      <c r="P61" s="49"/>
    </row>
    <row r="62" spans="16:16" x14ac:dyDescent="0.2">
      <c r="P62" s="49"/>
    </row>
    <row r="63" spans="16:16" x14ac:dyDescent="0.2">
      <c r="P63" s="49"/>
    </row>
    <row r="64" spans="16:16" x14ac:dyDescent="0.2">
      <c r="P64" s="49"/>
    </row>
    <row r="65" spans="16:16" x14ac:dyDescent="0.2">
      <c r="P65" s="49"/>
    </row>
    <row r="66" spans="16:16" x14ac:dyDescent="0.2">
      <c r="P66" s="49"/>
    </row>
    <row r="67" spans="16:16" x14ac:dyDescent="0.2">
      <c r="P67" s="49"/>
    </row>
    <row r="68" spans="16:16" x14ac:dyDescent="0.2">
      <c r="P68" s="49"/>
    </row>
    <row r="69" spans="16:16" x14ac:dyDescent="0.2">
      <c r="P69" s="49"/>
    </row>
    <row r="70" spans="16:16" x14ac:dyDescent="0.2">
      <c r="P70" s="49"/>
    </row>
    <row r="71" spans="16:16" x14ac:dyDescent="0.2">
      <c r="P71" s="49"/>
    </row>
    <row r="72" spans="16:16" x14ac:dyDescent="0.2">
      <c r="P72" s="49"/>
    </row>
    <row r="73" spans="16:16" x14ac:dyDescent="0.2">
      <c r="P73" s="49"/>
    </row>
    <row r="74" spans="16:16" x14ac:dyDescent="0.2">
      <c r="P74" s="49"/>
    </row>
    <row r="75" spans="16:16" x14ac:dyDescent="0.2">
      <c r="P75" s="49"/>
    </row>
    <row r="76" spans="16:16" x14ac:dyDescent="0.2">
      <c r="P76" s="49"/>
    </row>
    <row r="77" spans="16:16" x14ac:dyDescent="0.2">
      <c r="P77" s="49"/>
    </row>
    <row r="78" spans="16:16" x14ac:dyDescent="0.2">
      <c r="P78" s="49"/>
    </row>
    <row r="79" spans="16:16" x14ac:dyDescent="0.2">
      <c r="P79" s="49"/>
    </row>
    <row r="80" spans="16:16" x14ac:dyDescent="0.2">
      <c r="P80" s="49"/>
    </row>
    <row r="81" spans="16:16" x14ac:dyDescent="0.2">
      <c r="P81" s="49"/>
    </row>
    <row r="82" spans="16:16" x14ac:dyDescent="0.2">
      <c r="P82" s="49"/>
    </row>
    <row r="83" spans="16:16" x14ac:dyDescent="0.2">
      <c r="P83" s="49"/>
    </row>
    <row r="84" spans="16:16" x14ac:dyDescent="0.2">
      <c r="P84" s="49"/>
    </row>
    <row r="85" spans="16:16" x14ac:dyDescent="0.2">
      <c r="P85" s="49"/>
    </row>
    <row r="86" spans="16:16" x14ac:dyDescent="0.2">
      <c r="P86" s="49"/>
    </row>
    <row r="87" spans="16:16" x14ac:dyDescent="0.2">
      <c r="P87" s="49"/>
    </row>
    <row r="88" spans="16:16" x14ac:dyDescent="0.2">
      <c r="P88" s="49"/>
    </row>
    <row r="89" spans="16:16" x14ac:dyDescent="0.2">
      <c r="P89" s="49"/>
    </row>
    <row r="90" spans="16:16" x14ac:dyDescent="0.2">
      <c r="P90" s="49"/>
    </row>
    <row r="91" spans="16:16" x14ac:dyDescent="0.2">
      <c r="P91" s="49"/>
    </row>
    <row r="92" spans="16:16" x14ac:dyDescent="0.2">
      <c r="P92" s="49"/>
    </row>
    <row r="93" spans="16:16" x14ac:dyDescent="0.2">
      <c r="P93" s="49"/>
    </row>
    <row r="94" spans="16:16" x14ac:dyDescent="0.2">
      <c r="P94" s="49"/>
    </row>
    <row r="95" spans="16:16" x14ac:dyDescent="0.2">
      <c r="P95" s="49"/>
    </row>
    <row r="96" spans="16:16" x14ac:dyDescent="0.2">
      <c r="P96" s="49"/>
    </row>
    <row r="97" spans="16:16" x14ac:dyDescent="0.2">
      <c r="P97" s="49"/>
    </row>
    <row r="98" spans="16:16" x14ac:dyDescent="0.2">
      <c r="P98" s="49"/>
    </row>
    <row r="99" spans="16:16" x14ac:dyDescent="0.2">
      <c r="P99" s="49"/>
    </row>
    <row r="100" spans="16:16" x14ac:dyDescent="0.2">
      <c r="P100" s="49"/>
    </row>
    <row r="101" spans="16:16" x14ac:dyDescent="0.2">
      <c r="P101" s="49"/>
    </row>
    <row r="102" spans="16:16" x14ac:dyDescent="0.2">
      <c r="P102" s="49"/>
    </row>
    <row r="103" spans="16:16" x14ac:dyDescent="0.2">
      <c r="P103" s="49"/>
    </row>
    <row r="104" spans="16:16" x14ac:dyDescent="0.2">
      <c r="P104" s="49"/>
    </row>
    <row r="105" spans="16:16" x14ac:dyDescent="0.2">
      <c r="P105" s="49"/>
    </row>
    <row r="106" spans="16:16" x14ac:dyDescent="0.2">
      <c r="P106" s="49"/>
    </row>
    <row r="107" spans="16:16" x14ac:dyDescent="0.2">
      <c r="P107" s="49"/>
    </row>
    <row r="108" spans="16:16" x14ac:dyDescent="0.2">
      <c r="P108" s="49"/>
    </row>
    <row r="109" spans="16:16" x14ac:dyDescent="0.2">
      <c r="P109" s="49"/>
    </row>
    <row r="110" spans="16:16" x14ac:dyDescent="0.2">
      <c r="P110" s="49"/>
    </row>
    <row r="111" spans="16:16" x14ac:dyDescent="0.2">
      <c r="P111" s="49"/>
    </row>
    <row r="112" spans="16:16" x14ac:dyDescent="0.2">
      <c r="P112" s="49"/>
    </row>
    <row r="113" spans="16:16" x14ac:dyDescent="0.2">
      <c r="P113" s="49"/>
    </row>
    <row r="114" spans="16:16" x14ac:dyDescent="0.2">
      <c r="P114" s="49"/>
    </row>
    <row r="115" spans="16:16" x14ac:dyDescent="0.2">
      <c r="P115" s="49"/>
    </row>
    <row r="116" spans="16:16" x14ac:dyDescent="0.2">
      <c r="P116" s="49"/>
    </row>
    <row r="117" spans="16:16" x14ac:dyDescent="0.2">
      <c r="P117" s="49"/>
    </row>
    <row r="118" spans="16:16" x14ac:dyDescent="0.2">
      <c r="P118" s="49"/>
    </row>
    <row r="119" spans="16:16" x14ac:dyDescent="0.2">
      <c r="P119" s="49"/>
    </row>
    <row r="120" spans="16:16" x14ac:dyDescent="0.2">
      <c r="P120" s="49"/>
    </row>
    <row r="121" spans="16:16" x14ac:dyDescent="0.2">
      <c r="P121" s="49"/>
    </row>
    <row r="122" spans="16:16" x14ac:dyDescent="0.2">
      <c r="P122" s="49"/>
    </row>
    <row r="123" spans="16:16" x14ac:dyDescent="0.2">
      <c r="P123" s="49"/>
    </row>
    <row r="124" spans="16:16" x14ac:dyDescent="0.2">
      <c r="P124" s="49"/>
    </row>
    <row r="125" spans="16:16" x14ac:dyDescent="0.2">
      <c r="P125" s="49"/>
    </row>
    <row r="126" spans="16:16" x14ac:dyDescent="0.2">
      <c r="P126" s="49"/>
    </row>
    <row r="127" spans="16:16" x14ac:dyDescent="0.2">
      <c r="P127" s="49"/>
    </row>
    <row r="128" spans="16:16" x14ac:dyDescent="0.2">
      <c r="P128" s="49"/>
    </row>
    <row r="129" spans="16:16" x14ac:dyDescent="0.2">
      <c r="P129" s="49"/>
    </row>
    <row r="130" spans="16:16" x14ac:dyDescent="0.2">
      <c r="P130" s="49"/>
    </row>
    <row r="131" spans="16:16" x14ac:dyDescent="0.2">
      <c r="P131" s="49"/>
    </row>
    <row r="132" spans="16:16" x14ac:dyDescent="0.2">
      <c r="P132" s="49"/>
    </row>
    <row r="133" spans="16:16" x14ac:dyDescent="0.2">
      <c r="P133" s="49"/>
    </row>
    <row r="134" spans="16:16" x14ac:dyDescent="0.2">
      <c r="P134" s="49"/>
    </row>
    <row r="135" spans="16:16" x14ac:dyDescent="0.2">
      <c r="P135" s="49"/>
    </row>
    <row r="136" spans="16:16" x14ac:dyDescent="0.2">
      <c r="P136" s="49"/>
    </row>
    <row r="137" spans="16:16" x14ac:dyDescent="0.2">
      <c r="P137" s="49"/>
    </row>
    <row r="138" spans="16:16" x14ac:dyDescent="0.2">
      <c r="P138" s="49"/>
    </row>
    <row r="139" spans="16:16" x14ac:dyDescent="0.2">
      <c r="P139" s="49"/>
    </row>
    <row r="140" spans="16:16" x14ac:dyDescent="0.2">
      <c r="P140" s="49"/>
    </row>
    <row r="141" spans="16:16" x14ac:dyDescent="0.2">
      <c r="P141" s="49"/>
    </row>
    <row r="142" spans="16:16" x14ac:dyDescent="0.2">
      <c r="P142" s="49"/>
    </row>
    <row r="143" spans="16:16" x14ac:dyDescent="0.2">
      <c r="P143" s="49"/>
    </row>
    <row r="144" spans="16:16" x14ac:dyDescent="0.2">
      <c r="P144" s="49"/>
    </row>
    <row r="145" spans="16:16" x14ac:dyDescent="0.2">
      <c r="P145" s="49"/>
    </row>
    <row r="146" spans="16:16" x14ac:dyDescent="0.2">
      <c r="P146" s="49"/>
    </row>
    <row r="147" spans="16:16" x14ac:dyDescent="0.2">
      <c r="P147" s="49"/>
    </row>
    <row r="148" spans="16:16" x14ac:dyDescent="0.2">
      <c r="P148" s="49"/>
    </row>
    <row r="149" spans="16:16" x14ac:dyDescent="0.2">
      <c r="P149" s="49"/>
    </row>
    <row r="150" spans="16:16" x14ac:dyDescent="0.2">
      <c r="P150" s="49"/>
    </row>
    <row r="151" spans="16:16" x14ac:dyDescent="0.2">
      <c r="P151" s="49"/>
    </row>
    <row r="152" spans="16:16" x14ac:dyDescent="0.2">
      <c r="P152" s="49"/>
    </row>
    <row r="153" spans="16:16" x14ac:dyDescent="0.2">
      <c r="P153" s="49"/>
    </row>
    <row r="154" spans="16:16" x14ac:dyDescent="0.2">
      <c r="P154" s="49"/>
    </row>
    <row r="155" spans="16:16" x14ac:dyDescent="0.2">
      <c r="P155" s="49"/>
    </row>
    <row r="156" spans="16:16" x14ac:dyDescent="0.2">
      <c r="P156" s="49"/>
    </row>
    <row r="157" spans="16:16" x14ac:dyDescent="0.2">
      <c r="P157" s="49"/>
    </row>
    <row r="158" spans="16:16" x14ac:dyDescent="0.2">
      <c r="P158" s="49"/>
    </row>
    <row r="159" spans="16:16" x14ac:dyDescent="0.2">
      <c r="P159" s="49"/>
    </row>
    <row r="160" spans="16:16" x14ac:dyDescent="0.2">
      <c r="P160" s="49"/>
    </row>
    <row r="161" spans="16:16" x14ac:dyDescent="0.2">
      <c r="P161" s="49"/>
    </row>
    <row r="162" spans="16:16" x14ac:dyDescent="0.2">
      <c r="P162" s="49"/>
    </row>
    <row r="163" spans="16:16" x14ac:dyDescent="0.2">
      <c r="P163" s="49"/>
    </row>
    <row r="164" spans="16:16" x14ac:dyDescent="0.2">
      <c r="P164" s="49"/>
    </row>
    <row r="165" spans="16:16" x14ac:dyDescent="0.2">
      <c r="P165" s="49"/>
    </row>
    <row r="166" spans="16:16" x14ac:dyDescent="0.2">
      <c r="P166" s="49"/>
    </row>
    <row r="167" spans="16:16" x14ac:dyDescent="0.2">
      <c r="P167" s="49"/>
    </row>
    <row r="168" spans="16:16" x14ac:dyDescent="0.2">
      <c r="P168" s="49"/>
    </row>
    <row r="169" spans="16:16" x14ac:dyDescent="0.2">
      <c r="P169" s="49"/>
    </row>
    <row r="170" spans="16:16" x14ac:dyDescent="0.2">
      <c r="P170" s="49"/>
    </row>
    <row r="171" spans="16:16" x14ac:dyDescent="0.2">
      <c r="P171" s="49"/>
    </row>
    <row r="172" spans="16:16" x14ac:dyDescent="0.2">
      <c r="P172" s="49"/>
    </row>
    <row r="173" spans="16:16" x14ac:dyDescent="0.2">
      <c r="P173" s="49"/>
    </row>
    <row r="174" spans="16:16" x14ac:dyDescent="0.2">
      <c r="P174" s="49"/>
    </row>
    <row r="175" spans="16:16" x14ac:dyDescent="0.2">
      <c r="P175" s="49"/>
    </row>
    <row r="176" spans="16:16" x14ac:dyDescent="0.2">
      <c r="P176" s="49"/>
    </row>
    <row r="177" spans="16:16" x14ac:dyDescent="0.2">
      <c r="P177" s="49"/>
    </row>
    <row r="178" spans="16:16" x14ac:dyDescent="0.2">
      <c r="P178" s="49"/>
    </row>
    <row r="179" spans="16:16" x14ac:dyDescent="0.2">
      <c r="P179" s="49"/>
    </row>
    <row r="180" spans="16:16" x14ac:dyDescent="0.2">
      <c r="P180" s="49"/>
    </row>
    <row r="181" spans="16:16" x14ac:dyDescent="0.2">
      <c r="P181" s="49"/>
    </row>
    <row r="182" spans="16:16" x14ac:dyDescent="0.2">
      <c r="P182" s="49"/>
    </row>
    <row r="183" spans="16:16" x14ac:dyDescent="0.2">
      <c r="P183" s="49"/>
    </row>
    <row r="184" spans="16:16" x14ac:dyDescent="0.2">
      <c r="P184" s="49"/>
    </row>
    <row r="185" spans="16:16" x14ac:dyDescent="0.2">
      <c r="P185" s="49"/>
    </row>
    <row r="186" spans="16:16" x14ac:dyDescent="0.2">
      <c r="P186" s="49"/>
    </row>
    <row r="187" spans="16:16" x14ac:dyDescent="0.2">
      <c r="P187" s="49"/>
    </row>
    <row r="188" spans="16:16" x14ac:dyDescent="0.2">
      <c r="P188" s="49"/>
    </row>
    <row r="189" spans="16:16" x14ac:dyDescent="0.2">
      <c r="P189" s="49"/>
    </row>
    <row r="190" spans="16:16" x14ac:dyDescent="0.2">
      <c r="P190" s="49"/>
    </row>
    <row r="191" spans="16:16" x14ac:dyDescent="0.2">
      <c r="P191" s="49"/>
    </row>
    <row r="192" spans="16:16" x14ac:dyDescent="0.2">
      <c r="P192" s="49"/>
    </row>
    <row r="193" spans="16:16" x14ac:dyDescent="0.2">
      <c r="P193" s="49"/>
    </row>
    <row r="194" spans="16:16" x14ac:dyDescent="0.2">
      <c r="P194" s="49"/>
    </row>
    <row r="195" spans="16:16" x14ac:dyDescent="0.2">
      <c r="P195" s="49"/>
    </row>
    <row r="196" spans="16:16" x14ac:dyDescent="0.2">
      <c r="P196" s="49"/>
    </row>
    <row r="197" spans="16:16" x14ac:dyDescent="0.2">
      <c r="P197" s="49"/>
    </row>
    <row r="198" spans="16:16" x14ac:dyDescent="0.2">
      <c r="P198" s="49"/>
    </row>
    <row r="199" spans="16:16" x14ac:dyDescent="0.2">
      <c r="P199" s="49"/>
    </row>
    <row r="200" spans="16:16" x14ac:dyDescent="0.2">
      <c r="P200" s="49"/>
    </row>
    <row r="201" spans="16:16" x14ac:dyDescent="0.2">
      <c r="P201" s="49"/>
    </row>
    <row r="202" spans="16:16" x14ac:dyDescent="0.2">
      <c r="P202" s="49"/>
    </row>
    <row r="203" spans="16:16" x14ac:dyDescent="0.2">
      <c r="P203" s="49"/>
    </row>
    <row r="204" spans="16:16" x14ac:dyDescent="0.2">
      <c r="P204" s="49"/>
    </row>
    <row r="205" spans="16:16" x14ac:dyDescent="0.2">
      <c r="P205" s="49"/>
    </row>
    <row r="206" spans="16:16" x14ac:dyDescent="0.2">
      <c r="P206" s="49"/>
    </row>
    <row r="207" spans="16:16" x14ac:dyDescent="0.2">
      <c r="P207" s="49"/>
    </row>
    <row r="208" spans="16:16" x14ac:dyDescent="0.2">
      <c r="P208" s="49"/>
    </row>
    <row r="209" spans="16:16" x14ac:dyDescent="0.2">
      <c r="P209" s="49"/>
    </row>
    <row r="210" spans="16:16" x14ac:dyDescent="0.2">
      <c r="P210" s="49"/>
    </row>
    <row r="211" spans="16:16" x14ac:dyDescent="0.2">
      <c r="P211" s="49"/>
    </row>
    <row r="212" spans="16:16" x14ac:dyDescent="0.2">
      <c r="P212" s="49"/>
    </row>
    <row r="213" spans="16:16" x14ac:dyDescent="0.2">
      <c r="P213" s="49"/>
    </row>
    <row r="214" spans="16:16" x14ac:dyDescent="0.2">
      <c r="P214" s="49"/>
    </row>
    <row r="215" spans="16:16" x14ac:dyDescent="0.2">
      <c r="P215" s="49"/>
    </row>
    <row r="216" spans="16:16" x14ac:dyDescent="0.2">
      <c r="P216" s="49"/>
    </row>
    <row r="217" spans="16:16" x14ac:dyDescent="0.2">
      <c r="P217" s="49"/>
    </row>
    <row r="218" spans="16:16" x14ac:dyDescent="0.2">
      <c r="P218" s="49"/>
    </row>
    <row r="219" spans="16:16" x14ac:dyDescent="0.2">
      <c r="P219" s="49"/>
    </row>
    <row r="220" spans="16:16" x14ac:dyDescent="0.2">
      <c r="P220" s="49"/>
    </row>
    <row r="221" spans="16:16" x14ac:dyDescent="0.2">
      <c r="P221" s="49"/>
    </row>
    <row r="222" spans="16:16" x14ac:dyDescent="0.2">
      <c r="P222" s="49"/>
    </row>
    <row r="223" spans="16:16" x14ac:dyDescent="0.2">
      <c r="P223" s="49"/>
    </row>
    <row r="224" spans="16:16" x14ac:dyDescent="0.2">
      <c r="P224" s="49"/>
    </row>
    <row r="225" spans="16:16" x14ac:dyDescent="0.2">
      <c r="P225" s="49"/>
    </row>
    <row r="226" spans="16:16" x14ac:dyDescent="0.2">
      <c r="P226" s="49"/>
    </row>
    <row r="227" spans="16:16" x14ac:dyDescent="0.2">
      <c r="P227" s="49"/>
    </row>
    <row r="228" spans="16:16" x14ac:dyDescent="0.2">
      <c r="P228" s="49"/>
    </row>
    <row r="229" spans="16:16" x14ac:dyDescent="0.2">
      <c r="P229" s="49"/>
    </row>
    <row r="230" spans="16:16" x14ac:dyDescent="0.2">
      <c r="P230" s="49"/>
    </row>
    <row r="231" spans="16:16" x14ac:dyDescent="0.2">
      <c r="P231" s="49"/>
    </row>
    <row r="232" spans="16:16" x14ac:dyDescent="0.2">
      <c r="P232" s="49"/>
    </row>
    <row r="233" spans="16:16" x14ac:dyDescent="0.2">
      <c r="P233" s="49"/>
    </row>
    <row r="234" spans="16:16" x14ac:dyDescent="0.2">
      <c r="P234" s="49"/>
    </row>
    <row r="235" spans="16:16" x14ac:dyDescent="0.2">
      <c r="P235" s="49"/>
    </row>
    <row r="236" spans="16:16" x14ac:dyDescent="0.2">
      <c r="P236" s="49"/>
    </row>
    <row r="237" spans="16:16" x14ac:dyDescent="0.2">
      <c r="P237" s="49"/>
    </row>
    <row r="238" spans="16:16" x14ac:dyDescent="0.2">
      <c r="P238" s="49"/>
    </row>
    <row r="239" spans="16:16" x14ac:dyDescent="0.2">
      <c r="P239" s="49"/>
    </row>
    <row r="240" spans="16:16" x14ac:dyDescent="0.2">
      <c r="P240" s="49"/>
    </row>
    <row r="241" spans="16:16" x14ac:dyDescent="0.2">
      <c r="P241" s="49"/>
    </row>
    <row r="242" spans="16:16" x14ac:dyDescent="0.2">
      <c r="P242" s="49"/>
    </row>
    <row r="243" spans="16:16" x14ac:dyDescent="0.2">
      <c r="P243" s="49"/>
    </row>
    <row r="244" spans="16:16" x14ac:dyDescent="0.2">
      <c r="P244" s="49"/>
    </row>
    <row r="245" spans="16:16" x14ac:dyDescent="0.2">
      <c r="P245" s="49"/>
    </row>
    <row r="246" spans="16:16" x14ac:dyDescent="0.2">
      <c r="P246" s="49"/>
    </row>
    <row r="247" spans="16:16" x14ac:dyDescent="0.2">
      <c r="P247" s="49"/>
    </row>
    <row r="248" spans="16:16" x14ac:dyDescent="0.2">
      <c r="P248" s="49"/>
    </row>
    <row r="249" spans="16:16" x14ac:dyDescent="0.2">
      <c r="P249" s="49"/>
    </row>
    <row r="250" spans="16:16" x14ac:dyDescent="0.2">
      <c r="P250" s="49"/>
    </row>
    <row r="251" spans="16:16" x14ac:dyDescent="0.2">
      <c r="P251" s="49"/>
    </row>
    <row r="252" spans="16:16" x14ac:dyDescent="0.2">
      <c r="P252" s="49"/>
    </row>
    <row r="253" spans="16:16" x14ac:dyDescent="0.2">
      <c r="P253" s="49"/>
    </row>
    <row r="254" spans="16:16" x14ac:dyDescent="0.2">
      <c r="P254" s="49"/>
    </row>
    <row r="255" spans="16:16" x14ac:dyDescent="0.2">
      <c r="P255" s="49"/>
    </row>
    <row r="256" spans="16:16" x14ac:dyDescent="0.2">
      <c r="P256" s="49"/>
    </row>
    <row r="257" spans="16:16" x14ac:dyDescent="0.2">
      <c r="P257" s="49"/>
    </row>
    <row r="258" spans="16:16" x14ac:dyDescent="0.2">
      <c r="P258" s="49"/>
    </row>
    <row r="259" spans="16:16" x14ac:dyDescent="0.2">
      <c r="P259" s="49"/>
    </row>
    <row r="260" spans="16:16" x14ac:dyDescent="0.2">
      <c r="P260" s="49"/>
    </row>
    <row r="261" spans="16:16" x14ac:dyDescent="0.2">
      <c r="P261" s="49"/>
    </row>
    <row r="262" spans="16:16" x14ac:dyDescent="0.2">
      <c r="P262" s="49"/>
    </row>
    <row r="263" spans="16:16" x14ac:dyDescent="0.2">
      <c r="P263" s="49"/>
    </row>
    <row r="264" spans="16:16" x14ac:dyDescent="0.2">
      <c r="P264" s="49"/>
    </row>
    <row r="265" spans="16:16" x14ac:dyDescent="0.2">
      <c r="P265" s="49"/>
    </row>
    <row r="266" spans="16:16" x14ac:dyDescent="0.2">
      <c r="P266" s="49"/>
    </row>
    <row r="267" spans="16:16" x14ac:dyDescent="0.2">
      <c r="P267" s="49"/>
    </row>
    <row r="268" spans="16:16" x14ac:dyDescent="0.2">
      <c r="P268" s="49"/>
    </row>
    <row r="269" spans="16:16" x14ac:dyDescent="0.2">
      <c r="P269" s="49"/>
    </row>
    <row r="270" spans="16:16" x14ac:dyDescent="0.2">
      <c r="P270" s="49"/>
    </row>
    <row r="271" spans="16:16" x14ac:dyDescent="0.2">
      <c r="P271" s="49"/>
    </row>
    <row r="272" spans="16:16" x14ac:dyDescent="0.2">
      <c r="P272" s="49"/>
    </row>
    <row r="273" spans="16:16" x14ac:dyDescent="0.2">
      <c r="P273" s="49"/>
    </row>
    <row r="274" spans="16:16" x14ac:dyDescent="0.2">
      <c r="P274" s="49"/>
    </row>
    <row r="275" spans="16:16" x14ac:dyDescent="0.2">
      <c r="P275" s="49"/>
    </row>
    <row r="276" spans="16:16" x14ac:dyDescent="0.2">
      <c r="P276" s="49"/>
    </row>
    <row r="277" spans="16:16" x14ac:dyDescent="0.2">
      <c r="P277" s="49"/>
    </row>
    <row r="278" spans="16:16" x14ac:dyDescent="0.2">
      <c r="P278" s="49"/>
    </row>
    <row r="279" spans="16:16" x14ac:dyDescent="0.2">
      <c r="P279" s="49"/>
    </row>
    <row r="280" spans="16:16" x14ac:dyDescent="0.2">
      <c r="P280" s="49"/>
    </row>
    <row r="281" spans="16:16" x14ac:dyDescent="0.2">
      <c r="P281" s="49"/>
    </row>
    <row r="282" spans="16:16" x14ac:dyDescent="0.2">
      <c r="P282" s="49"/>
    </row>
    <row r="283" spans="16:16" x14ac:dyDescent="0.2">
      <c r="P283" s="49"/>
    </row>
    <row r="284" spans="16:16" x14ac:dyDescent="0.2">
      <c r="P284" s="49"/>
    </row>
    <row r="285" spans="16:16" x14ac:dyDescent="0.2">
      <c r="P285" s="49"/>
    </row>
    <row r="286" spans="16:16" x14ac:dyDescent="0.2">
      <c r="P286" s="49"/>
    </row>
    <row r="287" spans="16:16" x14ac:dyDescent="0.2">
      <c r="P287" s="49"/>
    </row>
    <row r="288" spans="16:16" x14ac:dyDescent="0.2">
      <c r="P288" s="49"/>
    </row>
    <row r="289" spans="16:16" x14ac:dyDescent="0.2">
      <c r="P289" s="49"/>
    </row>
    <row r="290" spans="16:16" x14ac:dyDescent="0.2">
      <c r="P290" s="49"/>
    </row>
    <row r="291" spans="16:16" x14ac:dyDescent="0.2">
      <c r="P291" s="49"/>
    </row>
    <row r="292" spans="16:16" x14ac:dyDescent="0.2">
      <c r="P292" s="49"/>
    </row>
    <row r="293" spans="16:16" x14ac:dyDescent="0.2">
      <c r="P293" s="49"/>
    </row>
    <row r="294" spans="16:16" x14ac:dyDescent="0.2">
      <c r="P294" s="49"/>
    </row>
    <row r="295" spans="16:16" x14ac:dyDescent="0.2">
      <c r="P295" s="49"/>
    </row>
    <row r="296" spans="16:16" x14ac:dyDescent="0.2">
      <c r="P296" s="49"/>
    </row>
    <row r="297" spans="16:16" x14ac:dyDescent="0.2">
      <c r="P297" s="49"/>
    </row>
    <row r="298" spans="16:16" x14ac:dyDescent="0.2">
      <c r="P298" s="49"/>
    </row>
    <row r="299" spans="16:16" x14ac:dyDescent="0.2">
      <c r="P299" s="49"/>
    </row>
    <row r="300" spans="16:16" x14ac:dyDescent="0.2">
      <c r="P300" s="49"/>
    </row>
    <row r="301" spans="16:16" x14ac:dyDescent="0.2">
      <c r="P301" s="49"/>
    </row>
    <row r="302" spans="16:16" x14ac:dyDescent="0.2">
      <c r="P302" s="49"/>
    </row>
    <row r="303" spans="16:16" x14ac:dyDescent="0.2">
      <c r="P303" s="49"/>
    </row>
    <row r="304" spans="16:16" x14ac:dyDescent="0.2">
      <c r="P304" s="49"/>
    </row>
    <row r="305" spans="16:16" x14ac:dyDescent="0.2">
      <c r="P305" s="49"/>
    </row>
    <row r="306" spans="16:16" x14ac:dyDescent="0.2">
      <c r="P306" s="49"/>
    </row>
    <row r="307" spans="16:16" x14ac:dyDescent="0.2">
      <c r="P307" s="49"/>
    </row>
    <row r="308" spans="16:16" x14ac:dyDescent="0.2">
      <c r="P308" s="49"/>
    </row>
    <row r="309" spans="16:16" x14ac:dyDescent="0.2">
      <c r="P309" s="49"/>
    </row>
    <row r="310" spans="16:16" x14ac:dyDescent="0.2">
      <c r="P310" s="49"/>
    </row>
    <row r="311" spans="16:16" x14ac:dyDescent="0.2">
      <c r="P311" s="49"/>
    </row>
    <row r="312" spans="16:16" x14ac:dyDescent="0.2">
      <c r="P312" s="49"/>
    </row>
    <row r="313" spans="16:16" x14ac:dyDescent="0.2">
      <c r="P313" s="49"/>
    </row>
    <row r="314" spans="16:16" x14ac:dyDescent="0.2">
      <c r="P314" s="49"/>
    </row>
    <row r="315" spans="16:16" x14ac:dyDescent="0.2">
      <c r="P315" s="49"/>
    </row>
    <row r="316" spans="16:16" x14ac:dyDescent="0.2">
      <c r="P316" s="49"/>
    </row>
    <row r="317" spans="16:16" x14ac:dyDescent="0.2">
      <c r="P317" s="49"/>
    </row>
    <row r="318" spans="16:16" x14ac:dyDescent="0.2">
      <c r="P318" s="49"/>
    </row>
    <row r="319" spans="16:16" x14ac:dyDescent="0.2">
      <c r="P319" s="49"/>
    </row>
    <row r="320" spans="16:16" x14ac:dyDescent="0.2">
      <c r="P320" s="49"/>
    </row>
    <row r="321" spans="16:16" x14ac:dyDescent="0.2">
      <c r="P321" s="49"/>
    </row>
    <row r="322" spans="16:16" x14ac:dyDescent="0.2">
      <c r="P322" s="49"/>
    </row>
    <row r="323" spans="16:16" x14ac:dyDescent="0.2">
      <c r="P323" s="49"/>
    </row>
    <row r="324" spans="16:16" x14ac:dyDescent="0.2">
      <c r="P324" s="49"/>
    </row>
    <row r="325" spans="16:16" x14ac:dyDescent="0.2">
      <c r="P325" s="49"/>
    </row>
    <row r="326" spans="16:16" x14ac:dyDescent="0.2">
      <c r="P326" s="49"/>
    </row>
    <row r="327" spans="16:16" x14ac:dyDescent="0.2">
      <c r="P327" s="49"/>
    </row>
    <row r="328" spans="16:16" x14ac:dyDescent="0.2">
      <c r="P328" s="49"/>
    </row>
    <row r="329" spans="16:16" x14ac:dyDescent="0.2">
      <c r="P329" s="49"/>
    </row>
    <row r="330" spans="16:16" x14ac:dyDescent="0.2">
      <c r="P330" s="49"/>
    </row>
    <row r="331" spans="16:16" x14ac:dyDescent="0.2">
      <c r="P331" s="49"/>
    </row>
    <row r="332" spans="16:16" x14ac:dyDescent="0.2">
      <c r="P332" s="49"/>
    </row>
    <row r="333" spans="16:16" x14ac:dyDescent="0.2">
      <c r="P333" s="49"/>
    </row>
    <row r="334" spans="16:16" x14ac:dyDescent="0.2">
      <c r="P334" s="49"/>
    </row>
    <row r="335" spans="16:16" x14ac:dyDescent="0.2">
      <c r="P335" s="49"/>
    </row>
    <row r="336" spans="16:16" x14ac:dyDescent="0.2">
      <c r="P336" s="49"/>
    </row>
    <row r="337" spans="16:16" x14ac:dyDescent="0.2">
      <c r="P337" s="49"/>
    </row>
    <row r="338" spans="16:16" x14ac:dyDescent="0.2">
      <c r="P338" s="49"/>
    </row>
    <row r="339" spans="16:16" x14ac:dyDescent="0.2">
      <c r="P339" s="49"/>
    </row>
    <row r="340" spans="16:16" x14ac:dyDescent="0.2">
      <c r="P340" s="49"/>
    </row>
    <row r="341" spans="16:16" x14ac:dyDescent="0.2">
      <c r="P341" s="49"/>
    </row>
    <row r="342" spans="16:16" x14ac:dyDescent="0.2">
      <c r="P342" s="49"/>
    </row>
    <row r="343" spans="16:16" x14ac:dyDescent="0.2">
      <c r="P343" s="49"/>
    </row>
    <row r="344" spans="16:16" x14ac:dyDescent="0.2">
      <c r="P344" s="49"/>
    </row>
    <row r="345" spans="16:16" x14ac:dyDescent="0.2">
      <c r="P345" s="49"/>
    </row>
    <row r="346" spans="16:16" x14ac:dyDescent="0.2">
      <c r="P346" s="49"/>
    </row>
    <row r="347" spans="16:16" x14ac:dyDescent="0.2">
      <c r="P347" s="49"/>
    </row>
    <row r="348" spans="16:16" x14ac:dyDescent="0.2">
      <c r="P348" s="49"/>
    </row>
    <row r="349" spans="16:16" x14ac:dyDescent="0.2">
      <c r="P349" s="49"/>
    </row>
    <row r="350" spans="16:16" x14ac:dyDescent="0.2">
      <c r="P350" s="49"/>
    </row>
    <row r="351" spans="16:16" x14ac:dyDescent="0.2">
      <c r="P351" s="49"/>
    </row>
    <row r="352" spans="16:16" x14ac:dyDescent="0.2">
      <c r="P352" s="49"/>
    </row>
    <row r="353" spans="16:16" x14ac:dyDescent="0.2">
      <c r="P353" s="49"/>
    </row>
    <row r="354" spans="16:16" x14ac:dyDescent="0.2">
      <c r="P354" s="49"/>
    </row>
    <row r="355" spans="16:16" x14ac:dyDescent="0.2">
      <c r="P355" s="49"/>
    </row>
    <row r="356" spans="16:16" x14ac:dyDescent="0.2">
      <c r="P356" s="49"/>
    </row>
    <row r="357" spans="16:16" x14ac:dyDescent="0.2">
      <c r="P357" s="49"/>
    </row>
    <row r="358" spans="16:16" x14ac:dyDescent="0.2">
      <c r="P358" s="49"/>
    </row>
    <row r="359" spans="16:16" x14ac:dyDescent="0.2">
      <c r="P359" s="49"/>
    </row>
    <row r="360" spans="16:16" x14ac:dyDescent="0.2">
      <c r="P360" s="49"/>
    </row>
    <row r="361" spans="16:16" x14ac:dyDescent="0.2">
      <c r="P361" s="49"/>
    </row>
    <row r="362" spans="16:16" x14ac:dyDescent="0.2">
      <c r="P362" s="49"/>
    </row>
    <row r="363" spans="16:16" x14ac:dyDescent="0.2">
      <c r="P363" s="49"/>
    </row>
    <row r="364" spans="16:16" x14ac:dyDescent="0.2">
      <c r="P364" s="49"/>
    </row>
    <row r="365" spans="16:16" x14ac:dyDescent="0.2">
      <c r="P365" s="49"/>
    </row>
    <row r="366" spans="16:16" x14ac:dyDescent="0.2">
      <c r="P366" s="49"/>
    </row>
    <row r="367" spans="16:16" x14ac:dyDescent="0.2">
      <c r="P367" s="49"/>
    </row>
    <row r="368" spans="16:16" x14ac:dyDescent="0.2">
      <c r="P368" s="49"/>
    </row>
    <row r="369" spans="16:16" x14ac:dyDescent="0.2">
      <c r="P369" s="49"/>
    </row>
    <row r="370" spans="16:16" x14ac:dyDescent="0.2">
      <c r="P370" s="49"/>
    </row>
    <row r="371" spans="16:16" x14ac:dyDescent="0.2">
      <c r="P371" s="49"/>
    </row>
    <row r="372" spans="16:16" x14ac:dyDescent="0.2">
      <c r="P372" s="49"/>
    </row>
    <row r="373" spans="16:16" x14ac:dyDescent="0.2">
      <c r="P373" s="49"/>
    </row>
    <row r="374" spans="16:16" x14ac:dyDescent="0.2">
      <c r="P374" s="49"/>
    </row>
    <row r="375" spans="16:16" x14ac:dyDescent="0.2">
      <c r="P375" s="49"/>
    </row>
    <row r="376" spans="16:16" x14ac:dyDescent="0.2">
      <c r="P376" s="49"/>
    </row>
    <row r="377" spans="16:16" x14ac:dyDescent="0.2">
      <c r="P377" s="49"/>
    </row>
    <row r="378" spans="16:16" x14ac:dyDescent="0.2">
      <c r="P378" s="49"/>
    </row>
    <row r="379" spans="16:16" x14ac:dyDescent="0.2">
      <c r="P379" s="49"/>
    </row>
    <row r="380" spans="16:16" x14ac:dyDescent="0.2">
      <c r="P380" s="49"/>
    </row>
    <row r="381" spans="16:16" x14ac:dyDescent="0.2">
      <c r="P381" s="49"/>
    </row>
    <row r="382" spans="16:16" x14ac:dyDescent="0.2">
      <c r="P382" s="49"/>
    </row>
    <row r="383" spans="16:16" x14ac:dyDescent="0.2">
      <c r="P383" s="49"/>
    </row>
    <row r="384" spans="16:16" x14ac:dyDescent="0.2">
      <c r="P384" s="49"/>
    </row>
    <row r="385" spans="16:16" x14ac:dyDescent="0.2">
      <c r="P385" s="49"/>
    </row>
    <row r="386" spans="16:16" x14ac:dyDescent="0.2">
      <c r="P386" s="49"/>
    </row>
    <row r="387" spans="16:16" x14ac:dyDescent="0.2">
      <c r="P387" s="49"/>
    </row>
    <row r="388" spans="16:16" x14ac:dyDescent="0.2">
      <c r="P388" s="49"/>
    </row>
    <row r="389" spans="16:16" x14ac:dyDescent="0.2">
      <c r="P389" s="49"/>
    </row>
    <row r="390" spans="16:16" x14ac:dyDescent="0.2">
      <c r="P390" s="49"/>
    </row>
    <row r="391" spans="16:16" x14ac:dyDescent="0.2">
      <c r="P391" s="49"/>
    </row>
    <row r="392" spans="16:16" x14ac:dyDescent="0.2">
      <c r="P392" s="49"/>
    </row>
    <row r="393" spans="16:16" x14ac:dyDescent="0.2">
      <c r="P393" s="49"/>
    </row>
    <row r="394" spans="16:16" x14ac:dyDescent="0.2">
      <c r="P394" s="49"/>
    </row>
    <row r="395" spans="16:16" x14ac:dyDescent="0.2">
      <c r="P395" s="49"/>
    </row>
    <row r="396" spans="16:16" x14ac:dyDescent="0.2">
      <c r="P396" s="49"/>
    </row>
    <row r="397" spans="16:16" x14ac:dyDescent="0.2">
      <c r="P397" s="49"/>
    </row>
    <row r="398" spans="16:16" x14ac:dyDescent="0.2">
      <c r="P398" s="49"/>
    </row>
    <row r="399" spans="16:16" x14ac:dyDescent="0.2">
      <c r="P399" s="49"/>
    </row>
    <row r="400" spans="16:16" x14ac:dyDescent="0.2">
      <c r="P400" s="49"/>
    </row>
    <row r="401" spans="16:16" x14ac:dyDescent="0.2">
      <c r="P401" s="49"/>
    </row>
    <row r="402" spans="16:16" x14ac:dyDescent="0.2">
      <c r="P402" s="49"/>
    </row>
    <row r="403" spans="16:16" x14ac:dyDescent="0.2">
      <c r="P403" s="49"/>
    </row>
    <row r="404" spans="16:16" x14ac:dyDescent="0.2">
      <c r="P404" s="49"/>
    </row>
    <row r="405" spans="16:16" x14ac:dyDescent="0.2">
      <c r="P405" s="49"/>
    </row>
    <row r="406" spans="16:16" x14ac:dyDescent="0.2">
      <c r="P406" s="49"/>
    </row>
    <row r="407" spans="16:16" x14ac:dyDescent="0.2">
      <c r="P407" s="49"/>
    </row>
    <row r="408" spans="16:16" x14ac:dyDescent="0.2">
      <c r="P408" s="49"/>
    </row>
    <row r="409" spans="16:16" x14ac:dyDescent="0.2">
      <c r="P409" s="49"/>
    </row>
    <row r="410" spans="16:16" x14ac:dyDescent="0.2">
      <c r="P410" s="49"/>
    </row>
    <row r="411" spans="16:16" x14ac:dyDescent="0.2">
      <c r="P411" s="49"/>
    </row>
    <row r="412" spans="16:16" x14ac:dyDescent="0.2">
      <c r="P412" s="49"/>
    </row>
    <row r="413" spans="16:16" x14ac:dyDescent="0.2">
      <c r="P413" s="49"/>
    </row>
    <row r="414" spans="16:16" x14ac:dyDescent="0.2">
      <c r="P414" s="49"/>
    </row>
    <row r="415" spans="16:16" x14ac:dyDescent="0.2">
      <c r="P415" s="49"/>
    </row>
    <row r="416" spans="16:16" x14ac:dyDescent="0.2">
      <c r="P416" s="49"/>
    </row>
    <row r="417" spans="16:16" x14ac:dyDescent="0.2">
      <c r="P417" s="49"/>
    </row>
    <row r="418" spans="16:16" x14ac:dyDescent="0.2">
      <c r="P418" s="49"/>
    </row>
    <row r="419" spans="16:16" x14ac:dyDescent="0.2">
      <c r="P419" s="49"/>
    </row>
    <row r="420" spans="16:16" x14ac:dyDescent="0.2">
      <c r="P420" s="49"/>
    </row>
    <row r="421" spans="16:16" x14ac:dyDescent="0.2">
      <c r="P421" s="49"/>
    </row>
    <row r="422" spans="16:16" x14ac:dyDescent="0.2">
      <c r="P422" s="49"/>
    </row>
    <row r="423" spans="16:16" x14ac:dyDescent="0.2">
      <c r="P423" s="49"/>
    </row>
    <row r="424" spans="16:16" x14ac:dyDescent="0.2">
      <c r="P424" s="49"/>
    </row>
    <row r="425" spans="16:16" x14ac:dyDescent="0.2">
      <c r="P425" s="49"/>
    </row>
    <row r="426" spans="16:16" x14ac:dyDescent="0.2">
      <c r="P426" s="49"/>
    </row>
    <row r="427" spans="16:16" x14ac:dyDescent="0.2">
      <c r="P427" s="49"/>
    </row>
    <row r="428" spans="16:16" x14ac:dyDescent="0.2">
      <c r="P428" s="49"/>
    </row>
    <row r="429" spans="16:16" x14ac:dyDescent="0.2">
      <c r="P429" s="49"/>
    </row>
    <row r="430" spans="16:16" x14ac:dyDescent="0.2">
      <c r="P430" s="49"/>
    </row>
    <row r="431" spans="16:16" x14ac:dyDescent="0.2">
      <c r="P431" s="49"/>
    </row>
    <row r="432" spans="16:16" x14ac:dyDescent="0.2">
      <c r="P432" s="49"/>
    </row>
    <row r="433" spans="16:16" x14ac:dyDescent="0.2">
      <c r="P433" s="49"/>
    </row>
    <row r="434" spans="16:16" x14ac:dyDescent="0.2">
      <c r="P434" s="49"/>
    </row>
    <row r="435" spans="16:16" x14ac:dyDescent="0.2">
      <c r="P435" s="49"/>
    </row>
    <row r="436" spans="16:16" x14ac:dyDescent="0.2">
      <c r="P436" s="49"/>
    </row>
    <row r="437" spans="16:16" x14ac:dyDescent="0.2">
      <c r="P437" s="49"/>
    </row>
    <row r="438" spans="16:16" x14ac:dyDescent="0.2">
      <c r="P438" s="49"/>
    </row>
    <row r="439" spans="16:16" x14ac:dyDescent="0.2">
      <c r="P439" s="49"/>
    </row>
    <row r="440" spans="16:16" x14ac:dyDescent="0.2">
      <c r="P440" s="49"/>
    </row>
    <row r="441" spans="16:16" x14ac:dyDescent="0.2">
      <c r="P441" s="49"/>
    </row>
    <row r="442" spans="16:16" x14ac:dyDescent="0.2">
      <c r="P442" s="49"/>
    </row>
    <row r="443" spans="16:16" x14ac:dyDescent="0.2">
      <c r="P443" s="49"/>
    </row>
    <row r="444" spans="16:16" x14ac:dyDescent="0.2">
      <c r="P444" s="49"/>
    </row>
    <row r="445" spans="16:16" x14ac:dyDescent="0.2">
      <c r="P445" s="49"/>
    </row>
    <row r="446" spans="16:16" x14ac:dyDescent="0.2">
      <c r="P446" s="49"/>
    </row>
    <row r="447" spans="16:16" x14ac:dyDescent="0.2">
      <c r="P447" s="49"/>
    </row>
    <row r="448" spans="16:16" x14ac:dyDescent="0.2">
      <c r="P448" s="49"/>
    </row>
    <row r="449" spans="16:16" x14ac:dyDescent="0.2">
      <c r="P449" s="49"/>
    </row>
    <row r="450" spans="16:16" x14ac:dyDescent="0.2">
      <c r="P450" s="49"/>
    </row>
    <row r="451" spans="16:16" x14ac:dyDescent="0.2">
      <c r="P451" s="49"/>
    </row>
    <row r="452" spans="16:16" x14ac:dyDescent="0.2">
      <c r="P452" s="49"/>
    </row>
    <row r="453" spans="16:16" x14ac:dyDescent="0.2">
      <c r="P453" s="49"/>
    </row>
    <row r="454" spans="16:16" x14ac:dyDescent="0.2">
      <c r="P454" s="49"/>
    </row>
    <row r="455" spans="16:16" x14ac:dyDescent="0.2">
      <c r="P455" s="49"/>
    </row>
    <row r="456" spans="16:16" x14ac:dyDescent="0.2">
      <c r="P456" s="49"/>
    </row>
    <row r="457" spans="16:16" x14ac:dyDescent="0.2">
      <c r="P457" s="49"/>
    </row>
    <row r="458" spans="16:16" x14ac:dyDescent="0.2">
      <c r="P458" s="49"/>
    </row>
    <row r="459" spans="16:16" x14ac:dyDescent="0.2">
      <c r="P459" s="49"/>
    </row>
    <row r="460" spans="16:16" x14ac:dyDescent="0.2">
      <c r="P460" s="49"/>
    </row>
    <row r="461" spans="16:16" x14ac:dyDescent="0.2">
      <c r="P461" s="49"/>
    </row>
    <row r="462" spans="16:16" x14ac:dyDescent="0.2">
      <c r="P462" s="49"/>
    </row>
    <row r="463" spans="16:16" x14ac:dyDescent="0.2">
      <c r="P463" s="49"/>
    </row>
    <row r="464" spans="16:16" x14ac:dyDescent="0.2">
      <c r="P464" s="49"/>
    </row>
    <row r="465" spans="16:16" x14ac:dyDescent="0.2">
      <c r="P465" s="49"/>
    </row>
    <row r="466" spans="16:16" x14ac:dyDescent="0.2">
      <c r="P466" s="49"/>
    </row>
    <row r="467" spans="16:16" x14ac:dyDescent="0.2">
      <c r="P467" s="49"/>
    </row>
    <row r="468" spans="16:16" x14ac:dyDescent="0.2">
      <c r="P468" s="49"/>
    </row>
    <row r="469" spans="16:16" x14ac:dyDescent="0.2">
      <c r="P469" s="49"/>
    </row>
    <row r="470" spans="16:16" x14ac:dyDescent="0.2">
      <c r="P470" s="49"/>
    </row>
    <row r="471" spans="16:16" x14ac:dyDescent="0.2">
      <c r="P471" s="49"/>
    </row>
    <row r="472" spans="16:16" x14ac:dyDescent="0.2">
      <c r="P472" s="49"/>
    </row>
    <row r="473" spans="16:16" x14ac:dyDescent="0.2">
      <c r="P473" s="49"/>
    </row>
    <row r="474" spans="16:16" x14ac:dyDescent="0.2">
      <c r="P474" s="49"/>
    </row>
    <row r="475" spans="16:16" x14ac:dyDescent="0.2">
      <c r="P475" s="49"/>
    </row>
    <row r="476" spans="16:16" x14ac:dyDescent="0.2">
      <c r="P476" s="49"/>
    </row>
    <row r="477" spans="16:16" x14ac:dyDescent="0.2">
      <c r="P477" s="49"/>
    </row>
    <row r="478" spans="16:16" x14ac:dyDescent="0.2">
      <c r="P478" s="49"/>
    </row>
    <row r="479" spans="16:16" x14ac:dyDescent="0.2">
      <c r="P479" s="49"/>
    </row>
    <row r="480" spans="16:16" x14ac:dyDescent="0.2">
      <c r="P480" s="49"/>
    </row>
    <row r="481" spans="16:16" x14ac:dyDescent="0.2">
      <c r="P481" s="49"/>
    </row>
    <row r="482" spans="16:16" x14ac:dyDescent="0.2">
      <c r="P482" s="49"/>
    </row>
    <row r="483" spans="16:16" x14ac:dyDescent="0.2">
      <c r="P483" s="49"/>
    </row>
    <row r="484" spans="16:16" x14ac:dyDescent="0.2">
      <c r="P484" s="49"/>
    </row>
    <row r="485" spans="16:16" x14ac:dyDescent="0.2">
      <c r="P485" s="49"/>
    </row>
    <row r="486" spans="16:16" x14ac:dyDescent="0.2">
      <c r="P486" s="49"/>
    </row>
    <row r="487" spans="16:16" x14ac:dyDescent="0.2">
      <c r="P487" s="49"/>
    </row>
    <row r="488" spans="16:16" x14ac:dyDescent="0.2">
      <c r="P488" s="49"/>
    </row>
    <row r="489" spans="16:16" x14ac:dyDescent="0.2">
      <c r="P489" s="49"/>
    </row>
    <row r="490" spans="16:16" x14ac:dyDescent="0.2">
      <c r="P490" s="49"/>
    </row>
    <row r="491" spans="16:16" x14ac:dyDescent="0.2">
      <c r="P491" s="49"/>
    </row>
    <row r="492" spans="16:16" x14ac:dyDescent="0.2">
      <c r="P492" s="49"/>
    </row>
    <row r="493" spans="16:16" x14ac:dyDescent="0.2">
      <c r="P493" s="49"/>
    </row>
    <row r="494" spans="16:16" x14ac:dyDescent="0.2">
      <c r="P494" s="49"/>
    </row>
    <row r="495" spans="16:16" x14ac:dyDescent="0.2">
      <c r="P495" s="49"/>
    </row>
    <row r="496" spans="16:16" x14ac:dyDescent="0.2">
      <c r="P496" s="49"/>
    </row>
    <row r="497" spans="16:16" x14ac:dyDescent="0.2">
      <c r="P497" s="49"/>
    </row>
    <row r="498" spans="16:16" x14ac:dyDescent="0.2">
      <c r="P498" s="49"/>
    </row>
    <row r="499" spans="16:16" x14ac:dyDescent="0.2">
      <c r="P499" s="49"/>
    </row>
    <row r="500" spans="16:16" x14ac:dyDescent="0.2">
      <c r="P500" s="49"/>
    </row>
    <row r="501" spans="16:16" x14ac:dyDescent="0.2">
      <c r="P501" s="49"/>
    </row>
    <row r="502" spans="16:16" x14ac:dyDescent="0.2">
      <c r="P502" s="49"/>
    </row>
    <row r="503" spans="16:16" x14ac:dyDescent="0.2">
      <c r="P503" s="49"/>
    </row>
    <row r="504" spans="16:16" x14ac:dyDescent="0.2">
      <c r="P504" s="49"/>
    </row>
    <row r="505" spans="16:16" x14ac:dyDescent="0.2">
      <c r="P505" s="49"/>
    </row>
    <row r="506" spans="16:16" x14ac:dyDescent="0.2">
      <c r="P506" s="49"/>
    </row>
    <row r="507" spans="16:16" x14ac:dyDescent="0.2">
      <c r="P507" s="49"/>
    </row>
    <row r="508" spans="16:16" x14ac:dyDescent="0.2">
      <c r="P508" s="49"/>
    </row>
    <row r="509" spans="16:16" x14ac:dyDescent="0.2">
      <c r="P509" s="49"/>
    </row>
    <row r="510" spans="16:16" x14ac:dyDescent="0.2">
      <c r="P510" s="49"/>
    </row>
    <row r="511" spans="16:16" x14ac:dyDescent="0.2">
      <c r="P511" s="49"/>
    </row>
    <row r="512" spans="16:16" x14ac:dyDescent="0.2">
      <c r="P512" s="49"/>
    </row>
    <row r="513" spans="16:16" x14ac:dyDescent="0.2">
      <c r="P513" s="49"/>
    </row>
    <row r="514" spans="16:16" x14ac:dyDescent="0.2">
      <c r="P514" s="49"/>
    </row>
    <row r="515" spans="16:16" x14ac:dyDescent="0.2">
      <c r="P515" s="49"/>
    </row>
    <row r="516" spans="16:16" x14ac:dyDescent="0.2">
      <c r="P516" s="49"/>
    </row>
    <row r="517" spans="16:16" x14ac:dyDescent="0.2">
      <c r="P517" s="49"/>
    </row>
    <row r="518" spans="16:16" x14ac:dyDescent="0.2">
      <c r="P518" s="49"/>
    </row>
    <row r="519" spans="16:16" x14ac:dyDescent="0.2">
      <c r="P519" s="49"/>
    </row>
    <row r="520" spans="16:16" x14ac:dyDescent="0.2">
      <c r="P520" s="49"/>
    </row>
    <row r="521" spans="16:16" x14ac:dyDescent="0.2">
      <c r="P521" s="49"/>
    </row>
    <row r="522" spans="16:16" x14ac:dyDescent="0.2">
      <c r="P522" s="49"/>
    </row>
    <row r="523" spans="16:16" x14ac:dyDescent="0.2">
      <c r="P523" s="49"/>
    </row>
    <row r="524" spans="16:16" x14ac:dyDescent="0.2">
      <c r="P524" s="49"/>
    </row>
    <row r="525" spans="16:16" x14ac:dyDescent="0.2">
      <c r="P525" s="49"/>
    </row>
    <row r="526" spans="16:16" x14ac:dyDescent="0.2">
      <c r="P526" s="49"/>
    </row>
    <row r="527" spans="16:16" x14ac:dyDescent="0.2">
      <c r="P527" s="49"/>
    </row>
    <row r="528" spans="16:16" x14ac:dyDescent="0.2">
      <c r="P528" s="49"/>
    </row>
    <row r="529" spans="16:16" x14ac:dyDescent="0.2">
      <c r="P529" s="49"/>
    </row>
    <row r="530" spans="16:16" x14ac:dyDescent="0.2">
      <c r="P530" s="49"/>
    </row>
    <row r="531" spans="16:16" x14ac:dyDescent="0.2">
      <c r="P531" s="49"/>
    </row>
    <row r="532" spans="16:16" x14ac:dyDescent="0.2">
      <c r="P532" s="49"/>
    </row>
    <row r="533" spans="16:16" x14ac:dyDescent="0.2">
      <c r="P533" s="49"/>
    </row>
    <row r="534" spans="16:16" x14ac:dyDescent="0.2">
      <c r="P534" s="49"/>
    </row>
    <row r="535" spans="16:16" x14ac:dyDescent="0.2">
      <c r="P535" s="49"/>
    </row>
    <row r="536" spans="16:16" x14ac:dyDescent="0.2">
      <c r="P536" s="49"/>
    </row>
    <row r="537" spans="16:16" x14ac:dyDescent="0.2">
      <c r="P537" s="49"/>
    </row>
    <row r="538" spans="16:16" x14ac:dyDescent="0.2">
      <c r="P538" s="49"/>
    </row>
    <row r="539" spans="16:16" x14ac:dyDescent="0.2">
      <c r="P539" s="49"/>
    </row>
    <row r="540" spans="16:16" x14ac:dyDescent="0.2">
      <c r="P540" s="49"/>
    </row>
    <row r="541" spans="16:16" x14ac:dyDescent="0.2">
      <c r="P541" s="49"/>
    </row>
    <row r="542" spans="16:16" x14ac:dyDescent="0.2">
      <c r="P542" s="49"/>
    </row>
    <row r="543" spans="16:16" x14ac:dyDescent="0.2">
      <c r="P543" s="49"/>
    </row>
    <row r="544" spans="16:16" x14ac:dyDescent="0.2">
      <c r="P544" s="49"/>
    </row>
    <row r="545" spans="16:16" x14ac:dyDescent="0.2">
      <c r="P545" s="49"/>
    </row>
    <row r="546" spans="16:16" x14ac:dyDescent="0.2">
      <c r="P546" s="49"/>
    </row>
    <row r="547" spans="16:16" x14ac:dyDescent="0.2">
      <c r="P547" s="49"/>
    </row>
    <row r="548" spans="16:16" x14ac:dyDescent="0.2">
      <c r="P548" s="49"/>
    </row>
    <row r="549" spans="16:16" x14ac:dyDescent="0.2">
      <c r="P549" s="49"/>
    </row>
    <row r="550" spans="16:16" x14ac:dyDescent="0.2">
      <c r="P550" s="49"/>
    </row>
    <row r="551" spans="16:16" x14ac:dyDescent="0.2">
      <c r="P551" s="49"/>
    </row>
    <row r="552" spans="16:16" x14ac:dyDescent="0.2">
      <c r="P552" s="49"/>
    </row>
    <row r="553" spans="16:16" x14ac:dyDescent="0.2">
      <c r="P553" s="49"/>
    </row>
    <row r="554" spans="16:16" x14ac:dyDescent="0.2">
      <c r="P554" s="49"/>
    </row>
    <row r="555" spans="16:16" x14ac:dyDescent="0.2">
      <c r="P555" s="49"/>
    </row>
    <row r="556" spans="16:16" x14ac:dyDescent="0.2">
      <c r="P556" s="49"/>
    </row>
    <row r="557" spans="16:16" x14ac:dyDescent="0.2">
      <c r="P557" s="49"/>
    </row>
    <row r="558" spans="16:16" x14ac:dyDescent="0.2">
      <c r="P558" s="49"/>
    </row>
    <row r="559" spans="16:16" x14ac:dyDescent="0.2">
      <c r="P559" s="49"/>
    </row>
    <row r="560" spans="16:16" x14ac:dyDescent="0.2">
      <c r="P560" s="49"/>
    </row>
    <row r="561" spans="16:16" x14ac:dyDescent="0.2">
      <c r="P561" s="49"/>
    </row>
    <row r="562" spans="16:16" x14ac:dyDescent="0.2">
      <c r="P562" s="49"/>
    </row>
    <row r="563" spans="16:16" x14ac:dyDescent="0.2">
      <c r="P563" s="49"/>
    </row>
    <row r="564" spans="16:16" x14ac:dyDescent="0.2">
      <c r="P564" s="49"/>
    </row>
    <row r="565" spans="16:16" x14ac:dyDescent="0.2">
      <c r="P565" s="49"/>
    </row>
    <row r="566" spans="16:16" x14ac:dyDescent="0.2">
      <c r="P566" s="49"/>
    </row>
    <row r="567" spans="16:16" x14ac:dyDescent="0.2">
      <c r="P567" s="49"/>
    </row>
    <row r="568" spans="16:16" x14ac:dyDescent="0.2">
      <c r="P568" s="49"/>
    </row>
    <row r="569" spans="16:16" x14ac:dyDescent="0.2">
      <c r="P569" s="49"/>
    </row>
    <row r="570" spans="16:16" x14ac:dyDescent="0.2">
      <c r="P570" s="49"/>
    </row>
    <row r="571" spans="16:16" x14ac:dyDescent="0.2">
      <c r="P571" s="49"/>
    </row>
    <row r="572" spans="16:16" x14ac:dyDescent="0.2">
      <c r="P572" s="49"/>
    </row>
    <row r="573" spans="16:16" x14ac:dyDescent="0.2">
      <c r="P573" s="49"/>
    </row>
    <row r="574" spans="16:16" x14ac:dyDescent="0.2">
      <c r="P574" s="49"/>
    </row>
    <row r="575" spans="16:16" x14ac:dyDescent="0.2">
      <c r="P575" s="49"/>
    </row>
    <row r="576" spans="16:16" x14ac:dyDescent="0.2">
      <c r="P576" s="49"/>
    </row>
    <row r="577" spans="16:16" x14ac:dyDescent="0.2">
      <c r="P577" s="49"/>
    </row>
    <row r="578" spans="16:16" x14ac:dyDescent="0.2">
      <c r="P578" s="49"/>
    </row>
    <row r="579" spans="16:16" x14ac:dyDescent="0.2">
      <c r="P579" s="49"/>
    </row>
    <row r="580" spans="16:16" x14ac:dyDescent="0.2">
      <c r="P580" s="49"/>
    </row>
    <row r="581" spans="16:16" x14ac:dyDescent="0.2">
      <c r="P581" s="49"/>
    </row>
    <row r="582" spans="16:16" x14ac:dyDescent="0.2">
      <c r="P582" s="49"/>
    </row>
    <row r="583" spans="16:16" x14ac:dyDescent="0.2">
      <c r="P583" s="49"/>
    </row>
    <row r="584" spans="16:16" x14ac:dyDescent="0.2">
      <c r="P584" s="49"/>
    </row>
    <row r="585" spans="16:16" x14ac:dyDescent="0.2">
      <c r="P585" s="49"/>
    </row>
    <row r="586" spans="16:16" x14ac:dyDescent="0.2">
      <c r="P586" s="49"/>
    </row>
    <row r="587" spans="16:16" x14ac:dyDescent="0.2">
      <c r="P587" s="49"/>
    </row>
    <row r="588" spans="16:16" x14ac:dyDescent="0.2">
      <c r="P588" s="49"/>
    </row>
    <row r="589" spans="16:16" x14ac:dyDescent="0.2">
      <c r="P589" s="49"/>
    </row>
    <row r="590" spans="16:16" x14ac:dyDescent="0.2">
      <c r="P590" s="49"/>
    </row>
    <row r="591" spans="16:16" x14ac:dyDescent="0.2">
      <c r="P591" s="49"/>
    </row>
    <row r="592" spans="16:16" x14ac:dyDescent="0.2">
      <c r="P592" s="49"/>
    </row>
    <row r="593" spans="16:16" x14ac:dyDescent="0.2">
      <c r="P593" s="49"/>
    </row>
    <row r="594" spans="16:16" x14ac:dyDescent="0.2">
      <c r="P594" s="49"/>
    </row>
    <row r="595" spans="16:16" x14ac:dyDescent="0.2">
      <c r="P595" s="49"/>
    </row>
    <row r="596" spans="16:16" x14ac:dyDescent="0.2">
      <c r="P596" s="49"/>
    </row>
    <row r="597" spans="16:16" x14ac:dyDescent="0.2">
      <c r="P597" s="49"/>
    </row>
    <row r="598" spans="16:16" x14ac:dyDescent="0.2">
      <c r="P598" s="49"/>
    </row>
    <row r="599" spans="16:16" x14ac:dyDescent="0.2">
      <c r="P599" s="49"/>
    </row>
    <row r="600" spans="16:16" x14ac:dyDescent="0.2">
      <c r="P600" s="49"/>
    </row>
    <row r="601" spans="16:16" x14ac:dyDescent="0.2">
      <c r="P601" s="49"/>
    </row>
    <row r="602" spans="16:16" x14ac:dyDescent="0.2">
      <c r="P602" s="49"/>
    </row>
    <row r="603" spans="16:16" x14ac:dyDescent="0.2">
      <c r="P603" s="49"/>
    </row>
    <row r="604" spans="16:16" x14ac:dyDescent="0.2">
      <c r="P604" s="49"/>
    </row>
    <row r="605" spans="16:16" x14ac:dyDescent="0.2">
      <c r="P605" s="49"/>
    </row>
    <row r="606" spans="16:16" x14ac:dyDescent="0.2">
      <c r="P606" s="49"/>
    </row>
    <row r="607" spans="16:16" x14ac:dyDescent="0.2">
      <c r="P607" s="49"/>
    </row>
    <row r="608" spans="16:16" x14ac:dyDescent="0.2">
      <c r="P608" s="49"/>
    </row>
    <row r="609" spans="16:16" x14ac:dyDescent="0.2">
      <c r="P609" s="49"/>
    </row>
    <row r="610" spans="16:16" x14ac:dyDescent="0.2">
      <c r="P610" s="49"/>
    </row>
    <row r="611" spans="16:16" x14ac:dyDescent="0.2">
      <c r="P611" s="49"/>
    </row>
    <row r="612" spans="16:16" x14ac:dyDescent="0.2">
      <c r="P612" s="49"/>
    </row>
    <row r="613" spans="16:16" x14ac:dyDescent="0.2">
      <c r="P613" s="49"/>
    </row>
    <row r="614" spans="16:16" x14ac:dyDescent="0.2">
      <c r="P614" s="49"/>
    </row>
    <row r="615" spans="16:16" x14ac:dyDescent="0.2">
      <c r="P615" s="49"/>
    </row>
    <row r="616" spans="16:16" x14ac:dyDescent="0.2">
      <c r="P616" s="49"/>
    </row>
    <row r="617" spans="16:16" x14ac:dyDescent="0.2">
      <c r="P617" s="49"/>
    </row>
    <row r="618" spans="16:16" x14ac:dyDescent="0.2">
      <c r="P618" s="49"/>
    </row>
    <row r="619" spans="16:16" x14ac:dyDescent="0.2">
      <c r="P619" s="49"/>
    </row>
    <row r="620" spans="16:16" x14ac:dyDescent="0.2">
      <c r="P620" s="49"/>
    </row>
    <row r="621" spans="16:16" x14ac:dyDescent="0.2">
      <c r="P621" s="49"/>
    </row>
    <row r="622" spans="16:16" x14ac:dyDescent="0.2">
      <c r="P622" s="49"/>
    </row>
    <row r="623" spans="16:16" x14ac:dyDescent="0.2">
      <c r="P623" s="49"/>
    </row>
    <row r="624" spans="16:16" x14ac:dyDescent="0.2">
      <c r="P624" s="49"/>
    </row>
    <row r="625" spans="16:16" x14ac:dyDescent="0.2">
      <c r="P625" s="49"/>
    </row>
    <row r="626" spans="16:16" x14ac:dyDescent="0.2">
      <c r="P626" s="49"/>
    </row>
    <row r="627" spans="16:16" x14ac:dyDescent="0.2">
      <c r="P627" s="49"/>
    </row>
    <row r="628" spans="16:16" x14ac:dyDescent="0.2">
      <c r="P628" s="49"/>
    </row>
    <row r="629" spans="16:16" x14ac:dyDescent="0.2">
      <c r="P629" s="49"/>
    </row>
    <row r="630" spans="16:16" x14ac:dyDescent="0.2">
      <c r="P630" s="49"/>
    </row>
    <row r="631" spans="16:16" x14ac:dyDescent="0.2">
      <c r="P631" s="49"/>
    </row>
    <row r="632" spans="16:16" x14ac:dyDescent="0.2">
      <c r="P632" s="49"/>
    </row>
    <row r="633" spans="16:16" x14ac:dyDescent="0.2">
      <c r="P633" s="49"/>
    </row>
    <row r="634" spans="16:16" x14ac:dyDescent="0.2">
      <c r="P634" s="49"/>
    </row>
    <row r="635" spans="16:16" x14ac:dyDescent="0.2">
      <c r="P635" s="49"/>
    </row>
    <row r="636" spans="16:16" x14ac:dyDescent="0.2">
      <c r="P636" s="49"/>
    </row>
    <row r="637" spans="16:16" x14ac:dyDescent="0.2">
      <c r="P637" s="49"/>
    </row>
    <row r="638" spans="16:16" x14ac:dyDescent="0.2">
      <c r="P638" s="49"/>
    </row>
    <row r="639" spans="16:16" x14ac:dyDescent="0.2">
      <c r="P639" s="49"/>
    </row>
    <row r="640" spans="16:16" x14ac:dyDescent="0.2">
      <c r="P640" s="49"/>
    </row>
    <row r="641" spans="16:16" x14ac:dyDescent="0.2">
      <c r="P641" s="49"/>
    </row>
    <row r="642" spans="16:16" x14ac:dyDescent="0.2">
      <c r="P642" s="49"/>
    </row>
    <row r="643" spans="16:16" x14ac:dyDescent="0.2">
      <c r="P643" s="49"/>
    </row>
    <row r="644" spans="16:16" x14ac:dyDescent="0.2">
      <c r="P644" s="49"/>
    </row>
    <row r="645" spans="16:16" x14ac:dyDescent="0.2">
      <c r="P645" s="49"/>
    </row>
    <row r="646" spans="16:16" x14ac:dyDescent="0.2">
      <c r="P646" s="49"/>
    </row>
    <row r="647" spans="16:16" x14ac:dyDescent="0.2">
      <c r="P647" s="49"/>
    </row>
    <row r="648" spans="16:16" x14ac:dyDescent="0.2">
      <c r="P648" s="49"/>
    </row>
    <row r="649" spans="16:16" x14ac:dyDescent="0.2">
      <c r="P649" s="49"/>
    </row>
    <row r="650" spans="16:16" x14ac:dyDescent="0.2">
      <c r="P650" s="49"/>
    </row>
    <row r="651" spans="16:16" x14ac:dyDescent="0.2">
      <c r="P651" s="49"/>
    </row>
    <row r="652" spans="16:16" x14ac:dyDescent="0.2">
      <c r="P652" s="49"/>
    </row>
    <row r="653" spans="16:16" x14ac:dyDescent="0.2">
      <c r="P653" s="49"/>
    </row>
    <row r="654" spans="16:16" x14ac:dyDescent="0.2">
      <c r="P654" s="49"/>
    </row>
    <row r="655" spans="16:16" x14ac:dyDescent="0.2">
      <c r="P655" s="49"/>
    </row>
    <row r="656" spans="16:16" x14ac:dyDescent="0.2">
      <c r="P656" s="49"/>
    </row>
    <row r="657" spans="16:16" x14ac:dyDescent="0.2">
      <c r="P657" s="49"/>
    </row>
    <row r="658" spans="16:16" x14ac:dyDescent="0.2">
      <c r="P658" s="49"/>
    </row>
    <row r="659" spans="16:16" x14ac:dyDescent="0.2">
      <c r="P659" s="49"/>
    </row>
    <row r="660" spans="16:16" x14ac:dyDescent="0.2">
      <c r="P660" s="49"/>
    </row>
    <row r="661" spans="16:16" x14ac:dyDescent="0.2">
      <c r="P661" s="49"/>
    </row>
    <row r="662" spans="16:16" x14ac:dyDescent="0.2">
      <c r="P662" s="49"/>
    </row>
    <row r="663" spans="16:16" x14ac:dyDescent="0.2">
      <c r="P663" s="49"/>
    </row>
    <row r="664" spans="16:16" x14ac:dyDescent="0.2">
      <c r="P664" s="49"/>
    </row>
    <row r="665" spans="16:16" x14ac:dyDescent="0.2">
      <c r="P665" s="49"/>
    </row>
    <row r="666" spans="16:16" x14ac:dyDescent="0.2">
      <c r="P666" s="49"/>
    </row>
    <row r="667" spans="16:16" x14ac:dyDescent="0.2">
      <c r="P667" s="49"/>
    </row>
    <row r="668" spans="16:16" x14ac:dyDescent="0.2">
      <c r="P668" s="49"/>
    </row>
    <row r="669" spans="16:16" x14ac:dyDescent="0.2">
      <c r="P669" s="49"/>
    </row>
    <row r="670" spans="16:16" x14ac:dyDescent="0.2">
      <c r="P670" s="49"/>
    </row>
    <row r="671" spans="16:16" x14ac:dyDescent="0.2">
      <c r="P671" s="49"/>
    </row>
    <row r="672" spans="16:16" x14ac:dyDescent="0.2">
      <c r="P672" s="49"/>
    </row>
    <row r="673" spans="16:16" x14ac:dyDescent="0.2">
      <c r="P673" s="49"/>
    </row>
    <row r="674" spans="16:16" x14ac:dyDescent="0.2">
      <c r="P674" s="49"/>
    </row>
    <row r="675" spans="16:16" x14ac:dyDescent="0.2">
      <c r="P675" s="49"/>
    </row>
    <row r="676" spans="16:16" x14ac:dyDescent="0.2">
      <c r="P676" s="49"/>
    </row>
    <row r="677" spans="16:16" x14ac:dyDescent="0.2">
      <c r="P677" s="49"/>
    </row>
    <row r="678" spans="16:16" x14ac:dyDescent="0.2">
      <c r="P678" s="49"/>
    </row>
    <row r="679" spans="16:16" x14ac:dyDescent="0.2">
      <c r="P679" s="49"/>
    </row>
    <row r="680" spans="16:16" x14ac:dyDescent="0.2">
      <c r="P680" s="49"/>
    </row>
    <row r="681" spans="16:16" x14ac:dyDescent="0.2">
      <c r="P681" s="49"/>
    </row>
    <row r="682" spans="16:16" x14ac:dyDescent="0.2">
      <c r="P682" s="49"/>
    </row>
    <row r="683" spans="16:16" x14ac:dyDescent="0.2">
      <c r="P683" s="49"/>
    </row>
    <row r="684" spans="16:16" x14ac:dyDescent="0.2">
      <c r="P684" s="49"/>
    </row>
    <row r="685" spans="16:16" x14ac:dyDescent="0.2">
      <c r="P685" s="49"/>
    </row>
    <row r="686" spans="16:16" x14ac:dyDescent="0.2">
      <c r="P686" s="49"/>
    </row>
    <row r="687" spans="16:16" x14ac:dyDescent="0.2">
      <c r="P687" s="49"/>
    </row>
    <row r="688" spans="16:16" x14ac:dyDescent="0.2">
      <c r="P688" s="49"/>
    </row>
    <row r="689" spans="16:16" x14ac:dyDescent="0.2">
      <c r="P689" s="49"/>
    </row>
    <row r="690" spans="16:16" x14ac:dyDescent="0.2">
      <c r="P690" s="49"/>
    </row>
    <row r="691" spans="16:16" x14ac:dyDescent="0.2">
      <c r="P691" s="49"/>
    </row>
    <row r="692" spans="16:16" x14ac:dyDescent="0.2">
      <c r="P692" s="49"/>
    </row>
    <row r="693" spans="16:16" x14ac:dyDescent="0.2">
      <c r="P693" s="49"/>
    </row>
    <row r="694" spans="16:16" x14ac:dyDescent="0.2">
      <c r="P694" s="49"/>
    </row>
    <row r="695" spans="16:16" x14ac:dyDescent="0.2">
      <c r="P695" s="49"/>
    </row>
    <row r="696" spans="16:16" x14ac:dyDescent="0.2">
      <c r="P696" s="49"/>
    </row>
    <row r="697" spans="16:16" x14ac:dyDescent="0.2">
      <c r="P697" s="49"/>
    </row>
    <row r="698" spans="16:16" x14ac:dyDescent="0.2">
      <c r="P698" s="49"/>
    </row>
    <row r="699" spans="16:16" x14ac:dyDescent="0.2">
      <c r="P699" s="49"/>
    </row>
    <row r="700" spans="16:16" x14ac:dyDescent="0.2">
      <c r="P700" s="49"/>
    </row>
    <row r="701" spans="16:16" x14ac:dyDescent="0.2">
      <c r="P701" s="49"/>
    </row>
    <row r="702" spans="16:16" x14ac:dyDescent="0.2">
      <c r="P702" s="49"/>
    </row>
  </sheetData>
  <sortState ref="C39:D41">
    <sortCondition descending="1" ref="D39"/>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56" t="s">
        <v>159</v>
      </c>
      <c r="D3" s="256"/>
      <c r="E3" s="256"/>
      <c r="F3" s="256"/>
      <c r="G3" s="256"/>
      <c r="H3" s="256"/>
      <c r="I3" s="256"/>
      <c r="J3" s="256"/>
      <c r="K3" s="256"/>
      <c r="L3" s="256"/>
      <c r="M3" s="257"/>
    </row>
    <row r="4" spans="2:19" ht="15.75" x14ac:dyDescent="0.25">
      <c r="B4" s="93"/>
      <c r="C4" s="67" t="s">
        <v>356</v>
      </c>
      <c r="D4" s="29"/>
      <c r="E4" s="29"/>
      <c r="F4" s="5"/>
      <c r="G4" s="5"/>
      <c r="H4" s="5"/>
      <c r="I4" s="5"/>
      <c r="J4" s="5"/>
      <c r="K4" s="5"/>
      <c r="L4" s="5"/>
      <c r="M4" s="20"/>
    </row>
    <row r="5" spans="2:19" ht="20.25" customHeight="1" x14ac:dyDescent="0.25">
      <c r="B5" s="93"/>
      <c r="C5" s="222" t="s">
        <v>357</v>
      </c>
      <c r="D5" s="94" t="s">
        <v>380</v>
      </c>
      <c r="E5" s="19"/>
      <c r="F5" s="5"/>
      <c r="G5" s="5"/>
      <c r="H5" s="5"/>
      <c r="I5" s="5"/>
      <c r="J5" s="5"/>
      <c r="K5" s="5"/>
      <c r="L5" s="5"/>
      <c r="M5" s="20"/>
    </row>
    <row r="6" spans="2:19" x14ac:dyDescent="0.2">
      <c r="B6" s="93"/>
      <c r="C6" s="5"/>
      <c r="D6" s="5"/>
      <c r="E6" s="5"/>
      <c r="F6" s="5"/>
      <c r="G6" s="5"/>
      <c r="H6" s="5"/>
      <c r="I6" s="5"/>
      <c r="J6" s="5"/>
      <c r="K6" s="5"/>
      <c r="L6" s="5"/>
      <c r="M6" s="20"/>
    </row>
    <row r="7" spans="2:19" ht="32.25" customHeight="1" x14ac:dyDescent="0.2">
      <c r="B7" s="93"/>
      <c r="C7" s="95" t="s">
        <v>43</v>
      </c>
      <c r="D7" s="95" t="s">
        <v>45</v>
      </c>
      <c r="E7" s="5"/>
      <c r="F7" s="258" t="s">
        <v>50</v>
      </c>
      <c r="G7" s="258"/>
      <c r="H7" s="258"/>
      <c r="I7" s="258"/>
      <c r="J7" s="258"/>
      <c r="K7" s="258"/>
      <c r="L7" s="258"/>
      <c r="M7" s="259"/>
    </row>
    <row r="8" spans="2:19" x14ac:dyDescent="0.2">
      <c r="B8" s="93"/>
      <c r="C8" s="4" t="s">
        <v>178</v>
      </c>
      <c r="D8" s="182">
        <v>0.24915699999999999</v>
      </c>
      <c r="E8" s="5"/>
      <c r="F8" s="5"/>
      <c r="G8" s="31"/>
      <c r="H8" s="5"/>
      <c r="I8" s="97" t="s">
        <v>51</v>
      </c>
      <c r="J8" s="98">
        <f>D11</f>
        <v>0.466474</v>
      </c>
      <c r="K8" s="5"/>
      <c r="L8" s="5"/>
      <c r="M8" s="20"/>
      <c r="S8" s="49"/>
    </row>
    <row r="9" spans="2:19" ht="15.75" customHeight="1" x14ac:dyDescent="0.2">
      <c r="B9" s="93"/>
      <c r="C9" s="4" t="s">
        <v>177</v>
      </c>
      <c r="D9" s="182">
        <v>0.120812</v>
      </c>
      <c r="E9" s="5"/>
      <c r="F9" s="5"/>
      <c r="G9" s="5"/>
      <c r="H9" s="5"/>
      <c r="I9" s="97" t="s">
        <v>53</v>
      </c>
      <c r="J9" s="99">
        <f>D17</f>
        <v>0.51456099999999994</v>
      </c>
      <c r="K9" s="5"/>
      <c r="L9" s="5"/>
      <c r="M9" s="20"/>
      <c r="S9" s="49"/>
    </row>
    <row r="10" spans="2:19" x14ac:dyDescent="0.2">
      <c r="B10" s="93"/>
      <c r="C10" s="38" t="s">
        <v>181</v>
      </c>
      <c r="D10" s="201">
        <v>9.6504999999999994E-2</v>
      </c>
      <c r="E10" s="5"/>
      <c r="F10" s="5"/>
      <c r="G10" s="5"/>
      <c r="H10" s="5"/>
      <c r="I10" s="97" t="s">
        <v>20</v>
      </c>
      <c r="J10" s="99">
        <f>D19</f>
        <v>1.8965000000000003E-2</v>
      </c>
      <c r="K10" s="5"/>
      <c r="L10" s="5"/>
      <c r="M10" s="20"/>
      <c r="S10" s="49"/>
    </row>
    <row r="11" spans="2:19" ht="15.75" customHeight="1" x14ac:dyDescent="0.25">
      <c r="B11" s="93"/>
      <c r="C11" s="7" t="s">
        <v>52</v>
      </c>
      <c r="D11" s="8">
        <f>SUM(D8:D10)</f>
        <v>0.466474</v>
      </c>
      <c r="E11" s="5"/>
      <c r="F11" s="5"/>
      <c r="G11" s="5"/>
      <c r="H11" s="5"/>
      <c r="K11" s="5"/>
      <c r="L11" s="5"/>
      <c r="M11" s="20"/>
      <c r="S11" s="49"/>
    </row>
    <row r="12" spans="2:19" x14ac:dyDescent="0.2">
      <c r="B12" s="93"/>
      <c r="C12" s="38"/>
      <c r="D12" s="38"/>
      <c r="E12" s="5"/>
      <c r="F12" s="5"/>
      <c r="G12" s="5"/>
      <c r="H12" s="5"/>
      <c r="K12" s="5"/>
      <c r="L12" s="5"/>
      <c r="M12" s="20"/>
      <c r="S12" s="49"/>
    </row>
    <row r="13" spans="2:19" ht="15.75" customHeight="1" x14ac:dyDescent="0.2">
      <c r="B13" s="93"/>
      <c r="C13" s="4" t="s">
        <v>180</v>
      </c>
      <c r="D13" s="182">
        <v>0.39880100000000002</v>
      </c>
      <c r="E13" s="5"/>
      <c r="F13" s="5"/>
      <c r="G13" s="5"/>
      <c r="H13" s="5"/>
      <c r="I13" s="97"/>
      <c r="J13" s="97"/>
      <c r="K13" s="5"/>
      <c r="L13" s="5"/>
      <c r="M13" s="20"/>
      <c r="S13" s="49"/>
    </row>
    <row r="14" spans="2:19" x14ac:dyDescent="0.2">
      <c r="B14" s="93"/>
      <c r="C14" s="4" t="s">
        <v>179</v>
      </c>
      <c r="D14" s="182">
        <v>0.115665</v>
      </c>
      <c r="E14" s="5"/>
      <c r="F14" s="5"/>
      <c r="G14" s="5"/>
      <c r="H14" s="5"/>
      <c r="I14" s="5"/>
      <c r="J14" s="5"/>
      <c r="K14" s="5"/>
      <c r="L14" s="5"/>
      <c r="M14" s="20"/>
      <c r="S14" s="49"/>
    </row>
    <row r="15" spans="2:19" x14ac:dyDescent="0.2">
      <c r="B15" s="93"/>
      <c r="C15" s="4" t="s">
        <v>214</v>
      </c>
      <c r="D15" s="182">
        <v>9.5000000000000005E-5</v>
      </c>
      <c r="E15" s="5"/>
      <c r="F15" s="5"/>
      <c r="G15" s="5"/>
      <c r="H15" s="5"/>
      <c r="I15" s="5"/>
      <c r="J15" s="5"/>
      <c r="K15" s="5"/>
      <c r="L15" s="5"/>
      <c r="M15" s="20"/>
      <c r="S15" s="49"/>
    </row>
    <row r="16" spans="2:19" x14ac:dyDescent="0.2">
      <c r="B16" s="93"/>
      <c r="C16" s="4"/>
      <c r="D16" s="6"/>
      <c r="E16" s="5"/>
      <c r="F16" s="5"/>
      <c r="G16" s="5"/>
      <c r="H16" s="5"/>
      <c r="I16" s="5"/>
      <c r="J16" s="5"/>
      <c r="K16" s="5"/>
      <c r="L16" s="5"/>
      <c r="M16" s="20"/>
      <c r="S16" s="49"/>
    </row>
    <row r="17" spans="2:19" ht="15.75" x14ac:dyDescent="0.25">
      <c r="B17" s="93"/>
      <c r="C17" s="7" t="s">
        <v>19</v>
      </c>
      <c r="D17" s="8">
        <f>SUM(D13:D16)</f>
        <v>0.51456099999999994</v>
      </c>
      <c r="E17" s="5"/>
      <c r="F17" s="5"/>
      <c r="G17" s="5"/>
      <c r="H17" s="5"/>
      <c r="I17" s="5"/>
      <c r="J17" s="5"/>
      <c r="K17" s="5"/>
      <c r="L17" s="5"/>
      <c r="M17" s="20"/>
      <c r="S17" s="49"/>
    </row>
    <row r="18" spans="2:19" x14ac:dyDescent="0.2">
      <c r="B18" s="93"/>
      <c r="C18" s="4"/>
      <c r="D18" s="6"/>
      <c r="E18" s="5"/>
      <c r="F18" s="5"/>
      <c r="G18" s="5"/>
      <c r="H18" s="5"/>
      <c r="I18" s="5"/>
      <c r="J18" s="5"/>
      <c r="K18" s="5"/>
      <c r="L18" s="5"/>
      <c r="M18" s="20"/>
      <c r="S18" s="49"/>
    </row>
    <row r="19" spans="2:19" ht="15.75" x14ac:dyDescent="0.25">
      <c r="B19" s="93"/>
      <c r="C19" s="7" t="s">
        <v>20</v>
      </c>
      <c r="D19" s="210">
        <v>1.8965000000000003E-2</v>
      </c>
      <c r="E19" s="5"/>
      <c r="F19" s="5"/>
      <c r="G19" s="5"/>
      <c r="H19" s="5"/>
      <c r="I19" s="5"/>
      <c r="J19" s="5"/>
      <c r="K19" s="5"/>
      <c r="L19" s="5"/>
      <c r="M19" s="20"/>
      <c r="S19" s="49"/>
    </row>
    <row r="20" spans="2:19" x14ac:dyDescent="0.2">
      <c r="B20" s="93"/>
      <c r="C20" s="4"/>
      <c r="D20" s="6"/>
      <c r="E20" s="5"/>
      <c r="F20" s="5"/>
      <c r="G20" s="5"/>
      <c r="H20" s="5"/>
      <c r="I20" s="5"/>
      <c r="J20" s="5"/>
      <c r="K20" s="5"/>
      <c r="L20" s="5"/>
      <c r="M20" s="20"/>
      <c r="S20" s="49"/>
    </row>
    <row r="21" spans="2:19" ht="15.75" x14ac:dyDescent="0.25">
      <c r="B21" s="93"/>
      <c r="C21" s="9" t="s">
        <v>54</v>
      </c>
      <c r="D21" s="10">
        <f>SUM(D19,D17,D11)</f>
        <v>1</v>
      </c>
      <c r="E21" s="5"/>
      <c r="F21" s="5"/>
      <c r="G21" s="5"/>
      <c r="H21" s="5"/>
      <c r="I21" s="5"/>
      <c r="J21" s="5"/>
      <c r="K21" s="5"/>
      <c r="L21" s="5"/>
      <c r="M21" s="20"/>
      <c r="S21" s="49"/>
    </row>
    <row r="22" spans="2:19" ht="15.75" customHeight="1" x14ac:dyDescent="0.2">
      <c r="B22" s="93"/>
      <c r="E22" s="5"/>
      <c r="F22" s="5"/>
      <c r="G22" s="5"/>
      <c r="H22" s="5"/>
      <c r="I22" s="5"/>
      <c r="J22" s="5"/>
      <c r="K22" s="5"/>
      <c r="L22" s="5"/>
      <c r="M22" s="20"/>
      <c r="S22" s="49"/>
    </row>
    <row r="23" spans="2:19" x14ac:dyDescent="0.2">
      <c r="B23" s="93"/>
      <c r="C23" s="33"/>
      <c r="D23" s="34"/>
      <c r="E23" s="5"/>
      <c r="F23" s="5"/>
      <c r="G23" s="5"/>
      <c r="H23" s="5"/>
      <c r="I23" s="5"/>
      <c r="J23" s="5"/>
      <c r="K23" s="5"/>
      <c r="L23" s="5"/>
      <c r="M23" s="20"/>
      <c r="S23" s="49"/>
    </row>
    <row r="24" spans="2:19" ht="15.75" x14ac:dyDescent="0.2">
      <c r="B24" s="93"/>
      <c r="C24" s="90"/>
      <c r="D24" s="90"/>
      <c r="E24" s="5"/>
      <c r="F24" s="31"/>
      <c r="G24" s="5"/>
      <c r="H24" s="5"/>
      <c r="I24" s="5"/>
      <c r="J24" s="5"/>
      <c r="K24" s="5"/>
      <c r="L24" s="5"/>
      <c r="M24" s="20"/>
      <c r="S24" s="49"/>
    </row>
    <row r="25" spans="2:19" ht="15.75" x14ac:dyDescent="0.2">
      <c r="B25" s="93"/>
      <c r="C25" s="90"/>
      <c r="D25" s="90"/>
      <c r="E25" s="5"/>
      <c r="F25" s="31"/>
      <c r="G25" s="5"/>
      <c r="H25" s="5"/>
      <c r="I25" s="5"/>
      <c r="J25" s="5"/>
      <c r="K25" s="5"/>
      <c r="L25" s="5"/>
      <c r="M25" s="20"/>
      <c r="S25" s="49"/>
    </row>
    <row r="26" spans="2:19" ht="16.5" thickBot="1" x14ac:dyDescent="0.3">
      <c r="B26" s="96"/>
      <c r="C26" s="100"/>
      <c r="D26" s="100"/>
      <c r="E26" s="100"/>
      <c r="F26" s="100"/>
      <c r="G26" s="100"/>
      <c r="H26" s="100"/>
      <c r="I26" s="100"/>
      <c r="J26" s="100"/>
      <c r="K26" s="100"/>
      <c r="L26" s="100"/>
      <c r="M26" s="101"/>
      <c r="S26" s="49"/>
    </row>
    <row r="27" spans="2:19" ht="15.75" thickBot="1" x14ac:dyDescent="0.25">
      <c r="S27" s="49"/>
    </row>
    <row r="28" spans="2:19" ht="15" customHeight="1" x14ac:dyDescent="0.2">
      <c r="B28" s="262" t="s">
        <v>184</v>
      </c>
      <c r="C28" s="263"/>
      <c r="D28" s="263"/>
      <c r="E28" s="263"/>
      <c r="F28" s="263"/>
      <c r="G28" s="263"/>
      <c r="H28" s="263"/>
      <c r="I28" s="263"/>
      <c r="J28" s="263"/>
      <c r="K28" s="263"/>
      <c r="L28" s="263"/>
      <c r="M28" s="263"/>
      <c r="N28" s="263"/>
      <c r="O28" s="263"/>
      <c r="P28" s="263"/>
      <c r="Q28" s="263"/>
      <c r="R28" s="264"/>
      <c r="S28" s="49"/>
    </row>
    <row r="29" spans="2:19" x14ac:dyDescent="0.2">
      <c r="B29" s="265"/>
      <c r="C29" s="266"/>
      <c r="D29" s="266"/>
      <c r="E29" s="266"/>
      <c r="F29" s="266"/>
      <c r="G29" s="266"/>
      <c r="H29" s="266"/>
      <c r="I29" s="266"/>
      <c r="J29" s="266"/>
      <c r="K29" s="266"/>
      <c r="L29" s="266"/>
      <c r="M29" s="266"/>
      <c r="N29" s="266"/>
      <c r="O29" s="266"/>
      <c r="P29" s="266"/>
      <c r="Q29" s="266"/>
      <c r="R29" s="267"/>
      <c r="S29" s="49"/>
    </row>
    <row r="30" spans="2:19" x14ac:dyDescent="0.2">
      <c r="B30" s="265"/>
      <c r="C30" s="266"/>
      <c r="D30" s="266"/>
      <c r="E30" s="266"/>
      <c r="F30" s="266"/>
      <c r="G30" s="266"/>
      <c r="H30" s="266"/>
      <c r="I30" s="266"/>
      <c r="J30" s="266"/>
      <c r="K30" s="266"/>
      <c r="L30" s="266"/>
      <c r="M30" s="266"/>
      <c r="N30" s="266"/>
      <c r="O30" s="266"/>
      <c r="P30" s="266"/>
      <c r="Q30" s="266"/>
      <c r="R30" s="267"/>
      <c r="S30" s="49"/>
    </row>
    <row r="31" spans="2:19" x14ac:dyDescent="0.2">
      <c r="B31" s="265"/>
      <c r="C31" s="266"/>
      <c r="D31" s="266"/>
      <c r="E31" s="266"/>
      <c r="F31" s="266"/>
      <c r="G31" s="266"/>
      <c r="H31" s="266"/>
      <c r="I31" s="266"/>
      <c r="J31" s="266"/>
      <c r="K31" s="266"/>
      <c r="L31" s="266"/>
      <c r="M31" s="266"/>
      <c r="N31" s="266"/>
      <c r="O31" s="266"/>
      <c r="P31" s="266"/>
      <c r="Q31" s="266"/>
      <c r="R31" s="267"/>
      <c r="S31" s="49"/>
    </row>
    <row r="32" spans="2:19" x14ac:dyDescent="0.2">
      <c r="B32" s="265"/>
      <c r="C32" s="266"/>
      <c r="D32" s="266"/>
      <c r="E32" s="266"/>
      <c r="F32" s="266"/>
      <c r="G32" s="266"/>
      <c r="H32" s="266"/>
      <c r="I32" s="266"/>
      <c r="J32" s="266"/>
      <c r="K32" s="266"/>
      <c r="L32" s="266"/>
      <c r="M32" s="266"/>
      <c r="N32" s="266"/>
      <c r="O32" s="266"/>
      <c r="P32" s="266"/>
      <c r="Q32" s="266"/>
      <c r="R32" s="267"/>
      <c r="S32" s="49"/>
    </row>
    <row r="33" spans="2:19" x14ac:dyDescent="0.2">
      <c r="B33" s="265"/>
      <c r="C33" s="266"/>
      <c r="D33" s="266"/>
      <c r="E33" s="266"/>
      <c r="F33" s="266"/>
      <c r="G33" s="266"/>
      <c r="H33" s="266"/>
      <c r="I33" s="266"/>
      <c r="J33" s="266"/>
      <c r="K33" s="266"/>
      <c r="L33" s="266"/>
      <c r="M33" s="266"/>
      <c r="N33" s="266"/>
      <c r="O33" s="266"/>
      <c r="P33" s="266"/>
      <c r="Q33" s="266"/>
      <c r="R33" s="267"/>
      <c r="S33" s="49"/>
    </row>
    <row r="34" spans="2:19" ht="15.75" thickBot="1" x14ac:dyDescent="0.25">
      <c r="B34" s="268"/>
      <c r="C34" s="269"/>
      <c r="D34" s="269"/>
      <c r="E34" s="269"/>
      <c r="F34" s="269"/>
      <c r="G34" s="269"/>
      <c r="H34" s="269"/>
      <c r="I34" s="269"/>
      <c r="J34" s="269"/>
      <c r="K34" s="269"/>
      <c r="L34" s="269"/>
      <c r="M34" s="269"/>
      <c r="N34" s="269"/>
      <c r="O34" s="269"/>
      <c r="P34" s="269"/>
      <c r="Q34" s="269"/>
      <c r="R34" s="270"/>
      <c r="S34" s="49"/>
    </row>
    <row r="35" spans="2:19" x14ac:dyDescent="0.2">
      <c r="S35" s="49"/>
    </row>
    <row r="36" spans="2:19" x14ac:dyDescent="0.2">
      <c r="C36" s="239"/>
      <c r="D36" s="238"/>
      <c r="S36" s="49"/>
    </row>
    <row r="37" spans="2:19" x14ac:dyDescent="0.2">
      <c r="C37" s="239"/>
      <c r="D37" s="238"/>
      <c r="S37" s="49"/>
    </row>
    <row r="38" spans="2:19" x14ac:dyDescent="0.2">
      <c r="C38" s="239"/>
      <c r="D38" s="238"/>
      <c r="S38" s="49"/>
    </row>
    <row r="39" spans="2:19" x14ac:dyDescent="0.2">
      <c r="C39" s="239"/>
      <c r="D39" s="238"/>
      <c r="S39" s="49"/>
    </row>
    <row r="40" spans="2:19" x14ac:dyDescent="0.2">
      <c r="C40" s="239"/>
      <c r="D40" s="238"/>
      <c r="S40" s="49"/>
    </row>
    <row r="41" spans="2:19" x14ac:dyDescent="0.2">
      <c r="C41" s="239"/>
      <c r="D41" s="238"/>
      <c r="S41" s="49"/>
    </row>
    <row r="42" spans="2:19" x14ac:dyDescent="0.2">
      <c r="C42" s="239"/>
      <c r="D42" s="238"/>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row r="701" spans="19:19" x14ac:dyDescent="0.2">
      <c r="S701" s="49"/>
    </row>
    <row r="702" spans="19:19" x14ac:dyDescent="0.2">
      <c r="S702" s="49"/>
    </row>
    <row r="703" spans="19:19" x14ac:dyDescent="0.2">
      <c r="S703" s="49"/>
    </row>
    <row r="704" spans="19:19" x14ac:dyDescent="0.2">
      <c r="S704" s="49"/>
    </row>
  </sheetData>
  <sortState ref="C39:D41">
    <sortCondition descending="1" ref="D39"/>
  </sortState>
  <mergeCells count="3">
    <mergeCell ref="C3:M3"/>
    <mergeCell ref="F7:M7"/>
    <mergeCell ref="B28:R34"/>
  </mergeCells>
  <pageMargins left="0.7" right="0.7" top="0.75" bottom="0.75" header="0.3" footer="0.3"/>
  <pageSetup paperSize="9" scale="1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56" t="s">
        <v>176</v>
      </c>
      <c r="D3" s="256"/>
      <c r="E3" s="256"/>
      <c r="F3" s="256"/>
      <c r="G3" s="256"/>
      <c r="H3" s="256"/>
      <c r="I3" s="256"/>
      <c r="J3" s="256"/>
      <c r="K3" s="256"/>
      <c r="L3" s="256"/>
      <c r="M3" s="257"/>
    </row>
    <row r="4" spans="2:19" ht="15.75" x14ac:dyDescent="0.25">
      <c r="B4" s="93"/>
      <c r="C4" s="67" t="s">
        <v>356</v>
      </c>
      <c r="D4" s="29"/>
      <c r="E4" s="29"/>
      <c r="F4" s="5"/>
      <c r="G4" s="5"/>
      <c r="H4" s="5"/>
      <c r="I4" s="5"/>
      <c r="J4" s="5"/>
      <c r="K4" s="5"/>
      <c r="L4" s="5"/>
      <c r="M4" s="20"/>
    </row>
    <row r="5" spans="2:19" ht="20.25" customHeight="1" x14ac:dyDescent="0.25">
      <c r="B5" s="93"/>
      <c r="C5" s="222" t="s">
        <v>357</v>
      </c>
      <c r="D5" s="94" t="s">
        <v>381</v>
      </c>
      <c r="E5" s="19"/>
      <c r="F5" s="5"/>
      <c r="G5" s="5"/>
      <c r="H5" s="5"/>
      <c r="I5" s="5"/>
      <c r="J5" s="5"/>
      <c r="K5" s="5"/>
      <c r="L5" s="5"/>
      <c r="M5" s="20"/>
    </row>
    <row r="6" spans="2:19" x14ac:dyDescent="0.2">
      <c r="B6" s="93"/>
      <c r="C6" s="5"/>
      <c r="D6" s="5"/>
      <c r="E6" s="5"/>
      <c r="F6" s="5"/>
      <c r="G6" s="5"/>
      <c r="H6" s="5"/>
      <c r="I6" s="5"/>
      <c r="J6" s="5"/>
      <c r="K6" s="5"/>
      <c r="L6" s="5"/>
      <c r="M6" s="20"/>
    </row>
    <row r="7" spans="2:19" ht="15.75" x14ac:dyDescent="0.2">
      <c r="B7" s="93"/>
      <c r="C7" s="95" t="s">
        <v>43</v>
      </c>
      <c r="D7" s="95" t="s">
        <v>45</v>
      </c>
      <c r="E7" s="5"/>
      <c r="F7" s="258" t="s">
        <v>50</v>
      </c>
      <c r="G7" s="258"/>
      <c r="H7" s="258"/>
      <c r="I7" s="258"/>
      <c r="J7" s="258"/>
      <c r="K7" s="258"/>
      <c r="L7" s="258"/>
      <c r="M7" s="259"/>
    </row>
    <row r="8" spans="2:19" x14ac:dyDescent="0.2">
      <c r="B8" s="93"/>
      <c r="C8" s="4" t="s">
        <v>178</v>
      </c>
      <c r="D8" s="182">
        <v>0.32338099999999997</v>
      </c>
      <c r="E8" s="5"/>
      <c r="F8" s="5"/>
      <c r="G8" s="31"/>
      <c r="H8" s="5"/>
      <c r="I8" s="5" t="s">
        <v>51</v>
      </c>
      <c r="J8" s="47">
        <f>D11</f>
        <v>0.69313899999999995</v>
      </c>
      <c r="K8" s="5"/>
      <c r="L8" s="5"/>
      <c r="M8" s="20"/>
      <c r="S8" s="49"/>
    </row>
    <row r="9" spans="2:19" ht="15.75" customHeight="1" x14ac:dyDescent="0.2">
      <c r="B9" s="93"/>
      <c r="C9" s="4" t="s">
        <v>177</v>
      </c>
      <c r="D9" s="182">
        <v>0.29509000000000002</v>
      </c>
      <c r="E9" s="5"/>
      <c r="F9" s="5"/>
      <c r="G9" s="5"/>
      <c r="H9" s="5"/>
      <c r="I9" s="5" t="s">
        <v>53</v>
      </c>
      <c r="J9" s="47">
        <f>D14</f>
        <v>0.25437500000000002</v>
      </c>
      <c r="K9" s="5"/>
      <c r="L9" s="5"/>
      <c r="M9" s="20"/>
      <c r="S9" s="49"/>
    </row>
    <row r="10" spans="2:19" x14ac:dyDescent="0.2">
      <c r="B10" s="93"/>
      <c r="C10" s="38" t="s">
        <v>181</v>
      </c>
      <c r="D10" s="200">
        <v>7.4667999999999998E-2</v>
      </c>
      <c r="E10" s="5"/>
      <c r="F10" s="5"/>
      <c r="G10" s="5"/>
      <c r="H10" s="5"/>
      <c r="I10" s="5" t="s">
        <v>20</v>
      </c>
      <c r="J10" s="47">
        <f>D16</f>
        <v>5.2485999999999998E-2</v>
      </c>
      <c r="K10" s="5"/>
      <c r="L10" s="5"/>
      <c r="M10" s="20"/>
      <c r="S10" s="49"/>
    </row>
    <row r="11" spans="2:19" ht="15.75" x14ac:dyDescent="0.25">
      <c r="B11" s="93"/>
      <c r="C11" s="7" t="s">
        <v>52</v>
      </c>
      <c r="D11" s="8">
        <f>SUM(D8:D10)</f>
        <v>0.69313899999999995</v>
      </c>
      <c r="E11" s="5"/>
      <c r="F11" s="5"/>
      <c r="G11" s="5"/>
      <c r="H11" s="5"/>
      <c r="K11" s="5"/>
      <c r="L11" s="5"/>
      <c r="M11" s="20"/>
      <c r="S11" s="49"/>
    </row>
    <row r="12" spans="2:19" x14ac:dyDescent="0.2">
      <c r="B12" s="93"/>
      <c r="C12" s="4"/>
      <c r="D12" s="6"/>
      <c r="E12" s="5"/>
      <c r="F12" s="5"/>
      <c r="G12" s="5"/>
      <c r="H12" s="5"/>
      <c r="I12" s="5"/>
      <c r="J12" s="5"/>
      <c r="K12" s="5"/>
      <c r="L12" s="5"/>
      <c r="M12" s="20"/>
      <c r="S12" s="49"/>
    </row>
    <row r="13" spans="2:19" x14ac:dyDescent="0.2">
      <c r="B13" s="93"/>
      <c r="C13" s="4" t="s">
        <v>180</v>
      </c>
      <c r="D13" s="182">
        <v>0.25437500000000002</v>
      </c>
      <c r="E13" s="5"/>
      <c r="F13" s="5"/>
      <c r="G13" s="5"/>
      <c r="H13" s="5"/>
      <c r="I13" s="5"/>
      <c r="J13" s="5"/>
      <c r="K13" s="5"/>
      <c r="L13" s="5"/>
      <c r="M13" s="20"/>
      <c r="S13" s="49"/>
    </row>
    <row r="14" spans="2:19" ht="15.75" x14ac:dyDescent="0.25">
      <c r="B14" s="93"/>
      <c r="C14" s="7" t="s">
        <v>19</v>
      </c>
      <c r="D14" s="8">
        <v>0.25437500000000002</v>
      </c>
      <c r="E14" s="5"/>
      <c r="F14" s="5"/>
      <c r="G14" s="5"/>
      <c r="H14" s="5"/>
      <c r="I14" s="5"/>
      <c r="J14" s="5"/>
      <c r="K14" s="5"/>
      <c r="L14" s="5"/>
      <c r="M14" s="20"/>
      <c r="S14" s="49"/>
    </row>
    <row r="15" spans="2:19" x14ac:dyDescent="0.2">
      <c r="B15" s="93"/>
      <c r="C15" s="4"/>
      <c r="D15" s="6"/>
      <c r="E15" s="5"/>
      <c r="F15" s="5"/>
      <c r="G15" s="5"/>
      <c r="H15" s="5"/>
      <c r="I15" s="5"/>
      <c r="J15" s="5"/>
      <c r="K15" s="5"/>
      <c r="L15" s="5"/>
      <c r="M15" s="20"/>
      <c r="S15" s="49"/>
    </row>
    <row r="16" spans="2:19" ht="15.75" x14ac:dyDescent="0.25">
      <c r="B16" s="93"/>
      <c r="C16" s="7" t="s">
        <v>20</v>
      </c>
      <c r="D16" s="210">
        <v>5.2485999999999998E-2</v>
      </c>
      <c r="E16" s="5"/>
      <c r="F16" s="5"/>
      <c r="G16" s="5"/>
      <c r="H16" s="5"/>
      <c r="I16" s="5"/>
      <c r="J16" s="5"/>
      <c r="K16" s="5"/>
      <c r="L16" s="5"/>
      <c r="M16" s="20"/>
      <c r="S16" s="49"/>
    </row>
    <row r="17" spans="2:19" x14ac:dyDescent="0.2">
      <c r="B17" s="93"/>
      <c r="C17" s="4"/>
      <c r="D17" s="6"/>
      <c r="E17" s="5"/>
      <c r="F17" s="5"/>
      <c r="G17" s="5"/>
      <c r="H17" s="5"/>
      <c r="I17" s="5"/>
      <c r="J17" s="5"/>
      <c r="K17" s="5"/>
      <c r="L17" s="5"/>
      <c r="M17" s="20"/>
      <c r="S17" s="49"/>
    </row>
    <row r="18" spans="2:19" ht="15.75" x14ac:dyDescent="0.25">
      <c r="B18" s="93"/>
      <c r="C18" s="9" t="s">
        <v>54</v>
      </c>
      <c r="D18" s="10">
        <f>D16+D14+D11</f>
        <v>1</v>
      </c>
      <c r="E18" s="5"/>
      <c r="F18" s="5"/>
      <c r="G18" s="5"/>
      <c r="H18" s="5"/>
      <c r="I18" s="5"/>
      <c r="J18" s="5"/>
      <c r="K18" s="5"/>
      <c r="L18" s="5"/>
      <c r="M18" s="20"/>
      <c r="S18" s="49"/>
    </row>
    <row r="19" spans="2:19" x14ac:dyDescent="0.2">
      <c r="B19" s="93"/>
      <c r="E19" s="5"/>
      <c r="F19" s="5"/>
      <c r="G19" s="5"/>
      <c r="H19" s="5"/>
      <c r="I19" s="5"/>
      <c r="J19" s="5"/>
      <c r="K19" s="5"/>
      <c r="L19" s="5"/>
      <c r="M19" s="20"/>
      <c r="S19" s="49"/>
    </row>
    <row r="20" spans="2:19" x14ac:dyDescent="0.2">
      <c r="B20" s="93"/>
      <c r="E20" s="5"/>
      <c r="F20" s="5"/>
      <c r="G20" s="5"/>
      <c r="H20" s="5"/>
      <c r="I20" s="5"/>
      <c r="J20" s="5"/>
      <c r="K20" s="5"/>
      <c r="L20" s="5"/>
      <c r="M20" s="20"/>
      <c r="S20" s="49"/>
    </row>
    <row r="21" spans="2:19" x14ac:dyDescent="0.2">
      <c r="B21" s="93"/>
      <c r="E21" s="5"/>
      <c r="F21" s="5"/>
      <c r="G21" s="5"/>
      <c r="H21" s="5"/>
      <c r="I21" s="5"/>
      <c r="J21" s="5"/>
      <c r="K21" s="5"/>
      <c r="L21" s="5"/>
      <c r="M21" s="20"/>
      <c r="S21" s="49"/>
    </row>
    <row r="22" spans="2:19" ht="16.5" thickBot="1" x14ac:dyDescent="0.3">
      <c r="B22" s="96"/>
      <c r="C22" s="260"/>
      <c r="D22" s="260"/>
      <c r="E22" s="260"/>
      <c r="F22" s="260"/>
      <c r="G22" s="260"/>
      <c r="H22" s="260"/>
      <c r="I22" s="260"/>
      <c r="J22" s="260"/>
      <c r="K22" s="260"/>
      <c r="L22" s="260"/>
      <c r="M22" s="261"/>
      <c r="S22" s="49"/>
    </row>
    <row r="23" spans="2:19" ht="15.75" thickBot="1" x14ac:dyDescent="0.25">
      <c r="S23" s="49"/>
    </row>
    <row r="24" spans="2:19" ht="15" customHeight="1" x14ac:dyDescent="0.2">
      <c r="B24" s="262" t="s">
        <v>184</v>
      </c>
      <c r="C24" s="263"/>
      <c r="D24" s="263"/>
      <c r="E24" s="263"/>
      <c r="F24" s="263"/>
      <c r="G24" s="263"/>
      <c r="H24" s="263"/>
      <c r="I24" s="263"/>
      <c r="J24" s="263"/>
      <c r="K24" s="263"/>
      <c r="L24" s="263"/>
      <c r="M24" s="263"/>
      <c r="N24" s="263"/>
      <c r="O24" s="263"/>
      <c r="P24" s="263"/>
      <c r="Q24" s="263"/>
      <c r="R24" s="264"/>
      <c r="S24" s="49"/>
    </row>
    <row r="25" spans="2:19" x14ac:dyDescent="0.2">
      <c r="B25" s="265"/>
      <c r="C25" s="266"/>
      <c r="D25" s="266"/>
      <c r="E25" s="266"/>
      <c r="F25" s="266"/>
      <c r="G25" s="266"/>
      <c r="H25" s="266"/>
      <c r="I25" s="266"/>
      <c r="J25" s="266"/>
      <c r="K25" s="266"/>
      <c r="L25" s="266"/>
      <c r="M25" s="266"/>
      <c r="N25" s="266"/>
      <c r="O25" s="266"/>
      <c r="P25" s="266"/>
      <c r="Q25" s="266"/>
      <c r="R25" s="267"/>
      <c r="S25" s="49"/>
    </row>
    <row r="26" spans="2:19" x14ac:dyDescent="0.2">
      <c r="B26" s="265"/>
      <c r="C26" s="266"/>
      <c r="D26" s="266"/>
      <c r="E26" s="266"/>
      <c r="F26" s="266"/>
      <c r="G26" s="266"/>
      <c r="H26" s="266"/>
      <c r="I26" s="266"/>
      <c r="J26" s="266"/>
      <c r="K26" s="266"/>
      <c r="L26" s="266"/>
      <c r="M26" s="266"/>
      <c r="N26" s="266"/>
      <c r="O26" s="266"/>
      <c r="P26" s="266"/>
      <c r="Q26" s="266"/>
      <c r="R26" s="267"/>
      <c r="S26" s="49"/>
    </row>
    <row r="27" spans="2:19" x14ac:dyDescent="0.2">
      <c r="B27" s="265"/>
      <c r="C27" s="266"/>
      <c r="D27" s="266"/>
      <c r="E27" s="266"/>
      <c r="F27" s="266"/>
      <c r="G27" s="266"/>
      <c r="H27" s="266"/>
      <c r="I27" s="266"/>
      <c r="J27" s="266"/>
      <c r="K27" s="266"/>
      <c r="L27" s="266"/>
      <c r="M27" s="266"/>
      <c r="N27" s="266"/>
      <c r="O27" s="266"/>
      <c r="P27" s="266"/>
      <c r="Q27" s="266"/>
      <c r="R27" s="267"/>
      <c r="S27" s="49"/>
    </row>
    <row r="28" spans="2:19" x14ac:dyDescent="0.2">
      <c r="B28" s="265"/>
      <c r="C28" s="266"/>
      <c r="D28" s="266"/>
      <c r="E28" s="266"/>
      <c r="F28" s="266"/>
      <c r="G28" s="266"/>
      <c r="H28" s="266"/>
      <c r="I28" s="266"/>
      <c r="J28" s="266"/>
      <c r="K28" s="266"/>
      <c r="L28" s="266"/>
      <c r="M28" s="266"/>
      <c r="N28" s="266"/>
      <c r="O28" s="266"/>
      <c r="P28" s="266"/>
      <c r="Q28" s="266"/>
      <c r="R28" s="267"/>
      <c r="S28" s="49"/>
    </row>
    <row r="29" spans="2:19" x14ac:dyDescent="0.2">
      <c r="B29" s="265"/>
      <c r="C29" s="266"/>
      <c r="D29" s="266"/>
      <c r="E29" s="266"/>
      <c r="F29" s="266"/>
      <c r="G29" s="266"/>
      <c r="H29" s="266"/>
      <c r="I29" s="266"/>
      <c r="J29" s="266"/>
      <c r="K29" s="266"/>
      <c r="L29" s="266"/>
      <c r="M29" s="266"/>
      <c r="N29" s="266"/>
      <c r="O29" s="266"/>
      <c r="P29" s="266"/>
      <c r="Q29" s="266"/>
      <c r="R29" s="267"/>
      <c r="S29" s="49"/>
    </row>
    <row r="30" spans="2:19" ht="15.75" thickBot="1" x14ac:dyDescent="0.25">
      <c r="B30" s="268"/>
      <c r="C30" s="269"/>
      <c r="D30" s="269"/>
      <c r="E30" s="269"/>
      <c r="F30" s="269"/>
      <c r="G30" s="269"/>
      <c r="H30" s="269"/>
      <c r="I30" s="269"/>
      <c r="J30" s="269"/>
      <c r="K30" s="269"/>
      <c r="L30" s="269"/>
      <c r="M30" s="269"/>
      <c r="N30" s="269"/>
      <c r="O30" s="269"/>
      <c r="P30" s="269"/>
      <c r="Q30" s="269"/>
      <c r="R30" s="270"/>
      <c r="S30" s="49"/>
    </row>
    <row r="31" spans="2:19" x14ac:dyDescent="0.2">
      <c r="S31" s="49"/>
    </row>
    <row r="32" spans="2:19" x14ac:dyDescent="0.2">
      <c r="C32" s="239"/>
      <c r="D32" s="238"/>
      <c r="S32" s="49"/>
    </row>
    <row r="33" spans="3:19" x14ac:dyDescent="0.2">
      <c r="C33" s="239"/>
      <c r="D33" s="238"/>
      <c r="S33" s="49"/>
    </row>
    <row r="34" spans="3:19" x14ac:dyDescent="0.2">
      <c r="C34" s="239"/>
      <c r="D34" s="238"/>
      <c r="S34" s="49"/>
    </row>
    <row r="35" spans="3:19" x14ac:dyDescent="0.2">
      <c r="C35" s="239"/>
      <c r="D35" s="238"/>
      <c r="S35" s="49"/>
    </row>
    <row r="36" spans="3:19" x14ac:dyDescent="0.2">
      <c r="C36" s="239"/>
      <c r="D36" s="238"/>
      <c r="S36" s="49"/>
    </row>
    <row r="37" spans="3:19" x14ac:dyDescent="0.2">
      <c r="D37" s="255"/>
      <c r="S37" s="49"/>
    </row>
    <row r="38" spans="3:19" x14ac:dyDescent="0.2">
      <c r="S38" s="49"/>
    </row>
    <row r="39" spans="3:19" x14ac:dyDescent="0.2">
      <c r="S39" s="49"/>
    </row>
    <row r="40" spans="3:19" x14ac:dyDescent="0.2">
      <c r="S40" s="49"/>
    </row>
    <row r="41" spans="3:19" x14ac:dyDescent="0.2">
      <c r="S41" s="49"/>
    </row>
    <row r="42" spans="3:19" x14ac:dyDescent="0.2">
      <c r="S42" s="49"/>
    </row>
    <row r="43" spans="3:19" x14ac:dyDescent="0.2">
      <c r="S43" s="49"/>
    </row>
    <row r="44" spans="3:19" x14ac:dyDescent="0.2">
      <c r="S44" s="49"/>
    </row>
    <row r="45" spans="3:19" x14ac:dyDescent="0.2">
      <c r="S45" s="49"/>
    </row>
    <row r="46" spans="3:19" x14ac:dyDescent="0.2">
      <c r="S46" s="49"/>
    </row>
    <row r="47" spans="3:19" x14ac:dyDescent="0.2">
      <c r="S47" s="49"/>
    </row>
    <row r="48" spans="3: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sheetData>
  <sortState ref="C33:D35">
    <sortCondition descending="1" ref="D33"/>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1" t="s">
        <v>158</v>
      </c>
      <c r="D3" s="271"/>
      <c r="E3" s="271"/>
      <c r="F3" s="271"/>
      <c r="G3" s="271"/>
      <c r="H3" s="271"/>
      <c r="I3" s="271"/>
      <c r="J3" s="271"/>
      <c r="K3" s="271"/>
      <c r="L3" s="271"/>
      <c r="M3" s="271"/>
      <c r="N3" s="271"/>
      <c r="O3" s="271"/>
      <c r="P3" s="271"/>
      <c r="Q3" s="271"/>
      <c r="R3" s="271"/>
      <c r="S3" s="271"/>
      <c r="T3" s="22"/>
    </row>
    <row r="4" spans="1:24" ht="15.75" customHeight="1" x14ac:dyDescent="0.25">
      <c r="B4" s="79"/>
      <c r="C4" s="67" t="s">
        <v>356</v>
      </c>
      <c r="D4" s="29"/>
      <c r="E4" s="29"/>
      <c r="F4" s="29"/>
      <c r="G4" s="29"/>
      <c r="H4" s="29"/>
      <c r="I4" s="29"/>
      <c r="J4" s="29"/>
      <c r="K4" s="29"/>
      <c r="L4" s="29"/>
      <c r="M4" s="29"/>
      <c r="N4" s="29"/>
      <c r="O4" s="29"/>
      <c r="P4" s="29"/>
      <c r="Q4" s="29"/>
      <c r="R4" s="29"/>
      <c r="S4" s="29"/>
      <c r="T4" s="22"/>
    </row>
    <row r="5" spans="1:24" ht="18" customHeight="1" x14ac:dyDescent="0.25">
      <c r="B5" s="79"/>
      <c r="C5" s="222" t="s">
        <v>357</v>
      </c>
      <c r="D5" s="273" t="s">
        <v>382</v>
      </c>
      <c r="E5" s="273"/>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4" t="s">
        <v>29</v>
      </c>
      <c r="D8" s="195" t="s">
        <v>3</v>
      </c>
      <c r="E8" s="196">
        <v>0.113537</v>
      </c>
      <c r="F8" s="29"/>
      <c r="G8" s="29"/>
      <c r="H8" s="29"/>
      <c r="I8" s="29"/>
      <c r="J8" s="29"/>
      <c r="K8" s="29"/>
      <c r="L8" s="29"/>
      <c r="M8" s="29"/>
      <c r="N8" s="29"/>
      <c r="O8" s="29"/>
      <c r="P8" s="29"/>
      <c r="Q8" s="29"/>
      <c r="R8" s="29"/>
      <c r="S8" s="29"/>
      <c r="T8" s="22"/>
      <c r="W8" s="173" t="s">
        <v>3</v>
      </c>
      <c r="X8" s="174">
        <v>0.27937499999999998</v>
      </c>
    </row>
    <row r="9" spans="1:24" ht="15.75" customHeight="1" x14ac:dyDescent="0.25">
      <c r="B9" s="79"/>
      <c r="C9" s="188" t="s">
        <v>31</v>
      </c>
      <c r="D9" s="197" t="s">
        <v>6</v>
      </c>
      <c r="E9" s="198">
        <v>8.6540000000000006E-2</v>
      </c>
      <c r="F9" s="29"/>
      <c r="G9" s="29"/>
      <c r="H9" s="29"/>
      <c r="I9" s="29"/>
      <c r="J9" s="29"/>
      <c r="K9" s="29"/>
      <c r="L9" s="29"/>
      <c r="M9" s="29"/>
      <c r="N9" s="29"/>
      <c r="O9" s="29"/>
      <c r="P9" s="29"/>
      <c r="Q9" s="29"/>
      <c r="R9" s="29"/>
      <c r="S9" s="29"/>
      <c r="T9" s="22"/>
      <c r="W9" s="173" t="s">
        <v>108</v>
      </c>
      <c r="X9" s="174">
        <v>0.127692</v>
      </c>
    </row>
    <row r="10" spans="1:24" ht="15.75" x14ac:dyDescent="0.25">
      <c r="B10" s="79"/>
      <c r="C10" s="188" t="s">
        <v>32</v>
      </c>
      <c r="D10" s="197" t="s">
        <v>3</v>
      </c>
      <c r="E10" s="198">
        <v>7.7504000000000003E-2</v>
      </c>
      <c r="F10" s="29"/>
      <c r="G10" s="29"/>
      <c r="H10" s="29"/>
      <c r="I10" s="29"/>
      <c r="J10" s="29"/>
      <c r="K10" s="29"/>
      <c r="L10" s="29"/>
      <c r="M10" s="29"/>
      <c r="N10" s="29"/>
      <c r="O10" s="29"/>
      <c r="P10" s="29"/>
      <c r="Q10" s="29"/>
      <c r="R10" s="29"/>
      <c r="S10" s="29"/>
      <c r="T10" s="22"/>
      <c r="W10" s="173" t="s">
        <v>6</v>
      </c>
      <c r="X10" s="174">
        <v>9.2728000000000005E-2</v>
      </c>
    </row>
    <row r="11" spans="1:24" ht="15.75" customHeight="1" x14ac:dyDescent="0.25">
      <c r="B11" s="79"/>
      <c r="C11" s="188" t="s">
        <v>28</v>
      </c>
      <c r="D11" s="197" t="s">
        <v>108</v>
      </c>
      <c r="E11" s="198">
        <v>5.8333999999999997E-2</v>
      </c>
      <c r="F11" s="29"/>
      <c r="G11" s="29"/>
      <c r="H11" s="29"/>
      <c r="I11" s="29"/>
      <c r="J11" s="29"/>
      <c r="K11" s="29"/>
      <c r="L11" s="29"/>
      <c r="M11" s="29"/>
      <c r="N11" s="29"/>
      <c r="O11" s="29"/>
      <c r="P11" s="29"/>
      <c r="Q11" s="29"/>
      <c r="R11" s="29"/>
      <c r="S11" s="29"/>
      <c r="T11" s="22"/>
      <c r="W11" s="173" t="s">
        <v>113</v>
      </c>
      <c r="X11" s="174">
        <v>8.0971000000000001E-2</v>
      </c>
    </row>
    <row r="12" spans="1:24" ht="15" customHeight="1" x14ac:dyDescent="0.25">
      <c r="B12" s="79"/>
      <c r="C12" s="188" t="s">
        <v>30</v>
      </c>
      <c r="D12" s="197" t="s">
        <v>118</v>
      </c>
      <c r="E12" s="198">
        <v>4.1651000000000001E-2</v>
      </c>
      <c r="F12" s="29"/>
      <c r="G12" s="29"/>
      <c r="H12" s="29"/>
      <c r="I12" s="29"/>
      <c r="J12" s="29"/>
      <c r="K12" s="29"/>
      <c r="L12" s="29"/>
      <c r="M12" s="29"/>
      <c r="N12" s="29"/>
      <c r="O12" s="29"/>
      <c r="P12" s="29"/>
      <c r="Q12" s="29"/>
      <c r="R12" s="29"/>
      <c r="S12" s="29"/>
      <c r="T12" s="22"/>
      <c r="W12" s="173" t="s">
        <v>118</v>
      </c>
      <c r="X12" s="174">
        <v>6.4412999999999998E-2</v>
      </c>
    </row>
    <row r="13" spans="1:24" ht="15" customHeight="1" x14ac:dyDescent="0.25">
      <c r="B13" s="79"/>
      <c r="C13" s="188" t="s">
        <v>70</v>
      </c>
      <c r="D13" s="197" t="s">
        <v>12</v>
      </c>
      <c r="E13" s="198">
        <v>3.9598000000000001E-2</v>
      </c>
      <c r="F13" s="29"/>
      <c r="G13" s="29"/>
      <c r="H13" s="29"/>
      <c r="I13" s="29"/>
      <c r="J13" s="29"/>
      <c r="K13" s="29"/>
      <c r="L13" s="29"/>
      <c r="M13" s="29"/>
      <c r="N13" s="29"/>
      <c r="O13" s="29"/>
      <c r="P13" s="29"/>
      <c r="Q13" s="29"/>
      <c r="R13" s="29"/>
      <c r="S13" s="29"/>
      <c r="T13" s="22"/>
      <c r="W13" s="173" t="s">
        <v>12</v>
      </c>
      <c r="X13" s="174">
        <v>3.9598000000000001E-2</v>
      </c>
    </row>
    <row r="14" spans="1:24" ht="15" customHeight="1" x14ac:dyDescent="0.25">
      <c r="B14" s="79"/>
      <c r="C14" s="188" t="s">
        <v>33</v>
      </c>
      <c r="D14" s="197" t="s">
        <v>108</v>
      </c>
      <c r="E14" s="198">
        <v>3.7700999999999998E-2</v>
      </c>
      <c r="F14" s="29"/>
      <c r="G14" s="29"/>
      <c r="H14" s="29"/>
      <c r="I14" s="29"/>
      <c r="J14" s="29"/>
      <c r="K14" s="29"/>
      <c r="L14" s="29"/>
      <c r="M14" s="29"/>
      <c r="N14" s="29"/>
      <c r="O14" s="29"/>
      <c r="P14" s="29"/>
      <c r="Q14" s="29"/>
      <c r="R14" s="29"/>
      <c r="S14" s="29"/>
      <c r="T14" s="22"/>
      <c r="W14" s="173" t="s">
        <v>23</v>
      </c>
      <c r="X14" s="174">
        <v>3.7391000000000001E-2</v>
      </c>
    </row>
    <row r="15" spans="1:24" ht="15" customHeight="1" x14ac:dyDescent="0.25">
      <c r="B15" s="79"/>
      <c r="C15" s="188" t="s">
        <v>34</v>
      </c>
      <c r="D15" s="197" t="s">
        <v>23</v>
      </c>
      <c r="E15" s="198">
        <v>3.7391000000000001E-2</v>
      </c>
      <c r="F15" s="29"/>
      <c r="G15" s="29"/>
      <c r="H15" s="29"/>
      <c r="I15" s="29"/>
      <c r="J15" s="29"/>
      <c r="K15" s="29"/>
      <c r="L15" s="29"/>
      <c r="M15" s="29"/>
      <c r="N15" s="29"/>
      <c r="O15" s="29"/>
      <c r="P15" s="29"/>
      <c r="Q15" s="29"/>
      <c r="R15" s="29"/>
      <c r="S15" s="29"/>
      <c r="T15" s="22"/>
      <c r="W15" s="173" t="s">
        <v>4</v>
      </c>
      <c r="X15" s="174">
        <v>3.6574000000000002E-2</v>
      </c>
    </row>
    <row r="16" spans="1:24" ht="15" customHeight="1" x14ac:dyDescent="0.25">
      <c r="B16" s="79"/>
      <c r="C16" s="188" t="s">
        <v>36</v>
      </c>
      <c r="D16" s="197" t="s">
        <v>3</v>
      </c>
      <c r="E16" s="198">
        <v>3.0349999999999999E-2</v>
      </c>
      <c r="F16" s="29"/>
      <c r="G16" s="29"/>
      <c r="H16" s="29"/>
      <c r="I16" s="29"/>
      <c r="J16" s="29"/>
      <c r="K16" s="29"/>
      <c r="L16" s="29"/>
      <c r="M16" s="29"/>
      <c r="N16" s="29"/>
      <c r="O16" s="29"/>
      <c r="P16" s="29"/>
      <c r="Q16" s="29"/>
      <c r="R16" s="29"/>
      <c r="S16" s="29"/>
      <c r="T16" s="22"/>
      <c r="W16" s="173" t="s">
        <v>112</v>
      </c>
      <c r="X16" s="174">
        <v>3.2943E-2</v>
      </c>
    </row>
    <row r="17" spans="2:24" ht="15" customHeight="1" x14ac:dyDescent="0.25">
      <c r="B17" s="79"/>
      <c r="C17" s="188" t="s">
        <v>80</v>
      </c>
      <c r="D17" s="197" t="s">
        <v>3</v>
      </c>
      <c r="E17" s="198">
        <v>2.6196000000000001E-2</v>
      </c>
      <c r="F17" s="29"/>
      <c r="G17" s="29"/>
      <c r="H17" s="29"/>
      <c r="I17" s="29"/>
      <c r="J17" s="29"/>
      <c r="K17" s="29"/>
      <c r="L17" s="29"/>
      <c r="M17" s="29"/>
      <c r="N17" s="29"/>
      <c r="O17" s="29"/>
      <c r="P17" s="29"/>
      <c r="Q17" s="29"/>
      <c r="R17" s="29"/>
      <c r="S17" s="29"/>
      <c r="T17" s="22"/>
      <c r="W17" s="173" t="s">
        <v>10</v>
      </c>
      <c r="X17" s="174">
        <v>3.1948999999999998E-2</v>
      </c>
    </row>
    <row r="18" spans="2:24" ht="15" customHeight="1" x14ac:dyDescent="0.25">
      <c r="B18" s="79"/>
      <c r="C18" s="188" t="s">
        <v>121</v>
      </c>
      <c r="D18" s="197" t="s">
        <v>113</v>
      </c>
      <c r="E18" s="198">
        <v>2.383E-2</v>
      </c>
      <c r="F18" s="29"/>
      <c r="G18" s="29"/>
      <c r="H18" s="29"/>
      <c r="I18" s="29"/>
      <c r="J18" s="29"/>
      <c r="K18" s="29"/>
      <c r="L18" s="29"/>
      <c r="M18" s="29"/>
      <c r="N18" s="29"/>
      <c r="O18" s="29"/>
      <c r="P18" s="29"/>
      <c r="Q18" s="29"/>
      <c r="R18" s="29"/>
      <c r="S18" s="29"/>
      <c r="T18" s="22"/>
      <c r="W18" s="173" t="s">
        <v>16</v>
      </c>
      <c r="X18" s="174">
        <v>2.6686999999999999E-2</v>
      </c>
    </row>
    <row r="19" spans="2:24" ht="15" customHeight="1" x14ac:dyDescent="0.25">
      <c r="B19" s="79"/>
      <c r="C19" s="188" t="s">
        <v>35</v>
      </c>
      <c r="D19" s="197" t="s">
        <v>3</v>
      </c>
      <c r="E19" s="198">
        <v>2.3525000000000001E-2</v>
      </c>
      <c r="F19" s="29"/>
      <c r="G19" s="29"/>
      <c r="H19" s="29"/>
      <c r="I19" s="29"/>
      <c r="J19" s="29"/>
      <c r="K19" s="29"/>
      <c r="L19" s="29"/>
      <c r="M19" s="29"/>
      <c r="N19" s="29"/>
      <c r="O19" s="29"/>
      <c r="P19" s="29"/>
      <c r="Q19" s="29"/>
      <c r="R19" s="29"/>
      <c r="S19" s="29"/>
      <c r="T19" s="22"/>
      <c r="W19" s="173" t="s">
        <v>84</v>
      </c>
      <c r="X19" s="174">
        <v>2.0629000000000002E-2</v>
      </c>
    </row>
    <row r="20" spans="2:24" ht="15" customHeight="1" x14ac:dyDescent="0.25">
      <c r="B20" s="79"/>
      <c r="C20" s="188" t="s">
        <v>37</v>
      </c>
      <c r="D20" s="197" t="s">
        <v>118</v>
      </c>
      <c r="E20" s="198">
        <v>2.2762000000000001E-2</v>
      </c>
      <c r="F20" s="29"/>
      <c r="G20" s="29"/>
      <c r="H20" s="29"/>
      <c r="I20" s="29"/>
      <c r="J20" s="29"/>
      <c r="K20" s="29"/>
      <c r="L20" s="29"/>
      <c r="M20" s="29"/>
      <c r="N20" s="29"/>
      <c r="O20" s="29"/>
      <c r="P20" s="29"/>
      <c r="Q20" s="29"/>
      <c r="R20" s="29"/>
      <c r="S20" s="29"/>
      <c r="T20" s="22"/>
      <c r="W20" s="173" t="s">
        <v>11</v>
      </c>
      <c r="X20" s="174">
        <v>2.0607E-2</v>
      </c>
    </row>
    <row r="21" spans="2:24" ht="15" customHeight="1" x14ac:dyDescent="0.25">
      <c r="B21" s="79"/>
      <c r="C21" s="188" t="s">
        <v>82</v>
      </c>
      <c r="D21" s="197" t="s">
        <v>4</v>
      </c>
      <c r="E21" s="198">
        <v>1.8622E-2</v>
      </c>
      <c r="F21" s="29"/>
      <c r="G21" s="29"/>
      <c r="H21" s="29"/>
      <c r="I21" s="29"/>
      <c r="J21" s="29"/>
      <c r="K21" s="29"/>
      <c r="L21" s="29"/>
      <c r="M21" s="29"/>
      <c r="N21" s="29"/>
      <c r="O21" s="29"/>
      <c r="P21" s="29"/>
      <c r="Q21" s="29"/>
      <c r="R21" s="29"/>
      <c r="S21" s="29"/>
      <c r="T21" s="22"/>
      <c r="W21" s="173" t="s">
        <v>109</v>
      </c>
      <c r="X21" s="174">
        <v>1.4782E-2</v>
      </c>
    </row>
    <row r="22" spans="2:24" ht="15" customHeight="1" x14ac:dyDescent="0.25">
      <c r="B22" s="79"/>
      <c r="C22" s="188" t="s">
        <v>62</v>
      </c>
      <c r="D22" s="197" t="s">
        <v>10</v>
      </c>
      <c r="E22" s="198">
        <v>1.8135999999999999E-2</v>
      </c>
      <c r="F22" s="29"/>
      <c r="G22" s="29"/>
      <c r="H22" s="29"/>
      <c r="I22" s="29"/>
      <c r="J22" s="29"/>
      <c r="K22" s="29"/>
      <c r="L22" s="29"/>
      <c r="M22" s="29"/>
      <c r="N22" s="29"/>
      <c r="O22" s="29"/>
      <c r="P22" s="29"/>
      <c r="Q22" s="29"/>
      <c r="R22" s="29"/>
      <c r="S22" s="29"/>
      <c r="T22" s="22"/>
      <c r="W22" s="173" t="s">
        <v>26</v>
      </c>
      <c r="X22" s="174">
        <v>1.4596E-2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73" t="s">
        <v>87</v>
      </c>
      <c r="X23" s="174">
        <v>1.375E-2</v>
      </c>
    </row>
    <row r="24" spans="2:24" ht="15" customHeight="1" x14ac:dyDescent="0.25">
      <c r="B24" s="79"/>
      <c r="C24" s="73" t="s">
        <v>55</v>
      </c>
      <c r="D24" s="74"/>
      <c r="E24" s="84">
        <f>SUM(E8:E22)</f>
        <v>0.65567700000000007</v>
      </c>
      <c r="F24" s="29"/>
      <c r="G24" s="29"/>
      <c r="H24" s="29"/>
      <c r="I24" s="29"/>
      <c r="J24" s="29"/>
      <c r="K24" s="29"/>
      <c r="L24" s="29"/>
      <c r="M24" s="29"/>
      <c r="N24" s="29"/>
      <c r="O24" s="29"/>
      <c r="P24" s="29"/>
      <c r="Q24" s="29"/>
      <c r="R24" s="29"/>
      <c r="S24" s="29"/>
      <c r="T24" s="22"/>
      <c r="W24" s="173" t="s">
        <v>132</v>
      </c>
      <c r="X24" s="174">
        <v>0.01</v>
      </c>
    </row>
    <row r="25" spans="2:24" ht="15" customHeight="1" x14ac:dyDescent="0.25">
      <c r="B25" s="79"/>
      <c r="C25" s="29"/>
      <c r="D25" s="29"/>
      <c r="E25" s="29"/>
      <c r="F25" s="29"/>
      <c r="G25" s="29"/>
      <c r="H25" s="29"/>
      <c r="I25" s="29"/>
      <c r="J25" s="29"/>
      <c r="K25" s="29"/>
      <c r="L25" s="29"/>
      <c r="M25" s="29"/>
      <c r="N25" s="29"/>
      <c r="O25" s="29"/>
      <c r="P25" s="29"/>
      <c r="Q25" s="29"/>
      <c r="R25" s="29"/>
      <c r="S25" s="29"/>
      <c r="T25" s="22"/>
      <c r="W25" s="173" t="s">
        <v>13</v>
      </c>
      <c r="X25" s="174">
        <v>9.9769999999999998E-3</v>
      </c>
    </row>
    <row r="26" spans="2:24" ht="15" customHeight="1" x14ac:dyDescent="0.25">
      <c r="B26" s="79"/>
      <c r="C26" s="85"/>
      <c r="D26" s="85"/>
      <c r="E26" s="86"/>
      <c r="F26" s="29"/>
      <c r="G26" s="29"/>
      <c r="H26" s="29"/>
      <c r="I26" s="29"/>
      <c r="J26" s="29"/>
      <c r="K26" s="29"/>
      <c r="L26" s="29"/>
      <c r="M26" s="29"/>
      <c r="N26" s="29"/>
      <c r="O26" s="29"/>
      <c r="P26" s="29"/>
      <c r="Q26" s="29"/>
      <c r="R26" s="29"/>
      <c r="S26" s="29"/>
      <c r="T26" s="22"/>
      <c r="W26" s="173" t="s">
        <v>15</v>
      </c>
      <c r="X26" s="174">
        <v>9.5080000000000008E-3</v>
      </c>
    </row>
    <row r="27" spans="2:24" ht="15" customHeight="1" x14ac:dyDescent="0.25">
      <c r="B27" s="79"/>
      <c r="C27" s="51"/>
      <c r="D27" s="51"/>
      <c r="E27" s="87"/>
      <c r="F27" s="29"/>
      <c r="G27" s="29"/>
      <c r="H27" s="29"/>
      <c r="I27" s="29"/>
      <c r="J27" s="29"/>
      <c r="K27" s="29"/>
      <c r="L27" s="29"/>
      <c r="M27" s="29"/>
      <c r="N27" s="29"/>
      <c r="O27" s="29"/>
      <c r="P27" s="29"/>
      <c r="Q27" s="29"/>
      <c r="R27" s="29"/>
      <c r="S27" s="29"/>
      <c r="T27" s="22"/>
      <c r="W27" s="173" t="s">
        <v>131</v>
      </c>
      <c r="X27" s="174">
        <v>9.2250000000000006E-3</v>
      </c>
    </row>
    <row r="28" spans="2:24" ht="15" customHeight="1" x14ac:dyDescent="0.25">
      <c r="B28" s="79"/>
      <c r="C28" s="85"/>
      <c r="D28" s="88"/>
      <c r="E28" s="89"/>
      <c r="F28" s="29"/>
      <c r="G28" s="29"/>
      <c r="H28" s="29"/>
      <c r="I28" s="29"/>
      <c r="J28" s="29"/>
      <c r="K28" s="29"/>
      <c r="L28" s="29"/>
      <c r="M28" s="29"/>
      <c r="N28" s="29"/>
      <c r="O28" s="29"/>
      <c r="P28" s="29"/>
      <c r="Q28" s="29"/>
      <c r="R28" s="29"/>
      <c r="S28" s="29"/>
      <c r="T28" s="22"/>
      <c r="W28" s="173" t="s">
        <v>88</v>
      </c>
      <c r="X28" s="174">
        <v>8.8129999999999997E-3</v>
      </c>
    </row>
    <row r="29" spans="2:24" ht="15" customHeight="1" x14ac:dyDescent="0.25">
      <c r="B29" s="79"/>
      <c r="C29" s="51"/>
      <c r="D29" s="51"/>
      <c r="E29" s="51"/>
      <c r="F29" s="29"/>
      <c r="G29" s="29"/>
      <c r="H29" s="29"/>
      <c r="I29" s="29"/>
      <c r="J29" s="29"/>
      <c r="K29" s="29"/>
      <c r="L29" s="29"/>
      <c r="M29" s="29"/>
      <c r="N29" s="29"/>
      <c r="O29" s="29"/>
      <c r="P29" s="29"/>
      <c r="Q29" s="29"/>
      <c r="R29" s="29"/>
      <c r="S29" s="29"/>
      <c r="T29" s="22"/>
      <c r="W29" s="173" t="s">
        <v>116</v>
      </c>
      <c r="X29" s="174">
        <v>6.7279999999999996E-3</v>
      </c>
    </row>
    <row r="30" spans="2:24" ht="15" customHeight="1" x14ac:dyDescent="0.25">
      <c r="B30" s="79"/>
      <c r="C30" s="85"/>
      <c r="D30" s="88"/>
      <c r="E30" s="86"/>
      <c r="F30" s="29"/>
      <c r="G30" s="29"/>
      <c r="H30" s="29"/>
      <c r="I30" s="29"/>
      <c r="J30" s="29"/>
      <c r="K30" s="29"/>
      <c r="L30" s="29"/>
      <c r="M30" s="29"/>
      <c r="N30" s="29"/>
      <c r="O30" s="29"/>
      <c r="P30" s="29"/>
      <c r="Q30" s="29"/>
      <c r="R30" s="29"/>
      <c r="S30" s="29"/>
      <c r="T30" s="22"/>
      <c r="W30" s="61" t="s">
        <v>133</v>
      </c>
      <c r="X30" s="62">
        <v>6.3769999999999999E-3</v>
      </c>
    </row>
    <row r="31" spans="2:24" ht="15" customHeight="1" thickBot="1" x14ac:dyDescent="0.3">
      <c r="B31" s="80"/>
      <c r="C31" s="81"/>
      <c r="D31" s="81"/>
      <c r="E31" s="81"/>
      <c r="F31" s="81"/>
      <c r="G31" s="81"/>
      <c r="H31" s="81"/>
      <c r="I31" s="81"/>
      <c r="J31" s="81"/>
      <c r="K31" s="81"/>
      <c r="L31" s="81"/>
      <c r="M31" s="81"/>
      <c r="N31" s="81"/>
      <c r="O31" s="81"/>
      <c r="P31" s="81"/>
      <c r="Q31" s="81"/>
      <c r="R31" s="81"/>
      <c r="S31" s="81"/>
      <c r="T31" s="23"/>
      <c r="W31" s="19" t="s">
        <v>78</v>
      </c>
      <c r="X31" s="62">
        <v>6.2989999999999999E-3</v>
      </c>
    </row>
    <row r="32" spans="2:24" ht="15" customHeight="1" thickBot="1" x14ac:dyDescent="0.3"/>
    <row r="33" spans="2:18" ht="15" customHeight="1" x14ac:dyDescent="0.25">
      <c r="B33" s="262" t="s">
        <v>184</v>
      </c>
      <c r="C33" s="263"/>
      <c r="D33" s="263"/>
      <c r="E33" s="263"/>
      <c r="F33" s="263"/>
      <c r="G33" s="263"/>
      <c r="H33" s="263"/>
      <c r="I33" s="263"/>
      <c r="J33" s="263"/>
      <c r="K33" s="263"/>
      <c r="L33" s="263"/>
      <c r="M33" s="263"/>
      <c r="N33" s="263"/>
      <c r="O33" s="263"/>
      <c r="P33" s="263"/>
      <c r="Q33" s="263"/>
      <c r="R33" s="264"/>
    </row>
    <row r="34" spans="2:18" ht="15" customHeight="1" x14ac:dyDescent="0.25">
      <c r="B34" s="265"/>
      <c r="C34" s="266"/>
      <c r="D34" s="266"/>
      <c r="E34" s="266"/>
      <c r="F34" s="266"/>
      <c r="G34" s="266"/>
      <c r="H34" s="266"/>
      <c r="I34" s="266"/>
      <c r="J34" s="266"/>
      <c r="K34" s="266"/>
      <c r="L34" s="266"/>
      <c r="M34" s="266"/>
      <c r="N34" s="266"/>
      <c r="O34" s="266"/>
      <c r="P34" s="266"/>
      <c r="Q34" s="266"/>
      <c r="R34" s="267"/>
    </row>
    <row r="35" spans="2:18" ht="15" customHeight="1" x14ac:dyDescent="0.25">
      <c r="B35" s="265"/>
      <c r="C35" s="266"/>
      <c r="D35" s="266"/>
      <c r="E35" s="266"/>
      <c r="F35" s="266"/>
      <c r="G35" s="266"/>
      <c r="H35" s="266"/>
      <c r="I35" s="266"/>
      <c r="J35" s="266"/>
      <c r="K35" s="266"/>
      <c r="L35" s="266"/>
      <c r="M35" s="266"/>
      <c r="N35" s="266"/>
      <c r="O35" s="266"/>
      <c r="P35" s="266"/>
      <c r="Q35" s="266"/>
      <c r="R35" s="267"/>
    </row>
    <row r="36" spans="2:18" ht="15" customHeight="1" x14ac:dyDescent="0.25">
      <c r="B36" s="265"/>
      <c r="C36" s="266"/>
      <c r="D36" s="266"/>
      <c r="E36" s="266"/>
      <c r="F36" s="266"/>
      <c r="G36" s="266"/>
      <c r="H36" s="266"/>
      <c r="I36" s="266"/>
      <c r="J36" s="266"/>
      <c r="K36" s="266"/>
      <c r="L36" s="266"/>
      <c r="M36" s="266"/>
      <c r="N36" s="266"/>
      <c r="O36" s="266"/>
      <c r="P36" s="266"/>
      <c r="Q36" s="266"/>
      <c r="R36" s="267"/>
    </row>
    <row r="37" spans="2:18" ht="15" customHeight="1" x14ac:dyDescent="0.25">
      <c r="B37" s="265"/>
      <c r="C37" s="266"/>
      <c r="D37" s="266"/>
      <c r="E37" s="266"/>
      <c r="F37" s="266"/>
      <c r="G37" s="266"/>
      <c r="H37" s="266"/>
      <c r="I37" s="266"/>
      <c r="J37" s="266"/>
      <c r="K37" s="266"/>
      <c r="L37" s="266"/>
      <c r="M37" s="266"/>
      <c r="N37" s="266"/>
      <c r="O37" s="266"/>
      <c r="P37" s="266"/>
      <c r="Q37" s="266"/>
      <c r="R37" s="267"/>
    </row>
    <row r="38" spans="2:18" ht="15" customHeight="1" x14ac:dyDescent="0.25">
      <c r="B38" s="265"/>
      <c r="C38" s="266"/>
      <c r="D38" s="266"/>
      <c r="E38" s="266"/>
      <c r="F38" s="266"/>
      <c r="G38" s="266"/>
      <c r="H38" s="266"/>
      <c r="I38" s="266"/>
      <c r="J38" s="266"/>
      <c r="K38" s="266"/>
      <c r="L38" s="266"/>
      <c r="M38" s="266"/>
      <c r="N38" s="266"/>
      <c r="O38" s="266"/>
      <c r="P38" s="266"/>
      <c r="Q38" s="266"/>
      <c r="R38" s="267"/>
    </row>
    <row r="39" spans="2:18" ht="15" customHeight="1" thickBot="1" x14ac:dyDescent="0.3">
      <c r="B39" s="268"/>
      <c r="C39" s="269"/>
      <c r="D39" s="269"/>
      <c r="E39" s="269"/>
      <c r="F39" s="269"/>
      <c r="G39" s="269"/>
      <c r="H39" s="269"/>
      <c r="I39" s="269"/>
      <c r="J39" s="269"/>
      <c r="K39" s="269"/>
      <c r="L39" s="269"/>
      <c r="M39" s="269"/>
      <c r="N39" s="269"/>
      <c r="O39" s="269"/>
      <c r="P39" s="269"/>
      <c r="Q39" s="269"/>
      <c r="R39" s="270"/>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1" t="s">
        <v>157</v>
      </c>
      <c r="D3" s="272"/>
      <c r="E3" s="272"/>
      <c r="F3" s="272"/>
      <c r="G3" s="272"/>
      <c r="H3" s="272"/>
      <c r="I3" s="272"/>
      <c r="J3" s="272"/>
      <c r="K3" s="272"/>
      <c r="L3" s="272"/>
      <c r="M3" s="272"/>
      <c r="N3" s="272"/>
      <c r="O3" s="272"/>
      <c r="P3" s="272"/>
      <c r="Q3" s="272"/>
      <c r="R3" s="272"/>
      <c r="S3" s="272"/>
      <c r="T3" s="22"/>
    </row>
    <row r="4" spans="1:24" ht="15.75" customHeight="1" x14ac:dyDescent="0.25">
      <c r="B4" s="79"/>
      <c r="C4" s="67" t="s">
        <v>356</v>
      </c>
      <c r="D4" s="29"/>
      <c r="E4" s="29"/>
      <c r="F4" s="29"/>
      <c r="G4" s="29"/>
      <c r="H4" s="29"/>
      <c r="I4" s="29"/>
      <c r="J4" s="29"/>
      <c r="K4" s="29"/>
      <c r="L4" s="29"/>
      <c r="M4" s="29"/>
      <c r="N4" s="29"/>
      <c r="O4" s="29"/>
      <c r="P4" s="29"/>
      <c r="Q4" s="29"/>
      <c r="R4" s="29"/>
      <c r="S4" s="29"/>
      <c r="T4" s="22"/>
    </row>
    <row r="5" spans="1:24" ht="18" customHeight="1" x14ac:dyDescent="0.25">
      <c r="B5" s="79"/>
      <c r="C5" s="222" t="s">
        <v>357</v>
      </c>
      <c r="D5" s="275" t="s">
        <v>383</v>
      </c>
      <c r="E5" s="275"/>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4" t="s">
        <v>29</v>
      </c>
      <c r="D8" s="195" t="s">
        <v>3</v>
      </c>
      <c r="E8" s="196">
        <v>0.13406100000000001</v>
      </c>
      <c r="F8" s="29"/>
      <c r="G8" s="29"/>
      <c r="H8" s="29"/>
      <c r="I8" s="29"/>
      <c r="J8" s="29"/>
      <c r="K8" s="29"/>
      <c r="L8" s="29"/>
      <c r="M8" s="29"/>
      <c r="N8" s="29"/>
      <c r="O8" s="29"/>
      <c r="P8" s="29"/>
      <c r="Q8" s="29"/>
      <c r="R8" s="29"/>
      <c r="S8" s="29"/>
      <c r="T8" s="22"/>
      <c r="W8" s="56" t="s">
        <v>3</v>
      </c>
      <c r="X8" s="57">
        <v>0.33075200000000005</v>
      </c>
    </row>
    <row r="9" spans="1:24" ht="15.75" customHeight="1" x14ac:dyDescent="0.25">
      <c r="B9" s="79"/>
      <c r="C9" s="188" t="s">
        <v>31</v>
      </c>
      <c r="D9" s="197" t="s">
        <v>6</v>
      </c>
      <c r="E9" s="198">
        <v>0.102594</v>
      </c>
      <c r="F9" s="29"/>
      <c r="G9" s="29"/>
      <c r="H9" s="29"/>
      <c r="I9" s="29"/>
      <c r="J9" s="29"/>
      <c r="K9" s="29"/>
      <c r="L9" s="29"/>
      <c r="M9" s="29"/>
      <c r="N9" s="29"/>
      <c r="O9" s="29"/>
      <c r="P9" s="29"/>
      <c r="Q9" s="29"/>
      <c r="R9" s="29"/>
      <c r="S9" s="29"/>
      <c r="T9" s="22"/>
      <c r="W9" s="56" t="s">
        <v>108</v>
      </c>
      <c r="X9" s="57">
        <v>0.14359600000000003</v>
      </c>
    </row>
    <row r="10" spans="1:24" ht="15.75" x14ac:dyDescent="0.25">
      <c r="B10" s="79"/>
      <c r="C10" s="188" t="s">
        <v>32</v>
      </c>
      <c r="D10" s="197" t="s">
        <v>3</v>
      </c>
      <c r="E10" s="198">
        <v>9.2020000000000005E-2</v>
      </c>
      <c r="F10" s="29"/>
      <c r="G10" s="29"/>
      <c r="H10" s="29"/>
      <c r="I10" s="29"/>
      <c r="J10" s="29"/>
      <c r="K10" s="29"/>
      <c r="L10" s="29"/>
      <c r="M10" s="29"/>
      <c r="N10" s="29"/>
      <c r="O10" s="29"/>
      <c r="P10" s="29"/>
      <c r="Q10" s="29"/>
      <c r="R10" s="29"/>
      <c r="S10" s="29"/>
      <c r="T10" s="22"/>
      <c r="W10" s="56" t="s">
        <v>6</v>
      </c>
      <c r="X10" s="57">
        <v>0.102594</v>
      </c>
    </row>
    <row r="11" spans="1:24" ht="15.75" customHeight="1" x14ac:dyDescent="0.25">
      <c r="B11" s="79"/>
      <c r="C11" s="188" t="s">
        <v>28</v>
      </c>
      <c r="D11" s="197" t="s">
        <v>108</v>
      </c>
      <c r="E11" s="198">
        <v>6.9581000000000004E-2</v>
      </c>
      <c r="F11" s="29"/>
      <c r="G11" s="29"/>
      <c r="H11" s="29"/>
      <c r="I11" s="29"/>
      <c r="J11" s="29"/>
      <c r="K11" s="29"/>
      <c r="L11" s="29"/>
      <c r="M11" s="29"/>
      <c r="N11" s="29"/>
      <c r="O11" s="29"/>
      <c r="P11" s="29"/>
      <c r="Q11" s="29"/>
      <c r="R11" s="29"/>
      <c r="S11" s="29"/>
      <c r="T11" s="22"/>
      <c r="W11" s="56" t="s">
        <v>118</v>
      </c>
      <c r="X11" s="57">
        <v>7.639E-2</v>
      </c>
    </row>
    <row r="12" spans="1:24" ht="15" customHeight="1" x14ac:dyDescent="0.25">
      <c r="B12" s="79"/>
      <c r="C12" s="188" t="s">
        <v>30</v>
      </c>
      <c r="D12" s="197" t="s">
        <v>118</v>
      </c>
      <c r="E12" s="198">
        <v>4.9181000000000002E-2</v>
      </c>
      <c r="F12" s="29"/>
      <c r="G12" s="29"/>
      <c r="H12" s="29"/>
      <c r="I12" s="29"/>
      <c r="J12" s="29"/>
      <c r="K12" s="29"/>
      <c r="L12" s="29"/>
      <c r="M12" s="29"/>
      <c r="N12" s="29"/>
      <c r="O12" s="29"/>
      <c r="P12" s="29"/>
      <c r="Q12" s="29"/>
      <c r="R12" s="29"/>
      <c r="S12" s="29"/>
      <c r="T12" s="22"/>
      <c r="W12" s="56" t="s">
        <v>113</v>
      </c>
      <c r="X12" s="57">
        <v>6.9313E-2</v>
      </c>
    </row>
    <row r="13" spans="1:24" ht="15" customHeight="1" x14ac:dyDescent="0.25">
      <c r="B13" s="79"/>
      <c r="C13" s="188" t="s">
        <v>70</v>
      </c>
      <c r="D13" s="197" t="s">
        <v>12</v>
      </c>
      <c r="E13" s="198">
        <v>4.6893999999999998E-2</v>
      </c>
      <c r="F13" s="29"/>
      <c r="G13" s="29"/>
      <c r="H13" s="29"/>
      <c r="I13" s="29"/>
      <c r="J13" s="29"/>
      <c r="K13" s="29"/>
      <c r="L13" s="29"/>
      <c r="M13" s="29"/>
      <c r="N13" s="29"/>
      <c r="O13" s="29"/>
      <c r="P13" s="29"/>
      <c r="Q13" s="29"/>
      <c r="R13" s="29"/>
      <c r="S13" s="29"/>
      <c r="T13" s="22"/>
      <c r="W13" s="56" t="s">
        <v>12</v>
      </c>
      <c r="X13" s="57">
        <v>4.6893999999999998E-2</v>
      </c>
    </row>
    <row r="14" spans="1:24" ht="15" customHeight="1" x14ac:dyDescent="0.25">
      <c r="B14" s="79"/>
      <c r="C14" s="188" t="s">
        <v>33</v>
      </c>
      <c r="D14" s="197" t="s">
        <v>108</v>
      </c>
      <c r="E14" s="198">
        <v>4.4275000000000002E-2</v>
      </c>
      <c r="F14" s="29"/>
      <c r="G14" s="29"/>
      <c r="H14" s="29"/>
      <c r="I14" s="29"/>
      <c r="J14" s="29"/>
      <c r="K14" s="29"/>
      <c r="L14" s="29"/>
      <c r="M14" s="29"/>
      <c r="N14" s="29"/>
      <c r="O14" s="29"/>
      <c r="P14" s="29"/>
      <c r="Q14" s="29"/>
      <c r="R14" s="29"/>
      <c r="S14" s="29"/>
      <c r="T14" s="22"/>
      <c r="W14" s="56" t="s">
        <v>23</v>
      </c>
      <c r="X14" s="57">
        <v>4.419E-2</v>
      </c>
    </row>
    <row r="15" spans="1:24" ht="15" customHeight="1" x14ac:dyDescent="0.25">
      <c r="B15" s="79"/>
      <c r="C15" s="188" t="s">
        <v>34</v>
      </c>
      <c r="D15" s="197" t="s">
        <v>23</v>
      </c>
      <c r="E15" s="198">
        <v>4.419E-2</v>
      </c>
      <c r="F15" s="29"/>
      <c r="G15" s="29"/>
      <c r="H15" s="29"/>
      <c r="I15" s="29"/>
      <c r="J15" s="29"/>
      <c r="K15" s="29"/>
      <c r="L15" s="29"/>
      <c r="M15" s="29"/>
      <c r="N15" s="29"/>
      <c r="O15" s="29"/>
      <c r="P15" s="29"/>
      <c r="Q15" s="29"/>
      <c r="R15" s="29"/>
      <c r="S15" s="29"/>
      <c r="T15" s="22"/>
      <c r="W15" s="56" t="s">
        <v>10</v>
      </c>
      <c r="X15" s="57">
        <v>3.8087999999999997E-2</v>
      </c>
    </row>
    <row r="16" spans="1:24" ht="15" customHeight="1" x14ac:dyDescent="0.25">
      <c r="B16" s="79"/>
      <c r="C16" s="188" t="s">
        <v>36</v>
      </c>
      <c r="D16" s="197" t="s">
        <v>3</v>
      </c>
      <c r="E16" s="198">
        <v>3.5929999999999997E-2</v>
      </c>
      <c r="F16" s="29"/>
      <c r="G16" s="29"/>
      <c r="H16" s="29"/>
      <c r="I16" s="29"/>
      <c r="J16" s="29"/>
      <c r="K16" s="29"/>
      <c r="L16" s="29"/>
      <c r="M16" s="29"/>
      <c r="N16" s="29"/>
      <c r="O16" s="29"/>
      <c r="P16" s="29"/>
      <c r="Q16" s="29"/>
      <c r="R16" s="29"/>
      <c r="S16" s="29"/>
      <c r="T16" s="22"/>
      <c r="W16" s="56" t="s">
        <v>4</v>
      </c>
      <c r="X16" s="57">
        <v>3.2794999999999998E-2</v>
      </c>
    </row>
    <row r="17" spans="2:24" ht="15" customHeight="1" x14ac:dyDescent="0.25">
      <c r="B17" s="79"/>
      <c r="C17" s="188" t="s">
        <v>80</v>
      </c>
      <c r="D17" s="197" t="s">
        <v>3</v>
      </c>
      <c r="E17" s="198">
        <v>3.1007E-2</v>
      </c>
      <c r="F17" s="29"/>
      <c r="G17" s="29"/>
      <c r="H17" s="29"/>
      <c r="I17" s="29"/>
      <c r="J17" s="29"/>
      <c r="K17" s="29"/>
      <c r="L17" s="29"/>
      <c r="M17" s="29"/>
      <c r="N17" s="29"/>
      <c r="O17" s="29"/>
      <c r="P17" s="29"/>
      <c r="Q17" s="29"/>
      <c r="R17" s="29"/>
      <c r="S17" s="29"/>
      <c r="T17" s="22"/>
      <c r="W17" s="56" t="s">
        <v>16</v>
      </c>
      <c r="X17" s="57">
        <v>3.1647000000000002E-2</v>
      </c>
    </row>
    <row r="18" spans="2:24" ht="15" customHeight="1" x14ac:dyDescent="0.25">
      <c r="B18" s="79"/>
      <c r="C18" s="188" t="s">
        <v>121</v>
      </c>
      <c r="D18" s="197" t="s">
        <v>113</v>
      </c>
      <c r="E18" s="198">
        <v>3.0655999999999999E-2</v>
      </c>
      <c r="F18" s="29"/>
      <c r="G18" s="29"/>
      <c r="H18" s="29"/>
      <c r="I18" s="29"/>
      <c r="J18" s="29"/>
      <c r="K18" s="29"/>
      <c r="L18" s="29"/>
      <c r="M18" s="29"/>
      <c r="N18" s="29"/>
      <c r="O18" s="29"/>
      <c r="P18" s="29"/>
      <c r="Q18" s="29"/>
      <c r="R18" s="29"/>
      <c r="S18" s="29"/>
      <c r="T18" s="22"/>
      <c r="W18" s="56" t="s">
        <v>11</v>
      </c>
      <c r="X18" s="57">
        <v>2.436E-2</v>
      </c>
    </row>
    <row r="19" spans="2:24" ht="15" customHeight="1" x14ac:dyDescent="0.25">
      <c r="B19" s="79"/>
      <c r="C19" s="188" t="s">
        <v>35</v>
      </c>
      <c r="D19" s="197" t="s">
        <v>3</v>
      </c>
      <c r="E19" s="198">
        <v>2.7948000000000001E-2</v>
      </c>
      <c r="F19" s="29"/>
      <c r="G19" s="29"/>
      <c r="H19" s="29"/>
      <c r="I19" s="29"/>
      <c r="J19" s="29"/>
      <c r="K19" s="29"/>
      <c r="L19" s="29"/>
      <c r="M19" s="29"/>
      <c r="N19" s="29"/>
      <c r="O19" s="29"/>
      <c r="P19" s="29"/>
      <c r="Q19" s="29"/>
      <c r="R19" s="29"/>
      <c r="S19" s="29"/>
      <c r="T19" s="22"/>
      <c r="W19" s="56" t="s">
        <v>112</v>
      </c>
      <c r="X19" s="57">
        <v>2.1343000000000001E-2</v>
      </c>
    </row>
    <row r="20" spans="2:24" ht="15" customHeight="1" x14ac:dyDescent="0.25">
      <c r="B20" s="79"/>
      <c r="C20" s="188" t="s">
        <v>37</v>
      </c>
      <c r="D20" s="197" t="s">
        <v>118</v>
      </c>
      <c r="E20" s="198">
        <v>2.7209000000000001E-2</v>
      </c>
      <c r="F20" s="29"/>
      <c r="G20" s="29"/>
      <c r="H20" s="29"/>
      <c r="I20" s="29"/>
      <c r="J20" s="29"/>
      <c r="K20" s="29"/>
      <c r="L20" s="29"/>
      <c r="M20" s="29"/>
      <c r="N20" s="29"/>
      <c r="O20" s="29"/>
      <c r="P20" s="29"/>
      <c r="Q20" s="29"/>
      <c r="R20" s="29"/>
      <c r="S20" s="29"/>
      <c r="T20" s="22"/>
      <c r="W20" s="56" t="s">
        <v>84</v>
      </c>
      <c r="X20" s="57">
        <v>1.3906E-2</v>
      </c>
    </row>
    <row r="21" spans="2:24" ht="15" customHeight="1" x14ac:dyDescent="0.25">
      <c r="B21" s="79"/>
      <c r="C21" s="188" t="s">
        <v>82</v>
      </c>
      <c r="D21" s="197" t="s">
        <v>4</v>
      </c>
      <c r="E21" s="198">
        <v>2.1787999999999998E-2</v>
      </c>
      <c r="F21" s="29"/>
      <c r="G21" s="29"/>
      <c r="H21" s="29"/>
      <c r="I21" s="29"/>
      <c r="J21" s="29"/>
      <c r="K21" s="29"/>
      <c r="L21" s="29"/>
      <c r="M21" s="29"/>
      <c r="N21" s="29"/>
      <c r="O21" s="29"/>
      <c r="P21" s="29"/>
      <c r="Q21" s="29"/>
      <c r="R21" s="29"/>
      <c r="S21" s="29"/>
      <c r="T21" s="22"/>
      <c r="W21" s="56" t="s">
        <v>131</v>
      </c>
      <c r="X21" s="57">
        <v>1.0925000000000001E-2</v>
      </c>
    </row>
    <row r="22" spans="2:24" ht="15" customHeight="1" x14ac:dyDescent="0.25">
      <c r="B22" s="79"/>
      <c r="C22" s="188" t="s">
        <v>62</v>
      </c>
      <c r="D22" s="197" t="s">
        <v>10</v>
      </c>
      <c r="E22" s="198">
        <v>2.1588E-2</v>
      </c>
      <c r="F22" s="29"/>
      <c r="G22" s="29"/>
      <c r="H22" s="29"/>
      <c r="I22" s="29"/>
      <c r="J22" s="29"/>
      <c r="K22" s="29"/>
      <c r="L22" s="29"/>
      <c r="M22" s="29"/>
      <c r="N22" s="29"/>
      <c r="O22" s="29"/>
      <c r="P22" s="29"/>
      <c r="Q22" s="29"/>
      <c r="R22" s="29"/>
      <c r="S22" s="29"/>
      <c r="T22" s="22"/>
      <c r="W22" s="19" t="s">
        <v>109</v>
      </c>
      <c r="X22" s="57">
        <v>9.9310000000000006E-3</v>
      </c>
    </row>
    <row r="23" spans="2:24" ht="15" customHeight="1" x14ac:dyDescent="0.25">
      <c r="B23" s="79"/>
      <c r="C23" s="71"/>
      <c r="D23" s="71"/>
      <c r="E23" s="72"/>
      <c r="F23" s="29"/>
      <c r="G23" s="29"/>
      <c r="H23" s="29"/>
      <c r="I23" s="29"/>
      <c r="J23" s="29"/>
      <c r="K23" s="29"/>
      <c r="L23" s="29"/>
      <c r="M23" s="29"/>
      <c r="N23" s="29"/>
      <c r="O23" s="29"/>
      <c r="P23" s="29"/>
      <c r="Q23" s="29"/>
      <c r="R23" s="29"/>
      <c r="S23" s="29"/>
      <c r="T23" s="22"/>
      <c r="W23" s="56"/>
      <c r="X23" s="57"/>
    </row>
    <row r="24" spans="2:24" ht="15" customHeight="1" x14ac:dyDescent="0.25">
      <c r="B24" s="79"/>
      <c r="C24" s="73" t="s">
        <v>55</v>
      </c>
      <c r="D24" s="74"/>
      <c r="E24" s="75">
        <f>SUM(E8:E22)</f>
        <v>0.778922</v>
      </c>
      <c r="F24" s="29"/>
      <c r="G24" s="29"/>
      <c r="H24" s="29"/>
      <c r="I24" s="29"/>
      <c r="J24" s="29"/>
      <c r="K24" s="29"/>
      <c r="L24" s="29"/>
      <c r="M24" s="29"/>
      <c r="N24" s="29"/>
      <c r="O24" s="29"/>
      <c r="P24" s="29"/>
      <c r="Q24" s="29"/>
      <c r="R24" s="29"/>
      <c r="S24" s="29"/>
      <c r="T24" s="22"/>
      <c r="W24" s="56"/>
      <c r="X24" s="57"/>
    </row>
    <row r="25" spans="2:24" ht="15" customHeight="1" x14ac:dyDescent="0.25">
      <c r="B25" s="79"/>
      <c r="F25" s="29"/>
      <c r="G25" s="29"/>
      <c r="H25" s="29"/>
      <c r="I25" s="29"/>
      <c r="J25" s="29"/>
      <c r="K25" s="29"/>
      <c r="L25" s="29"/>
      <c r="M25" s="29"/>
      <c r="N25" s="29"/>
      <c r="O25" s="29"/>
      <c r="P25" s="29"/>
      <c r="Q25" s="29"/>
      <c r="R25" s="29"/>
      <c r="S25" s="29"/>
      <c r="T25" s="22"/>
      <c r="W25" s="56"/>
      <c r="X25" s="57"/>
    </row>
    <row r="26" spans="2:24" ht="15" customHeight="1" x14ac:dyDescent="0.25">
      <c r="B26" s="79"/>
      <c r="F26" s="29"/>
      <c r="G26" s="29"/>
      <c r="H26" s="29"/>
      <c r="I26" s="29"/>
      <c r="J26" s="29"/>
      <c r="K26" s="29"/>
      <c r="L26" s="29"/>
      <c r="M26" s="29"/>
      <c r="N26" s="29"/>
      <c r="O26" s="29"/>
      <c r="P26" s="29"/>
      <c r="Q26" s="29"/>
      <c r="R26" s="29"/>
      <c r="S26" s="29"/>
      <c r="T26" s="22"/>
      <c r="W26" s="56"/>
      <c r="X26" s="57"/>
    </row>
    <row r="27" spans="2:24" ht="15" customHeight="1" x14ac:dyDescent="0.25">
      <c r="B27" s="79"/>
      <c r="F27" s="29"/>
      <c r="G27" s="29"/>
      <c r="H27" s="29"/>
      <c r="I27" s="29"/>
      <c r="J27" s="29"/>
      <c r="K27" s="29"/>
      <c r="L27" s="29"/>
      <c r="M27" s="29"/>
      <c r="N27" s="29"/>
      <c r="O27" s="29"/>
      <c r="P27" s="29"/>
      <c r="Q27" s="29"/>
      <c r="R27" s="29"/>
      <c r="S27" s="29"/>
      <c r="T27" s="22"/>
      <c r="W27" s="56"/>
      <c r="X27" s="57"/>
    </row>
    <row r="28" spans="2:24" ht="15" customHeight="1" x14ac:dyDescent="0.25">
      <c r="B28" s="79"/>
      <c r="F28" s="29"/>
      <c r="G28" s="29"/>
      <c r="H28" s="29"/>
      <c r="I28" s="29"/>
      <c r="J28" s="29"/>
      <c r="K28" s="29"/>
      <c r="L28" s="29"/>
      <c r="M28" s="29"/>
      <c r="N28" s="29"/>
      <c r="O28" s="29"/>
      <c r="P28" s="29"/>
      <c r="Q28" s="29"/>
      <c r="R28" s="29"/>
      <c r="S28" s="29"/>
      <c r="T28" s="22"/>
      <c r="W28" s="56"/>
      <c r="X28" s="57"/>
    </row>
    <row r="29" spans="2:24" ht="15" customHeight="1" x14ac:dyDescent="0.25">
      <c r="B29" s="79"/>
      <c r="F29" s="29"/>
      <c r="G29" s="29"/>
      <c r="H29" s="29"/>
      <c r="I29" s="29"/>
      <c r="J29" s="29"/>
      <c r="K29" s="29"/>
      <c r="L29" s="29"/>
      <c r="M29" s="29"/>
      <c r="N29" s="29"/>
      <c r="O29" s="29"/>
      <c r="P29" s="29"/>
      <c r="Q29" s="29"/>
      <c r="R29" s="29"/>
      <c r="S29" s="29"/>
      <c r="T29" s="22"/>
      <c r="W29" s="56"/>
      <c r="X29" s="57"/>
    </row>
    <row r="30" spans="2:24" ht="15" customHeight="1" x14ac:dyDescent="0.25">
      <c r="B30" s="79"/>
      <c r="F30" s="29"/>
      <c r="G30" s="29"/>
      <c r="H30" s="29"/>
      <c r="I30" s="29"/>
      <c r="J30" s="29"/>
      <c r="K30" s="29"/>
      <c r="L30" s="29"/>
      <c r="M30" s="29"/>
      <c r="N30" s="29"/>
      <c r="O30" s="29"/>
      <c r="P30" s="29"/>
      <c r="Q30" s="29"/>
      <c r="R30" s="29"/>
      <c r="S30" s="29"/>
      <c r="T30" s="22"/>
      <c r="W30" s="56"/>
      <c r="X30" s="57"/>
    </row>
    <row r="31" spans="2:24" ht="15" customHeight="1" x14ac:dyDescent="0.25">
      <c r="B31" s="79"/>
      <c r="F31" s="29"/>
      <c r="G31" s="29"/>
      <c r="H31" s="29"/>
      <c r="I31" s="29"/>
      <c r="J31" s="29"/>
      <c r="K31" s="29"/>
      <c r="L31" s="29"/>
      <c r="M31" s="29"/>
      <c r="N31" s="29"/>
      <c r="O31" s="29"/>
      <c r="P31" s="29"/>
      <c r="Q31" s="29"/>
      <c r="R31" s="29"/>
      <c r="S31" s="29"/>
      <c r="T31" s="22"/>
      <c r="W31" s="56"/>
      <c r="X31" s="57"/>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56"/>
      <c r="X34" s="57"/>
    </row>
    <row r="35" spans="2:24" ht="15" customHeight="1" x14ac:dyDescent="0.25">
      <c r="B35" s="79"/>
      <c r="F35" s="29"/>
      <c r="G35" s="29"/>
      <c r="H35" s="29"/>
      <c r="I35" s="29"/>
      <c r="J35" s="29"/>
      <c r="K35" s="29"/>
      <c r="L35" s="29"/>
      <c r="M35" s="29"/>
      <c r="N35" s="29"/>
      <c r="O35" s="29"/>
      <c r="P35" s="29"/>
      <c r="Q35" s="29"/>
      <c r="R35" s="29"/>
      <c r="S35" s="29"/>
      <c r="T35" s="22"/>
      <c r="W35" s="56"/>
      <c r="X35" s="57"/>
    </row>
    <row r="36" spans="2:24" ht="15" customHeight="1" x14ac:dyDescent="0.25">
      <c r="B36" s="79"/>
      <c r="F36" s="29"/>
      <c r="G36" s="29"/>
      <c r="H36" s="29"/>
      <c r="I36" s="29"/>
      <c r="J36" s="29"/>
      <c r="K36" s="29"/>
      <c r="L36" s="29"/>
      <c r="M36" s="29"/>
      <c r="N36" s="29"/>
      <c r="O36" s="29"/>
      <c r="P36" s="29"/>
      <c r="Q36" s="29"/>
      <c r="R36" s="29"/>
      <c r="S36" s="29"/>
      <c r="T36" s="22"/>
      <c r="W36" s="56"/>
      <c r="X36" s="57"/>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262" t="s">
        <v>184</v>
      </c>
      <c r="C39" s="263"/>
      <c r="D39" s="263"/>
      <c r="E39" s="263"/>
      <c r="F39" s="263"/>
      <c r="G39" s="263"/>
      <c r="H39" s="263"/>
      <c r="I39" s="263"/>
      <c r="J39" s="263"/>
      <c r="K39" s="263"/>
      <c r="L39" s="263"/>
      <c r="M39" s="263"/>
      <c r="N39" s="263"/>
      <c r="O39" s="263"/>
      <c r="P39" s="263"/>
      <c r="Q39" s="263"/>
      <c r="R39" s="264"/>
    </row>
    <row r="40" spans="2:24" ht="15" customHeight="1" x14ac:dyDescent="0.25">
      <c r="B40" s="265"/>
      <c r="C40" s="266"/>
      <c r="D40" s="266"/>
      <c r="E40" s="266"/>
      <c r="F40" s="266"/>
      <c r="G40" s="266"/>
      <c r="H40" s="266"/>
      <c r="I40" s="266"/>
      <c r="J40" s="266"/>
      <c r="K40" s="266"/>
      <c r="L40" s="266"/>
      <c r="M40" s="266"/>
      <c r="N40" s="266"/>
      <c r="O40" s="266"/>
      <c r="P40" s="266"/>
      <c r="Q40" s="266"/>
      <c r="R40" s="267"/>
    </row>
    <row r="41" spans="2:24" ht="15" customHeight="1" x14ac:dyDescent="0.25">
      <c r="B41" s="265"/>
      <c r="C41" s="266"/>
      <c r="D41" s="266"/>
      <c r="E41" s="266"/>
      <c r="F41" s="266"/>
      <c r="G41" s="266"/>
      <c r="H41" s="266"/>
      <c r="I41" s="266"/>
      <c r="J41" s="266"/>
      <c r="K41" s="266"/>
      <c r="L41" s="266"/>
      <c r="M41" s="266"/>
      <c r="N41" s="266"/>
      <c r="O41" s="266"/>
      <c r="P41" s="266"/>
      <c r="Q41" s="266"/>
      <c r="R41" s="267"/>
    </row>
    <row r="42" spans="2:24" ht="15" customHeight="1" x14ac:dyDescent="0.25">
      <c r="B42" s="265"/>
      <c r="C42" s="266"/>
      <c r="D42" s="266"/>
      <c r="E42" s="266"/>
      <c r="F42" s="266"/>
      <c r="G42" s="266"/>
      <c r="H42" s="266"/>
      <c r="I42" s="266"/>
      <c r="J42" s="266"/>
      <c r="K42" s="266"/>
      <c r="L42" s="266"/>
      <c r="M42" s="266"/>
      <c r="N42" s="266"/>
      <c r="O42" s="266"/>
      <c r="P42" s="266"/>
      <c r="Q42" s="266"/>
      <c r="R42" s="267"/>
    </row>
    <row r="43" spans="2:24" ht="15" customHeight="1" x14ac:dyDescent="0.25">
      <c r="B43" s="265"/>
      <c r="C43" s="266"/>
      <c r="D43" s="266"/>
      <c r="E43" s="266"/>
      <c r="F43" s="266"/>
      <c r="G43" s="266"/>
      <c r="H43" s="266"/>
      <c r="I43" s="266"/>
      <c r="J43" s="266"/>
      <c r="K43" s="266"/>
      <c r="L43" s="266"/>
      <c r="M43" s="266"/>
      <c r="N43" s="266"/>
      <c r="O43" s="266"/>
      <c r="P43" s="266"/>
      <c r="Q43" s="266"/>
      <c r="R43" s="267"/>
    </row>
    <row r="44" spans="2:24" ht="15" customHeight="1" x14ac:dyDescent="0.25">
      <c r="B44" s="265"/>
      <c r="C44" s="266"/>
      <c r="D44" s="266"/>
      <c r="E44" s="266"/>
      <c r="F44" s="266"/>
      <c r="G44" s="266"/>
      <c r="H44" s="266"/>
      <c r="I44" s="266"/>
      <c r="J44" s="266"/>
      <c r="K44" s="266"/>
      <c r="L44" s="266"/>
      <c r="M44" s="266"/>
      <c r="N44" s="266"/>
      <c r="O44" s="266"/>
      <c r="P44" s="266"/>
      <c r="Q44" s="266"/>
      <c r="R44" s="267"/>
    </row>
    <row r="45" spans="2:24" ht="26.25" customHeight="1" thickBot="1" x14ac:dyDescent="0.3">
      <c r="B45" s="268"/>
      <c r="C45" s="269"/>
      <c r="D45" s="269"/>
      <c r="E45" s="269"/>
      <c r="F45" s="269"/>
      <c r="G45" s="269"/>
      <c r="H45" s="269"/>
      <c r="I45" s="269"/>
      <c r="J45" s="269"/>
      <c r="K45" s="269"/>
      <c r="L45" s="269"/>
      <c r="M45" s="269"/>
      <c r="N45" s="269"/>
      <c r="O45" s="269"/>
      <c r="P45" s="269"/>
      <c r="Q45" s="269"/>
      <c r="R45" s="27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1" t="s">
        <v>156</v>
      </c>
      <c r="D3" s="272"/>
      <c r="E3" s="272"/>
      <c r="F3" s="272"/>
      <c r="G3" s="272"/>
      <c r="H3" s="272"/>
      <c r="I3" s="272"/>
      <c r="J3" s="272"/>
      <c r="K3" s="272"/>
      <c r="L3" s="272"/>
      <c r="M3" s="272"/>
      <c r="N3" s="272"/>
      <c r="O3" s="272"/>
      <c r="P3" s="272"/>
      <c r="Q3" s="272"/>
      <c r="R3" s="272"/>
      <c r="S3" s="272"/>
      <c r="T3" s="22"/>
    </row>
    <row r="4" spans="1:24" ht="15.75" customHeight="1" x14ac:dyDescent="0.25">
      <c r="B4" s="79"/>
      <c r="C4" s="67" t="s">
        <v>356</v>
      </c>
      <c r="D4" s="29"/>
      <c r="E4" s="29"/>
      <c r="F4" s="29"/>
      <c r="G4" s="29"/>
      <c r="H4" s="29"/>
      <c r="I4" s="29"/>
      <c r="J4" s="29"/>
      <c r="K4" s="29"/>
      <c r="L4" s="29"/>
      <c r="M4" s="29"/>
      <c r="N4" s="29"/>
      <c r="O4" s="29"/>
      <c r="P4" s="29"/>
      <c r="Q4" s="29"/>
      <c r="R4" s="29"/>
      <c r="S4" s="29"/>
      <c r="T4" s="22"/>
    </row>
    <row r="5" spans="1:24" ht="18" customHeight="1" x14ac:dyDescent="0.25">
      <c r="B5" s="79"/>
      <c r="C5" s="222" t="s">
        <v>357</v>
      </c>
      <c r="D5" s="275" t="s">
        <v>384</v>
      </c>
      <c r="E5" s="275"/>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4" t="s">
        <v>29</v>
      </c>
      <c r="D8" s="195" t="s">
        <v>3</v>
      </c>
      <c r="E8" s="196">
        <v>0.11327</v>
      </c>
      <c r="F8" s="29"/>
      <c r="G8" s="29"/>
      <c r="H8" s="29"/>
      <c r="I8" s="29"/>
      <c r="J8" s="29"/>
      <c r="K8" s="29"/>
      <c r="L8" s="29"/>
      <c r="M8" s="29"/>
      <c r="N8" s="29"/>
      <c r="O8" s="29"/>
      <c r="P8" s="29"/>
      <c r="Q8" s="29"/>
      <c r="R8" s="29"/>
      <c r="S8" s="29"/>
      <c r="T8" s="22"/>
      <c r="W8" t="s">
        <v>3</v>
      </c>
      <c r="X8" s="179">
        <v>0.27871400000000002</v>
      </c>
    </row>
    <row r="9" spans="1:24" ht="15.75" customHeight="1" x14ac:dyDescent="0.25">
      <c r="B9" s="79"/>
      <c r="C9" s="188" t="s">
        <v>31</v>
      </c>
      <c r="D9" s="197" t="s">
        <v>6</v>
      </c>
      <c r="E9" s="198">
        <v>8.6338999999999999E-2</v>
      </c>
      <c r="F9" s="29"/>
      <c r="G9" s="29"/>
      <c r="H9" s="29"/>
      <c r="I9" s="29"/>
      <c r="J9" s="29"/>
      <c r="K9" s="29"/>
      <c r="L9" s="29"/>
      <c r="M9" s="29"/>
      <c r="N9" s="29"/>
      <c r="O9" s="29"/>
      <c r="P9" s="29"/>
      <c r="Q9" s="29"/>
      <c r="R9" s="29"/>
      <c r="S9" s="29"/>
      <c r="T9" s="22"/>
      <c r="W9" t="s">
        <v>108</v>
      </c>
      <c r="X9" s="179">
        <v>0.127418</v>
      </c>
    </row>
    <row r="10" spans="1:24" ht="15.75" x14ac:dyDescent="0.25">
      <c r="B10" s="79"/>
      <c r="C10" s="188" t="s">
        <v>32</v>
      </c>
      <c r="D10" s="197" t="s">
        <v>3</v>
      </c>
      <c r="E10" s="198">
        <v>7.7316999999999997E-2</v>
      </c>
      <c r="F10" s="29"/>
      <c r="G10" s="29"/>
      <c r="H10" s="29"/>
      <c r="I10" s="29"/>
      <c r="J10" s="29"/>
      <c r="K10" s="29"/>
      <c r="L10" s="29"/>
      <c r="M10" s="29"/>
      <c r="N10" s="29"/>
      <c r="O10" s="29"/>
      <c r="P10" s="29"/>
      <c r="Q10" s="29"/>
      <c r="R10" s="29"/>
      <c r="S10" s="29"/>
      <c r="T10" s="22"/>
      <c r="W10" t="s">
        <v>6</v>
      </c>
      <c r="X10" s="179">
        <v>9.2520999999999992E-2</v>
      </c>
    </row>
    <row r="11" spans="1:24" ht="15.75" customHeight="1" x14ac:dyDescent="0.25">
      <c r="B11" s="79"/>
      <c r="C11" s="188" t="s">
        <v>28</v>
      </c>
      <c r="D11" s="197" t="s">
        <v>108</v>
      </c>
      <c r="E11" s="198">
        <v>5.8208999999999997E-2</v>
      </c>
      <c r="F11" s="29"/>
      <c r="G11" s="29"/>
      <c r="H11" s="29"/>
      <c r="I11" s="29"/>
      <c r="J11" s="29"/>
      <c r="K11" s="29"/>
      <c r="L11" s="29"/>
      <c r="M11" s="29"/>
      <c r="N11" s="29"/>
      <c r="O11" s="29"/>
      <c r="P11" s="29"/>
      <c r="Q11" s="29"/>
      <c r="R11" s="29"/>
      <c r="S11" s="29"/>
      <c r="T11" s="22"/>
      <c r="W11" t="s">
        <v>113</v>
      </c>
      <c r="X11" s="179">
        <v>8.0787999999999999E-2</v>
      </c>
    </row>
    <row r="12" spans="1:24" ht="15" customHeight="1" x14ac:dyDescent="0.25">
      <c r="B12" s="79"/>
      <c r="C12" s="188" t="s">
        <v>30</v>
      </c>
      <c r="D12" s="197" t="s">
        <v>118</v>
      </c>
      <c r="E12" s="198">
        <v>4.1556000000000003E-2</v>
      </c>
      <c r="F12" s="29"/>
      <c r="G12" s="29"/>
      <c r="H12" s="29"/>
      <c r="I12" s="29"/>
      <c r="J12" s="29"/>
      <c r="K12" s="29"/>
      <c r="L12" s="29"/>
      <c r="M12" s="29"/>
      <c r="N12" s="29"/>
      <c r="O12" s="29"/>
      <c r="P12" s="29"/>
      <c r="Q12" s="29"/>
      <c r="R12" s="29"/>
      <c r="S12" s="29"/>
      <c r="T12" s="22"/>
      <c r="W12" t="s">
        <v>118</v>
      </c>
      <c r="X12" s="179">
        <v>6.4269000000000007E-2</v>
      </c>
    </row>
    <row r="13" spans="1:24" ht="15" customHeight="1" x14ac:dyDescent="0.25">
      <c r="B13" s="79"/>
      <c r="C13" s="188" t="s">
        <v>70</v>
      </c>
      <c r="D13" s="197" t="s">
        <v>12</v>
      </c>
      <c r="E13" s="198">
        <v>3.9498999999999999E-2</v>
      </c>
      <c r="F13" s="29"/>
      <c r="G13" s="29"/>
      <c r="H13" s="29"/>
      <c r="I13" s="29"/>
      <c r="J13" s="29"/>
      <c r="K13" s="29"/>
      <c r="L13" s="29"/>
      <c r="M13" s="29"/>
      <c r="N13" s="29"/>
      <c r="O13" s="29"/>
      <c r="P13" s="29"/>
      <c r="Q13" s="29"/>
      <c r="R13" s="29"/>
      <c r="S13" s="29"/>
      <c r="T13" s="22"/>
      <c r="W13" t="s">
        <v>12</v>
      </c>
      <c r="X13" s="179">
        <v>3.9498999999999999E-2</v>
      </c>
    </row>
    <row r="14" spans="1:24" ht="15" customHeight="1" x14ac:dyDescent="0.25">
      <c r="B14" s="79"/>
      <c r="C14" s="188" t="s">
        <v>33</v>
      </c>
      <c r="D14" s="197" t="s">
        <v>108</v>
      </c>
      <c r="E14" s="198">
        <v>3.7617999999999999E-2</v>
      </c>
      <c r="F14" s="29"/>
      <c r="G14" s="29"/>
      <c r="H14" s="29"/>
      <c r="I14" s="29"/>
      <c r="J14" s="29"/>
      <c r="K14" s="29"/>
      <c r="L14" s="29"/>
      <c r="M14" s="29"/>
      <c r="N14" s="29"/>
      <c r="O14" s="29"/>
      <c r="P14" s="29"/>
      <c r="Q14" s="29"/>
      <c r="R14" s="29"/>
      <c r="S14" s="29"/>
      <c r="T14" s="22"/>
      <c r="W14" t="s">
        <v>23</v>
      </c>
      <c r="X14" s="179">
        <v>3.7308000000000001E-2</v>
      </c>
    </row>
    <row r="15" spans="1:24" ht="15" customHeight="1" x14ac:dyDescent="0.25">
      <c r="B15" s="79"/>
      <c r="C15" s="188" t="s">
        <v>34</v>
      </c>
      <c r="D15" s="197" t="s">
        <v>23</v>
      </c>
      <c r="E15" s="198">
        <v>3.7308000000000001E-2</v>
      </c>
      <c r="F15" s="29"/>
      <c r="G15" s="29"/>
      <c r="H15" s="29"/>
      <c r="I15" s="29"/>
      <c r="J15" s="29"/>
      <c r="K15" s="29"/>
      <c r="L15" s="29"/>
      <c r="M15" s="29"/>
      <c r="N15" s="29"/>
      <c r="O15" s="29"/>
      <c r="P15" s="29"/>
      <c r="Q15" s="29"/>
      <c r="R15" s="29"/>
      <c r="S15" s="29"/>
      <c r="T15" s="22"/>
      <c r="W15" t="s">
        <v>4</v>
      </c>
      <c r="X15" s="179">
        <v>3.6478000000000003E-2</v>
      </c>
    </row>
    <row r="16" spans="1:24" ht="15" customHeight="1" x14ac:dyDescent="0.25">
      <c r="B16" s="79"/>
      <c r="C16" s="188" t="s">
        <v>36</v>
      </c>
      <c r="D16" s="197" t="s">
        <v>3</v>
      </c>
      <c r="E16" s="198">
        <v>3.0277999999999999E-2</v>
      </c>
      <c r="F16" s="29"/>
      <c r="G16" s="29"/>
      <c r="H16" s="29"/>
      <c r="I16" s="29"/>
      <c r="J16" s="29"/>
      <c r="K16" s="29"/>
      <c r="L16" s="29"/>
      <c r="M16" s="29"/>
      <c r="N16" s="29"/>
      <c r="O16" s="29"/>
      <c r="P16" s="29"/>
      <c r="Q16" s="29"/>
      <c r="R16" s="29"/>
      <c r="S16" s="29"/>
      <c r="T16" s="22"/>
      <c r="W16" t="s">
        <v>112</v>
      </c>
      <c r="X16" s="179">
        <v>3.2871999999999998E-2</v>
      </c>
    </row>
    <row r="17" spans="2:24" ht="15" customHeight="1" x14ac:dyDescent="0.25">
      <c r="B17" s="79"/>
      <c r="C17" s="188" t="s">
        <v>80</v>
      </c>
      <c r="D17" s="197" t="s">
        <v>3</v>
      </c>
      <c r="E17" s="198">
        <v>2.6136E-2</v>
      </c>
      <c r="F17" s="29"/>
      <c r="G17" s="29"/>
      <c r="H17" s="29"/>
      <c r="I17" s="29"/>
      <c r="J17" s="29"/>
      <c r="K17" s="29"/>
      <c r="L17" s="29"/>
      <c r="M17" s="29"/>
      <c r="N17" s="29"/>
      <c r="O17" s="29"/>
      <c r="P17" s="29"/>
      <c r="Q17" s="29"/>
      <c r="R17" s="29"/>
      <c r="S17" s="29"/>
      <c r="T17" s="22"/>
      <c r="W17" t="s">
        <v>10</v>
      </c>
      <c r="X17" s="179">
        <v>3.1871999999999998E-2</v>
      </c>
    </row>
    <row r="18" spans="2:24" ht="15" customHeight="1" x14ac:dyDescent="0.25">
      <c r="B18" s="79"/>
      <c r="C18" s="188" t="s">
        <v>121</v>
      </c>
      <c r="D18" s="197" t="s">
        <v>113</v>
      </c>
      <c r="E18" s="198">
        <v>2.3784E-2</v>
      </c>
      <c r="F18" s="29"/>
      <c r="G18" s="29"/>
      <c r="H18" s="29"/>
      <c r="I18" s="29"/>
      <c r="J18" s="29"/>
      <c r="K18" s="29"/>
      <c r="L18" s="29"/>
      <c r="M18" s="29"/>
      <c r="N18" s="29"/>
      <c r="O18" s="29"/>
      <c r="P18" s="29"/>
      <c r="Q18" s="29"/>
      <c r="R18" s="29"/>
      <c r="S18" s="29"/>
      <c r="T18" s="22"/>
      <c r="W18" t="s">
        <v>16</v>
      </c>
      <c r="X18" s="179">
        <v>2.6630000000000001E-2</v>
      </c>
    </row>
    <row r="19" spans="2:24" ht="15" customHeight="1" x14ac:dyDescent="0.25">
      <c r="B19" s="79"/>
      <c r="C19" s="188" t="s">
        <v>35</v>
      </c>
      <c r="D19" s="197" t="s">
        <v>3</v>
      </c>
      <c r="E19" s="198">
        <v>2.3469E-2</v>
      </c>
      <c r="F19" s="29"/>
      <c r="G19" s="29"/>
      <c r="H19" s="29"/>
      <c r="I19" s="29"/>
      <c r="J19" s="29"/>
      <c r="K19" s="29"/>
      <c r="L19" s="29"/>
      <c r="M19" s="29"/>
      <c r="N19" s="29"/>
      <c r="O19" s="29"/>
      <c r="P19" s="29"/>
      <c r="Q19" s="29"/>
      <c r="R19" s="29"/>
      <c r="S19" s="29"/>
      <c r="T19" s="22"/>
      <c r="W19" t="s">
        <v>84</v>
      </c>
      <c r="X19" s="179">
        <v>2.0582E-2</v>
      </c>
    </row>
    <row r="20" spans="2:24" ht="15" customHeight="1" x14ac:dyDescent="0.25">
      <c r="B20" s="79"/>
      <c r="C20" s="188" t="s">
        <v>37</v>
      </c>
      <c r="D20" s="197" t="s">
        <v>118</v>
      </c>
      <c r="E20" s="198">
        <v>2.2713000000000001E-2</v>
      </c>
      <c r="F20" s="29"/>
      <c r="G20" s="29"/>
      <c r="H20" s="29"/>
      <c r="I20" s="29"/>
      <c r="J20" s="29"/>
      <c r="K20" s="29"/>
      <c r="L20" s="29"/>
      <c r="M20" s="29"/>
      <c r="N20" s="29"/>
      <c r="O20" s="29"/>
      <c r="P20" s="29"/>
      <c r="Q20" s="29"/>
      <c r="R20" s="29"/>
      <c r="S20" s="29"/>
      <c r="T20" s="22"/>
      <c r="W20" t="s">
        <v>11</v>
      </c>
      <c r="X20" s="179">
        <v>2.0560000000000002E-2</v>
      </c>
    </row>
    <row r="21" spans="2:24" ht="15" customHeight="1" x14ac:dyDescent="0.25">
      <c r="B21" s="79"/>
      <c r="C21" s="188" t="s">
        <v>82</v>
      </c>
      <c r="D21" s="197" t="s">
        <v>4</v>
      </c>
      <c r="E21" s="198">
        <v>1.8575000000000001E-2</v>
      </c>
      <c r="F21" s="29"/>
      <c r="G21" s="29"/>
      <c r="H21" s="29"/>
      <c r="I21" s="29"/>
      <c r="J21" s="29"/>
      <c r="K21" s="29"/>
      <c r="L21" s="29"/>
      <c r="M21" s="29"/>
      <c r="N21" s="29"/>
      <c r="O21" s="29"/>
      <c r="P21" s="29"/>
      <c r="Q21" s="29"/>
      <c r="R21" s="29"/>
      <c r="S21" s="29"/>
      <c r="T21" s="22"/>
      <c r="W21" t="s">
        <v>109</v>
      </c>
      <c r="X21" s="179">
        <v>1.4752000000000001E-2</v>
      </c>
    </row>
    <row r="22" spans="2:24" ht="15" customHeight="1" x14ac:dyDescent="0.25">
      <c r="B22" s="79"/>
      <c r="C22" s="188" t="s">
        <v>62</v>
      </c>
      <c r="D22" s="197" t="s">
        <v>10</v>
      </c>
      <c r="E22" s="198">
        <v>1.8098E-2</v>
      </c>
      <c r="F22" s="29"/>
      <c r="G22" s="29"/>
      <c r="H22" s="29"/>
      <c r="I22" s="29"/>
      <c r="J22" s="29"/>
      <c r="K22" s="29"/>
      <c r="L22" s="29"/>
      <c r="M22" s="29"/>
      <c r="N22" s="29"/>
      <c r="O22" s="29"/>
      <c r="P22" s="29"/>
      <c r="Q22" s="29"/>
      <c r="R22" s="29"/>
      <c r="S22" s="29"/>
      <c r="T22" s="22"/>
      <c r="W22" t="s">
        <v>26</v>
      </c>
      <c r="X22" s="179">
        <v>1.4470999999999999E-2</v>
      </c>
    </row>
    <row r="23" spans="2:24" ht="15" customHeight="1" x14ac:dyDescent="0.25">
      <c r="B23" s="79"/>
      <c r="C23" s="71"/>
      <c r="D23" s="71"/>
      <c r="E23" s="72"/>
      <c r="F23" s="29"/>
      <c r="G23" s="29"/>
      <c r="H23" s="29"/>
      <c r="I23" s="29"/>
      <c r="J23" s="29"/>
      <c r="K23" s="29"/>
      <c r="L23" s="29"/>
      <c r="M23" s="29"/>
      <c r="N23" s="29"/>
      <c r="O23" s="29"/>
      <c r="P23" s="29"/>
      <c r="Q23" s="29"/>
      <c r="R23" s="29"/>
      <c r="S23" s="29"/>
      <c r="T23" s="22"/>
      <c r="W23" t="s">
        <v>87</v>
      </c>
      <c r="X23" s="179">
        <v>1.3719E-2</v>
      </c>
    </row>
    <row r="24" spans="2:24" ht="15" customHeight="1" x14ac:dyDescent="0.25">
      <c r="B24" s="79"/>
      <c r="C24" s="73" t="s">
        <v>55</v>
      </c>
      <c r="D24" s="74"/>
      <c r="E24" s="75">
        <f>SUM(E8:E22)</f>
        <v>0.654169</v>
      </c>
      <c r="F24" s="29"/>
      <c r="G24" s="29"/>
      <c r="H24" s="29"/>
      <c r="I24" s="29"/>
      <c r="J24" s="29"/>
      <c r="K24" s="29"/>
      <c r="L24" s="29"/>
      <c r="M24" s="29"/>
      <c r="N24" s="29"/>
      <c r="O24" s="29"/>
      <c r="P24" s="29"/>
      <c r="Q24" s="29"/>
      <c r="R24" s="29"/>
      <c r="S24" s="29"/>
      <c r="T24" s="22"/>
      <c r="W24" t="s">
        <v>132</v>
      </c>
      <c r="X24" s="179">
        <v>9.979E-3</v>
      </c>
    </row>
    <row r="25" spans="2:24" ht="15" customHeight="1" x14ac:dyDescent="0.25">
      <c r="B25" s="79"/>
      <c r="F25" s="29"/>
      <c r="G25" s="29"/>
      <c r="H25" s="29"/>
      <c r="I25" s="29"/>
      <c r="J25" s="29"/>
      <c r="K25" s="29"/>
      <c r="L25" s="29"/>
      <c r="M25" s="29"/>
      <c r="N25" s="29"/>
      <c r="O25" s="29"/>
      <c r="P25" s="29"/>
      <c r="Q25" s="29"/>
      <c r="R25" s="29"/>
      <c r="S25" s="29"/>
      <c r="T25" s="22"/>
      <c r="W25" t="s">
        <v>13</v>
      </c>
      <c r="X25" s="179">
        <v>9.953E-3</v>
      </c>
    </row>
    <row r="26" spans="2:24" ht="15" customHeight="1" x14ac:dyDescent="0.25">
      <c r="B26" s="79"/>
      <c r="F26" s="29"/>
      <c r="G26" s="29"/>
      <c r="H26" s="29"/>
      <c r="I26" s="29"/>
      <c r="J26" s="29"/>
      <c r="K26" s="29"/>
      <c r="L26" s="29"/>
      <c r="M26" s="29"/>
      <c r="N26" s="29"/>
      <c r="O26" s="29"/>
      <c r="P26" s="29"/>
      <c r="Q26" s="29"/>
      <c r="R26" s="29"/>
      <c r="S26" s="29"/>
      <c r="T26" s="22"/>
      <c r="W26" t="s">
        <v>15</v>
      </c>
      <c r="X26" s="179">
        <v>9.4879999999999999E-3</v>
      </c>
    </row>
    <row r="27" spans="2:24" ht="15" customHeight="1" x14ac:dyDescent="0.25">
      <c r="B27" s="79"/>
      <c r="F27" s="29"/>
      <c r="G27" s="29"/>
      <c r="H27" s="29"/>
      <c r="I27" s="29"/>
      <c r="J27" s="29"/>
      <c r="K27" s="29"/>
      <c r="L27" s="29"/>
      <c r="M27" s="29"/>
      <c r="N27" s="29"/>
      <c r="O27" s="29"/>
      <c r="P27" s="29"/>
      <c r="Q27" s="29"/>
      <c r="R27" s="29"/>
      <c r="S27" s="29"/>
      <c r="T27" s="22"/>
      <c r="W27" t="s">
        <v>131</v>
      </c>
      <c r="X27" s="179">
        <v>9.2029999999999994E-3</v>
      </c>
    </row>
    <row r="28" spans="2:24" ht="15" customHeight="1" x14ac:dyDescent="0.25">
      <c r="B28" s="79"/>
      <c r="F28" s="29"/>
      <c r="G28" s="29"/>
      <c r="H28" s="29"/>
      <c r="I28" s="29"/>
      <c r="J28" s="29"/>
      <c r="K28" s="29"/>
      <c r="L28" s="29"/>
      <c r="M28" s="29"/>
      <c r="N28" s="29"/>
      <c r="O28" s="29"/>
      <c r="P28" s="29"/>
      <c r="Q28" s="29"/>
      <c r="R28" s="29"/>
      <c r="S28" s="29"/>
      <c r="T28" s="22"/>
      <c r="W28" t="s">
        <v>88</v>
      </c>
      <c r="X28" s="179">
        <v>8.7939999999999997E-3</v>
      </c>
    </row>
    <row r="29" spans="2:24" ht="15" customHeight="1" x14ac:dyDescent="0.25">
      <c r="B29" s="79"/>
      <c r="F29" s="29"/>
      <c r="G29" s="29"/>
      <c r="H29" s="29"/>
      <c r="I29" s="29"/>
      <c r="J29" s="29"/>
      <c r="K29" s="29"/>
      <c r="L29" s="29"/>
      <c r="M29" s="29"/>
      <c r="N29" s="29"/>
      <c r="O29" s="29"/>
      <c r="P29" s="29"/>
      <c r="Q29" s="29"/>
      <c r="R29" s="29"/>
      <c r="S29" s="29"/>
      <c r="T29" s="22"/>
      <c r="W29" t="s">
        <v>116</v>
      </c>
      <c r="X29" s="179">
        <v>6.7130000000000002E-3</v>
      </c>
    </row>
    <row r="30" spans="2:24" ht="15" customHeight="1" x14ac:dyDescent="0.25">
      <c r="B30" s="79"/>
      <c r="F30" s="29"/>
      <c r="G30" s="29"/>
      <c r="H30" s="29"/>
      <c r="I30" s="29"/>
      <c r="J30" s="29"/>
      <c r="K30" s="29"/>
      <c r="L30" s="29"/>
      <c r="M30" s="29"/>
      <c r="N30" s="29"/>
      <c r="O30" s="29"/>
      <c r="P30" s="29"/>
      <c r="Q30" s="29"/>
      <c r="R30" s="29"/>
      <c r="S30" s="29"/>
      <c r="T30" s="22"/>
      <c r="W30" s="56" t="s">
        <v>133</v>
      </c>
      <c r="X30" s="57">
        <v>6.3749999999999996E-3</v>
      </c>
    </row>
    <row r="31" spans="2:24" ht="15" customHeight="1" x14ac:dyDescent="0.25">
      <c r="B31" s="79"/>
      <c r="F31" s="29"/>
      <c r="G31" s="29"/>
      <c r="H31" s="29"/>
      <c r="I31" s="29"/>
      <c r="J31" s="29"/>
      <c r="K31" s="29"/>
      <c r="L31" s="29"/>
      <c r="M31" s="29"/>
      <c r="N31" s="29"/>
      <c r="O31" s="29"/>
      <c r="P31" s="29"/>
      <c r="Q31" s="29"/>
      <c r="R31" s="29"/>
      <c r="S31" s="29"/>
      <c r="T31" s="22"/>
      <c r="W31" s="56" t="s">
        <v>78</v>
      </c>
      <c r="X31" s="57">
        <v>6.28E-3</v>
      </c>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39"/>
      <c r="X34" s="39"/>
    </row>
    <row r="35" spans="2:24" ht="15" customHeight="1" x14ac:dyDescent="0.25">
      <c r="B35" s="79"/>
      <c r="F35" s="29"/>
      <c r="G35" s="29"/>
      <c r="H35" s="29"/>
      <c r="I35" s="29"/>
      <c r="J35" s="29"/>
      <c r="K35" s="29"/>
      <c r="L35" s="29"/>
      <c r="M35" s="29"/>
      <c r="N35" s="29"/>
      <c r="O35" s="29"/>
      <c r="P35" s="29"/>
      <c r="Q35" s="29"/>
      <c r="R35" s="29"/>
      <c r="S35" s="29"/>
      <c r="T35" s="22"/>
      <c r="W35" s="39"/>
      <c r="X35" s="39"/>
    </row>
    <row r="36" spans="2:24" ht="15" customHeight="1" x14ac:dyDescent="0.25">
      <c r="B36" s="79"/>
      <c r="F36" s="29"/>
      <c r="G36" s="29"/>
      <c r="H36" s="29"/>
      <c r="I36" s="29"/>
      <c r="J36" s="29"/>
      <c r="K36" s="29"/>
      <c r="L36" s="29"/>
      <c r="M36" s="29"/>
      <c r="N36" s="29"/>
      <c r="O36" s="29"/>
      <c r="P36" s="29"/>
      <c r="Q36" s="29"/>
      <c r="R36" s="29"/>
      <c r="S36" s="29"/>
      <c r="T36" s="22"/>
      <c r="W36" s="39"/>
      <c r="X36" s="39"/>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262" t="s">
        <v>184</v>
      </c>
      <c r="C39" s="263"/>
      <c r="D39" s="263"/>
      <c r="E39" s="263"/>
      <c r="F39" s="263"/>
      <c r="G39" s="263"/>
      <c r="H39" s="263"/>
      <c r="I39" s="263"/>
      <c r="J39" s="263"/>
      <c r="K39" s="263"/>
      <c r="L39" s="263"/>
      <c r="M39" s="263"/>
      <c r="N39" s="263"/>
      <c r="O39" s="263"/>
      <c r="P39" s="263"/>
      <c r="Q39" s="263"/>
      <c r="R39" s="264"/>
    </row>
    <row r="40" spans="2:24" ht="15" customHeight="1" x14ac:dyDescent="0.25">
      <c r="B40" s="265"/>
      <c r="C40" s="266"/>
      <c r="D40" s="266"/>
      <c r="E40" s="266"/>
      <c r="F40" s="266"/>
      <c r="G40" s="266"/>
      <c r="H40" s="266"/>
      <c r="I40" s="266"/>
      <c r="J40" s="266"/>
      <c r="K40" s="266"/>
      <c r="L40" s="266"/>
      <c r="M40" s="266"/>
      <c r="N40" s="266"/>
      <c r="O40" s="266"/>
      <c r="P40" s="266"/>
      <c r="Q40" s="266"/>
      <c r="R40" s="267"/>
    </row>
    <row r="41" spans="2:24" ht="15" customHeight="1" x14ac:dyDescent="0.25">
      <c r="B41" s="265"/>
      <c r="C41" s="266"/>
      <c r="D41" s="266"/>
      <c r="E41" s="266"/>
      <c r="F41" s="266"/>
      <c r="G41" s="266"/>
      <c r="H41" s="266"/>
      <c r="I41" s="266"/>
      <c r="J41" s="266"/>
      <c r="K41" s="266"/>
      <c r="L41" s="266"/>
      <c r="M41" s="266"/>
      <c r="N41" s="266"/>
      <c r="O41" s="266"/>
      <c r="P41" s="266"/>
      <c r="Q41" s="266"/>
      <c r="R41" s="267"/>
    </row>
    <row r="42" spans="2:24" ht="15" customHeight="1" x14ac:dyDescent="0.25">
      <c r="B42" s="265"/>
      <c r="C42" s="266"/>
      <c r="D42" s="266"/>
      <c r="E42" s="266"/>
      <c r="F42" s="266"/>
      <c r="G42" s="266"/>
      <c r="H42" s="266"/>
      <c r="I42" s="266"/>
      <c r="J42" s="266"/>
      <c r="K42" s="266"/>
      <c r="L42" s="266"/>
      <c r="M42" s="266"/>
      <c r="N42" s="266"/>
      <c r="O42" s="266"/>
      <c r="P42" s="266"/>
      <c r="Q42" s="266"/>
      <c r="R42" s="267"/>
    </row>
    <row r="43" spans="2:24" ht="15" customHeight="1" x14ac:dyDescent="0.25">
      <c r="B43" s="265"/>
      <c r="C43" s="266"/>
      <c r="D43" s="266"/>
      <c r="E43" s="266"/>
      <c r="F43" s="266"/>
      <c r="G43" s="266"/>
      <c r="H43" s="266"/>
      <c r="I43" s="266"/>
      <c r="J43" s="266"/>
      <c r="K43" s="266"/>
      <c r="L43" s="266"/>
      <c r="M43" s="266"/>
      <c r="N43" s="266"/>
      <c r="O43" s="266"/>
      <c r="P43" s="266"/>
      <c r="Q43" s="266"/>
      <c r="R43" s="267"/>
    </row>
    <row r="44" spans="2:24" ht="15" customHeight="1" x14ac:dyDescent="0.25">
      <c r="B44" s="265"/>
      <c r="C44" s="266"/>
      <c r="D44" s="266"/>
      <c r="E44" s="266"/>
      <c r="F44" s="266"/>
      <c r="G44" s="266"/>
      <c r="H44" s="266"/>
      <c r="I44" s="266"/>
      <c r="J44" s="266"/>
      <c r="K44" s="266"/>
      <c r="L44" s="266"/>
      <c r="M44" s="266"/>
      <c r="N44" s="266"/>
      <c r="O44" s="266"/>
      <c r="P44" s="266"/>
      <c r="Q44" s="266"/>
      <c r="R44" s="267"/>
    </row>
    <row r="45" spans="2:24" ht="27.75" customHeight="1" thickBot="1" x14ac:dyDescent="0.3">
      <c r="B45" s="268"/>
      <c r="C45" s="269"/>
      <c r="D45" s="269"/>
      <c r="E45" s="269"/>
      <c r="F45" s="269"/>
      <c r="G45" s="269"/>
      <c r="H45" s="269"/>
      <c r="I45" s="269"/>
      <c r="J45" s="269"/>
      <c r="K45" s="269"/>
      <c r="L45" s="269"/>
      <c r="M45" s="269"/>
      <c r="N45" s="269"/>
      <c r="O45" s="269"/>
      <c r="P45" s="269"/>
      <c r="Q45" s="269"/>
      <c r="R45" s="270"/>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sheetPr codeName="Sheet28"/>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271" t="s">
        <v>155</v>
      </c>
      <c r="D3" s="272"/>
      <c r="E3" s="272"/>
      <c r="F3" s="272"/>
      <c r="G3" s="272"/>
      <c r="H3" s="272"/>
      <c r="I3" s="272"/>
      <c r="J3" s="272"/>
      <c r="K3" s="272"/>
      <c r="L3" s="272"/>
      <c r="M3" s="272"/>
      <c r="N3" s="272"/>
      <c r="O3" s="272"/>
      <c r="P3" s="272"/>
      <c r="Q3" s="272"/>
      <c r="R3" s="272"/>
      <c r="S3" s="272"/>
      <c r="T3" s="65"/>
      <c r="U3" s="66"/>
    </row>
    <row r="4" spans="1:24" ht="15.75" customHeight="1" x14ac:dyDescent="0.25">
      <c r="B4" s="64"/>
      <c r="C4" s="67" t="s">
        <v>356</v>
      </c>
      <c r="D4" s="29"/>
      <c r="E4" s="29"/>
      <c r="F4" s="29"/>
      <c r="G4" s="29"/>
      <c r="H4" s="29"/>
      <c r="I4" s="29"/>
      <c r="J4" s="29"/>
      <c r="K4" s="29"/>
      <c r="L4" s="29"/>
      <c r="M4" s="29"/>
      <c r="N4" s="29"/>
      <c r="O4" s="29"/>
      <c r="P4" s="29"/>
      <c r="Q4" s="29"/>
      <c r="R4" s="29"/>
      <c r="S4" s="29"/>
      <c r="T4" s="29"/>
      <c r="U4" s="25"/>
    </row>
    <row r="5" spans="1:24" ht="18" customHeight="1" x14ac:dyDescent="0.25">
      <c r="B5" s="64"/>
      <c r="C5" s="222" t="s">
        <v>357</v>
      </c>
      <c r="D5" s="275" t="s">
        <v>385</v>
      </c>
      <c r="E5" s="275"/>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206" t="s">
        <v>29</v>
      </c>
      <c r="D8" s="207" t="s">
        <v>3</v>
      </c>
      <c r="E8" s="196">
        <v>9.2008999999999994E-2</v>
      </c>
      <c r="F8" s="29"/>
      <c r="G8" s="29"/>
      <c r="H8" s="29"/>
      <c r="I8" s="29"/>
      <c r="J8" s="29"/>
      <c r="K8" s="29"/>
      <c r="L8" s="29"/>
      <c r="M8" s="29"/>
      <c r="N8" s="29"/>
      <c r="O8" s="29"/>
      <c r="P8" s="29"/>
      <c r="Q8" s="29"/>
      <c r="R8" s="29"/>
      <c r="S8" s="29"/>
      <c r="T8" s="29"/>
      <c r="U8" s="25"/>
      <c r="W8" s="178" t="s">
        <v>3</v>
      </c>
      <c r="X8" s="179">
        <v>0.23617100000000002</v>
      </c>
    </row>
    <row r="9" spans="1:24" ht="15.75" customHeight="1" x14ac:dyDescent="0.25">
      <c r="B9" s="64"/>
      <c r="C9" s="208" t="s">
        <v>31</v>
      </c>
      <c r="D9" s="209" t="s">
        <v>6</v>
      </c>
      <c r="E9" s="198">
        <v>7.0132E-2</v>
      </c>
      <c r="F9" s="29"/>
      <c r="G9" s="29"/>
      <c r="H9" s="29"/>
      <c r="I9" s="29"/>
      <c r="J9" s="29"/>
      <c r="K9" s="29"/>
      <c r="L9" s="29"/>
      <c r="M9" s="29"/>
      <c r="N9" s="29"/>
      <c r="O9" s="29"/>
      <c r="P9" s="29"/>
      <c r="Q9" s="29"/>
      <c r="R9" s="29"/>
      <c r="S9" s="29"/>
      <c r="T9" s="29"/>
      <c r="U9" s="25"/>
      <c r="W9" s="178" t="s">
        <v>108</v>
      </c>
      <c r="X9" s="179">
        <v>0.10752299999999999</v>
      </c>
    </row>
    <row r="10" spans="1:24" ht="15.75" x14ac:dyDescent="0.25">
      <c r="B10" s="64"/>
      <c r="C10" s="208" t="s">
        <v>32</v>
      </c>
      <c r="D10" s="209" t="s">
        <v>3</v>
      </c>
      <c r="E10" s="198">
        <v>6.2808000000000003E-2</v>
      </c>
      <c r="F10" s="29"/>
      <c r="G10" s="29"/>
      <c r="H10" s="29"/>
      <c r="I10" s="29"/>
      <c r="J10" s="29"/>
      <c r="K10" s="29"/>
      <c r="L10" s="29"/>
      <c r="M10" s="29"/>
      <c r="N10" s="29"/>
      <c r="O10" s="29"/>
      <c r="P10" s="29"/>
      <c r="Q10" s="29"/>
      <c r="R10" s="29"/>
      <c r="S10" s="29"/>
      <c r="T10" s="29"/>
      <c r="U10" s="25"/>
      <c r="W10" s="178" t="s">
        <v>6</v>
      </c>
      <c r="X10" s="179">
        <v>7.9873E-2</v>
      </c>
    </row>
    <row r="11" spans="1:24" ht="15.75" customHeight="1" x14ac:dyDescent="0.25">
      <c r="B11" s="64"/>
      <c r="C11" s="208" t="s">
        <v>28</v>
      </c>
      <c r="D11" s="209" t="s">
        <v>108</v>
      </c>
      <c r="E11" s="198">
        <v>4.7273999999999997E-2</v>
      </c>
      <c r="F11" s="29"/>
      <c r="G11" s="29"/>
      <c r="H11" s="29"/>
      <c r="I11" s="29"/>
      <c r="J11" s="29"/>
      <c r="K11" s="29"/>
      <c r="L11" s="29"/>
      <c r="M11" s="29"/>
      <c r="N11" s="29"/>
      <c r="O11" s="29"/>
      <c r="P11" s="29"/>
      <c r="Q11" s="29"/>
      <c r="R11" s="29"/>
      <c r="S11" s="29"/>
      <c r="T11" s="29"/>
      <c r="U11" s="25"/>
      <c r="W11" s="178" t="s">
        <v>113</v>
      </c>
      <c r="X11" s="179">
        <v>7.0294999999999996E-2</v>
      </c>
    </row>
    <row r="12" spans="1:24" ht="15" customHeight="1" x14ac:dyDescent="0.25">
      <c r="B12" s="64"/>
      <c r="C12" s="208" t="s">
        <v>30</v>
      </c>
      <c r="D12" s="209" t="s">
        <v>118</v>
      </c>
      <c r="E12" s="198">
        <v>3.3753999999999999E-2</v>
      </c>
      <c r="F12" s="29"/>
      <c r="G12" s="29"/>
      <c r="H12" s="29"/>
      <c r="I12" s="29"/>
      <c r="J12" s="29"/>
      <c r="K12" s="29"/>
      <c r="L12" s="29"/>
      <c r="M12" s="29"/>
      <c r="N12" s="29"/>
      <c r="O12" s="29"/>
      <c r="P12" s="29"/>
      <c r="Q12" s="29"/>
      <c r="R12" s="29"/>
      <c r="S12" s="29"/>
      <c r="T12" s="29"/>
      <c r="U12" s="25"/>
      <c r="W12" s="178" t="s">
        <v>4</v>
      </c>
      <c r="X12" s="179">
        <v>5.7361000000000002E-2</v>
      </c>
    </row>
    <row r="13" spans="1:24" ht="15" customHeight="1" x14ac:dyDescent="0.25">
      <c r="B13" s="64"/>
      <c r="C13" s="208" t="s">
        <v>70</v>
      </c>
      <c r="D13" s="209" t="s">
        <v>12</v>
      </c>
      <c r="E13" s="198">
        <v>3.2088999999999999E-2</v>
      </c>
      <c r="F13" s="29"/>
      <c r="G13" s="29"/>
      <c r="H13" s="29"/>
      <c r="I13" s="29"/>
      <c r="J13" s="29"/>
      <c r="K13" s="29"/>
      <c r="L13" s="29"/>
      <c r="M13" s="29"/>
      <c r="N13" s="29"/>
      <c r="O13" s="29"/>
      <c r="P13" s="29"/>
      <c r="Q13" s="29"/>
      <c r="R13" s="29"/>
      <c r="S13" s="29"/>
      <c r="T13" s="29"/>
      <c r="U13" s="25"/>
      <c r="W13" s="178" t="s">
        <v>118</v>
      </c>
      <c r="X13" s="179">
        <v>5.2200999999999997E-2</v>
      </c>
    </row>
    <row r="14" spans="1:24" ht="15" customHeight="1" x14ac:dyDescent="0.25">
      <c r="B14" s="64"/>
      <c r="C14" s="208" t="s">
        <v>33</v>
      </c>
      <c r="D14" s="209" t="s">
        <v>108</v>
      </c>
      <c r="E14" s="198">
        <v>3.0551999999999999E-2</v>
      </c>
      <c r="F14" s="29"/>
      <c r="G14" s="29"/>
      <c r="H14" s="29"/>
      <c r="I14" s="29"/>
      <c r="J14" s="29"/>
      <c r="K14" s="29"/>
      <c r="L14" s="29"/>
      <c r="M14" s="29"/>
      <c r="N14" s="29"/>
      <c r="O14" s="29"/>
      <c r="P14" s="29"/>
      <c r="Q14" s="29"/>
      <c r="R14" s="29"/>
      <c r="S14" s="29"/>
      <c r="T14" s="29"/>
      <c r="U14" s="25"/>
      <c r="W14" s="178" t="s">
        <v>10</v>
      </c>
      <c r="X14" s="179">
        <v>4.7904000000000002E-2</v>
      </c>
    </row>
    <row r="15" spans="1:24" ht="15" customHeight="1" x14ac:dyDescent="0.25">
      <c r="B15" s="64"/>
      <c r="C15" s="208" t="s">
        <v>34</v>
      </c>
      <c r="D15" s="209" t="s">
        <v>23</v>
      </c>
      <c r="E15" s="198">
        <v>3.0301000000000002E-2</v>
      </c>
      <c r="F15" s="29"/>
      <c r="G15" s="29"/>
      <c r="H15" s="29"/>
      <c r="I15" s="29"/>
      <c r="J15" s="29"/>
      <c r="K15" s="29"/>
      <c r="L15" s="29"/>
      <c r="M15" s="29"/>
      <c r="N15" s="29"/>
      <c r="O15" s="29"/>
      <c r="P15" s="29"/>
      <c r="Q15" s="29"/>
      <c r="R15" s="29"/>
      <c r="S15" s="29"/>
      <c r="T15" s="29"/>
      <c r="U15" s="25"/>
      <c r="W15" s="178" t="s">
        <v>112</v>
      </c>
      <c r="X15" s="179">
        <v>3.5604999999999998E-2</v>
      </c>
    </row>
    <row r="16" spans="1:24" ht="15" customHeight="1" x14ac:dyDescent="0.25">
      <c r="B16" s="64"/>
      <c r="C16" s="208" t="s">
        <v>36</v>
      </c>
      <c r="D16" s="209" t="s">
        <v>3</v>
      </c>
      <c r="E16" s="198">
        <v>2.4594999999999999E-2</v>
      </c>
      <c r="F16" s="29"/>
      <c r="G16" s="29"/>
      <c r="H16" s="29"/>
      <c r="I16" s="29"/>
      <c r="J16" s="29"/>
      <c r="K16" s="29"/>
      <c r="L16" s="29"/>
      <c r="M16" s="29"/>
      <c r="N16" s="29"/>
      <c r="O16" s="29"/>
      <c r="P16" s="29"/>
      <c r="Q16" s="29"/>
      <c r="R16" s="29"/>
      <c r="S16" s="29"/>
      <c r="T16" s="29"/>
      <c r="U16" s="25"/>
      <c r="W16" s="178" t="s">
        <v>26</v>
      </c>
      <c r="X16" s="179">
        <v>3.3406999999999999E-2</v>
      </c>
    </row>
    <row r="17" spans="2:24" ht="15" customHeight="1" x14ac:dyDescent="0.25">
      <c r="B17" s="64"/>
      <c r="C17" s="208" t="s">
        <v>80</v>
      </c>
      <c r="D17" s="209" t="s">
        <v>3</v>
      </c>
      <c r="E17" s="198">
        <v>2.1229000000000001E-2</v>
      </c>
      <c r="F17" s="29"/>
      <c r="G17" s="29"/>
      <c r="H17" s="29"/>
      <c r="I17" s="29"/>
      <c r="J17" s="29"/>
      <c r="K17" s="29"/>
      <c r="L17" s="29"/>
      <c r="M17" s="29"/>
      <c r="N17" s="29"/>
      <c r="O17" s="29"/>
      <c r="P17" s="29"/>
      <c r="Q17" s="29"/>
      <c r="R17" s="29"/>
      <c r="S17" s="29"/>
      <c r="T17" s="29"/>
      <c r="U17" s="25"/>
      <c r="W17" s="178" t="s">
        <v>12</v>
      </c>
      <c r="X17" s="179">
        <v>3.2088999999999999E-2</v>
      </c>
    </row>
    <row r="18" spans="2:24" ht="15" customHeight="1" x14ac:dyDescent="0.25">
      <c r="B18" s="64"/>
      <c r="C18" s="208" t="s">
        <v>121</v>
      </c>
      <c r="D18" s="209" t="s">
        <v>113</v>
      </c>
      <c r="E18" s="198">
        <v>1.9313E-2</v>
      </c>
      <c r="F18" s="29"/>
      <c r="G18" s="29"/>
      <c r="H18" s="29"/>
      <c r="I18" s="29"/>
      <c r="J18" s="29"/>
      <c r="K18" s="29"/>
      <c r="L18" s="29"/>
      <c r="M18" s="29"/>
      <c r="N18" s="29"/>
      <c r="O18" s="29"/>
      <c r="P18" s="29"/>
      <c r="Q18" s="29"/>
      <c r="R18" s="29"/>
      <c r="S18" s="29"/>
      <c r="T18" s="29"/>
      <c r="U18" s="25"/>
      <c r="W18" s="178" t="s">
        <v>23</v>
      </c>
      <c r="X18" s="179">
        <v>3.0301000000000002E-2</v>
      </c>
    </row>
    <row r="19" spans="2:24" ht="15" customHeight="1" x14ac:dyDescent="0.25">
      <c r="B19" s="64"/>
      <c r="C19" s="208" t="s">
        <v>35</v>
      </c>
      <c r="D19" s="209" t="s">
        <v>3</v>
      </c>
      <c r="E19" s="198">
        <v>1.9064000000000001E-2</v>
      </c>
      <c r="F19" s="29"/>
      <c r="G19" s="29"/>
      <c r="H19" s="29"/>
      <c r="I19" s="29"/>
      <c r="J19" s="29"/>
      <c r="K19" s="29"/>
      <c r="L19" s="29"/>
      <c r="M19" s="29"/>
      <c r="N19" s="29"/>
      <c r="O19" s="29"/>
      <c r="P19" s="29"/>
      <c r="Q19" s="29"/>
      <c r="R19" s="29"/>
      <c r="S19" s="29"/>
      <c r="T19" s="29"/>
      <c r="U19" s="25"/>
      <c r="W19" s="178" t="s">
        <v>16</v>
      </c>
      <c r="X19" s="179">
        <v>2.5190999999999998E-2</v>
      </c>
    </row>
    <row r="20" spans="2:24" ht="15" customHeight="1" x14ac:dyDescent="0.25">
      <c r="B20" s="64"/>
      <c r="C20" s="208" t="s">
        <v>37</v>
      </c>
      <c r="D20" s="209" t="s">
        <v>118</v>
      </c>
      <c r="E20" s="198">
        <v>1.8447000000000002E-2</v>
      </c>
      <c r="F20" s="29"/>
      <c r="G20" s="29"/>
      <c r="H20" s="29"/>
      <c r="I20" s="29"/>
      <c r="J20" s="29"/>
      <c r="K20" s="29"/>
      <c r="L20" s="29"/>
      <c r="M20" s="29"/>
      <c r="N20" s="29"/>
      <c r="O20" s="29"/>
      <c r="P20" s="29"/>
      <c r="Q20" s="29"/>
      <c r="R20" s="29"/>
      <c r="S20" s="29"/>
      <c r="T20" s="29"/>
      <c r="U20" s="25"/>
      <c r="W20" s="178" t="s">
        <v>84</v>
      </c>
      <c r="X20" s="179">
        <v>2.1871000000000002E-2</v>
      </c>
    </row>
    <row r="21" spans="2:24" ht="15" customHeight="1" x14ac:dyDescent="0.25">
      <c r="B21" s="64"/>
      <c r="C21" s="208" t="s">
        <v>82</v>
      </c>
      <c r="D21" s="209" t="s">
        <v>4</v>
      </c>
      <c r="E21" s="198">
        <v>1.5089E-2</v>
      </c>
      <c r="F21" s="29"/>
      <c r="G21" s="29"/>
      <c r="H21" s="29"/>
      <c r="I21" s="29"/>
      <c r="J21" s="29"/>
      <c r="K21" s="29"/>
      <c r="L21" s="29"/>
      <c r="M21" s="29"/>
      <c r="N21" s="29"/>
      <c r="O21" s="29"/>
      <c r="P21" s="29"/>
      <c r="Q21" s="29"/>
      <c r="R21" s="29"/>
      <c r="S21" s="29"/>
      <c r="T21" s="29"/>
      <c r="U21" s="25"/>
      <c r="W21" s="178" t="s">
        <v>11</v>
      </c>
      <c r="X21" s="179">
        <v>1.9460999999999999E-2</v>
      </c>
    </row>
    <row r="22" spans="2:24" ht="15" customHeight="1" x14ac:dyDescent="0.25">
      <c r="B22" s="64"/>
      <c r="C22" s="208" t="s">
        <v>62</v>
      </c>
      <c r="D22" s="209" t="s">
        <v>10</v>
      </c>
      <c r="E22" s="198">
        <v>1.4697E-2</v>
      </c>
      <c r="F22" s="29"/>
      <c r="G22" s="29"/>
      <c r="H22" s="29"/>
      <c r="I22" s="29"/>
      <c r="J22" s="29"/>
      <c r="K22" s="29"/>
      <c r="L22" s="29"/>
      <c r="M22" s="29"/>
      <c r="N22" s="29"/>
      <c r="O22" s="29"/>
      <c r="P22" s="29"/>
      <c r="Q22" s="29"/>
      <c r="R22" s="29"/>
      <c r="S22" s="29"/>
      <c r="T22" s="29"/>
      <c r="U22" s="25"/>
      <c r="W22" s="178" t="s">
        <v>87</v>
      </c>
      <c r="X22" s="179">
        <v>1.8445999999999997E-2</v>
      </c>
    </row>
    <row r="23" spans="2:24" ht="15" customHeight="1" x14ac:dyDescent="0.25">
      <c r="B23" s="64"/>
      <c r="C23" s="71"/>
      <c r="D23" s="71"/>
      <c r="E23" s="72"/>
      <c r="F23" s="29"/>
      <c r="G23" s="29"/>
      <c r="H23" s="29"/>
      <c r="I23" s="29"/>
      <c r="J23" s="29"/>
      <c r="K23" s="29"/>
      <c r="L23" s="29"/>
      <c r="M23" s="29"/>
      <c r="N23" s="29"/>
      <c r="O23" s="29"/>
      <c r="P23" s="29"/>
      <c r="Q23" s="29"/>
      <c r="R23" s="29"/>
      <c r="S23" s="29"/>
      <c r="T23" s="29"/>
      <c r="U23" s="25"/>
      <c r="W23" s="178" t="s">
        <v>88</v>
      </c>
      <c r="X23" s="179">
        <v>1.3021E-2</v>
      </c>
    </row>
    <row r="24" spans="2:24" ht="15" customHeight="1" x14ac:dyDescent="0.25">
      <c r="B24" s="64"/>
      <c r="C24" s="73" t="s">
        <v>55</v>
      </c>
      <c r="D24" s="74"/>
      <c r="E24" s="75">
        <f>SUM(E8:E22)</f>
        <v>0.53135300000000008</v>
      </c>
      <c r="F24" s="29"/>
      <c r="G24" s="29"/>
      <c r="H24" s="29"/>
      <c r="I24" s="29"/>
      <c r="J24" s="29"/>
      <c r="K24" s="29"/>
      <c r="L24" s="29"/>
      <c r="M24" s="29"/>
      <c r="N24" s="29"/>
      <c r="O24" s="29"/>
      <c r="P24" s="29"/>
      <c r="Q24" s="29"/>
      <c r="R24" s="29"/>
      <c r="S24" s="29"/>
      <c r="T24" s="29"/>
      <c r="U24" s="25"/>
      <c r="W24" s="178" t="s">
        <v>109</v>
      </c>
      <c r="X24" s="179">
        <v>1.1977999999999999E-2</v>
      </c>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178" t="s">
        <v>120</v>
      </c>
      <c r="X25" s="179">
        <v>9.9559999999999996E-3</v>
      </c>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178" t="s">
        <v>107</v>
      </c>
      <c r="X26" s="179">
        <v>8.4069999999999995E-3</v>
      </c>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178" t="s">
        <v>132</v>
      </c>
      <c r="X27" s="179">
        <v>8.1040000000000001E-3</v>
      </c>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178" t="s">
        <v>13</v>
      </c>
      <c r="X28" s="179">
        <v>8.0850000000000002E-3</v>
      </c>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178" t="s">
        <v>15</v>
      </c>
      <c r="X29" s="179">
        <v>7.7060000000000002E-3</v>
      </c>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178" t="s">
        <v>131</v>
      </c>
      <c r="X30" s="179">
        <v>7.476E-3</v>
      </c>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178" t="s">
        <v>114</v>
      </c>
      <c r="X31" s="179">
        <v>6.5299999999999993E-3</v>
      </c>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178" t="s">
        <v>111</v>
      </c>
      <c r="X32" s="179">
        <v>6.4279999999999997E-3</v>
      </c>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178" t="s">
        <v>122</v>
      </c>
      <c r="X33" s="179">
        <v>6.2559999999999994E-3</v>
      </c>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178" t="s">
        <v>134</v>
      </c>
      <c r="X34" s="179">
        <v>6.0860000000000003E-3</v>
      </c>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178" t="s">
        <v>25</v>
      </c>
      <c r="X35" s="179">
        <v>6.0700000000000007E-3</v>
      </c>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178" t="s">
        <v>125</v>
      </c>
      <c r="X36" s="179">
        <v>5.7959999999999999E-3</v>
      </c>
    </row>
    <row r="37" spans="2:24" ht="15" customHeight="1" x14ac:dyDescent="0.25">
      <c r="B37" s="64"/>
      <c r="C37" s="29"/>
      <c r="D37" s="29"/>
      <c r="E37" s="29"/>
      <c r="F37" s="29"/>
      <c r="G37" s="29"/>
      <c r="H37" s="29"/>
      <c r="I37" s="29"/>
      <c r="J37" s="29"/>
      <c r="K37" s="29"/>
      <c r="L37" s="29"/>
      <c r="M37" s="29"/>
      <c r="N37" s="29"/>
      <c r="O37" s="29"/>
      <c r="P37" s="29"/>
      <c r="Q37" s="29"/>
      <c r="R37" s="29"/>
      <c r="S37" s="29"/>
      <c r="T37" s="29"/>
      <c r="U37" s="25"/>
      <c r="W37" s="178" t="s">
        <v>116</v>
      </c>
      <c r="X37" s="179">
        <v>5.4530000000000004E-3</v>
      </c>
    </row>
    <row r="38" spans="2:24" ht="15" customHeight="1" x14ac:dyDescent="0.25">
      <c r="B38" s="64"/>
      <c r="C38" s="29"/>
      <c r="D38" s="29"/>
      <c r="E38" s="29"/>
      <c r="F38" s="29"/>
      <c r="G38" s="29"/>
      <c r="H38" s="29"/>
      <c r="I38" s="29"/>
      <c r="J38" s="29"/>
      <c r="K38" s="29"/>
      <c r="L38" s="29"/>
      <c r="M38" s="29"/>
      <c r="N38" s="29"/>
      <c r="O38" s="29"/>
      <c r="P38" s="29"/>
      <c r="Q38" s="29"/>
      <c r="R38" s="29"/>
      <c r="S38" s="29"/>
      <c r="T38" s="29"/>
      <c r="U38" s="25"/>
      <c r="W38" s="178" t="s">
        <v>133</v>
      </c>
      <c r="X38" s="179">
        <v>5.169E-3</v>
      </c>
    </row>
    <row r="39" spans="2:24" ht="15" customHeight="1" x14ac:dyDescent="0.25">
      <c r="B39" s="64"/>
      <c r="C39" s="29"/>
      <c r="D39" s="29"/>
      <c r="E39" s="29"/>
      <c r="F39" s="29"/>
      <c r="G39" s="29"/>
      <c r="H39" s="29"/>
      <c r="I39" s="29"/>
      <c r="J39" s="29"/>
      <c r="K39" s="29"/>
      <c r="L39" s="29"/>
      <c r="M39" s="29"/>
      <c r="N39" s="29"/>
      <c r="O39" s="29"/>
      <c r="P39" s="29"/>
      <c r="Q39" s="29"/>
      <c r="R39" s="29"/>
      <c r="S39" s="29"/>
      <c r="T39" s="29"/>
      <c r="U39" s="25"/>
      <c r="W39" s="178" t="s">
        <v>78</v>
      </c>
      <c r="X39" s="179">
        <v>5.104E-3</v>
      </c>
    </row>
    <row r="40" spans="2:24" ht="15" customHeight="1" thickBot="1" x14ac:dyDescent="0.3">
      <c r="B40" s="76"/>
      <c r="C40" s="30"/>
      <c r="D40" s="30"/>
      <c r="E40" s="30"/>
      <c r="F40" s="30"/>
      <c r="G40" s="30"/>
      <c r="H40" s="30"/>
      <c r="I40" s="30"/>
      <c r="J40" s="30"/>
      <c r="K40" s="30"/>
      <c r="L40" s="30"/>
      <c r="M40" s="30"/>
      <c r="N40" s="30"/>
      <c r="O40" s="30"/>
      <c r="P40" s="30"/>
      <c r="Q40" s="30"/>
      <c r="R40" s="30"/>
      <c r="S40" s="30"/>
      <c r="T40" s="30"/>
      <c r="U40" s="26"/>
      <c r="W40" s="178" t="s">
        <v>117</v>
      </c>
      <c r="X40" s="179">
        <v>3.5990000000000002E-3</v>
      </c>
    </row>
    <row r="41" spans="2:24" ht="15" customHeight="1" thickBot="1" x14ac:dyDescent="0.3">
      <c r="W41" s="178" t="s">
        <v>85</v>
      </c>
      <c r="X41" s="179">
        <v>1.9589999999999998E-3</v>
      </c>
    </row>
    <row r="42" spans="2:24" ht="15" customHeight="1" x14ac:dyDescent="0.25">
      <c r="B42" s="262" t="s">
        <v>184</v>
      </c>
      <c r="C42" s="263"/>
      <c r="D42" s="263"/>
      <c r="E42" s="263"/>
      <c r="F42" s="263"/>
      <c r="G42" s="263"/>
      <c r="H42" s="263"/>
      <c r="I42" s="263"/>
      <c r="J42" s="263"/>
      <c r="K42" s="263"/>
      <c r="L42" s="263"/>
      <c r="M42" s="263"/>
      <c r="N42" s="263"/>
      <c r="O42" s="263"/>
      <c r="P42" s="263"/>
      <c r="Q42" s="263"/>
      <c r="R42" s="264"/>
      <c r="W42" s="178"/>
      <c r="X42" s="179"/>
    </row>
    <row r="43" spans="2:24" ht="15" customHeight="1" x14ac:dyDescent="0.25">
      <c r="B43" s="265"/>
      <c r="C43" s="266"/>
      <c r="D43" s="266"/>
      <c r="E43" s="266"/>
      <c r="F43" s="266"/>
      <c r="G43" s="266"/>
      <c r="H43" s="266"/>
      <c r="I43" s="266"/>
      <c r="J43" s="266"/>
      <c r="K43" s="266"/>
      <c r="L43" s="266"/>
      <c r="M43" s="266"/>
      <c r="N43" s="266"/>
      <c r="O43" s="266"/>
      <c r="P43" s="266"/>
      <c r="Q43" s="266"/>
      <c r="R43" s="267"/>
      <c r="W43" s="178"/>
      <c r="X43" s="179"/>
    </row>
    <row r="44" spans="2:24" ht="15" customHeight="1" x14ac:dyDescent="0.25">
      <c r="B44" s="265"/>
      <c r="C44" s="266"/>
      <c r="D44" s="266"/>
      <c r="E44" s="266"/>
      <c r="F44" s="266"/>
      <c r="G44" s="266"/>
      <c r="H44" s="266"/>
      <c r="I44" s="266"/>
      <c r="J44" s="266"/>
      <c r="K44" s="266"/>
      <c r="L44" s="266"/>
      <c r="M44" s="266"/>
      <c r="N44" s="266"/>
      <c r="O44" s="266"/>
      <c r="P44" s="266"/>
      <c r="Q44" s="266"/>
      <c r="R44" s="267"/>
      <c r="W44" s="178"/>
      <c r="X44" s="179"/>
    </row>
    <row r="45" spans="2:24" ht="15" customHeight="1" x14ac:dyDescent="0.25">
      <c r="B45" s="265"/>
      <c r="C45" s="266"/>
      <c r="D45" s="266"/>
      <c r="E45" s="266"/>
      <c r="F45" s="266"/>
      <c r="G45" s="266"/>
      <c r="H45" s="266"/>
      <c r="I45" s="266"/>
      <c r="J45" s="266"/>
      <c r="K45" s="266"/>
      <c r="L45" s="266"/>
      <c r="M45" s="266"/>
      <c r="N45" s="266"/>
      <c r="O45" s="266"/>
      <c r="P45" s="266"/>
      <c r="Q45" s="266"/>
      <c r="R45" s="267"/>
    </row>
    <row r="46" spans="2:24" ht="15" customHeight="1" x14ac:dyDescent="0.25">
      <c r="B46" s="265"/>
      <c r="C46" s="266"/>
      <c r="D46" s="266"/>
      <c r="E46" s="266"/>
      <c r="F46" s="266"/>
      <c r="G46" s="266"/>
      <c r="H46" s="266"/>
      <c r="I46" s="266"/>
      <c r="J46" s="266"/>
      <c r="K46" s="266"/>
      <c r="L46" s="266"/>
      <c r="M46" s="266"/>
      <c r="N46" s="266"/>
      <c r="O46" s="266"/>
      <c r="P46" s="266"/>
      <c r="Q46" s="266"/>
      <c r="R46" s="267"/>
    </row>
    <row r="47" spans="2:24" ht="15" customHeight="1" x14ac:dyDescent="0.25">
      <c r="B47" s="265"/>
      <c r="C47" s="266"/>
      <c r="D47" s="266"/>
      <c r="E47" s="266"/>
      <c r="F47" s="266"/>
      <c r="G47" s="266"/>
      <c r="H47" s="266"/>
      <c r="I47" s="266"/>
      <c r="J47" s="266"/>
      <c r="K47" s="266"/>
      <c r="L47" s="266"/>
      <c r="M47" s="266"/>
      <c r="N47" s="266"/>
      <c r="O47" s="266"/>
      <c r="P47" s="266"/>
      <c r="Q47" s="266"/>
      <c r="R47" s="267"/>
    </row>
    <row r="48" spans="2:24" ht="15" customHeight="1" thickBot="1" x14ac:dyDescent="0.3">
      <c r="B48" s="268"/>
      <c r="C48" s="269"/>
      <c r="D48" s="269"/>
      <c r="E48" s="269"/>
      <c r="F48" s="269"/>
      <c r="G48" s="269"/>
      <c r="H48" s="269"/>
      <c r="I48" s="269"/>
      <c r="J48" s="269"/>
      <c r="K48" s="269"/>
      <c r="L48" s="269"/>
      <c r="M48" s="269"/>
      <c r="N48" s="269"/>
      <c r="O48" s="269"/>
      <c r="P48" s="269"/>
      <c r="Q48" s="269"/>
      <c r="R48" s="270"/>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sheetPr codeName="Sheet29"/>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1" t="s">
        <v>154</v>
      </c>
      <c r="D3" s="272"/>
      <c r="E3" s="272"/>
      <c r="F3" s="272"/>
      <c r="G3" s="272"/>
      <c r="H3" s="272"/>
      <c r="I3" s="272"/>
      <c r="J3" s="272"/>
      <c r="K3" s="272"/>
      <c r="L3" s="272"/>
      <c r="M3" s="272"/>
      <c r="N3" s="272"/>
      <c r="O3" s="272"/>
      <c r="P3" s="272"/>
      <c r="Q3" s="272"/>
      <c r="R3" s="272"/>
      <c r="S3" s="272"/>
      <c r="T3" s="65"/>
      <c r="U3" s="66"/>
    </row>
    <row r="4" spans="1:24" ht="15.75" x14ac:dyDescent="0.25">
      <c r="B4" s="64"/>
      <c r="C4" s="67" t="s">
        <v>356</v>
      </c>
      <c r="D4" s="29"/>
      <c r="E4" s="29"/>
      <c r="F4" s="29"/>
      <c r="G4" s="29"/>
      <c r="H4" s="29"/>
      <c r="I4" s="29"/>
      <c r="J4" s="29"/>
      <c r="K4" s="29"/>
      <c r="L4" s="29"/>
      <c r="M4" s="29"/>
      <c r="N4" s="29"/>
      <c r="O4" s="29"/>
      <c r="P4" s="29"/>
      <c r="Q4" s="29"/>
      <c r="R4" s="29"/>
      <c r="S4" s="29"/>
      <c r="T4" s="29"/>
      <c r="U4" s="25"/>
    </row>
    <row r="5" spans="1:24" ht="20.25" x14ac:dyDescent="0.25">
      <c r="B5" s="64"/>
      <c r="C5" s="222" t="s">
        <v>357</v>
      </c>
      <c r="D5" s="275" t="s">
        <v>386</v>
      </c>
      <c r="E5" s="27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4" t="s">
        <v>139</v>
      </c>
      <c r="D8" s="195" t="s">
        <v>26</v>
      </c>
      <c r="E8" s="196">
        <v>6.6245999999999999E-2</v>
      </c>
      <c r="F8" s="29"/>
      <c r="G8" s="29"/>
      <c r="H8" s="29"/>
      <c r="I8" s="29"/>
      <c r="J8" s="29"/>
      <c r="K8" s="29"/>
      <c r="L8" s="29"/>
      <c r="M8" s="29"/>
      <c r="N8" s="29"/>
      <c r="O8" s="29"/>
      <c r="P8" s="29"/>
      <c r="Q8" s="29"/>
      <c r="R8" s="29"/>
      <c r="S8" s="29"/>
      <c r="T8" s="29"/>
      <c r="U8" s="25"/>
      <c r="W8" s="61" t="s">
        <v>113</v>
      </c>
      <c r="X8" s="62">
        <v>0.18601799999999999</v>
      </c>
    </row>
    <row r="9" spans="1:24" ht="15.75" x14ac:dyDescent="0.25">
      <c r="B9" s="64"/>
      <c r="C9" s="188" t="s">
        <v>144</v>
      </c>
      <c r="D9" s="197" t="s">
        <v>113</v>
      </c>
      <c r="E9" s="198">
        <v>5.9678000000000002E-2</v>
      </c>
      <c r="F9" s="29"/>
      <c r="G9" s="29"/>
      <c r="H9" s="29"/>
      <c r="I9" s="29"/>
      <c r="J9" s="29"/>
      <c r="K9" s="29"/>
      <c r="L9" s="29"/>
      <c r="M9" s="29"/>
      <c r="N9" s="29"/>
      <c r="O9" s="29"/>
      <c r="P9" s="29"/>
      <c r="Q9" s="29"/>
      <c r="R9" s="29"/>
      <c r="S9" s="29"/>
      <c r="T9" s="29"/>
      <c r="U9" s="25"/>
      <c r="W9" s="61" t="s">
        <v>10</v>
      </c>
      <c r="X9" s="62">
        <v>9.6176999999999999E-2</v>
      </c>
    </row>
    <row r="10" spans="1:24" ht="15.75" x14ac:dyDescent="0.25">
      <c r="B10" s="64"/>
      <c r="C10" s="188" t="s">
        <v>62</v>
      </c>
      <c r="D10" s="197" t="s">
        <v>10</v>
      </c>
      <c r="E10" s="198">
        <v>5.7339000000000001E-2</v>
      </c>
      <c r="F10" s="29"/>
      <c r="G10" s="29"/>
      <c r="H10" s="29"/>
      <c r="I10" s="29"/>
      <c r="J10" s="29"/>
      <c r="K10" s="29"/>
      <c r="L10" s="29"/>
      <c r="M10" s="29"/>
      <c r="N10" s="29"/>
      <c r="O10" s="29"/>
      <c r="P10" s="29"/>
      <c r="Q10" s="29"/>
      <c r="R10" s="29"/>
      <c r="S10" s="29"/>
      <c r="T10" s="29"/>
      <c r="U10" s="25"/>
      <c r="W10" s="61" t="s">
        <v>120</v>
      </c>
      <c r="X10" s="62">
        <v>8.9462E-2</v>
      </c>
    </row>
    <row r="11" spans="1:24" ht="15.75" x14ac:dyDescent="0.25">
      <c r="B11" s="64"/>
      <c r="C11" s="188" t="s">
        <v>70</v>
      </c>
      <c r="D11" s="197" t="s">
        <v>12</v>
      </c>
      <c r="E11" s="198">
        <v>5.6411000000000003E-2</v>
      </c>
      <c r="F11" s="29"/>
      <c r="G11" s="29"/>
      <c r="H11" s="29"/>
      <c r="I11" s="29"/>
      <c r="J11" s="29"/>
      <c r="K11" s="29"/>
      <c r="L11" s="29"/>
      <c r="M11" s="29"/>
      <c r="N11" s="29"/>
      <c r="O11" s="29"/>
      <c r="P11" s="29"/>
      <c r="Q11" s="29"/>
      <c r="R11" s="29"/>
      <c r="S11" s="29"/>
      <c r="T11" s="29"/>
      <c r="U11" s="25"/>
      <c r="W11" s="61" t="s">
        <v>88</v>
      </c>
      <c r="X11" s="62">
        <v>8.1408000000000008E-2</v>
      </c>
    </row>
    <row r="12" spans="1:24" ht="15.75" x14ac:dyDescent="0.25">
      <c r="B12" s="64"/>
      <c r="C12" s="188" t="s">
        <v>121</v>
      </c>
      <c r="D12" s="197" t="s">
        <v>113</v>
      </c>
      <c r="E12" s="198">
        <v>4.9668999999999998E-2</v>
      </c>
      <c r="F12" s="29"/>
      <c r="G12" s="29"/>
      <c r="H12" s="29"/>
      <c r="I12" s="29"/>
      <c r="J12" s="29"/>
      <c r="K12" s="29"/>
      <c r="L12" s="29"/>
      <c r="M12" s="29"/>
      <c r="N12" s="29"/>
      <c r="O12" s="29"/>
      <c r="P12" s="29"/>
      <c r="Q12" s="29"/>
      <c r="R12" s="29"/>
      <c r="S12" s="29"/>
      <c r="T12" s="29"/>
      <c r="U12" s="25"/>
      <c r="W12" s="61" t="s">
        <v>4</v>
      </c>
      <c r="X12" s="62">
        <v>7.7218000000000009E-2</v>
      </c>
    </row>
    <row r="13" spans="1:24" ht="15.75" x14ac:dyDescent="0.25">
      <c r="B13" s="64"/>
      <c r="C13" s="188" t="s">
        <v>81</v>
      </c>
      <c r="D13" s="197" t="s">
        <v>113</v>
      </c>
      <c r="E13" s="198">
        <v>4.7650999999999999E-2</v>
      </c>
      <c r="F13" s="29"/>
      <c r="G13" s="29"/>
      <c r="H13" s="29"/>
      <c r="I13" s="29"/>
      <c r="J13" s="29"/>
      <c r="K13" s="29"/>
      <c r="L13" s="29"/>
      <c r="M13" s="29"/>
      <c r="N13" s="29"/>
      <c r="O13" s="29"/>
      <c r="P13" s="29"/>
      <c r="Q13" s="29"/>
      <c r="R13" s="29"/>
      <c r="S13" s="29"/>
      <c r="T13" s="29"/>
      <c r="U13" s="25"/>
      <c r="W13" s="61" t="s">
        <v>12</v>
      </c>
      <c r="X13" s="62">
        <v>7.3242000000000002E-2</v>
      </c>
    </row>
    <row r="14" spans="1:24" ht="15.75" x14ac:dyDescent="0.25">
      <c r="B14" s="64"/>
      <c r="C14" s="188" t="s">
        <v>206</v>
      </c>
      <c r="D14" s="197" t="s">
        <v>132</v>
      </c>
      <c r="E14" s="198">
        <v>4.6796999999999998E-2</v>
      </c>
      <c r="F14" s="29"/>
      <c r="G14" s="29"/>
      <c r="H14" s="29"/>
      <c r="I14" s="29"/>
      <c r="J14" s="29"/>
      <c r="K14" s="29"/>
      <c r="L14" s="29"/>
      <c r="M14" s="29"/>
      <c r="N14" s="29"/>
      <c r="O14" s="29"/>
      <c r="P14" s="29"/>
      <c r="Q14" s="29"/>
      <c r="R14" s="29"/>
      <c r="S14" s="29"/>
      <c r="T14" s="29"/>
      <c r="U14" s="25"/>
      <c r="W14" s="61" t="s">
        <v>26</v>
      </c>
      <c r="X14" s="62">
        <v>6.6245999999999999E-2</v>
      </c>
    </row>
    <row r="15" spans="1:24" ht="15.75" x14ac:dyDescent="0.25">
      <c r="B15" s="64"/>
      <c r="C15" s="188" t="s">
        <v>264</v>
      </c>
      <c r="D15" s="197" t="s">
        <v>131</v>
      </c>
      <c r="E15" s="198">
        <v>4.6434000000000003E-2</v>
      </c>
      <c r="F15" s="29"/>
      <c r="G15" s="29"/>
      <c r="H15" s="29"/>
      <c r="I15" s="29"/>
      <c r="J15" s="29"/>
      <c r="K15" s="29"/>
      <c r="L15" s="29"/>
      <c r="M15" s="29"/>
      <c r="N15" s="29"/>
      <c r="O15" s="29"/>
      <c r="P15" s="29"/>
      <c r="Q15" s="29"/>
      <c r="R15" s="29"/>
      <c r="S15" s="29"/>
      <c r="T15" s="29"/>
      <c r="U15" s="25"/>
      <c r="W15" s="61" t="s">
        <v>111</v>
      </c>
      <c r="X15" s="62">
        <v>5.7713E-2</v>
      </c>
    </row>
    <row r="16" spans="1:24" ht="15.75" x14ac:dyDescent="0.25">
      <c r="B16" s="64"/>
      <c r="C16" s="188" t="s">
        <v>250</v>
      </c>
      <c r="D16" s="197" t="s">
        <v>120</v>
      </c>
      <c r="E16" s="198">
        <v>4.4337000000000001E-2</v>
      </c>
      <c r="F16" s="29"/>
      <c r="G16" s="29"/>
      <c r="H16" s="29"/>
      <c r="I16" s="29"/>
      <c r="J16" s="29"/>
      <c r="K16" s="29"/>
      <c r="L16" s="29"/>
      <c r="M16" s="29"/>
      <c r="N16" s="29"/>
      <c r="O16" s="29"/>
      <c r="P16" s="29"/>
      <c r="Q16" s="29"/>
      <c r="R16" s="29"/>
      <c r="S16" s="29"/>
      <c r="T16" s="29"/>
      <c r="U16" s="25"/>
      <c r="W16" s="61" t="s">
        <v>132</v>
      </c>
      <c r="X16" s="62">
        <v>4.6796999999999998E-2</v>
      </c>
    </row>
    <row r="17" spans="2:24" ht="15.75" x14ac:dyDescent="0.25">
      <c r="B17" s="64"/>
      <c r="C17" s="188" t="s">
        <v>130</v>
      </c>
      <c r="D17" s="197" t="s">
        <v>88</v>
      </c>
      <c r="E17" s="198">
        <v>4.2984000000000001E-2</v>
      </c>
      <c r="F17" s="29"/>
      <c r="G17" s="29"/>
      <c r="H17" s="29"/>
      <c r="I17" s="29"/>
      <c r="J17" s="29"/>
      <c r="K17" s="29"/>
      <c r="L17" s="29"/>
      <c r="M17" s="29"/>
      <c r="N17" s="29"/>
      <c r="O17" s="29"/>
      <c r="P17" s="29"/>
      <c r="Q17" s="29"/>
      <c r="R17" s="29"/>
      <c r="S17" s="29"/>
      <c r="T17" s="29"/>
      <c r="U17" s="25"/>
      <c r="W17" s="61" t="s">
        <v>131</v>
      </c>
      <c r="X17" s="62">
        <v>4.6434000000000003E-2</v>
      </c>
    </row>
    <row r="18" spans="2:24" ht="15.75" x14ac:dyDescent="0.25">
      <c r="B18" s="64"/>
      <c r="C18" s="188" t="s">
        <v>69</v>
      </c>
      <c r="D18" s="197" t="s">
        <v>4</v>
      </c>
      <c r="E18" s="198">
        <v>4.0314000000000003E-2</v>
      </c>
      <c r="F18" s="29"/>
      <c r="G18" s="29"/>
      <c r="H18" s="29"/>
      <c r="I18" s="29"/>
      <c r="J18" s="29"/>
      <c r="K18" s="29"/>
      <c r="L18" s="29"/>
      <c r="M18" s="29"/>
      <c r="N18" s="29"/>
      <c r="O18" s="29"/>
      <c r="P18" s="29"/>
      <c r="Q18" s="29"/>
      <c r="R18" s="29"/>
      <c r="S18" s="29"/>
      <c r="T18" s="29"/>
      <c r="U18" s="25"/>
      <c r="W18" s="61" t="s">
        <v>112</v>
      </c>
      <c r="X18" s="62">
        <v>3.5351E-2</v>
      </c>
    </row>
    <row r="19" spans="2:24" ht="15.75" x14ac:dyDescent="0.25">
      <c r="B19" s="64"/>
      <c r="C19" s="188" t="s">
        <v>286</v>
      </c>
      <c r="D19" s="197" t="s">
        <v>10</v>
      </c>
      <c r="E19" s="198">
        <v>3.8837999999999998E-2</v>
      </c>
      <c r="F19" s="29"/>
      <c r="G19" s="29"/>
      <c r="H19" s="29"/>
      <c r="I19" s="29"/>
      <c r="J19" s="29"/>
      <c r="K19" s="29"/>
      <c r="L19" s="29"/>
      <c r="M19" s="29"/>
      <c r="N19" s="29"/>
      <c r="O19" s="29"/>
      <c r="P19" s="29"/>
      <c r="Q19" s="29"/>
      <c r="R19" s="29"/>
      <c r="S19" s="29"/>
      <c r="T19" s="29"/>
      <c r="U19" s="25"/>
      <c r="W19" s="61" t="s">
        <v>24</v>
      </c>
      <c r="X19" s="62">
        <v>3.4051999999999999E-2</v>
      </c>
    </row>
    <row r="20" spans="2:24" ht="15.75" x14ac:dyDescent="0.25">
      <c r="B20" s="64"/>
      <c r="C20" s="188" t="s">
        <v>150</v>
      </c>
      <c r="D20" s="197" t="s">
        <v>88</v>
      </c>
      <c r="E20" s="198">
        <v>3.8424E-2</v>
      </c>
      <c r="F20" s="29"/>
      <c r="G20" s="29"/>
      <c r="H20" s="29"/>
      <c r="I20" s="29"/>
      <c r="J20" s="29"/>
      <c r="K20" s="29"/>
      <c r="L20" s="29"/>
      <c r="M20" s="29"/>
      <c r="N20" s="29"/>
      <c r="O20" s="29"/>
      <c r="P20" s="29"/>
      <c r="Q20" s="29"/>
      <c r="R20" s="29"/>
      <c r="S20" s="29"/>
      <c r="T20" s="29"/>
      <c r="U20" s="25"/>
      <c r="W20" s="61" t="s">
        <v>134</v>
      </c>
      <c r="X20" s="62">
        <v>3.3542000000000002E-2</v>
      </c>
    </row>
    <row r="21" spans="2:24" ht="15.75" x14ac:dyDescent="0.25">
      <c r="B21" s="64"/>
      <c r="C21" s="188" t="s">
        <v>77</v>
      </c>
      <c r="D21" s="197" t="s">
        <v>4</v>
      </c>
      <c r="E21" s="198">
        <v>3.6903999999999999E-2</v>
      </c>
      <c r="F21" s="29"/>
      <c r="G21" s="29"/>
      <c r="H21" s="29"/>
      <c r="I21" s="29"/>
      <c r="J21" s="29"/>
      <c r="K21" s="29"/>
      <c r="L21" s="29"/>
      <c r="M21" s="29"/>
      <c r="N21" s="29"/>
      <c r="O21" s="29"/>
      <c r="P21" s="29"/>
      <c r="Q21" s="29"/>
      <c r="R21" s="29"/>
      <c r="S21" s="29"/>
      <c r="T21" s="29"/>
      <c r="U21" s="25"/>
      <c r="W21" s="61" t="s">
        <v>16</v>
      </c>
      <c r="X21" s="62">
        <v>2.9994E-2</v>
      </c>
    </row>
    <row r="22" spans="2:24" ht="15.75" x14ac:dyDescent="0.25">
      <c r="B22" s="64"/>
      <c r="C22" s="188" t="s">
        <v>140</v>
      </c>
      <c r="D22" s="197" t="s">
        <v>24</v>
      </c>
      <c r="E22" s="198">
        <v>3.4051999999999999E-2</v>
      </c>
      <c r="F22" s="29"/>
      <c r="G22" s="29"/>
      <c r="H22" s="29"/>
      <c r="I22" s="29"/>
      <c r="J22" s="29"/>
      <c r="K22" s="29"/>
      <c r="L22" s="29"/>
      <c r="M22" s="29"/>
      <c r="N22" s="29"/>
      <c r="O22" s="29"/>
      <c r="P22" s="29"/>
      <c r="Q22" s="29"/>
      <c r="R22" s="29"/>
      <c r="S22" s="29"/>
      <c r="T22" s="29"/>
      <c r="U22" s="25"/>
      <c r="W22" s="61" t="s">
        <v>3</v>
      </c>
      <c r="X22" s="62">
        <v>1.6709999999999999E-2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147</v>
      </c>
      <c r="X23" s="62">
        <v>1.1923E-2</v>
      </c>
    </row>
    <row r="24" spans="2:24" ht="15.75" x14ac:dyDescent="0.25">
      <c r="B24" s="64"/>
      <c r="C24" s="73" t="s">
        <v>55</v>
      </c>
      <c r="D24" s="74"/>
      <c r="E24" s="75">
        <f>SUM(E8:E22)</f>
        <v>0.70607799999999998</v>
      </c>
      <c r="F24" s="29"/>
      <c r="G24" s="29"/>
      <c r="H24" s="29"/>
      <c r="I24" s="29"/>
      <c r="J24" s="29"/>
      <c r="K24" s="29"/>
      <c r="L24" s="29"/>
      <c r="M24" s="29"/>
      <c r="N24" s="29"/>
      <c r="O24" s="29"/>
      <c r="P24" s="29"/>
      <c r="Q24" s="29"/>
      <c r="R24" s="29"/>
      <c r="S24" s="29"/>
      <c r="T24" s="29"/>
      <c r="U24" s="25"/>
      <c r="W24" s="61" t="s">
        <v>108</v>
      </c>
      <c r="X24" s="62">
        <v>1.1918E-2</v>
      </c>
    </row>
    <row r="25" spans="2:24" x14ac:dyDescent="0.25">
      <c r="B25" s="64"/>
      <c r="C25" s="29"/>
      <c r="D25" s="29"/>
      <c r="E25" s="29"/>
      <c r="F25" s="29"/>
      <c r="G25" s="29"/>
      <c r="H25" s="29"/>
      <c r="I25" s="29"/>
      <c r="J25" s="29"/>
      <c r="K25" s="29"/>
      <c r="L25" s="29"/>
      <c r="M25" s="29"/>
      <c r="N25" s="29"/>
      <c r="O25" s="29"/>
      <c r="P25" s="29"/>
      <c r="Q25" s="29"/>
      <c r="R25" s="29"/>
      <c r="S25" s="29"/>
      <c r="T25" s="29"/>
      <c r="U25" s="25"/>
      <c r="W25" s="61" t="s">
        <v>114</v>
      </c>
      <c r="X25" s="62">
        <v>7.5050000000000004E-3</v>
      </c>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2" t="s">
        <v>184</v>
      </c>
      <c r="C39" s="263"/>
      <c r="D39" s="263"/>
      <c r="E39" s="263"/>
      <c r="F39" s="263"/>
      <c r="G39" s="263"/>
      <c r="H39" s="263"/>
      <c r="I39" s="263"/>
      <c r="J39" s="263"/>
      <c r="K39" s="263"/>
      <c r="L39" s="263"/>
      <c r="M39" s="263"/>
      <c r="N39" s="263"/>
      <c r="O39" s="263"/>
      <c r="P39" s="263"/>
      <c r="Q39" s="263"/>
      <c r="R39" s="264"/>
      <c r="W39" s="61"/>
      <c r="X39" s="62"/>
    </row>
    <row r="40" spans="2:24" x14ac:dyDescent="0.25">
      <c r="B40" s="265"/>
      <c r="C40" s="266"/>
      <c r="D40" s="266"/>
      <c r="E40" s="266"/>
      <c r="F40" s="266"/>
      <c r="G40" s="266"/>
      <c r="H40" s="266"/>
      <c r="I40" s="266"/>
      <c r="J40" s="266"/>
      <c r="K40" s="266"/>
      <c r="L40" s="266"/>
      <c r="M40" s="266"/>
      <c r="N40" s="266"/>
      <c r="O40" s="266"/>
      <c r="P40" s="266"/>
      <c r="Q40" s="266"/>
      <c r="R40" s="267"/>
      <c r="W40" s="61"/>
      <c r="X40" s="62"/>
    </row>
    <row r="41" spans="2:24" x14ac:dyDescent="0.25">
      <c r="B41" s="265"/>
      <c r="C41" s="266"/>
      <c r="D41" s="266"/>
      <c r="E41" s="266"/>
      <c r="F41" s="266"/>
      <c r="G41" s="266"/>
      <c r="H41" s="266"/>
      <c r="I41" s="266"/>
      <c r="J41" s="266"/>
      <c r="K41" s="266"/>
      <c r="L41" s="266"/>
      <c r="M41" s="266"/>
      <c r="N41" s="266"/>
      <c r="O41" s="266"/>
      <c r="P41" s="266"/>
      <c r="Q41" s="266"/>
      <c r="R41" s="267"/>
      <c r="W41" s="61"/>
      <c r="X41" s="62"/>
    </row>
    <row r="42" spans="2:24" x14ac:dyDescent="0.25">
      <c r="B42" s="265"/>
      <c r="C42" s="266"/>
      <c r="D42" s="266"/>
      <c r="E42" s="266"/>
      <c r="F42" s="266"/>
      <c r="G42" s="266"/>
      <c r="H42" s="266"/>
      <c r="I42" s="266"/>
      <c r="J42" s="266"/>
      <c r="K42" s="266"/>
      <c r="L42" s="266"/>
      <c r="M42" s="266"/>
      <c r="N42" s="266"/>
      <c r="O42" s="266"/>
      <c r="P42" s="266"/>
      <c r="Q42" s="266"/>
      <c r="R42" s="267"/>
      <c r="W42" s="61"/>
      <c r="X42" s="62"/>
    </row>
    <row r="43" spans="2:24" x14ac:dyDescent="0.25">
      <c r="B43" s="265"/>
      <c r="C43" s="266"/>
      <c r="D43" s="266"/>
      <c r="E43" s="266"/>
      <c r="F43" s="266"/>
      <c r="G43" s="266"/>
      <c r="H43" s="266"/>
      <c r="I43" s="266"/>
      <c r="J43" s="266"/>
      <c r="K43" s="266"/>
      <c r="L43" s="266"/>
      <c r="M43" s="266"/>
      <c r="N43" s="266"/>
      <c r="O43" s="266"/>
      <c r="P43" s="266"/>
      <c r="Q43" s="266"/>
      <c r="R43" s="267"/>
    </row>
    <row r="44" spans="2:24" x14ac:dyDescent="0.25">
      <c r="B44" s="265"/>
      <c r="C44" s="266"/>
      <c r="D44" s="266"/>
      <c r="E44" s="266"/>
      <c r="F44" s="266"/>
      <c r="G44" s="266"/>
      <c r="H44" s="266"/>
      <c r="I44" s="266"/>
      <c r="J44" s="266"/>
      <c r="K44" s="266"/>
      <c r="L44" s="266"/>
      <c r="M44" s="266"/>
      <c r="N44" s="266"/>
      <c r="O44" s="266"/>
      <c r="P44" s="266"/>
      <c r="Q44" s="266"/>
      <c r="R44" s="267"/>
    </row>
    <row r="45" spans="2:24" ht="15.75" thickBot="1" x14ac:dyDescent="0.3">
      <c r="B45" s="268"/>
      <c r="C45" s="269"/>
      <c r="D45" s="269"/>
      <c r="E45" s="269"/>
      <c r="F45" s="269"/>
      <c r="G45" s="269"/>
      <c r="H45" s="269"/>
      <c r="I45" s="269"/>
      <c r="J45" s="269"/>
      <c r="K45" s="269"/>
      <c r="L45" s="269"/>
      <c r="M45" s="269"/>
      <c r="N45" s="269"/>
      <c r="O45" s="269"/>
      <c r="P45" s="269"/>
      <c r="Q45" s="269"/>
      <c r="R45" s="270"/>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sheetPr codeName="Sheet30"/>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1" t="s">
        <v>153</v>
      </c>
      <c r="D3" s="272"/>
      <c r="E3" s="272"/>
      <c r="F3" s="272"/>
      <c r="G3" s="272"/>
      <c r="H3" s="272"/>
      <c r="I3" s="272"/>
      <c r="J3" s="272"/>
      <c r="K3" s="272"/>
      <c r="L3" s="272"/>
      <c r="M3" s="272"/>
      <c r="N3" s="272"/>
      <c r="O3" s="272"/>
      <c r="P3" s="272"/>
      <c r="Q3" s="272"/>
      <c r="R3" s="272"/>
      <c r="S3" s="272"/>
      <c r="T3" s="65"/>
      <c r="U3" s="66"/>
    </row>
    <row r="4" spans="1:24" ht="15.75" x14ac:dyDescent="0.25">
      <c r="B4" s="64"/>
      <c r="C4" s="67" t="s">
        <v>356</v>
      </c>
      <c r="D4" s="29"/>
      <c r="E4" s="29"/>
      <c r="F4" s="29"/>
      <c r="G4" s="29"/>
      <c r="H4" s="29"/>
      <c r="I4" s="29"/>
      <c r="J4" s="29"/>
      <c r="K4" s="29"/>
      <c r="L4" s="29"/>
      <c r="M4" s="29"/>
      <c r="N4" s="29"/>
      <c r="O4" s="29"/>
      <c r="P4" s="29"/>
      <c r="Q4" s="29"/>
      <c r="R4" s="29"/>
      <c r="S4" s="29"/>
      <c r="T4" s="29"/>
      <c r="U4" s="25"/>
    </row>
    <row r="5" spans="1:24" ht="20.25" x14ac:dyDescent="0.25">
      <c r="B5" s="64"/>
      <c r="C5" s="222" t="s">
        <v>357</v>
      </c>
      <c r="D5" s="275" t="s">
        <v>387</v>
      </c>
      <c r="E5" s="27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4" t="s">
        <v>37</v>
      </c>
      <c r="D8" s="195" t="s">
        <v>118</v>
      </c>
      <c r="E8" s="196">
        <v>4.1377999999999998E-2</v>
      </c>
      <c r="F8" s="29"/>
      <c r="G8" s="29"/>
      <c r="H8" s="29"/>
      <c r="I8" s="29"/>
      <c r="J8" s="29"/>
      <c r="K8" s="29"/>
      <c r="L8" s="29"/>
      <c r="M8" s="29"/>
      <c r="N8" s="29"/>
      <c r="O8" s="29"/>
      <c r="P8" s="29"/>
      <c r="Q8" s="29"/>
      <c r="R8" s="29"/>
      <c r="S8" s="29"/>
      <c r="T8" s="29"/>
      <c r="U8" s="25"/>
      <c r="W8" s="180" t="s">
        <v>112</v>
      </c>
      <c r="X8" s="179">
        <v>0.13539599999999999</v>
      </c>
    </row>
    <row r="9" spans="1:24" ht="15.75" x14ac:dyDescent="0.25">
      <c r="B9" s="64"/>
      <c r="C9" s="188" t="s">
        <v>252</v>
      </c>
      <c r="D9" s="197" t="s">
        <v>16</v>
      </c>
      <c r="E9" s="198">
        <v>4.0726999999999999E-2</v>
      </c>
      <c r="F9" s="29"/>
      <c r="G9" s="29"/>
      <c r="H9" s="29"/>
      <c r="I9" s="29"/>
      <c r="J9" s="29"/>
      <c r="K9" s="29"/>
      <c r="L9" s="29"/>
      <c r="M9" s="29"/>
      <c r="N9" s="29"/>
      <c r="O9" s="29"/>
      <c r="P9" s="29"/>
      <c r="Q9" s="29"/>
      <c r="R9" s="29"/>
      <c r="S9" s="29"/>
      <c r="T9" s="29"/>
      <c r="U9" s="25"/>
      <c r="W9" s="180" t="s">
        <v>108</v>
      </c>
      <c r="X9" s="179">
        <v>0.12643399999999999</v>
      </c>
    </row>
    <row r="10" spans="1:24" ht="15.75" x14ac:dyDescent="0.25">
      <c r="B10" s="64"/>
      <c r="C10" s="188" t="s">
        <v>89</v>
      </c>
      <c r="D10" s="197" t="s">
        <v>109</v>
      </c>
      <c r="E10" s="198">
        <v>4.0446999999999997E-2</v>
      </c>
      <c r="F10" s="29"/>
      <c r="G10" s="29"/>
      <c r="H10" s="29"/>
      <c r="I10" s="29"/>
      <c r="J10" s="29"/>
      <c r="K10" s="29"/>
      <c r="L10" s="29"/>
      <c r="M10" s="29"/>
      <c r="N10" s="29"/>
      <c r="O10" s="29"/>
      <c r="P10" s="29"/>
      <c r="Q10" s="29"/>
      <c r="R10" s="29"/>
      <c r="S10" s="29"/>
      <c r="T10" s="29"/>
      <c r="U10" s="25"/>
      <c r="W10" s="180" t="s">
        <v>3</v>
      </c>
      <c r="X10" s="179">
        <v>9.854099999999999E-2</v>
      </c>
    </row>
    <row r="11" spans="1:24" ht="30" x14ac:dyDescent="0.25">
      <c r="B11" s="64"/>
      <c r="C11" s="188" t="s">
        <v>277</v>
      </c>
      <c r="D11" s="197" t="s">
        <v>112</v>
      </c>
      <c r="E11" s="198">
        <v>4.0002999999999997E-2</v>
      </c>
      <c r="F11" s="29"/>
      <c r="G11" s="29"/>
      <c r="H11" s="29"/>
      <c r="I11" s="29"/>
      <c r="J11" s="29"/>
      <c r="K11" s="29"/>
      <c r="L11" s="29"/>
      <c r="M11" s="29"/>
      <c r="N11" s="29"/>
      <c r="O11" s="29"/>
      <c r="P11" s="29"/>
      <c r="Q11" s="29"/>
      <c r="R11" s="29"/>
      <c r="S11" s="29"/>
      <c r="T11" s="29"/>
      <c r="U11" s="25"/>
      <c r="W11" s="180" t="s">
        <v>113</v>
      </c>
      <c r="X11" s="179">
        <v>9.1878000000000001E-2</v>
      </c>
    </row>
    <row r="12" spans="1:24" ht="15.75" x14ac:dyDescent="0.25">
      <c r="B12" s="64"/>
      <c r="C12" s="188" t="s">
        <v>30</v>
      </c>
      <c r="D12" s="197" t="s">
        <v>118</v>
      </c>
      <c r="E12" s="198">
        <v>3.8589999999999999E-2</v>
      </c>
      <c r="F12" s="29"/>
      <c r="G12" s="29"/>
      <c r="H12" s="29"/>
      <c r="I12" s="29"/>
      <c r="J12" s="29"/>
      <c r="K12" s="29"/>
      <c r="L12" s="29"/>
      <c r="M12" s="29"/>
      <c r="N12" s="29"/>
      <c r="O12" s="29"/>
      <c r="P12" s="29"/>
      <c r="Q12" s="29"/>
      <c r="R12" s="29"/>
      <c r="S12" s="29"/>
      <c r="T12" s="29"/>
      <c r="U12" s="25"/>
      <c r="W12" s="180" t="s">
        <v>118</v>
      </c>
      <c r="X12" s="179">
        <v>7.9967999999999997E-2</v>
      </c>
    </row>
    <row r="13" spans="1:24" ht="15.75" x14ac:dyDescent="0.25">
      <c r="B13" s="64"/>
      <c r="C13" s="188" t="s">
        <v>330</v>
      </c>
      <c r="D13" s="197" t="s">
        <v>109</v>
      </c>
      <c r="E13" s="198">
        <v>3.7179999999999998E-2</v>
      </c>
      <c r="F13" s="29"/>
      <c r="G13" s="29"/>
      <c r="H13" s="29"/>
      <c r="I13" s="29"/>
      <c r="J13" s="29"/>
      <c r="K13" s="29"/>
      <c r="L13" s="29"/>
      <c r="M13" s="29"/>
      <c r="N13" s="29"/>
      <c r="O13" s="29"/>
      <c r="P13" s="29"/>
      <c r="Q13" s="29"/>
      <c r="R13" s="29"/>
      <c r="S13" s="29"/>
      <c r="T13" s="29"/>
      <c r="U13" s="25"/>
      <c r="W13" s="180" t="s">
        <v>109</v>
      </c>
      <c r="X13" s="179">
        <v>7.7627000000000002E-2</v>
      </c>
    </row>
    <row r="14" spans="1:24" ht="30" x14ac:dyDescent="0.25">
      <c r="B14" s="64"/>
      <c r="C14" s="188" t="s">
        <v>143</v>
      </c>
      <c r="D14" s="197" t="s">
        <v>112</v>
      </c>
      <c r="E14" s="198">
        <v>3.5756999999999997E-2</v>
      </c>
      <c r="F14" s="29"/>
      <c r="G14" s="29"/>
      <c r="H14" s="29"/>
      <c r="I14" s="29"/>
      <c r="J14" s="29"/>
      <c r="K14" s="29"/>
      <c r="L14" s="29"/>
      <c r="M14" s="29"/>
      <c r="N14" s="29"/>
      <c r="O14" s="29"/>
      <c r="P14" s="29"/>
      <c r="Q14" s="29"/>
      <c r="R14" s="29"/>
      <c r="S14" s="29"/>
      <c r="T14" s="29"/>
      <c r="U14" s="25"/>
      <c r="W14" s="180" t="s">
        <v>16</v>
      </c>
      <c r="X14" s="179">
        <v>7.3692000000000007E-2</v>
      </c>
    </row>
    <row r="15" spans="1:24" ht="15.75" x14ac:dyDescent="0.25">
      <c r="B15" s="64"/>
      <c r="C15" s="188" t="s">
        <v>33</v>
      </c>
      <c r="D15" s="197" t="s">
        <v>108</v>
      </c>
      <c r="E15" s="198">
        <v>3.5265999999999999E-2</v>
      </c>
      <c r="F15" s="29"/>
      <c r="G15" s="29"/>
      <c r="H15" s="29"/>
      <c r="I15" s="29"/>
      <c r="J15" s="29"/>
      <c r="K15" s="29"/>
      <c r="L15" s="29"/>
      <c r="M15" s="29"/>
      <c r="N15" s="29"/>
      <c r="O15" s="29"/>
      <c r="P15" s="29"/>
      <c r="Q15" s="29"/>
      <c r="R15" s="29"/>
      <c r="S15" s="29"/>
      <c r="T15" s="29"/>
      <c r="U15" s="25"/>
      <c r="W15" s="180" t="s">
        <v>122</v>
      </c>
      <c r="X15" s="179">
        <v>3.5237999999999998E-2</v>
      </c>
    </row>
    <row r="16" spans="1:24" ht="15.75" x14ac:dyDescent="0.25">
      <c r="B16" s="64"/>
      <c r="C16" s="188" t="s">
        <v>340</v>
      </c>
      <c r="D16" s="197" t="s">
        <v>122</v>
      </c>
      <c r="E16" s="198">
        <v>3.5237999999999998E-2</v>
      </c>
      <c r="F16" s="29"/>
      <c r="G16" s="29"/>
      <c r="H16" s="29"/>
      <c r="I16" s="29"/>
      <c r="J16" s="29"/>
      <c r="K16" s="29"/>
      <c r="L16" s="29"/>
      <c r="M16" s="29"/>
      <c r="N16" s="29"/>
      <c r="O16" s="29"/>
      <c r="P16" s="29"/>
      <c r="Q16" s="29"/>
      <c r="R16" s="29"/>
      <c r="S16" s="29"/>
      <c r="T16" s="29"/>
      <c r="U16" s="25"/>
      <c r="W16" s="180" t="s">
        <v>4</v>
      </c>
      <c r="X16" s="179">
        <v>3.4283000000000001E-2</v>
      </c>
    </row>
    <row r="17" spans="2:24" ht="15.75" x14ac:dyDescent="0.25">
      <c r="B17" s="64"/>
      <c r="C17" s="188" t="s">
        <v>97</v>
      </c>
      <c r="D17" s="197" t="s">
        <v>113</v>
      </c>
      <c r="E17" s="198">
        <v>3.5217999999999999E-2</v>
      </c>
      <c r="F17" s="29"/>
      <c r="G17" s="29"/>
      <c r="H17" s="29"/>
      <c r="I17" s="29"/>
      <c r="J17" s="29"/>
      <c r="K17" s="29"/>
      <c r="L17" s="29"/>
      <c r="M17" s="29"/>
      <c r="N17" s="29"/>
      <c r="O17" s="29"/>
      <c r="P17" s="29"/>
      <c r="Q17" s="29"/>
      <c r="R17" s="29"/>
      <c r="S17" s="29"/>
      <c r="T17" s="29"/>
      <c r="U17" s="25"/>
      <c r="W17" s="180" t="s">
        <v>6</v>
      </c>
      <c r="X17" s="179">
        <v>3.3956E-2</v>
      </c>
    </row>
    <row r="18" spans="2:24" ht="15.75" x14ac:dyDescent="0.25">
      <c r="B18" s="64"/>
      <c r="C18" s="188" t="s">
        <v>32</v>
      </c>
      <c r="D18" s="197" t="s">
        <v>3</v>
      </c>
      <c r="E18" s="198">
        <v>3.5209999999999998E-2</v>
      </c>
      <c r="F18" s="29"/>
      <c r="G18" s="29"/>
      <c r="H18" s="29"/>
      <c r="I18" s="29"/>
      <c r="J18" s="29"/>
      <c r="K18" s="29"/>
      <c r="L18" s="29"/>
      <c r="M18" s="29"/>
      <c r="N18" s="29"/>
      <c r="O18" s="29"/>
      <c r="P18" s="29"/>
      <c r="Q18" s="29"/>
      <c r="R18" s="29"/>
      <c r="S18" s="29"/>
      <c r="T18" s="29"/>
      <c r="U18" s="25"/>
      <c r="W18" s="180" t="s">
        <v>78</v>
      </c>
      <c r="X18" s="179">
        <v>3.2766000000000003E-2</v>
      </c>
    </row>
    <row r="19" spans="2:24" ht="15.75" x14ac:dyDescent="0.25">
      <c r="B19" s="64"/>
      <c r="C19" s="188" t="s">
        <v>267</v>
      </c>
      <c r="D19" s="197" t="s">
        <v>4</v>
      </c>
      <c r="E19" s="198">
        <v>3.4283000000000001E-2</v>
      </c>
      <c r="F19" s="29"/>
      <c r="G19" s="29"/>
      <c r="H19" s="29"/>
      <c r="I19" s="29"/>
      <c r="J19" s="29"/>
      <c r="K19" s="29"/>
      <c r="L19" s="29"/>
      <c r="M19" s="29"/>
      <c r="N19" s="29"/>
      <c r="O19" s="29"/>
      <c r="P19" s="29"/>
      <c r="Q19" s="29"/>
      <c r="R19" s="29"/>
      <c r="S19" s="29"/>
      <c r="T19" s="29"/>
      <c r="U19" s="25"/>
      <c r="W19" s="180" t="s">
        <v>12</v>
      </c>
      <c r="X19" s="179">
        <v>3.2521000000000001E-2</v>
      </c>
    </row>
    <row r="20" spans="2:24" ht="15.75" x14ac:dyDescent="0.25">
      <c r="B20" s="64"/>
      <c r="C20" s="188" t="s">
        <v>31</v>
      </c>
      <c r="D20" s="197" t="s">
        <v>6</v>
      </c>
      <c r="E20" s="198">
        <v>3.3956E-2</v>
      </c>
      <c r="F20" s="29"/>
      <c r="G20" s="29"/>
      <c r="H20" s="29"/>
      <c r="I20" s="29"/>
      <c r="J20" s="29"/>
      <c r="K20" s="29"/>
      <c r="L20" s="29"/>
      <c r="M20" s="29"/>
      <c r="N20" s="29"/>
      <c r="O20" s="29"/>
      <c r="P20" s="29"/>
      <c r="Q20" s="29"/>
      <c r="R20" s="29"/>
      <c r="S20" s="29"/>
      <c r="T20" s="29"/>
      <c r="U20" s="25"/>
      <c r="W20" s="180" t="s">
        <v>84</v>
      </c>
      <c r="X20" s="179">
        <v>3.1257E-2</v>
      </c>
    </row>
    <row r="21" spans="2:24" ht="15.75" x14ac:dyDescent="0.25">
      <c r="B21" s="64"/>
      <c r="C21" s="188" t="s">
        <v>278</v>
      </c>
      <c r="D21" s="197" t="s">
        <v>16</v>
      </c>
      <c r="E21" s="198">
        <v>3.2965000000000001E-2</v>
      </c>
      <c r="F21" s="29"/>
      <c r="G21" s="29"/>
      <c r="H21" s="29"/>
      <c r="I21" s="29"/>
      <c r="J21" s="29"/>
      <c r="K21" s="29"/>
      <c r="L21" s="29"/>
      <c r="M21" s="29"/>
      <c r="N21" s="29"/>
      <c r="O21" s="29"/>
      <c r="P21" s="29"/>
      <c r="Q21" s="29"/>
      <c r="R21" s="29"/>
      <c r="S21" s="29"/>
      <c r="T21" s="29"/>
      <c r="U21" s="25"/>
      <c r="W21" s="180" t="s">
        <v>117</v>
      </c>
      <c r="X21" s="179">
        <v>3.0974999999999999E-2</v>
      </c>
    </row>
    <row r="22" spans="2:24" ht="15.75" x14ac:dyDescent="0.25">
      <c r="B22" s="64"/>
      <c r="C22" s="188" t="s">
        <v>341</v>
      </c>
      <c r="D22" s="197" t="s">
        <v>78</v>
      </c>
      <c r="E22" s="198">
        <v>3.2766000000000003E-2</v>
      </c>
      <c r="F22" s="29"/>
      <c r="G22" s="29"/>
      <c r="H22" s="29"/>
      <c r="I22" s="29"/>
      <c r="J22" s="29"/>
      <c r="K22" s="29"/>
      <c r="L22" s="29"/>
      <c r="M22" s="29"/>
      <c r="N22" s="29"/>
      <c r="O22" s="29"/>
      <c r="P22" s="29"/>
      <c r="Q22" s="29"/>
      <c r="R22" s="29"/>
      <c r="S22" s="29"/>
      <c r="T22" s="29"/>
      <c r="U22" s="25"/>
      <c r="W22" s="61" t="s">
        <v>87</v>
      </c>
      <c r="X22" s="62">
        <v>3.0703999999999999E-2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111</v>
      </c>
      <c r="X23" s="62">
        <v>3.0613999999999999E-2</v>
      </c>
    </row>
    <row r="24" spans="2:24" ht="15.75" x14ac:dyDescent="0.25">
      <c r="B24" s="64"/>
      <c r="C24" s="73" t="s">
        <v>55</v>
      </c>
      <c r="D24" s="74"/>
      <c r="E24" s="75">
        <f>SUM(E8:E22)</f>
        <v>0.54898400000000003</v>
      </c>
      <c r="F24" s="29"/>
      <c r="G24" s="29"/>
      <c r="H24" s="29"/>
      <c r="I24" s="29"/>
      <c r="J24" s="29"/>
      <c r="K24" s="29"/>
      <c r="L24" s="29"/>
      <c r="M24" s="29"/>
      <c r="N24" s="29"/>
      <c r="O24" s="29"/>
      <c r="P24" s="29"/>
      <c r="Q24" s="29"/>
      <c r="R24" s="29"/>
      <c r="S24" s="29"/>
      <c r="T24" s="29"/>
      <c r="U24" s="25"/>
      <c r="W24" s="61" t="s">
        <v>23</v>
      </c>
      <c r="X24" s="62">
        <v>2.5677999999999999E-2</v>
      </c>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2" t="s">
        <v>184</v>
      </c>
      <c r="C39" s="263"/>
      <c r="D39" s="263"/>
      <c r="E39" s="263"/>
      <c r="F39" s="263"/>
      <c r="G39" s="263"/>
      <c r="H39" s="263"/>
      <c r="I39" s="263"/>
      <c r="J39" s="263"/>
      <c r="K39" s="263"/>
      <c r="L39" s="263"/>
      <c r="M39" s="263"/>
      <c r="N39" s="263"/>
      <c r="O39" s="263"/>
      <c r="P39" s="263"/>
      <c r="Q39" s="263"/>
      <c r="R39" s="264"/>
      <c r="W39" s="61"/>
      <c r="X39" s="62"/>
    </row>
    <row r="40" spans="2:24" x14ac:dyDescent="0.25">
      <c r="B40" s="265"/>
      <c r="C40" s="266"/>
      <c r="D40" s="266"/>
      <c r="E40" s="266"/>
      <c r="F40" s="266"/>
      <c r="G40" s="266"/>
      <c r="H40" s="266"/>
      <c r="I40" s="266"/>
      <c r="J40" s="266"/>
      <c r="K40" s="266"/>
      <c r="L40" s="266"/>
      <c r="M40" s="266"/>
      <c r="N40" s="266"/>
      <c r="O40" s="266"/>
      <c r="P40" s="266"/>
      <c r="Q40" s="266"/>
      <c r="R40" s="267"/>
      <c r="W40" s="61"/>
      <c r="X40" s="62"/>
    </row>
    <row r="41" spans="2:24" x14ac:dyDescent="0.25">
      <c r="B41" s="265"/>
      <c r="C41" s="266"/>
      <c r="D41" s="266"/>
      <c r="E41" s="266"/>
      <c r="F41" s="266"/>
      <c r="G41" s="266"/>
      <c r="H41" s="266"/>
      <c r="I41" s="266"/>
      <c r="J41" s="266"/>
      <c r="K41" s="266"/>
      <c r="L41" s="266"/>
      <c r="M41" s="266"/>
      <c r="N41" s="266"/>
      <c r="O41" s="266"/>
      <c r="P41" s="266"/>
      <c r="Q41" s="266"/>
      <c r="R41" s="267"/>
      <c r="W41" s="61"/>
      <c r="X41" s="62"/>
    </row>
    <row r="42" spans="2:24" x14ac:dyDescent="0.25">
      <c r="B42" s="265"/>
      <c r="C42" s="266"/>
      <c r="D42" s="266"/>
      <c r="E42" s="266"/>
      <c r="F42" s="266"/>
      <c r="G42" s="266"/>
      <c r="H42" s="266"/>
      <c r="I42" s="266"/>
      <c r="J42" s="266"/>
      <c r="K42" s="266"/>
      <c r="L42" s="266"/>
      <c r="M42" s="266"/>
      <c r="N42" s="266"/>
      <c r="O42" s="266"/>
      <c r="P42" s="266"/>
      <c r="Q42" s="266"/>
      <c r="R42" s="267"/>
      <c r="W42" s="61"/>
      <c r="X42" s="62"/>
    </row>
    <row r="43" spans="2:24" x14ac:dyDescent="0.25">
      <c r="B43" s="265"/>
      <c r="C43" s="266"/>
      <c r="D43" s="266"/>
      <c r="E43" s="266"/>
      <c r="F43" s="266"/>
      <c r="G43" s="266"/>
      <c r="H43" s="266"/>
      <c r="I43" s="266"/>
      <c r="J43" s="266"/>
      <c r="K43" s="266"/>
      <c r="L43" s="266"/>
      <c r="M43" s="266"/>
      <c r="N43" s="266"/>
      <c r="O43" s="266"/>
      <c r="P43" s="266"/>
      <c r="Q43" s="266"/>
      <c r="R43" s="267"/>
    </row>
    <row r="44" spans="2:24" x14ac:dyDescent="0.25">
      <c r="B44" s="265"/>
      <c r="C44" s="266"/>
      <c r="D44" s="266"/>
      <c r="E44" s="266"/>
      <c r="F44" s="266"/>
      <c r="G44" s="266"/>
      <c r="H44" s="266"/>
      <c r="I44" s="266"/>
      <c r="J44" s="266"/>
      <c r="K44" s="266"/>
      <c r="L44" s="266"/>
      <c r="M44" s="266"/>
      <c r="N44" s="266"/>
      <c r="O44" s="266"/>
      <c r="P44" s="266"/>
      <c r="Q44" s="266"/>
      <c r="R44" s="267"/>
    </row>
    <row r="45" spans="2:24" ht="15.75" thickBot="1" x14ac:dyDescent="0.3">
      <c r="B45" s="268"/>
      <c r="C45" s="269"/>
      <c r="D45" s="269"/>
      <c r="E45" s="269"/>
      <c r="F45" s="269"/>
      <c r="G45" s="269"/>
      <c r="H45" s="269"/>
      <c r="I45" s="269"/>
      <c r="J45" s="269"/>
      <c r="K45" s="269"/>
      <c r="L45" s="269"/>
      <c r="M45" s="269"/>
      <c r="N45" s="269"/>
      <c r="O45" s="269"/>
      <c r="P45" s="269"/>
      <c r="Q45" s="269"/>
      <c r="R45" s="270"/>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sheetPr codeName="Sheet31"/>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1" t="s">
        <v>198</v>
      </c>
      <c r="D3" s="272"/>
      <c r="E3" s="272"/>
      <c r="F3" s="272"/>
      <c r="G3" s="272"/>
      <c r="H3" s="272"/>
      <c r="I3" s="272"/>
      <c r="J3" s="272"/>
      <c r="K3" s="272"/>
      <c r="L3" s="272"/>
      <c r="M3" s="272"/>
      <c r="N3" s="272"/>
      <c r="O3" s="272"/>
      <c r="P3" s="272"/>
      <c r="Q3" s="272"/>
      <c r="R3" s="272"/>
      <c r="S3" s="272"/>
      <c r="T3" s="65"/>
      <c r="U3" s="66"/>
    </row>
    <row r="4" spans="1:24" ht="15.75" x14ac:dyDescent="0.25">
      <c r="B4" s="64"/>
      <c r="C4" s="67" t="s">
        <v>356</v>
      </c>
      <c r="D4" s="29"/>
      <c r="E4" s="29"/>
      <c r="F4" s="29"/>
      <c r="G4" s="29"/>
      <c r="H4" s="29"/>
      <c r="I4" s="29"/>
      <c r="J4" s="29"/>
      <c r="K4" s="29"/>
      <c r="L4" s="29"/>
      <c r="M4" s="29"/>
      <c r="N4" s="29"/>
      <c r="O4" s="29"/>
      <c r="P4" s="29"/>
      <c r="Q4" s="29"/>
      <c r="R4" s="29"/>
      <c r="S4" s="29"/>
      <c r="T4" s="29"/>
      <c r="U4" s="25"/>
    </row>
    <row r="5" spans="1:24" ht="20.25" x14ac:dyDescent="0.25">
      <c r="B5" s="64"/>
      <c r="C5" s="222" t="s">
        <v>357</v>
      </c>
      <c r="D5" s="275" t="s">
        <v>388</v>
      </c>
      <c r="E5" s="27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4" t="s">
        <v>28</v>
      </c>
      <c r="D8" s="195" t="s">
        <v>108</v>
      </c>
      <c r="E8" s="196">
        <v>0.27899499999999999</v>
      </c>
      <c r="F8" s="29"/>
      <c r="G8" s="29"/>
      <c r="H8" s="29"/>
      <c r="I8" s="29"/>
      <c r="J8" s="29"/>
      <c r="K8" s="29"/>
      <c r="L8" s="29"/>
      <c r="M8" s="29"/>
      <c r="N8" s="29"/>
      <c r="O8" s="29"/>
      <c r="P8" s="29"/>
      <c r="Q8" s="29"/>
      <c r="R8" s="29"/>
      <c r="S8" s="29"/>
      <c r="T8" s="29"/>
      <c r="U8" s="25"/>
      <c r="W8" t="s">
        <v>108</v>
      </c>
      <c r="X8" s="179">
        <v>0.98130399999999995</v>
      </c>
    </row>
    <row r="9" spans="1:24" ht="15.75" x14ac:dyDescent="0.25">
      <c r="B9" s="64"/>
      <c r="C9" s="188" t="s">
        <v>33</v>
      </c>
      <c r="D9" s="197" t="s">
        <v>108</v>
      </c>
      <c r="E9" s="198">
        <v>0.23408499999999999</v>
      </c>
      <c r="F9" s="29"/>
      <c r="G9" s="29"/>
      <c r="H9" s="29"/>
      <c r="I9" s="29"/>
      <c r="J9" s="29"/>
      <c r="K9" s="29"/>
      <c r="L9" s="29"/>
      <c r="M9" s="29"/>
      <c r="N9" s="29"/>
      <c r="O9" s="29"/>
      <c r="P9" s="29"/>
      <c r="Q9" s="29"/>
      <c r="R9" s="29"/>
      <c r="S9" s="29"/>
      <c r="T9" s="29"/>
      <c r="U9" s="25"/>
      <c r="W9" t="s">
        <v>115</v>
      </c>
      <c r="X9" s="179">
        <v>1.5322000000000001E-2</v>
      </c>
    </row>
    <row r="10" spans="1:24" ht="15.75" x14ac:dyDescent="0.25">
      <c r="B10" s="64"/>
      <c r="C10" s="188" t="s">
        <v>196</v>
      </c>
      <c r="D10" s="197" t="s">
        <v>108</v>
      </c>
      <c r="E10" s="198">
        <v>0.102895</v>
      </c>
      <c r="F10" s="29"/>
      <c r="G10" s="29"/>
      <c r="H10" s="29"/>
      <c r="I10" s="29"/>
      <c r="J10" s="29"/>
      <c r="K10" s="29"/>
      <c r="L10" s="29"/>
      <c r="M10" s="29"/>
      <c r="N10" s="29"/>
      <c r="O10" s="29"/>
      <c r="P10" s="29"/>
      <c r="Q10" s="29"/>
      <c r="R10" s="29"/>
      <c r="S10" s="29"/>
      <c r="T10" s="29"/>
      <c r="U10" s="25"/>
      <c r="W10" s="180"/>
      <c r="X10" s="179"/>
    </row>
    <row r="11" spans="1:24" ht="15.75" x14ac:dyDescent="0.25">
      <c r="B11" s="64"/>
      <c r="C11" s="188" t="s">
        <v>195</v>
      </c>
      <c r="D11" s="197" t="s">
        <v>108</v>
      </c>
      <c r="E11" s="198">
        <v>9.1614000000000001E-2</v>
      </c>
      <c r="F11" s="29"/>
      <c r="G11" s="29"/>
      <c r="H11" s="29"/>
      <c r="I11" s="29"/>
      <c r="J11" s="29"/>
      <c r="K11" s="29"/>
      <c r="L11" s="29"/>
      <c r="M11" s="29"/>
      <c r="N11" s="29"/>
      <c r="O11" s="29"/>
      <c r="P11" s="29"/>
      <c r="Q11" s="29"/>
      <c r="R11" s="29"/>
      <c r="S11" s="29"/>
      <c r="T11" s="29"/>
      <c r="U11" s="25"/>
      <c r="W11" s="180"/>
      <c r="X11" s="179"/>
    </row>
    <row r="12" spans="1:24" ht="15.75" x14ac:dyDescent="0.25">
      <c r="B12" s="64"/>
      <c r="C12" s="188" t="s">
        <v>194</v>
      </c>
      <c r="D12" s="197" t="s">
        <v>108</v>
      </c>
      <c r="E12" s="198">
        <v>7.9812999999999995E-2</v>
      </c>
      <c r="F12" s="29"/>
      <c r="G12" s="29"/>
      <c r="H12" s="29"/>
      <c r="I12" s="29"/>
      <c r="J12" s="29"/>
      <c r="K12" s="29"/>
      <c r="L12" s="29"/>
      <c r="M12" s="29"/>
      <c r="N12" s="29"/>
      <c r="O12" s="29"/>
      <c r="P12" s="29"/>
      <c r="Q12" s="29"/>
      <c r="R12" s="29"/>
      <c r="S12" s="29"/>
      <c r="T12" s="29"/>
      <c r="U12" s="25"/>
      <c r="W12" s="180"/>
      <c r="X12" s="179"/>
    </row>
    <row r="13" spans="1:24" ht="15.75" x14ac:dyDescent="0.25">
      <c r="B13" s="64"/>
      <c r="C13" s="188" t="s">
        <v>149</v>
      </c>
      <c r="D13" s="197" t="s">
        <v>108</v>
      </c>
      <c r="E13" s="198">
        <v>5.9831000000000002E-2</v>
      </c>
      <c r="F13" s="29"/>
      <c r="G13" s="29"/>
      <c r="H13" s="29"/>
      <c r="I13" s="29"/>
      <c r="J13" s="29"/>
      <c r="K13" s="29"/>
      <c r="L13" s="29"/>
      <c r="M13" s="29"/>
      <c r="N13" s="29"/>
      <c r="O13" s="29"/>
      <c r="P13" s="29"/>
      <c r="Q13" s="29"/>
      <c r="R13" s="29"/>
      <c r="S13" s="29"/>
      <c r="T13" s="29"/>
      <c r="U13" s="25"/>
      <c r="W13" s="180"/>
      <c r="X13" s="179"/>
    </row>
    <row r="14" spans="1:24" ht="15.75" x14ac:dyDescent="0.25">
      <c r="B14" s="64"/>
      <c r="C14" s="188" t="s">
        <v>192</v>
      </c>
      <c r="D14" s="197" t="s">
        <v>108</v>
      </c>
      <c r="E14" s="198">
        <v>5.9595000000000002E-2</v>
      </c>
      <c r="F14" s="29"/>
      <c r="G14" s="29"/>
      <c r="H14" s="29"/>
      <c r="I14" s="29"/>
      <c r="J14" s="29"/>
      <c r="K14" s="29"/>
      <c r="L14" s="29"/>
      <c r="M14" s="29"/>
      <c r="N14" s="29"/>
      <c r="O14" s="29"/>
      <c r="P14" s="29"/>
      <c r="Q14" s="29"/>
      <c r="R14" s="29"/>
      <c r="S14" s="29"/>
      <c r="T14" s="29"/>
      <c r="U14" s="25"/>
      <c r="W14" s="180"/>
      <c r="X14" s="179"/>
    </row>
    <row r="15" spans="1:24" ht="15.75" x14ac:dyDescent="0.25">
      <c r="B15" s="64"/>
      <c r="C15" s="188" t="s">
        <v>197</v>
      </c>
      <c r="D15" s="197" t="s">
        <v>108</v>
      </c>
      <c r="E15" s="198">
        <v>4.8334000000000002E-2</v>
      </c>
      <c r="F15" s="29"/>
      <c r="G15" s="29"/>
      <c r="H15" s="29"/>
      <c r="I15" s="29"/>
      <c r="J15" s="29"/>
      <c r="K15" s="29"/>
      <c r="L15" s="29"/>
      <c r="M15" s="29"/>
      <c r="N15" s="29"/>
      <c r="O15" s="29"/>
      <c r="P15" s="29"/>
      <c r="Q15" s="29"/>
      <c r="R15" s="29"/>
      <c r="S15" s="29"/>
      <c r="T15" s="29"/>
      <c r="U15" s="25"/>
      <c r="W15" s="180"/>
      <c r="X15" s="179"/>
    </row>
    <row r="16" spans="1:24" ht="15.75" x14ac:dyDescent="0.25">
      <c r="B16" s="64"/>
      <c r="C16" s="188" t="s">
        <v>301</v>
      </c>
      <c r="D16" s="197" t="s">
        <v>108</v>
      </c>
      <c r="E16" s="198">
        <v>2.6141999999999999E-2</v>
      </c>
      <c r="F16" s="29"/>
      <c r="G16" s="29"/>
      <c r="H16" s="29"/>
      <c r="I16" s="29"/>
      <c r="J16" s="29"/>
      <c r="K16" s="29"/>
      <c r="L16" s="29"/>
      <c r="M16" s="29"/>
      <c r="N16" s="29"/>
      <c r="O16" s="29"/>
      <c r="P16" s="29"/>
      <c r="Q16" s="29"/>
      <c r="R16" s="29"/>
      <c r="S16" s="29"/>
      <c r="T16" s="29"/>
      <c r="U16" s="25"/>
      <c r="W16" s="180"/>
      <c r="X16" s="179"/>
    </row>
    <row r="17" spans="2:24" ht="15.75" x14ac:dyDescent="0.25">
      <c r="B17" s="64"/>
      <c r="C17" s="188" t="s">
        <v>191</v>
      </c>
      <c r="D17" s="197" t="s">
        <v>115</v>
      </c>
      <c r="E17" s="198">
        <v>1.5322000000000001E-2</v>
      </c>
      <c r="F17" s="29"/>
      <c r="G17" s="29"/>
      <c r="H17" s="29"/>
      <c r="I17" s="29"/>
      <c r="J17" s="29"/>
      <c r="K17" s="29"/>
      <c r="L17" s="29"/>
      <c r="M17" s="29"/>
      <c r="N17" s="29"/>
      <c r="O17" s="29"/>
      <c r="P17" s="29"/>
      <c r="Q17" s="29"/>
      <c r="R17" s="29"/>
      <c r="S17" s="29"/>
      <c r="T17" s="29"/>
      <c r="U17" s="25"/>
      <c r="W17" s="180"/>
      <c r="X17" s="179"/>
    </row>
    <row r="18" spans="2:24" ht="15.75" x14ac:dyDescent="0.25">
      <c r="B18" s="64"/>
      <c r="C18" s="188"/>
      <c r="D18" s="197"/>
      <c r="E18" s="198"/>
      <c r="F18" s="29"/>
      <c r="G18" s="29"/>
      <c r="H18" s="29"/>
      <c r="I18" s="29"/>
      <c r="J18" s="29"/>
      <c r="K18" s="29"/>
      <c r="L18" s="29"/>
      <c r="M18" s="29"/>
      <c r="N18" s="29"/>
      <c r="O18" s="29"/>
      <c r="P18" s="29"/>
      <c r="Q18" s="29"/>
      <c r="R18" s="29"/>
      <c r="S18" s="29"/>
      <c r="T18" s="29"/>
      <c r="U18" s="25"/>
      <c r="W18" s="180"/>
      <c r="X18" s="179"/>
    </row>
    <row r="19" spans="2:24" ht="15.75" x14ac:dyDescent="0.25">
      <c r="B19" s="64"/>
      <c r="C19" s="73" t="s">
        <v>55</v>
      </c>
      <c r="D19" s="74"/>
      <c r="E19" s="75">
        <f>SUM(E8:E17)</f>
        <v>0.99662599999999979</v>
      </c>
      <c r="F19" s="29"/>
      <c r="G19" s="29"/>
      <c r="H19" s="29"/>
      <c r="I19" s="29"/>
      <c r="J19" s="29"/>
      <c r="K19" s="29"/>
      <c r="L19" s="29"/>
      <c r="M19" s="29"/>
      <c r="N19" s="29"/>
      <c r="O19" s="29"/>
      <c r="P19" s="29"/>
      <c r="Q19" s="29"/>
      <c r="R19" s="29"/>
      <c r="S19" s="29"/>
      <c r="T19" s="29"/>
      <c r="U19" s="25"/>
      <c r="W19" s="180"/>
      <c r="X19" s="179"/>
    </row>
    <row r="20" spans="2:24" x14ac:dyDescent="0.25">
      <c r="B20" s="64"/>
      <c r="C20" s="29"/>
      <c r="D20" s="29"/>
      <c r="E20" s="29"/>
      <c r="F20" s="29"/>
      <c r="G20" s="29"/>
      <c r="H20" s="29"/>
      <c r="I20" s="29"/>
      <c r="J20" s="29"/>
      <c r="K20" s="29"/>
      <c r="L20" s="29"/>
      <c r="M20" s="29"/>
      <c r="N20" s="29"/>
      <c r="O20" s="29"/>
      <c r="P20" s="29"/>
      <c r="Q20" s="29"/>
      <c r="R20" s="29"/>
      <c r="S20" s="29"/>
      <c r="T20" s="29"/>
      <c r="U20" s="25"/>
      <c r="W20" s="180"/>
      <c r="X20" s="179"/>
    </row>
    <row r="21" spans="2:24" x14ac:dyDescent="0.25">
      <c r="B21" s="64"/>
      <c r="C21" s="29"/>
      <c r="D21" s="29"/>
      <c r="E21" s="29"/>
      <c r="F21" s="29"/>
      <c r="G21" s="29"/>
      <c r="H21" s="29"/>
      <c r="I21" s="29"/>
      <c r="J21" s="29"/>
      <c r="K21" s="29"/>
      <c r="L21" s="29"/>
      <c r="M21" s="29"/>
      <c r="N21" s="29"/>
      <c r="O21" s="29"/>
      <c r="P21" s="29"/>
      <c r="Q21" s="29"/>
      <c r="R21" s="29"/>
      <c r="S21" s="29"/>
      <c r="T21" s="29"/>
      <c r="U21" s="25"/>
      <c r="W21" s="180"/>
      <c r="X21" s="179"/>
    </row>
    <row r="22" spans="2:24" x14ac:dyDescent="0.25">
      <c r="B22" s="64"/>
      <c r="C22" s="29"/>
      <c r="D22" s="29"/>
      <c r="E22" s="29"/>
      <c r="F22" s="29"/>
      <c r="G22" s="29"/>
      <c r="H22" s="29"/>
      <c r="I22" s="29"/>
      <c r="J22" s="29"/>
      <c r="K22" s="29"/>
      <c r="L22" s="29"/>
      <c r="M22" s="29"/>
      <c r="N22" s="29"/>
      <c r="O22" s="29"/>
      <c r="P22" s="29"/>
      <c r="Q22" s="29"/>
      <c r="R22" s="29"/>
      <c r="S22" s="29"/>
      <c r="T22" s="29"/>
      <c r="U22" s="25"/>
      <c r="W22" s="61"/>
      <c r="X22" s="62"/>
    </row>
    <row r="23" spans="2:24" x14ac:dyDescent="0.25">
      <c r="B23" s="64"/>
      <c r="C23" s="29"/>
      <c r="D23" s="29"/>
      <c r="E23" s="29"/>
      <c r="F23" s="29"/>
      <c r="G23" s="29"/>
      <c r="H23" s="29"/>
      <c r="I23" s="29"/>
      <c r="J23" s="29"/>
      <c r="K23" s="29"/>
      <c r="L23" s="29"/>
      <c r="M23" s="29"/>
      <c r="N23" s="29"/>
      <c r="O23" s="29"/>
      <c r="P23" s="29"/>
      <c r="Q23" s="29"/>
      <c r="R23" s="29"/>
      <c r="S23" s="29"/>
      <c r="T23" s="29"/>
      <c r="U23" s="25"/>
      <c r="W23" s="61"/>
      <c r="X23" s="62"/>
    </row>
    <row r="24" spans="2:24" x14ac:dyDescent="0.25">
      <c r="B24" s="64"/>
      <c r="C24" s="29"/>
      <c r="D24" s="29"/>
      <c r="E24" s="29"/>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2" t="s">
        <v>184</v>
      </c>
      <c r="C39" s="263"/>
      <c r="D39" s="263"/>
      <c r="E39" s="263"/>
      <c r="F39" s="263"/>
      <c r="G39" s="263"/>
      <c r="H39" s="263"/>
      <c r="I39" s="263"/>
      <c r="J39" s="263"/>
      <c r="K39" s="263"/>
      <c r="L39" s="263"/>
      <c r="M39" s="263"/>
      <c r="N39" s="263"/>
      <c r="O39" s="263"/>
      <c r="P39" s="263"/>
      <c r="Q39" s="263"/>
      <c r="R39" s="264"/>
      <c r="W39" s="61"/>
      <c r="X39" s="62"/>
    </row>
    <row r="40" spans="2:24" x14ac:dyDescent="0.25">
      <c r="B40" s="265"/>
      <c r="C40" s="266"/>
      <c r="D40" s="266"/>
      <c r="E40" s="266"/>
      <c r="F40" s="266"/>
      <c r="G40" s="266"/>
      <c r="H40" s="266"/>
      <c r="I40" s="266"/>
      <c r="J40" s="266"/>
      <c r="K40" s="266"/>
      <c r="L40" s="266"/>
      <c r="M40" s="266"/>
      <c r="N40" s="266"/>
      <c r="O40" s="266"/>
      <c r="P40" s="266"/>
      <c r="Q40" s="266"/>
      <c r="R40" s="267"/>
      <c r="W40" s="61"/>
      <c r="X40" s="62"/>
    </row>
    <row r="41" spans="2:24" x14ac:dyDescent="0.25">
      <c r="B41" s="265"/>
      <c r="C41" s="266"/>
      <c r="D41" s="266"/>
      <c r="E41" s="266"/>
      <c r="F41" s="266"/>
      <c r="G41" s="266"/>
      <c r="H41" s="266"/>
      <c r="I41" s="266"/>
      <c r="J41" s="266"/>
      <c r="K41" s="266"/>
      <c r="L41" s="266"/>
      <c r="M41" s="266"/>
      <c r="N41" s="266"/>
      <c r="O41" s="266"/>
      <c r="P41" s="266"/>
      <c r="Q41" s="266"/>
      <c r="R41" s="267"/>
      <c r="W41" s="61"/>
      <c r="X41" s="62"/>
    </row>
    <row r="42" spans="2:24" x14ac:dyDescent="0.25">
      <c r="B42" s="265"/>
      <c r="C42" s="266"/>
      <c r="D42" s="266"/>
      <c r="E42" s="266"/>
      <c r="F42" s="266"/>
      <c r="G42" s="266"/>
      <c r="H42" s="266"/>
      <c r="I42" s="266"/>
      <c r="J42" s="266"/>
      <c r="K42" s="266"/>
      <c r="L42" s="266"/>
      <c r="M42" s="266"/>
      <c r="N42" s="266"/>
      <c r="O42" s="266"/>
      <c r="P42" s="266"/>
      <c r="Q42" s="266"/>
      <c r="R42" s="267"/>
      <c r="W42" s="61"/>
      <c r="X42" s="62"/>
    </row>
    <row r="43" spans="2:24" x14ac:dyDescent="0.25">
      <c r="B43" s="265"/>
      <c r="C43" s="266"/>
      <c r="D43" s="266"/>
      <c r="E43" s="266"/>
      <c r="F43" s="266"/>
      <c r="G43" s="266"/>
      <c r="H43" s="266"/>
      <c r="I43" s="266"/>
      <c r="J43" s="266"/>
      <c r="K43" s="266"/>
      <c r="L43" s="266"/>
      <c r="M43" s="266"/>
      <c r="N43" s="266"/>
      <c r="O43" s="266"/>
      <c r="P43" s="266"/>
      <c r="Q43" s="266"/>
      <c r="R43" s="267"/>
    </row>
    <row r="44" spans="2:24" x14ac:dyDescent="0.25">
      <c r="B44" s="265"/>
      <c r="C44" s="266"/>
      <c r="D44" s="266"/>
      <c r="E44" s="266"/>
      <c r="F44" s="266"/>
      <c r="G44" s="266"/>
      <c r="H44" s="266"/>
      <c r="I44" s="266"/>
      <c r="J44" s="266"/>
      <c r="K44" s="266"/>
      <c r="L44" s="266"/>
      <c r="M44" s="266"/>
      <c r="N44" s="266"/>
      <c r="O44" s="266"/>
      <c r="P44" s="266"/>
      <c r="Q44" s="266"/>
      <c r="R44" s="267"/>
    </row>
    <row r="45" spans="2:24" ht="15.75" thickBot="1" x14ac:dyDescent="0.3">
      <c r="B45" s="268"/>
      <c r="C45" s="269"/>
      <c r="D45" s="269"/>
      <c r="E45" s="269"/>
      <c r="F45" s="269"/>
      <c r="G45" s="269"/>
      <c r="H45" s="269"/>
      <c r="I45" s="269"/>
      <c r="J45" s="269"/>
      <c r="K45" s="269"/>
      <c r="L45" s="269"/>
      <c r="M45" s="269"/>
      <c r="N45" s="269"/>
      <c r="O45" s="269"/>
      <c r="P45" s="269"/>
      <c r="Q45" s="269"/>
      <c r="R45" s="270"/>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sheetPr codeName="Sheet32"/>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1" t="s">
        <v>211</v>
      </c>
      <c r="D3" s="272"/>
      <c r="E3" s="272"/>
      <c r="F3" s="272"/>
      <c r="G3" s="272"/>
      <c r="H3" s="272"/>
      <c r="I3" s="272"/>
      <c r="J3" s="272"/>
      <c r="K3" s="272"/>
      <c r="L3" s="272"/>
      <c r="M3" s="272"/>
      <c r="N3" s="272"/>
      <c r="O3" s="272"/>
      <c r="P3" s="272"/>
      <c r="Q3" s="272"/>
      <c r="R3" s="272"/>
      <c r="S3" s="272"/>
      <c r="T3" s="65"/>
      <c r="U3" s="66"/>
    </row>
    <row r="4" spans="1:24" ht="15.75" x14ac:dyDescent="0.25">
      <c r="B4" s="64"/>
      <c r="C4" s="67" t="s">
        <v>356</v>
      </c>
      <c r="D4" s="29"/>
      <c r="E4" s="29"/>
      <c r="F4" s="29"/>
      <c r="G4" s="29"/>
      <c r="H4" s="29"/>
      <c r="I4" s="29"/>
      <c r="J4" s="29"/>
      <c r="K4" s="29"/>
      <c r="L4" s="29"/>
      <c r="M4" s="29"/>
      <c r="N4" s="29"/>
      <c r="O4" s="29"/>
      <c r="P4" s="29"/>
      <c r="Q4" s="29"/>
      <c r="R4" s="29"/>
      <c r="S4" s="29"/>
      <c r="T4" s="29"/>
      <c r="U4" s="25"/>
    </row>
    <row r="5" spans="1:24" ht="20.25" x14ac:dyDescent="0.25">
      <c r="B5" s="64"/>
      <c r="C5" s="222" t="s">
        <v>357</v>
      </c>
      <c r="D5" s="275" t="s">
        <v>389</v>
      </c>
      <c r="E5" s="27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4" t="s">
        <v>259</v>
      </c>
      <c r="D8" s="195" t="s">
        <v>23</v>
      </c>
      <c r="E8" s="196">
        <v>3.9633000000000002E-2</v>
      </c>
      <c r="F8" s="29"/>
      <c r="G8" s="29"/>
      <c r="H8" s="29"/>
      <c r="I8" s="29"/>
      <c r="J8" s="29"/>
      <c r="K8" s="29"/>
      <c r="L8" s="29"/>
      <c r="M8" s="29"/>
      <c r="N8" s="29"/>
      <c r="O8" s="29"/>
      <c r="P8" s="29"/>
      <c r="Q8" s="29"/>
      <c r="R8" s="29"/>
      <c r="S8" s="29"/>
      <c r="T8" s="29"/>
      <c r="U8" s="25"/>
      <c r="W8" s="180" t="s">
        <v>120</v>
      </c>
      <c r="X8" s="179">
        <v>0.117599</v>
      </c>
    </row>
    <row r="9" spans="1:24" ht="15.75" x14ac:dyDescent="0.25">
      <c r="B9" s="64"/>
      <c r="C9" s="188" t="s">
        <v>139</v>
      </c>
      <c r="D9" s="197" t="s">
        <v>26</v>
      </c>
      <c r="E9" s="198">
        <v>3.5839000000000003E-2</v>
      </c>
      <c r="F9" s="29"/>
      <c r="G9" s="29"/>
      <c r="H9" s="29"/>
      <c r="I9" s="29"/>
      <c r="J9" s="29"/>
      <c r="K9" s="29"/>
      <c r="L9" s="29"/>
      <c r="M9" s="29"/>
      <c r="N9" s="29"/>
      <c r="O9" s="29"/>
      <c r="P9" s="29"/>
      <c r="Q9" s="29"/>
      <c r="R9" s="29"/>
      <c r="S9" s="29"/>
      <c r="T9" s="29"/>
      <c r="U9" s="25"/>
      <c r="W9" s="180" t="s">
        <v>4</v>
      </c>
      <c r="X9" s="179">
        <v>8.3996999999999988E-2</v>
      </c>
    </row>
    <row r="10" spans="1:24" ht="15.75" x14ac:dyDescent="0.25">
      <c r="B10" s="64"/>
      <c r="C10" s="188" t="s">
        <v>256</v>
      </c>
      <c r="D10" s="197" t="s">
        <v>86</v>
      </c>
      <c r="E10" s="198">
        <v>3.4180000000000002E-2</v>
      </c>
      <c r="F10" s="29"/>
      <c r="G10" s="29"/>
      <c r="H10" s="29"/>
      <c r="I10" s="29"/>
      <c r="J10" s="29"/>
      <c r="K10" s="29"/>
      <c r="L10" s="29"/>
      <c r="M10" s="29"/>
      <c r="N10" s="29"/>
      <c r="O10" s="29"/>
      <c r="P10" s="29"/>
      <c r="Q10" s="29"/>
      <c r="R10" s="29"/>
      <c r="S10" s="29"/>
      <c r="T10" s="29"/>
      <c r="U10" s="25"/>
      <c r="W10" s="180" t="s">
        <v>86</v>
      </c>
      <c r="X10" s="179">
        <v>8.1272999999999998E-2</v>
      </c>
    </row>
    <row r="11" spans="1:24" ht="15.75" x14ac:dyDescent="0.25">
      <c r="B11" s="64"/>
      <c r="C11" s="188" t="s">
        <v>314</v>
      </c>
      <c r="D11" s="197" t="s">
        <v>13</v>
      </c>
      <c r="E11" s="198">
        <v>3.1781999999999998E-2</v>
      </c>
      <c r="F11" s="29"/>
      <c r="G11" s="29"/>
      <c r="H11" s="29"/>
      <c r="I11" s="29"/>
      <c r="J11" s="29"/>
      <c r="K11" s="29"/>
      <c r="L11" s="29"/>
      <c r="M11" s="29"/>
      <c r="N11" s="29"/>
      <c r="O11" s="29"/>
      <c r="P11" s="29"/>
      <c r="Q11" s="29"/>
      <c r="R11" s="29"/>
      <c r="S11" s="29"/>
      <c r="T11" s="29"/>
      <c r="U11" s="25"/>
      <c r="W11" s="180" t="s">
        <v>23</v>
      </c>
      <c r="X11" s="179">
        <v>7.0350999999999997E-2</v>
      </c>
    </row>
    <row r="12" spans="1:24" ht="15.75" x14ac:dyDescent="0.25">
      <c r="B12" s="64"/>
      <c r="C12" s="188" t="s">
        <v>342</v>
      </c>
      <c r="D12" s="197" t="s">
        <v>138</v>
      </c>
      <c r="E12" s="198">
        <v>3.1237000000000001E-2</v>
      </c>
      <c r="F12" s="29"/>
      <c r="G12" s="29"/>
      <c r="H12" s="29"/>
      <c r="I12" s="29"/>
      <c r="J12" s="29"/>
      <c r="K12" s="29"/>
      <c r="L12" s="29"/>
      <c r="M12" s="29"/>
      <c r="N12" s="29"/>
      <c r="O12" s="29"/>
      <c r="P12" s="29"/>
      <c r="Q12" s="29"/>
      <c r="R12" s="29"/>
      <c r="S12" s="29"/>
      <c r="T12" s="29"/>
      <c r="U12" s="25"/>
      <c r="W12" s="180" t="s">
        <v>112</v>
      </c>
      <c r="X12" s="179">
        <v>6.8625999999999993E-2</v>
      </c>
    </row>
    <row r="13" spans="1:24" ht="15.75" x14ac:dyDescent="0.25">
      <c r="B13" s="64"/>
      <c r="C13" s="188" t="s">
        <v>302</v>
      </c>
      <c r="D13" s="197" t="s">
        <v>23</v>
      </c>
      <c r="E13" s="198">
        <v>3.0717999999999999E-2</v>
      </c>
      <c r="F13" s="29"/>
      <c r="G13" s="29"/>
      <c r="H13" s="29"/>
      <c r="I13" s="29"/>
      <c r="J13" s="29"/>
      <c r="K13" s="29"/>
      <c r="L13" s="29"/>
      <c r="M13" s="29"/>
      <c r="N13" s="29"/>
      <c r="O13" s="29"/>
      <c r="P13" s="29"/>
      <c r="Q13" s="29"/>
      <c r="R13" s="29"/>
      <c r="S13" s="29"/>
      <c r="T13" s="29"/>
      <c r="U13" s="25"/>
      <c r="W13" s="180" t="s">
        <v>26</v>
      </c>
      <c r="X13" s="179">
        <v>5.9950000000000003E-2</v>
      </c>
    </row>
    <row r="14" spans="1:24" ht="15.75" x14ac:dyDescent="0.25">
      <c r="B14" s="64"/>
      <c r="C14" s="188" t="s">
        <v>297</v>
      </c>
      <c r="D14" s="197" t="s">
        <v>120</v>
      </c>
      <c r="E14" s="198">
        <v>3.0648999999999999E-2</v>
      </c>
      <c r="F14" s="29"/>
      <c r="G14" s="29"/>
      <c r="H14" s="29"/>
      <c r="I14" s="29"/>
      <c r="J14" s="29"/>
      <c r="K14" s="29"/>
      <c r="L14" s="29"/>
      <c r="M14" s="29"/>
      <c r="N14" s="29"/>
      <c r="O14" s="29"/>
      <c r="P14" s="29"/>
      <c r="Q14" s="29"/>
      <c r="R14" s="29"/>
      <c r="S14" s="29"/>
      <c r="T14" s="29"/>
      <c r="U14" s="25"/>
      <c r="W14" s="180" t="s">
        <v>114</v>
      </c>
      <c r="X14" s="179">
        <v>5.1534999999999997E-2</v>
      </c>
    </row>
    <row r="15" spans="1:24" ht="15.75" x14ac:dyDescent="0.25">
      <c r="B15" s="64"/>
      <c r="C15" s="188" t="s">
        <v>257</v>
      </c>
      <c r="D15" s="197" t="s">
        <v>120</v>
      </c>
      <c r="E15" s="198">
        <v>2.9808000000000001E-2</v>
      </c>
      <c r="F15" s="29"/>
      <c r="G15" s="29"/>
      <c r="H15" s="29"/>
      <c r="I15" s="29"/>
      <c r="J15" s="29"/>
      <c r="K15" s="29"/>
      <c r="L15" s="29"/>
      <c r="M15" s="29"/>
      <c r="N15" s="29"/>
      <c r="O15" s="29"/>
      <c r="P15" s="29"/>
      <c r="Q15" s="29"/>
      <c r="R15" s="29"/>
      <c r="S15" s="29"/>
      <c r="T15" s="29"/>
      <c r="U15" s="25"/>
      <c r="W15" s="180" t="s">
        <v>10</v>
      </c>
      <c r="X15" s="179">
        <v>5.0796000000000001E-2</v>
      </c>
    </row>
    <row r="16" spans="1:24" ht="15.75" x14ac:dyDescent="0.25">
      <c r="B16" s="64"/>
      <c r="C16" s="188" t="s">
        <v>288</v>
      </c>
      <c r="D16" s="197" t="s">
        <v>4</v>
      </c>
      <c r="E16" s="198">
        <v>2.8479000000000001E-2</v>
      </c>
      <c r="F16" s="29"/>
      <c r="G16" s="29"/>
      <c r="H16" s="29"/>
      <c r="I16" s="29"/>
      <c r="J16" s="29"/>
      <c r="K16" s="29"/>
      <c r="L16" s="29"/>
      <c r="M16" s="29"/>
      <c r="N16" s="29"/>
      <c r="O16" s="29"/>
      <c r="P16" s="29"/>
      <c r="Q16" s="29"/>
      <c r="R16" s="29"/>
      <c r="S16" s="29"/>
      <c r="T16" s="29"/>
      <c r="U16" s="25"/>
      <c r="W16" s="180" t="s">
        <v>88</v>
      </c>
      <c r="X16" s="179">
        <v>4.8000000000000001E-2</v>
      </c>
    </row>
    <row r="17" spans="2:24" ht="15.75" x14ac:dyDescent="0.25">
      <c r="B17" s="64"/>
      <c r="C17" s="188" t="s">
        <v>213</v>
      </c>
      <c r="D17" s="197" t="s">
        <v>4</v>
      </c>
      <c r="E17" s="198">
        <v>2.8222000000000001E-2</v>
      </c>
      <c r="F17" s="29"/>
      <c r="G17" s="29"/>
      <c r="H17" s="29"/>
      <c r="I17" s="29"/>
      <c r="J17" s="29"/>
      <c r="K17" s="29"/>
      <c r="L17" s="29"/>
      <c r="M17" s="29"/>
      <c r="N17" s="29"/>
      <c r="O17" s="29"/>
      <c r="P17" s="29"/>
      <c r="Q17" s="29"/>
      <c r="R17" s="29"/>
      <c r="S17" s="29"/>
      <c r="T17" s="29"/>
      <c r="U17" s="25"/>
      <c r="W17" s="180" t="s">
        <v>16</v>
      </c>
      <c r="X17" s="179">
        <v>4.5929999999999999E-2</v>
      </c>
    </row>
    <row r="18" spans="2:24" ht="15.75" x14ac:dyDescent="0.25">
      <c r="B18" s="64"/>
      <c r="C18" s="188" t="s">
        <v>220</v>
      </c>
      <c r="D18" s="197" t="s">
        <v>86</v>
      </c>
      <c r="E18" s="198">
        <v>2.5654E-2</v>
      </c>
      <c r="F18" s="29"/>
      <c r="G18" s="29"/>
      <c r="H18" s="29"/>
      <c r="I18" s="29"/>
      <c r="J18" s="29"/>
      <c r="K18" s="29"/>
      <c r="L18" s="29"/>
      <c r="M18" s="29"/>
      <c r="N18" s="29"/>
      <c r="O18" s="29"/>
      <c r="P18" s="29"/>
      <c r="Q18" s="29"/>
      <c r="R18" s="29"/>
      <c r="S18" s="29"/>
      <c r="T18" s="29"/>
      <c r="U18" s="25"/>
      <c r="W18" s="180" t="s">
        <v>113</v>
      </c>
      <c r="X18" s="179">
        <v>4.0640999999999997E-2</v>
      </c>
    </row>
    <row r="19" spans="2:24" ht="15.75" x14ac:dyDescent="0.25">
      <c r="B19" s="64"/>
      <c r="C19" s="188" t="s">
        <v>343</v>
      </c>
      <c r="D19" s="197" t="s">
        <v>108</v>
      </c>
      <c r="E19" s="198">
        <v>2.5374000000000001E-2</v>
      </c>
      <c r="F19" s="29"/>
      <c r="G19" s="29"/>
      <c r="H19" s="29"/>
      <c r="I19" s="29"/>
      <c r="J19" s="29"/>
      <c r="K19" s="29"/>
      <c r="L19" s="29"/>
      <c r="M19" s="29"/>
      <c r="N19" s="29"/>
      <c r="O19" s="29"/>
      <c r="P19" s="29"/>
      <c r="Q19" s="29"/>
      <c r="R19" s="29"/>
      <c r="S19" s="29"/>
      <c r="T19" s="29"/>
      <c r="U19" s="25"/>
      <c r="W19" s="180" t="s">
        <v>13</v>
      </c>
      <c r="X19" s="179">
        <v>3.1781999999999998E-2</v>
      </c>
    </row>
    <row r="20" spans="2:24" ht="15.75" x14ac:dyDescent="0.25">
      <c r="B20" s="64"/>
      <c r="C20" s="188" t="s">
        <v>72</v>
      </c>
      <c r="D20" s="197" t="s">
        <v>10</v>
      </c>
      <c r="E20" s="198">
        <v>2.5316999999999999E-2</v>
      </c>
      <c r="F20" s="29"/>
      <c r="G20" s="29"/>
      <c r="H20" s="29"/>
      <c r="I20" s="29"/>
      <c r="J20" s="29"/>
      <c r="K20" s="29"/>
      <c r="L20" s="29"/>
      <c r="M20" s="29"/>
      <c r="N20" s="29"/>
      <c r="O20" s="29"/>
      <c r="P20" s="29"/>
      <c r="Q20" s="29"/>
      <c r="R20" s="29"/>
      <c r="S20" s="29"/>
      <c r="T20" s="29"/>
      <c r="U20" s="25"/>
      <c r="W20" s="180" t="s">
        <v>138</v>
      </c>
      <c r="X20" s="179">
        <v>3.1237000000000001E-2</v>
      </c>
    </row>
    <row r="21" spans="2:24" ht="15.75" x14ac:dyDescent="0.25">
      <c r="B21" s="64"/>
      <c r="C21" s="188" t="s">
        <v>221</v>
      </c>
      <c r="D21" s="197" t="s">
        <v>114</v>
      </c>
      <c r="E21" s="198">
        <v>2.4454E-2</v>
      </c>
      <c r="F21" s="29"/>
      <c r="G21" s="29"/>
      <c r="H21" s="29"/>
      <c r="I21" s="29"/>
      <c r="J21" s="29"/>
      <c r="K21" s="29"/>
      <c r="L21" s="29"/>
      <c r="M21" s="29"/>
      <c r="N21" s="29"/>
      <c r="O21" s="29"/>
      <c r="P21" s="29"/>
      <c r="Q21" s="29"/>
      <c r="R21" s="29"/>
      <c r="S21" s="29"/>
      <c r="T21" s="29"/>
      <c r="U21" s="25"/>
      <c r="W21" s="180" t="s">
        <v>24</v>
      </c>
      <c r="X21" s="179">
        <v>2.6860999999999999E-2</v>
      </c>
    </row>
    <row r="22" spans="2:24" ht="15.75" x14ac:dyDescent="0.25">
      <c r="B22" s="64"/>
      <c r="C22" s="188" t="s">
        <v>258</v>
      </c>
      <c r="D22" s="197" t="s">
        <v>16</v>
      </c>
      <c r="E22" s="198">
        <v>2.4246E-2</v>
      </c>
      <c r="F22" s="29"/>
      <c r="G22" s="29"/>
      <c r="H22" s="29"/>
      <c r="I22" s="29"/>
      <c r="J22" s="29"/>
      <c r="K22" s="29"/>
      <c r="L22" s="29"/>
      <c r="M22" s="29"/>
      <c r="N22" s="29"/>
      <c r="O22" s="29"/>
      <c r="P22" s="29"/>
      <c r="Q22" s="29"/>
      <c r="R22" s="29"/>
      <c r="S22" s="29"/>
      <c r="T22" s="29"/>
      <c r="U22" s="25"/>
      <c r="W22" s="180" t="s">
        <v>108</v>
      </c>
      <c r="X22" s="179">
        <v>2.5374000000000001E-2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187</v>
      </c>
      <c r="X23" s="179">
        <v>1.9696999999999999E-2</v>
      </c>
    </row>
    <row r="24" spans="2:24" ht="15.75" x14ac:dyDescent="0.25">
      <c r="B24" s="64"/>
      <c r="C24" s="73" t="s">
        <v>55</v>
      </c>
      <c r="D24" s="74"/>
      <c r="E24" s="75">
        <f>SUM(E8:E22)</f>
        <v>0.44559199999999999</v>
      </c>
      <c r="F24" s="29"/>
      <c r="G24" s="29"/>
      <c r="H24" s="29"/>
      <c r="I24" s="29"/>
      <c r="J24" s="29"/>
      <c r="K24" s="29"/>
      <c r="L24" s="29"/>
      <c r="M24" s="29"/>
      <c r="N24" s="29"/>
      <c r="O24" s="29"/>
      <c r="P24" s="29"/>
      <c r="Q24" s="29"/>
      <c r="R24" s="29"/>
      <c r="S24" s="29"/>
      <c r="T24" s="29"/>
      <c r="U24" s="25"/>
      <c r="W24" s="180" t="s">
        <v>12</v>
      </c>
      <c r="X24" s="179">
        <v>1.9106000000000001E-2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v>
      </c>
      <c r="X25" s="179">
        <v>1.9088000000000001E-2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117</v>
      </c>
      <c r="X26" s="179">
        <v>1.8501E-2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126</v>
      </c>
      <c r="X27" s="62">
        <v>1.8141000000000001E-2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122</v>
      </c>
      <c r="X28" s="62">
        <v>1.7465999999999999E-2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6</v>
      </c>
      <c r="X29" s="62">
        <v>1.6025999999999999E-2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111</v>
      </c>
      <c r="X30" s="62">
        <v>1.5871E-2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107</v>
      </c>
      <c r="X31" s="62">
        <v>1.0413E-2</v>
      </c>
    </row>
    <row r="32" spans="2:24" x14ac:dyDescent="0.25">
      <c r="B32" s="64"/>
      <c r="C32" s="29"/>
      <c r="D32" s="29"/>
      <c r="E32" s="29"/>
      <c r="F32" s="29"/>
      <c r="G32" s="29"/>
      <c r="H32" s="29"/>
      <c r="I32" s="29"/>
      <c r="J32" s="29"/>
      <c r="K32" s="29"/>
      <c r="L32" s="29"/>
      <c r="M32" s="29"/>
      <c r="N32" s="29"/>
      <c r="O32" s="29"/>
      <c r="P32" s="29"/>
      <c r="Q32" s="29"/>
      <c r="R32" s="29"/>
      <c r="S32" s="29"/>
      <c r="T32" s="29"/>
      <c r="U32" s="25"/>
      <c r="W32" s="61" t="s">
        <v>15</v>
      </c>
      <c r="X32" s="62">
        <v>6.9109999999999996E-3</v>
      </c>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2" t="s">
        <v>184</v>
      </c>
      <c r="C39" s="263"/>
      <c r="D39" s="263"/>
      <c r="E39" s="263"/>
      <c r="F39" s="263"/>
      <c r="G39" s="263"/>
      <c r="H39" s="263"/>
      <c r="I39" s="263"/>
      <c r="J39" s="263"/>
      <c r="K39" s="263"/>
      <c r="L39" s="263"/>
      <c r="M39" s="263"/>
      <c r="N39" s="263"/>
      <c r="O39" s="263"/>
      <c r="P39" s="263"/>
      <c r="Q39" s="263"/>
      <c r="R39" s="264"/>
      <c r="W39" s="61"/>
      <c r="X39" s="62"/>
    </row>
    <row r="40" spans="2:24" x14ac:dyDescent="0.25">
      <c r="B40" s="265"/>
      <c r="C40" s="266"/>
      <c r="D40" s="266"/>
      <c r="E40" s="266"/>
      <c r="F40" s="266"/>
      <c r="G40" s="266"/>
      <c r="H40" s="266"/>
      <c r="I40" s="266"/>
      <c r="J40" s="266"/>
      <c r="K40" s="266"/>
      <c r="L40" s="266"/>
      <c r="M40" s="266"/>
      <c r="N40" s="266"/>
      <c r="O40" s="266"/>
      <c r="P40" s="266"/>
      <c r="Q40" s="266"/>
      <c r="R40" s="267"/>
      <c r="W40" s="61"/>
      <c r="X40" s="62"/>
    </row>
    <row r="41" spans="2:24" x14ac:dyDescent="0.25">
      <c r="B41" s="265"/>
      <c r="C41" s="266"/>
      <c r="D41" s="266"/>
      <c r="E41" s="266"/>
      <c r="F41" s="266"/>
      <c r="G41" s="266"/>
      <c r="H41" s="266"/>
      <c r="I41" s="266"/>
      <c r="J41" s="266"/>
      <c r="K41" s="266"/>
      <c r="L41" s="266"/>
      <c r="M41" s="266"/>
      <c r="N41" s="266"/>
      <c r="O41" s="266"/>
      <c r="P41" s="266"/>
      <c r="Q41" s="266"/>
      <c r="R41" s="267"/>
      <c r="W41" s="61"/>
      <c r="X41" s="62"/>
    </row>
    <row r="42" spans="2:24" x14ac:dyDescent="0.25">
      <c r="B42" s="265"/>
      <c r="C42" s="266"/>
      <c r="D42" s="266"/>
      <c r="E42" s="266"/>
      <c r="F42" s="266"/>
      <c r="G42" s="266"/>
      <c r="H42" s="266"/>
      <c r="I42" s="266"/>
      <c r="J42" s="266"/>
      <c r="K42" s="266"/>
      <c r="L42" s="266"/>
      <c r="M42" s="266"/>
      <c r="N42" s="266"/>
      <c r="O42" s="266"/>
      <c r="P42" s="266"/>
      <c r="Q42" s="266"/>
      <c r="R42" s="267"/>
      <c r="W42" s="61"/>
      <c r="X42" s="62"/>
    </row>
    <row r="43" spans="2:24" x14ac:dyDescent="0.25">
      <c r="B43" s="265"/>
      <c r="C43" s="266"/>
      <c r="D43" s="266"/>
      <c r="E43" s="266"/>
      <c r="F43" s="266"/>
      <c r="G43" s="266"/>
      <c r="H43" s="266"/>
      <c r="I43" s="266"/>
      <c r="J43" s="266"/>
      <c r="K43" s="266"/>
      <c r="L43" s="266"/>
      <c r="M43" s="266"/>
      <c r="N43" s="266"/>
      <c r="O43" s="266"/>
      <c r="P43" s="266"/>
      <c r="Q43" s="266"/>
      <c r="R43" s="267"/>
    </row>
    <row r="44" spans="2:24" x14ac:dyDescent="0.25">
      <c r="B44" s="265"/>
      <c r="C44" s="266"/>
      <c r="D44" s="266"/>
      <c r="E44" s="266"/>
      <c r="F44" s="266"/>
      <c r="G44" s="266"/>
      <c r="H44" s="266"/>
      <c r="I44" s="266"/>
      <c r="J44" s="266"/>
      <c r="K44" s="266"/>
      <c r="L44" s="266"/>
      <c r="M44" s="266"/>
      <c r="N44" s="266"/>
      <c r="O44" s="266"/>
      <c r="P44" s="266"/>
      <c r="Q44" s="266"/>
      <c r="R44" s="267"/>
    </row>
    <row r="45" spans="2:24" ht="15.75" thickBot="1" x14ac:dyDescent="0.3">
      <c r="B45" s="268"/>
      <c r="C45" s="269"/>
      <c r="D45" s="269"/>
      <c r="E45" s="269"/>
      <c r="F45" s="269"/>
      <c r="G45" s="269"/>
      <c r="H45" s="269"/>
      <c r="I45" s="269"/>
      <c r="J45" s="269"/>
      <c r="K45" s="269"/>
      <c r="L45" s="269"/>
      <c r="M45" s="269"/>
      <c r="N45" s="269"/>
      <c r="O45" s="269"/>
      <c r="P45" s="269"/>
      <c r="Q45" s="269"/>
      <c r="R45" s="270"/>
    </row>
  </sheetData>
  <mergeCells count="3">
    <mergeCell ref="C3:S3"/>
    <mergeCell ref="D5:E5"/>
    <mergeCell ref="B39:R4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sheetPr codeName="Sheet33"/>
  <dimension ref="A1:X5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1" t="s">
        <v>222</v>
      </c>
      <c r="D3" s="272"/>
      <c r="E3" s="272"/>
      <c r="F3" s="272"/>
      <c r="G3" s="272"/>
      <c r="H3" s="272"/>
      <c r="I3" s="272"/>
      <c r="J3" s="272"/>
      <c r="K3" s="272"/>
      <c r="L3" s="272"/>
      <c r="M3" s="272"/>
      <c r="N3" s="272"/>
      <c r="O3" s="272"/>
      <c r="P3" s="272"/>
      <c r="Q3" s="272"/>
      <c r="R3" s="272"/>
      <c r="S3" s="272"/>
      <c r="T3" s="65"/>
      <c r="U3" s="66"/>
    </row>
    <row r="4" spans="1:24" ht="15.75" x14ac:dyDescent="0.25">
      <c r="B4" s="64"/>
      <c r="C4" s="67" t="s">
        <v>356</v>
      </c>
      <c r="D4" s="29"/>
      <c r="E4" s="29"/>
      <c r="F4" s="29"/>
      <c r="G4" s="29"/>
      <c r="H4" s="29"/>
      <c r="I4" s="29"/>
      <c r="J4" s="29"/>
      <c r="K4" s="29"/>
      <c r="L4" s="29"/>
      <c r="M4" s="29"/>
      <c r="N4" s="29"/>
      <c r="O4" s="29"/>
      <c r="P4" s="29"/>
      <c r="Q4" s="29"/>
      <c r="R4" s="29"/>
      <c r="S4" s="29"/>
      <c r="T4" s="29"/>
      <c r="U4" s="25"/>
    </row>
    <row r="5" spans="1:24" ht="20.25" x14ac:dyDescent="0.25">
      <c r="B5" s="64"/>
      <c r="C5" s="222" t="s">
        <v>357</v>
      </c>
      <c r="D5" s="275" t="s">
        <v>390</v>
      </c>
      <c r="E5" s="27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4" t="s">
        <v>220</v>
      </c>
      <c r="D8" s="195" t="s">
        <v>86</v>
      </c>
      <c r="E8" s="196">
        <v>1.4439E-2</v>
      </c>
      <c r="F8" s="29"/>
      <c r="G8" s="29"/>
      <c r="H8" s="29"/>
      <c r="I8" s="29"/>
      <c r="J8" s="29"/>
      <c r="K8" s="29"/>
      <c r="L8" s="29"/>
      <c r="M8" s="29"/>
      <c r="N8" s="29"/>
      <c r="O8" s="29"/>
      <c r="P8" s="29"/>
      <c r="Q8" s="29"/>
      <c r="R8" s="29"/>
      <c r="S8" s="29"/>
      <c r="T8" s="29"/>
      <c r="U8" s="25"/>
      <c r="W8" s="180" t="s">
        <v>86</v>
      </c>
      <c r="X8" s="240">
        <v>8.5454999999999989E-2</v>
      </c>
    </row>
    <row r="9" spans="1:24" ht="15.75" x14ac:dyDescent="0.25">
      <c r="B9" s="64"/>
      <c r="C9" s="188" t="s">
        <v>254</v>
      </c>
      <c r="D9" s="197" t="s">
        <v>16</v>
      </c>
      <c r="E9" s="198">
        <v>1.3405E-2</v>
      </c>
      <c r="F9" s="29"/>
      <c r="G9" s="29"/>
      <c r="H9" s="29"/>
      <c r="I9" s="29"/>
      <c r="J9" s="29"/>
      <c r="K9" s="29"/>
      <c r="L9" s="29"/>
      <c r="M9" s="29"/>
      <c r="N9" s="29"/>
      <c r="O9" s="29"/>
      <c r="P9" s="29"/>
      <c r="Q9" s="29"/>
      <c r="R9" s="29"/>
      <c r="S9" s="29"/>
      <c r="T9" s="29"/>
      <c r="U9" s="25"/>
      <c r="W9" s="180" t="s">
        <v>4</v>
      </c>
      <c r="X9" s="240">
        <v>7.8839999999999993E-2</v>
      </c>
    </row>
    <row r="10" spans="1:24" ht="15.75" x14ac:dyDescent="0.25">
      <c r="B10" s="64"/>
      <c r="C10" s="188" t="s">
        <v>233</v>
      </c>
      <c r="D10" s="197" t="s">
        <v>16</v>
      </c>
      <c r="E10" s="198">
        <v>1.338E-2</v>
      </c>
      <c r="F10" s="29"/>
      <c r="G10" s="29"/>
      <c r="H10" s="29"/>
      <c r="I10" s="29"/>
      <c r="J10" s="29"/>
      <c r="K10" s="29"/>
      <c r="L10" s="29"/>
      <c r="M10" s="29"/>
      <c r="N10" s="29"/>
      <c r="O10" s="29"/>
      <c r="P10" s="29"/>
      <c r="Q10" s="29"/>
      <c r="R10" s="29"/>
      <c r="S10" s="29"/>
      <c r="T10" s="29"/>
      <c r="U10" s="25"/>
      <c r="W10" s="180" t="s">
        <v>112</v>
      </c>
      <c r="X10" s="240">
        <v>7.6701999999999992E-2</v>
      </c>
    </row>
    <row r="11" spans="1:24" ht="15.75" x14ac:dyDescent="0.25">
      <c r="B11" s="64"/>
      <c r="C11" s="188" t="s">
        <v>225</v>
      </c>
      <c r="D11" s="197" t="s">
        <v>86</v>
      </c>
      <c r="E11" s="198">
        <v>1.2794E-2</v>
      </c>
      <c r="F11" s="29"/>
      <c r="G11" s="29"/>
      <c r="H11" s="29"/>
      <c r="I11" s="29"/>
      <c r="J11" s="29"/>
      <c r="K11" s="29"/>
      <c r="L11" s="29"/>
      <c r="M11" s="29"/>
      <c r="N11" s="29"/>
      <c r="O11" s="29"/>
      <c r="P11" s="29"/>
      <c r="Q11" s="29"/>
      <c r="R11" s="29"/>
      <c r="S11" s="29"/>
      <c r="T11" s="29"/>
      <c r="U11" s="25"/>
      <c r="W11" s="180" t="s">
        <v>16</v>
      </c>
      <c r="X11" s="240">
        <v>6.088699999999999E-2</v>
      </c>
    </row>
    <row r="12" spans="1:24" ht="30" x14ac:dyDescent="0.25">
      <c r="B12" s="64"/>
      <c r="C12" s="188" t="s">
        <v>253</v>
      </c>
      <c r="D12" s="197" t="s">
        <v>112</v>
      </c>
      <c r="E12" s="198">
        <v>1.2612999999999999E-2</v>
      </c>
      <c r="F12" s="29"/>
      <c r="G12" s="29"/>
      <c r="H12" s="29"/>
      <c r="I12" s="29"/>
      <c r="J12" s="29"/>
      <c r="K12" s="29"/>
      <c r="L12" s="29"/>
      <c r="M12" s="29"/>
      <c r="N12" s="29"/>
      <c r="O12" s="29"/>
      <c r="P12" s="29"/>
      <c r="Q12" s="29"/>
      <c r="R12" s="29"/>
      <c r="S12" s="29"/>
      <c r="T12" s="29"/>
      <c r="U12" s="25"/>
      <c r="W12" s="180" t="s">
        <v>24</v>
      </c>
      <c r="X12" s="240">
        <v>5.8585999999999992E-2</v>
      </c>
    </row>
    <row r="13" spans="1:24" ht="15.75" x14ac:dyDescent="0.25">
      <c r="B13" s="64"/>
      <c r="C13" s="188" t="s">
        <v>218</v>
      </c>
      <c r="D13" s="197" t="s">
        <v>86</v>
      </c>
      <c r="E13" s="198">
        <v>1.0539E-2</v>
      </c>
      <c r="F13" s="29"/>
      <c r="G13" s="29"/>
      <c r="H13" s="29"/>
      <c r="I13" s="29"/>
      <c r="J13" s="29"/>
      <c r="K13" s="29"/>
      <c r="L13" s="29"/>
      <c r="M13" s="29"/>
      <c r="N13" s="29"/>
      <c r="O13" s="29"/>
      <c r="P13" s="29"/>
      <c r="Q13" s="29"/>
      <c r="R13" s="29"/>
      <c r="S13" s="29"/>
      <c r="T13" s="29"/>
      <c r="U13" s="25"/>
      <c r="W13" s="180" t="s">
        <v>117</v>
      </c>
      <c r="X13" s="240">
        <v>5.3977000000000004E-2</v>
      </c>
    </row>
    <row r="14" spans="1:24" ht="15.75" x14ac:dyDescent="0.25">
      <c r="B14" s="64"/>
      <c r="C14" s="188" t="s">
        <v>193</v>
      </c>
      <c r="D14" s="197" t="s">
        <v>4</v>
      </c>
      <c r="E14" s="198">
        <v>1.0031E-2</v>
      </c>
      <c r="F14" s="29"/>
      <c r="G14" s="29"/>
      <c r="H14" s="29"/>
      <c r="I14" s="29"/>
      <c r="J14" s="29"/>
      <c r="K14" s="29"/>
      <c r="L14" s="29"/>
      <c r="M14" s="29"/>
      <c r="N14" s="29"/>
      <c r="O14" s="29"/>
      <c r="P14" s="29"/>
      <c r="Q14" s="29"/>
      <c r="R14" s="29"/>
      <c r="S14" s="29"/>
      <c r="T14" s="29"/>
      <c r="U14" s="25"/>
      <c r="W14" s="180" t="s">
        <v>23</v>
      </c>
      <c r="X14" s="240">
        <v>4.9501999999999997E-2</v>
      </c>
    </row>
    <row r="15" spans="1:24" ht="15.75" x14ac:dyDescent="0.25">
      <c r="B15" s="64"/>
      <c r="C15" s="188" t="s">
        <v>344</v>
      </c>
      <c r="D15" s="197" t="s">
        <v>114</v>
      </c>
      <c r="E15" s="198">
        <v>9.7730000000000004E-3</v>
      </c>
      <c r="F15" s="29"/>
      <c r="G15" s="29"/>
      <c r="H15" s="29"/>
      <c r="I15" s="29"/>
      <c r="J15" s="29"/>
      <c r="K15" s="29"/>
      <c r="L15" s="29"/>
      <c r="M15" s="29"/>
      <c r="N15" s="29"/>
      <c r="O15" s="29"/>
      <c r="P15" s="29"/>
      <c r="Q15" s="29"/>
      <c r="R15" s="29"/>
      <c r="S15" s="29"/>
      <c r="T15" s="29"/>
      <c r="U15" s="25"/>
      <c r="W15" s="180" t="s">
        <v>111</v>
      </c>
      <c r="X15" s="240">
        <v>4.0464E-2</v>
      </c>
    </row>
    <row r="16" spans="1:24" ht="15.75" x14ac:dyDescent="0.25">
      <c r="B16" s="64"/>
      <c r="C16" s="188" t="s">
        <v>246</v>
      </c>
      <c r="D16" s="197" t="s">
        <v>15</v>
      </c>
      <c r="E16" s="198">
        <v>9.4400000000000005E-3</v>
      </c>
      <c r="F16" s="29"/>
      <c r="G16" s="29"/>
      <c r="H16" s="29"/>
      <c r="I16" s="29"/>
      <c r="J16" s="29"/>
      <c r="K16" s="29"/>
      <c r="L16" s="29"/>
      <c r="M16" s="29"/>
      <c r="N16" s="29"/>
      <c r="O16" s="29"/>
      <c r="P16" s="29"/>
      <c r="Q16" s="29"/>
      <c r="R16" s="29"/>
      <c r="S16" s="29"/>
      <c r="T16" s="29"/>
      <c r="U16" s="25"/>
      <c r="W16" s="180" t="s">
        <v>108</v>
      </c>
      <c r="X16" s="240">
        <v>3.4474999999999999E-2</v>
      </c>
    </row>
    <row r="17" spans="2:24" ht="15.75" x14ac:dyDescent="0.25">
      <c r="B17" s="64"/>
      <c r="C17" s="188" t="s">
        <v>275</v>
      </c>
      <c r="D17" s="197" t="s">
        <v>111</v>
      </c>
      <c r="E17" s="198">
        <v>8.7539999999999996E-3</v>
      </c>
      <c r="F17" s="29"/>
      <c r="G17" s="29"/>
      <c r="H17" s="29"/>
      <c r="I17" s="29"/>
      <c r="J17" s="29"/>
      <c r="K17" s="29"/>
      <c r="L17" s="29"/>
      <c r="M17" s="29"/>
      <c r="N17" s="29"/>
      <c r="O17" s="29"/>
      <c r="P17" s="29"/>
      <c r="Q17" s="29"/>
      <c r="R17" s="29"/>
      <c r="S17" s="29"/>
      <c r="T17" s="29"/>
      <c r="U17" s="25"/>
      <c r="W17" s="180" t="s">
        <v>3</v>
      </c>
      <c r="X17" s="240">
        <v>3.4187000000000002E-2</v>
      </c>
    </row>
    <row r="18" spans="2:24" ht="15.75" x14ac:dyDescent="0.25">
      <c r="B18" s="64"/>
      <c r="C18" s="188" t="s">
        <v>226</v>
      </c>
      <c r="D18" s="197" t="s">
        <v>3</v>
      </c>
      <c r="E18" s="198">
        <v>8.4320000000000003E-3</v>
      </c>
      <c r="F18" s="29"/>
      <c r="G18" s="29"/>
      <c r="H18" s="29"/>
      <c r="I18" s="29"/>
      <c r="J18" s="29"/>
      <c r="K18" s="29"/>
      <c r="L18" s="29"/>
      <c r="M18" s="29"/>
      <c r="N18" s="29"/>
      <c r="O18" s="29"/>
      <c r="P18" s="29"/>
      <c r="Q18" s="29"/>
      <c r="R18" s="29"/>
      <c r="S18" s="29"/>
      <c r="T18" s="29"/>
      <c r="U18" s="25"/>
      <c r="W18" s="180" t="s">
        <v>114</v>
      </c>
      <c r="X18" s="240">
        <v>2.7904999999999999E-2</v>
      </c>
    </row>
    <row r="19" spans="2:24" ht="15.75" x14ac:dyDescent="0.25">
      <c r="B19" s="64"/>
      <c r="C19" s="188" t="s">
        <v>201</v>
      </c>
      <c r="D19" s="197" t="s">
        <v>120</v>
      </c>
      <c r="E19" s="198">
        <v>8.0569999999999999E-3</v>
      </c>
      <c r="F19" s="29"/>
      <c r="G19" s="29"/>
      <c r="H19" s="29"/>
      <c r="I19" s="29"/>
      <c r="J19" s="29"/>
      <c r="K19" s="29"/>
      <c r="L19" s="29"/>
      <c r="M19" s="29"/>
      <c r="N19" s="29"/>
      <c r="O19" s="29"/>
      <c r="P19" s="29"/>
      <c r="Q19" s="29"/>
      <c r="R19" s="29"/>
      <c r="S19" s="29"/>
      <c r="T19" s="29"/>
      <c r="U19" s="25"/>
      <c r="W19" s="180" t="s">
        <v>138</v>
      </c>
      <c r="X19" s="240">
        <v>2.649E-2</v>
      </c>
    </row>
    <row r="20" spans="2:24" ht="15.75" x14ac:dyDescent="0.25">
      <c r="B20" s="64"/>
      <c r="C20" s="188" t="s">
        <v>345</v>
      </c>
      <c r="D20" s="197" t="s">
        <v>107</v>
      </c>
      <c r="E20" s="198">
        <v>7.986E-3</v>
      </c>
      <c r="F20" s="29"/>
      <c r="G20" s="29"/>
      <c r="H20" s="29"/>
      <c r="I20" s="29"/>
      <c r="J20" s="29"/>
      <c r="K20" s="29"/>
      <c r="L20" s="29"/>
      <c r="M20" s="29"/>
      <c r="N20" s="29"/>
      <c r="O20" s="29"/>
      <c r="P20" s="29"/>
      <c r="Q20" s="29"/>
      <c r="R20" s="29"/>
      <c r="S20" s="29"/>
      <c r="T20" s="29"/>
      <c r="U20" s="25"/>
      <c r="W20" s="180" t="s">
        <v>120</v>
      </c>
      <c r="X20" s="240">
        <v>2.6406000000000002E-2</v>
      </c>
    </row>
    <row r="21" spans="2:24" ht="15.75" x14ac:dyDescent="0.25">
      <c r="B21" s="64"/>
      <c r="C21" s="188" t="s">
        <v>321</v>
      </c>
      <c r="D21" s="197" t="s">
        <v>115</v>
      </c>
      <c r="E21" s="198">
        <v>7.9299999999999995E-3</v>
      </c>
      <c r="F21" s="29"/>
      <c r="G21" s="29"/>
      <c r="H21" s="29"/>
      <c r="I21" s="29"/>
      <c r="J21" s="29"/>
      <c r="K21" s="29"/>
      <c r="L21" s="29"/>
      <c r="M21" s="29"/>
      <c r="N21" s="29"/>
      <c r="O21" s="29"/>
      <c r="P21" s="29"/>
      <c r="Q21" s="29"/>
      <c r="R21" s="29"/>
      <c r="S21" s="29"/>
      <c r="T21" s="29"/>
      <c r="U21" s="25"/>
      <c r="W21" s="180" t="s">
        <v>78</v>
      </c>
      <c r="X21" s="240">
        <v>2.5671000000000003E-2</v>
      </c>
    </row>
    <row r="22" spans="2:24" ht="30" x14ac:dyDescent="0.25">
      <c r="B22" s="64"/>
      <c r="C22" s="188" t="s">
        <v>346</v>
      </c>
      <c r="D22" s="197" t="s">
        <v>117</v>
      </c>
      <c r="E22" s="198">
        <v>7.8969999999999995E-3</v>
      </c>
      <c r="F22" s="29"/>
      <c r="G22" s="29"/>
      <c r="H22" s="29"/>
      <c r="I22" s="29"/>
      <c r="J22" s="29"/>
      <c r="K22" s="29"/>
      <c r="L22" s="29"/>
      <c r="M22" s="29"/>
      <c r="N22" s="29"/>
      <c r="O22" s="29"/>
      <c r="P22" s="29"/>
      <c r="Q22" s="29"/>
      <c r="R22" s="29"/>
      <c r="S22" s="29"/>
      <c r="T22" s="29"/>
      <c r="U22" s="25"/>
      <c r="W22" s="180" t="s">
        <v>85</v>
      </c>
      <c r="X22" s="240">
        <v>2.3809E-2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96</v>
      </c>
      <c r="X23" s="240">
        <v>1.7236000000000001E-2</v>
      </c>
    </row>
    <row r="24" spans="2:24" ht="15.75" x14ac:dyDescent="0.25">
      <c r="B24" s="64"/>
      <c r="C24" s="73" t="s">
        <v>55</v>
      </c>
      <c r="D24" s="74"/>
      <c r="E24" s="75">
        <f>SUM(E8:E22)</f>
        <v>0.15546999999999997</v>
      </c>
      <c r="F24" s="29"/>
      <c r="G24" s="29"/>
      <c r="H24" s="29"/>
      <c r="I24" s="29"/>
      <c r="J24" s="29"/>
      <c r="K24" s="29"/>
      <c r="L24" s="29"/>
      <c r="M24" s="29"/>
      <c r="N24" s="29"/>
      <c r="O24" s="29"/>
      <c r="P24" s="29"/>
      <c r="Q24" s="29"/>
      <c r="R24" s="29"/>
      <c r="S24" s="29"/>
      <c r="T24" s="29"/>
      <c r="U24" s="25"/>
      <c r="W24" s="180" t="s">
        <v>127</v>
      </c>
      <c r="X24" s="240">
        <v>1.6753000000000001E-2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25</v>
      </c>
      <c r="X25" s="240">
        <v>1.6454E-2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119</v>
      </c>
      <c r="X26" s="240">
        <v>1.5162999999999999E-2</v>
      </c>
    </row>
    <row r="27" spans="2:24" x14ac:dyDescent="0.25">
      <c r="B27" s="64"/>
      <c r="C27" s="29"/>
      <c r="D27" s="29"/>
      <c r="E27" s="29"/>
      <c r="F27" s="29"/>
      <c r="G27" s="29"/>
      <c r="H27" s="29"/>
      <c r="I27" s="29"/>
      <c r="J27" s="29"/>
      <c r="K27" s="29"/>
      <c r="L27" s="29"/>
      <c r="M27" s="29"/>
      <c r="N27" s="29"/>
      <c r="O27" s="29"/>
      <c r="P27" s="29"/>
      <c r="Q27" s="29"/>
      <c r="R27" s="29"/>
      <c r="S27" s="29"/>
      <c r="T27" s="29"/>
      <c r="U27" s="25"/>
      <c r="W27" s="180" t="s">
        <v>15</v>
      </c>
      <c r="X27" s="240">
        <v>1.5082999999999999E-2</v>
      </c>
    </row>
    <row r="28" spans="2:24" x14ac:dyDescent="0.25">
      <c r="B28" s="64"/>
      <c r="C28" s="29"/>
      <c r="D28" s="29"/>
      <c r="E28" s="29"/>
      <c r="F28" s="29"/>
      <c r="G28" s="29"/>
      <c r="H28" s="29"/>
      <c r="I28" s="29"/>
      <c r="J28" s="29"/>
      <c r="K28" s="29"/>
      <c r="L28" s="29"/>
      <c r="M28" s="29"/>
      <c r="N28" s="29"/>
      <c r="O28" s="29"/>
      <c r="P28" s="29"/>
      <c r="Q28" s="29"/>
      <c r="R28" s="29"/>
      <c r="S28" s="29"/>
      <c r="T28" s="29"/>
      <c r="U28" s="25"/>
      <c r="W28" s="180" t="s">
        <v>115</v>
      </c>
      <c r="X28" s="240">
        <v>1.2934999999999999E-2</v>
      </c>
    </row>
    <row r="29" spans="2:24" x14ac:dyDescent="0.25">
      <c r="B29" s="64"/>
      <c r="C29" s="29"/>
      <c r="D29" s="29"/>
      <c r="E29" s="29"/>
      <c r="F29" s="29"/>
      <c r="G29" s="29"/>
      <c r="H29" s="29"/>
      <c r="I29" s="29"/>
      <c r="J29" s="29"/>
      <c r="K29" s="29"/>
      <c r="L29" s="29"/>
      <c r="M29" s="29"/>
      <c r="N29" s="29"/>
      <c r="O29" s="29"/>
      <c r="P29" s="29"/>
      <c r="Q29" s="29"/>
      <c r="R29" s="29"/>
      <c r="S29" s="29"/>
      <c r="T29" s="29"/>
      <c r="U29" s="25"/>
      <c r="W29" s="180" t="s">
        <v>84</v>
      </c>
      <c r="X29" s="240">
        <v>1.2892000000000001E-2</v>
      </c>
    </row>
    <row r="30" spans="2:24" x14ac:dyDescent="0.25">
      <c r="B30" s="64"/>
      <c r="C30" s="29"/>
      <c r="D30" s="29"/>
      <c r="E30" s="29"/>
      <c r="F30" s="29"/>
      <c r="G30" s="29"/>
      <c r="H30" s="29"/>
      <c r="I30" s="29"/>
      <c r="J30" s="29"/>
      <c r="K30" s="29"/>
      <c r="L30" s="29"/>
      <c r="M30" s="29"/>
      <c r="N30" s="29"/>
      <c r="O30" s="29"/>
      <c r="P30" s="29"/>
      <c r="Q30" s="29"/>
      <c r="R30" s="29"/>
      <c r="S30" s="29"/>
      <c r="T30" s="29"/>
      <c r="U30" s="25"/>
      <c r="W30" s="180" t="s">
        <v>125</v>
      </c>
      <c r="X30" s="240">
        <v>1.2035000000000001E-2</v>
      </c>
    </row>
    <row r="31" spans="2:24" x14ac:dyDescent="0.25">
      <c r="B31" s="64"/>
      <c r="C31" s="29"/>
      <c r="D31" s="29"/>
      <c r="E31" s="29"/>
      <c r="F31" s="29"/>
      <c r="G31" s="29"/>
      <c r="H31" s="29"/>
      <c r="I31" s="29"/>
      <c r="J31" s="29"/>
      <c r="K31" s="29"/>
      <c r="L31" s="29"/>
      <c r="M31" s="29"/>
      <c r="N31" s="29"/>
      <c r="O31" s="29"/>
      <c r="P31" s="29"/>
      <c r="Q31" s="29"/>
      <c r="R31" s="29"/>
      <c r="S31" s="29"/>
      <c r="T31" s="29"/>
      <c r="U31" s="25"/>
      <c r="W31" s="180" t="s">
        <v>12</v>
      </c>
      <c r="X31" s="240">
        <v>1.1608E-2</v>
      </c>
    </row>
    <row r="32" spans="2:24" x14ac:dyDescent="0.25">
      <c r="B32" s="64"/>
      <c r="C32" s="29"/>
      <c r="D32" s="29"/>
      <c r="E32" s="29"/>
      <c r="F32" s="29"/>
      <c r="G32" s="29"/>
      <c r="H32" s="29"/>
      <c r="I32" s="29"/>
      <c r="J32" s="29"/>
      <c r="K32" s="29"/>
      <c r="L32" s="29"/>
      <c r="M32" s="29"/>
      <c r="N32" s="29"/>
      <c r="O32" s="29"/>
      <c r="P32" s="29"/>
      <c r="Q32" s="29"/>
      <c r="R32" s="29"/>
      <c r="S32" s="29"/>
      <c r="T32" s="29"/>
      <c r="U32" s="25"/>
      <c r="W32" s="180" t="s">
        <v>116</v>
      </c>
      <c r="X32" s="240">
        <v>1.1358999999999999E-2</v>
      </c>
    </row>
    <row r="33" spans="2:24" x14ac:dyDescent="0.25">
      <c r="B33" s="64"/>
      <c r="C33" s="29"/>
      <c r="D33" s="29"/>
      <c r="E33" s="29"/>
      <c r="F33" s="29"/>
      <c r="G33" s="29"/>
      <c r="H33" s="29"/>
      <c r="I33" s="29"/>
      <c r="J33" s="29"/>
      <c r="K33" s="29"/>
      <c r="L33" s="29"/>
      <c r="M33" s="29"/>
      <c r="N33" s="29"/>
      <c r="O33" s="29"/>
      <c r="P33" s="29"/>
      <c r="Q33" s="29"/>
      <c r="R33" s="29"/>
      <c r="S33" s="29"/>
      <c r="T33" s="29"/>
      <c r="U33" s="25"/>
      <c r="W33" s="180" t="s">
        <v>10</v>
      </c>
      <c r="X33" s="240">
        <v>1.0676000000000001E-2</v>
      </c>
    </row>
    <row r="34" spans="2:24" x14ac:dyDescent="0.25">
      <c r="B34" s="64"/>
      <c r="C34" s="29"/>
      <c r="D34" s="29"/>
      <c r="E34" s="29"/>
      <c r="F34" s="29"/>
      <c r="G34" s="29"/>
      <c r="H34" s="29"/>
      <c r="I34" s="29"/>
      <c r="J34" s="29"/>
      <c r="K34" s="29"/>
      <c r="L34" s="29"/>
      <c r="M34" s="29"/>
      <c r="N34" s="29"/>
      <c r="O34" s="29"/>
      <c r="P34" s="29"/>
      <c r="Q34" s="29"/>
      <c r="R34" s="29"/>
      <c r="S34" s="29"/>
      <c r="T34" s="29"/>
      <c r="U34" s="25"/>
      <c r="W34" s="180" t="s">
        <v>123</v>
      </c>
      <c r="X34" s="240">
        <v>8.5129999999999997E-3</v>
      </c>
    </row>
    <row r="35" spans="2:24" x14ac:dyDescent="0.25">
      <c r="B35" s="64"/>
      <c r="C35" s="29"/>
      <c r="D35" s="29"/>
      <c r="E35" s="29"/>
      <c r="F35" s="29"/>
      <c r="G35" s="29"/>
      <c r="H35" s="29"/>
      <c r="I35" s="29"/>
      <c r="J35" s="29"/>
      <c r="K35" s="29"/>
      <c r="L35" s="29"/>
      <c r="M35" s="29"/>
      <c r="N35" s="29"/>
      <c r="O35" s="29"/>
      <c r="P35" s="29"/>
      <c r="Q35" s="29"/>
      <c r="R35" s="29"/>
      <c r="S35" s="29"/>
      <c r="T35" s="29"/>
      <c r="U35" s="25"/>
      <c r="W35" s="180" t="s">
        <v>6</v>
      </c>
      <c r="X35" s="240">
        <v>8.1980000000000004E-3</v>
      </c>
    </row>
    <row r="36" spans="2:24" x14ac:dyDescent="0.25">
      <c r="B36" s="64"/>
      <c r="C36" s="29"/>
      <c r="D36" s="29"/>
      <c r="E36" s="29"/>
      <c r="F36" s="29"/>
      <c r="G36" s="29"/>
      <c r="H36" s="29"/>
      <c r="I36" s="29"/>
      <c r="J36" s="29"/>
      <c r="K36" s="29"/>
      <c r="L36" s="29"/>
      <c r="M36" s="29"/>
      <c r="N36" s="29"/>
      <c r="O36" s="29"/>
      <c r="P36" s="29"/>
      <c r="Q36" s="29"/>
      <c r="R36" s="29"/>
      <c r="S36" s="29"/>
      <c r="T36" s="29"/>
      <c r="U36" s="25"/>
      <c r="W36" s="180" t="s">
        <v>107</v>
      </c>
      <c r="X36" s="240">
        <v>7.986E-3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180" t="s">
        <v>109</v>
      </c>
      <c r="X37" s="240">
        <v>7.8329999999999997E-3</v>
      </c>
    </row>
    <row r="38" spans="2:24" ht="15.75" thickBot="1" x14ac:dyDescent="0.3">
      <c r="W38" s="180" t="s">
        <v>126</v>
      </c>
      <c r="X38" s="240">
        <v>7.4590000000000004E-3</v>
      </c>
    </row>
    <row r="39" spans="2:24" ht="15" customHeight="1" x14ac:dyDescent="0.25">
      <c r="B39" s="262" t="s">
        <v>184</v>
      </c>
      <c r="C39" s="263"/>
      <c r="D39" s="263"/>
      <c r="E39" s="263"/>
      <c r="F39" s="263"/>
      <c r="G39" s="263"/>
      <c r="H39" s="263"/>
      <c r="I39" s="263"/>
      <c r="J39" s="263"/>
      <c r="K39" s="263"/>
      <c r="L39" s="263"/>
      <c r="M39" s="263"/>
      <c r="N39" s="263"/>
      <c r="O39" s="263"/>
      <c r="P39" s="263"/>
      <c r="Q39" s="263"/>
      <c r="R39" s="264"/>
      <c r="W39" s="180" t="s">
        <v>26</v>
      </c>
      <c r="X39" s="240">
        <v>7.1700000000000002E-3</v>
      </c>
    </row>
    <row r="40" spans="2:24" x14ac:dyDescent="0.25">
      <c r="B40" s="265"/>
      <c r="C40" s="266"/>
      <c r="D40" s="266"/>
      <c r="E40" s="266"/>
      <c r="F40" s="266"/>
      <c r="G40" s="266"/>
      <c r="H40" s="266"/>
      <c r="I40" s="266"/>
      <c r="J40" s="266"/>
      <c r="K40" s="266"/>
      <c r="L40" s="266"/>
      <c r="M40" s="266"/>
      <c r="N40" s="266"/>
      <c r="O40" s="266"/>
      <c r="P40" s="266"/>
      <c r="Q40" s="266"/>
      <c r="R40" s="267"/>
      <c r="W40" s="180" t="s">
        <v>128</v>
      </c>
      <c r="X40" s="240">
        <v>6.3879999999999996E-3</v>
      </c>
    </row>
    <row r="41" spans="2:24" x14ac:dyDescent="0.25">
      <c r="B41" s="265"/>
      <c r="C41" s="266"/>
      <c r="D41" s="266"/>
      <c r="E41" s="266"/>
      <c r="F41" s="266"/>
      <c r="G41" s="266"/>
      <c r="H41" s="266"/>
      <c r="I41" s="266"/>
      <c r="J41" s="266"/>
      <c r="K41" s="266"/>
      <c r="L41" s="266"/>
      <c r="M41" s="266"/>
      <c r="N41" s="266"/>
      <c r="O41" s="266"/>
      <c r="P41" s="266"/>
      <c r="Q41" s="266"/>
      <c r="R41" s="267"/>
      <c r="W41" s="180" t="s">
        <v>122</v>
      </c>
      <c r="X41" s="240">
        <v>6.097E-3</v>
      </c>
    </row>
    <row r="42" spans="2:24" x14ac:dyDescent="0.25">
      <c r="B42" s="265"/>
      <c r="C42" s="266"/>
      <c r="D42" s="266"/>
      <c r="E42" s="266"/>
      <c r="F42" s="266"/>
      <c r="G42" s="266"/>
      <c r="H42" s="266"/>
      <c r="I42" s="266"/>
      <c r="J42" s="266"/>
      <c r="K42" s="266"/>
      <c r="L42" s="266"/>
      <c r="M42" s="266"/>
      <c r="N42" s="266"/>
      <c r="O42" s="266"/>
      <c r="P42" s="266"/>
      <c r="Q42" s="266"/>
      <c r="R42" s="267"/>
      <c r="W42" s="180" t="s">
        <v>88</v>
      </c>
      <c r="X42" s="240">
        <v>5.9410000000000001E-3</v>
      </c>
    </row>
    <row r="43" spans="2:24" x14ac:dyDescent="0.25">
      <c r="B43" s="265"/>
      <c r="C43" s="266"/>
      <c r="D43" s="266"/>
      <c r="E43" s="266"/>
      <c r="F43" s="266"/>
      <c r="G43" s="266"/>
      <c r="H43" s="266"/>
      <c r="I43" s="266"/>
      <c r="J43" s="266"/>
      <c r="K43" s="266"/>
      <c r="L43" s="266"/>
      <c r="M43" s="266"/>
      <c r="N43" s="266"/>
      <c r="O43" s="266"/>
      <c r="P43" s="266"/>
      <c r="Q43" s="266"/>
      <c r="R43" s="267"/>
      <c r="W43" s="180" t="s">
        <v>188</v>
      </c>
      <c r="X43" s="240">
        <v>5.8600000000000006E-3</v>
      </c>
    </row>
    <row r="44" spans="2:24" x14ac:dyDescent="0.25">
      <c r="B44" s="265"/>
      <c r="C44" s="266"/>
      <c r="D44" s="266"/>
      <c r="E44" s="266"/>
      <c r="F44" s="266"/>
      <c r="G44" s="266"/>
      <c r="H44" s="266"/>
      <c r="I44" s="266"/>
      <c r="J44" s="266"/>
      <c r="K44" s="266"/>
      <c r="L44" s="266"/>
      <c r="M44" s="266"/>
      <c r="N44" s="266"/>
      <c r="O44" s="266"/>
      <c r="P44" s="266"/>
      <c r="Q44" s="266"/>
      <c r="R44" s="267"/>
      <c r="W44" s="180" t="s">
        <v>223</v>
      </c>
      <c r="X44" s="240">
        <v>5.8040000000000001E-3</v>
      </c>
    </row>
    <row r="45" spans="2:24" ht="15.75" thickBot="1" x14ac:dyDescent="0.3">
      <c r="B45" s="268"/>
      <c r="C45" s="269"/>
      <c r="D45" s="269"/>
      <c r="E45" s="269"/>
      <c r="F45" s="269"/>
      <c r="G45" s="269"/>
      <c r="H45" s="269"/>
      <c r="I45" s="269"/>
      <c r="J45" s="269"/>
      <c r="K45" s="269"/>
      <c r="L45" s="269"/>
      <c r="M45" s="269"/>
      <c r="N45" s="269"/>
      <c r="O45" s="269"/>
      <c r="P45" s="269"/>
      <c r="Q45" s="269"/>
      <c r="R45" s="270"/>
      <c r="W45" s="180" t="s">
        <v>129</v>
      </c>
      <c r="X45" s="240">
        <v>4.7470000000000004E-3</v>
      </c>
    </row>
    <row r="46" spans="2:24" x14ac:dyDescent="0.25">
      <c r="W46" s="180" t="s">
        <v>224</v>
      </c>
      <c r="X46" s="240">
        <v>4.3959999999999997E-3</v>
      </c>
    </row>
    <row r="47" spans="2:24" x14ac:dyDescent="0.25">
      <c r="W47" s="180" t="s">
        <v>124</v>
      </c>
      <c r="X47" s="240">
        <v>3.9820000000000003E-3</v>
      </c>
    </row>
    <row r="48" spans="2:24" x14ac:dyDescent="0.25">
      <c r="W48" s="180" t="s">
        <v>113</v>
      </c>
      <c r="X48" s="240">
        <v>3.3860000000000001E-3</v>
      </c>
    </row>
    <row r="49" spans="23:24" x14ac:dyDescent="0.25">
      <c r="W49" s="180" t="s">
        <v>87</v>
      </c>
      <c r="X49" s="240">
        <v>3.3579999999999999E-3</v>
      </c>
    </row>
    <row r="50" spans="23:24" x14ac:dyDescent="0.25">
      <c r="W50" s="180" t="s">
        <v>11</v>
      </c>
      <c r="X50" s="240">
        <v>3.1120000000000002E-3</v>
      </c>
    </row>
    <row r="51" spans="23:24" x14ac:dyDescent="0.25">
      <c r="W51" s="180" t="s">
        <v>131</v>
      </c>
      <c r="X51" s="240">
        <v>2.9859999999999999E-3</v>
      </c>
    </row>
    <row r="52" spans="23:24" x14ac:dyDescent="0.25">
      <c r="W52" s="180" t="s">
        <v>244</v>
      </c>
      <c r="X52" s="240">
        <v>1.4940000000000001E-3</v>
      </c>
    </row>
    <row r="53" spans="23:24" x14ac:dyDescent="0.25">
      <c r="W53" s="180" t="s">
        <v>147</v>
      </c>
      <c r="X53" s="240">
        <v>1.487E-3</v>
      </c>
    </row>
    <row r="54" spans="23:24" x14ac:dyDescent="0.25">
      <c r="W54" s="180"/>
      <c r="X54" s="240"/>
    </row>
  </sheetData>
  <mergeCells count="3">
    <mergeCell ref="C3:S3"/>
    <mergeCell ref="D5:E5"/>
    <mergeCell ref="B39:R4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F7DA-CB3C-4DA8-B0A0-98418BAD53A4}">
  <sheetPr codeName="Sheet34"/>
  <dimension ref="A1:X63"/>
  <sheetViews>
    <sheetView showGridLines="0" zoomScale="77" zoomScaleNormal="75" workbookViewId="0">
      <selection activeCell="X8" sqref="X8:X61"/>
    </sheetView>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1" t="s">
        <v>294</v>
      </c>
      <c r="D3" s="272"/>
      <c r="E3" s="272"/>
      <c r="F3" s="272"/>
      <c r="G3" s="272"/>
      <c r="H3" s="272"/>
      <c r="I3" s="272"/>
      <c r="J3" s="272"/>
      <c r="K3" s="272"/>
      <c r="L3" s="272"/>
      <c r="M3" s="272"/>
      <c r="N3" s="272"/>
      <c r="O3" s="272"/>
      <c r="P3" s="272"/>
      <c r="Q3" s="272"/>
      <c r="R3" s="272"/>
      <c r="S3" s="272"/>
      <c r="T3" s="65"/>
      <c r="U3" s="66"/>
    </row>
    <row r="4" spans="1:24" ht="15.75" x14ac:dyDescent="0.25">
      <c r="B4" s="64"/>
      <c r="C4" s="67" t="s">
        <v>356</v>
      </c>
      <c r="D4" s="29"/>
      <c r="E4" s="29"/>
      <c r="F4" s="29"/>
      <c r="G4" s="29"/>
      <c r="H4" s="29"/>
      <c r="I4" s="29"/>
      <c r="J4" s="29"/>
      <c r="K4" s="29"/>
      <c r="L4" s="29"/>
      <c r="M4" s="29"/>
      <c r="N4" s="29"/>
      <c r="O4" s="29"/>
      <c r="P4" s="29"/>
      <c r="Q4" s="29"/>
      <c r="R4" s="29"/>
      <c r="S4" s="29"/>
      <c r="T4" s="29"/>
      <c r="U4" s="25"/>
    </row>
    <row r="5" spans="1:24" ht="20.25" x14ac:dyDescent="0.25">
      <c r="B5" s="64"/>
      <c r="C5" s="222" t="s">
        <v>357</v>
      </c>
      <c r="D5" s="275" t="s">
        <v>391</v>
      </c>
      <c r="E5" s="27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4" t="s">
        <v>29</v>
      </c>
      <c r="D8" s="195" t="s">
        <v>3</v>
      </c>
      <c r="E8" s="196">
        <v>6.3842999999999997E-2</v>
      </c>
      <c r="F8" s="29"/>
      <c r="G8" s="29"/>
      <c r="H8" s="29"/>
      <c r="I8" s="29"/>
      <c r="J8" s="29"/>
      <c r="K8" s="29"/>
      <c r="L8" s="29"/>
      <c r="M8" s="29"/>
      <c r="N8" s="29"/>
      <c r="O8" s="29"/>
      <c r="P8" s="29"/>
      <c r="Q8" s="29"/>
      <c r="R8" s="29"/>
      <c r="S8" s="29"/>
      <c r="T8" s="29"/>
      <c r="U8" s="25"/>
      <c r="W8" s="180" t="s">
        <v>3</v>
      </c>
      <c r="X8" s="240">
        <v>0.17945900000000006</v>
      </c>
    </row>
    <row r="9" spans="1:24" ht="15.75" x14ac:dyDescent="0.25">
      <c r="B9" s="64"/>
      <c r="C9" s="188" t="s">
        <v>31</v>
      </c>
      <c r="D9" s="197" t="s">
        <v>6</v>
      </c>
      <c r="E9" s="198">
        <v>4.8661000000000003E-2</v>
      </c>
      <c r="F9" s="29"/>
      <c r="G9" s="29"/>
      <c r="H9" s="29"/>
      <c r="I9" s="29"/>
      <c r="J9" s="29"/>
      <c r="K9" s="29"/>
      <c r="L9" s="29"/>
      <c r="M9" s="29"/>
      <c r="N9" s="29"/>
      <c r="O9" s="29"/>
      <c r="P9" s="29"/>
      <c r="Q9" s="29"/>
      <c r="R9" s="29"/>
      <c r="S9" s="29"/>
      <c r="T9" s="29"/>
      <c r="U9" s="25"/>
      <c r="W9" s="180" t="s">
        <v>108</v>
      </c>
      <c r="X9" s="240">
        <v>8.8847999999999996E-2</v>
      </c>
    </row>
    <row r="10" spans="1:24" ht="15.75" x14ac:dyDescent="0.25">
      <c r="B10" s="64"/>
      <c r="C10" s="188" t="s">
        <v>32</v>
      </c>
      <c r="D10" s="197" t="s">
        <v>3</v>
      </c>
      <c r="E10" s="198">
        <v>4.3580000000000001E-2</v>
      </c>
      <c r="F10" s="29"/>
      <c r="G10" s="29"/>
      <c r="H10" s="29"/>
      <c r="I10" s="29"/>
      <c r="J10" s="29"/>
      <c r="K10" s="29"/>
      <c r="L10" s="29"/>
      <c r="M10" s="29"/>
      <c r="N10" s="29"/>
      <c r="O10" s="29"/>
      <c r="P10" s="29"/>
      <c r="Q10" s="29"/>
      <c r="R10" s="29"/>
      <c r="S10" s="29"/>
      <c r="T10" s="29"/>
      <c r="U10" s="25"/>
      <c r="W10" s="180" t="s">
        <v>4</v>
      </c>
      <c r="X10" s="240">
        <v>5.9466000000000005E-2</v>
      </c>
    </row>
    <row r="11" spans="1:24" ht="15.75" x14ac:dyDescent="0.25">
      <c r="B11" s="64"/>
      <c r="C11" s="188" t="s">
        <v>28</v>
      </c>
      <c r="D11" s="197" t="s">
        <v>108</v>
      </c>
      <c r="E11" s="198">
        <v>3.2800999999999997E-2</v>
      </c>
      <c r="F11" s="29"/>
      <c r="G11" s="29"/>
      <c r="H11" s="29"/>
      <c r="I11" s="29"/>
      <c r="J11" s="29"/>
      <c r="K11" s="29"/>
      <c r="L11" s="29"/>
      <c r="M11" s="29"/>
      <c r="N11" s="29"/>
      <c r="O11" s="29"/>
      <c r="P11" s="29"/>
      <c r="Q11" s="29"/>
      <c r="R11" s="29"/>
      <c r="S11" s="29"/>
      <c r="T11" s="29"/>
      <c r="U11" s="25"/>
      <c r="W11" s="180" t="s">
        <v>6</v>
      </c>
      <c r="X11" s="240">
        <v>5.8589000000000009E-2</v>
      </c>
    </row>
    <row r="12" spans="1:24" ht="15.75" x14ac:dyDescent="0.25">
      <c r="B12" s="64"/>
      <c r="C12" s="188" t="s">
        <v>30</v>
      </c>
      <c r="D12" s="197" t="s">
        <v>118</v>
      </c>
      <c r="E12" s="198">
        <v>2.3421000000000001E-2</v>
      </c>
      <c r="F12" s="29"/>
      <c r="G12" s="29"/>
      <c r="H12" s="29"/>
      <c r="I12" s="29"/>
      <c r="J12" s="29"/>
      <c r="K12" s="29"/>
      <c r="L12" s="29"/>
      <c r="M12" s="29"/>
      <c r="N12" s="29"/>
      <c r="O12" s="29"/>
      <c r="P12" s="29"/>
      <c r="Q12" s="29"/>
      <c r="R12" s="29"/>
      <c r="S12" s="29"/>
      <c r="T12" s="29"/>
      <c r="U12" s="25"/>
      <c r="W12" s="180" t="s">
        <v>113</v>
      </c>
      <c r="X12" s="240">
        <v>4.9338000000000007E-2</v>
      </c>
    </row>
    <row r="13" spans="1:24" ht="15.75" x14ac:dyDescent="0.25">
      <c r="B13" s="64"/>
      <c r="C13" s="188" t="s">
        <v>70</v>
      </c>
      <c r="D13" s="197" t="s">
        <v>12</v>
      </c>
      <c r="E13" s="198">
        <v>2.2266000000000001E-2</v>
      </c>
      <c r="F13" s="29"/>
      <c r="G13" s="29"/>
      <c r="H13" s="29"/>
      <c r="I13" s="29"/>
      <c r="J13" s="29"/>
      <c r="K13" s="29"/>
      <c r="L13" s="29"/>
      <c r="M13" s="29"/>
      <c r="N13" s="29"/>
      <c r="O13" s="29"/>
      <c r="P13" s="29"/>
      <c r="Q13" s="29"/>
      <c r="R13" s="29"/>
      <c r="S13" s="29"/>
      <c r="T13" s="29"/>
      <c r="U13" s="25"/>
      <c r="W13" s="180" t="s">
        <v>112</v>
      </c>
      <c r="X13" s="240">
        <v>4.7589000000000006E-2</v>
      </c>
    </row>
    <row r="14" spans="1:24" ht="15.75" x14ac:dyDescent="0.25">
      <c r="B14" s="64"/>
      <c r="C14" s="188" t="s">
        <v>33</v>
      </c>
      <c r="D14" s="197" t="s">
        <v>108</v>
      </c>
      <c r="E14" s="198">
        <v>2.1196E-2</v>
      </c>
      <c r="F14" s="29"/>
      <c r="G14" s="29"/>
      <c r="H14" s="29"/>
      <c r="I14" s="29"/>
      <c r="J14" s="29"/>
      <c r="K14" s="29"/>
      <c r="L14" s="29"/>
      <c r="M14" s="29"/>
      <c r="N14" s="29"/>
      <c r="O14" s="29"/>
      <c r="P14" s="29"/>
      <c r="Q14" s="29"/>
      <c r="R14" s="29"/>
      <c r="S14" s="29"/>
      <c r="T14" s="29"/>
      <c r="U14" s="25"/>
      <c r="W14" s="180" t="s">
        <v>10</v>
      </c>
      <c r="X14" s="240">
        <v>3.7765000000000007E-2</v>
      </c>
    </row>
    <row r="15" spans="1:24" ht="15.75" x14ac:dyDescent="0.25">
      <c r="B15" s="64"/>
      <c r="C15" s="188" t="s">
        <v>34</v>
      </c>
      <c r="D15" s="197" t="s">
        <v>23</v>
      </c>
      <c r="E15" s="198">
        <v>2.102E-2</v>
      </c>
      <c r="F15" s="29"/>
      <c r="G15" s="29"/>
      <c r="H15" s="29"/>
      <c r="I15" s="29"/>
      <c r="J15" s="29"/>
      <c r="K15" s="29"/>
      <c r="L15" s="29"/>
      <c r="M15" s="29"/>
      <c r="N15" s="29"/>
      <c r="O15" s="29"/>
      <c r="P15" s="29"/>
      <c r="Q15" s="29"/>
      <c r="R15" s="29"/>
      <c r="S15" s="29"/>
      <c r="T15" s="29"/>
      <c r="U15" s="25"/>
      <c r="W15" s="180" t="s">
        <v>118</v>
      </c>
      <c r="X15" s="240">
        <v>3.6334999999999999E-2</v>
      </c>
    </row>
    <row r="16" spans="1:24" ht="15.75" x14ac:dyDescent="0.25">
      <c r="B16" s="64"/>
      <c r="C16" s="188" t="s">
        <v>36</v>
      </c>
      <c r="D16" s="197" t="s">
        <v>3</v>
      </c>
      <c r="E16" s="198">
        <v>1.7065E-2</v>
      </c>
      <c r="F16" s="29"/>
      <c r="G16" s="29"/>
      <c r="H16" s="29"/>
      <c r="I16" s="29"/>
      <c r="J16" s="29"/>
      <c r="K16" s="29"/>
      <c r="L16" s="29"/>
      <c r="M16" s="29"/>
      <c r="N16" s="29"/>
      <c r="O16" s="29"/>
      <c r="P16" s="29"/>
      <c r="Q16" s="29"/>
      <c r="R16" s="29"/>
      <c r="S16" s="29"/>
      <c r="T16" s="29"/>
      <c r="U16" s="25"/>
      <c r="W16" s="180" t="s">
        <v>16</v>
      </c>
      <c r="X16" s="240">
        <v>3.3368000000000002E-2</v>
      </c>
    </row>
    <row r="17" spans="2:24" ht="15.75" x14ac:dyDescent="0.25">
      <c r="B17" s="64"/>
      <c r="C17" s="188" t="s">
        <v>80</v>
      </c>
      <c r="D17" s="197" t="s">
        <v>3</v>
      </c>
      <c r="E17" s="198">
        <v>1.473E-2</v>
      </c>
      <c r="F17" s="29"/>
      <c r="G17" s="29"/>
      <c r="H17" s="29"/>
      <c r="I17" s="29"/>
      <c r="J17" s="29"/>
      <c r="K17" s="29"/>
      <c r="L17" s="29"/>
      <c r="M17" s="29"/>
      <c r="N17" s="29"/>
      <c r="O17" s="29"/>
      <c r="P17" s="29"/>
      <c r="Q17" s="29"/>
      <c r="R17" s="29"/>
      <c r="S17" s="29"/>
      <c r="T17" s="29"/>
      <c r="U17" s="25"/>
      <c r="W17" s="180" t="s">
        <v>23</v>
      </c>
      <c r="X17" s="240">
        <v>3.0054999999999998E-2</v>
      </c>
    </row>
    <row r="18" spans="2:24" ht="15.75" x14ac:dyDescent="0.25">
      <c r="B18" s="64"/>
      <c r="C18" s="188" t="s">
        <v>121</v>
      </c>
      <c r="D18" s="197" t="s">
        <v>113</v>
      </c>
      <c r="E18" s="198">
        <v>1.3398E-2</v>
      </c>
      <c r="F18" s="29"/>
      <c r="G18" s="29"/>
      <c r="H18" s="29"/>
      <c r="I18" s="29"/>
      <c r="J18" s="29"/>
      <c r="K18" s="29"/>
      <c r="L18" s="29"/>
      <c r="M18" s="29"/>
      <c r="N18" s="29"/>
      <c r="O18" s="29"/>
      <c r="P18" s="29"/>
      <c r="Q18" s="29"/>
      <c r="R18" s="29"/>
      <c r="S18" s="29"/>
      <c r="T18" s="29"/>
      <c r="U18" s="25"/>
      <c r="W18" s="180" t="s">
        <v>12</v>
      </c>
      <c r="X18" s="240">
        <v>2.8579E-2</v>
      </c>
    </row>
    <row r="19" spans="2:24" ht="15.75" x14ac:dyDescent="0.25">
      <c r="B19" s="64"/>
      <c r="C19" s="188" t="s">
        <v>35</v>
      </c>
      <c r="D19" s="197" t="s">
        <v>3</v>
      </c>
      <c r="E19" s="198">
        <v>1.3226999999999999E-2</v>
      </c>
      <c r="F19" s="29"/>
      <c r="G19" s="29"/>
      <c r="H19" s="29"/>
      <c r="I19" s="29"/>
      <c r="J19" s="29"/>
      <c r="K19" s="29"/>
      <c r="L19" s="29"/>
      <c r="M19" s="29"/>
      <c r="N19" s="29"/>
      <c r="O19" s="29"/>
      <c r="P19" s="29"/>
      <c r="Q19" s="29"/>
      <c r="R19" s="29"/>
      <c r="S19" s="29"/>
      <c r="T19" s="29"/>
      <c r="U19" s="25"/>
      <c r="W19" s="180" t="s">
        <v>26</v>
      </c>
      <c r="X19" s="240">
        <v>2.7404999999999992E-2</v>
      </c>
    </row>
    <row r="20" spans="2:24" ht="15.75" x14ac:dyDescent="0.25">
      <c r="B20" s="64"/>
      <c r="C20" s="188" t="s">
        <v>37</v>
      </c>
      <c r="D20" s="197" t="s">
        <v>118</v>
      </c>
      <c r="E20" s="198">
        <v>1.2799E-2</v>
      </c>
      <c r="F20" s="29"/>
      <c r="G20" s="29"/>
      <c r="H20" s="29"/>
      <c r="I20" s="29"/>
      <c r="J20" s="29"/>
      <c r="K20" s="29"/>
      <c r="L20" s="29"/>
      <c r="M20" s="29"/>
      <c r="N20" s="29"/>
      <c r="O20" s="29"/>
      <c r="P20" s="29"/>
      <c r="Q20" s="29"/>
      <c r="R20" s="29"/>
      <c r="S20" s="29"/>
      <c r="T20" s="29"/>
      <c r="U20" s="25"/>
      <c r="W20" s="180" t="s">
        <v>111</v>
      </c>
      <c r="X20" s="240">
        <v>2.4204E-2</v>
      </c>
    </row>
    <row r="21" spans="2:24" ht="15.75" x14ac:dyDescent="0.25">
      <c r="B21" s="64"/>
      <c r="C21" s="188" t="s">
        <v>82</v>
      </c>
      <c r="D21" s="197" t="s">
        <v>4</v>
      </c>
      <c r="E21" s="198">
        <v>1.0463999999999999E-2</v>
      </c>
      <c r="F21" s="29"/>
      <c r="G21" s="29"/>
      <c r="H21" s="29"/>
      <c r="I21" s="29"/>
      <c r="J21" s="29"/>
      <c r="K21" s="29"/>
      <c r="L21" s="29"/>
      <c r="M21" s="29"/>
      <c r="N21" s="29"/>
      <c r="O21" s="29"/>
      <c r="P21" s="29"/>
      <c r="Q21" s="29"/>
      <c r="R21" s="29"/>
      <c r="S21" s="29"/>
      <c r="T21" s="29"/>
      <c r="U21" s="25"/>
      <c r="W21" s="180" t="s">
        <v>24</v>
      </c>
      <c r="X21" s="240">
        <v>2.2510999999999996E-2</v>
      </c>
    </row>
    <row r="22" spans="2:24" ht="15.75" x14ac:dyDescent="0.25">
      <c r="B22" s="64"/>
      <c r="C22" s="188" t="s">
        <v>62</v>
      </c>
      <c r="D22" s="197" t="s">
        <v>10</v>
      </c>
      <c r="E22" s="198">
        <v>1.0198E-2</v>
      </c>
      <c r="F22" s="29"/>
      <c r="G22" s="29"/>
      <c r="H22" s="29"/>
      <c r="I22" s="29"/>
      <c r="J22" s="29"/>
      <c r="K22" s="29"/>
      <c r="L22" s="29"/>
      <c r="M22" s="29"/>
      <c r="N22" s="29"/>
      <c r="O22" s="29"/>
      <c r="P22" s="29"/>
      <c r="Q22" s="29"/>
      <c r="R22" s="29"/>
      <c r="S22" s="29"/>
      <c r="T22" s="29"/>
      <c r="U22" s="25"/>
      <c r="W22" s="180" t="s">
        <v>84</v>
      </c>
      <c r="X22" s="240">
        <v>1.9563999999999998E-2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120</v>
      </c>
      <c r="X23" s="240">
        <v>1.9224000000000002E-2</v>
      </c>
    </row>
    <row r="24" spans="2:24" ht="15.75" x14ac:dyDescent="0.25">
      <c r="B24" s="64"/>
      <c r="C24" s="73" t="s">
        <v>55</v>
      </c>
      <c r="D24" s="74"/>
      <c r="E24" s="75">
        <f>SUM(E8:E22)</f>
        <v>0.36866899999999997</v>
      </c>
      <c r="F24" s="29"/>
      <c r="G24" s="29"/>
      <c r="H24" s="29"/>
      <c r="I24" s="29"/>
      <c r="J24" s="29"/>
      <c r="K24" s="29"/>
      <c r="L24" s="29"/>
      <c r="M24" s="29"/>
      <c r="N24" s="29"/>
      <c r="O24" s="29"/>
      <c r="P24" s="29"/>
      <c r="Q24" s="29"/>
      <c r="R24" s="29"/>
      <c r="S24" s="29"/>
      <c r="T24" s="29"/>
      <c r="U24" s="25"/>
      <c r="W24" s="180" t="s">
        <v>11</v>
      </c>
      <c r="X24" s="240">
        <v>1.7314999999999997E-2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117</v>
      </c>
      <c r="X25" s="240">
        <v>1.6806999999999996E-2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87</v>
      </c>
      <c r="X26" s="240">
        <v>1.6050999999999999E-2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114</v>
      </c>
      <c r="X27" s="62">
        <v>1.4023999999999998E-2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86</v>
      </c>
      <c r="X28" s="62">
        <v>1.3998E-2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78</v>
      </c>
      <c r="X29" s="62">
        <v>1.3319999999999999E-2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88</v>
      </c>
      <c r="X30" s="62">
        <v>1.1312999999999998E-2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109</v>
      </c>
      <c r="X31" s="62">
        <v>9.8300000000000002E-3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85</v>
      </c>
      <c r="X32" s="62">
        <v>9.0789999999999985E-3</v>
      </c>
    </row>
    <row r="33" spans="2:24" x14ac:dyDescent="0.25">
      <c r="B33" s="64"/>
      <c r="C33" s="29"/>
      <c r="D33" s="29"/>
      <c r="E33" s="29"/>
      <c r="F33" s="29"/>
      <c r="G33" s="29"/>
      <c r="H33" s="29"/>
      <c r="I33" s="29"/>
      <c r="J33" s="29"/>
      <c r="K33" s="29"/>
      <c r="L33" s="29"/>
      <c r="M33" s="29"/>
      <c r="N33" s="29"/>
      <c r="O33" s="29"/>
      <c r="P33" s="29"/>
      <c r="Q33" s="29"/>
      <c r="R33" s="29"/>
      <c r="S33" s="29"/>
      <c r="T33" s="29"/>
      <c r="U33" s="25"/>
      <c r="W33" s="61" t="s">
        <v>122</v>
      </c>
      <c r="X33" s="62">
        <v>8.9739999999999993E-3</v>
      </c>
    </row>
    <row r="34" spans="2:24" x14ac:dyDescent="0.25">
      <c r="B34" s="64"/>
      <c r="C34" s="29"/>
      <c r="D34" s="29"/>
      <c r="E34" s="29"/>
      <c r="F34" s="29"/>
      <c r="G34" s="29"/>
      <c r="H34" s="29"/>
      <c r="I34" s="29"/>
      <c r="J34" s="29"/>
      <c r="K34" s="29"/>
      <c r="L34" s="29"/>
      <c r="M34" s="29"/>
      <c r="N34" s="29"/>
      <c r="O34" s="29"/>
      <c r="P34" s="29"/>
      <c r="Q34" s="29"/>
      <c r="R34" s="29"/>
      <c r="S34" s="29"/>
      <c r="T34" s="29"/>
      <c r="U34" s="25"/>
      <c r="W34" s="61" t="s">
        <v>25</v>
      </c>
      <c r="X34" s="62">
        <v>8.5640000000000004E-3</v>
      </c>
    </row>
    <row r="35" spans="2:24" x14ac:dyDescent="0.25">
      <c r="B35" s="64"/>
      <c r="C35" s="29"/>
      <c r="D35" s="29"/>
      <c r="E35" s="29"/>
      <c r="F35" s="29"/>
      <c r="G35" s="29"/>
      <c r="H35" s="29"/>
      <c r="I35" s="29"/>
      <c r="J35" s="29"/>
      <c r="K35" s="29"/>
      <c r="L35" s="29"/>
      <c r="M35" s="29"/>
      <c r="N35" s="29"/>
      <c r="O35" s="29"/>
      <c r="P35" s="29"/>
      <c r="Q35" s="29"/>
      <c r="R35" s="29"/>
      <c r="S35" s="29"/>
      <c r="T35" s="29"/>
      <c r="U35" s="25"/>
      <c r="W35" s="61" t="s">
        <v>116</v>
      </c>
      <c r="X35" s="62">
        <v>8.4140000000000013E-3</v>
      </c>
    </row>
    <row r="36" spans="2:24" x14ac:dyDescent="0.25">
      <c r="B36" s="64"/>
      <c r="C36" s="29"/>
      <c r="D36" s="29"/>
      <c r="E36" s="29"/>
      <c r="F36" s="29"/>
      <c r="G36" s="29"/>
      <c r="H36" s="29"/>
      <c r="I36" s="29"/>
      <c r="J36" s="29"/>
      <c r="K36" s="29"/>
      <c r="L36" s="29"/>
      <c r="M36" s="29"/>
      <c r="N36" s="29"/>
      <c r="O36" s="29"/>
      <c r="P36" s="29"/>
      <c r="Q36" s="29"/>
      <c r="R36" s="29"/>
      <c r="S36" s="29"/>
      <c r="T36" s="29"/>
      <c r="U36" s="25"/>
      <c r="W36" s="61" t="s">
        <v>125</v>
      </c>
      <c r="X36" s="62">
        <v>7.757E-3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107</v>
      </c>
      <c r="X37" s="62">
        <v>7.6959999999999997E-3</v>
      </c>
    </row>
    <row r="38" spans="2:24" ht="15.75" thickBot="1" x14ac:dyDescent="0.3">
      <c r="W38" s="61" t="s">
        <v>131</v>
      </c>
      <c r="X38" s="62">
        <v>7.6E-3</v>
      </c>
    </row>
    <row r="39" spans="2:24" ht="15" customHeight="1" x14ac:dyDescent="0.25">
      <c r="B39" s="262" t="s">
        <v>184</v>
      </c>
      <c r="C39" s="263"/>
      <c r="D39" s="263"/>
      <c r="E39" s="263"/>
      <c r="F39" s="263"/>
      <c r="G39" s="263"/>
      <c r="H39" s="263"/>
      <c r="I39" s="263"/>
      <c r="J39" s="263"/>
      <c r="K39" s="263"/>
      <c r="L39" s="263"/>
      <c r="M39" s="263"/>
      <c r="N39" s="263"/>
      <c r="O39" s="263"/>
      <c r="P39" s="263"/>
      <c r="Q39" s="263"/>
      <c r="R39" s="264"/>
      <c r="W39" s="61" t="s">
        <v>15</v>
      </c>
      <c r="X39" s="62">
        <v>7.5669999999999999E-3</v>
      </c>
    </row>
    <row r="40" spans="2:24" x14ac:dyDescent="0.25">
      <c r="B40" s="265"/>
      <c r="C40" s="266"/>
      <c r="D40" s="266"/>
      <c r="E40" s="266"/>
      <c r="F40" s="266"/>
      <c r="G40" s="266"/>
      <c r="H40" s="266"/>
      <c r="I40" s="266"/>
      <c r="J40" s="266"/>
      <c r="K40" s="266"/>
      <c r="L40" s="266"/>
      <c r="M40" s="266"/>
      <c r="N40" s="266"/>
      <c r="O40" s="266"/>
      <c r="P40" s="266"/>
      <c r="Q40" s="266"/>
      <c r="R40" s="267"/>
      <c r="W40" s="61" t="s">
        <v>13</v>
      </c>
      <c r="X40" s="62">
        <v>7.2570000000000004E-3</v>
      </c>
    </row>
    <row r="41" spans="2:24" x14ac:dyDescent="0.25">
      <c r="B41" s="265"/>
      <c r="C41" s="266"/>
      <c r="D41" s="266"/>
      <c r="E41" s="266"/>
      <c r="F41" s="266"/>
      <c r="G41" s="266"/>
      <c r="H41" s="266"/>
      <c r="I41" s="266"/>
      <c r="J41" s="266"/>
      <c r="K41" s="266"/>
      <c r="L41" s="266"/>
      <c r="M41" s="266"/>
      <c r="N41" s="266"/>
      <c r="O41" s="266"/>
      <c r="P41" s="266"/>
      <c r="Q41" s="266"/>
      <c r="R41" s="267"/>
      <c r="W41" s="61" t="s">
        <v>119</v>
      </c>
      <c r="X41" s="62">
        <v>6.9769999999999997E-3</v>
      </c>
    </row>
    <row r="42" spans="2:24" x14ac:dyDescent="0.25">
      <c r="B42" s="265"/>
      <c r="C42" s="266"/>
      <c r="D42" s="266"/>
      <c r="E42" s="266"/>
      <c r="F42" s="266"/>
      <c r="G42" s="266"/>
      <c r="H42" s="266"/>
      <c r="I42" s="266"/>
      <c r="J42" s="266"/>
      <c r="K42" s="266"/>
      <c r="L42" s="266"/>
      <c r="M42" s="266"/>
      <c r="N42" s="266"/>
      <c r="O42" s="266"/>
      <c r="P42" s="266"/>
      <c r="Q42" s="266"/>
      <c r="R42" s="267"/>
      <c r="W42" s="61" t="s">
        <v>138</v>
      </c>
      <c r="X42" s="62">
        <v>6.0029999999999988E-3</v>
      </c>
    </row>
    <row r="43" spans="2:24" x14ac:dyDescent="0.25">
      <c r="B43" s="265"/>
      <c r="C43" s="266"/>
      <c r="D43" s="266"/>
      <c r="E43" s="266"/>
      <c r="F43" s="266"/>
      <c r="G43" s="266"/>
      <c r="H43" s="266"/>
      <c r="I43" s="266"/>
      <c r="J43" s="266"/>
      <c r="K43" s="266"/>
      <c r="L43" s="266"/>
      <c r="M43" s="266"/>
      <c r="N43" s="266"/>
      <c r="O43" s="266"/>
      <c r="P43" s="266"/>
      <c r="Q43" s="266"/>
      <c r="R43" s="267"/>
      <c r="W43" s="61" t="s">
        <v>132</v>
      </c>
      <c r="X43" s="62">
        <v>5.7230000000000007E-3</v>
      </c>
    </row>
    <row r="44" spans="2:24" x14ac:dyDescent="0.25">
      <c r="B44" s="265"/>
      <c r="C44" s="266"/>
      <c r="D44" s="266"/>
      <c r="E44" s="266"/>
      <c r="F44" s="266"/>
      <c r="G44" s="266"/>
      <c r="H44" s="266"/>
      <c r="I44" s="266"/>
      <c r="J44" s="266"/>
      <c r="K44" s="266"/>
      <c r="L44" s="266"/>
      <c r="M44" s="266"/>
      <c r="N44" s="266"/>
      <c r="O44" s="266"/>
      <c r="P44" s="266"/>
      <c r="Q44" s="266"/>
      <c r="R44" s="267"/>
      <c r="W44" s="61" t="s">
        <v>134</v>
      </c>
      <c r="X44" s="62">
        <v>4.2220000000000001E-3</v>
      </c>
    </row>
    <row r="45" spans="2:24" ht="15.75" thickBot="1" x14ac:dyDescent="0.3">
      <c r="B45" s="268"/>
      <c r="C45" s="269"/>
      <c r="D45" s="269"/>
      <c r="E45" s="269"/>
      <c r="F45" s="269"/>
      <c r="G45" s="269"/>
      <c r="H45" s="269"/>
      <c r="I45" s="269"/>
      <c r="J45" s="269"/>
      <c r="K45" s="269"/>
      <c r="L45" s="269"/>
      <c r="M45" s="269"/>
      <c r="N45" s="269"/>
      <c r="O45" s="269"/>
      <c r="P45" s="269"/>
      <c r="Q45" s="269"/>
      <c r="R45" s="270"/>
      <c r="W45" s="61" t="s">
        <v>187</v>
      </c>
      <c r="X45" s="62">
        <v>3.8279999999999998E-3</v>
      </c>
    </row>
    <row r="46" spans="2:24" x14ac:dyDescent="0.25">
      <c r="W46" s="61" t="s">
        <v>133</v>
      </c>
      <c r="X46" s="62">
        <v>3.5890000000000002E-3</v>
      </c>
    </row>
    <row r="47" spans="2:24" x14ac:dyDescent="0.25">
      <c r="W47" s="61" t="s">
        <v>123</v>
      </c>
      <c r="X47" s="62">
        <v>3.4089999999999997E-3</v>
      </c>
    </row>
    <row r="48" spans="2:24" x14ac:dyDescent="0.25">
      <c r="W48" s="61" t="s">
        <v>128</v>
      </c>
      <c r="X48" s="62">
        <v>3.045E-3</v>
      </c>
    </row>
    <row r="49" spans="23:24" x14ac:dyDescent="0.25">
      <c r="W49" s="61" t="s">
        <v>115</v>
      </c>
      <c r="X49" s="62">
        <v>2.9020000000000001E-3</v>
      </c>
    </row>
    <row r="50" spans="23:24" x14ac:dyDescent="0.25">
      <c r="W50" s="61" t="s">
        <v>96</v>
      </c>
      <c r="X50" s="62">
        <v>2.5309999999999998E-3</v>
      </c>
    </row>
    <row r="51" spans="23:24" x14ac:dyDescent="0.25">
      <c r="W51" s="61" t="s">
        <v>127</v>
      </c>
      <c r="X51" s="62">
        <v>2.5010000000000002E-3</v>
      </c>
    </row>
    <row r="52" spans="23:24" x14ac:dyDescent="0.25">
      <c r="W52" s="61" t="s">
        <v>147</v>
      </c>
      <c r="X52" s="62">
        <v>2.075E-3</v>
      </c>
    </row>
    <row r="53" spans="23:24" x14ac:dyDescent="0.25">
      <c r="W53" s="61" t="s">
        <v>124</v>
      </c>
      <c r="X53" s="62">
        <v>1.6459999999999999E-3</v>
      </c>
    </row>
    <row r="54" spans="23:24" x14ac:dyDescent="0.25">
      <c r="W54" s="61" t="s">
        <v>126</v>
      </c>
      <c r="X54" s="62">
        <v>9.7599999999999998E-4</v>
      </c>
    </row>
    <row r="55" spans="23:24" x14ac:dyDescent="0.25">
      <c r="W55" s="61" t="s">
        <v>223</v>
      </c>
      <c r="X55" s="62">
        <v>8.1400000000000005E-4</v>
      </c>
    </row>
    <row r="56" spans="23:24" x14ac:dyDescent="0.25">
      <c r="W56" s="61" t="s">
        <v>303</v>
      </c>
      <c r="X56" s="62">
        <v>7.4400000000000009E-4</v>
      </c>
    </row>
    <row r="57" spans="23:24" x14ac:dyDescent="0.25">
      <c r="W57" s="61" t="s">
        <v>188</v>
      </c>
      <c r="X57" s="62">
        <v>6.5799999999999995E-4</v>
      </c>
    </row>
    <row r="58" spans="23:24" x14ac:dyDescent="0.25">
      <c r="W58" s="61" t="s">
        <v>129</v>
      </c>
      <c r="X58" s="62">
        <v>5.53E-4</v>
      </c>
    </row>
    <row r="59" spans="23:24" x14ac:dyDescent="0.25">
      <c r="W59" s="61" t="s">
        <v>224</v>
      </c>
      <c r="X59" s="62">
        <v>4.2900000000000002E-4</v>
      </c>
    </row>
    <row r="60" spans="23:24" x14ac:dyDescent="0.25">
      <c r="W60" s="61" t="s">
        <v>304</v>
      </c>
      <c r="X60" s="62">
        <v>2.05E-4</v>
      </c>
    </row>
    <row r="61" spans="23:24" x14ac:dyDescent="0.25">
      <c r="W61" s="61" t="s">
        <v>244</v>
      </c>
      <c r="X61" s="62">
        <v>1.73E-4</v>
      </c>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58C3-F00A-40F4-A019-9D4F6A09E004}">
  <sheetPr codeName="Sheet35"/>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10.28515625" style="19" bestFit="1"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1" t="s">
        <v>324</v>
      </c>
      <c r="D3" s="272"/>
      <c r="E3" s="272"/>
      <c r="F3" s="272"/>
      <c r="G3" s="272"/>
      <c r="H3" s="272"/>
      <c r="I3" s="272"/>
      <c r="J3" s="272"/>
      <c r="K3" s="272"/>
      <c r="L3" s="272"/>
      <c r="M3" s="272"/>
      <c r="N3" s="272"/>
      <c r="O3" s="272"/>
      <c r="P3" s="272"/>
      <c r="Q3" s="272"/>
      <c r="R3" s="272"/>
      <c r="S3" s="272"/>
      <c r="T3" s="65"/>
      <c r="U3" s="66"/>
    </row>
    <row r="4" spans="1:24" ht="15.75" x14ac:dyDescent="0.25">
      <c r="B4" s="64"/>
      <c r="C4" s="67" t="s">
        <v>356</v>
      </c>
      <c r="D4" s="29"/>
      <c r="E4" s="29"/>
      <c r="F4" s="29"/>
      <c r="G4" s="29"/>
      <c r="H4" s="29"/>
      <c r="I4" s="29"/>
      <c r="J4" s="29"/>
      <c r="K4" s="29"/>
      <c r="L4" s="29"/>
      <c r="M4" s="29"/>
      <c r="N4" s="29"/>
      <c r="O4" s="29"/>
      <c r="P4" s="29"/>
      <c r="Q4" s="29"/>
      <c r="R4" s="29"/>
      <c r="S4" s="29"/>
      <c r="T4" s="29"/>
      <c r="U4" s="25"/>
    </row>
    <row r="5" spans="1:24" ht="20.25" x14ac:dyDescent="0.25">
      <c r="B5" s="64"/>
      <c r="C5" s="222" t="s">
        <v>357</v>
      </c>
      <c r="D5" s="275" t="s">
        <v>392</v>
      </c>
      <c r="E5" s="27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4" t="s">
        <v>29</v>
      </c>
      <c r="D8" s="195" t="s">
        <v>3</v>
      </c>
      <c r="E8" s="196">
        <v>0.27197300000000002</v>
      </c>
      <c r="F8" s="29"/>
      <c r="G8" s="29"/>
      <c r="H8" s="29"/>
      <c r="I8" s="29"/>
      <c r="J8" s="29"/>
      <c r="K8" s="29"/>
      <c r="L8" s="29"/>
      <c r="M8" s="29"/>
      <c r="N8" s="29"/>
      <c r="O8" s="29"/>
      <c r="P8" s="29"/>
      <c r="Q8" s="29"/>
      <c r="R8" s="29"/>
      <c r="S8" s="29"/>
      <c r="T8" s="29"/>
      <c r="U8" s="25"/>
      <c r="W8" s="180" t="s">
        <v>3</v>
      </c>
      <c r="X8" s="240">
        <v>0.96743199999999996</v>
      </c>
    </row>
    <row r="9" spans="1:24" ht="15.75" x14ac:dyDescent="0.25">
      <c r="B9" s="64"/>
      <c r="C9" s="188" t="s">
        <v>32</v>
      </c>
      <c r="D9" s="197" t="s">
        <v>3</v>
      </c>
      <c r="E9" s="198">
        <v>0.23047899999999999</v>
      </c>
      <c r="F9" s="29"/>
      <c r="G9" s="29"/>
      <c r="H9" s="29"/>
      <c r="I9" s="29"/>
      <c r="J9" s="29"/>
      <c r="K9" s="29"/>
      <c r="L9" s="29"/>
      <c r="M9" s="29"/>
      <c r="N9" s="29"/>
      <c r="O9" s="29"/>
      <c r="P9" s="29"/>
      <c r="Q9" s="29"/>
      <c r="R9" s="29"/>
      <c r="S9" s="29"/>
      <c r="T9" s="29"/>
      <c r="U9" s="25"/>
      <c r="W9" s="180"/>
      <c r="X9" s="240"/>
    </row>
    <row r="10" spans="1:24" ht="15.75" x14ac:dyDescent="0.25">
      <c r="B10" s="64"/>
      <c r="C10" s="188" t="s">
        <v>80</v>
      </c>
      <c r="D10" s="197" t="s">
        <v>3</v>
      </c>
      <c r="E10" s="198">
        <v>9.2309000000000002E-2</v>
      </c>
      <c r="F10" s="29"/>
      <c r="G10" s="29"/>
      <c r="H10" s="29"/>
      <c r="I10" s="29"/>
      <c r="J10" s="29"/>
      <c r="K10" s="29"/>
      <c r="L10" s="29"/>
      <c r="M10" s="29"/>
      <c r="N10" s="29"/>
      <c r="O10" s="29"/>
      <c r="P10" s="29"/>
      <c r="Q10" s="29"/>
      <c r="R10" s="29"/>
      <c r="S10" s="29"/>
      <c r="T10" s="29"/>
      <c r="U10" s="25"/>
      <c r="W10" s="180"/>
      <c r="X10" s="240"/>
    </row>
    <row r="11" spans="1:24" ht="15.75" x14ac:dyDescent="0.25">
      <c r="B11" s="64"/>
      <c r="C11" s="188" t="s">
        <v>35</v>
      </c>
      <c r="D11" s="197" t="s">
        <v>3</v>
      </c>
      <c r="E11" s="198">
        <v>9.0636999999999995E-2</v>
      </c>
      <c r="F11" s="29"/>
      <c r="G11" s="29"/>
      <c r="H11" s="29"/>
      <c r="I11" s="29"/>
      <c r="J11" s="29"/>
      <c r="K11" s="29"/>
      <c r="L11" s="29"/>
      <c r="M11" s="29"/>
      <c r="N11" s="29"/>
      <c r="O11" s="29"/>
      <c r="P11" s="29"/>
      <c r="Q11" s="29"/>
      <c r="R11" s="29"/>
      <c r="S11" s="29"/>
      <c r="T11" s="29"/>
      <c r="U11" s="25"/>
      <c r="W11" s="180"/>
      <c r="X11" s="240"/>
    </row>
    <row r="12" spans="1:24" ht="15.75" x14ac:dyDescent="0.25">
      <c r="B12" s="64"/>
      <c r="C12" s="188" t="s">
        <v>36</v>
      </c>
      <c r="D12" s="197" t="s">
        <v>3</v>
      </c>
      <c r="E12" s="198">
        <v>9.0267E-2</v>
      </c>
      <c r="F12" s="29"/>
      <c r="G12" s="29"/>
      <c r="H12" s="29"/>
      <c r="I12" s="29"/>
      <c r="J12" s="29"/>
      <c r="K12" s="29"/>
      <c r="L12" s="29"/>
      <c r="M12" s="29"/>
      <c r="N12" s="29"/>
      <c r="O12" s="29"/>
      <c r="P12" s="29"/>
      <c r="Q12" s="29"/>
      <c r="R12" s="29"/>
      <c r="S12" s="29"/>
      <c r="T12" s="29"/>
      <c r="U12" s="25"/>
      <c r="W12" s="180"/>
      <c r="X12" s="240"/>
    </row>
    <row r="13" spans="1:24" ht="15.75" x14ac:dyDescent="0.25">
      <c r="B13" s="64"/>
      <c r="C13" s="188" t="s">
        <v>136</v>
      </c>
      <c r="D13" s="197" t="s">
        <v>3</v>
      </c>
      <c r="E13" s="198">
        <v>5.5016000000000002E-2</v>
      </c>
      <c r="F13" s="29"/>
      <c r="G13" s="29"/>
      <c r="H13" s="29"/>
      <c r="I13" s="29"/>
      <c r="J13" s="29"/>
      <c r="K13" s="29"/>
      <c r="L13" s="29"/>
      <c r="M13" s="29"/>
      <c r="N13" s="29"/>
      <c r="O13" s="29"/>
      <c r="P13" s="29"/>
      <c r="Q13" s="29"/>
      <c r="R13" s="29"/>
      <c r="S13" s="29"/>
      <c r="T13" s="29"/>
      <c r="U13" s="25"/>
      <c r="W13" s="180"/>
      <c r="X13" s="240"/>
    </row>
    <row r="14" spans="1:24" ht="15.75" x14ac:dyDescent="0.25">
      <c r="B14" s="64"/>
      <c r="C14" s="188" t="s">
        <v>295</v>
      </c>
      <c r="D14" s="197" t="s">
        <v>3</v>
      </c>
      <c r="E14" s="198">
        <v>2.7674000000000001E-2</v>
      </c>
      <c r="F14" s="29"/>
      <c r="G14" s="29"/>
      <c r="H14" s="29"/>
      <c r="I14" s="29"/>
      <c r="J14" s="29"/>
      <c r="K14" s="29"/>
      <c r="L14" s="29"/>
      <c r="M14" s="29"/>
      <c r="N14" s="29"/>
      <c r="O14" s="29"/>
      <c r="P14" s="29"/>
      <c r="Q14" s="29"/>
      <c r="R14" s="29"/>
      <c r="S14" s="29"/>
      <c r="T14" s="29"/>
      <c r="U14" s="25"/>
      <c r="W14" s="180"/>
      <c r="X14" s="240"/>
    </row>
    <row r="15" spans="1:24" ht="15.75" x14ac:dyDescent="0.25">
      <c r="B15" s="64"/>
      <c r="C15" s="188" t="s">
        <v>322</v>
      </c>
      <c r="D15" s="197" t="s">
        <v>3</v>
      </c>
      <c r="E15" s="198">
        <v>2.6551999999999999E-2</v>
      </c>
      <c r="F15" s="29"/>
      <c r="G15" s="29"/>
      <c r="H15" s="29"/>
      <c r="I15" s="29"/>
      <c r="J15" s="29"/>
      <c r="K15" s="29"/>
      <c r="L15" s="29"/>
      <c r="M15" s="29"/>
      <c r="N15" s="29"/>
      <c r="O15" s="29"/>
      <c r="P15" s="29"/>
      <c r="Q15" s="29"/>
      <c r="R15" s="29"/>
      <c r="S15" s="29"/>
      <c r="T15" s="29"/>
      <c r="U15" s="25"/>
      <c r="W15" s="180"/>
      <c r="X15" s="240"/>
    </row>
    <row r="16" spans="1:24" ht="15.75" x14ac:dyDescent="0.25">
      <c r="B16" s="64"/>
      <c r="C16" s="188" t="s">
        <v>289</v>
      </c>
      <c r="D16" s="197" t="s">
        <v>3</v>
      </c>
      <c r="E16" s="198">
        <v>2.3855000000000001E-2</v>
      </c>
      <c r="F16" s="29"/>
      <c r="G16" s="29"/>
      <c r="H16" s="29"/>
      <c r="I16" s="29"/>
      <c r="J16" s="29"/>
      <c r="K16" s="29"/>
      <c r="L16" s="29"/>
      <c r="M16" s="29"/>
      <c r="N16" s="29"/>
      <c r="O16" s="29"/>
      <c r="P16" s="29"/>
      <c r="Q16" s="29"/>
      <c r="R16" s="29"/>
      <c r="S16" s="29"/>
      <c r="T16" s="29"/>
      <c r="U16" s="25"/>
      <c r="W16" s="180"/>
      <c r="X16" s="240"/>
    </row>
    <row r="17" spans="2:24" ht="15.75" x14ac:dyDescent="0.25">
      <c r="B17" s="64"/>
      <c r="C17" s="188" t="s">
        <v>347</v>
      </c>
      <c r="D17" s="197" t="s">
        <v>3</v>
      </c>
      <c r="E17" s="198">
        <v>2.1129999999999999E-2</v>
      </c>
      <c r="F17" s="29"/>
      <c r="G17" s="29"/>
      <c r="H17" s="29"/>
      <c r="I17" s="29"/>
      <c r="J17" s="29"/>
      <c r="K17" s="29"/>
      <c r="L17" s="29"/>
      <c r="M17" s="29"/>
      <c r="N17" s="29"/>
      <c r="O17" s="29"/>
      <c r="P17" s="29"/>
      <c r="Q17" s="29"/>
      <c r="R17" s="29"/>
      <c r="S17" s="29"/>
      <c r="T17" s="29"/>
      <c r="U17" s="25"/>
      <c r="W17" s="180"/>
      <c r="X17" s="240"/>
    </row>
    <row r="18" spans="2:24" ht="15.75" x14ac:dyDescent="0.25">
      <c r="B18" s="64"/>
      <c r="C18" s="188" t="s">
        <v>323</v>
      </c>
      <c r="D18" s="197" t="s">
        <v>3</v>
      </c>
      <c r="E18" s="198">
        <v>1.9283999999999999E-2</v>
      </c>
      <c r="F18" s="29"/>
      <c r="G18" s="29"/>
      <c r="H18" s="29"/>
      <c r="I18" s="29"/>
      <c r="J18" s="29"/>
      <c r="K18" s="29"/>
      <c r="L18" s="29"/>
      <c r="M18" s="29"/>
      <c r="N18" s="29"/>
      <c r="O18" s="29"/>
      <c r="P18" s="29"/>
      <c r="Q18" s="29"/>
      <c r="R18" s="29"/>
      <c r="S18" s="29"/>
      <c r="T18" s="29"/>
      <c r="U18" s="25"/>
      <c r="W18" s="180"/>
      <c r="X18" s="240"/>
    </row>
    <row r="19" spans="2:24" ht="15.75" x14ac:dyDescent="0.25">
      <c r="B19" s="64"/>
      <c r="C19" s="188" t="s">
        <v>309</v>
      </c>
      <c r="D19" s="197" t="s">
        <v>3</v>
      </c>
      <c r="E19" s="198">
        <v>1.8256000000000001E-2</v>
      </c>
      <c r="F19" s="29"/>
      <c r="G19" s="29"/>
      <c r="H19" s="29"/>
      <c r="I19" s="29"/>
      <c r="J19" s="29"/>
      <c r="K19" s="29"/>
      <c r="L19" s="29"/>
      <c r="M19" s="29"/>
      <c r="N19" s="29"/>
      <c r="O19" s="29"/>
      <c r="P19" s="29"/>
      <c r="Q19" s="29"/>
      <c r="R19" s="29"/>
      <c r="S19" s="29"/>
      <c r="T19" s="29"/>
      <c r="U19" s="25"/>
      <c r="W19" s="180"/>
      <c r="X19" s="240"/>
    </row>
    <row r="20" spans="2:24" ht="15.75" x14ac:dyDescent="0.25">
      <c r="B20" s="64"/>
      <c r="C20" s="73" t="s">
        <v>55</v>
      </c>
      <c r="D20" s="74"/>
      <c r="E20" s="75">
        <f>SUM(E8:E19)</f>
        <v>0.96743199999999985</v>
      </c>
      <c r="F20" s="29"/>
      <c r="G20" s="29"/>
      <c r="H20" s="29"/>
      <c r="I20" s="29"/>
      <c r="J20" s="29"/>
      <c r="K20" s="29"/>
      <c r="L20" s="29"/>
      <c r="M20" s="29"/>
      <c r="N20" s="29"/>
      <c r="O20" s="29"/>
      <c r="P20" s="29"/>
      <c r="Q20" s="29"/>
      <c r="R20" s="29"/>
      <c r="S20" s="29"/>
      <c r="T20" s="29"/>
      <c r="U20" s="25"/>
      <c r="W20" s="180"/>
      <c r="X20" s="240"/>
    </row>
    <row r="21" spans="2:24" x14ac:dyDescent="0.25">
      <c r="B21" s="64"/>
      <c r="C21" s="29"/>
      <c r="D21" s="29"/>
      <c r="E21" s="29"/>
      <c r="F21" s="29"/>
      <c r="G21" s="29"/>
      <c r="H21" s="29"/>
      <c r="I21" s="29"/>
      <c r="J21" s="29"/>
      <c r="K21" s="29"/>
      <c r="L21" s="29"/>
      <c r="M21" s="29"/>
      <c r="N21" s="29"/>
      <c r="O21" s="29"/>
      <c r="P21" s="29"/>
      <c r="Q21" s="29"/>
      <c r="R21" s="29"/>
      <c r="S21" s="29"/>
      <c r="T21" s="29"/>
      <c r="U21" s="25"/>
      <c r="W21" s="180"/>
      <c r="X21" s="240"/>
    </row>
    <row r="22" spans="2:24" x14ac:dyDescent="0.25">
      <c r="B22" s="64"/>
      <c r="C22" s="29"/>
      <c r="D22" s="29"/>
      <c r="E22" s="29"/>
      <c r="F22" s="29"/>
      <c r="G22" s="29"/>
      <c r="H22" s="29"/>
      <c r="I22" s="29"/>
      <c r="J22" s="29"/>
      <c r="K22" s="29"/>
      <c r="L22" s="29"/>
      <c r="M22" s="29"/>
      <c r="N22" s="29"/>
      <c r="O22" s="29"/>
      <c r="P22" s="29"/>
      <c r="Q22" s="29"/>
      <c r="R22" s="29"/>
      <c r="S22" s="29"/>
      <c r="T22" s="29"/>
      <c r="U22" s="25"/>
      <c r="W22" s="180"/>
      <c r="X22" s="240"/>
    </row>
    <row r="23" spans="2:24" x14ac:dyDescent="0.25">
      <c r="B23" s="64"/>
      <c r="C23" s="29"/>
      <c r="D23" s="29"/>
      <c r="E23" s="29"/>
      <c r="F23" s="29"/>
      <c r="G23" s="29"/>
      <c r="H23" s="29"/>
      <c r="I23" s="29"/>
      <c r="J23" s="29"/>
      <c r="K23" s="29"/>
      <c r="L23" s="29"/>
      <c r="M23" s="29"/>
      <c r="N23" s="29"/>
      <c r="O23" s="29"/>
      <c r="P23" s="29"/>
      <c r="Q23" s="29"/>
      <c r="R23" s="29"/>
      <c r="S23" s="29"/>
      <c r="T23" s="29"/>
      <c r="U23" s="25"/>
      <c r="W23" s="180"/>
      <c r="X23" s="240"/>
    </row>
    <row r="24" spans="2:24" x14ac:dyDescent="0.25">
      <c r="B24" s="64"/>
      <c r="C24" s="29"/>
      <c r="D24" s="29"/>
      <c r="E24" s="29"/>
      <c r="F24" s="29"/>
      <c r="G24" s="29"/>
      <c r="H24" s="29"/>
      <c r="I24" s="29"/>
      <c r="J24" s="29"/>
      <c r="K24" s="29"/>
      <c r="L24" s="29"/>
      <c r="M24" s="29"/>
      <c r="N24" s="29"/>
      <c r="O24" s="29"/>
      <c r="P24" s="29"/>
      <c r="Q24" s="29"/>
      <c r="R24" s="29"/>
      <c r="S24" s="29"/>
      <c r="T24" s="29"/>
      <c r="U24" s="25"/>
      <c r="W24" s="180"/>
      <c r="X24" s="240"/>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40"/>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40"/>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2" t="s">
        <v>184</v>
      </c>
      <c r="C39" s="263"/>
      <c r="D39" s="263"/>
      <c r="E39" s="263"/>
      <c r="F39" s="263"/>
      <c r="G39" s="263"/>
      <c r="H39" s="263"/>
      <c r="I39" s="263"/>
      <c r="J39" s="263"/>
      <c r="K39" s="263"/>
      <c r="L39" s="263"/>
      <c r="M39" s="263"/>
      <c r="N39" s="263"/>
      <c r="O39" s="263"/>
      <c r="P39" s="263"/>
      <c r="Q39" s="263"/>
      <c r="R39" s="264"/>
      <c r="W39" s="61"/>
      <c r="X39" s="62"/>
    </row>
    <row r="40" spans="2:24" x14ac:dyDescent="0.25">
      <c r="B40" s="265"/>
      <c r="C40" s="266"/>
      <c r="D40" s="266"/>
      <c r="E40" s="266"/>
      <c r="F40" s="266"/>
      <c r="G40" s="266"/>
      <c r="H40" s="266"/>
      <c r="I40" s="266"/>
      <c r="J40" s="266"/>
      <c r="K40" s="266"/>
      <c r="L40" s="266"/>
      <c r="M40" s="266"/>
      <c r="N40" s="266"/>
      <c r="O40" s="266"/>
      <c r="P40" s="266"/>
      <c r="Q40" s="266"/>
      <c r="R40" s="267"/>
      <c r="W40" s="61"/>
      <c r="X40" s="62"/>
    </row>
    <row r="41" spans="2:24" x14ac:dyDescent="0.25">
      <c r="B41" s="265"/>
      <c r="C41" s="266"/>
      <c r="D41" s="266"/>
      <c r="E41" s="266"/>
      <c r="F41" s="266"/>
      <c r="G41" s="266"/>
      <c r="H41" s="266"/>
      <c r="I41" s="266"/>
      <c r="J41" s="266"/>
      <c r="K41" s="266"/>
      <c r="L41" s="266"/>
      <c r="M41" s="266"/>
      <c r="N41" s="266"/>
      <c r="O41" s="266"/>
      <c r="P41" s="266"/>
      <c r="Q41" s="266"/>
      <c r="R41" s="267"/>
      <c r="W41" s="61"/>
      <c r="X41" s="62"/>
    </row>
    <row r="42" spans="2:24" x14ac:dyDescent="0.25">
      <c r="B42" s="265"/>
      <c r="C42" s="266"/>
      <c r="D42" s="266"/>
      <c r="E42" s="266"/>
      <c r="F42" s="266"/>
      <c r="G42" s="266"/>
      <c r="H42" s="266"/>
      <c r="I42" s="266"/>
      <c r="J42" s="266"/>
      <c r="K42" s="266"/>
      <c r="L42" s="266"/>
      <c r="M42" s="266"/>
      <c r="N42" s="266"/>
      <c r="O42" s="266"/>
      <c r="P42" s="266"/>
      <c r="Q42" s="266"/>
      <c r="R42" s="267"/>
      <c r="W42" s="61"/>
      <c r="X42" s="62"/>
    </row>
    <row r="43" spans="2:24" x14ac:dyDescent="0.25">
      <c r="B43" s="265"/>
      <c r="C43" s="266"/>
      <c r="D43" s="266"/>
      <c r="E43" s="266"/>
      <c r="F43" s="266"/>
      <c r="G43" s="266"/>
      <c r="H43" s="266"/>
      <c r="I43" s="266"/>
      <c r="J43" s="266"/>
      <c r="K43" s="266"/>
      <c r="L43" s="266"/>
      <c r="M43" s="266"/>
      <c r="N43" s="266"/>
      <c r="O43" s="266"/>
      <c r="P43" s="266"/>
      <c r="Q43" s="266"/>
      <c r="R43" s="267"/>
      <c r="W43" s="61"/>
      <c r="X43" s="62"/>
    </row>
    <row r="44" spans="2:24" x14ac:dyDescent="0.25">
      <c r="B44" s="265"/>
      <c r="C44" s="266"/>
      <c r="D44" s="266"/>
      <c r="E44" s="266"/>
      <c r="F44" s="266"/>
      <c r="G44" s="266"/>
      <c r="H44" s="266"/>
      <c r="I44" s="266"/>
      <c r="J44" s="266"/>
      <c r="K44" s="266"/>
      <c r="L44" s="266"/>
      <c r="M44" s="266"/>
      <c r="N44" s="266"/>
      <c r="O44" s="266"/>
      <c r="P44" s="266"/>
      <c r="Q44" s="266"/>
      <c r="R44" s="267"/>
      <c r="W44" s="61"/>
      <c r="X44" s="62"/>
    </row>
    <row r="45" spans="2:24" ht="15.75" thickBot="1" x14ac:dyDescent="0.3">
      <c r="B45" s="268"/>
      <c r="C45" s="269"/>
      <c r="D45" s="269"/>
      <c r="E45" s="269"/>
      <c r="F45" s="269"/>
      <c r="G45" s="269"/>
      <c r="H45" s="269"/>
      <c r="I45" s="269"/>
      <c r="J45" s="269"/>
      <c r="K45" s="269"/>
      <c r="L45" s="269"/>
      <c r="M45" s="269"/>
      <c r="N45" s="269"/>
      <c r="O45" s="269"/>
      <c r="P45" s="269"/>
      <c r="Q45" s="269"/>
      <c r="R45" s="270"/>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083D-7AC6-411B-A750-3BADA1FFB414}">
  <sheetPr codeName="Sheet36"/>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43.28515625" style="19" customWidth="1"/>
    <col min="4" max="4" width="37.140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1" t="s">
        <v>348</v>
      </c>
      <c r="D3" s="272"/>
      <c r="E3" s="272"/>
      <c r="F3" s="272"/>
      <c r="G3" s="272"/>
      <c r="H3" s="272"/>
      <c r="I3" s="272"/>
      <c r="J3" s="272"/>
      <c r="K3" s="272"/>
      <c r="L3" s="272"/>
      <c r="M3" s="272"/>
      <c r="N3" s="272"/>
      <c r="O3" s="272"/>
      <c r="P3" s="272"/>
      <c r="Q3" s="272"/>
      <c r="R3" s="272"/>
      <c r="S3" s="272"/>
      <c r="T3" s="65"/>
      <c r="U3" s="66"/>
    </row>
    <row r="4" spans="1:24" ht="15.75" x14ac:dyDescent="0.25">
      <c r="B4" s="64"/>
      <c r="C4" s="67" t="s">
        <v>356</v>
      </c>
      <c r="D4" s="29"/>
      <c r="E4" s="29"/>
      <c r="F4" s="29"/>
      <c r="G4" s="29"/>
      <c r="H4" s="29"/>
      <c r="I4" s="29"/>
      <c r="J4" s="29"/>
      <c r="K4" s="29"/>
      <c r="L4" s="29"/>
      <c r="M4" s="29"/>
      <c r="N4" s="29"/>
      <c r="O4" s="29"/>
      <c r="P4" s="29"/>
      <c r="Q4" s="29"/>
      <c r="R4" s="29"/>
      <c r="S4" s="29"/>
      <c r="T4" s="29"/>
      <c r="U4" s="25"/>
    </row>
    <row r="5" spans="1:24" ht="20.25" x14ac:dyDescent="0.25">
      <c r="B5" s="64"/>
      <c r="C5" s="222" t="s">
        <v>357</v>
      </c>
      <c r="D5" s="275" t="s">
        <v>393</v>
      </c>
      <c r="E5" s="27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4" t="s">
        <v>277</v>
      </c>
      <c r="D8" s="195" t="s">
        <v>112</v>
      </c>
      <c r="E8" s="196">
        <v>0.159357</v>
      </c>
      <c r="F8" s="29"/>
      <c r="G8" s="29"/>
      <c r="H8" s="29"/>
      <c r="I8" s="29"/>
      <c r="J8" s="29"/>
      <c r="K8" s="29"/>
      <c r="L8" s="29"/>
      <c r="M8" s="29"/>
      <c r="N8" s="29"/>
      <c r="O8" s="29"/>
      <c r="P8" s="29"/>
      <c r="Q8" s="29"/>
      <c r="R8" s="29"/>
      <c r="S8" s="29"/>
      <c r="T8" s="29"/>
      <c r="U8" s="25"/>
      <c r="W8" s="180" t="s">
        <v>112</v>
      </c>
      <c r="X8" s="240">
        <v>0.77342999999999973</v>
      </c>
    </row>
    <row r="9" spans="1:24" ht="15.75" x14ac:dyDescent="0.25">
      <c r="B9" s="64"/>
      <c r="C9" s="188" t="s">
        <v>105</v>
      </c>
      <c r="D9" s="197" t="s">
        <v>112</v>
      </c>
      <c r="E9" s="198">
        <v>7.0627999999999996E-2</v>
      </c>
      <c r="F9" s="29"/>
      <c r="G9" s="29"/>
      <c r="H9" s="29"/>
      <c r="I9" s="29"/>
      <c r="J9" s="29"/>
      <c r="K9" s="29"/>
      <c r="L9" s="29"/>
      <c r="M9" s="29"/>
      <c r="N9" s="29"/>
      <c r="O9" s="29"/>
      <c r="P9" s="29"/>
      <c r="Q9" s="29"/>
      <c r="R9" s="29"/>
      <c r="S9" s="29"/>
      <c r="T9" s="29"/>
      <c r="U9" s="25"/>
      <c r="W9" s="180" t="s">
        <v>78</v>
      </c>
      <c r="X9" s="240">
        <v>0.21859100000000001</v>
      </c>
    </row>
    <row r="10" spans="1:24" ht="15.75" x14ac:dyDescent="0.25">
      <c r="B10" s="64"/>
      <c r="C10" s="188" t="s">
        <v>143</v>
      </c>
      <c r="D10" s="197" t="s">
        <v>112</v>
      </c>
      <c r="E10" s="198">
        <v>6.3053999999999999E-2</v>
      </c>
      <c r="F10" s="29"/>
      <c r="G10" s="29"/>
      <c r="H10" s="29"/>
      <c r="I10" s="29"/>
      <c r="J10" s="29"/>
      <c r="K10" s="29"/>
      <c r="L10" s="29"/>
      <c r="M10" s="29"/>
      <c r="N10" s="29"/>
      <c r="O10" s="29"/>
      <c r="P10" s="29"/>
      <c r="Q10" s="29"/>
      <c r="R10" s="29"/>
      <c r="S10" s="29"/>
      <c r="T10" s="29"/>
      <c r="U10" s="25"/>
      <c r="W10" s="180" t="s">
        <v>224</v>
      </c>
      <c r="X10" s="240">
        <v>6.6410000000000002E-3</v>
      </c>
    </row>
    <row r="11" spans="1:24" ht="15.75" x14ac:dyDescent="0.25">
      <c r="B11" s="64"/>
      <c r="C11" s="188" t="s">
        <v>349</v>
      </c>
      <c r="D11" s="197" t="s">
        <v>78</v>
      </c>
      <c r="E11" s="198">
        <v>5.5777E-2</v>
      </c>
      <c r="F11" s="29"/>
      <c r="G11" s="29"/>
      <c r="H11" s="29"/>
      <c r="I11" s="29"/>
      <c r="J11" s="29"/>
      <c r="K11" s="29"/>
      <c r="L11" s="29"/>
      <c r="M11" s="29"/>
      <c r="N11" s="29"/>
      <c r="O11" s="29"/>
      <c r="P11" s="29"/>
      <c r="Q11" s="29"/>
      <c r="R11" s="29"/>
      <c r="S11" s="29"/>
      <c r="T11" s="29"/>
      <c r="U11" s="25"/>
      <c r="W11" s="180"/>
      <c r="X11" s="240"/>
    </row>
    <row r="12" spans="1:24" ht="15.75" x14ac:dyDescent="0.25">
      <c r="B12" s="64"/>
      <c r="C12" s="188" t="s">
        <v>341</v>
      </c>
      <c r="D12" s="197" t="s">
        <v>78</v>
      </c>
      <c r="E12" s="198">
        <v>5.5481999999999997E-2</v>
      </c>
      <c r="F12" s="29"/>
      <c r="G12" s="29"/>
      <c r="H12" s="29"/>
      <c r="I12" s="29"/>
      <c r="J12" s="29"/>
      <c r="K12" s="29"/>
      <c r="L12" s="29"/>
      <c r="M12" s="29"/>
      <c r="N12" s="29"/>
      <c r="O12" s="29"/>
      <c r="P12" s="29"/>
      <c r="Q12" s="29"/>
      <c r="R12" s="29"/>
      <c r="S12" s="29"/>
      <c r="T12" s="29"/>
      <c r="U12" s="25"/>
      <c r="W12" s="180"/>
      <c r="X12" s="240"/>
    </row>
    <row r="13" spans="1:24" ht="15.75" x14ac:dyDescent="0.25">
      <c r="B13" s="64"/>
      <c r="C13" s="188" t="s">
        <v>350</v>
      </c>
      <c r="D13" s="197" t="s">
        <v>112</v>
      </c>
      <c r="E13" s="198">
        <v>5.3196E-2</v>
      </c>
      <c r="F13" s="29"/>
      <c r="G13" s="29"/>
      <c r="H13" s="29"/>
      <c r="I13" s="29"/>
      <c r="J13" s="29"/>
      <c r="K13" s="29"/>
      <c r="L13" s="29"/>
      <c r="M13" s="29"/>
      <c r="N13" s="29"/>
      <c r="O13" s="29"/>
      <c r="P13" s="29"/>
      <c r="Q13" s="29"/>
      <c r="R13" s="29"/>
      <c r="S13" s="29"/>
      <c r="T13" s="29"/>
      <c r="U13" s="25"/>
      <c r="W13" s="180"/>
      <c r="X13" s="240"/>
    </row>
    <row r="14" spans="1:24" ht="15.75" x14ac:dyDescent="0.25">
      <c r="B14" s="64"/>
      <c r="C14" s="188" t="s">
        <v>351</v>
      </c>
      <c r="D14" s="197" t="s">
        <v>112</v>
      </c>
      <c r="E14" s="198">
        <v>4.0564999999999997E-2</v>
      </c>
      <c r="F14" s="29"/>
      <c r="G14" s="29"/>
      <c r="H14" s="29"/>
      <c r="I14" s="29"/>
      <c r="J14" s="29"/>
      <c r="K14" s="29"/>
      <c r="L14" s="29"/>
      <c r="M14" s="29"/>
      <c r="N14" s="29"/>
      <c r="O14" s="29"/>
      <c r="P14" s="29"/>
      <c r="Q14" s="29"/>
      <c r="R14" s="29"/>
      <c r="S14" s="29"/>
      <c r="T14" s="29"/>
      <c r="U14" s="25"/>
      <c r="W14" s="180"/>
      <c r="X14" s="240"/>
    </row>
    <row r="15" spans="1:24" ht="15.75" x14ac:dyDescent="0.25">
      <c r="B15" s="64"/>
      <c r="C15" s="188" t="s">
        <v>317</v>
      </c>
      <c r="D15" s="197" t="s">
        <v>112</v>
      </c>
      <c r="E15" s="198">
        <v>3.1484999999999999E-2</v>
      </c>
      <c r="F15" s="29"/>
      <c r="G15" s="29"/>
      <c r="H15" s="29"/>
      <c r="I15" s="29"/>
      <c r="J15" s="29"/>
      <c r="K15" s="29"/>
      <c r="L15" s="29"/>
      <c r="M15" s="29"/>
      <c r="N15" s="29"/>
      <c r="O15" s="29"/>
      <c r="P15" s="29"/>
      <c r="Q15" s="29"/>
      <c r="R15" s="29"/>
      <c r="S15" s="29"/>
      <c r="T15" s="29"/>
      <c r="U15" s="25"/>
      <c r="W15" s="180"/>
      <c r="X15" s="240"/>
    </row>
    <row r="16" spans="1:24" ht="15.75" x14ac:dyDescent="0.25">
      <c r="B16" s="64"/>
      <c r="C16" s="188" t="s">
        <v>352</v>
      </c>
      <c r="D16" s="197" t="s">
        <v>78</v>
      </c>
      <c r="E16" s="198">
        <v>2.4542000000000001E-2</v>
      </c>
      <c r="F16" s="29"/>
      <c r="G16" s="29"/>
      <c r="H16" s="29"/>
      <c r="I16" s="29"/>
      <c r="J16" s="29"/>
      <c r="K16" s="29"/>
      <c r="L16" s="29"/>
      <c r="M16" s="29"/>
      <c r="N16" s="29"/>
      <c r="O16" s="29"/>
      <c r="P16" s="29"/>
      <c r="Q16" s="29"/>
      <c r="R16" s="29"/>
      <c r="S16" s="29"/>
      <c r="T16" s="29"/>
      <c r="U16" s="25"/>
      <c r="W16" s="180"/>
      <c r="X16" s="240"/>
    </row>
    <row r="17" spans="2:24" ht="15.75" x14ac:dyDescent="0.25">
      <c r="B17" s="64"/>
      <c r="C17" s="188" t="s">
        <v>285</v>
      </c>
      <c r="D17" s="197" t="s">
        <v>112</v>
      </c>
      <c r="E17" s="198">
        <v>2.4442999999999999E-2</v>
      </c>
      <c r="F17" s="29"/>
      <c r="G17" s="29"/>
      <c r="H17" s="29"/>
      <c r="I17" s="29"/>
      <c r="J17" s="29"/>
      <c r="K17" s="29"/>
      <c r="L17" s="29"/>
      <c r="M17" s="29"/>
      <c r="N17" s="29"/>
      <c r="O17" s="29"/>
      <c r="P17" s="29"/>
      <c r="Q17" s="29"/>
      <c r="R17" s="29"/>
      <c r="S17" s="29"/>
      <c r="T17" s="29"/>
      <c r="U17" s="25"/>
      <c r="W17" s="180"/>
      <c r="X17" s="240"/>
    </row>
    <row r="18" spans="2:24" ht="15.75" x14ac:dyDescent="0.25">
      <c r="B18" s="64"/>
      <c r="C18" s="188" t="s">
        <v>311</v>
      </c>
      <c r="D18" s="197" t="s">
        <v>112</v>
      </c>
      <c r="E18" s="198">
        <v>2.3816E-2</v>
      </c>
      <c r="F18" s="29"/>
      <c r="G18" s="29"/>
      <c r="H18" s="29"/>
      <c r="I18" s="29"/>
      <c r="J18" s="29"/>
      <c r="K18" s="29"/>
      <c r="L18" s="29"/>
      <c r="M18" s="29"/>
      <c r="N18" s="29"/>
      <c r="O18" s="29"/>
      <c r="P18" s="29"/>
      <c r="Q18" s="29"/>
      <c r="R18" s="29"/>
      <c r="S18" s="29"/>
      <c r="T18" s="29"/>
      <c r="U18" s="25"/>
      <c r="W18" s="180"/>
      <c r="X18" s="240"/>
    </row>
    <row r="19" spans="2:24" ht="15.75" x14ac:dyDescent="0.25">
      <c r="B19" s="64"/>
      <c r="C19" s="188" t="s">
        <v>353</v>
      </c>
      <c r="D19" s="197" t="s">
        <v>112</v>
      </c>
      <c r="E19" s="198">
        <v>2.0596E-2</v>
      </c>
      <c r="F19" s="29"/>
      <c r="G19" s="29"/>
      <c r="H19" s="29"/>
      <c r="I19" s="29"/>
      <c r="J19" s="29"/>
      <c r="K19" s="29"/>
      <c r="L19" s="29"/>
      <c r="M19" s="29"/>
      <c r="N19" s="29"/>
      <c r="O19" s="29"/>
      <c r="P19" s="29"/>
      <c r="Q19" s="29"/>
      <c r="R19" s="29"/>
      <c r="S19" s="29"/>
      <c r="T19" s="29"/>
      <c r="U19" s="25"/>
      <c r="W19" s="180"/>
      <c r="X19" s="240"/>
    </row>
    <row r="20" spans="2:24" ht="15.75" x14ac:dyDescent="0.25">
      <c r="B20" s="64"/>
      <c r="C20" s="188" t="s">
        <v>217</v>
      </c>
      <c r="D20" s="197" t="s">
        <v>112</v>
      </c>
      <c r="E20" s="198">
        <v>1.9354E-2</v>
      </c>
      <c r="F20" s="29"/>
      <c r="G20" s="29"/>
      <c r="H20" s="29"/>
      <c r="I20" s="29"/>
      <c r="J20" s="29"/>
      <c r="K20" s="29"/>
      <c r="L20" s="29"/>
      <c r="M20" s="29"/>
      <c r="N20" s="29"/>
      <c r="O20" s="29"/>
      <c r="P20" s="29"/>
      <c r="Q20" s="29"/>
      <c r="R20" s="29"/>
      <c r="S20" s="29"/>
      <c r="T20" s="29"/>
      <c r="U20" s="25"/>
      <c r="W20" s="180"/>
      <c r="X20" s="240"/>
    </row>
    <row r="21" spans="2:24" ht="15.75" x14ac:dyDescent="0.25">
      <c r="B21" s="64"/>
      <c r="C21" s="188" t="s">
        <v>253</v>
      </c>
      <c r="D21" s="197" t="s">
        <v>112</v>
      </c>
      <c r="E21" s="198">
        <v>1.9185000000000001E-2</v>
      </c>
      <c r="F21" s="29"/>
      <c r="G21" s="29"/>
      <c r="H21" s="29"/>
      <c r="I21" s="29"/>
      <c r="J21" s="29"/>
      <c r="K21" s="29"/>
      <c r="L21" s="29"/>
      <c r="M21" s="29"/>
      <c r="N21" s="29"/>
      <c r="O21" s="29"/>
      <c r="P21" s="29"/>
      <c r="Q21" s="29"/>
      <c r="R21" s="29"/>
      <c r="S21" s="29"/>
      <c r="T21" s="29"/>
      <c r="U21" s="25"/>
      <c r="W21" s="180"/>
      <c r="X21" s="240"/>
    </row>
    <row r="22" spans="2:24" ht="15.75" x14ac:dyDescent="0.25">
      <c r="B22" s="64"/>
      <c r="C22" s="188" t="s">
        <v>354</v>
      </c>
      <c r="D22" s="197" t="s">
        <v>112</v>
      </c>
      <c r="E22" s="198">
        <v>1.5422E-2</v>
      </c>
      <c r="F22" s="29"/>
      <c r="G22" s="29"/>
      <c r="H22" s="29"/>
      <c r="I22" s="29"/>
      <c r="J22" s="29"/>
      <c r="K22" s="29"/>
      <c r="L22" s="29"/>
      <c r="M22" s="29"/>
      <c r="N22" s="29"/>
      <c r="O22" s="29"/>
      <c r="P22" s="29"/>
      <c r="Q22" s="29"/>
      <c r="R22" s="29"/>
      <c r="S22" s="29"/>
      <c r="T22" s="29"/>
      <c r="U22" s="25"/>
      <c r="W22" s="180"/>
      <c r="X22" s="240"/>
    </row>
    <row r="23" spans="2:24" x14ac:dyDescent="0.25">
      <c r="B23" s="64"/>
      <c r="C23" s="71"/>
      <c r="D23" s="71"/>
      <c r="E23" s="72"/>
      <c r="F23" s="29"/>
      <c r="G23" s="29"/>
      <c r="H23" s="29"/>
      <c r="I23" s="29"/>
      <c r="J23" s="29"/>
      <c r="K23" s="29"/>
      <c r="L23" s="29"/>
      <c r="M23" s="29"/>
      <c r="N23" s="29"/>
      <c r="O23" s="29"/>
      <c r="P23" s="29"/>
      <c r="Q23" s="29"/>
      <c r="R23" s="29"/>
      <c r="S23" s="29"/>
      <c r="T23" s="29"/>
      <c r="U23" s="25"/>
      <c r="W23" s="180"/>
      <c r="X23" s="240"/>
    </row>
    <row r="24" spans="2:24" ht="15.75" x14ac:dyDescent="0.25">
      <c r="B24" s="64"/>
      <c r="C24" s="73" t="s">
        <v>55</v>
      </c>
      <c r="D24" s="74"/>
      <c r="E24" s="75">
        <f>SUM(E8:E22)</f>
        <v>0.67690199999999989</v>
      </c>
      <c r="F24" s="29"/>
      <c r="G24" s="29"/>
      <c r="H24" s="29"/>
      <c r="I24" s="29"/>
      <c r="J24" s="29"/>
      <c r="K24" s="29"/>
      <c r="L24" s="29"/>
      <c r="M24" s="29"/>
      <c r="N24" s="29"/>
      <c r="O24" s="29"/>
      <c r="P24" s="29"/>
      <c r="Q24" s="29"/>
      <c r="R24" s="29"/>
      <c r="S24" s="29"/>
      <c r="T24" s="29"/>
      <c r="U24" s="25"/>
      <c r="W24" s="180"/>
      <c r="X24" s="240"/>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40"/>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40"/>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62" t="s">
        <v>184</v>
      </c>
      <c r="C39" s="263"/>
      <c r="D39" s="263"/>
      <c r="E39" s="263"/>
      <c r="F39" s="263"/>
      <c r="G39" s="263"/>
      <c r="H39" s="263"/>
      <c r="I39" s="263"/>
      <c r="J39" s="263"/>
      <c r="K39" s="263"/>
      <c r="L39" s="263"/>
      <c r="M39" s="263"/>
      <c r="N39" s="263"/>
      <c r="O39" s="263"/>
      <c r="P39" s="263"/>
      <c r="Q39" s="263"/>
      <c r="R39" s="264"/>
      <c r="W39" s="61"/>
      <c r="X39" s="62"/>
    </row>
    <row r="40" spans="2:24" x14ac:dyDescent="0.25">
      <c r="B40" s="265"/>
      <c r="C40" s="266"/>
      <c r="D40" s="266"/>
      <c r="E40" s="266"/>
      <c r="F40" s="266"/>
      <c r="G40" s="266"/>
      <c r="H40" s="266"/>
      <c r="I40" s="266"/>
      <c r="J40" s="266"/>
      <c r="K40" s="266"/>
      <c r="L40" s="266"/>
      <c r="M40" s="266"/>
      <c r="N40" s="266"/>
      <c r="O40" s="266"/>
      <c r="P40" s="266"/>
      <c r="Q40" s="266"/>
      <c r="R40" s="267"/>
      <c r="W40" s="61"/>
      <c r="X40" s="62"/>
    </row>
    <row r="41" spans="2:24" x14ac:dyDescent="0.25">
      <c r="B41" s="265"/>
      <c r="C41" s="266"/>
      <c r="D41" s="266"/>
      <c r="E41" s="266"/>
      <c r="F41" s="266"/>
      <c r="G41" s="266"/>
      <c r="H41" s="266"/>
      <c r="I41" s="266"/>
      <c r="J41" s="266"/>
      <c r="K41" s="266"/>
      <c r="L41" s="266"/>
      <c r="M41" s="266"/>
      <c r="N41" s="266"/>
      <c r="O41" s="266"/>
      <c r="P41" s="266"/>
      <c r="Q41" s="266"/>
      <c r="R41" s="267"/>
      <c r="W41" s="61"/>
      <c r="X41" s="62"/>
    </row>
    <row r="42" spans="2:24" x14ac:dyDescent="0.25">
      <c r="B42" s="265"/>
      <c r="C42" s="266"/>
      <c r="D42" s="266"/>
      <c r="E42" s="266"/>
      <c r="F42" s="266"/>
      <c r="G42" s="266"/>
      <c r="H42" s="266"/>
      <c r="I42" s="266"/>
      <c r="J42" s="266"/>
      <c r="K42" s="266"/>
      <c r="L42" s="266"/>
      <c r="M42" s="266"/>
      <c r="N42" s="266"/>
      <c r="O42" s="266"/>
      <c r="P42" s="266"/>
      <c r="Q42" s="266"/>
      <c r="R42" s="267"/>
      <c r="W42" s="61"/>
      <c r="X42" s="62"/>
    </row>
    <row r="43" spans="2:24" x14ac:dyDescent="0.25">
      <c r="B43" s="265"/>
      <c r="C43" s="266"/>
      <c r="D43" s="266"/>
      <c r="E43" s="266"/>
      <c r="F43" s="266"/>
      <c r="G43" s="266"/>
      <c r="H43" s="266"/>
      <c r="I43" s="266"/>
      <c r="J43" s="266"/>
      <c r="K43" s="266"/>
      <c r="L43" s="266"/>
      <c r="M43" s="266"/>
      <c r="N43" s="266"/>
      <c r="O43" s="266"/>
      <c r="P43" s="266"/>
      <c r="Q43" s="266"/>
      <c r="R43" s="267"/>
      <c r="W43" s="61"/>
      <c r="X43" s="62"/>
    </row>
    <row r="44" spans="2:24" x14ac:dyDescent="0.25">
      <c r="B44" s="265"/>
      <c r="C44" s="266"/>
      <c r="D44" s="266"/>
      <c r="E44" s="266"/>
      <c r="F44" s="266"/>
      <c r="G44" s="266"/>
      <c r="H44" s="266"/>
      <c r="I44" s="266"/>
      <c r="J44" s="266"/>
      <c r="K44" s="266"/>
      <c r="L44" s="266"/>
      <c r="M44" s="266"/>
      <c r="N44" s="266"/>
      <c r="O44" s="266"/>
      <c r="P44" s="266"/>
      <c r="Q44" s="266"/>
      <c r="R44" s="267"/>
      <c r="W44" s="61"/>
      <c r="X44" s="62"/>
    </row>
    <row r="45" spans="2:24" ht="15.75" thickBot="1" x14ac:dyDescent="0.3">
      <c r="B45" s="268"/>
      <c r="C45" s="269"/>
      <c r="D45" s="269"/>
      <c r="E45" s="269"/>
      <c r="F45" s="269"/>
      <c r="G45" s="269"/>
      <c r="H45" s="269"/>
      <c r="I45" s="269"/>
      <c r="J45" s="269"/>
      <c r="K45" s="269"/>
      <c r="L45" s="269"/>
      <c r="M45" s="269"/>
      <c r="N45" s="269"/>
      <c r="O45" s="269"/>
      <c r="P45" s="269"/>
      <c r="Q45" s="269"/>
      <c r="R45" s="270"/>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DD12-A1E7-4FEE-9AE6-6086814FAD90}">
  <sheetPr codeName="Sheet37"/>
  <dimension ref="A1:X63"/>
  <sheetViews>
    <sheetView showGridLines="0" zoomScale="77" zoomScaleNormal="75" workbookViewId="0">
      <selection activeCell="X8" sqref="X8:X46"/>
    </sheetView>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1" t="s">
        <v>355</v>
      </c>
      <c r="D3" s="272"/>
      <c r="E3" s="272"/>
      <c r="F3" s="272"/>
      <c r="G3" s="272"/>
      <c r="H3" s="272"/>
      <c r="I3" s="272"/>
      <c r="J3" s="272"/>
      <c r="K3" s="272"/>
      <c r="L3" s="272"/>
      <c r="M3" s="272"/>
      <c r="N3" s="272"/>
      <c r="O3" s="272"/>
      <c r="P3" s="272"/>
      <c r="Q3" s="272"/>
      <c r="R3" s="272"/>
      <c r="S3" s="272"/>
      <c r="T3" s="65"/>
      <c r="U3" s="66"/>
    </row>
    <row r="4" spans="1:24" ht="15.75" x14ac:dyDescent="0.25">
      <c r="B4" s="64"/>
      <c r="C4" s="67" t="s">
        <v>356</v>
      </c>
      <c r="D4" s="29"/>
      <c r="E4" s="29"/>
      <c r="F4" s="29"/>
      <c r="G4" s="29"/>
      <c r="H4" s="29"/>
      <c r="I4" s="29"/>
      <c r="J4" s="29"/>
      <c r="K4" s="29"/>
      <c r="L4" s="29"/>
      <c r="M4" s="29"/>
      <c r="N4" s="29"/>
      <c r="O4" s="29"/>
      <c r="P4" s="29"/>
      <c r="Q4" s="29"/>
      <c r="R4" s="29"/>
      <c r="S4" s="29"/>
      <c r="T4" s="29"/>
      <c r="U4" s="25"/>
    </row>
    <row r="5" spans="1:24" ht="20.25" x14ac:dyDescent="0.25">
      <c r="B5" s="64"/>
      <c r="C5" s="222" t="s">
        <v>357</v>
      </c>
      <c r="D5" s="275" t="s">
        <v>394</v>
      </c>
      <c r="E5" s="275"/>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4" t="s">
        <v>257</v>
      </c>
      <c r="D8" s="195" t="s">
        <v>120</v>
      </c>
      <c r="E8" s="196">
        <v>2.6726E-2</v>
      </c>
      <c r="F8" s="29"/>
      <c r="G8" s="29"/>
      <c r="H8" s="29"/>
      <c r="I8" s="29"/>
      <c r="J8" s="29"/>
      <c r="K8" s="29"/>
      <c r="L8" s="29"/>
      <c r="M8" s="29"/>
      <c r="N8" s="29"/>
      <c r="O8" s="29"/>
      <c r="P8" s="29"/>
      <c r="Q8" s="29"/>
      <c r="R8" s="29"/>
      <c r="S8" s="29"/>
      <c r="T8" s="29"/>
      <c r="U8" s="25"/>
      <c r="W8" s="180" t="s">
        <v>111</v>
      </c>
      <c r="X8" s="240">
        <v>8.2252000000000006E-2</v>
      </c>
    </row>
    <row r="9" spans="1:24" ht="15.75" x14ac:dyDescent="0.25">
      <c r="B9" s="64"/>
      <c r="C9" s="188" t="s">
        <v>349</v>
      </c>
      <c r="D9" s="197" t="s">
        <v>78</v>
      </c>
      <c r="E9" s="198">
        <v>2.0601000000000001E-2</v>
      </c>
      <c r="F9" s="29"/>
      <c r="G9" s="29"/>
      <c r="H9" s="29"/>
      <c r="I9" s="29"/>
      <c r="J9" s="29"/>
      <c r="K9" s="29"/>
      <c r="L9" s="29"/>
      <c r="M9" s="29"/>
      <c r="N9" s="29"/>
      <c r="O9" s="29"/>
      <c r="P9" s="29"/>
      <c r="Q9" s="29"/>
      <c r="R9" s="29"/>
      <c r="S9" s="29"/>
      <c r="T9" s="29"/>
      <c r="U9" s="25"/>
      <c r="W9" s="180" t="s">
        <v>24</v>
      </c>
      <c r="X9" s="240">
        <v>7.5184000000000001E-2</v>
      </c>
    </row>
    <row r="10" spans="1:24" ht="15.75" x14ac:dyDescent="0.25">
      <c r="B10" s="64"/>
      <c r="C10" s="188" t="s">
        <v>95</v>
      </c>
      <c r="D10" s="197" t="s">
        <v>85</v>
      </c>
      <c r="E10" s="198">
        <v>1.6889999999999999E-2</v>
      </c>
      <c r="F10" s="29"/>
      <c r="G10" s="29"/>
      <c r="H10" s="29"/>
      <c r="I10" s="29"/>
      <c r="J10" s="29"/>
      <c r="K10" s="29"/>
      <c r="L10" s="29"/>
      <c r="M10" s="29"/>
      <c r="N10" s="29"/>
      <c r="O10" s="29"/>
      <c r="P10" s="29"/>
      <c r="Q10" s="29"/>
      <c r="R10" s="29"/>
      <c r="S10" s="29"/>
      <c r="T10" s="29"/>
      <c r="U10" s="25"/>
      <c r="W10" s="180" t="s">
        <v>112</v>
      </c>
      <c r="X10" s="240">
        <v>6.7566000000000015E-2</v>
      </c>
    </row>
    <row r="11" spans="1:24" ht="15.75" x14ac:dyDescent="0.25">
      <c r="B11" s="64"/>
      <c r="C11" s="188" t="s">
        <v>192</v>
      </c>
      <c r="D11" s="197" t="s">
        <v>108</v>
      </c>
      <c r="E11" s="198">
        <v>1.6285000000000001E-2</v>
      </c>
      <c r="F11" s="29"/>
      <c r="G11" s="29"/>
      <c r="H11" s="29"/>
      <c r="I11" s="29"/>
      <c r="J11" s="29"/>
      <c r="K11" s="29"/>
      <c r="L11" s="29"/>
      <c r="M11" s="29"/>
      <c r="N11" s="29"/>
      <c r="O11" s="29"/>
      <c r="P11" s="29"/>
      <c r="Q11" s="29"/>
      <c r="R11" s="29"/>
      <c r="S11" s="29"/>
      <c r="T11" s="29"/>
      <c r="U11" s="25"/>
      <c r="W11" s="180" t="s">
        <v>3</v>
      </c>
      <c r="X11" s="240">
        <v>6.4285000000000009E-2</v>
      </c>
    </row>
    <row r="12" spans="1:24" ht="15.75" x14ac:dyDescent="0.25">
      <c r="B12" s="64"/>
      <c r="C12" s="188" t="s">
        <v>351</v>
      </c>
      <c r="D12" s="197" t="s">
        <v>112</v>
      </c>
      <c r="E12" s="198">
        <v>1.4864E-2</v>
      </c>
      <c r="F12" s="29"/>
      <c r="G12" s="29"/>
      <c r="H12" s="29"/>
      <c r="I12" s="29"/>
      <c r="J12" s="29"/>
      <c r="K12" s="29"/>
      <c r="L12" s="29"/>
      <c r="M12" s="29"/>
      <c r="N12" s="29"/>
      <c r="O12" s="29"/>
      <c r="P12" s="29"/>
      <c r="Q12" s="29"/>
      <c r="R12" s="29"/>
      <c r="S12" s="29"/>
      <c r="T12" s="29"/>
      <c r="U12" s="25"/>
      <c r="W12" s="180" t="s">
        <v>108</v>
      </c>
      <c r="X12" s="240">
        <v>6.1504000000000003E-2</v>
      </c>
    </row>
    <row r="13" spans="1:24" ht="15.75" x14ac:dyDescent="0.25">
      <c r="B13" s="64"/>
      <c r="C13" s="188" t="s">
        <v>247</v>
      </c>
      <c r="D13" s="197" t="s">
        <v>16</v>
      </c>
      <c r="E13" s="198">
        <v>1.4670000000000001E-2</v>
      </c>
      <c r="F13" s="29"/>
      <c r="G13" s="29"/>
      <c r="H13" s="29"/>
      <c r="I13" s="29"/>
      <c r="J13" s="29"/>
      <c r="K13" s="29"/>
      <c r="L13" s="29"/>
      <c r="M13" s="29"/>
      <c r="N13" s="29"/>
      <c r="O13" s="29"/>
      <c r="P13" s="29"/>
      <c r="Q13" s="29"/>
      <c r="R13" s="29"/>
      <c r="S13" s="29"/>
      <c r="T13" s="29"/>
      <c r="U13" s="25"/>
      <c r="W13" s="180" t="s">
        <v>4</v>
      </c>
      <c r="X13" s="240">
        <v>5.9494999999999999E-2</v>
      </c>
    </row>
    <row r="14" spans="1:24" ht="15.75" x14ac:dyDescent="0.25">
      <c r="B14" s="64"/>
      <c r="C14" s="188" t="s">
        <v>140</v>
      </c>
      <c r="D14" s="197" t="s">
        <v>24</v>
      </c>
      <c r="E14" s="198">
        <v>1.4508999999999999E-2</v>
      </c>
      <c r="F14" s="29"/>
      <c r="G14" s="29"/>
      <c r="H14" s="29"/>
      <c r="I14" s="29"/>
      <c r="J14" s="29"/>
      <c r="K14" s="29"/>
      <c r="L14" s="29"/>
      <c r="M14" s="29"/>
      <c r="N14" s="29"/>
      <c r="O14" s="29"/>
      <c r="P14" s="29"/>
      <c r="Q14" s="29"/>
      <c r="R14" s="29"/>
      <c r="S14" s="29"/>
      <c r="T14" s="29"/>
      <c r="U14" s="25"/>
      <c r="W14" s="180" t="s">
        <v>120</v>
      </c>
      <c r="X14" s="240">
        <v>5.0189000000000004E-2</v>
      </c>
    </row>
    <row r="15" spans="1:24" ht="15.75" x14ac:dyDescent="0.25">
      <c r="B15" s="64"/>
      <c r="C15" s="188" t="s">
        <v>232</v>
      </c>
      <c r="D15" s="197" t="s">
        <v>187</v>
      </c>
      <c r="E15" s="198">
        <v>1.4459E-2</v>
      </c>
      <c r="F15" s="29"/>
      <c r="G15" s="29"/>
      <c r="H15" s="29"/>
      <c r="I15" s="29"/>
      <c r="J15" s="29"/>
      <c r="K15" s="29"/>
      <c r="L15" s="29"/>
      <c r="M15" s="29"/>
      <c r="N15" s="29"/>
      <c r="O15" s="29"/>
      <c r="P15" s="29"/>
      <c r="Q15" s="29"/>
      <c r="R15" s="29"/>
      <c r="S15" s="29"/>
      <c r="T15" s="29"/>
      <c r="U15" s="25"/>
      <c r="W15" s="180" t="s">
        <v>16</v>
      </c>
      <c r="X15" s="240">
        <v>3.8918000000000001E-2</v>
      </c>
    </row>
    <row r="16" spans="1:24" ht="15.75" x14ac:dyDescent="0.25">
      <c r="B16" s="64"/>
      <c r="C16" s="188" t="s">
        <v>256</v>
      </c>
      <c r="D16" s="197" t="s">
        <v>86</v>
      </c>
      <c r="E16" s="198">
        <v>1.4045999999999999E-2</v>
      </c>
      <c r="F16" s="29"/>
      <c r="G16" s="29"/>
      <c r="H16" s="29"/>
      <c r="I16" s="29"/>
      <c r="J16" s="29"/>
      <c r="K16" s="29"/>
      <c r="L16" s="29"/>
      <c r="M16" s="29"/>
      <c r="N16" s="29"/>
      <c r="O16" s="29"/>
      <c r="P16" s="29"/>
      <c r="Q16" s="29"/>
      <c r="R16" s="29"/>
      <c r="S16" s="29"/>
      <c r="T16" s="29"/>
      <c r="U16" s="25"/>
      <c r="W16" s="180" t="s">
        <v>117</v>
      </c>
      <c r="X16" s="240">
        <v>3.8381999999999999E-2</v>
      </c>
    </row>
    <row r="17" spans="2:24" ht="15.75" x14ac:dyDescent="0.25">
      <c r="B17" s="64"/>
      <c r="C17" s="188" t="s">
        <v>281</v>
      </c>
      <c r="D17" s="197" t="s">
        <v>12</v>
      </c>
      <c r="E17" s="198">
        <v>1.3750999999999999E-2</v>
      </c>
      <c r="F17" s="29"/>
      <c r="G17" s="29"/>
      <c r="H17" s="29"/>
      <c r="I17" s="29"/>
      <c r="J17" s="29"/>
      <c r="K17" s="29"/>
      <c r="L17" s="29"/>
      <c r="M17" s="29"/>
      <c r="N17" s="29"/>
      <c r="O17" s="29"/>
      <c r="P17" s="29"/>
      <c r="Q17" s="29"/>
      <c r="R17" s="29"/>
      <c r="S17" s="29"/>
      <c r="T17" s="29"/>
      <c r="U17" s="25"/>
      <c r="W17" s="180" t="s">
        <v>78</v>
      </c>
      <c r="X17" s="240">
        <v>3.6613E-2</v>
      </c>
    </row>
    <row r="18" spans="2:24" ht="15.75" x14ac:dyDescent="0.25">
      <c r="B18" s="64"/>
      <c r="C18" s="188" t="s">
        <v>300</v>
      </c>
      <c r="D18" s="197" t="s">
        <v>122</v>
      </c>
      <c r="E18" s="198">
        <v>1.3657000000000001E-2</v>
      </c>
      <c r="F18" s="29"/>
      <c r="G18" s="29"/>
      <c r="H18" s="29"/>
      <c r="I18" s="29"/>
      <c r="J18" s="29"/>
      <c r="K18" s="29"/>
      <c r="L18" s="29"/>
      <c r="M18" s="29"/>
      <c r="N18" s="29"/>
      <c r="O18" s="29"/>
      <c r="P18" s="29"/>
      <c r="Q18" s="29"/>
      <c r="R18" s="29"/>
      <c r="S18" s="29"/>
      <c r="T18" s="29"/>
      <c r="U18" s="25"/>
      <c r="W18" s="180" t="s">
        <v>114</v>
      </c>
      <c r="X18" s="240">
        <v>3.4975999999999993E-2</v>
      </c>
    </row>
    <row r="19" spans="2:24" ht="15.75" x14ac:dyDescent="0.25">
      <c r="B19" s="64"/>
      <c r="C19" s="188" t="s">
        <v>99</v>
      </c>
      <c r="D19" s="197" t="s">
        <v>120</v>
      </c>
      <c r="E19" s="198">
        <v>1.3644999999999999E-2</v>
      </c>
      <c r="F19" s="29"/>
      <c r="G19" s="29"/>
      <c r="H19" s="29"/>
      <c r="I19" s="29"/>
      <c r="J19" s="29"/>
      <c r="K19" s="29"/>
      <c r="L19" s="29"/>
      <c r="M19" s="29"/>
      <c r="N19" s="29"/>
      <c r="O19" s="29"/>
      <c r="P19" s="29"/>
      <c r="Q19" s="29"/>
      <c r="R19" s="29"/>
      <c r="S19" s="29"/>
      <c r="T19" s="29"/>
      <c r="U19" s="25"/>
      <c r="W19" s="180" t="s">
        <v>12</v>
      </c>
      <c r="X19" s="240">
        <v>2.9995999999999998E-2</v>
      </c>
    </row>
    <row r="20" spans="2:24" ht="15.75" x14ac:dyDescent="0.25">
      <c r="B20" s="64"/>
      <c r="C20" s="188" t="s">
        <v>295</v>
      </c>
      <c r="D20" s="197" t="s">
        <v>3</v>
      </c>
      <c r="E20" s="198">
        <v>1.3540999999999999E-2</v>
      </c>
      <c r="F20" s="29"/>
      <c r="G20" s="29"/>
      <c r="H20" s="29"/>
      <c r="I20" s="29"/>
      <c r="J20" s="29"/>
      <c r="K20" s="29"/>
      <c r="L20" s="29"/>
      <c r="M20" s="29"/>
      <c r="N20" s="29"/>
      <c r="O20" s="29"/>
      <c r="P20" s="29"/>
      <c r="Q20" s="29"/>
      <c r="R20" s="29"/>
      <c r="S20" s="29"/>
      <c r="T20" s="29"/>
      <c r="U20" s="25"/>
      <c r="W20" s="180" t="s">
        <v>86</v>
      </c>
      <c r="X20" s="240">
        <v>2.9479999999999996E-2</v>
      </c>
    </row>
    <row r="21" spans="2:24" ht="15.75" x14ac:dyDescent="0.25">
      <c r="B21" s="64"/>
      <c r="C21" s="188" t="s">
        <v>197</v>
      </c>
      <c r="D21" s="197" t="s">
        <v>108</v>
      </c>
      <c r="E21" s="198">
        <v>1.3088000000000001E-2</v>
      </c>
      <c r="F21" s="29"/>
      <c r="G21" s="29"/>
      <c r="H21" s="29"/>
      <c r="I21" s="29"/>
      <c r="J21" s="29"/>
      <c r="K21" s="29"/>
      <c r="L21" s="29"/>
      <c r="M21" s="29"/>
      <c r="N21" s="29"/>
      <c r="O21" s="29"/>
      <c r="P21" s="29"/>
      <c r="Q21" s="29"/>
      <c r="R21" s="29"/>
      <c r="S21" s="29"/>
      <c r="T21" s="29"/>
      <c r="U21" s="25"/>
      <c r="W21" s="180" t="s">
        <v>119</v>
      </c>
      <c r="X21" s="240">
        <v>2.8860999999999998E-2</v>
      </c>
    </row>
    <row r="22" spans="2:24" ht="15.75" x14ac:dyDescent="0.25">
      <c r="B22" s="64"/>
      <c r="C22" s="188" t="s">
        <v>185</v>
      </c>
      <c r="D22" s="197" t="s">
        <v>111</v>
      </c>
      <c r="E22" s="198">
        <v>1.2978999999999999E-2</v>
      </c>
      <c r="F22" s="29"/>
      <c r="G22" s="29"/>
      <c r="H22" s="29"/>
      <c r="I22" s="29"/>
      <c r="J22" s="29"/>
      <c r="K22" s="29"/>
      <c r="L22" s="29"/>
      <c r="M22" s="29"/>
      <c r="N22" s="29"/>
      <c r="O22" s="29"/>
      <c r="P22" s="29"/>
      <c r="Q22" s="29"/>
      <c r="R22" s="29"/>
      <c r="S22" s="29"/>
      <c r="T22" s="29"/>
      <c r="U22" s="25"/>
      <c r="W22" s="180" t="s">
        <v>85</v>
      </c>
      <c r="X22" s="240">
        <v>2.4208E-2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122</v>
      </c>
      <c r="X23" s="240">
        <v>2.2334000000000003E-2</v>
      </c>
    </row>
    <row r="24" spans="2:24" ht="15.75" x14ac:dyDescent="0.25">
      <c r="B24" s="64"/>
      <c r="C24" s="73" t="s">
        <v>55</v>
      </c>
      <c r="D24" s="74"/>
      <c r="E24" s="75">
        <f>SUM(E8:E22)</f>
        <v>0.23371099999999995</v>
      </c>
      <c r="F24" s="29"/>
      <c r="G24" s="29"/>
      <c r="H24" s="29"/>
      <c r="I24" s="29"/>
      <c r="J24" s="29"/>
      <c r="K24" s="29"/>
      <c r="L24" s="29"/>
      <c r="M24" s="29"/>
      <c r="N24" s="29"/>
      <c r="O24" s="29"/>
      <c r="P24" s="29"/>
      <c r="Q24" s="29"/>
      <c r="R24" s="29"/>
      <c r="S24" s="29"/>
      <c r="T24" s="29"/>
      <c r="U24" s="25"/>
      <c r="W24" s="180" t="s">
        <v>187</v>
      </c>
      <c r="X24" s="240">
        <v>2.1002E-2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87</v>
      </c>
      <c r="X25" s="240">
        <v>1.6928000000000002E-2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v>
      </c>
      <c r="X26" s="240">
        <v>1.6466000000000001E-2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116</v>
      </c>
      <c r="X27" s="62">
        <v>1.6397000000000002E-2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25</v>
      </c>
      <c r="X28" s="62">
        <v>1.5702999999999998E-2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84</v>
      </c>
      <c r="X29" s="62">
        <v>1.4615E-2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10</v>
      </c>
      <c r="X30" s="62">
        <v>1.4030000000000001E-2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128</v>
      </c>
      <c r="X31" s="62">
        <v>1.3511E-2</v>
      </c>
    </row>
    <row r="32" spans="2:24" x14ac:dyDescent="0.25">
      <c r="B32" s="64"/>
      <c r="C32" s="29"/>
      <c r="D32" s="29"/>
      <c r="E32" s="29"/>
      <c r="F32" s="29"/>
      <c r="G32" s="29"/>
      <c r="H32" s="29"/>
      <c r="I32" s="29"/>
      <c r="J32" s="29"/>
      <c r="K32" s="29"/>
      <c r="L32" s="29"/>
      <c r="M32" s="29"/>
      <c r="N32" s="29"/>
      <c r="O32" s="29"/>
      <c r="P32" s="29"/>
      <c r="Q32" s="29"/>
      <c r="R32" s="29"/>
      <c r="S32" s="29"/>
      <c r="T32" s="29"/>
      <c r="U32" s="25"/>
      <c r="W32" s="61" t="s">
        <v>6</v>
      </c>
      <c r="X32" s="62">
        <v>1.2829E-2</v>
      </c>
    </row>
    <row r="33" spans="2:24" x14ac:dyDescent="0.25">
      <c r="B33" s="64"/>
      <c r="C33" s="29"/>
      <c r="D33" s="29"/>
      <c r="E33" s="29"/>
      <c r="F33" s="29"/>
      <c r="G33" s="29"/>
      <c r="H33" s="29"/>
      <c r="I33" s="29"/>
      <c r="J33" s="29"/>
      <c r="K33" s="29"/>
      <c r="L33" s="29"/>
      <c r="M33" s="29"/>
      <c r="N33" s="29"/>
      <c r="O33" s="29"/>
      <c r="P33" s="29"/>
      <c r="Q33" s="29"/>
      <c r="R33" s="29"/>
      <c r="S33" s="29"/>
      <c r="T33" s="29"/>
      <c r="U33" s="25"/>
      <c r="W33" s="61" t="s">
        <v>125</v>
      </c>
      <c r="X33" s="62">
        <v>1.2656000000000001E-2</v>
      </c>
    </row>
    <row r="34" spans="2:24" x14ac:dyDescent="0.25">
      <c r="B34" s="64"/>
      <c r="C34" s="29"/>
      <c r="D34" s="29"/>
      <c r="E34" s="29"/>
      <c r="F34" s="29"/>
      <c r="G34" s="29"/>
      <c r="H34" s="29"/>
      <c r="I34" s="29"/>
      <c r="J34" s="29"/>
      <c r="K34" s="29"/>
      <c r="L34" s="29"/>
      <c r="M34" s="29"/>
      <c r="N34" s="29"/>
      <c r="O34" s="29"/>
      <c r="P34" s="29"/>
      <c r="Q34" s="29"/>
      <c r="R34" s="29"/>
      <c r="S34" s="29"/>
      <c r="T34" s="29"/>
      <c r="U34" s="25"/>
      <c r="W34" s="61" t="s">
        <v>131</v>
      </c>
      <c r="X34" s="62">
        <v>1.2058000000000001E-2</v>
      </c>
    </row>
    <row r="35" spans="2:24" x14ac:dyDescent="0.25">
      <c r="B35" s="64"/>
      <c r="C35" s="29"/>
      <c r="D35" s="29"/>
      <c r="E35" s="29"/>
      <c r="F35" s="29"/>
      <c r="G35" s="29"/>
      <c r="H35" s="29"/>
      <c r="I35" s="29"/>
      <c r="J35" s="29"/>
      <c r="K35" s="29"/>
      <c r="L35" s="29"/>
      <c r="M35" s="29"/>
      <c r="N35" s="29"/>
      <c r="O35" s="29"/>
      <c r="P35" s="29"/>
      <c r="Q35" s="29"/>
      <c r="R35" s="29"/>
      <c r="S35" s="29"/>
      <c r="T35" s="29"/>
      <c r="U35" s="25"/>
      <c r="W35" s="61" t="s">
        <v>23</v>
      </c>
      <c r="X35" s="62">
        <v>1.1879000000000001E-2</v>
      </c>
    </row>
    <row r="36" spans="2:24" x14ac:dyDescent="0.25">
      <c r="B36" s="64"/>
      <c r="C36" s="29"/>
      <c r="D36" s="29"/>
      <c r="E36" s="29"/>
      <c r="F36" s="29"/>
      <c r="G36" s="29"/>
      <c r="H36" s="29"/>
      <c r="I36" s="29"/>
      <c r="J36" s="29"/>
      <c r="K36" s="29"/>
      <c r="L36" s="29"/>
      <c r="M36" s="29"/>
      <c r="N36" s="29"/>
      <c r="O36" s="29"/>
      <c r="P36" s="29"/>
      <c r="Q36" s="29"/>
      <c r="R36" s="29"/>
      <c r="S36" s="29"/>
      <c r="T36" s="29"/>
      <c r="U36" s="25"/>
      <c r="W36" s="61" t="s">
        <v>26</v>
      </c>
      <c r="X36" s="62">
        <v>1.1410999999999999E-2</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138</v>
      </c>
      <c r="X37" s="62">
        <v>1.0089000000000001E-2</v>
      </c>
    </row>
    <row r="38" spans="2:24" ht="15.75" thickBot="1" x14ac:dyDescent="0.3">
      <c r="W38" s="61" t="s">
        <v>123</v>
      </c>
      <c r="X38" s="62">
        <v>9.8560000000000002E-3</v>
      </c>
    </row>
    <row r="39" spans="2:24" x14ac:dyDescent="0.25">
      <c r="B39" s="262" t="s">
        <v>184</v>
      </c>
      <c r="C39" s="263"/>
      <c r="D39" s="263"/>
      <c r="E39" s="263"/>
      <c r="F39" s="263"/>
      <c r="G39" s="263"/>
      <c r="H39" s="263"/>
      <c r="I39" s="263"/>
      <c r="J39" s="263"/>
      <c r="K39" s="263"/>
      <c r="L39" s="263"/>
      <c r="M39" s="263"/>
      <c r="N39" s="263"/>
      <c r="O39" s="263"/>
      <c r="P39" s="263"/>
      <c r="Q39" s="263"/>
      <c r="R39" s="264"/>
      <c r="W39" s="61" t="s">
        <v>13</v>
      </c>
      <c r="X39" s="62">
        <v>8.9009999999999992E-3</v>
      </c>
    </row>
    <row r="40" spans="2:24" x14ac:dyDescent="0.25">
      <c r="B40" s="265"/>
      <c r="C40" s="266"/>
      <c r="D40" s="266"/>
      <c r="E40" s="266"/>
      <c r="F40" s="266"/>
      <c r="G40" s="266"/>
      <c r="H40" s="266"/>
      <c r="I40" s="266"/>
      <c r="J40" s="266"/>
      <c r="K40" s="266"/>
      <c r="L40" s="266"/>
      <c r="M40" s="266"/>
      <c r="N40" s="266"/>
      <c r="O40" s="266"/>
      <c r="P40" s="266"/>
      <c r="Q40" s="266"/>
      <c r="R40" s="267"/>
      <c r="W40" s="61" t="s">
        <v>147</v>
      </c>
      <c r="X40" s="62">
        <v>7.9330000000000008E-3</v>
      </c>
    </row>
    <row r="41" spans="2:24" x14ac:dyDescent="0.25">
      <c r="B41" s="265"/>
      <c r="C41" s="266"/>
      <c r="D41" s="266"/>
      <c r="E41" s="266"/>
      <c r="F41" s="266"/>
      <c r="G41" s="266"/>
      <c r="H41" s="266"/>
      <c r="I41" s="266"/>
      <c r="J41" s="266"/>
      <c r="K41" s="266"/>
      <c r="L41" s="266"/>
      <c r="M41" s="266"/>
      <c r="N41" s="266"/>
      <c r="O41" s="266"/>
      <c r="P41" s="266"/>
      <c r="Q41" s="266"/>
      <c r="R41" s="267"/>
      <c r="W41" s="61" t="s">
        <v>115</v>
      </c>
      <c r="X41" s="62">
        <v>7.9080000000000001E-3</v>
      </c>
    </row>
    <row r="42" spans="2:24" x14ac:dyDescent="0.25">
      <c r="B42" s="265"/>
      <c r="C42" s="266"/>
      <c r="D42" s="266"/>
      <c r="E42" s="266"/>
      <c r="F42" s="266"/>
      <c r="G42" s="266"/>
      <c r="H42" s="266"/>
      <c r="I42" s="266"/>
      <c r="J42" s="266"/>
      <c r="K42" s="266"/>
      <c r="L42" s="266"/>
      <c r="M42" s="266"/>
      <c r="N42" s="266"/>
      <c r="O42" s="266"/>
      <c r="P42" s="266"/>
      <c r="Q42" s="266"/>
      <c r="R42" s="267"/>
      <c r="W42" s="61" t="s">
        <v>124</v>
      </c>
      <c r="X42" s="62">
        <v>5.0299999999999997E-3</v>
      </c>
    </row>
    <row r="43" spans="2:24" x14ac:dyDescent="0.25">
      <c r="B43" s="265"/>
      <c r="C43" s="266"/>
      <c r="D43" s="266"/>
      <c r="E43" s="266"/>
      <c r="F43" s="266"/>
      <c r="G43" s="266"/>
      <c r="H43" s="266"/>
      <c r="I43" s="266"/>
      <c r="J43" s="266"/>
      <c r="K43" s="266"/>
      <c r="L43" s="266"/>
      <c r="M43" s="266"/>
      <c r="N43" s="266"/>
      <c r="O43" s="266"/>
      <c r="P43" s="266"/>
      <c r="Q43" s="266"/>
      <c r="R43" s="267"/>
      <c r="W43" s="61" t="s">
        <v>107</v>
      </c>
      <c r="X43" s="62">
        <v>4.6010000000000001E-3</v>
      </c>
    </row>
    <row r="44" spans="2:24" x14ac:dyDescent="0.25">
      <c r="B44" s="265"/>
      <c r="C44" s="266"/>
      <c r="D44" s="266"/>
      <c r="E44" s="266"/>
      <c r="F44" s="266"/>
      <c r="G44" s="266"/>
      <c r="H44" s="266"/>
      <c r="I44" s="266"/>
      <c r="J44" s="266"/>
      <c r="K44" s="266"/>
      <c r="L44" s="266"/>
      <c r="M44" s="266"/>
      <c r="N44" s="266"/>
      <c r="O44" s="266"/>
      <c r="P44" s="266"/>
      <c r="Q44" s="266"/>
      <c r="R44" s="267"/>
      <c r="W44" s="61" t="s">
        <v>15</v>
      </c>
      <c r="X44" s="62">
        <v>4.3750000000000004E-3</v>
      </c>
    </row>
    <row r="45" spans="2:24" ht="15.75" thickBot="1" x14ac:dyDescent="0.3">
      <c r="B45" s="268"/>
      <c r="C45" s="269"/>
      <c r="D45" s="269"/>
      <c r="E45" s="269"/>
      <c r="F45" s="269"/>
      <c r="G45" s="269"/>
      <c r="H45" s="269"/>
      <c r="I45" s="269"/>
      <c r="J45" s="269"/>
      <c r="K45" s="269"/>
      <c r="L45" s="269"/>
      <c r="M45" s="269"/>
      <c r="N45" s="269"/>
      <c r="O45" s="269"/>
      <c r="P45" s="269"/>
      <c r="Q45" s="269"/>
      <c r="R45" s="270"/>
      <c r="W45" s="61" t="s">
        <v>88</v>
      </c>
      <c r="X45" s="62">
        <v>3.0070000000000001E-3</v>
      </c>
    </row>
    <row r="46" spans="2:24" x14ac:dyDescent="0.25">
      <c r="W46" s="61" t="s">
        <v>96</v>
      </c>
      <c r="X46" s="62">
        <v>1.9919999999999998E-3</v>
      </c>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vt:i4>
      </vt:variant>
    </vt:vector>
  </HeadingPairs>
  <TitlesOfParts>
    <vt:vector size="39"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 BUSINESS CYCLE</vt:lpstr>
      <vt:lpstr>BANDHAN-ELSS</vt:lpstr>
      <vt:lpstr>BANDHAN-AF</vt:lpstr>
      <vt:lpstr>BANDHAN BAF</vt:lpstr>
      <vt:lpstr>BANDHAN-ESF</vt:lpstr>
      <vt:lpstr>BANDHAN CHF</vt:lpstr>
      <vt:lpstr>BANDHAN-HEF</vt:lpstr>
      <vt:lpstr>BANDHAN RF</vt:lpstr>
      <vt:lpstr>BANDHAN MAF</vt:lpstr>
      <vt:lpstr>BANDHAN 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 Nifty Total Market </vt:lpstr>
      <vt:lpstr>Bandhan Nifty Bank Index Fund</vt:lpstr>
      <vt:lpstr>Bandhan BSE Healthcare Index </vt:lpstr>
      <vt:lpstr>Bandhan Nifty Midcap 150 Index </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2024-10-03T06:12:49Z</dcterms:modified>
</cp:coreProperties>
</file>