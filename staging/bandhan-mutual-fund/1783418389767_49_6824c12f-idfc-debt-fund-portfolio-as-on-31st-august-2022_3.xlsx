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0"/>
  <workbookPr defaultThemeVersion="166925"/>
  <mc:AlternateContent xmlns:mc="http://schemas.openxmlformats.org/markup-compatibility/2006">
    <mc:Choice Requires="x15">
      <x15ac:absPath xmlns:x15ac="http://schemas.microsoft.com/office/spreadsheetml/2010/11/ac" url="Z:\MONTH END DELIVERABLES-1\Portfolios_All\2022\Sept 2022\"/>
    </mc:Choice>
  </mc:AlternateContent>
  <xr:revisionPtr revIDLastSave="0" documentId="13_ncr:1_{307EFE1E-27A1-440F-811C-ED14DE7F14A1}" xr6:coauthVersionLast="36" xr6:coauthVersionMax="36" xr10:uidLastSave="{00000000-0000-0000-0000-000000000000}"/>
  <bookViews>
    <workbookView xWindow="0" yWindow="0" windowWidth="15345" windowHeight="4470" tabRatio="923" xr2:uid="{EC963927-B910-4F0D-B547-42F50A9BBEA3}"/>
  </bookViews>
  <sheets>
    <sheet name="IDFC OF" sheetId="18" r:id="rId1"/>
    <sheet name="IDFC CF" sheetId="7" r:id="rId2"/>
    <sheet name="IDFC LDF" sheetId="16" r:id="rId3"/>
    <sheet name="IDFC MMF" sheetId="17" r:id="rId4"/>
    <sheet name="IDFC USTF" sheetId="19" r:id="rId5"/>
    <sheet name="IDFC DBF" sheetId="12" r:id="rId6"/>
    <sheet name="IDFC BOND IP" sheetId="4" r:id="rId7"/>
    <sheet name="IDFC BOND MT" sheetId="5" r:id="rId8"/>
    <sheet name="IDFC BOND ST" sheetId="6" r:id="rId9"/>
    <sheet name="IDFC BPDF" sheetId="3" r:id="rId10"/>
    <sheet name="IDFC-CBF" sheetId="8" r:id="rId11"/>
    <sheet name="IDFC CRF" sheetId="9" r:id="rId12"/>
    <sheet name="IDFC FRF" sheetId="13" r:id="rId13"/>
    <sheet name="IDFC-CGIF2027" sheetId="10" r:id="rId14"/>
    <sheet name="IDFC-CGIF2028" sheetId="11" r:id="rId15"/>
    <sheet name="IDFC GSF-IP" sheetId="14" r:id="rId16"/>
    <sheet name="IDFC GSF - CMP" sheetId="15" r:id="rId17"/>
    <sheet name="IDFC ASBF" sheetId="2"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9" i="9" l="1"/>
  <c r="H8" i="9"/>
</calcChain>
</file>

<file path=xl/sharedStrings.xml><?xml version="1.0" encoding="utf-8"?>
<sst xmlns="http://schemas.openxmlformats.org/spreadsheetml/2006/main" count="1088" uniqueCount="240">
  <si>
    <t>IDFC ALL SEASONS BOND FUND (31 August, 2022 )</t>
  </si>
  <si>
    <t>Net Assets as on 31 August, 2022</t>
  </si>
  <si>
    <t>138.36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</si>
  <si>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</si>
  <si>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</si>
  <si>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</si>
  <si>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</si>
  <si>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</si>
  <si>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</si>
  <si>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</si>
  <si>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</si>
  <si>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</si>
  <si>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</si>
  <si>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</si>
  <si>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</si>
  <si>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</si>
  <si>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</si>
  <si>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</si>
  <si>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</si>
  <si>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</si>
  <si>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(31 August, 2022 )</t>
  </si>
  <si>
    <t>15787.00 crs</t>
  </si>
  <si>
    <t>HDFC Bank Limited</t>
  </si>
  <si>
    <t xml:space="preserve"> A1+</t>
  </si>
  <si>
    <t>Bank of Baroda</t>
  </si>
  <si>
    <t>Kotak Mahindra Bank Limited</t>
  </si>
  <si>
    <t>Canara Bank</t>
  </si>
  <si>
    <t>Small Industries Dev Bank of India</t>
  </si>
  <si>
    <t>Axis Bank Limited</t>
  </si>
  <si>
    <t>Export Import Bank of India</t>
  </si>
  <si>
    <t>ICICI Bank Limited</t>
  </si>
  <si>
    <t>National Bank For Agriculture and Rural Development</t>
  </si>
  <si>
    <t>Certificate of Deposit Total</t>
  </si>
  <si>
    <t>Housing Development Finance Corporation Limited</t>
  </si>
  <si>
    <t>Commercial Paper Total</t>
  </si>
  <si>
    <t xml:space="preserve"> AAA</t>
  </si>
  <si>
    <t>Indian Railway Finance Corporation Limited</t>
  </si>
  <si>
    <t>REC Limited</t>
  </si>
  <si>
    <t>Power Finance Corporation Limited</t>
  </si>
  <si>
    <t>National Housing Bank</t>
  </si>
  <si>
    <t>Hindustan Petroleum Corporation Limited</t>
  </si>
  <si>
    <t>Power Grid Corporation of India Limited</t>
  </si>
  <si>
    <t>Reliance Industries Limited</t>
  </si>
  <si>
    <t>Indian Oil Corporation Limited</t>
  </si>
  <si>
    <t>National Highways Auth Of Ind</t>
  </si>
  <si>
    <t>Larsen &amp; Toubro Limited</t>
  </si>
  <si>
    <t>NHPC Limited</t>
  </si>
  <si>
    <t>NTPC Limited</t>
  </si>
  <si>
    <t>LIC Housing Finance Limited</t>
  </si>
  <si>
    <t>Oil &amp; Natural Gas Corporation Limited</t>
  </si>
  <si>
    <t>Grasim Industries Limited</t>
  </si>
  <si>
    <t>Bajaj Finance Limited</t>
  </si>
  <si>
    <t>Corporate Bond Total</t>
  </si>
  <si>
    <t>7.37% GOI (MD 16/04/2023)</t>
  </si>
  <si>
    <t>SOV</t>
  </si>
  <si>
    <t>6.84% GOI (MD 19/12/2022)</t>
  </si>
  <si>
    <t>8.13% GOI (MD 21/09/2022)</t>
  </si>
  <si>
    <t>Government Bond Total</t>
  </si>
  <si>
    <t>State Government Bond Total</t>
  </si>
  <si>
    <t>364 Days Tbill (MD 16/03/2023)</t>
  </si>
  <si>
    <t>182 Days Tbill (MD 26/01/2023)</t>
  </si>
  <si>
    <t>364 Days Tbill (MD 02/03/2023)</t>
  </si>
  <si>
    <t>364 Days Tbill (MD 09/03/2023)</t>
  </si>
  <si>
    <t>182 Days Tbill (MD 22/09/2022)</t>
  </si>
  <si>
    <t>Treasury Bill Total</t>
  </si>
  <si>
    <t>Certificate of Deposit</t>
  </si>
  <si>
    <t>Corporate Bond</t>
  </si>
  <si>
    <t>Commercial Paper</t>
  </si>
  <si>
    <t>Government Bond</t>
  </si>
  <si>
    <t>State Government Bond</t>
  </si>
  <si>
    <t>Treasury Bill</t>
  </si>
  <si>
    <t>IDFC BOND FUND - INCOME PLAN (31 August, 2022 )</t>
  </si>
  <si>
    <t>536.90 crs</t>
  </si>
  <si>
    <t>5.63% GOI (MD 12/04/2026)</t>
  </si>
  <si>
    <t>6.54% GOI (MD 17/01/2032)</t>
  </si>
  <si>
    <t>6.1% GOI (MD 12/07/2031)</t>
  </si>
  <si>
    <t>7.1% GOI (MD 18/04/2029)</t>
  </si>
  <si>
    <t>6.79% GOI (MD 15/05/2027)</t>
  </si>
  <si>
    <t>7.73% GOI (MD 19/12/2034)</t>
  </si>
  <si>
    <t>IDFC BOND FUND - MEDIUM TERM PLAN (31 August, 2022 )</t>
  </si>
  <si>
    <t>2245.71 crs</t>
  </si>
  <si>
    <t>PTC</t>
  </si>
  <si>
    <t>IDFC BOND FUND - SHORT TERM PLAN (31 August, 2022 )</t>
  </si>
  <si>
    <t>9965.19 crs</t>
  </si>
  <si>
    <t>8.28% GOI (M/D 21/09/2027)</t>
  </si>
  <si>
    <t>8.24% GOI (MD 15/02/2027)</t>
  </si>
  <si>
    <t>First Business Receivables Trust</t>
  </si>
  <si>
    <t xml:space="preserve"> AAA(SO)</t>
  </si>
  <si>
    <t>PTC Total</t>
  </si>
  <si>
    <t>IDFC CASH FUND (31 August, 2022 )</t>
  </si>
  <si>
    <t>12366.67 crs</t>
  </si>
  <si>
    <t>Reliance Retail Ventures Limited</t>
  </si>
  <si>
    <t>HDFC Securities Limited</t>
  </si>
  <si>
    <t>ICICI Securities Limited</t>
  </si>
  <si>
    <t>L&amp;T Finance Limited</t>
  </si>
  <si>
    <t>Kotak Securities Limited</t>
  </si>
  <si>
    <t>Tata Steel Limited</t>
  </si>
  <si>
    <t>Kotak Mahindra Prime Limited</t>
  </si>
  <si>
    <t>Reliance Jio Infocomm Limited</t>
  </si>
  <si>
    <t>Bajaj Housing Finance Limited</t>
  </si>
  <si>
    <t>Sundaram Finance Limited</t>
  </si>
  <si>
    <t>91 Days Tbill (MD 15/09/2022)</t>
  </si>
  <si>
    <t>91 Days Tbill (MD 27/10/2022)</t>
  </si>
  <si>
    <t>91 Days Tbill (MD 29/09/2022)</t>
  </si>
  <si>
    <t>182  Days Tbill (MD 15/09/2022)</t>
  </si>
  <si>
    <t>182 Days Tbill (MD 29/09/2022)</t>
  </si>
  <si>
    <t>Zero Coupon Bond Total</t>
  </si>
  <si>
    <t>Zero Coupon Bond</t>
  </si>
  <si>
    <t>Average Maturity in Days</t>
  </si>
  <si>
    <t>IDFC CORPORATE BOND FUND (31 August, 2022 )</t>
  </si>
  <si>
    <t>16708.17 crs</t>
  </si>
  <si>
    <t>UltraTech Cement Limited</t>
  </si>
  <si>
    <t>Mahindra &amp; Mahindra Limited</t>
  </si>
  <si>
    <t>5.22% GOI (MD 15/06/2025)</t>
  </si>
  <si>
    <t>7.68% GOI (MD 15/12/2023)</t>
  </si>
  <si>
    <t>7.32% GOI (MD 28/01/2024)</t>
  </si>
  <si>
    <t>IDFC CREDIT RISK FUND (31 August, 2022 )</t>
  </si>
  <si>
    <t>673.50 crs</t>
  </si>
  <si>
    <t>Godrej Industries Limited</t>
  </si>
  <si>
    <t xml:space="preserve"> AA</t>
  </si>
  <si>
    <t>Tata Motors Limited</t>
  </si>
  <si>
    <t xml:space="preserve"> AA-</t>
  </si>
  <si>
    <t>Godrej Properties Limited</t>
  </si>
  <si>
    <t xml:space="preserve"> AA+</t>
  </si>
  <si>
    <t>Tata Power Company Limited</t>
  </si>
  <si>
    <t>Bharti Hexacom Limited</t>
  </si>
  <si>
    <t>Summit Digitel Infrastructure Limited</t>
  </si>
  <si>
    <t xml:space="preserve"> AA(CE)</t>
  </si>
  <si>
    <t>7.17% GOI (MD 08/01/2028)</t>
  </si>
  <si>
    <t>Aditya Birla Fashion and Retail Limited</t>
  </si>
  <si>
    <t>AA</t>
  </si>
  <si>
    <t>AA+</t>
  </si>
  <si>
    <t>AA-</t>
  </si>
  <si>
    <t>IDFC CRISIL GILT 2027 INDEX FUND (31 August, 2022 )</t>
  </si>
  <si>
    <t>6279.45 crs</t>
  </si>
  <si>
    <t>7.38% GOI (MD 20/06/2027)</t>
  </si>
  <si>
    <t>91 Days Tbill (MD 22/09/2022)</t>
  </si>
  <si>
    <t>IDFC CRISIL GILT 2028 INDEX FUND (31 August, 2022 )</t>
  </si>
  <si>
    <t>2502.69 crs</t>
  </si>
  <si>
    <t>IDFC DYNAMIC BOND FUND (31 August, 2022 )</t>
  </si>
  <si>
    <t>2476.77 crs</t>
  </si>
  <si>
    <t>5.74% GOI (MD 15/11/2026)</t>
  </si>
  <si>
    <t>8.20% GOI (MD 24/09/2025)</t>
  </si>
  <si>
    <t>IDFC FLOATING RATE FUND (31 August, 2022 )</t>
  </si>
  <si>
    <t>609.50 crs</t>
  </si>
  <si>
    <t>Interest Rate Swaps</t>
  </si>
  <si>
    <t>IDFC GOVERNMENT SECURITIES FUND - INVESTMENT PLAN (31 August, 2022 )</t>
  </si>
  <si>
    <t>1404.13 crs</t>
  </si>
  <si>
    <t>IDFC GOVERNMENT SECURITIES FUND-CONSTANT MATURITY (31 August, 2022 )</t>
  </si>
  <si>
    <t>219.41 crs</t>
  </si>
  <si>
    <t>7.26% GOI (MD 22/08/2032)</t>
  </si>
  <si>
    <t>IDFC LOW DURATION FUND (31 August, 2022 )</t>
  </si>
  <si>
    <t>6098.54 crs</t>
  </si>
  <si>
    <t>HDB Financial Services Limited</t>
  </si>
  <si>
    <t>8.33% GOI 2026 (M/D 09/07/2026)</t>
  </si>
  <si>
    <t>182 Days Tbill (MD 29/12/2022)</t>
  </si>
  <si>
    <t>IDFC MONEY MANAGER FUND (31 August, 2022 )</t>
  </si>
  <si>
    <t>3110.10 crs</t>
  </si>
  <si>
    <t>Kotak Mahindra Investments Limited</t>
  </si>
  <si>
    <t>182 Days Tbill (MD 22/12/2022)</t>
  </si>
  <si>
    <t>182 Days Tbill (MD 01/12/2022)</t>
  </si>
  <si>
    <t>IDFC OVERNIGHT FUND (31 August, 2022 )</t>
  </si>
  <si>
    <t>2580.42 crs</t>
  </si>
  <si>
    <t>IDFC ULTRA SHORT TERM FUND (31 August, 2022 )</t>
  </si>
  <si>
    <t>4094.65 crs</t>
  </si>
  <si>
    <t>182 Days Tbill (MD 09/02/2023)</t>
  </si>
  <si>
    <t>182 Days Tbill (MD 23/02/2023)</t>
  </si>
  <si>
    <t>7.63% Rajasthan SDL (MD 05/06/2023)</t>
  </si>
  <si>
    <t>8.05% Gujarat SDL (MD 25/02/2025)</t>
  </si>
  <si>
    <t>8.38% Haryana SDL (MD 27/01/2026)</t>
  </si>
  <si>
    <t>7.78% Uttar Pradesh SDL (MD 19/06/2023)</t>
  </si>
  <si>
    <t>6.56% Rajasthan SDL (MD 30/10/2023)</t>
  </si>
  <si>
    <t>8.92%  Tamilnadu SDL (MD 05/09/2022)</t>
  </si>
  <si>
    <t>8.90% TAMILNADU SDL(MD/20/09/2022)</t>
  </si>
  <si>
    <t>8.86% Tamil Nadu SDL (MD 03/10/2022)</t>
  </si>
  <si>
    <t>8.91% Andhra SDL (MD 05/12/2022)</t>
  </si>
  <si>
    <t>8.91% Andhra Pradesh SDL (MD 21/11/2022)</t>
  </si>
  <si>
    <t>8.85% Maharashtra SDL (MD 03/10/2022)</t>
  </si>
  <si>
    <t>8.89% Tamil Nadu SDL (MD 05/12/2022)</t>
  </si>
  <si>
    <t>8.38% Karnataka SDL (MD 31/10/2022)</t>
  </si>
  <si>
    <t>6.28% Odisha SDL (MD 13/11/2022)</t>
  </si>
  <si>
    <t>8.91% Andhra Pradesh SDL (MD 05/09/2022)</t>
  </si>
  <si>
    <t>8.92% Rajasthan SDL (MD 21/11/2022)</t>
  </si>
  <si>
    <t>8.63% Maharashtra SDL (MD 09/01/2023)</t>
  </si>
  <si>
    <t>8.59% Andhra pradesh SDL (MD 23/01/2023)</t>
  </si>
  <si>
    <t>8.67% Maharashtra SDL (MD 06/02/2023)</t>
  </si>
  <si>
    <t>8.62% Maharashtra SDL (MD 20/02/2023)</t>
  </si>
  <si>
    <t>8.60% Tamil Nadu SDL (MD 06/03/2023)</t>
  </si>
  <si>
    <t>8.90% RAJASTHAN SDL - (MD 20/09/2022)</t>
  </si>
  <si>
    <t>8.56% RAJASTHAN SDL - (MD 23/01/2023)</t>
  </si>
  <si>
    <t>8.89% Andhra Pradesh SDL  ( MD 20/09/2022)</t>
  </si>
  <si>
    <t>8.84% Gujrat SDL (MD 17/10/2022)</t>
  </si>
  <si>
    <t>8.90% Maharashtra SDL (MD 19/12/2022)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</si>
  <si>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</si>
  <si>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</si>
  <si>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</si>
  <si>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</si>
  <si>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</si>
  <si>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</si>
  <si>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</si>
  <si>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</si>
  <si>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</si>
  <si>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</si>
  <si>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</si>
  <si>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</si>
  <si>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</si>
  <si>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</si>
  <si>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5.41% Andhra Pradesh SDL (MD 12/08/2024)</t>
  </si>
  <si>
    <t>5.68% Maharashtra SDL (MD 23/09/2024)</t>
  </si>
  <si>
    <t>6.20% Madhya Pradesh SDL (MD 15/04/2023)</t>
  </si>
  <si>
    <t>9.5% Gujrat SDL (MD 11/09/2023)</t>
  </si>
  <si>
    <t>9.22% Gujarat SDL (MD 09/10/2023)</t>
  </si>
  <si>
    <t>9.37% Gujarat SDL (MD 30/01/2024)</t>
  </si>
  <si>
    <t>9.55% Karnataka SDL (MD 12/02/2024)</t>
  </si>
  <si>
    <t>9.63% Andhra Pradesh SDL (MD 12/02/2024)</t>
  </si>
  <si>
    <t>9.80% Haryana SDL (MD 26/02/2024)</t>
  </si>
  <si>
    <t>9.71% Haryana SDL (MD 12/03/2024)</t>
  </si>
  <si>
    <t>9.47% Tamilnadu SDL (MD 26/03/2024)</t>
  </si>
  <si>
    <t>9.45% Rahasthan SDL (MD 26/03/2024)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</si>
  <si>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</si>
  <si>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</si>
  <si>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</si>
  <si>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</si>
  <si>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</si>
  <si>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</si>
  <si>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</si>
  <si>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</si>
  <si>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</si>
  <si>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</si>
  <si>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</si>
  <si>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IDFC Banking &amp; PSU Debt Fund - Direct Growth</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</si>
  <si>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</si>
  <si>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</si>
  <si>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^PTC originated by Reliance Industries Limited</t>
  </si>
  <si>
    <t>First Business Receivables Trust^</t>
  </si>
  <si>
    <t>Union Bank of India^^</t>
  </si>
  <si>
    <t>Punjab National Bank^^</t>
  </si>
  <si>
    <t>^^AT1 Bonds under Basel III</t>
  </si>
  <si>
    <t>Average Maturity in Day</t>
  </si>
  <si>
    <t>Average Maturity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</si>
</sst>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Black]\(0.00%\)"/>
    <numFmt numFmtId="165" formatCode="0.000%;[Black]\(0.000%\)"/>
  </numFmts>
  <fonts count="7"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s>
  <fills count="3">
    <fill>
      <patternFill patternType="none"/>
    </fill>
    <fill>
      <patternFill patternType="gray125"/>
    </fill>
    <fill>
      <patternFill patternType="solid">
        <fgColor rgb="FFD8D8D8"/>
        <bgColor indexed="64"/>
      </patternFill>
    </fill>
  </fills>
  <borders count="22">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1" fontId="5" fillId="2" borderId="0" xfId="0" applyNumberFormat="1" applyFont="1" applyFill="1"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165" fontId="1" fillId="0" borderId="8" xfId="0" applyNumberFormat="1" applyFont="1" applyBorder="1" applyAlignment="1">
      <alignment vertical="center"/>
    </xf>
    <xf numFmtId="165" fontId="1" fillId="0" borderId="4"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4.4052863436123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6E-4147-A459-28F8BBB5C75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9E6E-4147-A459-28F8BBB5C75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1EA-46C1-8C2A-1A0ECC1A0F6F}"/>
                </c:ext>
              </c:extLst>
            </c:dLbl>
            <c:dLbl>
              <c:idx val="1"/>
              <c:layout>
                <c:manualLayout>
                  <c:x val="-0.34375828289129812"/>
                  <c:y val="-8.04129483814523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1EA-46C1-8C2A-1A0ECC1A0F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6.0429999999999998E-3</c:v>
                </c:pt>
                <c:pt idx="1">
                  <c:v>0.99395699999999998</c:v>
                </c:pt>
              </c:numCache>
            </c:numRef>
          </c:val>
          <c:extLst>
            <c:ext xmlns:c16="http://schemas.microsoft.com/office/drawing/2014/chart" uri="{C3380CC4-5D6E-409C-BE32-E72D297353CC}">
              <c16:uniqueId val="{0000000C-F1EA-46C1-8C2A-1A0ECC1A0F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404635046957459"/>
                  <c:y val="-2.8761061946902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6B7-4589-A852-83F60551FB3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D6B7-4589-A852-83F60551FB3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C7-4848-9B01-AA19EC70436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C7-4848-9B01-AA19EC704360}"/>
                </c:ext>
              </c:extLst>
            </c:dLbl>
            <c:dLbl>
              <c:idx val="2"/>
              <c:layout>
                <c:manualLayout>
                  <c:x val="-7.1041241632804467E-2"/>
                  <c:y val="0.213917929862291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C7-4848-9B01-AA19EC704360}"/>
                </c:ext>
              </c:extLst>
            </c:dLbl>
            <c:dLbl>
              <c:idx val="3"/>
              <c:layout>
                <c:manualLayout>
                  <c:x val="-0.11232890455074272"/>
                  <c:y val="-3.772590100246279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C7-4848-9B01-AA19EC704360}"/>
                </c:ext>
              </c:extLst>
            </c:dLbl>
            <c:dLbl>
              <c:idx val="4"/>
              <c:layout>
                <c:manualLayout>
                  <c:x val="6.9135460048222019E-2"/>
                  <c:y val="0.1988841097505983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1C7-4848-9B01-AA19EC704360}"/>
                </c:ext>
              </c:extLst>
            </c:dLbl>
            <c:dLbl>
              <c:idx val="5"/>
              <c:layout>
                <c:manualLayout>
                  <c:x val="-0.18046342039150887"/>
                  <c:y val="-7.69114433383051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1C7-4848-9B01-AA19EC704360}"/>
                </c:ext>
              </c:extLst>
            </c:dLbl>
            <c:dLbl>
              <c:idx val="6"/>
              <c:layout>
                <c:manualLayout>
                  <c:x val="-0.1760176364464078"/>
                  <c:y val="-4.781608796697769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1C7-4848-9B01-AA19EC7043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Treasury Bill</c:v>
                </c:pt>
                <c:pt idx="6">
                  <c:v>Zero Coupon Bond</c:v>
                </c:pt>
              </c:strCache>
            </c:strRef>
          </c:cat>
          <c:val>
            <c:numRef>
              <c:f>'IDFC CF'!$K$9:$K$15</c:f>
              <c:numCache>
                <c:formatCode>0.00%</c:formatCode>
                <c:ptCount val="7"/>
                <c:pt idx="0">
                  <c:v>4.986E-3</c:v>
                </c:pt>
                <c:pt idx="1">
                  <c:v>0.161077</c:v>
                </c:pt>
                <c:pt idx="2">
                  <c:v>0.27228799999999997</c:v>
                </c:pt>
                <c:pt idx="3">
                  <c:v>8.9437000000000003E-2</c:v>
                </c:pt>
                <c:pt idx="4">
                  <c:v>0.33457100000000001</c:v>
                </c:pt>
                <c:pt idx="5">
                  <c:v>0.12890699999999999</c:v>
                </c:pt>
                <c:pt idx="6">
                  <c:v>8.7340000000000004E-3</c:v>
                </c:pt>
              </c:numCache>
            </c:numRef>
          </c:val>
          <c:extLst>
            <c:ext xmlns:c16="http://schemas.microsoft.com/office/drawing/2014/chart" uri="{C3380CC4-5D6E-409C-BE32-E72D297353CC}">
              <c16:uniqueId val="{0000000C-41C7-4848-9B01-AA19EC7043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ED6-4A2B-8C5E-0495967C896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5ED6-4A2B-8C5E-0495967C896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3145037009560101"/>
                  <c:y val="-9.671612830574395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432-46CA-BBEA-6434BE7AC99F}"/>
                </c:ext>
              </c:extLst>
            </c:dLbl>
            <c:dLbl>
              <c:idx val="1"/>
              <c:layout>
                <c:manualLayout>
                  <c:x val="0.2106481309750628"/>
                  <c:y val="-4.089360117114073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432-46CA-BBEA-6434BE7AC99F}"/>
                </c:ext>
              </c:extLst>
            </c:dLbl>
            <c:dLbl>
              <c:idx val="2"/>
              <c:layout>
                <c:manualLayout>
                  <c:x val="-4.4542312296616031E-2"/>
                  <c:y val="0.2338272567414221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432-46CA-BBEA-6434BE7AC99F}"/>
                </c:ext>
              </c:extLst>
            </c:dLbl>
            <c:dLbl>
              <c:idx val="3"/>
              <c:layout>
                <c:manualLayout>
                  <c:x val="6.8953447200256285E-2"/>
                  <c:y val="0.1071025527749625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432-46CA-BBEA-6434BE7AC99F}"/>
                </c:ext>
              </c:extLst>
            </c:dLbl>
            <c:dLbl>
              <c:idx val="4"/>
              <c:layout>
                <c:manualLayout>
                  <c:x val="-1.9994435920349359E-3"/>
                  <c:y val="-8.36225669811075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432-46CA-BBEA-6434BE7AC99F}"/>
                </c:ext>
              </c:extLst>
            </c:dLbl>
            <c:dLbl>
              <c:idx val="5"/>
              <c:layout>
                <c:manualLayout>
                  <c:x val="-7.113675833347384E-2"/>
                  <c:y val="-0.175577557755775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432-46CA-BBEA-6434BE7AC99F}"/>
                </c:ext>
              </c:extLst>
            </c:dLbl>
            <c:dLbl>
              <c:idx val="6"/>
              <c:layout>
                <c:manualLayout>
                  <c:x val="-3.2498608980087357E-2"/>
                  <c:y val="-4.922290654262276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432-46CA-BBEA-6434BE7AC99F}"/>
                </c:ext>
              </c:extLst>
            </c:dLbl>
            <c:dLbl>
              <c:idx val="7"/>
              <c:layout>
                <c:manualLayout>
                  <c:x val="0.13047252524911901"/>
                  <c:y val="-4.81754632156128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432-46CA-BBEA-6434BE7AC99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LDF'!$K$9:$K$16</c:f>
              <c:numCache>
                <c:formatCode>0.00%</c:formatCode>
                <c:ptCount val="8"/>
                <c:pt idx="0">
                  <c:v>1.3179E-2</c:v>
                </c:pt>
                <c:pt idx="1">
                  <c:v>7.4283000000000002E-2</c:v>
                </c:pt>
                <c:pt idx="2">
                  <c:v>0.39291100000000001</c:v>
                </c:pt>
                <c:pt idx="3">
                  <c:v>0.293381</c:v>
                </c:pt>
                <c:pt idx="4">
                  <c:v>2.3484999999999999E-2</c:v>
                </c:pt>
                <c:pt idx="5">
                  <c:v>0.12756400000000001</c:v>
                </c:pt>
                <c:pt idx="6">
                  <c:v>5.9098999999999999E-2</c:v>
                </c:pt>
                <c:pt idx="7">
                  <c:v>1.6098000000000001E-2</c:v>
                </c:pt>
              </c:numCache>
            </c:numRef>
          </c:val>
          <c:extLst>
            <c:ext xmlns:c16="http://schemas.microsoft.com/office/drawing/2014/chart" uri="{C3380CC4-5D6E-409C-BE32-E72D297353CC}">
              <c16:uniqueId val="{0000000C-C432-46CA-BBEA-6434BE7AC99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852172520190863"/>
                  <c:y val="-2.30263157894736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CFA-425D-B50E-9BF824E8EA8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0CFA-425D-B50E-9BF824E8EA8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27766435111028681"/>
                  <c:y val="-5.76744427253947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B8-48CB-8F19-64E06437C814}"/>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5B8-48CB-8F19-64E06437C814}"/>
                </c:ext>
              </c:extLst>
            </c:dLbl>
            <c:dLbl>
              <c:idx val="2"/>
              <c:layout>
                <c:manualLayout>
                  <c:x val="3.6086260095432393E-2"/>
                  <c:y val="2.06999317181949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5B8-48CB-8F19-64E06437C814}"/>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5B8-48CB-8F19-64E06437C814}"/>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5B8-48CB-8F19-64E06437C814}"/>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5B8-48CB-8F19-64E06437C81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MMF'!$J$9:$J$14</c:f>
              <c:strCache>
                <c:ptCount val="6"/>
                <c:pt idx="0">
                  <c:v>Net Current Asset</c:v>
                </c:pt>
                <c:pt idx="1">
                  <c:v>TRI Party Repo</c:v>
                </c:pt>
                <c:pt idx="2">
                  <c:v>Certificate of Deposit</c:v>
                </c:pt>
                <c:pt idx="3">
                  <c:v>Commercial Paper</c:v>
                </c:pt>
                <c:pt idx="4">
                  <c:v>State Government Bond</c:v>
                </c:pt>
                <c:pt idx="5">
                  <c:v>Treasury Bill</c:v>
                </c:pt>
              </c:strCache>
            </c:strRef>
          </c:cat>
          <c:val>
            <c:numRef>
              <c:f>'IDFC MMF'!$K$9:$K$14</c:f>
              <c:numCache>
                <c:formatCode>0.00%</c:formatCode>
                <c:ptCount val="6"/>
                <c:pt idx="0">
                  <c:v>3.2499E-2</c:v>
                </c:pt>
                <c:pt idx="1">
                  <c:v>7.1513999999999994E-2</c:v>
                </c:pt>
                <c:pt idx="2">
                  <c:v>0.68207700000000004</c:v>
                </c:pt>
                <c:pt idx="3">
                  <c:v>0.102071</c:v>
                </c:pt>
                <c:pt idx="4">
                  <c:v>6.7812999999999998E-2</c:v>
                </c:pt>
                <c:pt idx="5">
                  <c:v>4.4026000000000003E-2</c:v>
                </c:pt>
              </c:numCache>
            </c:numRef>
          </c:val>
          <c:extLst>
            <c:ext xmlns:c16="http://schemas.microsoft.com/office/drawing/2014/chart" uri="{C3380CC4-5D6E-409C-BE32-E72D297353CC}">
              <c16:uniqueId val="{0000000C-55B8-48CB-8F19-64E06437C81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5428181220388135"/>
                  <c:y val="1.3848555274203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25-4294-96C6-BD17877C0D2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0425-4294-96C6-BD17877C0D2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9.4515503549208388E-2"/>
                  <c:y val="-1.97286414116802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DAB-4619-A25B-B02A0A30E86F}"/>
                </c:ext>
              </c:extLst>
            </c:dLbl>
            <c:dLbl>
              <c:idx val="1"/>
              <c:layout>
                <c:manualLayout>
                  <c:x val="0.10589295047969111"/>
                  <c:y val="-5.42853967358314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DAB-4619-A25B-B02A0A30E86F}"/>
                </c:ext>
              </c:extLst>
            </c:dLbl>
            <c:dLbl>
              <c:idx val="2"/>
              <c:layout>
                <c:manualLayout>
                  <c:x val="-3.8385995380127803E-2"/>
                  <c:y val="0.276670171928834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DAB-4619-A25B-B02A0A30E86F}"/>
                </c:ext>
              </c:extLst>
            </c:dLbl>
            <c:dLbl>
              <c:idx val="3"/>
              <c:layout>
                <c:manualLayout>
                  <c:x val="0.14925323306749397"/>
                  <c:y val="0.1422168645857378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DAB-4619-A25B-B02A0A30E86F}"/>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DAB-4619-A25B-B02A0A30E86F}"/>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DAB-4619-A25B-B02A0A30E86F}"/>
                </c:ext>
              </c:extLst>
            </c:dLbl>
            <c:dLbl>
              <c:idx val="6"/>
              <c:layout>
                <c:manualLayout>
                  <c:x val="0.13861816924918646"/>
                  <c:y val="-0.1379223199705899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DAB-4619-A25B-B02A0A30E86F}"/>
                </c:ext>
              </c:extLst>
            </c:dLbl>
            <c:dLbl>
              <c:idx val="7"/>
              <c:layout>
                <c:manualLayout>
                  <c:x val="0.2342372152624391"/>
                  <c:y val="-6.462848495729564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DAB-4619-A25B-B02A0A30E8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USTF'!$K$9:$K$16</c:f>
              <c:numCache>
                <c:formatCode>0.00%</c:formatCode>
                <c:ptCount val="8"/>
                <c:pt idx="0">
                  <c:v>5.0299999999999997E-2</c:v>
                </c:pt>
                <c:pt idx="1">
                  <c:v>0.12547700000000001</c:v>
                </c:pt>
                <c:pt idx="2">
                  <c:v>0.261687</c:v>
                </c:pt>
                <c:pt idx="3">
                  <c:v>0.37296099999999999</c:v>
                </c:pt>
                <c:pt idx="4">
                  <c:v>1.2189999999999999E-2</c:v>
                </c:pt>
                <c:pt idx="5">
                  <c:v>4.8999999999999998E-4</c:v>
                </c:pt>
                <c:pt idx="6">
                  <c:v>4.4241000000000003E-2</c:v>
                </c:pt>
                <c:pt idx="7">
                  <c:v>0.13265399999999999</c:v>
                </c:pt>
              </c:numCache>
            </c:numRef>
          </c:val>
          <c:extLst>
            <c:ext xmlns:c16="http://schemas.microsoft.com/office/drawing/2014/chart" uri="{C3380CC4-5D6E-409C-BE32-E72D297353CC}">
              <c16:uniqueId val="{0000000C-EDAB-4619-A25B-B02A0A30E8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2.741228070175438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2D-48B4-9B71-CC697FB961B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3F2D-48B4-9B71-CC697FB961B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9CD-4FFB-9DC4-2B19274CD238}"/>
                </c:ext>
              </c:extLst>
            </c:dLbl>
            <c:dLbl>
              <c:idx val="1"/>
              <c:layout>
                <c:manualLayout>
                  <c:x val="0.11904584464415181"/>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9CD-4FFB-9DC4-2B19274CD238}"/>
                </c:ext>
              </c:extLst>
            </c:dLbl>
            <c:dLbl>
              <c:idx val="2"/>
              <c:layout>
                <c:manualLayout>
                  <c:x val="-0.22696690215650239"/>
                  <c:y val="-3.8041294838145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9CD-4FFB-9DC4-2B19274CD2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DBF'!$J$9:$J$11</c:f>
              <c:strCache>
                <c:ptCount val="3"/>
                <c:pt idx="0">
                  <c:v>Net Current Asset</c:v>
                </c:pt>
                <c:pt idx="1">
                  <c:v>TRI Party Repo</c:v>
                </c:pt>
                <c:pt idx="2">
                  <c:v>Government Bond</c:v>
                </c:pt>
              </c:strCache>
            </c:strRef>
          </c:cat>
          <c:val>
            <c:numRef>
              <c:f>'IDFC DBF'!$K$9:$K$11</c:f>
              <c:numCache>
                <c:formatCode>0.00%</c:formatCode>
                <c:ptCount val="3"/>
                <c:pt idx="0">
                  <c:v>2.0379000000000001E-2</c:v>
                </c:pt>
                <c:pt idx="1">
                  <c:v>4.1440000000000001E-3</c:v>
                </c:pt>
                <c:pt idx="2">
                  <c:v>0.97547700000000004</c:v>
                </c:pt>
              </c:numCache>
            </c:numRef>
          </c:val>
          <c:extLst>
            <c:ext xmlns:c16="http://schemas.microsoft.com/office/drawing/2014/chart" uri="{C3380CC4-5D6E-409C-BE32-E72D297353CC}">
              <c16:uniqueId val="{0000000C-19CD-4FFB-9DC4-2B19274CD2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846-407C-AB75-EAA1BF6769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E846-407C-AB75-EAA1BF6769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665-4E6A-AA34-1DB761AE50DB}"/>
                </c:ext>
              </c:extLst>
            </c:dLbl>
            <c:dLbl>
              <c:idx val="1"/>
              <c:layout>
                <c:manualLayout>
                  <c:x val="0.13372793336593097"/>
                  <c:y val="-4.922484689413823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665-4E6A-AA34-1DB761AE50DB}"/>
                </c:ext>
              </c:extLst>
            </c:dLbl>
            <c:dLbl>
              <c:idx val="2"/>
              <c:layout>
                <c:manualLayout>
                  <c:x val="-0.28933306918005697"/>
                  <c:y val="-6.137462817147856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665-4E6A-AA34-1DB761AE50D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1.6875000000000001E-2</c:v>
                </c:pt>
                <c:pt idx="1">
                  <c:v>5.9059999999999998E-3</c:v>
                </c:pt>
                <c:pt idx="2">
                  <c:v>0.97721899999999995</c:v>
                </c:pt>
              </c:numCache>
            </c:numRef>
          </c:val>
          <c:extLst>
            <c:ext xmlns:c16="http://schemas.microsoft.com/office/drawing/2014/chart" uri="{C3380CC4-5D6E-409C-BE32-E72D297353CC}">
              <c16:uniqueId val="{0000000C-6665-4E6A-AA34-1DB761AE50D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565234618691936"/>
                  <c:y val="-0.0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C7-464A-A535-B281E26955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F7C7-464A-A535-B281E26955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2.9561533662681886E-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776-4E2B-AC85-7A11F0F27A2C}"/>
                </c:ext>
              </c:extLst>
            </c:dLbl>
            <c:dLbl>
              <c:idx val="1"/>
              <c:layout>
                <c:manualLayout>
                  <c:x val="0.16288834746834377"/>
                  <c:y val="-2.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776-4E2B-AC85-7A11F0F27A2C}"/>
                </c:ext>
              </c:extLst>
            </c:dLbl>
            <c:dLbl>
              <c:idx val="2"/>
              <c:layout>
                <c:manualLayout>
                  <c:x val="-0.18021337402417845"/>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776-4E2B-AC85-7A11F0F27A2C}"/>
                </c:ext>
              </c:extLst>
            </c:dLbl>
            <c:dLbl>
              <c:idx val="3"/>
              <c:layout>
                <c:manualLayout>
                  <c:x val="7.3542801261191389E-3"/>
                  <c:y val="-5.27002624671916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776-4E2B-AC85-7A11F0F27A2C}"/>
                </c:ext>
              </c:extLst>
            </c:dLbl>
            <c:dLbl>
              <c:idx val="4"/>
              <c:layout>
                <c:manualLayout>
                  <c:x val="-0.23435566271560809"/>
                  <c:y val="-5.492248468941382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776-4E2B-AC85-7A11F0F27A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MT'!$J$9:$J$13</c:f>
              <c:strCache>
                <c:ptCount val="5"/>
                <c:pt idx="0">
                  <c:v>Net Current Asset</c:v>
                </c:pt>
                <c:pt idx="1">
                  <c:v>TRI Party Repo</c:v>
                </c:pt>
                <c:pt idx="2">
                  <c:v>Government Bond</c:v>
                </c:pt>
                <c:pt idx="3">
                  <c:v>PTC</c:v>
                </c:pt>
                <c:pt idx="4">
                  <c:v>State Government Bond</c:v>
                </c:pt>
              </c:strCache>
            </c:strRef>
          </c:cat>
          <c:val>
            <c:numRef>
              <c:f>'IDFC BOND MT'!$K$9:$K$13</c:f>
              <c:numCache>
                <c:formatCode>0.00%</c:formatCode>
                <c:ptCount val="5"/>
                <c:pt idx="0">
                  <c:v>2.0792000000000001E-2</c:v>
                </c:pt>
                <c:pt idx="1">
                  <c:v>1.3500000000000001E-3</c:v>
                </c:pt>
                <c:pt idx="2">
                  <c:v>0.95142800000000005</c:v>
                </c:pt>
                <c:pt idx="3">
                  <c:v>1.1734E-2</c:v>
                </c:pt>
                <c:pt idx="4">
                  <c:v>1.4696000000000001E-2</c:v>
                </c:pt>
              </c:numCache>
            </c:numRef>
          </c:val>
          <c:extLst>
            <c:ext xmlns:c16="http://schemas.microsoft.com/office/drawing/2014/chart" uri="{C3380CC4-5D6E-409C-BE32-E72D297353CC}">
              <c16:uniqueId val="{0000000C-7776-4E2B-AC85-7A11F0F27A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348960528756175"/>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247-4A23-B589-B5FA58DE427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5247-4A23-B589-B5FA58DE427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layout>
                <c:manualLayout>
                  <c:x val="-0.20220430288826316"/>
                  <c:y val="-2.29986661503377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281-4EF0-869C-953D3211FCD0}"/>
                </c:ext>
              </c:extLst>
            </c:dLbl>
            <c:dLbl>
              <c:idx val="1"/>
              <c:layout>
                <c:manualLayout>
                  <c:x val="-2.0731086344399671E-2"/>
                  <c:y val="-2.29986661503377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281-4EF0-869C-953D3211FCD0}"/>
                </c:ext>
              </c:extLst>
            </c:dLbl>
            <c:dLbl>
              <c:idx val="2"/>
              <c:layout>
                <c:manualLayout>
                  <c:x val="-6.7561584245224168E-2"/>
                  <c:y val="-0.1442774407297448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281-4EF0-869C-953D3211FCD0}"/>
                </c:ext>
              </c:extLst>
            </c:dLbl>
            <c:dLbl>
              <c:idx val="3"/>
              <c:layout>
                <c:manualLayout>
                  <c:x val="-3.7299060850798364E-2"/>
                  <c:y val="8.11438406264790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281-4EF0-869C-953D3211FCD0}"/>
                </c:ext>
              </c:extLst>
            </c:dLbl>
            <c:dLbl>
              <c:idx val="4"/>
              <c:layout>
                <c:manualLayout>
                  <c:x val="7.0827108870491831E-2"/>
                  <c:y val="0.220381567058216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F281-4EF0-869C-953D3211FCD0}"/>
                </c:ext>
              </c:extLst>
            </c:dLbl>
            <c:dLbl>
              <c:idx val="5"/>
              <c:layout>
                <c:manualLayout>
                  <c:x val="-0.30711123101047061"/>
                  <c:y val="-2.40915623252011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F281-4EF0-869C-953D3211FC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ST'!$J$9:$J$14</c:f>
              <c:strCache>
                <c:ptCount val="6"/>
                <c:pt idx="0">
                  <c:v>Net Current Asset</c:v>
                </c:pt>
                <c:pt idx="1">
                  <c:v>TRI Party Repo</c:v>
                </c:pt>
                <c:pt idx="2">
                  <c:v>Certificate of Deposit</c:v>
                </c:pt>
                <c:pt idx="3">
                  <c:v>Corporate Bond</c:v>
                </c:pt>
                <c:pt idx="4">
                  <c:v>Government Bond</c:v>
                </c:pt>
                <c:pt idx="5">
                  <c:v>PTC</c:v>
                </c:pt>
              </c:strCache>
            </c:strRef>
          </c:cat>
          <c:val>
            <c:numRef>
              <c:f>'IDFC BOND ST'!$K$9:$K$14</c:f>
              <c:numCache>
                <c:formatCode>0.00%</c:formatCode>
                <c:ptCount val="6"/>
                <c:pt idx="0">
                  <c:v>1.3004E-2</c:v>
                </c:pt>
                <c:pt idx="1">
                  <c:v>4.5560000000000002E-3</c:v>
                </c:pt>
                <c:pt idx="2">
                  <c:v>0.37773699999999999</c:v>
                </c:pt>
                <c:pt idx="3">
                  <c:v>1.1887E-2</c:v>
                </c:pt>
                <c:pt idx="4">
                  <c:v>0.58741399999999999</c:v>
                </c:pt>
                <c:pt idx="5">
                  <c:v>5.4019999999999997E-3</c:v>
                </c:pt>
              </c:numCache>
            </c:numRef>
          </c:val>
          <c:extLst>
            <c:ext xmlns:c16="http://schemas.microsoft.com/office/drawing/2014/chart" uri="{C3380CC4-5D6E-409C-BE32-E72D297353CC}">
              <c16:uniqueId val="{0000000C-F281-4EF0-869C-953D3211FC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14-45A9-9A35-36402141196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F514-45A9-9A35-36402141196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4F1-4E13-8AF3-86F3C971050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4F1-4E13-8AF3-86F3C971050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4F1-4E13-8AF3-86F3C9710500}"/>
                </c:ext>
              </c:extLst>
            </c:dLbl>
            <c:dLbl>
              <c:idx val="3"/>
              <c:layout>
                <c:manualLayout>
                  <c:x val="7.0024111011819448E-2"/>
                  <c:y val="0.1130799650043744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4F1-4E13-8AF3-86F3C9710500}"/>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4F1-4E13-8AF3-86F3C971050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4F1-4E13-8AF3-86F3C971050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4F1-4E13-8AF3-86F3C971050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4F1-4E13-8AF3-86F3C971050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Treasury Bill</c:v>
                </c:pt>
              </c:strCache>
            </c:strRef>
          </c:cat>
          <c:val>
            <c:numRef>
              <c:f>'IDFC BPDF'!$K$9:$K$16</c:f>
              <c:numCache>
                <c:formatCode>0.00%</c:formatCode>
                <c:ptCount val="8"/>
                <c:pt idx="0">
                  <c:v>2.8972999999999999E-2</c:v>
                </c:pt>
                <c:pt idx="1">
                  <c:v>4.5136999999999997E-2</c:v>
                </c:pt>
                <c:pt idx="2">
                  <c:v>0.27700000000000002</c:v>
                </c:pt>
                <c:pt idx="3">
                  <c:v>0.52594200000000002</c:v>
                </c:pt>
                <c:pt idx="4">
                  <c:v>1.091E-2</c:v>
                </c:pt>
                <c:pt idx="5">
                  <c:v>3.5382999999999998E-2</c:v>
                </c:pt>
                <c:pt idx="6">
                  <c:v>2.5599E-2</c:v>
                </c:pt>
                <c:pt idx="7">
                  <c:v>5.1055999999999997E-2</c:v>
                </c:pt>
              </c:numCache>
            </c:numRef>
          </c:val>
          <c:extLst>
            <c:ext xmlns:c16="http://schemas.microsoft.com/office/drawing/2014/chart" uri="{C3380CC4-5D6E-409C-BE32-E72D297353CC}">
              <c16:uniqueId val="{0000000C-34F1-4E13-8AF3-86F3C971050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0663642956"/>
                  <c:y val="-3.02043081619202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9D6-4E55-AF9D-E3CED0FAE0F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49D6-4E55-AF9D-E3CED0FAE0F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C3F-4781-A9E1-F72B276C523C}"/>
                </c:ext>
              </c:extLst>
            </c:dLbl>
            <c:dLbl>
              <c:idx val="1"/>
              <c:layout>
                <c:manualLayout>
                  <c:x val="0.22150769697685005"/>
                  <c:y val="-0.120125984251968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C3F-4781-A9E1-F72B276C523C}"/>
                </c:ext>
              </c:extLst>
            </c:dLbl>
            <c:dLbl>
              <c:idx val="2"/>
              <c:layout>
                <c:manualLayout>
                  <c:x val="0.15244878517594293"/>
                  <c:y val="4.679862530995780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7C3F-4781-A9E1-F72B276C523C}"/>
                </c:ext>
              </c:extLst>
            </c:dLbl>
            <c:dLbl>
              <c:idx val="3"/>
              <c:layout>
                <c:manualLayout>
                  <c:x val="-1.4947141243318888E-3"/>
                  <c:y val="3.415774133205724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7C3F-4781-A9E1-F72B276C523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7C3F-4781-A9E1-F72B276C523C}"/>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7C3F-4781-A9E1-F72B276C523C}"/>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7C3F-4781-A9E1-F72B276C523C}"/>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7C3F-4781-A9E1-F72B276C523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'IDFC-CBF'!$K$9:$K$16</c:f>
              <c:numCache>
                <c:formatCode>0.00%</c:formatCode>
                <c:ptCount val="8"/>
                <c:pt idx="0">
                  <c:v>2.6539E-2</c:v>
                </c:pt>
                <c:pt idx="1">
                  <c:v>1.797E-2</c:v>
                </c:pt>
                <c:pt idx="2">
                  <c:v>4.7028E-2</c:v>
                </c:pt>
                <c:pt idx="3">
                  <c:v>0.68925700000000001</c:v>
                </c:pt>
                <c:pt idx="4">
                  <c:v>5.9280000000000001E-3</c:v>
                </c:pt>
                <c:pt idx="5">
                  <c:v>0.157301</c:v>
                </c:pt>
                <c:pt idx="6">
                  <c:v>5.586E-2</c:v>
                </c:pt>
                <c:pt idx="7">
                  <c:v>1.17E-4</c:v>
                </c:pt>
              </c:numCache>
            </c:numRef>
          </c:val>
          <c:extLst>
            <c:ext xmlns:c16="http://schemas.microsoft.com/office/drawing/2014/chart" uri="{C3380CC4-5D6E-409C-BE32-E72D297353CC}">
              <c16:uniqueId val="{0000000C-7C3F-4781-A9E1-F72B276C523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7.5323896879057065E-2"/>
                  <c:y val="-0.153550938291303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5192179938963732"/>
                      <c:h val="0.16519823788546256"/>
                    </c:manualLayout>
                  </c15:layout>
                </c:ext>
                <c:ext xmlns:c16="http://schemas.microsoft.com/office/drawing/2014/chart" uri="{C3380CC4-5D6E-409C-BE32-E72D297353CC}">
                  <c16:uniqueId val="{0000000D-EBCE-411A-AE87-36C2BBE80844}"/>
                </c:ext>
              </c:extLst>
            </c:dLbl>
            <c:dLbl>
              <c:idx val="1"/>
              <c:layout>
                <c:manualLayout>
                  <c:x val="-6.5297003827412367E-2"/>
                  <c:y val="4.3396926705747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BCE-411A-AE87-36C2BBE80844}"/>
                </c:ext>
              </c:extLst>
            </c:dLbl>
            <c:dLbl>
              <c:idx val="2"/>
              <c:layout>
                <c:manualLayout>
                  <c:x val="5.2188369387445414E-2"/>
                  <c:y val="-8.311769398869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BCE-411A-AE87-36C2BBE80844}"/>
                </c:ext>
              </c:extLst>
            </c:dLbl>
            <c:dLbl>
              <c:idx val="3"/>
              <c:layout>
                <c:manualLayout>
                  <c:x val="3.0266907214756612E-3"/>
                  <c:y val="-3.91817267334975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BCE-411A-AE87-36C2BBE8084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0.36735400000000001</c:v>
                </c:pt>
                <c:pt idx="1">
                  <c:v>0.38012100000000004</c:v>
                </c:pt>
                <c:pt idx="2">
                  <c:v>0.16234299999999999</c:v>
                </c:pt>
                <c:pt idx="3">
                  <c:v>9.0181999999999998E-2</c:v>
                </c:pt>
              </c:numCache>
            </c:numRef>
          </c:val>
          <c:extLst>
            <c:ext xmlns:c16="http://schemas.microsoft.com/office/drawing/2014/chart" uri="{C3380CC4-5D6E-409C-BE32-E72D297353CC}">
              <c16:uniqueId val="{0000000C-EBCE-411A-AE87-36C2BBE8084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A92-45DC-8B85-AC8393C5A6B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A92-45DC-8B85-AC8393C5A6BD}"/>
                </c:ext>
              </c:extLst>
            </c:dLbl>
            <c:dLbl>
              <c:idx val="2"/>
              <c:layout>
                <c:manualLayout>
                  <c:x val="-4.3525181675631019E-2"/>
                  <c:y val="0.1820444782492199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A92-45DC-8B85-AC8393C5A6BD}"/>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A92-45DC-8B85-AC8393C5A6BD}"/>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A92-45DC-8B85-AC8393C5A6BD}"/>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A92-45DC-8B85-AC8393C5A6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CRF'!$J$9:$J$14</c:f>
              <c:strCache>
                <c:ptCount val="6"/>
                <c:pt idx="0">
                  <c:v>Net Current Asset</c:v>
                </c:pt>
                <c:pt idx="1">
                  <c:v>TRI Party Repo</c:v>
                </c:pt>
                <c:pt idx="2">
                  <c:v>Corporate Bond</c:v>
                </c:pt>
                <c:pt idx="3">
                  <c:v>Government Bond</c:v>
                </c:pt>
                <c:pt idx="4">
                  <c:v>PTC</c:v>
                </c:pt>
                <c:pt idx="5">
                  <c:v>Zero Coupon Bond</c:v>
                </c:pt>
              </c:strCache>
            </c:strRef>
          </c:cat>
          <c:val>
            <c:numRef>
              <c:f>'IDFC CRF'!$K$9:$K$14</c:f>
              <c:numCache>
                <c:formatCode>0.00%</c:formatCode>
                <c:ptCount val="6"/>
                <c:pt idx="0">
                  <c:v>1.4364999999999999E-2</c:v>
                </c:pt>
                <c:pt idx="1">
                  <c:v>4.4616000000000003E-2</c:v>
                </c:pt>
                <c:pt idx="2">
                  <c:v>0.62358999999999998</c:v>
                </c:pt>
                <c:pt idx="3">
                  <c:v>0.13963300000000001</c:v>
                </c:pt>
                <c:pt idx="4">
                  <c:v>7.4397000000000005E-2</c:v>
                </c:pt>
                <c:pt idx="5">
                  <c:v>0.103399</c:v>
                </c:pt>
              </c:numCache>
            </c:numRef>
          </c:val>
          <c:extLst>
            <c:ext xmlns:c16="http://schemas.microsoft.com/office/drawing/2014/chart" uri="{C3380CC4-5D6E-409C-BE32-E72D297353CC}">
              <c16:uniqueId val="{0000000C-CA92-45DC-8B85-AC8393C5A6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779367381004571"/>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607-44CB-80A2-7F0F0D2FAC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c:f>
              <c:strCache>
                <c:ptCount val="1"/>
                <c:pt idx="0">
                  <c:v>AAA EQUIVALENT</c:v>
                </c:pt>
              </c:strCache>
            </c:strRef>
          </c:cat>
          <c:val>
            <c:numRef>
              <c:f>'IDFC FRF'!$H$8</c:f>
              <c:numCache>
                <c:formatCode>0%</c:formatCode>
                <c:ptCount val="1"/>
                <c:pt idx="0">
                  <c:v>1</c:v>
                </c:pt>
              </c:numCache>
            </c:numRef>
          </c:val>
          <c:extLst>
            <c:ext xmlns:c16="http://schemas.microsoft.com/office/drawing/2014/chart" uri="{C3380CC4-5D6E-409C-BE32-E72D297353CC}">
              <c16:uniqueId val="{0000000C-4607-44CB-80A2-7F0F0D2FAC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layout>
                <c:manualLayout>
                  <c:x val="0.20804397309008751"/>
                  <c:y val="-1.11714112658994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CD0-4D96-B95D-637B6259C2D5}"/>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BCD0-4D96-B95D-637B6259C2D5}"/>
                </c:ext>
              </c:extLst>
            </c:dLbl>
            <c:dLbl>
              <c:idx val="2"/>
              <c:layout>
                <c:manualLayout>
                  <c:x val="-8.5227537136016454E-2"/>
                  <c:y val="0.275949467854979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BCD0-4D96-B95D-637B6259C2D5}"/>
                </c:ext>
              </c:extLst>
            </c:dLbl>
            <c:dLbl>
              <c:idx val="3"/>
              <c:layout>
                <c:manualLayout>
                  <c:x val="5.5302483602825879E-2"/>
                  <c:y val="0.282037206887600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BCD0-4D96-B95D-637B6259C2D5}"/>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BCD0-4D96-B95D-637B6259C2D5}"/>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BCD0-4D96-B95D-637B6259C2D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FRF'!$J$9:$J$14</c:f>
              <c:strCache>
                <c:ptCount val="5"/>
                <c:pt idx="0">
                  <c:v>Net Current Asset</c:v>
                </c:pt>
                <c:pt idx="1">
                  <c:v>TRI Party Repo</c:v>
                </c:pt>
                <c:pt idx="2">
                  <c:v>Certificate of Deposit</c:v>
                </c:pt>
                <c:pt idx="3">
                  <c:v>Corporate Bond</c:v>
                </c:pt>
                <c:pt idx="4">
                  <c:v>Government Bond</c:v>
                </c:pt>
              </c:strCache>
            </c:strRef>
          </c:cat>
          <c:val>
            <c:numRef>
              <c:f>'IDFC FRF'!$K$9:$K$14</c:f>
              <c:numCache>
                <c:formatCode>0.00%</c:formatCode>
                <c:ptCount val="6"/>
                <c:pt idx="0">
                  <c:v>3.0712E-2</c:v>
                </c:pt>
                <c:pt idx="1">
                  <c:v>4.0540000000000003E-3</c:v>
                </c:pt>
                <c:pt idx="2">
                  <c:v>0.56283099999999997</c:v>
                </c:pt>
                <c:pt idx="3">
                  <c:v>0.22107599999999999</c:v>
                </c:pt>
                <c:pt idx="4">
                  <c:v>0.181312</c:v>
                </c:pt>
              </c:numCache>
            </c:numRef>
          </c:val>
          <c:extLst>
            <c:ext xmlns:c16="http://schemas.microsoft.com/office/drawing/2014/chart" uri="{C3380CC4-5D6E-409C-BE32-E72D297353CC}">
              <c16:uniqueId val="{0000000C-BCD0-4D96-B95D-637B6259C2D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9.82532751091701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395449257279671"/>
                      <c:h val="0.16375545851528386"/>
                    </c:manualLayout>
                  </c15:layout>
                </c:ext>
                <c:ext xmlns:c16="http://schemas.microsoft.com/office/drawing/2014/chart" uri="{C3380CC4-5D6E-409C-BE32-E72D297353CC}">
                  <c16:uniqueId val="{0000000D-C35F-4C4E-BA4F-1B3C959C8A8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'IDFC-CGIF2027'!$G$8</c:f>
              <c:strCache>
                <c:ptCount val="1"/>
                <c:pt idx="0">
                  <c:v>AAA EQUIVALENT</c:v>
                </c:pt>
              </c:strCache>
            </c:strRef>
          </c:cat>
          <c:val>
            <c:numRef>
              <c:f>'IDFC-CGIF2027'!$H$8</c:f>
              <c:numCache>
                <c:formatCode>0%</c:formatCode>
                <c:ptCount val="1"/>
                <c:pt idx="0">
                  <c:v>1</c:v>
                </c:pt>
              </c:numCache>
            </c:numRef>
          </c:val>
          <c:extLst>
            <c:ext xmlns:c16="http://schemas.microsoft.com/office/drawing/2014/chart" uri="{C3380CC4-5D6E-409C-BE32-E72D297353CC}">
              <c16:uniqueId val="{0000000C-C35F-4C4E-BA4F-1B3C959C8A8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1E8-4231-A4B8-4464F31FB69F}"/>
                </c:ext>
              </c:extLst>
            </c:dLbl>
            <c:dLbl>
              <c:idx val="1"/>
              <c:layout>
                <c:manualLayout>
                  <c:x val="0.13422060732772437"/>
                  <c:y val="-1.14141732283464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1E8-4231-A4B8-4464F31FB69F}"/>
                </c:ext>
              </c:extLst>
            </c:dLbl>
            <c:dLbl>
              <c:idx val="2"/>
              <c:layout>
                <c:manualLayout>
                  <c:x val="-0.19299642550034565"/>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1E8-4231-A4B8-4464F31FB69F}"/>
                </c:ext>
              </c:extLst>
            </c:dLbl>
            <c:dLbl>
              <c:idx val="3"/>
              <c:layout>
                <c:manualLayout>
                  <c:x val="-0.20502731457283044"/>
                  <c:y val="-3.38113735783026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61E8-4231-A4B8-4464F31FB69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'IDFC-CGIF2027'!$J$9:$J$12</c:f>
              <c:strCache>
                <c:ptCount val="4"/>
                <c:pt idx="0">
                  <c:v>Net Current Asset</c:v>
                </c:pt>
                <c:pt idx="1">
                  <c:v>TRI Party Repo</c:v>
                </c:pt>
                <c:pt idx="2">
                  <c:v>Government Bond</c:v>
                </c:pt>
                <c:pt idx="3">
                  <c:v>Treasury Bill</c:v>
                </c:pt>
              </c:strCache>
            </c:strRef>
          </c:cat>
          <c:val>
            <c:numRef>
              <c:f>'IDFC-CGIF2027'!$K$9:$K$12</c:f>
              <c:numCache>
                <c:formatCode>0.00%</c:formatCode>
                <c:ptCount val="4"/>
                <c:pt idx="0">
                  <c:v>1.0355E-2</c:v>
                </c:pt>
                <c:pt idx="1">
                  <c:v>3.2502999999999997E-2</c:v>
                </c:pt>
                <c:pt idx="2">
                  <c:v>0.94938800000000001</c:v>
                </c:pt>
                <c:pt idx="3">
                  <c:v>7.7539999999999996E-3</c:v>
                </c:pt>
              </c:numCache>
            </c:numRef>
          </c:val>
          <c:extLst>
            <c:ext xmlns:c16="http://schemas.microsoft.com/office/drawing/2014/chart" uri="{C3380CC4-5D6E-409C-BE32-E72D297353CC}">
              <c16:uniqueId val="{0000000C-61E8-4231-A4B8-4464F31FB69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2.292576419213973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E5-4266-80DD-2A83D1F265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'IDFC-CGIF2028'!$G$8</c:f>
              <c:strCache>
                <c:ptCount val="1"/>
                <c:pt idx="0">
                  <c:v>AAA EQUIVALENT</c:v>
                </c:pt>
              </c:strCache>
            </c:strRef>
          </c:cat>
          <c:val>
            <c:numRef>
              <c:f>'IDFC-CGIF2028'!$H$8</c:f>
              <c:numCache>
                <c:formatCode>0%</c:formatCode>
                <c:ptCount val="1"/>
                <c:pt idx="0">
                  <c:v>1</c:v>
                </c:pt>
              </c:numCache>
            </c:numRef>
          </c:val>
          <c:extLst>
            <c:ext xmlns:c16="http://schemas.microsoft.com/office/drawing/2014/chart" uri="{C3380CC4-5D6E-409C-BE32-E72D297353CC}">
              <c16:uniqueId val="{0000000C-09E5-4266-80DD-2A83D1F265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8BF-4074-86CD-4A8DB8410C55}"/>
                </c:ext>
              </c:extLst>
            </c:dLbl>
            <c:dLbl>
              <c:idx val="1"/>
              <c:layout>
                <c:manualLayout>
                  <c:x val="0.12460899694818654"/>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8BF-4074-86CD-4A8DB8410C55}"/>
                </c:ext>
              </c:extLst>
            </c:dLbl>
            <c:dLbl>
              <c:idx val="2"/>
              <c:layout>
                <c:manualLayout>
                  <c:x val="-0.18630477667807585"/>
                  <c:y val="-2.359685039370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8BF-4074-86CD-4A8DB8410C55}"/>
                </c:ext>
              </c:extLst>
            </c:dLbl>
            <c:dLbl>
              <c:idx val="3"/>
              <c:layout>
                <c:manualLayout>
                  <c:x val="-0.16005943448717733"/>
                  <c:y val="-6.38113735783027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8BF-4074-86CD-4A8DB8410C5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'IDFC-CGIF2028'!$J$9:$J$12</c:f>
              <c:strCache>
                <c:ptCount val="4"/>
                <c:pt idx="0">
                  <c:v>Net Current Asset</c:v>
                </c:pt>
                <c:pt idx="1">
                  <c:v>TRI Party Repo</c:v>
                </c:pt>
                <c:pt idx="2">
                  <c:v>Government Bond</c:v>
                </c:pt>
                <c:pt idx="3">
                  <c:v>Treasury Bill</c:v>
                </c:pt>
              </c:strCache>
            </c:strRef>
          </c:cat>
          <c:val>
            <c:numRef>
              <c:f>'IDFC-CGIF2028'!$K$9:$K$12</c:f>
              <c:numCache>
                <c:formatCode>0.00%</c:formatCode>
                <c:ptCount val="4"/>
                <c:pt idx="0">
                  <c:v>1.4224000000000001E-2</c:v>
                </c:pt>
                <c:pt idx="1">
                  <c:v>3.1220000000000001E-2</c:v>
                </c:pt>
                <c:pt idx="2">
                  <c:v>0.94611500000000004</c:v>
                </c:pt>
                <c:pt idx="3">
                  <c:v>8.4410000000000006E-3</c:v>
                </c:pt>
              </c:numCache>
            </c:numRef>
          </c:val>
          <c:extLst>
            <c:ext xmlns:c16="http://schemas.microsoft.com/office/drawing/2014/chart" uri="{C3380CC4-5D6E-409C-BE32-E72D297353CC}">
              <c16:uniqueId val="{0000000C-E8BF-4074-86CD-4A8DB8410C5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2AE-450D-8484-C1D85CEF226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D2AE-450D-8484-C1D85CEF226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DE5-4F22-8D54-B0F5D365F0AE}"/>
                </c:ext>
              </c:extLst>
            </c:dLbl>
            <c:dLbl>
              <c:idx val="1"/>
              <c:layout>
                <c:manualLayout>
                  <c:x val="0.10346650592658788"/>
                  <c:y val="3.966404199475065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DE5-4F22-8D54-B0F5D365F0AE}"/>
                </c:ext>
              </c:extLst>
            </c:dLbl>
            <c:dLbl>
              <c:idx val="2"/>
              <c:layout>
                <c:manualLayout>
                  <c:x val="-0.17591621844913927"/>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DE5-4F22-8D54-B0F5D365F0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2.1555999999999999E-2</c:v>
                </c:pt>
                <c:pt idx="1">
                  <c:v>4.4900000000000002E-4</c:v>
                </c:pt>
                <c:pt idx="2">
                  <c:v>0.97799499999999995</c:v>
                </c:pt>
              </c:numCache>
            </c:numRef>
          </c:val>
          <c:extLst>
            <c:ext xmlns:c16="http://schemas.microsoft.com/office/drawing/2014/chart" uri="{C3380CC4-5D6E-409C-BE32-E72D297353CC}">
              <c16:uniqueId val="{0000000C-DDE5-4F22-8D54-B0F5D365F0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5.372807017543859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832-40AB-955D-1C3280C1907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D832-40AB-955D-1C3280C1907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4BC-491D-8FD1-F5E3E47F67EA}"/>
                </c:ext>
              </c:extLst>
            </c:dLbl>
            <c:dLbl>
              <c:idx val="1"/>
              <c:layout>
                <c:manualLayout>
                  <c:x val="0.12112933956060631"/>
                  <c:y val="-2.525284339457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4BC-491D-8FD1-F5E3E47F67EA}"/>
                </c:ext>
              </c:extLst>
            </c:dLbl>
            <c:dLbl>
              <c:idx val="2"/>
              <c:layout>
                <c:manualLayout>
                  <c:x val="-0.18308283734340489"/>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4BC-491D-8FD1-F5E3E47F67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2.4634E-2</c:v>
                </c:pt>
                <c:pt idx="1">
                  <c:v>1.0303E-2</c:v>
                </c:pt>
                <c:pt idx="2">
                  <c:v>0.965063</c:v>
                </c:pt>
              </c:numCache>
            </c:numRef>
          </c:val>
          <c:extLst>
            <c:ext xmlns:c16="http://schemas.microsoft.com/office/drawing/2014/chart" uri="{C3380CC4-5D6E-409C-BE32-E72D297353CC}">
              <c16:uniqueId val="{0000000C-84BC-491D-8FD1-F5E3E47F67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5.482456140350876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D83-4D2F-A9E4-1B4FCC0B86C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8D83-4D2F-A9E4-1B4FCC0B86C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layout>
                <c:manualLayout>
                  <c:x val="0.17103778515908202"/>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D40-4202-BD65-9D454DADAEF7}"/>
                </c:ext>
              </c:extLst>
            </c:dLbl>
            <c:dLbl>
              <c:idx val="1"/>
              <c:layout>
                <c:manualLayout>
                  <c:x val="-8.3492218718912811E-2"/>
                  <c:y val="-6.03359580052493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D40-4202-BD65-9D454DADAEF7}"/>
                </c:ext>
              </c:extLst>
            </c:dLbl>
            <c:dLbl>
              <c:idx val="2"/>
              <c:layout>
                <c:manualLayout>
                  <c:x val="-0.25551981992614947"/>
                  <c:y val="-1.69301837270341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D40-4202-BD65-9D454DADAEF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-1.407E-3</c:v>
                </c:pt>
                <c:pt idx="1">
                  <c:v>7.1580000000000003E-3</c:v>
                </c:pt>
                <c:pt idx="2">
                  <c:v>0.99424900000000005</c:v>
                </c:pt>
              </c:numCache>
            </c:numRef>
          </c:val>
          <c:extLst>
            <c:ext xmlns:c16="http://schemas.microsoft.com/office/drawing/2014/chart" uri="{C3380CC4-5D6E-409C-BE32-E72D297353CC}">
              <c16:uniqueId val="{0000000C-ED40-4202-BD65-9D454DADAEF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C957515-85FD-491B-9A2B-3BC1BD594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C9F25B7-4E4F-4B9D-B17B-484EA4CCF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BC0DC21-4B26-42B3-B4BA-4D8D2724F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57CCEE0-EA02-493C-9270-426049866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0919260-2D2F-441D-9234-028452028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104E0CDD-AC6F-44E2-8D9B-9E81DE498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38100</xdr:colOff>
      <xdr:row>7</xdr:row>
      <xdr:rowOff>25401</xdr:rowOff>
    </xdr:from>
    <xdr:to>
      <xdr:col>13</xdr:col>
      <xdr:colOff>584200</xdr:colOff>
      <xdr:row>22</xdr:row>
      <xdr:rowOff>25401</xdr:rowOff>
    </xdr:to>
    <xdr:graphicFrame macro="">
      <xdr:nvGraphicFramePr>
        <xdr:cNvPr id="2" name="Chart 1">
          <a:extLst>
            <a:ext uri="{FF2B5EF4-FFF2-40B4-BE49-F238E27FC236}">
              <a16:creationId xmlns:a16="http://schemas.microsoft.com/office/drawing/2014/main" id="{24A5D8B3-92C6-4627-9FDC-E85422DB6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040AC248-1EE4-4023-B889-C9F39F4713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546100</xdr:colOff>
      <xdr:row>7</xdr:row>
      <xdr:rowOff>25400</xdr:rowOff>
    </xdr:from>
    <xdr:to>
      <xdr:col>13</xdr:col>
      <xdr:colOff>482600</xdr:colOff>
      <xdr:row>22</xdr:row>
      <xdr:rowOff>25400</xdr:rowOff>
    </xdr:to>
    <xdr:graphicFrame macro="">
      <xdr:nvGraphicFramePr>
        <xdr:cNvPr id="2" name="Chart 1">
          <a:extLst>
            <a:ext uri="{FF2B5EF4-FFF2-40B4-BE49-F238E27FC236}">
              <a16:creationId xmlns:a16="http://schemas.microsoft.com/office/drawing/2014/main" id="{72D4ED71-8044-4652-BD18-CAC8E4DC05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6E06DEE7-3037-4B92-B324-C1A55206C1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04E736B5-DF5D-4212-8D02-990BD2A3A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5E1821AF-A2B8-4063-9A01-494332E843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A11568B-5848-4012-BAEE-2670503A10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94C451F-A21E-4B78-BF11-39D63E207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BAFE2F9-8B78-40E5-8133-F9AA2DB7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1F80DC9C-CB09-494B-AD18-2F674A548C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4E037D00-39E2-4B48-B9A3-A69A903CAC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8A880563-215E-4F15-A3AA-188B6EFA2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596900</xdr:colOff>
      <xdr:row>7</xdr:row>
      <xdr:rowOff>63500</xdr:rowOff>
    </xdr:from>
    <xdr:to>
      <xdr:col>13</xdr:col>
      <xdr:colOff>533400</xdr:colOff>
      <xdr:row>22</xdr:row>
      <xdr:rowOff>63500</xdr:rowOff>
    </xdr:to>
    <xdr:graphicFrame macro="">
      <xdr:nvGraphicFramePr>
        <xdr:cNvPr id="2" name="Chart 1">
          <a:extLst>
            <a:ext uri="{FF2B5EF4-FFF2-40B4-BE49-F238E27FC236}">
              <a16:creationId xmlns:a16="http://schemas.microsoft.com/office/drawing/2014/main" id="{38F85D8C-E9B3-4DB5-A8D2-66522C7D12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579EDB6-7EBA-405D-B9D7-EDEFA4B5A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571500</xdr:colOff>
      <xdr:row>7</xdr:row>
      <xdr:rowOff>12700</xdr:rowOff>
    </xdr:from>
    <xdr:to>
      <xdr:col>13</xdr:col>
      <xdr:colOff>508000</xdr:colOff>
      <xdr:row>22</xdr:row>
      <xdr:rowOff>12700</xdr:rowOff>
    </xdr:to>
    <xdr:graphicFrame macro="">
      <xdr:nvGraphicFramePr>
        <xdr:cNvPr id="2" name="Chart 1">
          <a:extLst>
            <a:ext uri="{FF2B5EF4-FFF2-40B4-BE49-F238E27FC236}">
              <a16:creationId xmlns:a16="http://schemas.microsoft.com/office/drawing/2014/main" id="{F2979A4C-00EC-49C9-8794-AE546FE7F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36DBF52D-8BE9-47E1-B368-C4F25B5FF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50800</xdr:rowOff>
    </xdr:from>
    <xdr:to>
      <xdr:col>13</xdr:col>
      <xdr:colOff>546100</xdr:colOff>
      <xdr:row>22</xdr:row>
      <xdr:rowOff>50800</xdr:rowOff>
    </xdr:to>
    <xdr:graphicFrame macro="">
      <xdr:nvGraphicFramePr>
        <xdr:cNvPr id="2" name="Chart 1">
          <a:extLst>
            <a:ext uri="{FF2B5EF4-FFF2-40B4-BE49-F238E27FC236}">
              <a16:creationId xmlns:a16="http://schemas.microsoft.com/office/drawing/2014/main" id="{950AFAD4-C1C9-4304-BDD3-1364EEF1A2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9712D5D6-FFE2-40FA-97D6-AE474838F9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12700</xdr:colOff>
      <xdr:row>7</xdr:row>
      <xdr:rowOff>12701</xdr:rowOff>
    </xdr:from>
    <xdr:to>
      <xdr:col>13</xdr:col>
      <xdr:colOff>558800</xdr:colOff>
      <xdr:row>22</xdr:row>
      <xdr:rowOff>12701</xdr:rowOff>
    </xdr:to>
    <xdr:graphicFrame macro="">
      <xdr:nvGraphicFramePr>
        <xdr:cNvPr id="2" name="Chart 1">
          <a:extLst>
            <a:ext uri="{FF2B5EF4-FFF2-40B4-BE49-F238E27FC236}">
              <a16:creationId xmlns:a16="http://schemas.microsoft.com/office/drawing/2014/main" id="{F6BE60B4-DA52-4B08-AD19-A408479E2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5D195883-8743-4B87-B23A-AB824B639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715DAFD5-7DC0-4B3C-9329-0519B9B69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9C0F0B0-8C94-4312-BE84-94A17CE38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E004B6D5-59E2-449C-92C6-0181C6EEC1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6267BBE-C99D-4692-8C70-C0B7C34E1E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AE67766-8BB2-4185-A7FC-7391D1E92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F3E8277-0BF2-4282-B0BC-42560265E5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B9A89CE7-FE08-43D7-BFCD-01C4BB13DC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C26923F-3A91-4749-9541-A1DBA7A49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DC3D26B-5220-4B6F-9347-E3251F0D8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970722BF-C232-491F-8381-EB40EB2FA4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6AF5E-0E34-4AC0-B458-1D1961A1CDAE}">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161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162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9</v>
      </c>
      <c r="D8" s="6"/>
      <c r="E8" s="11">
        <v>0.99395699999999998</v>
      </c>
      <c r="F8" s="1"/>
      <c r="G8" s="24" t="s">
        <v>16</v>
      </c>
      <c r="H8" s="25">
        <v>1</v>
      </c>
      <c r="I8" s="1"/>
      <c r="J8" s="24" t="s">
        <v>13</v>
      </c>
      <c r="K8" s="24" t="s">
        <v>5</v>
      </c>
      <c r="L8" s="1"/>
      <c r="M8" s="1"/>
      <c r="N8" s="18"/>
    </row>
    <row r="9" spans="2:14" ht="15.75" customHeight="1" x14ac:dyDescent="0.25">
      <c r="B9" s="20"/>
      <c r="C9" s="7" t="s">
        <v>10</v>
      </c>
      <c r="D9" s="8"/>
      <c r="E9" s="12">
        <v>0.99395699999999998</v>
      </c>
      <c r="F9" s="1"/>
      <c r="G9" s="1"/>
      <c r="H9" s="1"/>
      <c r="I9" s="1"/>
      <c r="J9" s="24" t="s">
        <v>11</v>
      </c>
      <c r="K9" s="29">
        <v>6.0429999999999998E-3</v>
      </c>
      <c r="L9" s="1"/>
      <c r="M9" s="1"/>
      <c r="N9" s="18"/>
    </row>
    <row r="10" spans="2:14" ht="15" customHeight="1" x14ac:dyDescent="0.25">
      <c r="B10" s="20"/>
      <c r="C10" s="5"/>
      <c r="D10" s="6"/>
      <c r="E10" s="11"/>
      <c r="F10" s="1"/>
      <c r="G10" s="1"/>
      <c r="H10" s="1"/>
      <c r="I10" s="1"/>
      <c r="J10" s="24" t="s">
        <v>14</v>
      </c>
      <c r="K10" s="29">
        <v>0.99395699999999998</v>
      </c>
      <c r="L10" s="1"/>
      <c r="M10" s="1"/>
      <c r="N10" s="18"/>
    </row>
    <row r="11" spans="2:14" ht="15.75" customHeight="1" x14ac:dyDescent="0.25">
      <c r="B11" s="20"/>
      <c r="C11" s="7" t="s">
        <v>11</v>
      </c>
      <c r="D11" s="8"/>
      <c r="E11" s="12">
        <v>6.0429999999999998E-3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238</v>
      </c>
      <c r="H24" s="43"/>
      <c r="I24" s="43"/>
      <c r="J24" s="43"/>
      <c r="K24" s="43"/>
      <c r="L24" s="33">
        <v>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5" customHeight="1" thickBot="1" x14ac:dyDescent="0.3">
      <c r="B45" s="34" t="s">
        <v>231</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15D8C-EF2C-4A7A-8EE1-B03C01A68C12}">
  <dimension ref="B1:N7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89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90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28</v>
      </c>
      <c r="D8" s="6" t="s">
        <v>23</v>
      </c>
      <c r="E8" s="11">
        <v>8.4183999999999995E-2</v>
      </c>
      <c r="F8" s="1"/>
      <c r="G8" s="24" t="s">
        <v>16</v>
      </c>
      <c r="H8" s="25">
        <v>1</v>
      </c>
      <c r="I8" s="1"/>
      <c r="J8" s="24" t="s">
        <v>13</v>
      </c>
      <c r="K8" s="24" t="s">
        <v>5</v>
      </c>
      <c r="L8" s="1"/>
      <c r="M8" s="1"/>
      <c r="N8" s="18"/>
    </row>
    <row r="9" spans="2:14" ht="15" customHeight="1" x14ac:dyDescent="0.25">
      <c r="B9" s="20"/>
      <c r="C9" s="5" t="s">
        <v>22</v>
      </c>
      <c r="D9" s="6" t="s">
        <v>23</v>
      </c>
      <c r="E9" s="11">
        <v>8.2126000000000005E-2</v>
      </c>
      <c r="F9" s="1"/>
      <c r="G9" s="1"/>
      <c r="H9" s="1"/>
      <c r="I9" s="1"/>
      <c r="J9" s="24" t="s">
        <v>11</v>
      </c>
      <c r="K9" s="29">
        <v>4.986E-3</v>
      </c>
      <c r="L9" s="1"/>
      <c r="M9" s="1"/>
      <c r="N9" s="18"/>
    </row>
    <row r="10" spans="2:14" ht="15" customHeight="1" x14ac:dyDescent="0.25">
      <c r="B10" s="20"/>
      <c r="C10" s="5" t="s">
        <v>24</v>
      </c>
      <c r="D10" s="6" t="s">
        <v>23</v>
      </c>
      <c r="E10" s="11">
        <v>3.9906999999999998E-2</v>
      </c>
      <c r="F10" s="1"/>
      <c r="G10" s="1"/>
      <c r="H10" s="1"/>
      <c r="I10" s="1"/>
      <c r="J10" s="24" t="s">
        <v>14</v>
      </c>
      <c r="K10" s="29">
        <v>0.161077</v>
      </c>
      <c r="L10" s="1"/>
      <c r="M10" s="1"/>
      <c r="N10" s="18"/>
    </row>
    <row r="11" spans="2:14" ht="15" customHeight="1" x14ac:dyDescent="0.25">
      <c r="B11" s="20"/>
      <c r="C11" s="5" t="s">
        <v>26</v>
      </c>
      <c r="D11" s="6" t="s">
        <v>23</v>
      </c>
      <c r="E11" s="11">
        <v>3.4139000000000003E-2</v>
      </c>
      <c r="F11" s="1"/>
      <c r="G11" s="1"/>
      <c r="H11" s="1"/>
      <c r="I11" s="1"/>
      <c r="J11" s="24" t="s">
        <v>65</v>
      </c>
      <c r="K11" s="29">
        <v>0.27228799999999997</v>
      </c>
      <c r="L11" s="1"/>
      <c r="M11" s="1"/>
      <c r="N11" s="18"/>
    </row>
    <row r="12" spans="2:14" ht="15" customHeight="1" x14ac:dyDescent="0.25">
      <c r="B12" s="20"/>
      <c r="C12" s="5" t="s">
        <v>25</v>
      </c>
      <c r="D12" s="6" t="s">
        <v>23</v>
      </c>
      <c r="E12" s="11">
        <v>3.1932000000000002E-2</v>
      </c>
      <c r="F12" s="1"/>
      <c r="G12" s="1"/>
      <c r="H12" s="1"/>
      <c r="I12" s="1"/>
      <c r="J12" s="24" t="s">
        <v>66</v>
      </c>
      <c r="K12" s="29">
        <v>8.9437000000000003E-2</v>
      </c>
      <c r="L12" s="1"/>
      <c r="M12" s="1"/>
      <c r="N12" s="18"/>
    </row>
    <row r="13" spans="2:14" ht="15.75" customHeight="1" x14ac:dyDescent="0.25">
      <c r="B13" s="20"/>
      <c r="C13" s="7" t="s">
        <v>32</v>
      </c>
      <c r="D13" s="8"/>
      <c r="E13" s="12">
        <v>0.27228799999999997</v>
      </c>
      <c r="F13" s="1"/>
      <c r="G13" s="1"/>
      <c r="H13" s="1"/>
      <c r="I13" s="1"/>
      <c r="J13" s="24" t="s">
        <v>67</v>
      </c>
      <c r="K13" s="29">
        <v>0.33457100000000001</v>
      </c>
      <c r="L13" s="1"/>
      <c r="M13" s="1"/>
      <c r="N13" s="18"/>
    </row>
    <row r="14" spans="2:14" ht="15" customHeight="1" x14ac:dyDescent="0.25">
      <c r="B14" s="20"/>
      <c r="C14" s="5" t="s">
        <v>91</v>
      </c>
      <c r="D14" s="6" t="s">
        <v>23</v>
      </c>
      <c r="E14" s="11">
        <v>7.6290999999999998E-2</v>
      </c>
      <c r="F14" s="1"/>
      <c r="G14" s="1"/>
      <c r="H14" s="1"/>
      <c r="I14" s="1"/>
      <c r="J14" s="24" t="s">
        <v>70</v>
      </c>
      <c r="K14" s="29">
        <v>0.12890699999999999</v>
      </c>
      <c r="L14" s="1"/>
      <c r="M14" s="1"/>
      <c r="N14" s="18"/>
    </row>
    <row r="15" spans="2:14" ht="15" customHeight="1" x14ac:dyDescent="0.25">
      <c r="B15" s="20"/>
      <c r="C15" s="5" t="s">
        <v>47</v>
      </c>
      <c r="D15" s="6" t="s">
        <v>23</v>
      </c>
      <c r="E15" s="11">
        <v>4.0075E-2</v>
      </c>
      <c r="F15" s="1"/>
      <c r="G15" s="1"/>
      <c r="H15" s="1"/>
      <c r="I15" s="1"/>
      <c r="J15" s="24" t="s">
        <v>107</v>
      </c>
      <c r="K15" s="29">
        <v>8.7340000000000004E-3</v>
      </c>
      <c r="L15" s="1"/>
      <c r="M15" s="1"/>
      <c r="N15" s="18"/>
    </row>
    <row r="16" spans="2:14" ht="15" customHeight="1" x14ac:dyDescent="0.25">
      <c r="B16" s="20"/>
      <c r="C16" s="5" t="s">
        <v>51</v>
      </c>
      <c r="D16" s="6" t="s">
        <v>23</v>
      </c>
      <c r="E16" s="11">
        <v>3.9909E-2</v>
      </c>
      <c r="F16" s="1"/>
      <c r="G16" s="1"/>
      <c r="H16" s="1"/>
      <c r="I16" s="1"/>
      <c r="J16" s="1"/>
      <c r="K16" s="1"/>
      <c r="L16" s="1"/>
      <c r="M16" s="1"/>
      <c r="N16" s="18"/>
    </row>
    <row r="17" spans="2:14" ht="15" customHeight="1" x14ac:dyDescent="0.25">
      <c r="B17" s="20"/>
      <c r="C17" s="5" t="s">
        <v>31</v>
      </c>
      <c r="D17" s="6" t="s">
        <v>23</v>
      </c>
      <c r="E17" s="11">
        <v>3.9898999999999997E-2</v>
      </c>
      <c r="F17" s="1"/>
      <c r="G17" s="1"/>
      <c r="H17" s="1"/>
      <c r="I17" s="1"/>
      <c r="J17" s="1"/>
      <c r="K17" s="1"/>
      <c r="L17" s="1"/>
      <c r="M17" s="1"/>
      <c r="N17" s="18"/>
    </row>
    <row r="18" spans="2:14" ht="15" customHeight="1" x14ac:dyDescent="0.25">
      <c r="B18" s="20"/>
      <c r="C18" s="5" t="s">
        <v>92</v>
      </c>
      <c r="D18" s="6" t="s">
        <v>23</v>
      </c>
      <c r="E18" s="11">
        <v>2.4062E-2</v>
      </c>
      <c r="F18" s="1"/>
      <c r="G18" s="1"/>
      <c r="H18" s="1"/>
      <c r="I18" s="1"/>
      <c r="J18" s="1"/>
      <c r="K18" s="1"/>
      <c r="L18" s="1"/>
      <c r="M18" s="1"/>
      <c r="N18" s="18"/>
    </row>
    <row r="19" spans="2:14" ht="15" customHeight="1" x14ac:dyDescent="0.25">
      <c r="B19" s="20"/>
      <c r="C19" s="5" t="s">
        <v>93</v>
      </c>
      <c r="D19" s="6" t="s">
        <v>23</v>
      </c>
      <c r="E19" s="11">
        <v>2.4042000000000001E-2</v>
      </c>
      <c r="F19" s="1"/>
      <c r="G19" s="1"/>
      <c r="H19" s="1"/>
      <c r="I19" s="1"/>
      <c r="J19" s="1"/>
      <c r="K19" s="1"/>
      <c r="L19" s="1"/>
      <c r="M19" s="1"/>
      <c r="N19" s="18"/>
    </row>
    <row r="20" spans="2:14" ht="15" customHeight="1" x14ac:dyDescent="0.25">
      <c r="B20" s="20"/>
      <c r="C20" s="5" t="s">
        <v>43</v>
      </c>
      <c r="D20" s="6" t="s">
        <v>23</v>
      </c>
      <c r="E20" s="11">
        <v>2.3991999999999999E-2</v>
      </c>
      <c r="F20" s="1"/>
      <c r="G20" s="1"/>
      <c r="H20" s="1"/>
      <c r="I20" s="1"/>
      <c r="J20" s="1"/>
      <c r="K20" s="1"/>
      <c r="L20" s="1"/>
      <c r="M20" s="1"/>
      <c r="N20" s="18"/>
    </row>
    <row r="21" spans="2:14" ht="15" customHeight="1" x14ac:dyDescent="0.25">
      <c r="B21" s="20"/>
      <c r="C21" s="5" t="s">
        <v>27</v>
      </c>
      <c r="D21" s="6" t="s">
        <v>23</v>
      </c>
      <c r="E21" s="11">
        <v>2.0024E-2</v>
      </c>
      <c r="F21" s="1"/>
      <c r="G21" s="1"/>
      <c r="H21" s="1"/>
      <c r="I21" s="1"/>
      <c r="J21" s="1"/>
      <c r="K21" s="1"/>
      <c r="L21" s="1"/>
      <c r="M21" s="1"/>
      <c r="N21" s="18"/>
    </row>
    <row r="22" spans="2:14" ht="15" customHeight="1" x14ac:dyDescent="0.25">
      <c r="B22" s="20"/>
      <c r="C22" s="5" t="s">
        <v>45</v>
      </c>
      <c r="D22" s="6" t="s">
        <v>23</v>
      </c>
      <c r="E22" s="11">
        <v>1.2075000000000001E-2</v>
      </c>
      <c r="F22" s="1"/>
      <c r="G22" s="1"/>
      <c r="H22" s="1"/>
      <c r="I22" s="1"/>
      <c r="J22" s="1"/>
      <c r="K22" s="1"/>
      <c r="L22" s="1"/>
      <c r="M22" s="1"/>
      <c r="N22" s="18"/>
    </row>
    <row r="23" spans="2:14" ht="15" customHeight="1" x14ac:dyDescent="0.25">
      <c r="B23" s="20"/>
      <c r="C23" s="5" t="s">
        <v>94</v>
      </c>
      <c r="D23" s="6" t="s">
        <v>23</v>
      </c>
      <c r="E23" s="11">
        <v>1.0101000000000001E-2</v>
      </c>
      <c r="F23" s="1"/>
      <c r="G23" s="1"/>
      <c r="H23" s="1"/>
      <c r="I23" s="1"/>
      <c r="J23" s="1"/>
      <c r="K23" s="1"/>
      <c r="L23" s="1"/>
      <c r="M23" s="1"/>
      <c r="N23" s="18"/>
    </row>
    <row r="24" spans="2:14" ht="15" customHeight="1" x14ac:dyDescent="0.25">
      <c r="B24" s="20"/>
      <c r="C24" s="5" t="s">
        <v>95</v>
      </c>
      <c r="D24" s="6" t="s">
        <v>23</v>
      </c>
      <c r="E24" s="11">
        <v>8.0429999999999998E-3</v>
      </c>
      <c r="F24" s="1"/>
      <c r="G24" s="42" t="s">
        <v>108</v>
      </c>
      <c r="H24" s="43"/>
      <c r="I24" s="43"/>
      <c r="J24" s="43"/>
      <c r="K24" s="43"/>
      <c r="L24" s="33">
        <v>45</v>
      </c>
      <c r="M24" s="27"/>
      <c r="N24" s="28"/>
    </row>
    <row r="25" spans="2:14" ht="15" customHeight="1" x14ac:dyDescent="0.25">
      <c r="B25" s="20"/>
      <c r="C25" s="5" t="s">
        <v>96</v>
      </c>
      <c r="D25" s="6" t="s">
        <v>23</v>
      </c>
      <c r="E25" s="11">
        <v>7.9869999999999993E-3</v>
      </c>
      <c r="F25" s="1"/>
      <c r="G25" s="1"/>
      <c r="H25" s="1"/>
      <c r="I25" s="1"/>
      <c r="J25" s="1"/>
      <c r="K25" s="1"/>
      <c r="L25" s="1"/>
      <c r="M25" s="1"/>
      <c r="N25" s="18"/>
    </row>
    <row r="26" spans="2:14" ht="15" customHeight="1" x14ac:dyDescent="0.25">
      <c r="B26" s="20"/>
      <c r="C26" s="5" t="s">
        <v>97</v>
      </c>
      <c r="D26" s="6" t="s">
        <v>23</v>
      </c>
      <c r="E26" s="11">
        <v>4.0410000000000003E-3</v>
      </c>
      <c r="F26" s="1"/>
      <c r="G26" s="42" t="s">
        <v>19</v>
      </c>
      <c r="H26" s="43"/>
      <c r="I26" s="43"/>
      <c r="J26" s="43"/>
      <c r="K26" s="43"/>
      <c r="L26" s="43"/>
      <c r="M26" s="43"/>
      <c r="N26" s="44"/>
    </row>
    <row r="27" spans="2:14" ht="15" customHeight="1" x14ac:dyDescent="0.25">
      <c r="B27" s="20"/>
      <c r="C27" s="5" t="s">
        <v>98</v>
      </c>
      <c r="D27" s="6" t="s">
        <v>23</v>
      </c>
      <c r="E27" s="11">
        <v>4.0299999999999997E-3</v>
      </c>
      <c r="F27" s="1"/>
      <c r="G27" s="1"/>
      <c r="H27" s="1"/>
      <c r="I27" s="1"/>
      <c r="J27" s="1"/>
      <c r="K27" s="1"/>
      <c r="L27" s="1"/>
      <c r="M27" s="1"/>
      <c r="N27" s="18"/>
    </row>
    <row r="28" spans="2:14" ht="15.75" customHeight="1" x14ac:dyDescent="0.25">
      <c r="B28" s="20"/>
      <c r="C28" s="7" t="s">
        <v>34</v>
      </c>
      <c r="D28" s="8"/>
      <c r="E28" s="12">
        <v>0.33457100000000001</v>
      </c>
      <c r="F28" s="1"/>
      <c r="G28" s="1"/>
      <c r="H28" s="1"/>
      <c r="I28" s="1"/>
      <c r="J28" s="1"/>
      <c r="K28" s="1"/>
      <c r="L28" s="1"/>
      <c r="M28" s="1"/>
      <c r="N28" s="18"/>
    </row>
    <row r="29" spans="2:14" ht="15" customHeight="1" x14ac:dyDescent="0.25">
      <c r="B29" s="20"/>
      <c r="C29" s="5" t="s">
        <v>48</v>
      </c>
      <c r="D29" s="6" t="s">
        <v>35</v>
      </c>
      <c r="E29" s="11">
        <v>2.0264000000000001E-2</v>
      </c>
      <c r="F29" s="1"/>
      <c r="G29" s="1"/>
      <c r="H29" s="1"/>
      <c r="I29" s="1"/>
      <c r="J29" s="1"/>
      <c r="K29" s="1"/>
      <c r="L29" s="1"/>
      <c r="M29" s="1"/>
      <c r="N29" s="18"/>
    </row>
    <row r="30" spans="2:14" ht="15" customHeight="1" x14ac:dyDescent="0.25">
      <c r="B30" s="20"/>
      <c r="C30" s="5" t="s">
        <v>33</v>
      </c>
      <c r="D30" s="6" t="s">
        <v>35</v>
      </c>
      <c r="E30" s="11">
        <v>1.6171000000000001E-2</v>
      </c>
      <c r="F30" s="1"/>
      <c r="G30" s="1"/>
      <c r="H30" s="1"/>
      <c r="I30" s="1"/>
      <c r="J30" s="1"/>
      <c r="K30" s="1"/>
      <c r="L30" s="1"/>
      <c r="M30" s="1"/>
      <c r="N30" s="18"/>
    </row>
    <row r="31" spans="2:14" ht="15" customHeight="1" x14ac:dyDescent="0.25">
      <c r="B31" s="20"/>
      <c r="C31" s="5" t="s">
        <v>51</v>
      </c>
      <c r="D31" s="6" t="s">
        <v>35</v>
      </c>
      <c r="E31" s="11">
        <v>1.4973999999999999E-2</v>
      </c>
      <c r="F31" s="1"/>
      <c r="G31" s="1"/>
      <c r="H31" s="1"/>
      <c r="I31" s="1"/>
      <c r="J31" s="1"/>
      <c r="K31" s="1"/>
      <c r="L31" s="1"/>
      <c r="M31" s="1"/>
      <c r="N31" s="18"/>
    </row>
    <row r="32" spans="2:14" ht="15" customHeight="1" x14ac:dyDescent="0.25">
      <c r="B32" s="20"/>
      <c r="C32" s="5" t="s">
        <v>42</v>
      </c>
      <c r="D32" s="6" t="s">
        <v>35</v>
      </c>
      <c r="E32" s="11">
        <v>1.3769999999999999E-2</v>
      </c>
      <c r="F32" s="1"/>
      <c r="G32" s="1"/>
      <c r="H32" s="1"/>
      <c r="I32" s="1"/>
      <c r="J32" s="1"/>
      <c r="K32" s="1"/>
      <c r="L32" s="1"/>
      <c r="M32" s="1"/>
      <c r="N32" s="18"/>
    </row>
    <row r="33" spans="2:14" ht="15" customHeight="1" x14ac:dyDescent="0.25">
      <c r="B33" s="20"/>
      <c r="C33" s="5" t="s">
        <v>38</v>
      </c>
      <c r="D33" s="6" t="s">
        <v>35</v>
      </c>
      <c r="E33" s="11">
        <v>1.0122000000000001E-2</v>
      </c>
      <c r="F33" s="1"/>
      <c r="G33" s="1"/>
      <c r="H33" s="1"/>
      <c r="I33" s="1"/>
      <c r="J33" s="1"/>
      <c r="K33" s="1"/>
      <c r="L33" s="1"/>
      <c r="M33" s="1"/>
      <c r="N33" s="18"/>
    </row>
    <row r="34" spans="2:14" ht="15" customHeight="1" x14ac:dyDescent="0.25">
      <c r="B34" s="20"/>
      <c r="C34" s="5" t="s">
        <v>99</v>
      </c>
      <c r="D34" s="6" t="s">
        <v>35</v>
      </c>
      <c r="E34" s="11">
        <v>8.0660000000000003E-3</v>
      </c>
      <c r="F34" s="1"/>
      <c r="G34" s="1"/>
      <c r="H34" s="1"/>
      <c r="I34" s="1"/>
      <c r="J34" s="1"/>
      <c r="K34" s="1"/>
      <c r="L34" s="1"/>
      <c r="M34" s="1"/>
      <c r="N34" s="18"/>
    </row>
    <row r="35" spans="2:14" ht="15" customHeight="1" x14ac:dyDescent="0.25">
      <c r="B35" s="20"/>
      <c r="C35" s="5" t="s">
        <v>37</v>
      </c>
      <c r="D35" s="6" t="s">
        <v>35</v>
      </c>
      <c r="E35" s="11">
        <v>4.0439999999999999E-3</v>
      </c>
      <c r="F35" s="1"/>
      <c r="G35" s="1"/>
      <c r="H35" s="1"/>
      <c r="I35" s="1"/>
      <c r="J35" s="1"/>
      <c r="K35" s="1"/>
      <c r="L35" s="1"/>
      <c r="M35" s="1"/>
      <c r="N35" s="18"/>
    </row>
    <row r="36" spans="2:14" ht="15" customHeight="1" x14ac:dyDescent="0.25">
      <c r="B36" s="20"/>
      <c r="C36" s="5" t="s">
        <v>100</v>
      </c>
      <c r="D36" s="6" t="s">
        <v>35</v>
      </c>
      <c r="E36" s="11">
        <v>2.026E-3</v>
      </c>
      <c r="F36" s="1"/>
      <c r="G36" s="1"/>
      <c r="H36" s="1"/>
      <c r="I36" s="1"/>
      <c r="J36" s="1"/>
      <c r="K36" s="1"/>
      <c r="L36" s="1"/>
      <c r="M36" s="1"/>
      <c r="N36" s="18"/>
    </row>
    <row r="37" spans="2:14" ht="15.75" customHeight="1" x14ac:dyDescent="0.25">
      <c r="B37" s="20"/>
      <c r="C37" s="7" t="s">
        <v>52</v>
      </c>
      <c r="D37" s="8"/>
      <c r="E37" s="12">
        <v>8.9437000000000003E-2</v>
      </c>
      <c r="F37" s="1"/>
      <c r="G37" s="1"/>
      <c r="H37" s="1"/>
      <c r="I37" s="1"/>
      <c r="J37" s="1"/>
      <c r="K37" s="1"/>
      <c r="L37" s="1"/>
      <c r="M37" s="1"/>
      <c r="N37" s="18"/>
    </row>
    <row r="38" spans="2:14" ht="15" customHeight="1" x14ac:dyDescent="0.25">
      <c r="B38" s="20"/>
      <c r="C38" s="5" t="s">
        <v>101</v>
      </c>
      <c r="D38" s="6" t="s">
        <v>54</v>
      </c>
      <c r="E38" s="11">
        <v>6.0524000000000001E-2</v>
      </c>
      <c r="F38" s="1"/>
      <c r="G38" s="1"/>
      <c r="H38" s="1"/>
      <c r="I38" s="1"/>
      <c r="J38" s="1"/>
      <c r="K38" s="1"/>
      <c r="L38" s="1"/>
      <c r="M38" s="1"/>
      <c r="N38" s="18"/>
    </row>
    <row r="39" spans="2:14" ht="15" customHeight="1" x14ac:dyDescent="0.25">
      <c r="B39" s="20"/>
      <c r="C39" s="5" t="s">
        <v>102</v>
      </c>
      <c r="D39" s="6" t="s">
        <v>54</v>
      </c>
      <c r="E39" s="11">
        <v>2.4058E-2</v>
      </c>
      <c r="F39" s="1"/>
      <c r="G39" s="1"/>
      <c r="H39" s="1"/>
      <c r="I39" s="1"/>
      <c r="J39" s="1"/>
      <c r="K39" s="1"/>
      <c r="L39" s="1"/>
      <c r="M39" s="1"/>
      <c r="N39" s="18"/>
    </row>
    <row r="40" spans="2:14" ht="15" customHeight="1" x14ac:dyDescent="0.25">
      <c r="B40" s="20"/>
      <c r="C40" s="5" t="s">
        <v>103</v>
      </c>
      <c r="D40" s="6" t="s">
        <v>54</v>
      </c>
      <c r="E40" s="11">
        <v>1.6107E-2</v>
      </c>
      <c r="F40" s="1"/>
      <c r="G40" s="1"/>
      <c r="H40" s="1"/>
      <c r="I40" s="1"/>
      <c r="J40" s="1"/>
      <c r="K40" s="1"/>
      <c r="L40" s="1"/>
      <c r="M40" s="1"/>
      <c r="N40" s="18"/>
    </row>
    <row r="41" spans="2:14" ht="15" customHeight="1" x14ac:dyDescent="0.25">
      <c r="B41" s="20"/>
      <c r="C41" s="5" t="s">
        <v>63</v>
      </c>
      <c r="D41" s="6" t="s">
        <v>54</v>
      </c>
      <c r="E41" s="11">
        <v>1.4108000000000001E-2</v>
      </c>
      <c r="F41" s="1"/>
      <c r="G41" s="1"/>
      <c r="H41" s="1"/>
      <c r="I41" s="1"/>
      <c r="J41" s="1"/>
      <c r="K41" s="1"/>
      <c r="L41" s="1"/>
      <c r="M41" s="1"/>
      <c r="N41" s="18"/>
    </row>
    <row r="42" spans="2:14" ht="15" customHeight="1" x14ac:dyDescent="0.25">
      <c r="B42" s="20"/>
      <c r="C42" s="5" t="s">
        <v>104</v>
      </c>
      <c r="D42" s="6" t="s">
        <v>54</v>
      </c>
      <c r="E42" s="11">
        <v>8.0700000000000008E-3</v>
      </c>
      <c r="F42" s="1"/>
      <c r="G42" s="1"/>
      <c r="H42" s="1"/>
      <c r="I42" s="1"/>
      <c r="J42" s="1"/>
      <c r="K42" s="1"/>
      <c r="L42" s="1"/>
      <c r="M42" s="1"/>
      <c r="N42" s="18"/>
    </row>
    <row r="43" spans="2:14" ht="15" customHeight="1" x14ac:dyDescent="0.25">
      <c r="B43" s="20"/>
      <c r="C43" s="5" t="s">
        <v>105</v>
      </c>
      <c r="D43" s="6" t="s">
        <v>54</v>
      </c>
      <c r="E43" s="11">
        <v>6.0400000000000002E-3</v>
      </c>
      <c r="F43" s="1"/>
      <c r="G43" s="1"/>
      <c r="H43" s="1"/>
      <c r="I43" s="1"/>
      <c r="J43" s="1"/>
      <c r="K43" s="1"/>
      <c r="L43" s="1"/>
      <c r="M43" s="1"/>
      <c r="N43" s="18"/>
    </row>
    <row r="44" spans="2:14" ht="15.75" customHeight="1" x14ac:dyDescent="0.25">
      <c r="B44" s="20"/>
      <c r="C44" s="7" t="s">
        <v>64</v>
      </c>
      <c r="D44" s="8"/>
      <c r="E44" s="12">
        <v>0.12890699999999999</v>
      </c>
      <c r="F44" s="1"/>
      <c r="G44" s="1"/>
      <c r="H44" s="1"/>
      <c r="I44" s="1"/>
      <c r="J44" s="1"/>
      <c r="K44" s="1"/>
      <c r="L44" s="1"/>
      <c r="M44" s="1"/>
      <c r="N44" s="18"/>
    </row>
    <row r="45" spans="2:14" ht="15" customHeight="1" x14ac:dyDescent="0.25">
      <c r="B45" s="20"/>
      <c r="C45" s="5" t="s">
        <v>9</v>
      </c>
      <c r="D45" s="6"/>
      <c r="E45" s="11">
        <v>0.161077</v>
      </c>
      <c r="F45" s="1"/>
      <c r="G45" s="1"/>
      <c r="H45" s="1"/>
      <c r="I45" s="1"/>
      <c r="J45" s="1"/>
      <c r="K45" s="1"/>
      <c r="L45" s="1"/>
      <c r="M45" s="1"/>
      <c r="N45" s="18"/>
    </row>
    <row r="46" spans="2:14" ht="15.75" customHeight="1" x14ac:dyDescent="0.25">
      <c r="B46" s="20"/>
      <c r="C46" s="7" t="s">
        <v>10</v>
      </c>
      <c r="D46" s="8"/>
      <c r="E46" s="12">
        <v>0.161077</v>
      </c>
      <c r="F46" s="1"/>
      <c r="G46" s="1"/>
      <c r="H46" s="1"/>
      <c r="I46" s="1"/>
      <c r="J46" s="1"/>
      <c r="K46" s="1"/>
      <c r="L46" s="1"/>
      <c r="M46" s="1"/>
      <c r="N46" s="18"/>
    </row>
    <row r="47" spans="2:14" ht="15" customHeight="1" x14ac:dyDescent="0.25">
      <c r="B47" s="20"/>
      <c r="C47" s="5" t="s">
        <v>100</v>
      </c>
      <c r="D47" s="6" t="s">
        <v>35</v>
      </c>
      <c r="E47" s="11">
        <v>8.7340000000000004E-3</v>
      </c>
      <c r="F47" s="1"/>
      <c r="G47" s="1"/>
      <c r="H47" s="1"/>
      <c r="I47" s="1"/>
      <c r="J47" s="1"/>
      <c r="K47" s="1"/>
      <c r="L47" s="1"/>
      <c r="M47" s="1"/>
      <c r="N47" s="18"/>
    </row>
    <row r="48" spans="2:14" ht="15.75" customHeight="1" x14ac:dyDescent="0.25">
      <c r="B48" s="20"/>
      <c r="C48" s="7" t="s">
        <v>106</v>
      </c>
      <c r="D48" s="8"/>
      <c r="E48" s="12">
        <v>8.7340000000000004E-3</v>
      </c>
      <c r="F48" s="1"/>
      <c r="G48" s="1"/>
      <c r="H48" s="1"/>
      <c r="I48" s="1"/>
      <c r="J48" s="1"/>
      <c r="K48" s="1"/>
      <c r="L48" s="1"/>
      <c r="M48" s="1"/>
      <c r="N48" s="18"/>
    </row>
    <row r="49" spans="2:14" ht="15" customHeight="1" x14ac:dyDescent="0.25">
      <c r="B49" s="20"/>
      <c r="C49" s="5"/>
      <c r="D49" s="6"/>
      <c r="E49" s="11"/>
      <c r="F49" s="1"/>
      <c r="G49" s="1"/>
      <c r="H49" s="1"/>
      <c r="I49" s="1"/>
      <c r="J49" s="1"/>
      <c r="K49" s="1"/>
      <c r="L49" s="1"/>
      <c r="M49" s="1"/>
      <c r="N49" s="18"/>
    </row>
    <row r="50" spans="2:14" ht="15.75" customHeight="1" x14ac:dyDescent="0.25">
      <c r="B50" s="20"/>
      <c r="C50" s="7" t="s">
        <v>11</v>
      </c>
      <c r="D50" s="8"/>
      <c r="E50" s="12">
        <v>4.986E-3</v>
      </c>
      <c r="F50" s="1"/>
      <c r="G50" s="1"/>
      <c r="H50" s="1"/>
      <c r="I50" s="1"/>
      <c r="J50" s="1"/>
      <c r="K50" s="1"/>
      <c r="L50" s="1"/>
      <c r="M50" s="1"/>
      <c r="N50" s="18"/>
    </row>
    <row r="51" spans="2:14" ht="15" customHeight="1" x14ac:dyDescent="0.25">
      <c r="B51" s="20"/>
      <c r="C51" s="5"/>
      <c r="D51" s="6"/>
      <c r="E51" s="11"/>
      <c r="F51" s="1"/>
      <c r="G51" s="1"/>
      <c r="H51" s="1"/>
      <c r="I51" s="1"/>
      <c r="J51" s="1"/>
      <c r="K51" s="1"/>
      <c r="L51" s="1"/>
      <c r="M51" s="1"/>
      <c r="N51" s="18"/>
    </row>
    <row r="52" spans="2:14" ht="15" customHeight="1" x14ac:dyDescent="0.25">
      <c r="B52" s="20"/>
      <c r="C52" s="9" t="s">
        <v>12</v>
      </c>
      <c r="D52" s="10"/>
      <c r="E52" s="13">
        <v>1</v>
      </c>
      <c r="F52" s="1"/>
      <c r="G52" s="1"/>
      <c r="H52" s="1"/>
      <c r="I52" s="1"/>
      <c r="J52" s="1"/>
      <c r="K52" s="1"/>
      <c r="L52" s="1"/>
      <c r="M52" s="1"/>
      <c r="N52" s="18"/>
    </row>
    <row r="53" spans="2:14" ht="15" customHeight="1" x14ac:dyDescent="0.25">
      <c r="B53" s="20"/>
      <c r="C53" s="1"/>
      <c r="D53" s="1"/>
      <c r="E53" s="1"/>
      <c r="F53" s="1"/>
      <c r="G53" s="1"/>
      <c r="H53" s="1"/>
      <c r="I53" s="1"/>
      <c r="J53" s="1"/>
      <c r="K53" s="1"/>
      <c r="L53" s="1"/>
      <c r="M53" s="1"/>
      <c r="N53" s="18"/>
    </row>
    <row r="54" spans="2:14" ht="15" customHeight="1" thickBot="1" x14ac:dyDescent="0.3">
      <c r="B54" s="21"/>
      <c r="C54" s="22"/>
      <c r="D54" s="22"/>
      <c r="E54" s="22"/>
      <c r="F54" s="22"/>
      <c r="G54" s="22"/>
      <c r="H54" s="22"/>
      <c r="I54" s="22"/>
      <c r="J54" s="22"/>
      <c r="K54" s="22"/>
      <c r="L54" s="22"/>
      <c r="M54" s="22"/>
      <c r="N54" s="23"/>
    </row>
    <row r="55" spans="2:14" ht="15" customHeight="1" thickBot="1" x14ac:dyDescent="0.3"/>
    <row r="56" spans="2:14" ht="113.25" customHeight="1" thickBot="1" x14ac:dyDescent="0.3">
      <c r="B56" s="34" t="s">
        <v>231</v>
      </c>
      <c r="C56" s="35"/>
      <c r="D56" s="35"/>
      <c r="E56" s="35"/>
      <c r="F56" s="35"/>
      <c r="G56" s="35"/>
      <c r="H56" s="35"/>
      <c r="I56" s="35"/>
      <c r="J56" s="35"/>
      <c r="K56" s="35"/>
      <c r="L56" s="35"/>
      <c r="M56" s="35"/>
      <c r="N56" s="36"/>
    </row>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sheetData>
  <mergeCells count="6">
    <mergeCell ref="B56:N56"/>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BD8E9-BA7A-4285-87D2-68C33DEC546D}">
  <dimension ref="B1:N8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25</v>
      </c>
      <c r="D8" s="6" t="s">
        <v>23</v>
      </c>
      <c r="E8" s="11">
        <v>0.105823</v>
      </c>
      <c r="F8" s="1"/>
      <c r="G8" s="24" t="s">
        <v>16</v>
      </c>
      <c r="H8" s="25">
        <v>1</v>
      </c>
      <c r="I8" s="1"/>
      <c r="J8" s="24" t="s">
        <v>13</v>
      </c>
      <c r="K8" s="24" t="s">
        <v>5</v>
      </c>
      <c r="L8" s="1"/>
      <c r="M8" s="1"/>
      <c r="N8" s="18"/>
    </row>
    <row r="9" spans="2:14" ht="15" customHeight="1" x14ac:dyDescent="0.25">
      <c r="B9" s="20"/>
      <c r="C9" s="5" t="s">
        <v>27</v>
      </c>
      <c r="D9" s="6" t="s">
        <v>23</v>
      </c>
      <c r="E9" s="11">
        <v>8.6479E-2</v>
      </c>
      <c r="F9" s="1"/>
      <c r="G9" s="1"/>
      <c r="H9" s="1"/>
      <c r="I9" s="1"/>
      <c r="J9" s="24" t="s">
        <v>11</v>
      </c>
      <c r="K9" s="29">
        <v>1.3179E-2</v>
      </c>
      <c r="L9" s="1"/>
      <c r="M9" s="1"/>
      <c r="N9" s="18"/>
    </row>
    <row r="10" spans="2:14" ht="15" customHeight="1" x14ac:dyDescent="0.25">
      <c r="B10" s="20"/>
      <c r="C10" s="5" t="s">
        <v>28</v>
      </c>
      <c r="D10" s="6" t="s">
        <v>23</v>
      </c>
      <c r="E10" s="11">
        <v>7.8990000000000005E-2</v>
      </c>
      <c r="F10" s="1"/>
      <c r="G10" s="1"/>
      <c r="H10" s="1"/>
      <c r="I10" s="1"/>
      <c r="J10" s="24" t="s">
        <v>14</v>
      </c>
      <c r="K10" s="29">
        <v>7.4283000000000002E-2</v>
      </c>
      <c r="L10" s="1"/>
      <c r="M10" s="1"/>
      <c r="N10" s="18"/>
    </row>
    <row r="11" spans="2:14" ht="15" customHeight="1" x14ac:dyDescent="0.25">
      <c r="B11" s="20"/>
      <c r="C11" s="5" t="s">
        <v>22</v>
      </c>
      <c r="D11" s="6" t="s">
        <v>23</v>
      </c>
      <c r="E11" s="11">
        <v>4.3550999999999999E-2</v>
      </c>
      <c r="F11" s="1"/>
      <c r="G11" s="1"/>
      <c r="H11" s="1"/>
      <c r="I11" s="1"/>
      <c r="J11" s="24" t="s">
        <v>65</v>
      </c>
      <c r="K11" s="29">
        <v>0.39291100000000001</v>
      </c>
      <c r="L11" s="1"/>
      <c r="M11" s="1"/>
      <c r="N11" s="18"/>
    </row>
    <row r="12" spans="2:14" ht="15" customHeight="1" x14ac:dyDescent="0.25">
      <c r="B12" s="20"/>
      <c r="C12" s="5" t="s">
        <v>31</v>
      </c>
      <c r="D12" s="6" t="s">
        <v>23</v>
      </c>
      <c r="E12" s="11">
        <v>2.3916E-2</v>
      </c>
      <c r="F12" s="1"/>
      <c r="G12" s="1"/>
      <c r="H12" s="1"/>
      <c r="I12" s="1"/>
      <c r="J12" s="24" t="s">
        <v>66</v>
      </c>
      <c r="K12" s="29">
        <v>0.293381</v>
      </c>
      <c r="L12" s="1"/>
      <c r="M12" s="1"/>
      <c r="N12" s="18"/>
    </row>
    <row r="13" spans="2:14" ht="15" customHeight="1" x14ac:dyDescent="0.25">
      <c r="B13" s="20"/>
      <c r="C13" s="5" t="s">
        <v>30</v>
      </c>
      <c r="D13" s="6" t="s">
        <v>23</v>
      </c>
      <c r="E13" s="11">
        <v>1.5554E-2</v>
      </c>
      <c r="F13" s="1"/>
      <c r="G13" s="1"/>
      <c r="H13" s="1"/>
      <c r="I13" s="1"/>
      <c r="J13" s="24" t="s">
        <v>67</v>
      </c>
      <c r="K13" s="29">
        <v>2.3484999999999999E-2</v>
      </c>
      <c r="L13" s="1"/>
      <c r="M13" s="1"/>
      <c r="N13" s="18"/>
    </row>
    <row r="14" spans="2:14" ht="15" customHeight="1" x14ac:dyDescent="0.25">
      <c r="B14" s="20"/>
      <c r="C14" s="5" t="s">
        <v>24</v>
      </c>
      <c r="D14" s="6" t="s">
        <v>23</v>
      </c>
      <c r="E14" s="11">
        <v>1.5401E-2</v>
      </c>
      <c r="F14" s="1"/>
      <c r="G14" s="1"/>
      <c r="H14" s="1"/>
      <c r="I14" s="1"/>
      <c r="J14" s="24" t="s">
        <v>68</v>
      </c>
      <c r="K14" s="29">
        <v>0.12756400000000001</v>
      </c>
      <c r="L14" s="1"/>
      <c r="M14" s="1"/>
      <c r="N14" s="18"/>
    </row>
    <row r="15" spans="2:14" ht="15" customHeight="1" x14ac:dyDescent="0.25">
      <c r="B15" s="20"/>
      <c r="C15" s="5" t="s">
        <v>26</v>
      </c>
      <c r="D15" s="6" t="s">
        <v>23</v>
      </c>
      <c r="E15" s="11">
        <v>1.5391E-2</v>
      </c>
      <c r="F15" s="1"/>
      <c r="G15" s="1"/>
      <c r="H15" s="1"/>
      <c r="I15" s="1"/>
      <c r="J15" s="24" t="s">
        <v>69</v>
      </c>
      <c r="K15" s="29">
        <v>5.9098999999999999E-2</v>
      </c>
      <c r="L15" s="1"/>
      <c r="M15" s="1"/>
      <c r="N15" s="18"/>
    </row>
    <row r="16" spans="2:14" ht="15" customHeight="1" x14ac:dyDescent="0.25">
      <c r="B16" s="20"/>
      <c r="C16" s="5" t="s">
        <v>29</v>
      </c>
      <c r="D16" s="6" t="s">
        <v>23</v>
      </c>
      <c r="E16" s="11">
        <v>7.8059999999999996E-3</v>
      </c>
      <c r="F16" s="1"/>
      <c r="G16" s="1"/>
      <c r="H16" s="1"/>
      <c r="I16" s="1"/>
      <c r="J16" s="24" t="s">
        <v>70</v>
      </c>
      <c r="K16" s="29">
        <v>1.6098000000000001E-2</v>
      </c>
      <c r="L16" s="1"/>
      <c r="M16" s="1"/>
      <c r="N16" s="18"/>
    </row>
    <row r="17" spans="2:14" ht="15.75" customHeight="1" x14ac:dyDescent="0.25">
      <c r="B17" s="20"/>
      <c r="C17" s="7" t="s">
        <v>32</v>
      </c>
      <c r="D17" s="8"/>
      <c r="E17" s="12">
        <v>0.39291100000000001</v>
      </c>
      <c r="F17" s="1"/>
      <c r="G17" s="1"/>
      <c r="H17" s="1"/>
      <c r="I17" s="1"/>
      <c r="J17" s="1"/>
      <c r="K17" s="1"/>
      <c r="L17" s="1"/>
      <c r="M17" s="1"/>
      <c r="N17" s="18"/>
    </row>
    <row r="18" spans="2:14" ht="15" customHeight="1" x14ac:dyDescent="0.25">
      <c r="B18" s="20"/>
      <c r="C18" s="5" t="s">
        <v>33</v>
      </c>
      <c r="D18" s="6" t="s">
        <v>23</v>
      </c>
      <c r="E18" s="11">
        <v>2.3484999999999999E-2</v>
      </c>
      <c r="F18" s="1"/>
      <c r="G18" s="1"/>
      <c r="H18" s="1"/>
      <c r="I18" s="1"/>
      <c r="J18" s="1"/>
      <c r="K18" s="1"/>
      <c r="L18" s="1"/>
      <c r="M18" s="1"/>
      <c r="N18" s="18"/>
    </row>
    <row r="19" spans="2:14" ht="15.75" customHeight="1" x14ac:dyDescent="0.25">
      <c r="B19" s="20"/>
      <c r="C19" s="7" t="s">
        <v>34</v>
      </c>
      <c r="D19" s="8"/>
      <c r="E19" s="12">
        <v>2.3484999999999999E-2</v>
      </c>
      <c r="F19" s="1"/>
      <c r="G19" s="1"/>
      <c r="H19" s="1"/>
      <c r="I19" s="1"/>
      <c r="J19" s="1"/>
      <c r="K19" s="1"/>
      <c r="L19" s="1"/>
      <c r="M19" s="1"/>
      <c r="N19" s="18"/>
    </row>
    <row r="20" spans="2:14" ht="15" customHeight="1" x14ac:dyDescent="0.25">
      <c r="B20" s="20"/>
      <c r="C20" s="5" t="s">
        <v>31</v>
      </c>
      <c r="D20" s="6" t="s">
        <v>35</v>
      </c>
      <c r="E20" s="11">
        <v>8.4587999999999997E-2</v>
      </c>
      <c r="F20" s="1"/>
      <c r="G20" s="1"/>
      <c r="H20" s="1"/>
      <c r="I20" s="1"/>
      <c r="J20" s="1"/>
      <c r="K20" s="1"/>
      <c r="L20" s="1"/>
      <c r="M20" s="1"/>
      <c r="N20" s="18"/>
    </row>
    <row r="21" spans="2:14" ht="15" customHeight="1" x14ac:dyDescent="0.25">
      <c r="B21" s="20"/>
      <c r="C21" s="5" t="s">
        <v>37</v>
      </c>
      <c r="D21" s="6" t="s">
        <v>35</v>
      </c>
      <c r="E21" s="11">
        <v>7.0097000000000007E-2</v>
      </c>
      <c r="F21" s="1"/>
      <c r="G21" s="1"/>
      <c r="H21" s="1"/>
      <c r="I21" s="1"/>
      <c r="J21" s="1"/>
      <c r="K21" s="1"/>
      <c r="L21" s="1"/>
      <c r="M21" s="1"/>
      <c r="N21" s="18"/>
    </row>
    <row r="22" spans="2:14" ht="15" customHeight="1" x14ac:dyDescent="0.25">
      <c r="B22" s="20"/>
      <c r="C22" s="5" t="s">
        <v>38</v>
      </c>
      <c r="D22" s="6" t="s">
        <v>35</v>
      </c>
      <c r="E22" s="11">
        <v>4.9286999999999997E-2</v>
      </c>
      <c r="F22" s="1"/>
      <c r="G22" s="1"/>
      <c r="H22" s="1"/>
      <c r="I22" s="1"/>
      <c r="J22" s="1"/>
      <c r="K22" s="1"/>
      <c r="L22" s="1"/>
      <c r="M22" s="1"/>
      <c r="N22" s="18"/>
    </row>
    <row r="23" spans="2:14" ht="15" customHeight="1" x14ac:dyDescent="0.25">
      <c r="B23" s="20"/>
      <c r="C23" s="5" t="s">
        <v>27</v>
      </c>
      <c r="D23" s="6" t="s">
        <v>35</v>
      </c>
      <c r="E23" s="11">
        <v>2.4563000000000001E-2</v>
      </c>
      <c r="F23" s="1"/>
      <c r="G23" s="1"/>
      <c r="H23" s="1"/>
      <c r="I23" s="1"/>
      <c r="J23" s="1"/>
      <c r="K23" s="1"/>
      <c r="L23" s="1"/>
      <c r="M23" s="1"/>
      <c r="N23" s="18"/>
    </row>
    <row r="24" spans="2:14" ht="15" customHeight="1" x14ac:dyDescent="0.25">
      <c r="B24" s="20"/>
      <c r="C24" s="5" t="s">
        <v>33</v>
      </c>
      <c r="D24" s="6" t="s">
        <v>35</v>
      </c>
      <c r="E24" s="11">
        <v>1.4793000000000001E-2</v>
      </c>
      <c r="F24" s="1"/>
      <c r="G24" s="42" t="s">
        <v>18</v>
      </c>
      <c r="H24" s="43"/>
      <c r="I24" s="43"/>
      <c r="J24" s="43"/>
      <c r="K24" s="43"/>
      <c r="L24" s="33">
        <v>341</v>
      </c>
      <c r="M24" s="27"/>
      <c r="N24" s="28"/>
    </row>
    <row r="25" spans="2:14" ht="15" customHeight="1" x14ac:dyDescent="0.25">
      <c r="B25" s="20"/>
      <c r="C25" s="5" t="s">
        <v>39</v>
      </c>
      <c r="D25" s="6" t="s">
        <v>35</v>
      </c>
      <c r="E25" s="11">
        <v>1.2293E-2</v>
      </c>
      <c r="F25" s="1"/>
      <c r="G25" s="1"/>
      <c r="H25" s="1"/>
      <c r="I25" s="1"/>
      <c r="J25" s="1"/>
      <c r="K25" s="1"/>
      <c r="L25" s="1"/>
      <c r="M25" s="1"/>
      <c r="N25" s="18"/>
    </row>
    <row r="26" spans="2:14" ht="15" customHeight="1" x14ac:dyDescent="0.25">
      <c r="B26" s="20"/>
      <c r="C26" s="5" t="s">
        <v>36</v>
      </c>
      <c r="D26" s="6" t="s">
        <v>35</v>
      </c>
      <c r="E26" s="11">
        <v>1.2269E-2</v>
      </c>
      <c r="F26" s="1"/>
      <c r="G26" s="42" t="s">
        <v>19</v>
      </c>
      <c r="H26" s="43"/>
      <c r="I26" s="43"/>
      <c r="J26" s="43"/>
      <c r="K26" s="43"/>
      <c r="L26" s="43"/>
      <c r="M26" s="43"/>
      <c r="N26" s="44"/>
    </row>
    <row r="27" spans="2:14" ht="15" customHeight="1" x14ac:dyDescent="0.25">
      <c r="B27" s="20"/>
      <c r="C27" s="5" t="s">
        <v>97</v>
      </c>
      <c r="D27" s="6" t="s">
        <v>35</v>
      </c>
      <c r="E27" s="11">
        <v>1.1535E-2</v>
      </c>
      <c r="F27" s="1"/>
      <c r="G27" s="1"/>
      <c r="H27" s="1"/>
      <c r="I27" s="1"/>
      <c r="J27" s="1"/>
      <c r="K27" s="1"/>
      <c r="L27" s="1"/>
      <c r="M27" s="1"/>
      <c r="N27" s="18"/>
    </row>
    <row r="28" spans="2:14" ht="15" customHeight="1" x14ac:dyDescent="0.25">
      <c r="B28" s="20"/>
      <c r="C28" s="5" t="s">
        <v>44</v>
      </c>
      <c r="D28" s="6" t="s">
        <v>35</v>
      </c>
      <c r="E28" s="11">
        <v>4.1060000000000003E-3</v>
      </c>
      <c r="F28" s="1"/>
      <c r="G28" s="1"/>
      <c r="H28" s="1"/>
      <c r="I28" s="1"/>
      <c r="J28" s="1"/>
      <c r="K28" s="1"/>
      <c r="L28" s="1"/>
      <c r="M28" s="1"/>
      <c r="N28" s="18"/>
    </row>
    <row r="29" spans="2:14" ht="15" customHeight="1" x14ac:dyDescent="0.25">
      <c r="B29" s="20"/>
      <c r="C29" s="5" t="s">
        <v>153</v>
      </c>
      <c r="D29" s="6" t="s">
        <v>35</v>
      </c>
      <c r="E29" s="11">
        <v>3.29E-3</v>
      </c>
      <c r="F29" s="1"/>
      <c r="G29" s="1"/>
      <c r="H29" s="1"/>
      <c r="I29" s="1"/>
      <c r="J29" s="1"/>
      <c r="K29" s="1"/>
      <c r="L29" s="1"/>
      <c r="M29" s="1"/>
      <c r="N29" s="18"/>
    </row>
    <row r="30" spans="2:14" ht="15" customHeight="1" x14ac:dyDescent="0.25">
      <c r="B30" s="20"/>
      <c r="C30" s="5" t="s">
        <v>50</v>
      </c>
      <c r="D30" s="6" t="s">
        <v>35</v>
      </c>
      <c r="E30" s="11">
        <v>3.2560000000000002E-3</v>
      </c>
      <c r="F30" s="1"/>
      <c r="G30" s="1"/>
      <c r="H30" s="1"/>
      <c r="I30" s="1"/>
      <c r="J30" s="1"/>
      <c r="K30" s="1"/>
      <c r="L30" s="1"/>
      <c r="M30" s="1"/>
      <c r="N30" s="18"/>
    </row>
    <row r="31" spans="2:14" ht="15" customHeight="1" x14ac:dyDescent="0.25">
      <c r="B31" s="20"/>
      <c r="C31" s="5" t="s">
        <v>42</v>
      </c>
      <c r="D31" s="6" t="s">
        <v>35</v>
      </c>
      <c r="E31" s="11">
        <v>2.477E-3</v>
      </c>
      <c r="F31" s="1"/>
      <c r="G31" s="1"/>
      <c r="H31" s="1"/>
      <c r="I31" s="1"/>
      <c r="J31" s="1"/>
      <c r="K31" s="1"/>
      <c r="L31" s="1"/>
      <c r="M31" s="1"/>
      <c r="N31" s="18"/>
    </row>
    <row r="32" spans="2:14" ht="15" customHeight="1" x14ac:dyDescent="0.25">
      <c r="B32" s="20"/>
      <c r="C32" s="5" t="s">
        <v>29</v>
      </c>
      <c r="D32" s="6" t="s">
        <v>35</v>
      </c>
      <c r="E32" s="11">
        <v>8.2700000000000004E-4</v>
      </c>
      <c r="F32" s="1"/>
      <c r="G32" s="1"/>
      <c r="H32" s="1"/>
      <c r="I32" s="1"/>
      <c r="J32" s="1"/>
      <c r="K32" s="1"/>
      <c r="L32" s="1"/>
      <c r="M32" s="1"/>
      <c r="N32" s="18"/>
    </row>
    <row r="33" spans="2:14" ht="15.75" customHeight="1" x14ac:dyDescent="0.25">
      <c r="B33" s="20"/>
      <c r="C33" s="7" t="s">
        <v>52</v>
      </c>
      <c r="D33" s="8"/>
      <c r="E33" s="12">
        <v>0.293381</v>
      </c>
      <c r="F33" s="1"/>
      <c r="G33" s="1"/>
      <c r="H33" s="1"/>
      <c r="I33" s="1"/>
      <c r="J33" s="1"/>
      <c r="K33" s="1"/>
      <c r="L33" s="1"/>
      <c r="M33" s="1"/>
      <c r="N33" s="18"/>
    </row>
    <row r="34" spans="2:14" ht="15" customHeight="1" x14ac:dyDescent="0.25">
      <c r="B34" s="20"/>
      <c r="C34" s="5" t="s">
        <v>73</v>
      </c>
      <c r="D34" s="6" t="s">
        <v>54</v>
      </c>
      <c r="E34" s="11">
        <v>9.0603000000000003E-2</v>
      </c>
      <c r="F34" s="1"/>
      <c r="G34" s="1"/>
      <c r="H34" s="1"/>
      <c r="I34" s="1"/>
      <c r="J34" s="1"/>
      <c r="K34" s="1"/>
      <c r="L34" s="1"/>
      <c r="M34" s="1"/>
      <c r="N34" s="18"/>
    </row>
    <row r="35" spans="2:14" ht="15" customHeight="1" x14ac:dyDescent="0.25">
      <c r="B35" s="20"/>
      <c r="C35" s="5" t="s">
        <v>113</v>
      </c>
      <c r="D35" s="6" t="s">
        <v>54</v>
      </c>
      <c r="E35" s="11">
        <v>3.5445999999999998E-2</v>
      </c>
      <c r="F35" s="1"/>
      <c r="G35" s="1"/>
      <c r="H35" s="1"/>
      <c r="I35" s="1"/>
      <c r="J35" s="1"/>
      <c r="K35" s="1"/>
      <c r="L35" s="1"/>
      <c r="M35" s="1"/>
      <c r="N35" s="18"/>
    </row>
    <row r="36" spans="2:14" ht="15" customHeight="1" x14ac:dyDescent="0.25">
      <c r="B36" s="20"/>
      <c r="C36" s="5" t="s">
        <v>154</v>
      </c>
      <c r="D36" s="6" t="s">
        <v>54</v>
      </c>
      <c r="E36" s="11">
        <v>8.5700000000000001E-4</v>
      </c>
      <c r="F36" s="1"/>
      <c r="G36" s="1"/>
      <c r="H36" s="1"/>
      <c r="I36" s="1"/>
      <c r="J36" s="1"/>
      <c r="K36" s="1"/>
      <c r="L36" s="1"/>
      <c r="M36" s="1"/>
      <c r="N36" s="18"/>
    </row>
    <row r="37" spans="2:14" ht="15" customHeight="1" x14ac:dyDescent="0.25">
      <c r="B37" s="20"/>
      <c r="C37" s="5" t="s">
        <v>55</v>
      </c>
      <c r="D37" s="6" t="s">
        <v>54</v>
      </c>
      <c r="E37" s="11">
        <v>6.5799999999999995E-4</v>
      </c>
      <c r="F37" s="1"/>
      <c r="G37" s="1"/>
      <c r="H37" s="1"/>
      <c r="I37" s="1"/>
      <c r="J37" s="1"/>
      <c r="K37" s="1"/>
      <c r="L37" s="1"/>
      <c r="M37" s="1"/>
      <c r="N37" s="18"/>
    </row>
    <row r="38" spans="2:14" ht="15.75" customHeight="1" x14ac:dyDescent="0.25">
      <c r="B38" s="20"/>
      <c r="C38" s="7" t="s">
        <v>57</v>
      </c>
      <c r="D38" s="8"/>
      <c r="E38" s="12">
        <v>0.12756400000000001</v>
      </c>
      <c r="F38" s="1"/>
      <c r="G38" s="1"/>
      <c r="H38" s="1"/>
      <c r="I38" s="1"/>
      <c r="J38" s="1"/>
      <c r="K38" s="1"/>
      <c r="L38" s="1"/>
      <c r="M38" s="1"/>
      <c r="N38" s="18"/>
    </row>
    <row r="39" spans="2:14" ht="15" customHeight="1" x14ac:dyDescent="0.25">
      <c r="B39" s="20"/>
      <c r="C39" s="5" t="s">
        <v>171</v>
      </c>
      <c r="D39" s="6" t="s">
        <v>54</v>
      </c>
      <c r="E39" s="11">
        <v>3.2749E-2</v>
      </c>
      <c r="F39" s="1"/>
      <c r="G39" s="1"/>
      <c r="H39" s="1"/>
      <c r="I39" s="1"/>
      <c r="J39" s="1"/>
      <c r="K39" s="1"/>
      <c r="L39" s="1"/>
      <c r="M39" s="1"/>
      <c r="N39" s="18"/>
    </row>
    <row r="40" spans="2:14" ht="15.75" customHeight="1" x14ac:dyDescent="0.25">
      <c r="B40" s="20"/>
      <c r="C40" s="5" t="s">
        <v>170</v>
      </c>
      <c r="D40" s="6" t="s">
        <v>54</v>
      </c>
      <c r="E40" s="11">
        <v>8.2810000000000002E-3</v>
      </c>
      <c r="F40" s="1"/>
      <c r="G40" s="1"/>
      <c r="H40" s="1"/>
      <c r="I40" s="1"/>
      <c r="J40" s="1"/>
      <c r="K40" s="1"/>
      <c r="L40" s="1"/>
      <c r="M40" s="1"/>
      <c r="N40" s="18"/>
    </row>
    <row r="41" spans="2:14" ht="15" customHeight="1" x14ac:dyDescent="0.25">
      <c r="B41" s="20"/>
      <c r="C41" s="5" t="s">
        <v>167</v>
      </c>
      <c r="D41" s="6" t="s">
        <v>54</v>
      </c>
      <c r="E41" s="11">
        <v>5.7879999999999997E-3</v>
      </c>
      <c r="F41" s="1"/>
      <c r="G41" s="1"/>
      <c r="H41" s="1"/>
      <c r="I41" s="1"/>
      <c r="J41" s="1"/>
      <c r="K41" s="1"/>
      <c r="L41" s="1"/>
      <c r="M41" s="1"/>
      <c r="N41" s="18"/>
    </row>
    <row r="42" spans="2:14" ht="15.75" customHeight="1" x14ac:dyDescent="0.25">
      <c r="B42" s="20"/>
      <c r="C42" s="5" t="s">
        <v>175</v>
      </c>
      <c r="D42" s="6" t="s">
        <v>54</v>
      </c>
      <c r="E42" s="11">
        <v>4.13E-3</v>
      </c>
      <c r="F42" s="1"/>
      <c r="G42" s="1"/>
      <c r="H42" s="1"/>
      <c r="I42" s="1"/>
      <c r="J42" s="1"/>
      <c r="K42" s="1"/>
      <c r="L42" s="1"/>
      <c r="M42" s="1"/>
      <c r="N42" s="18"/>
    </row>
    <row r="43" spans="2:14" ht="15" customHeight="1" x14ac:dyDescent="0.25">
      <c r="B43" s="20"/>
      <c r="C43" s="5" t="s">
        <v>169</v>
      </c>
      <c r="D43" s="6" t="s">
        <v>54</v>
      </c>
      <c r="E43" s="11">
        <v>2.5590000000000001E-3</v>
      </c>
      <c r="F43" s="1"/>
      <c r="G43" s="1"/>
      <c r="H43" s="1"/>
      <c r="I43" s="1"/>
      <c r="J43" s="1"/>
      <c r="K43" s="1"/>
      <c r="L43" s="1"/>
      <c r="M43" s="1"/>
      <c r="N43" s="18"/>
    </row>
    <row r="44" spans="2:14" ht="15.75" customHeight="1" x14ac:dyDescent="0.25">
      <c r="B44" s="20"/>
      <c r="C44" s="5" t="s">
        <v>178</v>
      </c>
      <c r="D44" s="6" t="s">
        <v>54</v>
      </c>
      <c r="E44" s="11">
        <v>1.652E-3</v>
      </c>
      <c r="F44" s="1"/>
      <c r="G44" s="1"/>
      <c r="H44" s="1"/>
      <c r="I44" s="1"/>
      <c r="J44" s="1"/>
      <c r="K44" s="1"/>
      <c r="L44" s="1"/>
      <c r="M44" s="1"/>
      <c r="N44" s="18"/>
    </row>
    <row r="45" spans="2:14" ht="15.75" customHeight="1" x14ac:dyDescent="0.25">
      <c r="B45" s="20"/>
      <c r="C45" s="5" t="s">
        <v>176</v>
      </c>
      <c r="D45" s="6" t="s">
        <v>54</v>
      </c>
      <c r="E45" s="11">
        <v>1.6509999999999999E-3</v>
      </c>
      <c r="F45" s="1"/>
      <c r="G45" s="1"/>
      <c r="H45" s="1"/>
      <c r="I45" s="1"/>
      <c r="J45" s="1"/>
      <c r="K45" s="1"/>
      <c r="L45" s="1"/>
      <c r="M45" s="1"/>
      <c r="N45" s="18"/>
    </row>
    <row r="46" spans="2:14" ht="15.75" customHeight="1" x14ac:dyDescent="0.25">
      <c r="B46" s="20"/>
      <c r="C46" s="5" t="s">
        <v>168</v>
      </c>
      <c r="D46" s="6" t="s">
        <v>54</v>
      </c>
      <c r="E46" s="11">
        <v>8.4099999999999995E-4</v>
      </c>
      <c r="F46" s="1"/>
      <c r="G46" s="1"/>
      <c r="H46" s="1"/>
      <c r="I46" s="1"/>
      <c r="J46" s="1"/>
      <c r="K46" s="1"/>
      <c r="L46" s="1"/>
      <c r="M46" s="1"/>
      <c r="N46" s="18"/>
    </row>
    <row r="47" spans="2:14" ht="15.75" customHeight="1" x14ac:dyDescent="0.25">
      <c r="B47" s="20"/>
      <c r="C47" s="5" t="s">
        <v>173</v>
      </c>
      <c r="D47" s="6" t="s">
        <v>54</v>
      </c>
      <c r="E47" s="11">
        <v>8.2100000000000001E-4</v>
      </c>
      <c r="F47" s="1"/>
      <c r="G47" s="1"/>
      <c r="H47" s="1"/>
      <c r="I47" s="1"/>
      <c r="J47" s="1"/>
      <c r="K47" s="1"/>
      <c r="L47" s="1"/>
      <c r="M47" s="1"/>
      <c r="N47" s="18"/>
    </row>
    <row r="48" spans="2:14" ht="15.75" customHeight="1" x14ac:dyDescent="0.25">
      <c r="B48" s="20"/>
      <c r="C48" s="5" t="s">
        <v>174</v>
      </c>
      <c r="D48" s="6" t="s">
        <v>54</v>
      </c>
      <c r="E48" s="11">
        <v>2.7700000000000001E-4</v>
      </c>
      <c r="F48" s="1"/>
      <c r="G48" s="1"/>
      <c r="H48" s="1"/>
      <c r="I48" s="1"/>
      <c r="J48" s="1"/>
      <c r="K48" s="1"/>
      <c r="L48" s="1"/>
      <c r="M48" s="1"/>
      <c r="N48" s="18"/>
    </row>
    <row r="49" spans="2:14" ht="15.75" customHeight="1" x14ac:dyDescent="0.25">
      <c r="B49" s="20"/>
      <c r="C49" s="5" t="s">
        <v>177</v>
      </c>
      <c r="D49" s="6" t="s">
        <v>54</v>
      </c>
      <c r="E49" s="11">
        <v>2.52E-4</v>
      </c>
      <c r="F49" s="1"/>
      <c r="G49" s="1"/>
      <c r="H49" s="1"/>
      <c r="I49" s="1"/>
      <c r="J49" s="1"/>
      <c r="K49" s="1"/>
      <c r="L49" s="1"/>
      <c r="M49" s="1"/>
      <c r="N49" s="18"/>
    </row>
    <row r="50" spans="2:14" ht="15.75" customHeight="1" x14ac:dyDescent="0.25">
      <c r="B50" s="20"/>
      <c r="C50" s="5" t="s">
        <v>172</v>
      </c>
      <c r="D50" s="6" t="s">
        <v>54</v>
      </c>
      <c r="E50" s="11">
        <v>9.7999999999999997E-5</v>
      </c>
      <c r="F50" s="1"/>
      <c r="G50" s="1"/>
      <c r="H50" s="1"/>
      <c r="I50" s="1"/>
      <c r="J50" s="1"/>
      <c r="K50" s="1"/>
      <c r="L50" s="1"/>
      <c r="M50" s="1"/>
      <c r="N50" s="18"/>
    </row>
    <row r="51" spans="2:14" ht="15" customHeight="1" x14ac:dyDescent="0.25">
      <c r="B51" s="20"/>
      <c r="C51" s="7" t="s">
        <v>58</v>
      </c>
      <c r="D51" s="8"/>
      <c r="E51" s="12">
        <v>5.9098999999999999E-2</v>
      </c>
      <c r="F51" s="1"/>
      <c r="G51" s="1"/>
      <c r="H51" s="1"/>
      <c r="I51" s="1"/>
      <c r="J51" s="1"/>
      <c r="K51" s="1"/>
      <c r="L51" s="1"/>
      <c r="M51" s="1"/>
      <c r="N51" s="18"/>
    </row>
    <row r="52" spans="2:14" ht="15" customHeight="1" x14ac:dyDescent="0.25">
      <c r="B52" s="20"/>
      <c r="C52" s="5" t="s">
        <v>155</v>
      </c>
      <c r="D52" s="6" t="s">
        <v>54</v>
      </c>
      <c r="E52" s="11">
        <v>1.6098000000000001E-2</v>
      </c>
      <c r="F52" s="1"/>
      <c r="G52" s="1"/>
      <c r="H52" s="1"/>
      <c r="I52" s="1"/>
      <c r="J52" s="1"/>
      <c r="K52" s="1"/>
      <c r="L52" s="1"/>
      <c r="M52" s="1"/>
      <c r="N52" s="18"/>
    </row>
    <row r="53" spans="2:14" ht="15" customHeight="1" x14ac:dyDescent="0.25">
      <c r="B53" s="20"/>
      <c r="C53" s="7" t="s">
        <v>64</v>
      </c>
      <c r="D53" s="8"/>
      <c r="E53" s="12">
        <v>1.6098000000000001E-2</v>
      </c>
      <c r="F53" s="1"/>
      <c r="G53" s="1"/>
      <c r="H53" s="1"/>
      <c r="I53" s="1"/>
      <c r="J53" s="1"/>
      <c r="K53" s="1"/>
      <c r="L53" s="1"/>
      <c r="M53" s="1"/>
      <c r="N53" s="18"/>
    </row>
    <row r="54" spans="2:14" ht="15" customHeight="1" x14ac:dyDescent="0.25">
      <c r="B54" s="20"/>
      <c r="C54" s="5" t="s">
        <v>9</v>
      </c>
      <c r="D54" s="6"/>
      <c r="E54" s="11">
        <v>7.4283000000000002E-2</v>
      </c>
      <c r="F54" s="1"/>
      <c r="G54" s="1"/>
      <c r="H54" s="1"/>
      <c r="I54" s="1"/>
      <c r="J54" s="1"/>
      <c r="K54" s="1"/>
      <c r="L54" s="1"/>
      <c r="M54" s="1"/>
      <c r="N54" s="18"/>
    </row>
    <row r="55" spans="2:14" ht="15" customHeight="1" x14ac:dyDescent="0.25">
      <c r="B55" s="20"/>
      <c r="C55" s="7" t="s">
        <v>10</v>
      </c>
      <c r="D55" s="8"/>
      <c r="E55" s="12">
        <v>7.4283000000000002E-2</v>
      </c>
      <c r="F55" s="1"/>
      <c r="G55" s="1"/>
      <c r="H55" s="1"/>
      <c r="I55" s="1"/>
      <c r="J55" s="1"/>
      <c r="K55" s="1"/>
      <c r="L55" s="1"/>
      <c r="M55" s="1"/>
      <c r="N55" s="18"/>
    </row>
    <row r="56" spans="2:14" ht="15" customHeight="1" x14ac:dyDescent="0.25">
      <c r="B56" s="20"/>
      <c r="C56" s="5"/>
      <c r="D56" s="6"/>
      <c r="E56" s="11"/>
      <c r="F56" s="1"/>
      <c r="G56" s="1"/>
      <c r="H56" s="1"/>
      <c r="I56" s="1"/>
      <c r="J56" s="1"/>
      <c r="K56" s="1"/>
      <c r="L56" s="1"/>
      <c r="M56" s="1"/>
      <c r="N56" s="18"/>
    </row>
    <row r="57" spans="2:14" ht="15" customHeight="1" x14ac:dyDescent="0.25">
      <c r="B57" s="20"/>
      <c r="C57" s="7" t="s">
        <v>11</v>
      </c>
      <c r="D57" s="8"/>
      <c r="E57" s="12">
        <v>1.3179E-2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 customHeight="1" x14ac:dyDescent="0.25">
      <c r="B59" s="20"/>
      <c r="C59" s="9" t="s">
        <v>12</v>
      </c>
      <c r="D59" s="10"/>
      <c r="E59" s="13">
        <v>1</v>
      </c>
      <c r="F59" s="1"/>
      <c r="G59" s="1"/>
      <c r="H59" s="1"/>
      <c r="I59" s="1"/>
      <c r="J59" s="1"/>
      <c r="K59" s="1"/>
      <c r="L59" s="1"/>
      <c r="M59" s="1"/>
      <c r="N59" s="18"/>
    </row>
    <row r="60" spans="2:14" ht="15" customHeight="1" x14ac:dyDescent="0.25">
      <c r="B60" s="20"/>
      <c r="C60" s="1"/>
      <c r="D60" s="1"/>
      <c r="E60" s="1"/>
      <c r="F60" s="1"/>
      <c r="G60" s="1"/>
      <c r="H60" s="1"/>
      <c r="I60" s="1"/>
      <c r="J60" s="1"/>
      <c r="K60" s="1"/>
      <c r="L60" s="1"/>
      <c r="M60" s="1"/>
      <c r="N60" s="18"/>
    </row>
    <row r="61" spans="2:14" ht="15" customHeight="1" thickBot="1" x14ac:dyDescent="0.3">
      <c r="B61" s="21"/>
      <c r="C61" s="22"/>
      <c r="D61" s="22"/>
      <c r="E61" s="22"/>
      <c r="F61" s="22"/>
      <c r="G61" s="22"/>
      <c r="H61" s="22"/>
      <c r="I61" s="22"/>
      <c r="J61" s="22"/>
      <c r="K61" s="22"/>
      <c r="L61" s="22"/>
      <c r="M61" s="22"/>
      <c r="N61" s="23"/>
    </row>
    <row r="62" spans="2:14" ht="15" customHeight="1" thickBot="1" x14ac:dyDescent="0.3"/>
    <row r="63" spans="2:14" ht="106.5" customHeight="1" thickBot="1" x14ac:dyDescent="0.3">
      <c r="B63" s="34" t="s">
        <v>231</v>
      </c>
      <c r="C63" s="35"/>
      <c r="D63" s="35"/>
      <c r="E63" s="35"/>
      <c r="F63" s="35"/>
      <c r="G63" s="35"/>
      <c r="H63" s="35"/>
      <c r="I63" s="35"/>
      <c r="J63" s="35"/>
      <c r="K63" s="35"/>
      <c r="L63" s="35"/>
      <c r="M63" s="35"/>
      <c r="N63" s="36"/>
    </row>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row r="74" ht="15" customHeight="1" x14ac:dyDescent="0.25"/>
    <row r="75" ht="15" customHeight="1" x14ac:dyDescent="0.25"/>
    <row r="76" ht="15" customHeight="1" x14ac:dyDescent="0.25"/>
    <row r="77" ht="15" customHeight="1" x14ac:dyDescent="0.25"/>
    <row r="78" ht="15" customHeight="1" x14ac:dyDescent="0.25"/>
    <row r="79" ht="15" customHeight="1" x14ac:dyDescent="0.25"/>
    <row r="80" ht="15" customHeight="1" x14ac:dyDescent="0.25"/>
    <row r="81" ht="15" customHeight="1" x14ac:dyDescent="0.25"/>
    <row r="82" ht="15" customHeight="1" x14ac:dyDescent="0.25"/>
    <row r="83" ht="15" customHeight="1" x14ac:dyDescent="0.25"/>
  </sheetData>
  <sortState ref="C39:E50">
    <sortCondition descending="1" ref="E39"/>
  </sortState>
  <mergeCells count="6">
    <mergeCell ref="B63:N63"/>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16D3-870D-4E97-9A7A-A48449042712}">
  <dimension ref="B1:N51"/>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156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157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31</v>
      </c>
      <c r="D8" s="6" t="s">
        <v>23</v>
      </c>
      <c r="E8" s="11">
        <v>0.11731900000000001</v>
      </c>
      <c r="F8" s="1"/>
      <c r="G8" s="24" t="s">
        <v>16</v>
      </c>
      <c r="H8" s="25">
        <v>1</v>
      </c>
      <c r="I8" s="1"/>
      <c r="J8" s="24" t="s">
        <v>13</v>
      </c>
      <c r="K8" s="24" t="s">
        <v>5</v>
      </c>
      <c r="L8" s="1"/>
      <c r="M8" s="1"/>
      <c r="N8" s="18"/>
    </row>
    <row r="9" spans="2:14" ht="15" customHeight="1" x14ac:dyDescent="0.25">
      <c r="B9" s="20"/>
      <c r="C9" s="5" t="s">
        <v>25</v>
      </c>
      <c r="D9" s="6" t="s">
        <v>23</v>
      </c>
      <c r="E9" s="11">
        <v>0.110554</v>
      </c>
      <c r="F9" s="1"/>
      <c r="G9" s="1"/>
      <c r="H9" s="1"/>
      <c r="I9" s="1"/>
      <c r="J9" s="24" t="s">
        <v>11</v>
      </c>
      <c r="K9" s="29">
        <v>3.2499E-2</v>
      </c>
      <c r="L9" s="1"/>
      <c r="M9" s="1"/>
      <c r="N9" s="18"/>
    </row>
    <row r="10" spans="2:14" ht="15" customHeight="1" x14ac:dyDescent="0.25">
      <c r="B10" s="20"/>
      <c r="C10" s="5" t="s">
        <v>30</v>
      </c>
      <c r="D10" s="6" t="s">
        <v>23</v>
      </c>
      <c r="E10" s="11">
        <v>0.107414</v>
      </c>
      <c r="F10" s="1"/>
      <c r="G10" s="1"/>
      <c r="H10" s="1"/>
      <c r="I10" s="1"/>
      <c r="J10" s="24" t="s">
        <v>14</v>
      </c>
      <c r="K10" s="29">
        <v>7.1513999999999994E-2</v>
      </c>
      <c r="L10" s="1"/>
      <c r="M10" s="1"/>
      <c r="N10" s="18"/>
    </row>
    <row r="11" spans="2:14" ht="15" customHeight="1" x14ac:dyDescent="0.25">
      <c r="B11" s="20"/>
      <c r="C11" s="5" t="s">
        <v>26</v>
      </c>
      <c r="D11" s="6" t="s">
        <v>23</v>
      </c>
      <c r="E11" s="11">
        <v>9.3122999999999997E-2</v>
      </c>
      <c r="F11" s="1"/>
      <c r="G11" s="1"/>
      <c r="H11" s="1"/>
      <c r="I11" s="1"/>
      <c r="J11" s="24" t="s">
        <v>65</v>
      </c>
      <c r="K11" s="29">
        <v>0.68207700000000004</v>
      </c>
      <c r="L11" s="1"/>
      <c r="M11" s="1"/>
      <c r="N11" s="18"/>
    </row>
    <row r="12" spans="2:14" ht="15" customHeight="1" x14ac:dyDescent="0.25">
      <c r="B12" s="20"/>
      <c r="C12" s="5" t="s">
        <v>28</v>
      </c>
      <c r="D12" s="6" t="s">
        <v>23</v>
      </c>
      <c r="E12" s="11">
        <v>8.3662E-2</v>
      </c>
      <c r="F12" s="1"/>
      <c r="G12" s="1"/>
      <c r="H12" s="1"/>
      <c r="I12" s="1"/>
      <c r="J12" s="24" t="s">
        <v>67</v>
      </c>
      <c r="K12" s="29">
        <v>0.102071</v>
      </c>
      <c r="L12" s="1"/>
      <c r="M12" s="1"/>
      <c r="N12" s="18"/>
    </row>
    <row r="13" spans="2:14" ht="15" customHeight="1" x14ac:dyDescent="0.25">
      <c r="B13" s="20"/>
      <c r="C13" s="5" t="s">
        <v>27</v>
      </c>
      <c r="D13" s="6" t="s">
        <v>23</v>
      </c>
      <c r="E13" s="11">
        <v>7.7911999999999995E-2</v>
      </c>
      <c r="F13" s="1"/>
      <c r="G13" s="1"/>
      <c r="H13" s="1"/>
      <c r="I13" s="1"/>
      <c r="J13" s="24" t="s">
        <v>69</v>
      </c>
      <c r="K13" s="29">
        <v>6.7812999999999998E-2</v>
      </c>
      <c r="L13" s="1"/>
      <c r="M13" s="1"/>
      <c r="N13" s="18"/>
    </row>
    <row r="14" spans="2:14" ht="15" customHeight="1" x14ac:dyDescent="0.25">
      <c r="B14" s="20"/>
      <c r="C14" s="5" t="s">
        <v>22</v>
      </c>
      <c r="D14" s="6" t="s">
        <v>23</v>
      </c>
      <c r="E14" s="11">
        <v>7.7029E-2</v>
      </c>
      <c r="F14" s="1"/>
      <c r="G14" s="1"/>
      <c r="H14" s="1"/>
      <c r="I14" s="1"/>
      <c r="J14" s="24" t="s">
        <v>70</v>
      </c>
      <c r="K14" s="29">
        <v>4.4026000000000003E-2</v>
      </c>
      <c r="L14" s="1"/>
      <c r="M14" s="1"/>
      <c r="N14" s="18"/>
    </row>
    <row r="15" spans="2:14" ht="15" customHeight="1" x14ac:dyDescent="0.25">
      <c r="B15" s="20"/>
      <c r="C15" s="5" t="s">
        <v>29</v>
      </c>
      <c r="D15" s="6" t="s">
        <v>23</v>
      </c>
      <c r="E15" s="11">
        <v>1.5063999999999999E-2</v>
      </c>
      <c r="F15" s="1"/>
      <c r="G15" s="1"/>
      <c r="H15" s="1"/>
      <c r="I15" s="1"/>
      <c r="J15" s="1"/>
      <c r="K15" s="1"/>
      <c r="L15" s="1"/>
      <c r="M15" s="1"/>
      <c r="N15" s="18"/>
    </row>
    <row r="16" spans="2:14" ht="15.75" customHeight="1" x14ac:dyDescent="0.25">
      <c r="B16" s="20"/>
      <c r="C16" s="7" t="s">
        <v>32</v>
      </c>
      <c r="D16" s="8"/>
      <c r="E16" s="12">
        <v>0.68207700000000004</v>
      </c>
      <c r="F16" s="1"/>
      <c r="G16" s="1"/>
      <c r="H16" s="1"/>
      <c r="I16" s="1"/>
      <c r="J16" s="1"/>
      <c r="K16" s="1"/>
      <c r="L16" s="1"/>
      <c r="M16" s="1"/>
      <c r="N16" s="18"/>
    </row>
    <row r="17" spans="2:14" ht="15" customHeight="1" x14ac:dyDescent="0.25">
      <c r="B17" s="20"/>
      <c r="C17" s="5" t="s">
        <v>33</v>
      </c>
      <c r="D17" s="6" t="s">
        <v>23</v>
      </c>
      <c r="E17" s="11">
        <v>7.1329000000000004E-2</v>
      </c>
      <c r="F17" s="1"/>
      <c r="G17" s="1"/>
      <c r="H17" s="1"/>
      <c r="I17" s="1"/>
      <c r="J17" s="1"/>
      <c r="K17" s="1"/>
      <c r="L17" s="1"/>
      <c r="M17" s="1"/>
      <c r="N17" s="18"/>
    </row>
    <row r="18" spans="2:14" ht="15" customHeight="1" x14ac:dyDescent="0.25">
      <c r="B18" s="20"/>
      <c r="C18" s="5" t="s">
        <v>158</v>
      </c>
      <c r="D18" s="6" t="s">
        <v>23</v>
      </c>
      <c r="E18" s="11">
        <v>3.0741999999999998E-2</v>
      </c>
      <c r="F18" s="1"/>
      <c r="G18" s="1"/>
      <c r="H18" s="1"/>
      <c r="I18" s="1"/>
      <c r="J18" s="1"/>
      <c r="K18" s="1"/>
      <c r="L18" s="1"/>
      <c r="M18" s="1"/>
      <c r="N18" s="18"/>
    </row>
    <row r="19" spans="2:14" ht="15.75" customHeight="1" x14ac:dyDescent="0.25">
      <c r="B19" s="20"/>
      <c r="C19" s="7" t="s">
        <v>34</v>
      </c>
      <c r="D19" s="8"/>
      <c r="E19" s="12">
        <v>0.102071</v>
      </c>
      <c r="F19" s="1"/>
      <c r="G19" s="1"/>
      <c r="H19" s="1"/>
      <c r="I19" s="1"/>
      <c r="J19" s="1"/>
      <c r="K19" s="1"/>
      <c r="L19" s="1"/>
      <c r="M19" s="1"/>
      <c r="N19" s="18"/>
    </row>
    <row r="20" spans="2:14" ht="15" customHeight="1" x14ac:dyDescent="0.25">
      <c r="B20" s="20"/>
      <c r="C20" s="5" t="s">
        <v>180</v>
      </c>
      <c r="D20" s="6" t="s">
        <v>54</v>
      </c>
      <c r="E20" s="11">
        <v>1.4126E-2</v>
      </c>
      <c r="F20" s="1"/>
      <c r="G20" s="1"/>
      <c r="H20" s="1"/>
      <c r="I20" s="1"/>
      <c r="J20" s="1"/>
      <c r="K20" s="1"/>
      <c r="L20" s="1"/>
      <c r="M20" s="1"/>
      <c r="N20" s="18"/>
    </row>
    <row r="21" spans="2:14" ht="15.75" customHeight="1" x14ac:dyDescent="0.25">
      <c r="B21" s="20"/>
      <c r="C21" s="5" t="s">
        <v>183</v>
      </c>
      <c r="D21" s="6" t="s">
        <v>54</v>
      </c>
      <c r="E21" s="11">
        <v>9.7289999999999998E-3</v>
      </c>
      <c r="F21" s="1"/>
      <c r="G21" s="1"/>
      <c r="H21" s="1"/>
      <c r="I21" s="1"/>
      <c r="J21" s="1"/>
      <c r="K21" s="1"/>
      <c r="L21" s="1"/>
      <c r="M21" s="1"/>
      <c r="N21" s="18"/>
    </row>
    <row r="22" spans="2:14" ht="15" customHeight="1" x14ac:dyDescent="0.25">
      <c r="B22" s="20"/>
      <c r="C22" s="5" t="s">
        <v>186</v>
      </c>
      <c r="D22" s="6" t="s">
        <v>54</v>
      </c>
      <c r="E22" s="11">
        <v>8.1279999999999998E-3</v>
      </c>
      <c r="F22" s="1"/>
      <c r="G22" s="1"/>
      <c r="H22" s="1"/>
      <c r="I22" s="1"/>
      <c r="J22" s="1"/>
      <c r="K22" s="1"/>
      <c r="L22" s="1"/>
      <c r="M22" s="1"/>
      <c r="N22" s="18"/>
    </row>
    <row r="23" spans="2:14" ht="15" customHeight="1" x14ac:dyDescent="0.25">
      <c r="B23" s="20"/>
      <c r="C23" s="5" t="s">
        <v>185</v>
      </c>
      <c r="D23" s="6" t="s">
        <v>54</v>
      </c>
      <c r="E23" s="11">
        <v>8.1220000000000007E-3</v>
      </c>
      <c r="F23" s="1"/>
      <c r="G23" s="1"/>
      <c r="H23" s="1"/>
      <c r="I23" s="1"/>
      <c r="J23" s="1"/>
      <c r="K23" s="1"/>
      <c r="L23" s="1"/>
      <c r="M23" s="1"/>
      <c r="N23" s="18"/>
    </row>
    <row r="24" spans="2:14" ht="15" customHeight="1" x14ac:dyDescent="0.25">
      <c r="B24" s="20"/>
      <c r="C24" s="5" t="s">
        <v>179</v>
      </c>
      <c r="D24" s="6" t="s">
        <v>54</v>
      </c>
      <c r="E24" s="11">
        <v>8.0730000000000003E-3</v>
      </c>
      <c r="F24" s="1"/>
      <c r="G24" s="42" t="s">
        <v>108</v>
      </c>
      <c r="H24" s="43"/>
      <c r="I24" s="43"/>
      <c r="J24" s="43"/>
      <c r="K24" s="43"/>
      <c r="L24" s="33">
        <v>154</v>
      </c>
      <c r="M24" s="27"/>
      <c r="N24" s="28"/>
    </row>
    <row r="25" spans="2:14" ht="15.75" customHeight="1" x14ac:dyDescent="0.25">
      <c r="B25" s="20"/>
      <c r="C25" s="5" t="s">
        <v>174</v>
      </c>
      <c r="D25" s="6" t="s">
        <v>54</v>
      </c>
      <c r="E25" s="11">
        <v>7.7429999999999999E-3</v>
      </c>
      <c r="F25" s="1"/>
      <c r="G25" s="1"/>
      <c r="H25" s="1"/>
      <c r="I25" s="1"/>
      <c r="J25" s="1"/>
      <c r="K25" s="1"/>
      <c r="L25" s="1"/>
      <c r="M25" s="1"/>
      <c r="N25" s="18"/>
    </row>
    <row r="26" spans="2:14" ht="15" customHeight="1" x14ac:dyDescent="0.25">
      <c r="B26" s="20"/>
      <c r="C26" s="5" t="s">
        <v>182</v>
      </c>
      <c r="D26" s="6" t="s">
        <v>54</v>
      </c>
      <c r="E26" s="11">
        <v>5.2989999999999999E-3</v>
      </c>
      <c r="F26" s="1"/>
      <c r="G26" s="42" t="s">
        <v>19</v>
      </c>
      <c r="H26" s="43"/>
      <c r="I26" s="43"/>
      <c r="J26" s="43"/>
      <c r="K26" s="43"/>
      <c r="L26" s="43"/>
      <c r="M26" s="43"/>
      <c r="N26" s="44"/>
    </row>
    <row r="27" spans="2:14" ht="15.75" customHeight="1" x14ac:dyDescent="0.25">
      <c r="B27" s="20"/>
      <c r="C27" s="5" t="s">
        <v>187</v>
      </c>
      <c r="D27" s="6" t="s">
        <v>54</v>
      </c>
      <c r="E27" s="11">
        <v>3.2550000000000001E-3</v>
      </c>
      <c r="F27" s="1"/>
      <c r="G27" s="1"/>
      <c r="H27" s="1"/>
      <c r="I27" s="1"/>
      <c r="J27" s="1"/>
      <c r="K27" s="1"/>
      <c r="L27" s="1"/>
      <c r="M27" s="1"/>
      <c r="N27" s="18"/>
    </row>
    <row r="28" spans="2:14" ht="15" customHeight="1" x14ac:dyDescent="0.25">
      <c r="B28" s="20"/>
      <c r="C28" s="5" t="s">
        <v>184</v>
      </c>
      <c r="D28" s="6" t="s">
        <v>54</v>
      </c>
      <c r="E28" s="11">
        <v>3.2450000000000001E-3</v>
      </c>
      <c r="F28" s="1"/>
      <c r="G28" s="1"/>
      <c r="H28" s="1"/>
      <c r="I28" s="1"/>
      <c r="J28" s="1"/>
      <c r="K28" s="1"/>
      <c r="L28" s="1"/>
      <c r="M28" s="1"/>
      <c r="N28" s="18"/>
    </row>
    <row r="29" spans="2:14" ht="15.75" customHeight="1" x14ac:dyDescent="0.25">
      <c r="B29" s="20"/>
      <c r="C29" s="5" t="s">
        <v>181</v>
      </c>
      <c r="D29" s="6" t="s">
        <v>54</v>
      </c>
      <c r="E29" s="11">
        <v>9.2999999999999997E-5</v>
      </c>
      <c r="F29" s="1"/>
      <c r="G29" s="1"/>
      <c r="H29" s="1"/>
      <c r="I29" s="1"/>
      <c r="J29" s="1"/>
      <c r="K29" s="1"/>
      <c r="L29" s="1"/>
      <c r="M29" s="1"/>
      <c r="N29" s="18"/>
    </row>
    <row r="30" spans="2:14" ht="15" customHeight="1" x14ac:dyDescent="0.25">
      <c r="B30" s="20"/>
      <c r="C30" s="7" t="s">
        <v>58</v>
      </c>
      <c r="D30" s="8"/>
      <c r="E30" s="12">
        <v>6.7812999999999998E-2</v>
      </c>
      <c r="F30" s="1"/>
      <c r="G30" s="1"/>
      <c r="H30" s="1"/>
      <c r="I30" s="1"/>
      <c r="J30" s="1"/>
      <c r="K30" s="1"/>
      <c r="L30" s="1"/>
      <c r="M30" s="1"/>
      <c r="N30" s="18"/>
    </row>
    <row r="31" spans="2:14" ht="15" customHeight="1" x14ac:dyDescent="0.25">
      <c r="B31" s="20"/>
      <c r="C31" s="5" t="s">
        <v>159</v>
      </c>
      <c r="D31" s="6" t="s">
        <v>54</v>
      </c>
      <c r="E31" s="11">
        <v>2.3701E-2</v>
      </c>
      <c r="F31" s="1"/>
      <c r="G31" s="1"/>
      <c r="H31" s="1"/>
      <c r="I31" s="1"/>
      <c r="J31" s="1"/>
      <c r="K31" s="1"/>
      <c r="L31" s="1"/>
      <c r="M31" s="1"/>
      <c r="N31" s="18"/>
    </row>
    <row r="32" spans="2:14" ht="15" customHeight="1" x14ac:dyDescent="0.25">
      <c r="B32" s="20"/>
      <c r="C32" s="5" t="s">
        <v>59</v>
      </c>
      <c r="D32" s="6" t="s">
        <v>54</v>
      </c>
      <c r="E32" s="11">
        <v>1.5569E-2</v>
      </c>
      <c r="F32" s="1"/>
      <c r="G32" s="1"/>
      <c r="H32" s="1"/>
      <c r="I32" s="1"/>
      <c r="J32" s="1"/>
      <c r="K32" s="1"/>
      <c r="L32" s="1"/>
      <c r="M32" s="1"/>
      <c r="N32" s="18"/>
    </row>
    <row r="33" spans="2:14" ht="15" customHeight="1" x14ac:dyDescent="0.25">
      <c r="B33" s="20"/>
      <c r="C33" s="5" t="s">
        <v>160</v>
      </c>
      <c r="D33" s="6" t="s">
        <v>54</v>
      </c>
      <c r="E33" s="11">
        <v>4.7559999999999998E-3</v>
      </c>
      <c r="F33" s="1"/>
      <c r="G33" s="1"/>
      <c r="H33" s="1"/>
      <c r="I33" s="1"/>
      <c r="J33" s="1"/>
      <c r="K33" s="1"/>
      <c r="L33" s="1"/>
      <c r="M33" s="1"/>
      <c r="N33" s="18"/>
    </row>
    <row r="34" spans="2:14" ht="15" customHeight="1" x14ac:dyDescent="0.25">
      <c r="B34" s="20"/>
      <c r="C34" s="7" t="s">
        <v>64</v>
      </c>
      <c r="D34" s="8"/>
      <c r="E34" s="12">
        <v>4.4026000000000003E-2</v>
      </c>
      <c r="F34" s="1"/>
      <c r="G34" s="1"/>
      <c r="H34" s="1"/>
      <c r="I34" s="1"/>
      <c r="J34" s="1"/>
      <c r="K34" s="1"/>
      <c r="L34" s="1"/>
      <c r="M34" s="1"/>
      <c r="N34" s="18"/>
    </row>
    <row r="35" spans="2:14" ht="15" customHeight="1" x14ac:dyDescent="0.25">
      <c r="B35" s="20"/>
      <c r="C35" s="5" t="s">
        <v>9</v>
      </c>
      <c r="D35" s="6"/>
      <c r="E35" s="11">
        <v>7.1513999999999994E-2</v>
      </c>
      <c r="F35" s="1"/>
      <c r="G35" s="1"/>
      <c r="H35" s="1"/>
      <c r="I35" s="1"/>
      <c r="J35" s="1"/>
      <c r="K35" s="1"/>
      <c r="L35" s="1"/>
      <c r="M35" s="1"/>
      <c r="N35" s="18"/>
    </row>
    <row r="36" spans="2:14" ht="15" customHeight="1" x14ac:dyDescent="0.25">
      <c r="B36" s="20"/>
      <c r="C36" s="7" t="s">
        <v>10</v>
      </c>
      <c r="D36" s="8"/>
      <c r="E36" s="12">
        <v>7.1513999999999994E-2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11</v>
      </c>
      <c r="D38" s="8"/>
      <c r="E38" s="12">
        <v>3.2499E-2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5.75" customHeight="1" thickBot="1" x14ac:dyDescent="0.3">
      <c r="B45" s="34" t="s">
        <v>231</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sheetData>
  <sortState ref="C20:E29">
    <sortCondition descending="1" ref="E20"/>
  </sortState>
  <mergeCells count="6">
    <mergeCell ref="B45:N4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3982B-2845-48B3-98D5-0883A248F5F9}">
  <dimension ref="B1:N6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163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164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28</v>
      </c>
      <c r="D8" s="6" t="s">
        <v>23</v>
      </c>
      <c r="E8" s="11">
        <v>0.110529</v>
      </c>
      <c r="F8" s="1"/>
      <c r="G8" s="24" t="s">
        <v>16</v>
      </c>
      <c r="H8" s="25">
        <v>1</v>
      </c>
      <c r="I8" s="1"/>
      <c r="J8" s="24" t="s">
        <v>13</v>
      </c>
      <c r="K8" s="24" t="s">
        <v>5</v>
      </c>
      <c r="L8" s="1"/>
      <c r="M8" s="1"/>
      <c r="N8" s="18"/>
    </row>
    <row r="9" spans="2:14" ht="15" customHeight="1" x14ac:dyDescent="0.25">
      <c r="B9" s="20"/>
      <c r="C9" s="5" t="s">
        <v>25</v>
      </c>
      <c r="D9" s="6" t="s">
        <v>23</v>
      </c>
      <c r="E9" s="11">
        <v>5.2180999999999998E-2</v>
      </c>
      <c r="F9" s="1"/>
      <c r="G9" s="1"/>
      <c r="H9" s="1"/>
      <c r="I9" s="1"/>
      <c r="J9" s="24" t="s">
        <v>11</v>
      </c>
      <c r="K9" s="29">
        <v>5.0299999999999997E-2</v>
      </c>
      <c r="L9" s="1"/>
      <c r="M9" s="1"/>
      <c r="N9" s="18"/>
    </row>
    <row r="10" spans="2:14" ht="15" customHeight="1" x14ac:dyDescent="0.25">
      <c r="B10" s="20"/>
      <c r="C10" s="5" t="s">
        <v>26</v>
      </c>
      <c r="D10" s="6" t="s">
        <v>23</v>
      </c>
      <c r="E10" s="11">
        <v>2.8823999999999999E-2</v>
      </c>
      <c r="F10" s="1"/>
      <c r="G10" s="1"/>
      <c r="H10" s="1"/>
      <c r="I10" s="1"/>
      <c r="J10" s="24" t="s">
        <v>14</v>
      </c>
      <c r="K10" s="29">
        <v>0.12547700000000001</v>
      </c>
      <c r="L10" s="1"/>
      <c r="M10" s="1"/>
      <c r="N10" s="18"/>
    </row>
    <row r="11" spans="2:14" ht="15" customHeight="1" x14ac:dyDescent="0.25">
      <c r="B11" s="20"/>
      <c r="C11" s="5" t="s">
        <v>22</v>
      </c>
      <c r="D11" s="6" t="s">
        <v>23</v>
      </c>
      <c r="E11" s="11">
        <v>2.3349999999999999E-2</v>
      </c>
      <c r="F11" s="1"/>
      <c r="G11" s="1"/>
      <c r="H11" s="1"/>
      <c r="I11" s="1"/>
      <c r="J11" s="24" t="s">
        <v>65</v>
      </c>
      <c r="K11" s="29">
        <v>0.261687</v>
      </c>
      <c r="L11" s="1"/>
      <c r="M11" s="1"/>
      <c r="N11" s="18"/>
    </row>
    <row r="12" spans="2:14" ht="15" customHeight="1" x14ac:dyDescent="0.25">
      <c r="B12" s="20"/>
      <c r="C12" s="5" t="s">
        <v>27</v>
      </c>
      <c r="D12" s="6" t="s">
        <v>23</v>
      </c>
      <c r="E12" s="11">
        <v>2.3276999999999999E-2</v>
      </c>
      <c r="F12" s="1"/>
      <c r="G12" s="1"/>
      <c r="H12" s="1"/>
      <c r="I12" s="1"/>
      <c r="J12" s="24" t="s">
        <v>66</v>
      </c>
      <c r="K12" s="29">
        <v>0.37296099999999999</v>
      </c>
      <c r="L12" s="1"/>
      <c r="M12" s="1"/>
      <c r="N12" s="18"/>
    </row>
    <row r="13" spans="2:14" ht="15" customHeight="1" x14ac:dyDescent="0.25">
      <c r="B13" s="20"/>
      <c r="C13" s="5" t="s">
        <v>31</v>
      </c>
      <c r="D13" s="6" t="s">
        <v>23</v>
      </c>
      <c r="E13" s="11">
        <v>1.1894999999999999E-2</v>
      </c>
      <c r="F13" s="1"/>
      <c r="G13" s="1"/>
      <c r="H13" s="1"/>
      <c r="I13" s="1"/>
      <c r="J13" s="24" t="s">
        <v>67</v>
      </c>
      <c r="K13" s="29">
        <v>1.2189999999999999E-2</v>
      </c>
      <c r="L13" s="1"/>
      <c r="M13" s="1"/>
      <c r="N13" s="18"/>
    </row>
    <row r="14" spans="2:14" ht="15" customHeight="1" x14ac:dyDescent="0.25">
      <c r="B14" s="20"/>
      <c r="C14" s="5" t="s">
        <v>29</v>
      </c>
      <c r="D14" s="6" t="s">
        <v>23</v>
      </c>
      <c r="E14" s="11">
        <v>1.1631000000000001E-2</v>
      </c>
      <c r="F14" s="1"/>
      <c r="G14" s="1"/>
      <c r="H14" s="1"/>
      <c r="I14" s="1"/>
      <c r="J14" s="24" t="s">
        <v>68</v>
      </c>
      <c r="K14" s="29">
        <v>4.8999999999999998E-4</v>
      </c>
      <c r="L14" s="1"/>
      <c r="M14" s="1"/>
      <c r="N14" s="18"/>
    </row>
    <row r="15" spans="2:14" ht="15.75" customHeight="1" x14ac:dyDescent="0.25">
      <c r="B15" s="20"/>
      <c r="C15" s="7" t="s">
        <v>32</v>
      </c>
      <c r="D15" s="8"/>
      <c r="E15" s="12">
        <v>0.261687</v>
      </c>
      <c r="F15" s="1"/>
      <c r="G15" s="1"/>
      <c r="H15" s="1"/>
      <c r="I15" s="1"/>
      <c r="J15" s="24" t="s">
        <v>69</v>
      </c>
      <c r="K15" s="29">
        <v>4.4241000000000003E-2</v>
      </c>
      <c r="L15" s="1"/>
      <c r="M15" s="1"/>
      <c r="N15" s="18"/>
    </row>
    <row r="16" spans="2:14" ht="15" customHeight="1" x14ac:dyDescent="0.25">
      <c r="B16" s="20"/>
      <c r="C16" s="5" t="s">
        <v>91</v>
      </c>
      <c r="D16" s="6" t="s">
        <v>23</v>
      </c>
      <c r="E16" s="11">
        <v>1.2189999999999999E-2</v>
      </c>
      <c r="F16" s="1"/>
      <c r="G16" s="1"/>
      <c r="H16" s="1"/>
      <c r="I16" s="1"/>
      <c r="J16" s="24" t="s">
        <v>70</v>
      </c>
      <c r="K16" s="29">
        <v>0.13265399999999999</v>
      </c>
      <c r="L16" s="1"/>
      <c r="M16" s="1"/>
      <c r="N16" s="18"/>
    </row>
    <row r="17" spans="2:14" ht="15.75" customHeight="1" x14ac:dyDescent="0.25">
      <c r="B17" s="20"/>
      <c r="C17" s="7" t="s">
        <v>34</v>
      </c>
      <c r="D17" s="8"/>
      <c r="E17" s="12">
        <v>1.2189999999999999E-2</v>
      </c>
      <c r="F17" s="1"/>
      <c r="G17" s="1"/>
      <c r="H17" s="1"/>
      <c r="I17" s="1"/>
      <c r="J17" s="1"/>
      <c r="K17" s="1"/>
      <c r="L17" s="1"/>
      <c r="M17" s="1"/>
      <c r="N17" s="18"/>
    </row>
    <row r="18" spans="2:14" ht="15" customHeight="1" x14ac:dyDescent="0.25">
      <c r="B18" s="20"/>
      <c r="C18" s="5" t="s">
        <v>37</v>
      </c>
      <c r="D18" s="6" t="s">
        <v>35</v>
      </c>
      <c r="E18" s="11">
        <v>9.7978999999999997E-2</v>
      </c>
      <c r="F18" s="1"/>
      <c r="G18" s="1"/>
      <c r="H18" s="1"/>
      <c r="I18" s="1"/>
      <c r="J18" s="1"/>
      <c r="K18" s="1"/>
      <c r="L18" s="1"/>
      <c r="M18" s="1"/>
      <c r="N18" s="18"/>
    </row>
    <row r="19" spans="2:14" ht="15" customHeight="1" x14ac:dyDescent="0.25">
      <c r="B19" s="20"/>
      <c r="C19" s="5" t="s">
        <v>31</v>
      </c>
      <c r="D19" s="6" t="s">
        <v>35</v>
      </c>
      <c r="E19" s="11">
        <v>7.9280000000000003E-2</v>
      </c>
      <c r="F19" s="1"/>
      <c r="G19" s="1"/>
      <c r="H19" s="1"/>
      <c r="I19" s="1"/>
      <c r="J19" s="1"/>
      <c r="K19" s="1"/>
      <c r="L19" s="1"/>
      <c r="M19" s="1"/>
      <c r="N19" s="18"/>
    </row>
    <row r="20" spans="2:14" ht="15" customHeight="1" x14ac:dyDescent="0.25">
      <c r="B20" s="20"/>
      <c r="C20" s="5" t="s">
        <v>39</v>
      </c>
      <c r="D20" s="6" t="s">
        <v>35</v>
      </c>
      <c r="E20" s="11">
        <v>4.6382E-2</v>
      </c>
      <c r="F20" s="1"/>
      <c r="G20" s="1"/>
      <c r="H20" s="1"/>
      <c r="I20" s="1"/>
      <c r="J20" s="1"/>
      <c r="K20" s="1"/>
      <c r="L20" s="1"/>
      <c r="M20" s="1"/>
      <c r="N20" s="18"/>
    </row>
    <row r="21" spans="2:14" ht="15" customHeight="1" x14ac:dyDescent="0.25">
      <c r="B21" s="20"/>
      <c r="C21" s="5" t="s">
        <v>33</v>
      </c>
      <c r="D21" s="6" t="s">
        <v>35</v>
      </c>
      <c r="E21" s="11">
        <v>4.5291999999999999E-2</v>
      </c>
      <c r="F21" s="1"/>
      <c r="G21" s="1"/>
      <c r="H21" s="1"/>
      <c r="I21" s="1"/>
      <c r="J21" s="1"/>
      <c r="K21" s="1"/>
      <c r="L21" s="1"/>
      <c r="M21" s="1"/>
      <c r="N21" s="18"/>
    </row>
    <row r="22" spans="2:14" ht="15" customHeight="1" x14ac:dyDescent="0.25">
      <c r="B22" s="20"/>
      <c r="C22" s="5" t="s">
        <v>38</v>
      </c>
      <c r="D22" s="6" t="s">
        <v>35</v>
      </c>
      <c r="E22" s="11">
        <v>4.0371999999999998E-2</v>
      </c>
      <c r="F22" s="1"/>
      <c r="G22" s="1"/>
      <c r="H22" s="1"/>
      <c r="I22" s="1"/>
      <c r="J22" s="1"/>
      <c r="K22" s="1"/>
      <c r="L22" s="1"/>
      <c r="M22" s="1"/>
      <c r="N22" s="18"/>
    </row>
    <row r="23" spans="2:14" ht="15" customHeight="1" x14ac:dyDescent="0.25">
      <c r="B23" s="20"/>
      <c r="C23" s="5" t="s">
        <v>48</v>
      </c>
      <c r="D23" s="6" t="s">
        <v>35</v>
      </c>
      <c r="E23" s="11">
        <v>2.4517000000000001E-2</v>
      </c>
      <c r="F23" s="1"/>
      <c r="G23" s="1"/>
      <c r="H23" s="1"/>
      <c r="I23" s="1"/>
      <c r="J23" s="1"/>
      <c r="K23" s="1"/>
      <c r="L23" s="1"/>
      <c r="M23" s="1"/>
      <c r="N23" s="18"/>
    </row>
    <row r="24" spans="2:14" ht="15" customHeight="1" x14ac:dyDescent="0.25">
      <c r="B24" s="20"/>
      <c r="C24" s="5" t="s">
        <v>44</v>
      </c>
      <c r="D24" s="6" t="s">
        <v>35</v>
      </c>
      <c r="E24" s="11">
        <v>1.8348E-2</v>
      </c>
      <c r="F24" s="1"/>
      <c r="G24" s="42" t="s">
        <v>108</v>
      </c>
      <c r="H24" s="43"/>
      <c r="I24" s="43"/>
      <c r="J24" s="43"/>
      <c r="K24" s="43"/>
      <c r="L24" s="33">
        <v>145</v>
      </c>
      <c r="M24" s="27"/>
      <c r="N24" s="28"/>
    </row>
    <row r="25" spans="2:14" ht="15" customHeight="1" x14ac:dyDescent="0.25">
      <c r="B25" s="20"/>
      <c r="C25" s="5" t="s">
        <v>36</v>
      </c>
      <c r="D25" s="6" t="s">
        <v>35</v>
      </c>
      <c r="E25" s="11">
        <v>1.2232E-2</v>
      </c>
      <c r="F25" s="1"/>
      <c r="G25" s="1"/>
      <c r="H25" s="1"/>
      <c r="I25" s="1"/>
      <c r="J25" s="1"/>
      <c r="K25" s="1"/>
      <c r="L25" s="1"/>
      <c r="M25" s="1"/>
      <c r="N25" s="18"/>
    </row>
    <row r="26" spans="2:14" ht="15" customHeight="1" x14ac:dyDescent="0.25">
      <c r="B26" s="20"/>
      <c r="C26" s="5" t="s">
        <v>100</v>
      </c>
      <c r="D26" s="6" t="s">
        <v>35</v>
      </c>
      <c r="E26" s="11">
        <v>6.1180000000000002E-3</v>
      </c>
      <c r="F26" s="1"/>
      <c r="G26" s="42" t="s">
        <v>19</v>
      </c>
      <c r="H26" s="43"/>
      <c r="I26" s="43"/>
      <c r="J26" s="43"/>
      <c r="K26" s="43"/>
      <c r="L26" s="43"/>
      <c r="M26" s="43"/>
      <c r="N26" s="44"/>
    </row>
    <row r="27" spans="2:14" ht="15" customHeight="1" x14ac:dyDescent="0.25">
      <c r="B27" s="20"/>
      <c r="C27" s="5" t="s">
        <v>97</v>
      </c>
      <c r="D27" s="6" t="s">
        <v>35</v>
      </c>
      <c r="E27" s="11">
        <v>2.441E-3</v>
      </c>
      <c r="F27" s="1"/>
      <c r="G27" s="1"/>
      <c r="H27" s="1"/>
      <c r="I27" s="1"/>
      <c r="J27" s="1"/>
      <c r="K27" s="1"/>
      <c r="L27" s="1"/>
      <c r="M27" s="1"/>
      <c r="N27" s="18"/>
    </row>
    <row r="28" spans="2:14" ht="15.75" customHeight="1" x14ac:dyDescent="0.25">
      <c r="B28" s="20"/>
      <c r="C28" s="7" t="s">
        <v>52</v>
      </c>
      <c r="D28" s="8"/>
      <c r="E28" s="12">
        <v>0.37296099999999999</v>
      </c>
      <c r="F28" s="1"/>
      <c r="G28" s="1"/>
      <c r="H28" s="1"/>
      <c r="I28" s="1"/>
      <c r="J28" s="1"/>
      <c r="K28" s="1"/>
      <c r="L28" s="1"/>
      <c r="M28" s="1"/>
      <c r="N28" s="18"/>
    </row>
    <row r="29" spans="2:14" ht="15" customHeight="1" x14ac:dyDescent="0.25">
      <c r="B29" s="20"/>
      <c r="C29" s="5" t="s">
        <v>55</v>
      </c>
      <c r="D29" s="6" t="s">
        <v>54</v>
      </c>
      <c r="E29" s="11">
        <v>4.8999999999999998E-4</v>
      </c>
      <c r="F29" s="1"/>
      <c r="G29" s="1"/>
      <c r="H29" s="1"/>
      <c r="I29" s="1"/>
      <c r="J29" s="1"/>
      <c r="K29" s="1"/>
      <c r="L29" s="1"/>
      <c r="M29" s="1"/>
      <c r="N29" s="18"/>
    </row>
    <row r="30" spans="2:14" ht="15.75" customHeight="1" x14ac:dyDescent="0.25">
      <c r="B30" s="20"/>
      <c r="C30" s="7" t="s">
        <v>57</v>
      </c>
      <c r="D30" s="8"/>
      <c r="E30" s="12">
        <v>4.8999999999999998E-4</v>
      </c>
      <c r="F30" s="1"/>
      <c r="G30" s="1"/>
      <c r="H30" s="1"/>
      <c r="I30" s="1"/>
      <c r="J30" s="1"/>
      <c r="K30" s="1"/>
      <c r="L30" s="1"/>
      <c r="M30" s="1"/>
      <c r="N30" s="18"/>
    </row>
    <row r="31" spans="2:14" ht="15" customHeight="1" x14ac:dyDescent="0.25">
      <c r="B31" s="20"/>
      <c r="C31" s="5" t="s">
        <v>192</v>
      </c>
      <c r="D31" s="6" t="s">
        <v>54</v>
      </c>
      <c r="E31" s="11">
        <v>1.2317E-2</v>
      </c>
      <c r="F31" s="1"/>
      <c r="G31" s="1"/>
      <c r="H31" s="1"/>
      <c r="I31" s="1"/>
      <c r="J31" s="1"/>
      <c r="K31" s="1"/>
      <c r="L31" s="1"/>
      <c r="M31" s="1"/>
      <c r="N31" s="18"/>
    </row>
    <row r="32" spans="2:14" ht="15.75" customHeight="1" x14ac:dyDescent="0.25">
      <c r="B32" s="20"/>
      <c r="C32" s="5" t="s">
        <v>189</v>
      </c>
      <c r="D32" s="6" t="s">
        <v>54</v>
      </c>
      <c r="E32" s="11">
        <v>8.6269999999999993E-3</v>
      </c>
      <c r="F32" s="1"/>
      <c r="G32" s="1"/>
      <c r="H32" s="1"/>
      <c r="I32" s="1"/>
      <c r="J32" s="1"/>
      <c r="K32" s="1"/>
      <c r="L32" s="1"/>
      <c r="M32" s="1"/>
      <c r="N32" s="18"/>
    </row>
    <row r="33" spans="2:14" ht="15" customHeight="1" x14ac:dyDescent="0.25">
      <c r="B33" s="20"/>
      <c r="C33" s="5" t="s">
        <v>170</v>
      </c>
      <c r="D33" s="6" t="s">
        <v>54</v>
      </c>
      <c r="E33" s="11">
        <v>7.4000000000000003E-3</v>
      </c>
      <c r="F33" s="1"/>
      <c r="G33" s="1"/>
      <c r="H33" s="1"/>
      <c r="I33" s="1"/>
      <c r="J33" s="1"/>
      <c r="K33" s="1"/>
      <c r="L33" s="1"/>
      <c r="M33" s="1"/>
      <c r="N33" s="18"/>
    </row>
    <row r="34" spans="2:14" ht="15" customHeight="1" x14ac:dyDescent="0.25">
      <c r="B34" s="20"/>
      <c r="C34" s="5" t="s">
        <v>188</v>
      </c>
      <c r="D34" s="6" t="s">
        <v>54</v>
      </c>
      <c r="E34" s="11">
        <v>6.1159999999999999E-3</v>
      </c>
      <c r="F34" s="1"/>
      <c r="G34" s="1"/>
      <c r="H34" s="1"/>
      <c r="I34" s="1"/>
      <c r="J34" s="1"/>
      <c r="K34" s="1"/>
      <c r="L34" s="1"/>
      <c r="M34" s="1"/>
      <c r="N34" s="18"/>
    </row>
    <row r="35" spans="2:14" ht="15" customHeight="1" x14ac:dyDescent="0.25">
      <c r="B35" s="20"/>
      <c r="C35" s="5" t="s">
        <v>181</v>
      </c>
      <c r="D35" s="6" t="s">
        <v>54</v>
      </c>
      <c r="E35" s="11">
        <v>6.1079999999999997E-3</v>
      </c>
      <c r="F35" s="1"/>
      <c r="G35" s="1"/>
      <c r="H35" s="1"/>
      <c r="I35" s="1"/>
      <c r="J35" s="1"/>
      <c r="K35" s="1"/>
      <c r="L35" s="1"/>
      <c r="M35" s="1"/>
      <c r="N35" s="18"/>
    </row>
    <row r="36" spans="2:14" ht="15.75" customHeight="1" x14ac:dyDescent="0.25">
      <c r="B36" s="20"/>
      <c r="C36" s="5" t="s">
        <v>190</v>
      </c>
      <c r="D36" s="6" t="s">
        <v>54</v>
      </c>
      <c r="E36" s="11">
        <v>2.447E-3</v>
      </c>
      <c r="F36" s="1"/>
      <c r="G36" s="1"/>
      <c r="H36" s="1"/>
      <c r="I36" s="1"/>
      <c r="J36" s="1"/>
      <c r="K36" s="1"/>
      <c r="L36" s="1"/>
      <c r="M36" s="1"/>
      <c r="N36" s="18"/>
    </row>
    <row r="37" spans="2:14" ht="15" customHeight="1" x14ac:dyDescent="0.25">
      <c r="B37" s="20"/>
      <c r="C37" s="5" t="s">
        <v>191</v>
      </c>
      <c r="D37" s="6" t="s">
        <v>54</v>
      </c>
      <c r="E37" s="11">
        <v>1.2260000000000001E-3</v>
      </c>
      <c r="F37" s="1"/>
      <c r="G37" s="1"/>
      <c r="H37" s="1"/>
      <c r="I37" s="1"/>
      <c r="J37" s="1"/>
      <c r="K37" s="1"/>
      <c r="L37" s="1"/>
      <c r="M37" s="1"/>
      <c r="N37" s="18"/>
    </row>
    <row r="38" spans="2:14" ht="15.75" customHeight="1" x14ac:dyDescent="0.25">
      <c r="B38" s="20"/>
      <c r="C38" s="7" t="s">
        <v>58</v>
      </c>
      <c r="D38" s="8"/>
      <c r="E38" s="12">
        <v>4.4241000000000003E-2</v>
      </c>
      <c r="F38" s="1"/>
      <c r="G38" s="1"/>
      <c r="H38" s="1"/>
      <c r="I38" s="1"/>
      <c r="J38" s="1"/>
      <c r="K38" s="1"/>
      <c r="L38" s="1"/>
      <c r="M38" s="1"/>
      <c r="N38" s="18"/>
    </row>
    <row r="39" spans="2:14" ht="15" customHeight="1" x14ac:dyDescent="0.25">
      <c r="B39" s="20"/>
      <c r="C39" s="5" t="s">
        <v>155</v>
      </c>
      <c r="D39" s="6" t="s">
        <v>54</v>
      </c>
      <c r="E39" s="11">
        <v>8.5117999999999999E-2</v>
      </c>
      <c r="F39" s="1"/>
      <c r="G39" s="1"/>
      <c r="H39" s="1"/>
      <c r="I39" s="1"/>
      <c r="J39" s="1"/>
      <c r="K39" s="1"/>
      <c r="L39" s="1"/>
      <c r="M39" s="1"/>
      <c r="N39" s="18"/>
    </row>
    <row r="40" spans="2:14" ht="15.75" customHeight="1" x14ac:dyDescent="0.25">
      <c r="B40" s="20"/>
      <c r="C40" s="5" t="s">
        <v>165</v>
      </c>
      <c r="D40" s="6" t="s">
        <v>54</v>
      </c>
      <c r="E40" s="11">
        <v>2.3795E-2</v>
      </c>
      <c r="F40" s="1"/>
      <c r="G40" s="1"/>
      <c r="H40" s="1"/>
      <c r="I40" s="1"/>
      <c r="J40" s="1"/>
      <c r="K40" s="1"/>
      <c r="L40" s="1"/>
      <c r="M40" s="1"/>
      <c r="N40" s="18"/>
    </row>
    <row r="41" spans="2:14" ht="15" customHeight="1" x14ac:dyDescent="0.25">
      <c r="B41" s="20"/>
      <c r="C41" s="5" t="s">
        <v>166</v>
      </c>
      <c r="D41" s="6" t="s">
        <v>54</v>
      </c>
      <c r="E41" s="11">
        <v>2.3741000000000002E-2</v>
      </c>
      <c r="F41" s="1"/>
      <c r="G41" s="1"/>
      <c r="H41" s="1"/>
      <c r="I41" s="1"/>
      <c r="J41" s="1"/>
      <c r="K41" s="1"/>
      <c r="L41" s="1"/>
      <c r="M41" s="1"/>
      <c r="N41" s="18"/>
    </row>
    <row r="42" spans="2:14" ht="15" customHeight="1" x14ac:dyDescent="0.25">
      <c r="B42" s="20"/>
      <c r="C42" s="7" t="s">
        <v>64</v>
      </c>
      <c r="D42" s="8"/>
      <c r="E42" s="12">
        <v>0.13265399999999999</v>
      </c>
      <c r="F42" s="1"/>
      <c r="G42" s="1"/>
      <c r="H42" s="1"/>
      <c r="I42" s="1"/>
      <c r="J42" s="1"/>
      <c r="K42" s="1"/>
      <c r="L42" s="1"/>
      <c r="M42" s="1"/>
      <c r="N42" s="18"/>
    </row>
    <row r="43" spans="2:14" ht="15" customHeight="1" x14ac:dyDescent="0.25">
      <c r="B43" s="20"/>
      <c r="C43" s="5" t="s">
        <v>9</v>
      </c>
      <c r="D43" s="6"/>
      <c r="E43" s="11">
        <v>0.12547700000000001</v>
      </c>
      <c r="F43" s="1"/>
      <c r="G43" s="1"/>
      <c r="H43" s="1"/>
      <c r="I43" s="1"/>
      <c r="J43" s="1"/>
      <c r="K43" s="1"/>
      <c r="L43" s="1"/>
      <c r="M43" s="1"/>
      <c r="N43" s="18"/>
    </row>
    <row r="44" spans="2:14" ht="15" customHeight="1" x14ac:dyDescent="0.25">
      <c r="B44" s="20"/>
      <c r="C44" s="7" t="s">
        <v>10</v>
      </c>
      <c r="D44" s="8"/>
      <c r="E44" s="12">
        <v>0.12547700000000001</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7" t="s">
        <v>11</v>
      </c>
      <c r="D46" s="8"/>
      <c r="E46" s="12">
        <v>5.0299999999999997E-2</v>
      </c>
      <c r="F46" s="1"/>
      <c r="G46" s="1"/>
      <c r="H46" s="1"/>
      <c r="I46" s="1"/>
      <c r="J46" s="1"/>
      <c r="K46" s="1"/>
      <c r="L46" s="1"/>
      <c r="M46" s="1"/>
      <c r="N46" s="18"/>
    </row>
    <row r="47" spans="2:14" ht="15" customHeight="1" x14ac:dyDescent="0.25">
      <c r="B47" s="20"/>
      <c r="C47" s="5"/>
      <c r="D47" s="6"/>
      <c r="E47" s="11"/>
      <c r="F47" s="1"/>
      <c r="G47" s="1"/>
      <c r="H47" s="1"/>
      <c r="I47" s="1"/>
      <c r="J47" s="1"/>
      <c r="K47" s="1"/>
      <c r="L47" s="1"/>
      <c r="M47" s="1"/>
      <c r="N47" s="18"/>
    </row>
    <row r="48" spans="2:14" ht="15" customHeight="1" x14ac:dyDescent="0.25">
      <c r="B48" s="20"/>
      <c r="C48" s="9" t="s">
        <v>12</v>
      </c>
      <c r="D48" s="10"/>
      <c r="E48" s="13">
        <v>1</v>
      </c>
      <c r="F48" s="1"/>
      <c r="G48" s="1"/>
      <c r="H48" s="1"/>
      <c r="I48" s="1"/>
      <c r="J48" s="1"/>
      <c r="K48" s="1"/>
      <c r="L48" s="1"/>
      <c r="M48" s="1"/>
      <c r="N48" s="18"/>
    </row>
    <row r="49" spans="2:14" ht="15" customHeight="1" x14ac:dyDescent="0.25">
      <c r="B49" s="20"/>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14" customHeight="1" thickBot="1" x14ac:dyDescent="0.3">
      <c r="B52" s="34" t="s">
        <v>231</v>
      </c>
      <c r="C52" s="35"/>
      <c r="D52" s="35"/>
      <c r="E52" s="35"/>
      <c r="F52" s="35"/>
      <c r="G52" s="35"/>
      <c r="H52" s="35"/>
      <c r="I52" s="35"/>
      <c r="J52" s="35"/>
      <c r="K52" s="35"/>
      <c r="L52" s="35"/>
      <c r="M52" s="35"/>
      <c r="N52" s="36"/>
    </row>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sortState ref="C31:E37">
    <sortCondition descending="1" ref="E31"/>
  </sortState>
  <mergeCells count="6">
    <mergeCell ref="B52:N52"/>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AE90E-F845-4A6A-A7CC-6ADC108173F2}">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73</v>
      </c>
      <c r="D8" s="6" t="s">
        <v>54</v>
      </c>
      <c r="E8" s="11">
        <v>0.97462099999999996</v>
      </c>
      <c r="F8" s="1"/>
      <c r="G8" s="24" t="s">
        <v>16</v>
      </c>
      <c r="H8" s="25">
        <v>1</v>
      </c>
      <c r="I8" s="1"/>
      <c r="J8" s="24" t="s">
        <v>13</v>
      </c>
      <c r="K8" s="24" t="s">
        <v>5</v>
      </c>
      <c r="L8" s="1"/>
      <c r="M8" s="1"/>
      <c r="N8" s="18"/>
    </row>
    <row r="9" spans="2:14" ht="15" customHeight="1" x14ac:dyDescent="0.25">
      <c r="B9" s="20"/>
      <c r="C9" s="5" t="s">
        <v>141</v>
      </c>
      <c r="D9" s="6" t="s">
        <v>54</v>
      </c>
      <c r="E9" s="11">
        <v>7.7300000000000003E-4</v>
      </c>
      <c r="F9" s="1"/>
      <c r="G9" s="1"/>
      <c r="H9" s="1"/>
      <c r="I9" s="1"/>
      <c r="J9" s="24" t="s">
        <v>11</v>
      </c>
      <c r="K9" s="29">
        <v>2.0379000000000001E-2</v>
      </c>
      <c r="L9" s="1"/>
      <c r="M9" s="1"/>
      <c r="N9" s="18"/>
    </row>
    <row r="10" spans="2:14" ht="15" customHeight="1" x14ac:dyDescent="0.25">
      <c r="B10" s="20"/>
      <c r="C10" s="5" t="s">
        <v>142</v>
      </c>
      <c r="D10" s="6" t="s">
        <v>54</v>
      </c>
      <c r="E10" s="30">
        <v>4.1999999999999998E-5</v>
      </c>
      <c r="F10" s="1"/>
      <c r="G10" s="1"/>
      <c r="H10" s="1"/>
      <c r="I10" s="1"/>
      <c r="J10" s="24" t="s">
        <v>14</v>
      </c>
      <c r="K10" s="29">
        <v>4.1440000000000001E-3</v>
      </c>
      <c r="L10" s="1"/>
      <c r="M10" s="1"/>
      <c r="N10" s="18"/>
    </row>
    <row r="11" spans="2:14" ht="15" customHeight="1" x14ac:dyDescent="0.25">
      <c r="B11" s="20"/>
      <c r="C11" s="5" t="s">
        <v>128</v>
      </c>
      <c r="D11" s="6" t="s">
        <v>54</v>
      </c>
      <c r="E11" s="30">
        <v>4.1E-5</v>
      </c>
      <c r="F11" s="1"/>
      <c r="G11" s="1"/>
      <c r="H11" s="1"/>
      <c r="I11" s="1"/>
      <c r="J11" s="24" t="s">
        <v>68</v>
      </c>
      <c r="K11" s="29">
        <v>0.97547700000000004</v>
      </c>
      <c r="L11" s="1"/>
      <c r="M11" s="1"/>
      <c r="N11" s="18"/>
    </row>
    <row r="12" spans="2:14" ht="15.75" customHeight="1" x14ac:dyDescent="0.25">
      <c r="B12" s="20"/>
      <c r="C12" s="7" t="s">
        <v>57</v>
      </c>
      <c r="D12" s="8"/>
      <c r="E12" s="12">
        <v>0.97547700000000004</v>
      </c>
      <c r="F12" s="1"/>
      <c r="G12" s="1"/>
      <c r="H12" s="1"/>
      <c r="I12" s="1"/>
      <c r="J12" s="1"/>
      <c r="K12" s="1"/>
      <c r="L12" s="1"/>
      <c r="M12" s="1"/>
      <c r="N12" s="18"/>
    </row>
    <row r="13" spans="2:14" ht="15" customHeight="1" x14ac:dyDescent="0.25">
      <c r="B13" s="20"/>
      <c r="C13" s="5" t="s">
        <v>9</v>
      </c>
      <c r="D13" s="6"/>
      <c r="E13" s="11">
        <v>4.1440000000000001E-3</v>
      </c>
      <c r="F13" s="1"/>
      <c r="G13" s="1"/>
      <c r="H13" s="1"/>
      <c r="I13" s="1"/>
      <c r="J13" s="1"/>
      <c r="K13" s="1"/>
      <c r="L13" s="1"/>
      <c r="M13" s="1"/>
      <c r="N13" s="18"/>
    </row>
    <row r="14" spans="2:14" ht="15.75" customHeight="1" x14ac:dyDescent="0.25">
      <c r="B14" s="20"/>
      <c r="C14" s="7" t="s">
        <v>10</v>
      </c>
      <c r="D14" s="8"/>
      <c r="E14" s="12">
        <v>4.1440000000000001E-3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2.0379000000000001E-2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3.61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75" customHeight="1" thickBot="1" x14ac:dyDescent="0.3">
      <c r="B45" s="34" t="s">
        <v>231</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9D29E-6756-4550-B782-9D84B3F62534}">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71</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72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73</v>
      </c>
      <c r="D8" s="6" t="s">
        <v>54</v>
      </c>
      <c r="E8" s="11">
        <v>0.69982299999999997</v>
      </c>
      <c r="F8" s="1"/>
      <c r="G8" s="24" t="s">
        <v>16</v>
      </c>
      <c r="H8" s="25">
        <v>1</v>
      </c>
      <c r="I8" s="1"/>
      <c r="J8" s="24" t="s">
        <v>13</v>
      </c>
      <c r="K8" s="24" t="s">
        <v>5</v>
      </c>
      <c r="L8" s="1"/>
      <c r="M8" s="1"/>
      <c r="N8" s="18"/>
    </row>
    <row r="9" spans="2:14" ht="15" customHeight="1" x14ac:dyDescent="0.25">
      <c r="B9" s="20"/>
      <c r="C9" s="5" t="s">
        <v>74</v>
      </c>
      <c r="D9" s="6" t="s">
        <v>54</v>
      </c>
      <c r="E9" s="11">
        <v>0.20480300000000001</v>
      </c>
      <c r="F9" s="1"/>
      <c r="G9" s="1"/>
      <c r="H9" s="1"/>
      <c r="I9" s="1"/>
      <c r="J9" s="24" t="s">
        <v>11</v>
      </c>
      <c r="K9" s="29">
        <v>1.6875000000000001E-2</v>
      </c>
      <c r="L9" s="1"/>
      <c r="M9" s="1"/>
      <c r="N9" s="18"/>
    </row>
    <row r="10" spans="2:14" ht="15" customHeight="1" x14ac:dyDescent="0.25">
      <c r="B10" s="20"/>
      <c r="C10" s="5" t="s">
        <v>75</v>
      </c>
      <c r="D10" s="6" t="s">
        <v>54</v>
      </c>
      <c r="E10" s="11">
        <v>6.0713000000000003E-2</v>
      </c>
      <c r="F10" s="1"/>
      <c r="G10" s="1"/>
      <c r="H10" s="1"/>
      <c r="I10" s="1"/>
      <c r="J10" s="24" t="s">
        <v>14</v>
      </c>
      <c r="K10" s="29">
        <v>5.9059999999999998E-3</v>
      </c>
      <c r="L10" s="1"/>
      <c r="M10" s="1"/>
      <c r="N10" s="18"/>
    </row>
    <row r="11" spans="2:14" ht="15" customHeight="1" x14ac:dyDescent="0.25">
      <c r="B11" s="20"/>
      <c r="C11" s="5" t="s">
        <v>76</v>
      </c>
      <c r="D11" s="6" t="s">
        <v>54</v>
      </c>
      <c r="E11" s="11">
        <v>9.3130000000000001E-3</v>
      </c>
      <c r="F11" s="1"/>
      <c r="G11" s="1"/>
      <c r="H11" s="1"/>
      <c r="I11" s="1"/>
      <c r="J11" s="24" t="s">
        <v>68</v>
      </c>
      <c r="K11" s="29">
        <v>0.97721899999999995</v>
      </c>
      <c r="L11" s="1"/>
      <c r="M11" s="1"/>
      <c r="N11" s="18"/>
    </row>
    <row r="12" spans="2:14" ht="15" customHeight="1" x14ac:dyDescent="0.25">
      <c r="B12" s="20"/>
      <c r="C12" s="5" t="s">
        <v>77</v>
      </c>
      <c r="D12" s="6" t="s">
        <v>54</v>
      </c>
      <c r="E12" s="11">
        <v>1.8450000000000001E-3</v>
      </c>
      <c r="F12" s="1"/>
      <c r="G12" s="1"/>
      <c r="H12" s="1"/>
      <c r="I12" s="1"/>
      <c r="J12" s="1"/>
      <c r="K12" s="1"/>
      <c r="L12" s="1"/>
      <c r="M12" s="1"/>
      <c r="N12" s="18"/>
    </row>
    <row r="13" spans="2:14" ht="15" customHeight="1" x14ac:dyDescent="0.25">
      <c r="B13" s="20"/>
      <c r="C13" s="5" t="s">
        <v>78</v>
      </c>
      <c r="D13" s="6" t="s">
        <v>54</v>
      </c>
      <c r="E13" s="11">
        <v>7.2199999999999999E-4</v>
      </c>
      <c r="F13" s="1"/>
      <c r="G13" s="1"/>
      <c r="H13" s="1"/>
      <c r="I13" s="1"/>
      <c r="J13" s="1"/>
      <c r="K13" s="1"/>
      <c r="L13" s="1"/>
      <c r="M13" s="1"/>
      <c r="N13" s="18"/>
    </row>
    <row r="14" spans="2:14" ht="15.75" customHeight="1" x14ac:dyDescent="0.25">
      <c r="B14" s="20"/>
      <c r="C14" s="7" t="s">
        <v>57</v>
      </c>
      <c r="D14" s="8"/>
      <c r="E14" s="12">
        <v>0.97721899999999995</v>
      </c>
      <c r="F14" s="1"/>
      <c r="G14" s="1"/>
      <c r="H14" s="1"/>
      <c r="I14" s="1"/>
      <c r="J14" s="1"/>
      <c r="K14" s="1"/>
      <c r="L14" s="1"/>
      <c r="M14" s="1"/>
      <c r="N14" s="18"/>
    </row>
    <row r="15" spans="2:14" ht="15" customHeight="1" x14ac:dyDescent="0.25">
      <c r="B15" s="20"/>
      <c r="C15" s="5" t="s">
        <v>9</v>
      </c>
      <c r="D15" s="6"/>
      <c r="E15" s="11">
        <v>5.9059999999999998E-3</v>
      </c>
      <c r="F15" s="1"/>
      <c r="G15" s="1"/>
      <c r="H15" s="1"/>
      <c r="I15" s="1"/>
      <c r="J15" s="1"/>
      <c r="K15" s="1"/>
      <c r="L15" s="1"/>
      <c r="M15" s="1"/>
      <c r="N15" s="18"/>
    </row>
    <row r="16" spans="2:14" ht="15.75" customHeight="1" x14ac:dyDescent="0.25">
      <c r="B16" s="20"/>
      <c r="C16" s="7" t="s">
        <v>10</v>
      </c>
      <c r="D16" s="8"/>
      <c r="E16" s="12">
        <v>5.9059999999999998E-3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1.6875000000000001E-2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5.15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75" customHeight="1" thickBot="1" x14ac:dyDescent="0.3">
      <c r="B45" s="34" t="s">
        <v>231</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A5C85-F896-4272-B238-FD01EABC5768}">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79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80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73</v>
      </c>
      <c r="D8" s="6" t="s">
        <v>54</v>
      </c>
      <c r="E8" s="11">
        <v>0.94952099999999995</v>
      </c>
      <c r="F8" s="1"/>
      <c r="G8" s="24" t="s">
        <v>16</v>
      </c>
      <c r="H8" s="25">
        <v>1</v>
      </c>
      <c r="I8" s="1"/>
      <c r="J8" s="24" t="s">
        <v>13</v>
      </c>
      <c r="K8" s="24" t="s">
        <v>5</v>
      </c>
      <c r="L8" s="1"/>
      <c r="M8" s="1"/>
      <c r="N8" s="18"/>
    </row>
    <row r="9" spans="2:14" ht="15" customHeight="1" x14ac:dyDescent="0.25">
      <c r="B9" s="20"/>
      <c r="C9" s="5" t="s">
        <v>128</v>
      </c>
      <c r="D9" s="6" t="s">
        <v>54</v>
      </c>
      <c r="E9" s="11">
        <v>1.768E-3</v>
      </c>
      <c r="F9" s="1"/>
      <c r="G9" s="1"/>
      <c r="H9" s="1"/>
      <c r="I9" s="1"/>
      <c r="J9" s="24" t="s">
        <v>11</v>
      </c>
      <c r="K9" s="29">
        <v>2.0792000000000001E-2</v>
      </c>
      <c r="L9" s="1"/>
      <c r="M9" s="1"/>
      <c r="N9" s="18"/>
    </row>
    <row r="10" spans="2:14" ht="15" customHeight="1" x14ac:dyDescent="0.25">
      <c r="B10" s="20"/>
      <c r="C10" s="5" t="s">
        <v>77</v>
      </c>
      <c r="D10" s="6" t="s">
        <v>54</v>
      </c>
      <c r="E10" s="11">
        <v>8.7999999999999998E-5</v>
      </c>
      <c r="F10" s="1"/>
      <c r="G10" s="1"/>
      <c r="H10" s="1"/>
      <c r="I10" s="1"/>
      <c r="J10" s="24" t="s">
        <v>14</v>
      </c>
      <c r="K10" s="29">
        <v>1.3500000000000001E-3</v>
      </c>
      <c r="L10" s="1"/>
      <c r="M10" s="1"/>
      <c r="N10" s="18"/>
    </row>
    <row r="11" spans="2:14" ht="15" customHeight="1" x14ac:dyDescent="0.25">
      <c r="B11" s="20"/>
      <c r="C11" s="5" t="s">
        <v>85</v>
      </c>
      <c r="D11" s="6" t="s">
        <v>54</v>
      </c>
      <c r="E11" s="11">
        <v>5.1E-5</v>
      </c>
      <c r="F11" s="1"/>
      <c r="G11" s="1"/>
      <c r="H11" s="1"/>
      <c r="I11" s="1"/>
      <c r="J11" s="24" t="s">
        <v>68</v>
      </c>
      <c r="K11" s="29">
        <v>0.95142800000000005</v>
      </c>
      <c r="L11" s="1"/>
      <c r="M11" s="1"/>
      <c r="N11" s="18"/>
    </row>
    <row r="12" spans="2:14" ht="15.75" customHeight="1" x14ac:dyDescent="0.25">
      <c r="B12" s="20"/>
      <c r="C12" s="7" t="s">
        <v>57</v>
      </c>
      <c r="D12" s="8"/>
      <c r="E12" s="12">
        <v>0.95142800000000005</v>
      </c>
      <c r="F12" s="1"/>
      <c r="G12" s="1"/>
      <c r="H12" s="1"/>
      <c r="I12" s="1"/>
      <c r="J12" s="24" t="s">
        <v>81</v>
      </c>
      <c r="K12" s="29">
        <v>1.1734E-2</v>
      </c>
      <c r="L12" s="1"/>
      <c r="M12" s="1"/>
      <c r="N12" s="18"/>
    </row>
    <row r="13" spans="2:14" ht="15" customHeight="1" x14ac:dyDescent="0.25">
      <c r="B13" s="20"/>
      <c r="C13" s="45" t="s">
        <v>195</v>
      </c>
      <c r="D13" s="46" t="s">
        <v>54</v>
      </c>
      <c r="E13" s="11">
        <v>6.8890000000000002E-3</v>
      </c>
      <c r="F13" s="1"/>
      <c r="G13" s="1"/>
      <c r="H13" s="1"/>
      <c r="I13" s="1"/>
      <c r="J13" s="24" t="s">
        <v>69</v>
      </c>
      <c r="K13" s="29">
        <v>1.4696000000000001E-2</v>
      </c>
      <c r="L13" s="1"/>
      <c r="M13" s="1"/>
      <c r="N13" s="18"/>
    </row>
    <row r="14" spans="2:14" ht="15.75" customHeight="1" x14ac:dyDescent="0.25">
      <c r="B14" s="20"/>
      <c r="C14" s="45" t="s">
        <v>194</v>
      </c>
      <c r="D14" s="46" t="s">
        <v>54</v>
      </c>
      <c r="E14" s="11">
        <v>6.888E-3</v>
      </c>
      <c r="F14" s="1"/>
      <c r="G14" s="1"/>
      <c r="H14" s="1"/>
      <c r="I14" s="1"/>
      <c r="J14" s="1"/>
      <c r="K14" s="1"/>
      <c r="L14" s="1"/>
      <c r="M14" s="1"/>
      <c r="N14" s="18"/>
    </row>
    <row r="15" spans="2:14" ht="15" customHeight="1" x14ac:dyDescent="0.25">
      <c r="B15" s="20"/>
      <c r="C15" s="45" t="s">
        <v>196</v>
      </c>
      <c r="D15" s="46" t="s">
        <v>54</v>
      </c>
      <c r="E15" s="11">
        <v>9.0799999999999995E-4</v>
      </c>
      <c r="F15" s="1"/>
      <c r="G15" s="1"/>
      <c r="H15" s="1"/>
      <c r="I15" s="1"/>
      <c r="J15" s="1"/>
      <c r="K15" s="1"/>
      <c r="L15" s="1"/>
      <c r="M15" s="1"/>
      <c r="N15" s="18"/>
    </row>
    <row r="16" spans="2:14" ht="15.75" customHeight="1" x14ac:dyDescent="0.25">
      <c r="B16" s="20"/>
      <c r="C16" s="45" t="s">
        <v>193</v>
      </c>
      <c r="D16" s="46" t="s">
        <v>54</v>
      </c>
      <c r="E16" s="11">
        <v>9.0000000000000002E-6</v>
      </c>
      <c r="F16" s="1"/>
      <c r="G16" s="1"/>
      <c r="H16" s="1"/>
      <c r="I16" s="1"/>
      <c r="J16" s="1"/>
      <c r="K16" s="1"/>
      <c r="L16" s="1"/>
      <c r="M16" s="1"/>
      <c r="N16" s="18"/>
    </row>
    <row r="17" spans="2:14" ht="15" customHeight="1" x14ac:dyDescent="0.25">
      <c r="B17" s="20"/>
      <c r="C17" s="45" t="s">
        <v>197</v>
      </c>
      <c r="D17" s="46" t="s">
        <v>54</v>
      </c>
      <c r="E17" s="11">
        <v>1.9999999999999999E-6</v>
      </c>
      <c r="F17" s="1"/>
      <c r="G17" s="1"/>
      <c r="H17" s="1"/>
      <c r="I17" s="1"/>
      <c r="J17" s="1"/>
      <c r="K17" s="1"/>
      <c r="L17" s="1"/>
      <c r="M17" s="1"/>
      <c r="N17" s="18"/>
    </row>
    <row r="18" spans="2:14" ht="15.75" customHeight="1" x14ac:dyDescent="0.25">
      <c r="B18" s="20"/>
      <c r="C18" s="7" t="s">
        <v>58</v>
      </c>
      <c r="D18" s="8"/>
      <c r="E18" s="12">
        <v>1.4696000000000001E-2</v>
      </c>
      <c r="F18" s="1"/>
      <c r="G18" s="1"/>
      <c r="H18" s="1"/>
      <c r="I18" s="1"/>
      <c r="J18" s="1"/>
      <c r="K18" s="1"/>
      <c r="L18" s="1"/>
      <c r="M18" s="1"/>
      <c r="N18" s="18"/>
    </row>
    <row r="19" spans="2:14" ht="15" customHeight="1" x14ac:dyDescent="0.25">
      <c r="B19" s="20"/>
      <c r="C19" s="5" t="s">
        <v>234</v>
      </c>
      <c r="D19" s="6" t="s">
        <v>87</v>
      </c>
      <c r="E19" s="11">
        <v>1.1734E-2</v>
      </c>
      <c r="F19" s="1"/>
      <c r="G19" s="1"/>
      <c r="H19" s="1"/>
      <c r="I19" s="1"/>
      <c r="J19" s="1"/>
      <c r="K19" s="1"/>
      <c r="L19" s="1"/>
      <c r="M19" s="1"/>
      <c r="N19" s="18"/>
    </row>
    <row r="20" spans="2:14" ht="15.75" customHeight="1" x14ac:dyDescent="0.25">
      <c r="B20" s="20"/>
      <c r="C20" s="7" t="s">
        <v>88</v>
      </c>
      <c r="D20" s="8"/>
      <c r="E20" s="12">
        <v>1.1734E-2</v>
      </c>
      <c r="F20" s="1"/>
      <c r="G20" s="1"/>
      <c r="H20" s="1"/>
      <c r="I20" s="1"/>
      <c r="J20" s="1"/>
      <c r="K20" s="1"/>
      <c r="L20" s="1"/>
      <c r="M20" s="1"/>
      <c r="N20" s="18"/>
    </row>
    <row r="21" spans="2:14" ht="15" customHeight="1" x14ac:dyDescent="0.25">
      <c r="B21" s="20"/>
      <c r="C21" s="5" t="s">
        <v>9</v>
      </c>
      <c r="D21" s="6"/>
      <c r="E21" s="11">
        <v>1.3500000000000001E-3</v>
      </c>
      <c r="F21" s="1"/>
      <c r="G21" s="1"/>
      <c r="H21" s="1"/>
      <c r="I21" s="1"/>
      <c r="J21" s="1"/>
      <c r="K21" s="1"/>
      <c r="L21" s="1"/>
      <c r="M21" s="1"/>
      <c r="N21" s="18"/>
    </row>
    <row r="22" spans="2:14" ht="15" customHeight="1" x14ac:dyDescent="0.25">
      <c r="B22" s="20"/>
      <c r="C22" s="7" t="s">
        <v>10</v>
      </c>
      <c r="D22" s="8"/>
      <c r="E22" s="12">
        <v>1.3500000000000001E-3</v>
      </c>
      <c r="F22" s="1"/>
      <c r="G22" s="1"/>
      <c r="H22" s="1"/>
      <c r="I22" s="1"/>
      <c r="J22" s="1"/>
      <c r="K22" s="1"/>
      <c r="L22" s="1"/>
      <c r="M22" s="1"/>
      <c r="N22" s="18"/>
    </row>
    <row r="23" spans="2:14" ht="15" customHeight="1" x14ac:dyDescent="0.25">
      <c r="B23" s="20"/>
      <c r="C23" s="5"/>
      <c r="D23" s="6"/>
      <c r="E23" s="11"/>
      <c r="F23" s="1"/>
      <c r="G23" s="1"/>
      <c r="H23" s="1"/>
      <c r="I23" s="1"/>
      <c r="J23" s="1"/>
      <c r="K23" s="1"/>
      <c r="L23" s="1"/>
      <c r="M23" s="1"/>
      <c r="N23" s="18"/>
    </row>
    <row r="24" spans="2:14" ht="15" customHeight="1" x14ac:dyDescent="0.25">
      <c r="B24" s="20"/>
      <c r="C24" s="7" t="s">
        <v>11</v>
      </c>
      <c r="D24" s="8"/>
      <c r="E24" s="12">
        <v>2.0792000000000001E-2</v>
      </c>
      <c r="F24" s="1"/>
      <c r="G24" s="42" t="s">
        <v>18</v>
      </c>
      <c r="H24" s="43"/>
      <c r="I24" s="43"/>
      <c r="J24" s="43"/>
      <c r="K24" s="43"/>
      <c r="L24" s="26">
        <v>3.5771132026142256</v>
      </c>
      <c r="M24" s="27"/>
      <c r="N24" s="28"/>
    </row>
    <row r="25" spans="2:14" ht="15" customHeight="1" x14ac:dyDescent="0.25">
      <c r="B25" s="20"/>
      <c r="C25" s="5"/>
      <c r="D25" s="6"/>
      <c r="E25" s="11"/>
      <c r="F25" s="1"/>
      <c r="G25" s="1"/>
      <c r="H25" s="1"/>
      <c r="I25" s="1"/>
      <c r="J25" s="1"/>
      <c r="K25" s="1"/>
      <c r="L25" s="1"/>
      <c r="M25" s="1"/>
      <c r="N25" s="18"/>
    </row>
    <row r="26" spans="2:14" ht="15" customHeight="1" x14ac:dyDescent="0.25">
      <c r="B26" s="20"/>
      <c r="C26" s="9" t="s">
        <v>12</v>
      </c>
      <c r="D26" s="10"/>
      <c r="E26" s="13">
        <v>1</v>
      </c>
      <c r="F26" s="1"/>
      <c r="G26" s="42" t="s">
        <v>19</v>
      </c>
      <c r="H26" s="43"/>
      <c r="I26" s="43"/>
      <c r="J26" s="43"/>
      <c r="K26" s="43"/>
      <c r="L26" s="43"/>
      <c r="M26" s="43"/>
      <c r="N26" s="44"/>
    </row>
    <row r="27" spans="2:14" ht="15" customHeight="1" x14ac:dyDescent="0.25">
      <c r="B27" s="20"/>
      <c r="F27" s="1"/>
      <c r="G27" s="1"/>
      <c r="H27" s="1"/>
      <c r="I27" s="1"/>
      <c r="J27" s="1"/>
      <c r="K27" s="1"/>
      <c r="L27" s="1"/>
      <c r="M27" s="1"/>
      <c r="N27" s="18"/>
    </row>
    <row r="28" spans="2:14" ht="15" customHeight="1" x14ac:dyDescent="0.25">
      <c r="B28" s="20"/>
      <c r="C28" s="1" t="s">
        <v>233</v>
      </c>
      <c r="F28" s="1"/>
      <c r="G28" s="1"/>
      <c r="H28" s="1"/>
      <c r="I28" s="1"/>
      <c r="J28" s="1"/>
      <c r="K28" s="1"/>
      <c r="L28" s="1"/>
      <c r="M28" s="1"/>
      <c r="N28" s="18"/>
    </row>
    <row r="29" spans="2:14" ht="15" customHeight="1" x14ac:dyDescent="0.25">
      <c r="B29" s="20"/>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4" t="s">
        <v>231</v>
      </c>
      <c r="C45" s="35"/>
      <c r="D45" s="35"/>
      <c r="E45" s="35"/>
      <c r="F45" s="35"/>
      <c r="G45" s="35"/>
      <c r="H45" s="35"/>
      <c r="I45" s="35"/>
      <c r="J45" s="35"/>
      <c r="K45" s="35"/>
      <c r="L45" s="35"/>
      <c r="M45" s="35"/>
      <c r="N45" s="36"/>
    </row>
  </sheetData>
  <sortState ref="C13:E17">
    <sortCondition descending="1" ref="E13"/>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AA0F-0C7D-42FB-A6A7-035E86B490A0}">
  <dimension ref="B1:N5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82</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83</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26</v>
      </c>
      <c r="D8" s="6" t="s">
        <v>23</v>
      </c>
      <c r="E8" s="11">
        <v>8.6042999999999994E-2</v>
      </c>
      <c r="F8" s="1"/>
      <c r="G8" s="24" t="s">
        <v>16</v>
      </c>
      <c r="H8" s="25">
        <v>1</v>
      </c>
      <c r="I8" s="1"/>
      <c r="J8" s="24" t="s">
        <v>13</v>
      </c>
      <c r="K8" s="24" t="s">
        <v>5</v>
      </c>
      <c r="L8" s="1"/>
      <c r="M8" s="1"/>
      <c r="N8" s="18"/>
    </row>
    <row r="9" spans="2:14" ht="15" customHeight="1" x14ac:dyDescent="0.25">
      <c r="B9" s="20"/>
      <c r="C9" s="5" t="s">
        <v>29</v>
      </c>
      <c r="D9" s="6" t="s">
        <v>23</v>
      </c>
      <c r="E9" s="11">
        <v>7.0733000000000004E-2</v>
      </c>
      <c r="F9" s="1"/>
      <c r="G9" s="1"/>
      <c r="H9" s="1"/>
      <c r="I9" s="1"/>
      <c r="J9" s="24" t="s">
        <v>11</v>
      </c>
      <c r="K9" s="29">
        <v>1.3004E-2</v>
      </c>
      <c r="L9" s="1"/>
      <c r="M9" s="1"/>
      <c r="N9" s="18"/>
    </row>
    <row r="10" spans="2:14" ht="15" customHeight="1" x14ac:dyDescent="0.25">
      <c r="B10" s="20"/>
      <c r="C10" s="5" t="s">
        <v>30</v>
      </c>
      <c r="D10" s="6" t="s">
        <v>23</v>
      </c>
      <c r="E10" s="11">
        <v>5.6762E-2</v>
      </c>
      <c r="F10" s="1"/>
      <c r="G10" s="1"/>
      <c r="H10" s="1"/>
      <c r="I10" s="1"/>
      <c r="J10" s="24" t="s">
        <v>14</v>
      </c>
      <c r="K10" s="29">
        <v>4.5560000000000002E-3</v>
      </c>
      <c r="L10" s="1"/>
      <c r="M10" s="1"/>
      <c r="N10" s="18"/>
    </row>
    <row r="11" spans="2:14" ht="15" customHeight="1" x14ac:dyDescent="0.25">
      <c r="B11" s="20"/>
      <c r="C11" s="5" t="s">
        <v>22</v>
      </c>
      <c r="D11" s="6" t="s">
        <v>23</v>
      </c>
      <c r="E11" s="11">
        <v>5.2076999999999998E-2</v>
      </c>
      <c r="F11" s="1"/>
      <c r="G11" s="1"/>
      <c r="H11" s="1"/>
      <c r="I11" s="1"/>
      <c r="J11" s="24" t="s">
        <v>65</v>
      </c>
      <c r="K11" s="29">
        <v>0.37773699999999999</v>
      </c>
      <c r="L11" s="1"/>
      <c r="M11" s="1"/>
      <c r="N11" s="18"/>
    </row>
    <row r="12" spans="2:14" ht="15" customHeight="1" x14ac:dyDescent="0.25">
      <c r="B12" s="20"/>
      <c r="C12" s="5" t="s">
        <v>25</v>
      </c>
      <c r="D12" s="6" t="s">
        <v>23</v>
      </c>
      <c r="E12" s="11">
        <v>4.7310999999999999E-2</v>
      </c>
      <c r="F12" s="1"/>
      <c r="G12" s="1"/>
      <c r="H12" s="1"/>
      <c r="I12" s="1"/>
      <c r="J12" s="24" t="s">
        <v>66</v>
      </c>
      <c r="K12" s="29">
        <v>1.1887E-2</v>
      </c>
      <c r="L12" s="1"/>
      <c r="M12" s="1"/>
      <c r="N12" s="18"/>
    </row>
    <row r="13" spans="2:14" ht="15" customHeight="1" x14ac:dyDescent="0.25">
      <c r="B13" s="20"/>
      <c r="C13" s="5" t="s">
        <v>24</v>
      </c>
      <c r="D13" s="6" t="s">
        <v>23</v>
      </c>
      <c r="E13" s="11">
        <v>2.8275000000000002E-2</v>
      </c>
      <c r="F13" s="1"/>
      <c r="G13" s="1"/>
      <c r="H13" s="1"/>
      <c r="I13" s="1"/>
      <c r="J13" s="24" t="s">
        <v>68</v>
      </c>
      <c r="K13" s="29">
        <v>0.58741399999999999</v>
      </c>
      <c r="L13" s="1"/>
      <c r="M13" s="1"/>
      <c r="N13" s="18"/>
    </row>
    <row r="14" spans="2:14" ht="15" customHeight="1" x14ac:dyDescent="0.25">
      <c r="B14" s="20"/>
      <c r="C14" s="5" t="s">
        <v>28</v>
      </c>
      <c r="D14" s="6" t="s">
        <v>23</v>
      </c>
      <c r="E14" s="11">
        <v>1.9522000000000001E-2</v>
      </c>
      <c r="F14" s="1"/>
      <c r="G14" s="1"/>
      <c r="H14" s="1"/>
      <c r="I14" s="1"/>
      <c r="J14" s="24" t="s">
        <v>81</v>
      </c>
      <c r="K14" s="29">
        <v>5.4019999999999997E-3</v>
      </c>
      <c r="L14" s="1"/>
      <c r="M14" s="1"/>
      <c r="N14" s="18"/>
    </row>
    <row r="15" spans="2:14" ht="15" customHeight="1" x14ac:dyDescent="0.25">
      <c r="B15" s="20"/>
      <c r="C15" s="5" t="s">
        <v>27</v>
      </c>
      <c r="D15" s="6" t="s">
        <v>23</v>
      </c>
      <c r="E15" s="11">
        <v>1.4572E-2</v>
      </c>
      <c r="F15" s="1"/>
      <c r="G15" s="1"/>
      <c r="H15" s="1"/>
      <c r="I15" s="1"/>
      <c r="J15" s="1"/>
      <c r="K15" s="1"/>
      <c r="L15" s="1"/>
      <c r="M15" s="1"/>
      <c r="N15" s="18"/>
    </row>
    <row r="16" spans="2:14" ht="15" customHeight="1" x14ac:dyDescent="0.25">
      <c r="B16" s="20"/>
      <c r="C16" s="5" t="s">
        <v>31</v>
      </c>
      <c r="D16" s="6" t="s">
        <v>23</v>
      </c>
      <c r="E16" s="11">
        <v>2.4420000000000002E-3</v>
      </c>
      <c r="F16" s="1"/>
      <c r="G16" s="1"/>
      <c r="H16" s="1"/>
      <c r="I16" s="1"/>
      <c r="J16" s="1"/>
      <c r="K16" s="1"/>
      <c r="L16" s="1"/>
      <c r="M16" s="1"/>
      <c r="N16" s="18"/>
    </row>
    <row r="17" spans="2:14" ht="15.75" customHeight="1" x14ac:dyDescent="0.25">
      <c r="B17" s="20"/>
      <c r="C17" s="7" t="s">
        <v>32</v>
      </c>
      <c r="D17" s="8"/>
      <c r="E17" s="12">
        <v>0.37773699999999999</v>
      </c>
      <c r="F17" s="1"/>
      <c r="G17" s="1"/>
      <c r="H17" s="1"/>
      <c r="I17" s="1"/>
      <c r="J17" s="1"/>
      <c r="K17" s="1"/>
      <c r="L17" s="1"/>
      <c r="M17" s="1"/>
      <c r="N17" s="18"/>
    </row>
    <row r="18" spans="2:14" ht="15" customHeight="1" x14ac:dyDescent="0.25">
      <c r="B18" s="20"/>
      <c r="C18" s="5" t="s">
        <v>41</v>
      </c>
      <c r="D18" s="6" t="s">
        <v>35</v>
      </c>
      <c r="E18" s="11">
        <v>1.0316000000000001E-2</v>
      </c>
      <c r="F18" s="1"/>
      <c r="G18" s="1"/>
      <c r="H18" s="1"/>
      <c r="I18" s="1"/>
      <c r="J18" s="1"/>
      <c r="K18" s="1"/>
      <c r="L18" s="1"/>
      <c r="M18" s="1"/>
      <c r="N18" s="18"/>
    </row>
    <row r="19" spans="2:14" ht="15" customHeight="1" x14ac:dyDescent="0.25">
      <c r="B19" s="20"/>
      <c r="C19" s="5" t="s">
        <v>47</v>
      </c>
      <c r="D19" s="6" t="s">
        <v>35</v>
      </c>
      <c r="E19" s="11">
        <v>1.5709999999999999E-3</v>
      </c>
      <c r="F19" s="1"/>
      <c r="G19" s="1"/>
      <c r="H19" s="1"/>
      <c r="I19" s="1"/>
      <c r="J19" s="1"/>
      <c r="K19" s="1"/>
      <c r="L19" s="1"/>
      <c r="M19" s="1"/>
      <c r="N19" s="18"/>
    </row>
    <row r="20" spans="2:14" ht="15.75" customHeight="1" x14ac:dyDescent="0.25">
      <c r="B20" s="20"/>
      <c r="C20" s="7" t="s">
        <v>52</v>
      </c>
      <c r="D20" s="8"/>
      <c r="E20" s="12">
        <v>1.1887E-2</v>
      </c>
      <c r="F20" s="1"/>
      <c r="G20" s="1"/>
      <c r="H20" s="1"/>
      <c r="I20" s="1"/>
      <c r="J20" s="1"/>
      <c r="K20" s="1"/>
      <c r="L20" s="1"/>
      <c r="M20" s="1"/>
      <c r="N20" s="18"/>
    </row>
    <row r="21" spans="2:14" ht="15" customHeight="1" x14ac:dyDescent="0.25">
      <c r="B21" s="20"/>
      <c r="C21" s="5" t="s">
        <v>73</v>
      </c>
      <c r="D21" s="6" t="s">
        <v>54</v>
      </c>
      <c r="E21" s="11">
        <v>0.586974</v>
      </c>
      <c r="F21" s="1"/>
      <c r="G21" s="1"/>
      <c r="H21" s="1"/>
      <c r="I21" s="1"/>
      <c r="J21" s="1"/>
      <c r="K21" s="1"/>
      <c r="L21" s="1"/>
      <c r="M21" s="1"/>
      <c r="N21" s="18"/>
    </row>
    <row r="22" spans="2:14" ht="15" customHeight="1" x14ac:dyDescent="0.25">
      <c r="B22" s="20"/>
      <c r="C22" s="5" t="s">
        <v>84</v>
      </c>
      <c r="D22" s="6" t="s">
        <v>54</v>
      </c>
      <c r="E22" s="11">
        <v>2.5099999999999998E-4</v>
      </c>
      <c r="F22" s="1"/>
      <c r="G22" s="1"/>
      <c r="H22" s="1"/>
      <c r="I22" s="1"/>
      <c r="J22" s="1"/>
      <c r="K22" s="1"/>
      <c r="L22" s="1"/>
      <c r="M22" s="1"/>
      <c r="N22" s="18"/>
    </row>
    <row r="23" spans="2:14" ht="15" customHeight="1" x14ac:dyDescent="0.25">
      <c r="B23" s="20"/>
      <c r="C23" s="5" t="s">
        <v>85</v>
      </c>
      <c r="D23" s="6" t="s">
        <v>54</v>
      </c>
      <c r="E23" s="11">
        <v>1.05E-4</v>
      </c>
      <c r="F23" s="1"/>
      <c r="G23" s="1"/>
      <c r="H23" s="1"/>
      <c r="I23" s="1"/>
      <c r="J23" s="1"/>
      <c r="K23" s="1"/>
      <c r="L23" s="1"/>
      <c r="M23" s="1"/>
      <c r="N23" s="18"/>
    </row>
    <row r="24" spans="2:14" ht="15" customHeight="1" x14ac:dyDescent="0.25">
      <c r="B24" s="20"/>
      <c r="C24" s="5" t="s">
        <v>77</v>
      </c>
      <c r="D24" s="6" t="s">
        <v>54</v>
      </c>
      <c r="E24" s="11">
        <v>8.3999999999999995E-5</v>
      </c>
      <c r="F24" s="1"/>
      <c r="G24" s="42" t="s">
        <v>18</v>
      </c>
      <c r="H24" s="43"/>
      <c r="I24" s="43"/>
      <c r="J24" s="43"/>
      <c r="K24" s="43"/>
      <c r="L24" s="26">
        <v>2.5099999999999998</v>
      </c>
      <c r="M24" s="27"/>
      <c r="N24" s="28"/>
    </row>
    <row r="25" spans="2:14" ht="15.75" customHeight="1" x14ac:dyDescent="0.25">
      <c r="B25" s="20"/>
      <c r="C25" s="7" t="s">
        <v>57</v>
      </c>
      <c r="D25" s="8"/>
      <c r="E25" s="12">
        <v>0.58741399999999999</v>
      </c>
      <c r="F25" s="1"/>
      <c r="G25" s="1"/>
      <c r="H25" s="1"/>
      <c r="I25" s="1"/>
      <c r="J25" s="1"/>
      <c r="K25" s="1"/>
      <c r="L25" s="1"/>
      <c r="M25" s="1"/>
      <c r="N25" s="18"/>
    </row>
    <row r="26" spans="2:14" ht="15" customHeight="1" x14ac:dyDescent="0.25">
      <c r="B26" s="20"/>
      <c r="C26" s="5" t="s">
        <v>234</v>
      </c>
      <c r="D26" s="6" t="s">
        <v>87</v>
      </c>
      <c r="E26" s="11">
        <v>5.4019999999999997E-3</v>
      </c>
      <c r="F26" s="1"/>
      <c r="G26" s="42" t="s">
        <v>19</v>
      </c>
      <c r="H26" s="43"/>
      <c r="I26" s="43"/>
      <c r="J26" s="43"/>
      <c r="K26" s="43"/>
      <c r="L26" s="43"/>
      <c r="M26" s="43"/>
      <c r="N26" s="44"/>
    </row>
    <row r="27" spans="2:14" ht="15.75" customHeight="1" x14ac:dyDescent="0.25">
      <c r="B27" s="20"/>
      <c r="C27" s="7" t="s">
        <v>88</v>
      </c>
      <c r="D27" s="8"/>
      <c r="E27" s="12">
        <v>5.4019999999999997E-3</v>
      </c>
      <c r="F27" s="1"/>
      <c r="G27" s="1"/>
      <c r="H27" s="1"/>
      <c r="I27" s="1"/>
      <c r="J27" s="1"/>
      <c r="K27" s="1"/>
      <c r="L27" s="1"/>
      <c r="M27" s="1"/>
      <c r="N27" s="18"/>
    </row>
    <row r="28" spans="2:14" ht="15" customHeight="1" x14ac:dyDescent="0.25">
      <c r="B28" s="20"/>
      <c r="C28" s="5" t="s">
        <v>9</v>
      </c>
      <c r="D28" s="6"/>
      <c r="E28" s="11">
        <v>4.5560000000000002E-3</v>
      </c>
      <c r="F28" s="1"/>
      <c r="G28" s="1"/>
      <c r="H28" s="1"/>
      <c r="I28" s="1"/>
      <c r="J28" s="1"/>
      <c r="K28" s="1"/>
      <c r="L28" s="1"/>
      <c r="M28" s="1"/>
      <c r="N28" s="18"/>
    </row>
    <row r="29" spans="2:14" ht="15.75" customHeight="1" x14ac:dyDescent="0.25">
      <c r="B29" s="20"/>
      <c r="C29" s="7" t="s">
        <v>10</v>
      </c>
      <c r="D29" s="8"/>
      <c r="E29" s="12">
        <v>4.5560000000000002E-3</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75" customHeight="1" x14ac:dyDescent="0.25">
      <c r="B31" s="20"/>
      <c r="C31" s="7" t="s">
        <v>11</v>
      </c>
      <c r="D31" s="8"/>
      <c r="E31" s="12">
        <v>1.3004E-2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9" t="s">
        <v>12</v>
      </c>
      <c r="D33" s="10"/>
      <c r="E33" s="13">
        <v>1</v>
      </c>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t="s">
        <v>233</v>
      </c>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75" customHeight="1" thickBot="1" x14ac:dyDescent="0.3">
      <c r="B45" s="34" t="s">
        <v>231</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0EA8-3848-4EA9-BF13-72AD2A1AA5FD}">
  <dimension ref="B1:N9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20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21</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22</v>
      </c>
      <c r="D8" s="6" t="s">
        <v>23</v>
      </c>
      <c r="E8" s="11">
        <v>5.5738000000000003E-2</v>
      </c>
      <c r="F8" s="1"/>
      <c r="G8" s="24" t="s">
        <v>16</v>
      </c>
      <c r="H8" s="25">
        <v>1</v>
      </c>
      <c r="I8" s="1"/>
      <c r="J8" s="24" t="s">
        <v>13</v>
      </c>
      <c r="K8" s="24" t="s">
        <v>5</v>
      </c>
      <c r="L8" s="1"/>
      <c r="M8" s="1"/>
      <c r="N8" s="18"/>
    </row>
    <row r="9" spans="2:14" ht="15" customHeight="1" x14ac:dyDescent="0.25">
      <c r="B9" s="20"/>
      <c r="C9" s="5" t="s">
        <v>24</v>
      </c>
      <c r="D9" s="6" t="s">
        <v>23</v>
      </c>
      <c r="E9" s="11">
        <v>4.6477999999999998E-2</v>
      </c>
      <c r="F9" s="1"/>
      <c r="G9" s="1"/>
      <c r="H9" s="1"/>
      <c r="I9" s="1"/>
      <c r="J9" s="24" t="s">
        <v>11</v>
      </c>
      <c r="K9" s="29">
        <v>2.8972999999999999E-2</v>
      </c>
      <c r="L9" s="1"/>
      <c r="M9" s="1"/>
      <c r="N9" s="18"/>
    </row>
    <row r="10" spans="2:14" ht="15" customHeight="1" x14ac:dyDescent="0.25">
      <c r="B10" s="20"/>
      <c r="C10" s="5" t="s">
        <v>25</v>
      </c>
      <c r="D10" s="6" t="s">
        <v>23</v>
      </c>
      <c r="E10" s="11">
        <v>4.4498000000000003E-2</v>
      </c>
      <c r="F10" s="1"/>
      <c r="G10" s="1"/>
      <c r="H10" s="1"/>
      <c r="I10" s="1"/>
      <c r="J10" s="24" t="s">
        <v>14</v>
      </c>
      <c r="K10" s="29">
        <v>4.5136999999999997E-2</v>
      </c>
      <c r="L10" s="1"/>
      <c r="M10" s="1"/>
      <c r="N10" s="18"/>
    </row>
    <row r="11" spans="2:14" ht="15" customHeight="1" x14ac:dyDescent="0.25">
      <c r="B11" s="20"/>
      <c r="C11" s="5" t="s">
        <v>26</v>
      </c>
      <c r="D11" s="6" t="s">
        <v>23</v>
      </c>
      <c r="E11" s="11">
        <v>3.5307999999999999E-2</v>
      </c>
      <c r="F11" s="1"/>
      <c r="G11" s="1"/>
      <c r="H11" s="1"/>
      <c r="I11" s="1"/>
      <c r="J11" s="24" t="s">
        <v>65</v>
      </c>
      <c r="K11" s="29">
        <v>0.27700000000000002</v>
      </c>
      <c r="L11" s="1"/>
      <c r="M11" s="1"/>
      <c r="N11" s="18"/>
    </row>
    <row r="12" spans="2:14" ht="15" customHeight="1" x14ac:dyDescent="0.25">
      <c r="B12" s="20"/>
      <c r="C12" s="5" t="s">
        <v>27</v>
      </c>
      <c r="D12" s="6" t="s">
        <v>23</v>
      </c>
      <c r="E12" s="11">
        <v>3.3450000000000001E-2</v>
      </c>
      <c r="F12" s="1"/>
      <c r="G12" s="1"/>
      <c r="H12" s="1"/>
      <c r="I12" s="1"/>
      <c r="J12" s="24" t="s">
        <v>66</v>
      </c>
      <c r="K12" s="29">
        <v>0.52594200000000002</v>
      </c>
      <c r="L12" s="1"/>
      <c r="M12" s="1"/>
      <c r="N12" s="18"/>
    </row>
    <row r="13" spans="2:14" ht="15" customHeight="1" x14ac:dyDescent="0.25">
      <c r="B13" s="20"/>
      <c r="C13" s="5" t="s">
        <v>28</v>
      </c>
      <c r="D13" s="6" t="s">
        <v>23</v>
      </c>
      <c r="E13" s="11">
        <v>3.1515000000000001E-2</v>
      </c>
      <c r="F13" s="1"/>
      <c r="G13" s="1"/>
      <c r="H13" s="1"/>
      <c r="I13" s="1"/>
      <c r="J13" s="24" t="s">
        <v>67</v>
      </c>
      <c r="K13" s="29">
        <v>1.091E-2</v>
      </c>
      <c r="L13" s="1"/>
      <c r="M13" s="1"/>
      <c r="N13" s="18"/>
    </row>
    <row r="14" spans="2:14" ht="15" customHeight="1" x14ac:dyDescent="0.25">
      <c r="B14" s="20"/>
      <c r="C14" s="5" t="s">
        <v>29</v>
      </c>
      <c r="D14" s="6" t="s">
        <v>23</v>
      </c>
      <c r="E14" s="11">
        <v>2.0976000000000002E-2</v>
      </c>
      <c r="F14" s="1"/>
      <c r="G14" s="1"/>
      <c r="H14" s="1"/>
      <c r="I14" s="1"/>
      <c r="J14" s="24" t="s">
        <v>68</v>
      </c>
      <c r="K14" s="29">
        <v>3.5382999999999998E-2</v>
      </c>
      <c r="L14" s="1"/>
      <c r="M14" s="1"/>
      <c r="N14" s="18"/>
    </row>
    <row r="15" spans="2:14" ht="15" customHeight="1" x14ac:dyDescent="0.25">
      <c r="B15" s="20"/>
      <c r="C15" s="5" t="s">
        <v>30</v>
      </c>
      <c r="D15" s="6" t="s">
        <v>23</v>
      </c>
      <c r="E15" s="11">
        <v>5.9579999999999998E-3</v>
      </c>
      <c r="F15" s="1"/>
      <c r="G15" s="1"/>
      <c r="H15" s="1"/>
      <c r="I15" s="1"/>
      <c r="J15" s="24" t="s">
        <v>69</v>
      </c>
      <c r="K15" s="29">
        <v>2.5599E-2</v>
      </c>
      <c r="L15" s="1"/>
      <c r="M15" s="1"/>
      <c r="N15" s="18"/>
    </row>
    <row r="16" spans="2:14" ht="15" customHeight="1" x14ac:dyDescent="0.25">
      <c r="B16" s="20"/>
      <c r="C16" s="5" t="s">
        <v>31</v>
      </c>
      <c r="D16" s="6" t="s">
        <v>23</v>
      </c>
      <c r="E16" s="11">
        <v>3.0790000000000001E-3</v>
      </c>
      <c r="F16" s="1"/>
      <c r="G16" s="1"/>
      <c r="H16" s="1"/>
      <c r="I16" s="1"/>
      <c r="J16" s="24" t="s">
        <v>70</v>
      </c>
      <c r="K16" s="29">
        <v>5.1055999999999997E-2</v>
      </c>
      <c r="L16" s="1"/>
      <c r="M16" s="1"/>
      <c r="N16" s="18"/>
    </row>
    <row r="17" spans="2:14" ht="15.75" customHeight="1" x14ac:dyDescent="0.25">
      <c r="B17" s="20"/>
      <c r="C17" s="7" t="s">
        <v>32</v>
      </c>
      <c r="D17" s="8"/>
      <c r="E17" s="12">
        <v>0.27700000000000002</v>
      </c>
      <c r="F17" s="1"/>
      <c r="G17" s="1"/>
      <c r="H17" s="1"/>
      <c r="I17" s="1"/>
      <c r="J17" s="1"/>
      <c r="K17" s="1"/>
      <c r="L17" s="1"/>
      <c r="M17" s="1"/>
      <c r="N17" s="18"/>
    </row>
    <row r="18" spans="2:14" ht="15" customHeight="1" x14ac:dyDescent="0.25">
      <c r="B18" s="20"/>
      <c r="C18" s="5" t="s">
        <v>27</v>
      </c>
      <c r="D18" s="6" t="s">
        <v>23</v>
      </c>
      <c r="E18" s="11">
        <v>6.2249999999999996E-3</v>
      </c>
      <c r="F18" s="1"/>
      <c r="G18" s="1"/>
      <c r="H18" s="1"/>
      <c r="I18" s="1"/>
      <c r="J18" s="1"/>
      <c r="K18" s="1"/>
      <c r="L18" s="1"/>
      <c r="M18" s="1"/>
      <c r="N18" s="18"/>
    </row>
    <row r="19" spans="2:14" ht="15" customHeight="1" x14ac:dyDescent="0.25">
      <c r="B19" s="20"/>
      <c r="C19" s="5" t="s">
        <v>33</v>
      </c>
      <c r="D19" s="6" t="s">
        <v>23</v>
      </c>
      <c r="E19" s="11">
        <v>4.6849999999999999E-3</v>
      </c>
      <c r="F19" s="1"/>
      <c r="G19" s="1"/>
      <c r="H19" s="1"/>
      <c r="I19" s="1"/>
      <c r="J19" s="1"/>
      <c r="K19" s="1"/>
      <c r="L19" s="1"/>
      <c r="M19" s="1"/>
      <c r="N19" s="18"/>
    </row>
    <row r="20" spans="2:14" ht="15.75" customHeight="1" x14ac:dyDescent="0.25">
      <c r="B20" s="20"/>
      <c r="C20" s="7" t="s">
        <v>34</v>
      </c>
      <c r="D20" s="8"/>
      <c r="E20" s="12">
        <v>1.091E-2</v>
      </c>
      <c r="F20" s="1"/>
      <c r="G20" s="1"/>
      <c r="H20" s="1"/>
      <c r="I20" s="1"/>
      <c r="J20" s="1"/>
      <c r="K20" s="1"/>
      <c r="L20" s="1"/>
      <c r="M20" s="1"/>
      <c r="N20" s="18"/>
    </row>
    <row r="21" spans="2:14" ht="15" customHeight="1" x14ac:dyDescent="0.25">
      <c r="B21" s="20"/>
      <c r="C21" s="5" t="s">
        <v>31</v>
      </c>
      <c r="D21" s="6" t="s">
        <v>35</v>
      </c>
      <c r="E21" s="11">
        <v>9.1573000000000002E-2</v>
      </c>
      <c r="F21" s="1"/>
      <c r="G21" s="1"/>
      <c r="H21" s="1"/>
      <c r="I21" s="1"/>
      <c r="J21" s="1"/>
      <c r="K21" s="1"/>
      <c r="L21" s="1"/>
      <c r="M21" s="1"/>
      <c r="N21" s="18"/>
    </row>
    <row r="22" spans="2:14" ht="15" customHeight="1" x14ac:dyDescent="0.25">
      <c r="B22" s="20"/>
      <c r="C22" s="5" t="s">
        <v>36</v>
      </c>
      <c r="D22" s="6" t="s">
        <v>35</v>
      </c>
      <c r="E22" s="11">
        <v>4.6442999999999998E-2</v>
      </c>
      <c r="F22" s="1"/>
      <c r="G22" s="1"/>
      <c r="H22" s="1"/>
      <c r="I22" s="1"/>
      <c r="J22" s="1"/>
      <c r="K22" s="1"/>
      <c r="L22" s="1"/>
      <c r="M22" s="1"/>
      <c r="N22" s="18"/>
    </row>
    <row r="23" spans="2:14" ht="15" customHeight="1" x14ac:dyDescent="0.25">
      <c r="B23" s="20"/>
      <c r="C23" s="5" t="s">
        <v>28</v>
      </c>
      <c r="D23" s="6" t="s">
        <v>35</v>
      </c>
      <c r="E23" s="11">
        <v>4.5927000000000003E-2</v>
      </c>
      <c r="F23" s="1"/>
      <c r="G23" s="1"/>
      <c r="H23" s="1"/>
      <c r="I23" s="1"/>
      <c r="J23" s="1"/>
      <c r="K23" s="1"/>
      <c r="L23" s="1"/>
      <c r="M23" s="1"/>
      <c r="N23" s="18"/>
    </row>
    <row r="24" spans="2:14" ht="15" customHeight="1" x14ac:dyDescent="0.25">
      <c r="B24" s="20"/>
      <c r="C24" s="5" t="s">
        <v>37</v>
      </c>
      <c r="D24" s="6" t="s">
        <v>35</v>
      </c>
      <c r="E24" s="11">
        <v>4.5234999999999997E-2</v>
      </c>
      <c r="F24" s="1"/>
      <c r="G24" s="42" t="s">
        <v>239</v>
      </c>
      <c r="H24" s="43"/>
      <c r="I24" s="43"/>
      <c r="J24" s="43"/>
      <c r="K24" s="43"/>
      <c r="L24" s="26">
        <v>0.6</v>
      </c>
      <c r="M24" s="27"/>
      <c r="N24" s="28"/>
    </row>
    <row r="25" spans="2:14" ht="15" customHeight="1" x14ac:dyDescent="0.25">
      <c r="B25" s="20"/>
      <c r="C25" s="5" t="s">
        <v>38</v>
      </c>
      <c r="D25" s="6" t="s">
        <v>35</v>
      </c>
      <c r="E25" s="11">
        <v>4.5062999999999999E-2</v>
      </c>
      <c r="F25" s="1"/>
      <c r="G25" s="1"/>
      <c r="H25" s="1"/>
      <c r="I25" s="1"/>
      <c r="J25" s="1"/>
      <c r="K25" s="1"/>
      <c r="L25" s="1"/>
      <c r="M25" s="1"/>
      <c r="N25" s="18"/>
    </row>
    <row r="26" spans="2:14" ht="15" customHeight="1" x14ac:dyDescent="0.25">
      <c r="B26" s="20"/>
      <c r="C26" s="5" t="s">
        <v>39</v>
      </c>
      <c r="D26" s="6" t="s">
        <v>35</v>
      </c>
      <c r="E26" s="11">
        <v>3.6233000000000001E-2</v>
      </c>
      <c r="F26" s="1"/>
      <c r="G26" s="42" t="s">
        <v>19</v>
      </c>
      <c r="H26" s="43"/>
      <c r="I26" s="43"/>
      <c r="J26" s="43"/>
      <c r="K26" s="43"/>
      <c r="L26" s="43"/>
      <c r="M26" s="43"/>
      <c r="N26" s="44"/>
    </row>
    <row r="27" spans="2:14" ht="15" customHeight="1" x14ac:dyDescent="0.25">
      <c r="B27" s="20"/>
      <c r="C27" s="5" t="s">
        <v>33</v>
      </c>
      <c r="D27" s="6" t="s">
        <v>35</v>
      </c>
      <c r="E27" s="11">
        <v>3.4698E-2</v>
      </c>
      <c r="F27" s="1"/>
      <c r="G27" s="1"/>
      <c r="H27" s="1"/>
      <c r="I27" s="1"/>
      <c r="J27" s="1"/>
      <c r="K27" s="1"/>
      <c r="L27" s="1"/>
      <c r="M27" s="1"/>
      <c r="N27" s="18"/>
    </row>
    <row r="28" spans="2:14" ht="15" customHeight="1" x14ac:dyDescent="0.25">
      <c r="B28" s="20"/>
      <c r="C28" s="5" t="s">
        <v>40</v>
      </c>
      <c r="D28" s="6" t="s">
        <v>35</v>
      </c>
      <c r="E28" s="11">
        <v>2.8201E-2</v>
      </c>
      <c r="F28" s="1"/>
      <c r="G28" s="1"/>
      <c r="H28" s="1"/>
      <c r="I28" s="1"/>
      <c r="J28" s="1"/>
      <c r="K28" s="1"/>
      <c r="L28" s="1"/>
      <c r="M28" s="1"/>
      <c r="N28" s="18"/>
    </row>
    <row r="29" spans="2:14" ht="15" customHeight="1" x14ac:dyDescent="0.25">
      <c r="B29" s="20"/>
      <c r="C29" s="5" t="s">
        <v>30</v>
      </c>
      <c r="D29" s="6" t="s">
        <v>35</v>
      </c>
      <c r="E29" s="11">
        <v>2.4077999999999999E-2</v>
      </c>
      <c r="F29" s="1"/>
      <c r="G29" s="1"/>
      <c r="H29" s="1"/>
      <c r="I29" s="1"/>
      <c r="J29" s="1"/>
      <c r="K29" s="1"/>
      <c r="L29" s="1"/>
      <c r="M29" s="1"/>
      <c r="N29" s="18"/>
    </row>
    <row r="30" spans="2:14" ht="15" customHeight="1" x14ac:dyDescent="0.25">
      <c r="B30" s="20"/>
      <c r="C30" s="5" t="s">
        <v>29</v>
      </c>
      <c r="D30" s="6" t="s">
        <v>35</v>
      </c>
      <c r="E30" s="11">
        <v>1.9913E-2</v>
      </c>
      <c r="F30" s="1"/>
      <c r="G30" s="1"/>
      <c r="H30" s="1"/>
      <c r="I30" s="1"/>
      <c r="J30" s="1"/>
      <c r="K30" s="1"/>
      <c r="L30" s="1"/>
      <c r="M30" s="1"/>
      <c r="N30" s="18"/>
    </row>
    <row r="31" spans="2:14" ht="15" customHeight="1" x14ac:dyDescent="0.25">
      <c r="B31" s="20"/>
      <c r="C31" s="5" t="s">
        <v>41</v>
      </c>
      <c r="D31" s="6" t="s">
        <v>35</v>
      </c>
      <c r="E31" s="11">
        <v>1.9303000000000001E-2</v>
      </c>
      <c r="F31" s="1"/>
      <c r="G31" s="1"/>
      <c r="H31" s="1"/>
      <c r="I31" s="1"/>
      <c r="J31" s="1"/>
      <c r="K31" s="1"/>
      <c r="L31" s="1"/>
      <c r="M31" s="1"/>
      <c r="N31" s="18"/>
    </row>
    <row r="32" spans="2:14" ht="15" customHeight="1" x14ac:dyDescent="0.25">
      <c r="B32" s="20"/>
      <c r="C32" s="5" t="s">
        <v>42</v>
      </c>
      <c r="D32" s="6" t="s">
        <v>35</v>
      </c>
      <c r="E32" s="11">
        <v>1.5237000000000001E-2</v>
      </c>
      <c r="F32" s="1"/>
      <c r="G32" s="1"/>
      <c r="H32" s="1"/>
      <c r="I32" s="1"/>
      <c r="J32" s="1"/>
      <c r="K32" s="1"/>
      <c r="L32" s="1"/>
      <c r="M32" s="1"/>
      <c r="N32" s="18"/>
    </row>
    <row r="33" spans="2:14" ht="15" customHeight="1" x14ac:dyDescent="0.25">
      <c r="B33" s="20"/>
      <c r="C33" s="5" t="s">
        <v>43</v>
      </c>
      <c r="D33" s="6" t="s">
        <v>35</v>
      </c>
      <c r="E33" s="11">
        <v>1.2643E-2</v>
      </c>
      <c r="F33" s="1"/>
      <c r="G33" s="1"/>
      <c r="H33" s="1"/>
      <c r="I33" s="1"/>
      <c r="J33" s="1"/>
      <c r="K33" s="1"/>
      <c r="L33" s="1"/>
      <c r="M33" s="1"/>
      <c r="N33" s="18"/>
    </row>
    <row r="34" spans="2:14" ht="15" customHeight="1" x14ac:dyDescent="0.25">
      <c r="B34" s="20"/>
      <c r="C34" s="5" t="s">
        <v>27</v>
      </c>
      <c r="D34" s="6" t="s">
        <v>35</v>
      </c>
      <c r="E34" s="11">
        <v>1.1967E-2</v>
      </c>
      <c r="F34" s="1"/>
      <c r="G34" s="1"/>
      <c r="H34" s="1"/>
      <c r="I34" s="1"/>
      <c r="J34" s="1"/>
      <c r="K34" s="1"/>
      <c r="L34" s="1"/>
      <c r="M34" s="1"/>
      <c r="N34" s="18"/>
    </row>
    <row r="35" spans="2:14" ht="15" customHeight="1" x14ac:dyDescent="0.25">
      <c r="B35" s="20"/>
      <c r="C35" s="5" t="s">
        <v>44</v>
      </c>
      <c r="D35" s="6" t="s">
        <v>35</v>
      </c>
      <c r="E35" s="11">
        <v>1.047E-2</v>
      </c>
      <c r="F35" s="1"/>
      <c r="G35" s="1"/>
      <c r="H35" s="1"/>
      <c r="I35" s="1"/>
      <c r="J35" s="1"/>
      <c r="K35" s="1"/>
      <c r="L35" s="1"/>
      <c r="M35" s="1"/>
      <c r="N35" s="18"/>
    </row>
    <row r="36" spans="2:14" ht="15" customHeight="1" x14ac:dyDescent="0.25">
      <c r="B36" s="20"/>
      <c r="C36" s="5" t="s">
        <v>45</v>
      </c>
      <c r="D36" s="6" t="s">
        <v>35</v>
      </c>
      <c r="E36" s="11">
        <v>9.5329999999999998E-3</v>
      </c>
      <c r="F36" s="1"/>
      <c r="G36" s="1"/>
      <c r="H36" s="1"/>
      <c r="I36" s="1"/>
      <c r="J36" s="1"/>
      <c r="K36" s="1"/>
      <c r="L36" s="1"/>
      <c r="M36" s="1"/>
      <c r="N36" s="18"/>
    </row>
    <row r="37" spans="2:14" ht="15" customHeight="1" x14ac:dyDescent="0.25">
      <c r="B37" s="20"/>
      <c r="C37" s="5" t="s">
        <v>46</v>
      </c>
      <c r="D37" s="6" t="s">
        <v>35</v>
      </c>
      <c r="E37" s="11">
        <v>8.6300000000000005E-3</v>
      </c>
      <c r="F37" s="1"/>
      <c r="G37" s="1"/>
      <c r="H37" s="1"/>
      <c r="I37" s="1"/>
      <c r="J37" s="1"/>
      <c r="K37" s="1"/>
      <c r="L37" s="1"/>
      <c r="M37" s="1"/>
      <c r="N37" s="18"/>
    </row>
    <row r="38" spans="2:14" ht="15" customHeight="1" x14ac:dyDescent="0.25">
      <c r="B38" s="20"/>
      <c r="C38" s="5" t="s">
        <v>47</v>
      </c>
      <c r="D38" s="6" t="s">
        <v>35</v>
      </c>
      <c r="E38" s="11">
        <v>4.7980000000000002E-3</v>
      </c>
      <c r="F38" s="1"/>
      <c r="G38" s="1"/>
      <c r="H38" s="1"/>
      <c r="I38" s="1"/>
      <c r="J38" s="1"/>
      <c r="K38" s="1"/>
      <c r="L38" s="1"/>
      <c r="M38" s="1"/>
      <c r="N38" s="18"/>
    </row>
    <row r="39" spans="2:14" ht="15" customHeight="1" x14ac:dyDescent="0.25">
      <c r="B39" s="20"/>
      <c r="C39" s="5" t="s">
        <v>48</v>
      </c>
      <c r="D39" s="6" t="s">
        <v>35</v>
      </c>
      <c r="E39" s="11">
        <v>4.7359999999999998E-3</v>
      </c>
      <c r="F39" s="1"/>
      <c r="G39" s="1"/>
      <c r="H39" s="1"/>
      <c r="I39" s="1"/>
      <c r="J39" s="1"/>
      <c r="K39" s="1"/>
      <c r="L39" s="1"/>
      <c r="M39" s="1"/>
      <c r="N39" s="18"/>
    </row>
    <row r="40" spans="2:14" ht="15" customHeight="1" x14ac:dyDescent="0.25">
      <c r="B40" s="20"/>
      <c r="C40" s="5" t="s">
        <v>49</v>
      </c>
      <c r="D40" s="6" t="s">
        <v>35</v>
      </c>
      <c r="E40" s="11">
        <v>4.6059999999999999E-3</v>
      </c>
      <c r="F40" s="1"/>
      <c r="G40" s="1"/>
      <c r="H40" s="1"/>
      <c r="I40" s="1"/>
      <c r="J40" s="1"/>
      <c r="K40" s="1"/>
      <c r="L40" s="1"/>
      <c r="M40" s="1"/>
      <c r="N40" s="18"/>
    </row>
    <row r="41" spans="2:14" ht="15" customHeight="1" x14ac:dyDescent="0.25">
      <c r="B41" s="20"/>
      <c r="C41" s="5" t="s">
        <v>50</v>
      </c>
      <c r="D41" s="6" t="s">
        <v>35</v>
      </c>
      <c r="E41" s="11">
        <v>3.483E-3</v>
      </c>
      <c r="F41" s="1"/>
      <c r="G41" s="1"/>
      <c r="H41" s="1"/>
      <c r="I41" s="1"/>
      <c r="J41" s="1"/>
      <c r="K41" s="1"/>
      <c r="L41" s="1"/>
      <c r="M41" s="1"/>
      <c r="N41" s="18"/>
    </row>
    <row r="42" spans="2:14" ht="15" customHeight="1" x14ac:dyDescent="0.25">
      <c r="B42" s="20"/>
      <c r="C42" s="5" t="s">
        <v>51</v>
      </c>
      <c r="D42" s="6" t="s">
        <v>35</v>
      </c>
      <c r="E42" s="11">
        <v>3.1719999999999999E-3</v>
      </c>
      <c r="F42" s="1"/>
      <c r="G42" s="1"/>
      <c r="H42" s="1"/>
      <c r="I42" s="1"/>
      <c r="J42" s="1"/>
      <c r="K42" s="1"/>
      <c r="L42" s="1"/>
      <c r="M42" s="1"/>
      <c r="N42" s="18"/>
    </row>
    <row r="43" spans="2:14" ht="15.75" customHeight="1" x14ac:dyDescent="0.25">
      <c r="B43" s="20"/>
      <c r="C43" s="7" t="s">
        <v>52</v>
      </c>
      <c r="D43" s="8"/>
      <c r="E43" s="12">
        <v>0.52594200000000002</v>
      </c>
      <c r="F43" s="1"/>
      <c r="G43" s="1"/>
      <c r="H43" s="1"/>
      <c r="I43" s="1"/>
      <c r="J43" s="1"/>
      <c r="K43" s="1"/>
      <c r="L43" s="1"/>
      <c r="M43" s="1"/>
      <c r="N43" s="18"/>
    </row>
    <row r="44" spans="2:14" ht="15" customHeight="1" x14ac:dyDescent="0.25">
      <c r="B44" s="20"/>
      <c r="C44" s="5" t="s">
        <v>53</v>
      </c>
      <c r="D44" s="6" t="s">
        <v>54</v>
      </c>
      <c r="E44" s="11">
        <v>3.2525999999999999E-2</v>
      </c>
      <c r="F44" s="1"/>
      <c r="G44" s="1"/>
      <c r="H44" s="1"/>
      <c r="I44" s="1"/>
      <c r="J44" s="1"/>
      <c r="K44" s="1"/>
      <c r="L44" s="1"/>
      <c r="M44" s="1"/>
      <c r="N44" s="18"/>
    </row>
    <row r="45" spans="2:14" ht="15" customHeight="1" x14ac:dyDescent="0.25">
      <c r="B45" s="20"/>
      <c r="C45" s="5" t="s">
        <v>55</v>
      </c>
      <c r="D45" s="6" t="s">
        <v>54</v>
      </c>
      <c r="E45" s="11">
        <v>1.588E-3</v>
      </c>
      <c r="F45" s="1"/>
      <c r="G45" s="1"/>
      <c r="H45" s="1"/>
      <c r="I45" s="1"/>
      <c r="J45" s="1"/>
      <c r="K45" s="1"/>
      <c r="L45" s="1"/>
      <c r="M45" s="1"/>
      <c r="N45" s="18"/>
    </row>
    <row r="46" spans="2:14" ht="15" customHeight="1" x14ac:dyDescent="0.25">
      <c r="B46" s="20"/>
      <c r="C46" s="5" t="s">
        <v>56</v>
      </c>
      <c r="D46" s="6" t="s">
        <v>54</v>
      </c>
      <c r="E46" s="11">
        <v>1.2689999999999999E-3</v>
      </c>
      <c r="F46" s="1"/>
      <c r="G46" s="1"/>
      <c r="H46" s="1"/>
      <c r="I46" s="1"/>
      <c r="J46" s="1"/>
      <c r="K46" s="1"/>
      <c r="L46" s="1"/>
      <c r="M46" s="1"/>
      <c r="N46" s="18"/>
    </row>
    <row r="47" spans="2:14" ht="15.75" customHeight="1" x14ac:dyDescent="0.25">
      <c r="B47" s="20"/>
      <c r="C47" s="7" t="s">
        <v>57</v>
      </c>
      <c r="D47" s="8"/>
      <c r="E47" s="12">
        <v>3.5382999999999998E-2</v>
      </c>
      <c r="F47" s="1"/>
      <c r="G47" s="1"/>
      <c r="H47" s="1"/>
      <c r="I47" s="1"/>
      <c r="J47" s="1"/>
      <c r="K47" s="1"/>
      <c r="L47" s="1"/>
      <c r="M47" s="1"/>
      <c r="N47" s="18"/>
    </row>
    <row r="48" spans="2:14" ht="15" customHeight="1" x14ac:dyDescent="0.25">
      <c r="B48" s="20"/>
      <c r="C48" s="5" t="s">
        <v>198</v>
      </c>
      <c r="D48" s="6" t="s">
        <v>54</v>
      </c>
      <c r="E48" s="11">
        <v>4.5149999999999999E-3</v>
      </c>
      <c r="F48" s="1"/>
      <c r="G48" s="1"/>
      <c r="H48" s="1"/>
      <c r="I48" s="1"/>
      <c r="J48" s="1"/>
      <c r="K48" s="1"/>
      <c r="L48" s="1"/>
      <c r="M48" s="1"/>
      <c r="N48" s="18"/>
    </row>
    <row r="49" spans="2:14" ht="15" customHeight="1" x14ac:dyDescent="0.25">
      <c r="B49" s="20"/>
      <c r="C49" s="5" t="s">
        <v>209</v>
      </c>
      <c r="D49" s="6" t="s">
        <v>54</v>
      </c>
      <c r="E49" s="11">
        <v>1.2654E-2</v>
      </c>
      <c r="F49" s="1"/>
      <c r="G49" s="1"/>
      <c r="H49" s="1"/>
      <c r="I49" s="1"/>
      <c r="J49" s="1"/>
      <c r="K49" s="1"/>
      <c r="L49" s="1"/>
      <c r="M49" s="1"/>
      <c r="N49" s="18"/>
    </row>
    <row r="50" spans="2:14" ht="15" customHeight="1" x14ac:dyDescent="0.25">
      <c r="B50" s="20"/>
      <c r="C50" s="5" t="s">
        <v>204</v>
      </c>
      <c r="D50" s="6" t="s">
        <v>54</v>
      </c>
      <c r="E50" s="11">
        <v>3.251E-3</v>
      </c>
      <c r="F50" s="1"/>
      <c r="G50" s="1"/>
      <c r="H50" s="1"/>
      <c r="I50" s="1"/>
      <c r="J50" s="1"/>
      <c r="K50" s="1"/>
      <c r="L50" s="1"/>
      <c r="M50" s="1"/>
      <c r="N50" s="18"/>
    </row>
    <row r="51" spans="2:14" ht="15" customHeight="1" x14ac:dyDescent="0.25">
      <c r="B51" s="20"/>
      <c r="C51" s="5" t="s">
        <v>207</v>
      </c>
      <c r="D51" s="6" t="s">
        <v>54</v>
      </c>
      <c r="E51" s="11">
        <v>1.5430000000000001E-3</v>
      </c>
      <c r="F51" s="1"/>
      <c r="G51" s="1"/>
      <c r="H51" s="1"/>
      <c r="I51" s="1"/>
      <c r="J51" s="1"/>
      <c r="K51" s="1"/>
      <c r="L51" s="1"/>
      <c r="M51" s="1"/>
      <c r="N51" s="18"/>
    </row>
    <row r="52" spans="2:14" ht="15" customHeight="1" x14ac:dyDescent="0.25">
      <c r="B52" s="20"/>
      <c r="C52" s="5" t="s">
        <v>208</v>
      </c>
      <c r="D52" s="6" t="s">
        <v>54</v>
      </c>
      <c r="E52" s="11">
        <v>9.3000000000000005E-4</v>
      </c>
      <c r="F52" s="1"/>
      <c r="G52" s="1"/>
      <c r="H52" s="1"/>
      <c r="I52" s="1"/>
      <c r="J52" s="1"/>
      <c r="K52" s="1"/>
      <c r="L52" s="1"/>
      <c r="M52" s="1"/>
      <c r="N52" s="18"/>
    </row>
    <row r="53" spans="2:14" ht="15" customHeight="1" x14ac:dyDescent="0.25">
      <c r="B53" s="20"/>
      <c r="C53" s="5" t="s">
        <v>206</v>
      </c>
      <c r="D53" s="6" t="s">
        <v>54</v>
      </c>
      <c r="E53" s="11">
        <v>6.4400000000000004E-4</v>
      </c>
      <c r="F53" s="1"/>
      <c r="G53" s="1"/>
      <c r="H53" s="1"/>
      <c r="I53" s="1"/>
      <c r="J53" s="1"/>
      <c r="K53" s="1"/>
      <c r="L53" s="1"/>
      <c r="M53" s="1"/>
      <c r="N53" s="18"/>
    </row>
    <row r="54" spans="2:14" ht="15" customHeight="1" x14ac:dyDescent="0.25">
      <c r="B54" s="20"/>
      <c r="C54" s="5" t="s">
        <v>200</v>
      </c>
      <c r="D54" s="6" t="s">
        <v>54</v>
      </c>
      <c r="E54" s="11">
        <v>6.4099999999999997E-4</v>
      </c>
      <c r="F54" s="1"/>
      <c r="G54" s="1"/>
      <c r="H54" s="1"/>
      <c r="I54" s="1"/>
      <c r="J54" s="1"/>
      <c r="K54" s="1"/>
      <c r="L54" s="1"/>
      <c r="M54" s="1"/>
      <c r="N54" s="18"/>
    </row>
    <row r="55" spans="2:14" ht="15" customHeight="1" x14ac:dyDescent="0.25">
      <c r="B55" s="20"/>
      <c r="C55" s="5" t="s">
        <v>199</v>
      </c>
      <c r="D55" s="6" t="s">
        <v>54</v>
      </c>
      <c r="E55" s="11">
        <v>3.2000000000000003E-4</v>
      </c>
      <c r="F55" s="1"/>
      <c r="G55" s="1"/>
      <c r="H55" s="1"/>
      <c r="I55" s="1"/>
      <c r="J55" s="1"/>
      <c r="K55" s="1"/>
      <c r="L55" s="1"/>
      <c r="M55" s="1"/>
      <c r="N55" s="18"/>
    </row>
    <row r="56" spans="2:14" ht="15" customHeight="1" x14ac:dyDescent="0.25">
      <c r="B56" s="20"/>
      <c r="C56" s="5" t="s">
        <v>201</v>
      </c>
      <c r="D56" s="6" t="s">
        <v>54</v>
      </c>
      <c r="E56" s="11">
        <v>3.2000000000000003E-4</v>
      </c>
      <c r="F56" s="1"/>
      <c r="G56" s="1"/>
      <c r="H56" s="1"/>
      <c r="I56" s="1"/>
      <c r="J56" s="1"/>
      <c r="K56" s="1"/>
      <c r="L56" s="1"/>
      <c r="M56" s="1"/>
      <c r="N56" s="18"/>
    </row>
    <row r="57" spans="2:14" ht="15" customHeight="1" x14ac:dyDescent="0.25">
      <c r="B57" s="20"/>
      <c r="C57" s="5" t="s">
        <v>202</v>
      </c>
      <c r="D57" s="6" t="s">
        <v>54</v>
      </c>
      <c r="E57" s="11">
        <v>3.2000000000000003E-4</v>
      </c>
      <c r="F57" s="1"/>
      <c r="G57" s="1"/>
      <c r="H57" s="1"/>
      <c r="I57" s="1"/>
      <c r="J57" s="1"/>
      <c r="K57" s="1"/>
      <c r="L57" s="1"/>
      <c r="M57" s="1"/>
      <c r="N57" s="18"/>
    </row>
    <row r="58" spans="2:14" ht="15" customHeight="1" x14ac:dyDescent="0.25">
      <c r="B58" s="20"/>
      <c r="C58" s="5" t="s">
        <v>203</v>
      </c>
      <c r="D58" s="6" t="s">
        <v>54</v>
      </c>
      <c r="E58" s="11">
        <v>3.2000000000000003E-4</v>
      </c>
      <c r="F58" s="1"/>
      <c r="G58" s="1"/>
      <c r="H58" s="1"/>
      <c r="I58" s="1"/>
      <c r="J58" s="1"/>
      <c r="K58" s="1"/>
      <c r="L58" s="1"/>
      <c r="M58" s="1"/>
      <c r="N58" s="18"/>
    </row>
    <row r="59" spans="2:14" ht="15" customHeight="1" x14ac:dyDescent="0.25">
      <c r="B59" s="20"/>
      <c r="C59" s="5" t="s">
        <v>205</v>
      </c>
      <c r="D59" s="6" t="s">
        <v>54</v>
      </c>
      <c r="E59" s="11">
        <v>1.4100000000000001E-4</v>
      </c>
      <c r="F59" s="1"/>
      <c r="G59" s="1"/>
      <c r="H59" s="1"/>
      <c r="I59" s="1"/>
      <c r="J59" s="1"/>
      <c r="K59" s="1"/>
      <c r="L59" s="1"/>
      <c r="M59" s="1"/>
      <c r="N59" s="18"/>
    </row>
    <row r="60" spans="2:14" ht="15.75" customHeight="1" x14ac:dyDescent="0.25">
      <c r="B60" s="20"/>
      <c r="C60" s="7" t="s">
        <v>58</v>
      </c>
      <c r="D60" s="8"/>
      <c r="E60" s="12">
        <v>2.5599E-2</v>
      </c>
      <c r="F60" s="1"/>
      <c r="G60" s="1"/>
      <c r="H60" s="1"/>
      <c r="I60" s="1"/>
      <c r="J60" s="1"/>
      <c r="K60" s="1"/>
      <c r="L60" s="1"/>
      <c r="M60" s="1"/>
      <c r="N60" s="18"/>
    </row>
    <row r="61" spans="2:14" ht="15" customHeight="1" x14ac:dyDescent="0.25">
      <c r="B61" s="20"/>
      <c r="C61" s="5" t="s">
        <v>59</v>
      </c>
      <c r="D61" s="6" t="s">
        <v>54</v>
      </c>
      <c r="E61" s="11">
        <v>2.6991999999999999E-2</v>
      </c>
      <c r="F61" s="1"/>
      <c r="G61" s="1"/>
      <c r="H61" s="1"/>
      <c r="I61" s="1"/>
      <c r="J61" s="1"/>
      <c r="K61" s="1"/>
      <c r="L61" s="1"/>
      <c r="M61" s="1"/>
      <c r="N61" s="18"/>
    </row>
    <row r="62" spans="2:14" ht="15" customHeight="1" x14ac:dyDescent="0.25">
      <c r="B62" s="20"/>
      <c r="C62" s="5" t="s">
        <v>60</v>
      </c>
      <c r="D62" s="6" t="s">
        <v>54</v>
      </c>
      <c r="E62" s="11">
        <v>1.2376E-2</v>
      </c>
      <c r="F62" s="1"/>
      <c r="G62" s="1"/>
      <c r="H62" s="1"/>
      <c r="I62" s="1"/>
      <c r="J62" s="1"/>
      <c r="K62" s="1"/>
      <c r="L62" s="1"/>
      <c r="M62" s="1"/>
      <c r="N62" s="18"/>
    </row>
    <row r="63" spans="2:14" ht="15" customHeight="1" x14ac:dyDescent="0.25">
      <c r="B63" s="20"/>
      <c r="C63" s="5" t="s">
        <v>61</v>
      </c>
      <c r="D63" s="6" t="s">
        <v>54</v>
      </c>
      <c r="E63" s="11">
        <v>8.3009999999999994E-3</v>
      </c>
      <c r="F63" s="1"/>
      <c r="G63" s="1"/>
      <c r="H63" s="1"/>
      <c r="I63" s="1"/>
      <c r="J63" s="1"/>
      <c r="K63" s="1"/>
      <c r="L63" s="1"/>
      <c r="M63" s="1"/>
      <c r="N63" s="18"/>
    </row>
    <row r="64" spans="2:14" ht="15" customHeight="1" x14ac:dyDescent="0.25">
      <c r="B64" s="20"/>
      <c r="C64" s="5" t="s">
        <v>62</v>
      </c>
      <c r="D64" s="6" t="s">
        <v>54</v>
      </c>
      <c r="E64" s="11">
        <v>3.0709999999999999E-3</v>
      </c>
      <c r="F64" s="1"/>
      <c r="G64" s="1"/>
      <c r="H64" s="1"/>
      <c r="I64" s="1"/>
      <c r="J64" s="1"/>
      <c r="K64" s="1"/>
      <c r="L64" s="1"/>
      <c r="M64" s="1"/>
      <c r="N64" s="18"/>
    </row>
    <row r="65" spans="2:14" ht="15" customHeight="1" x14ac:dyDescent="0.25">
      <c r="B65" s="20"/>
      <c r="C65" s="5" t="s">
        <v>63</v>
      </c>
      <c r="D65" s="6" t="s">
        <v>54</v>
      </c>
      <c r="E65" s="11">
        <v>3.1599999999999998E-4</v>
      </c>
      <c r="F65" s="1"/>
      <c r="G65" s="1"/>
      <c r="H65" s="1"/>
      <c r="I65" s="1"/>
      <c r="J65" s="1"/>
      <c r="K65" s="1"/>
      <c r="L65" s="1"/>
      <c r="M65" s="1"/>
      <c r="N65" s="18"/>
    </row>
    <row r="66" spans="2:14" ht="15.75" customHeight="1" x14ac:dyDescent="0.25">
      <c r="B66" s="20"/>
      <c r="C66" s="7" t="s">
        <v>64</v>
      </c>
      <c r="D66" s="8"/>
      <c r="E66" s="12">
        <v>5.1055999999999997E-2</v>
      </c>
      <c r="F66" s="1"/>
      <c r="G66" s="1"/>
      <c r="H66" s="1"/>
      <c r="I66" s="1"/>
      <c r="J66" s="1"/>
      <c r="K66" s="1"/>
      <c r="L66" s="1"/>
      <c r="M66" s="1"/>
      <c r="N66" s="18"/>
    </row>
    <row r="67" spans="2:14" ht="15" customHeight="1" x14ac:dyDescent="0.25">
      <c r="B67" s="20"/>
      <c r="C67" s="5" t="s">
        <v>9</v>
      </c>
      <c r="D67" s="6"/>
      <c r="E67" s="11">
        <v>4.5136999999999997E-2</v>
      </c>
      <c r="F67" s="1"/>
      <c r="G67" s="1"/>
      <c r="H67" s="1"/>
      <c r="I67" s="1"/>
      <c r="J67" s="1"/>
      <c r="K67" s="1"/>
      <c r="L67" s="1"/>
      <c r="M67" s="1"/>
      <c r="N67" s="18"/>
    </row>
    <row r="68" spans="2:14" ht="15.75" customHeight="1" x14ac:dyDescent="0.25">
      <c r="B68" s="20"/>
      <c r="C68" s="7" t="s">
        <v>10</v>
      </c>
      <c r="D68" s="8"/>
      <c r="E68" s="12">
        <v>4.5136999999999997E-2</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75" customHeight="1" x14ac:dyDescent="0.25">
      <c r="B70" s="20"/>
      <c r="C70" s="7" t="s">
        <v>11</v>
      </c>
      <c r="D70" s="8"/>
      <c r="E70" s="12">
        <v>2.8972999999999999E-2</v>
      </c>
      <c r="F70" s="1"/>
      <c r="G70" s="1"/>
      <c r="H70" s="1"/>
      <c r="I70" s="1"/>
      <c r="J70" s="1"/>
      <c r="K70" s="1"/>
      <c r="L70" s="1"/>
      <c r="M70" s="1"/>
      <c r="N70" s="18"/>
    </row>
    <row r="71" spans="2:14" ht="15" customHeight="1" x14ac:dyDescent="0.25">
      <c r="B71" s="20"/>
      <c r="C71" s="5"/>
      <c r="D71" s="6"/>
      <c r="E71" s="11"/>
      <c r="F71" s="1"/>
      <c r="G71" s="1"/>
      <c r="H71" s="1"/>
      <c r="I71" s="1"/>
      <c r="J71" s="1"/>
      <c r="K71" s="1"/>
      <c r="L71" s="1"/>
      <c r="M71" s="1"/>
      <c r="N71" s="18"/>
    </row>
    <row r="72" spans="2:14" ht="15" customHeight="1" x14ac:dyDescent="0.25">
      <c r="B72" s="20"/>
      <c r="C72" s="9" t="s">
        <v>12</v>
      </c>
      <c r="D72" s="10"/>
      <c r="E72" s="13">
        <v>1</v>
      </c>
      <c r="F72" s="1"/>
      <c r="G72" s="1"/>
      <c r="H72" s="1"/>
      <c r="I72" s="1"/>
      <c r="J72" s="1"/>
      <c r="K72" s="1"/>
      <c r="L72" s="1"/>
      <c r="M72" s="1"/>
      <c r="N72" s="18"/>
    </row>
    <row r="73" spans="2:14" ht="15" customHeight="1" x14ac:dyDescent="0.25">
      <c r="B73" s="20"/>
      <c r="C73" s="1"/>
      <c r="D73" s="1"/>
      <c r="E73" s="1"/>
      <c r="F73" s="1"/>
      <c r="G73" s="1"/>
      <c r="H73" s="1"/>
      <c r="I73" s="1"/>
      <c r="J73" s="1"/>
      <c r="K73" s="1"/>
      <c r="L73" s="1"/>
      <c r="M73" s="1"/>
      <c r="N73" s="18"/>
    </row>
    <row r="74" spans="2:14" ht="15" customHeight="1" thickBot="1" x14ac:dyDescent="0.3">
      <c r="B74" s="21"/>
      <c r="C74" s="22"/>
      <c r="D74" s="22"/>
      <c r="E74" s="22"/>
      <c r="F74" s="22"/>
      <c r="G74" s="22"/>
      <c r="H74" s="22"/>
      <c r="I74" s="22"/>
      <c r="J74" s="22"/>
      <c r="K74" s="22"/>
      <c r="L74" s="22"/>
      <c r="M74" s="22"/>
      <c r="N74" s="23"/>
    </row>
    <row r="75" spans="2:14" ht="15" customHeight="1" thickBot="1" x14ac:dyDescent="0.3"/>
    <row r="76" spans="2:14" ht="116.25" customHeight="1" thickBot="1" x14ac:dyDescent="0.3">
      <c r="B76" s="34" t="s">
        <v>231</v>
      </c>
      <c r="C76" s="35"/>
      <c r="D76" s="35"/>
      <c r="E76" s="35"/>
      <c r="F76" s="35"/>
      <c r="G76" s="35"/>
      <c r="H76" s="35"/>
      <c r="I76" s="35"/>
      <c r="J76" s="35"/>
      <c r="K76" s="35"/>
      <c r="L76" s="35"/>
      <c r="M76" s="35"/>
      <c r="N76" s="36"/>
    </row>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sheetData>
  <sortState ref="C49:E59">
    <sortCondition descending="1" ref="E48"/>
  </sortState>
  <mergeCells count="6">
    <mergeCell ref="B76:N76"/>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2B101-AE71-4C3C-B528-69F77252D963}">
  <dimension ref="B1:N9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109</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110</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29</v>
      </c>
      <c r="D8" s="6" t="s">
        <v>23</v>
      </c>
      <c r="E8" s="11">
        <v>1.6854000000000001E-2</v>
      </c>
      <c r="F8" s="1"/>
      <c r="G8" s="24" t="s">
        <v>16</v>
      </c>
      <c r="H8" s="25">
        <v>1</v>
      </c>
      <c r="I8" s="1"/>
      <c r="J8" s="24" t="s">
        <v>13</v>
      </c>
      <c r="K8" s="24" t="s">
        <v>5</v>
      </c>
      <c r="L8" s="1"/>
      <c r="M8" s="1"/>
      <c r="N8" s="18"/>
    </row>
    <row r="9" spans="2:14" ht="15" customHeight="1" x14ac:dyDescent="0.25">
      <c r="B9" s="20"/>
      <c r="C9" s="5" t="s">
        <v>22</v>
      </c>
      <c r="D9" s="6" t="s">
        <v>23</v>
      </c>
      <c r="E9" s="11">
        <v>9.9559999999999996E-3</v>
      </c>
      <c r="F9" s="1"/>
      <c r="G9" s="1"/>
      <c r="H9" s="1"/>
      <c r="I9" s="1"/>
      <c r="J9" s="24" t="s">
        <v>11</v>
      </c>
      <c r="K9" s="29">
        <v>2.6539E-2</v>
      </c>
      <c r="L9" s="1"/>
      <c r="M9" s="1"/>
      <c r="N9" s="18"/>
    </row>
    <row r="10" spans="2:14" ht="15" customHeight="1" x14ac:dyDescent="0.25">
      <c r="B10" s="20"/>
      <c r="C10" s="5" t="s">
        <v>27</v>
      </c>
      <c r="D10" s="6" t="s">
        <v>23</v>
      </c>
      <c r="E10" s="11">
        <v>8.4100000000000008E-3</v>
      </c>
      <c r="F10" s="1"/>
      <c r="G10" s="1"/>
      <c r="H10" s="1"/>
      <c r="I10" s="1"/>
      <c r="J10" s="24" t="s">
        <v>14</v>
      </c>
      <c r="K10" s="29">
        <v>1.797E-2</v>
      </c>
      <c r="L10" s="1"/>
      <c r="M10" s="1"/>
      <c r="N10" s="18"/>
    </row>
    <row r="11" spans="2:14" ht="15" customHeight="1" x14ac:dyDescent="0.25">
      <c r="B11" s="20"/>
      <c r="C11" s="5" t="s">
        <v>28</v>
      </c>
      <c r="D11" s="6" t="s">
        <v>23</v>
      </c>
      <c r="E11" s="11">
        <v>5.9170000000000004E-3</v>
      </c>
      <c r="F11" s="1"/>
      <c r="G11" s="1"/>
      <c r="H11" s="1"/>
      <c r="I11" s="1"/>
      <c r="J11" s="24" t="s">
        <v>65</v>
      </c>
      <c r="K11" s="29">
        <v>4.7028E-2</v>
      </c>
      <c r="L11" s="1"/>
      <c r="M11" s="1"/>
      <c r="N11" s="18"/>
    </row>
    <row r="12" spans="2:14" ht="15" customHeight="1" x14ac:dyDescent="0.25">
      <c r="B12" s="20"/>
      <c r="C12" s="5" t="s">
        <v>26</v>
      </c>
      <c r="D12" s="6" t="s">
        <v>23</v>
      </c>
      <c r="E12" s="11">
        <v>5.8910000000000004E-3</v>
      </c>
      <c r="F12" s="1"/>
      <c r="G12" s="1"/>
      <c r="H12" s="1"/>
      <c r="I12" s="1"/>
      <c r="J12" s="24" t="s">
        <v>66</v>
      </c>
      <c r="K12" s="29">
        <v>0.68925700000000001</v>
      </c>
      <c r="L12" s="1"/>
      <c r="M12" s="1"/>
      <c r="N12" s="18"/>
    </row>
    <row r="13" spans="2:14" ht="15.75" customHeight="1" x14ac:dyDescent="0.25">
      <c r="B13" s="20"/>
      <c r="C13" s="7" t="s">
        <v>32</v>
      </c>
      <c r="D13" s="8"/>
      <c r="E13" s="12">
        <v>4.7028E-2</v>
      </c>
      <c r="F13" s="1"/>
      <c r="G13" s="1"/>
      <c r="H13" s="1"/>
      <c r="I13" s="1"/>
      <c r="J13" s="24" t="s">
        <v>67</v>
      </c>
      <c r="K13" s="29">
        <v>5.9280000000000001E-3</v>
      </c>
      <c r="L13" s="1"/>
      <c r="M13" s="1"/>
      <c r="N13" s="18"/>
    </row>
    <row r="14" spans="2:14" ht="15" customHeight="1" x14ac:dyDescent="0.25">
      <c r="B14" s="20"/>
      <c r="C14" s="5" t="s">
        <v>27</v>
      </c>
      <c r="D14" s="6" t="s">
        <v>23</v>
      </c>
      <c r="E14" s="11">
        <v>5.9280000000000001E-3</v>
      </c>
      <c r="F14" s="1"/>
      <c r="G14" s="1"/>
      <c r="H14" s="1"/>
      <c r="I14" s="1"/>
      <c r="J14" s="24" t="s">
        <v>68</v>
      </c>
      <c r="K14" s="29">
        <v>0.157301</v>
      </c>
      <c r="L14" s="1"/>
      <c r="M14" s="1"/>
      <c r="N14" s="18"/>
    </row>
    <row r="15" spans="2:14" ht="15.75" customHeight="1" x14ac:dyDescent="0.25">
      <c r="B15" s="20"/>
      <c r="C15" s="7" t="s">
        <v>34</v>
      </c>
      <c r="D15" s="8"/>
      <c r="E15" s="12">
        <v>5.9280000000000001E-3</v>
      </c>
      <c r="F15" s="1"/>
      <c r="G15" s="1"/>
      <c r="H15" s="1"/>
      <c r="I15" s="1"/>
      <c r="J15" s="24" t="s">
        <v>69</v>
      </c>
      <c r="K15" s="29">
        <v>5.586E-2</v>
      </c>
      <c r="L15" s="1"/>
      <c r="M15" s="1"/>
      <c r="N15" s="18"/>
    </row>
    <row r="16" spans="2:14" ht="15" customHeight="1" x14ac:dyDescent="0.25">
      <c r="B16" s="20"/>
      <c r="C16" s="5" t="s">
        <v>31</v>
      </c>
      <c r="D16" s="6" t="s">
        <v>35</v>
      </c>
      <c r="E16" s="11">
        <v>0.112402</v>
      </c>
      <c r="F16" s="1"/>
      <c r="G16" s="1"/>
      <c r="H16" s="1"/>
      <c r="I16" s="1"/>
      <c r="J16" s="24" t="s">
        <v>107</v>
      </c>
      <c r="K16" s="29">
        <v>1.17E-4</v>
      </c>
      <c r="L16" s="1"/>
      <c r="M16" s="1"/>
      <c r="N16" s="18"/>
    </row>
    <row r="17" spans="2:14" ht="15" customHeight="1" x14ac:dyDescent="0.25">
      <c r="B17" s="20"/>
      <c r="C17" s="5" t="s">
        <v>37</v>
      </c>
      <c r="D17" s="6" t="s">
        <v>35</v>
      </c>
      <c r="E17" s="11">
        <v>9.2348E-2</v>
      </c>
      <c r="F17" s="1"/>
      <c r="G17" s="1"/>
      <c r="H17" s="1"/>
      <c r="I17" s="1"/>
      <c r="J17" s="1"/>
      <c r="K17" s="1"/>
      <c r="L17" s="1"/>
      <c r="M17" s="1"/>
      <c r="N17" s="18"/>
    </row>
    <row r="18" spans="2:14" ht="15" customHeight="1" x14ac:dyDescent="0.25">
      <c r="B18" s="20"/>
      <c r="C18" s="5" t="s">
        <v>39</v>
      </c>
      <c r="D18" s="6" t="s">
        <v>35</v>
      </c>
      <c r="E18" s="11">
        <v>7.8628000000000003E-2</v>
      </c>
      <c r="F18" s="1"/>
      <c r="G18" s="1"/>
      <c r="H18" s="1"/>
      <c r="I18" s="1"/>
      <c r="J18" s="1"/>
      <c r="K18" s="1"/>
      <c r="L18" s="1"/>
      <c r="M18" s="1"/>
      <c r="N18" s="18"/>
    </row>
    <row r="19" spans="2:14" ht="15" customHeight="1" x14ac:dyDescent="0.25">
      <c r="B19" s="20"/>
      <c r="C19" s="5" t="s">
        <v>42</v>
      </c>
      <c r="D19" s="6" t="s">
        <v>35</v>
      </c>
      <c r="E19" s="11">
        <v>7.5315999999999994E-2</v>
      </c>
      <c r="F19" s="1"/>
      <c r="G19" s="1"/>
      <c r="H19" s="1"/>
      <c r="I19" s="1"/>
      <c r="J19" s="1"/>
      <c r="K19" s="1"/>
      <c r="L19" s="1"/>
      <c r="M19" s="1"/>
      <c r="N19" s="18"/>
    </row>
    <row r="20" spans="2:14" ht="15" customHeight="1" x14ac:dyDescent="0.25">
      <c r="B20" s="20"/>
      <c r="C20" s="5" t="s">
        <v>45</v>
      </c>
      <c r="D20" s="6" t="s">
        <v>35</v>
      </c>
      <c r="E20" s="11">
        <v>5.7513000000000002E-2</v>
      </c>
      <c r="F20" s="1"/>
      <c r="G20" s="1"/>
      <c r="H20" s="1"/>
      <c r="I20" s="1"/>
      <c r="J20" s="1"/>
      <c r="K20" s="1"/>
      <c r="L20" s="1"/>
      <c r="M20" s="1"/>
      <c r="N20" s="18"/>
    </row>
    <row r="21" spans="2:14" ht="15" customHeight="1" x14ac:dyDescent="0.25">
      <c r="B21" s="20"/>
      <c r="C21" s="5" t="s">
        <v>38</v>
      </c>
      <c r="D21" s="6" t="s">
        <v>35</v>
      </c>
      <c r="E21" s="11">
        <v>5.3462000000000003E-2</v>
      </c>
      <c r="F21" s="1"/>
      <c r="G21" s="1"/>
      <c r="H21" s="1"/>
      <c r="I21" s="1"/>
      <c r="J21" s="1"/>
      <c r="K21" s="1"/>
      <c r="L21" s="1"/>
      <c r="M21" s="1"/>
      <c r="N21" s="18"/>
    </row>
    <row r="22" spans="2:14" ht="15" customHeight="1" x14ac:dyDescent="0.25">
      <c r="B22" s="20"/>
      <c r="C22" s="5" t="s">
        <v>33</v>
      </c>
      <c r="D22" s="6" t="s">
        <v>35</v>
      </c>
      <c r="E22" s="11">
        <v>4.2619999999999998E-2</v>
      </c>
      <c r="F22" s="1"/>
      <c r="G22" s="1"/>
      <c r="H22" s="1"/>
      <c r="I22" s="1"/>
      <c r="J22" s="1"/>
      <c r="K22" s="1"/>
      <c r="L22" s="1"/>
      <c r="M22" s="1"/>
      <c r="N22" s="18"/>
    </row>
    <row r="23" spans="2:14" ht="15" customHeight="1" x14ac:dyDescent="0.25">
      <c r="B23" s="20"/>
      <c r="C23" s="5" t="s">
        <v>36</v>
      </c>
      <c r="D23" s="6" t="s">
        <v>35</v>
      </c>
      <c r="E23" s="11">
        <v>3.2358999999999999E-2</v>
      </c>
      <c r="F23" s="1"/>
      <c r="G23" s="1"/>
      <c r="H23" s="1"/>
      <c r="I23" s="1"/>
      <c r="J23" s="1"/>
      <c r="K23" s="1"/>
      <c r="L23" s="1"/>
      <c r="M23" s="1"/>
      <c r="N23" s="18"/>
    </row>
    <row r="24" spans="2:14" ht="15" customHeight="1" x14ac:dyDescent="0.25">
      <c r="B24" s="20"/>
      <c r="C24" s="5" t="s">
        <v>29</v>
      </c>
      <c r="D24" s="6" t="s">
        <v>35</v>
      </c>
      <c r="E24" s="11">
        <v>2.6289E-2</v>
      </c>
      <c r="F24" s="1"/>
      <c r="G24" s="42" t="s">
        <v>18</v>
      </c>
      <c r="H24" s="43"/>
      <c r="I24" s="43"/>
      <c r="J24" s="43"/>
      <c r="K24" s="43"/>
      <c r="L24" s="26">
        <v>1.6</v>
      </c>
      <c r="M24" s="27"/>
      <c r="N24" s="28"/>
    </row>
    <row r="25" spans="2:14" ht="15" customHeight="1" x14ac:dyDescent="0.25">
      <c r="B25" s="20"/>
      <c r="C25" s="5" t="s">
        <v>28</v>
      </c>
      <c r="D25" s="6" t="s">
        <v>35</v>
      </c>
      <c r="E25" s="11">
        <v>1.9115E-2</v>
      </c>
      <c r="F25" s="1"/>
      <c r="G25" s="1"/>
      <c r="H25" s="1"/>
      <c r="I25" s="1"/>
      <c r="J25" s="1"/>
      <c r="K25" s="1"/>
      <c r="L25" s="1"/>
      <c r="M25" s="1"/>
      <c r="N25" s="18"/>
    </row>
    <row r="26" spans="2:14" ht="15" customHeight="1" x14ac:dyDescent="0.25">
      <c r="B26" s="20"/>
      <c r="C26" s="5" t="s">
        <v>40</v>
      </c>
      <c r="D26" s="6" t="s">
        <v>35</v>
      </c>
      <c r="E26" s="11">
        <v>1.7087000000000001E-2</v>
      </c>
      <c r="F26" s="1"/>
      <c r="G26" s="42" t="s">
        <v>19</v>
      </c>
      <c r="H26" s="43"/>
      <c r="I26" s="43"/>
      <c r="J26" s="43"/>
      <c r="K26" s="43"/>
      <c r="L26" s="43"/>
      <c r="M26" s="43"/>
      <c r="N26" s="44"/>
    </row>
    <row r="27" spans="2:14" ht="15" customHeight="1" x14ac:dyDescent="0.25">
      <c r="B27" s="20"/>
      <c r="C27" s="5" t="s">
        <v>111</v>
      </c>
      <c r="D27" s="6" t="s">
        <v>35</v>
      </c>
      <c r="E27" s="11">
        <v>1.5767E-2</v>
      </c>
      <c r="F27" s="1"/>
      <c r="G27" s="1"/>
      <c r="H27" s="1"/>
      <c r="I27" s="1"/>
      <c r="J27" s="1"/>
      <c r="K27" s="1"/>
      <c r="L27" s="1"/>
      <c r="M27" s="1"/>
      <c r="N27" s="18"/>
    </row>
    <row r="28" spans="2:14" ht="15" customHeight="1" x14ac:dyDescent="0.25">
      <c r="B28" s="20"/>
      <c r="C28" s="5" t="s">
        <v>30</v>
      </c>
      <c r="D28" s="6" t="s">
        <v>35</v>
      </c>
      <c r="E28" s="11">
        <v>1.4499E-2</v>
      </c>
      <c r="F28" s="1"/>
      <c r="G28" s="1"/>
      <c r="H28" s="1"/>
      <c r="I28" s="1"/>
      <c r="J28" s="1"/>
      <c r="K28" s="1"/>
      <c r="L28" s="1"/>
      <c r="M28" s="1"/>
      <c r="N28" s="18"/>
    </row>
    <row r="29" spans="2:14" ht="15" customHeight="1" x14ac:dyDescent="0.25">
      <c r="B29" s="20"/>
      <c r="C29" s="5" t="s">
        <v>49</v>
      </c>
      <c r="D29" s="6" t="s">
        <v>35</v>
      </c>
      <c r="E29" s="11">
        <v>1.3664000000000001E-2</v>
      </c>
      <c r="F29" s="1"/>
      <c r="G29" s="1"/>
      <c r="H29" s="1"/>
      <c r="I29" s="1"/>
      <c r="J29" s="1"/>
      <c r="K29" s="1"/>
      <c r="L29" s="1"/>
      <c r="M29" s="1"/>
      <c r="N29" s="18"/>
    </row>
    <row r="30" spans="2:14" ht="15" customHeight="1" x14ac:dyDescent="0.25">
      <c r="B30" s="20"/>
      <c r="C30" s="5" t="s">
        <v>112</v>
      </c>
      <c r="D30" s="6" t="s">
        <v>35</v>
      </c>
      <c r="E30" s="11">
        <v>1.1974E-2</v>
      </c>
      <c r="F30" s="1"/>
      <c r="G30" s="1"/>
      <c r="H30" s="1"/>
      <c r="I30" s="1"/>
      <c r="J30" s="1"/>
      <c r="K30" s="1"/>
      <c r="L30" s="1"/>
      <c r="M30" s="1"/>
      <c r="N30" s="18"/>
    </row>
    <row r="31" spans="2:14" ht="15" customHeight="1" x14ac:dyDescent="0.25">
      <c r="B31" s="20"/>
      <c r="C31" s="5" t="s">
        <v>47</v>
      </c>
      <c r="D31" s="6" t="s">
        <v>35</v>
      </c>
      <c r="E31" s="11">
        <v>1.0045999999999999E-2</v>
      </c>
      <c r="F31" s="1"/>
      <c r="G31" s="1"/>
      <c r="H31" s="1"/>
      <c r="I31" s="1"/>
      <c r="J31" s="1"/>
      <c r="K31" s="1"/>
      <c r="L31" s="1"/>
      <c r="M31" s="1"/>
      <c r="N31" s="18"/>
    </row>
    <row r="32" spans="2:14" ht="15" customHeight="1" x14ac:dyDescent="0.25">
      <c r="B32" s="20"/>
      <c r="C32" s="5" t="s">
        <v>27</v>
      </c>
      <c r="D32" s="6" t="s">
        <v>35</v>
      </c>
      <c r="E32" s="11">
        <v>9.6290000000000004E-3</v>
      </c>
      <c r="F32" s="1"/>
      <c r="G32" s="1"/>
      <c r="H32" s="1"/>
      <c r="I32" s="1"/>
      <c r="J32" s="1"/>
      <c r="K32" s="1"/>
      <c r="L32" s="1"/>
      <c r="M32" s="1"/>
      <c r="N32" s="18"/>
    </row>
    <row r="33" spans="2:14" ht="15" customHeight="1" x14ac:dyDescent="0.25">
      <c r="B33" s="20"/>
      <c r="C33" s="5" t="s">
        <v>41</v>
      </c>
      <c r="D33" s="6" t="s">
        <v>35</v>
      </c>
      <c r="E33" s="11">
        <v>5.4929999999999996E-3</v>
      </c>
      <c r="F33" s="1"/>
      <c r="G33" s="1"/>
      <c r="H33" s="1"/>
      <c r="I33" s="1"/>
      <c r="J33" s="1"/>
      <c r="K33" s="1"/>
      <c r="L33" s="1"/>
      <c r="M33" s="1"/>
      <c r="N33" s="18"/>
    </row>
    <row r="34" spans="2:14" ht="15" customHeight="1" x14ac:dyDescent="0.25">
      <c r="B34" s="20"/>
      <c r="C34" s="5" t="s">
        <v>48</v>
      </c>
      <c r="D34" s="6" t="s">
        <v>35</v>
      </c>
      <c r="E34" s="11">
        <v>7.5299999999999998E-4</v>
      </c>
      <c r="F34" s="1"/>
      <c r="G34" s="1"/>
      <c r="H34" s="1"/>
      <c r="I34" s="1"/>
      <c r="J34" s="1"/>
      <c r="K34" s="1"/>
      <c r="L34" s="1"/>
      <c r="M34" s="1"/>
      <c r="N34" s="18"/>
    </row>
    <row r="35" spans="2:14" ht="15" customHeight="1" x14ac:dyDescent="0.25">
      <c r="B35" s="20"/>
      <c r="C35" s="5" t="s">
        <v>43</v>
      </c>
      <c r="D35" s="6" t="s">
        <v>35</v>
      </c>
      <c r="E35" s="11">
        <v>2.9300000000000002E-4</v>
      </c>
      <c r="F35" s="1"/>
      <c r="G35" s="1"/>
      <c r="H35" s="1"/>
      <c r="I35" s="1"/>
      <c r="J35" s="1"/>
      <c r="K35" s="1"/>
      <c r="L35" s="1"/>
      <c r="M35" s="1"/>
      <c r="N35" s="18"/>
    </row>
    <row r="36" spans="2:14" ht="15.75" customHeight="1" x14ac:dyDescent="0.25">
      <c r="B36" s="20"/>
      <c r="C36" s="7" t="s">
        <v>52</v>
      </c>
      <c r="D36" s="8"/>
      <c r="E36" s="12">
        <v>0.68925700000000001</v>
      </c>
      <c r="F36" s="1"/>
      <c r="G36" s="1"/>
      <c r="H36" s="1"/>
      <c r="I36" s="1"/>
      <c r="J36" s="1"/>
      <c r="K36" s="1"/>
      <c r="L36" s="1"/>
      <c r="M36" s="1"/>
      <c r="N36" s="18"/>
    </row>
    <row r="37" spans="2:14" ht="15" customHeight="1" x14ac:dyDescent="0.25">
      <c r="B37" s="20"/>
      <c r="C37" s="5" t="s">
        <v>113</v>
      </c>
      <c r="D37" s="6" t="s">
        <v>54</v>
      </c>
      <c r="E37" s="11">
        <v>0.156694</v>
      </c>
      <c r="F37" s="1"/>
      <c r="G37" s="1"/>
      <c r="H37" s="1"/>
      <c r="I37" s="1"/>
      <c r="J37" s="1"/>
      <c r="K37" s="1"/>
      <c r="L37" s="1"/>
      <c r="M37" s="1"/>
      <c r="N37" s="18"/>
    </row>
    <row r="38" spans="2:14" ht="15" customHeight="1" x14ac:dyDescent="0.25">
      <c r="B38" s="20"/>
      <c r="C38" s="5" t="s">
        <v>114</v>
      </c>
      <c r="D38" s="6" t="s">
        <v>54</v>
      </c>
      <c r="E38" s="11">
        <v>3.0400000000000002E-4</v>
      </c>
      <c r="F38" s="1"/>
      <c r="G38" s="1"/>
      <c r="H38" s="1"/>
      <c r="I38" s="1"/>
      <c r="J38" s="1"/>
      <c r="K38" s="1"/>
      <c r="L38" s="1"/>
      <c r="M38" s="1"/>
      <c r="N38" s="18"/>
    </row>
    <row r="39" spans="2:14" ht="15" customHeight="1" x14ac:dyDescent="0.25">
      <c r="B39" s="20"/>
      <c r="C39" s="5" t="s">
        <v>115</v>
      </c>
      <c r="D39" s="6" t="s">
        <v>54</v>
      </c>
      <c r="E39" s="11">
        <v>3.0299999999999999E-4</v>
      </c>
      <c r="F39" s="1"/>
      <c r="G39" s="1"/>
      <c r="H39" s="1"/>
      <c r="I39" s="1"/>
      <c r="J39" s="1"/>
      <c r="K39" s="1"/>
      <c r="L39" s="1"/>
      <c r="M39" s="1"/>
      <c r="N39" s="18"/>
    </row>
    <row r="40" spans="2:14" ht="15.75" customHeight="1" x14ac:dyDescent="0.25">
      <c r="B40" s="20"/>
      <c r="C40" s="7" t="s">
        <v>57</v>
      </c>
      <c r="D40" s="8"/>
      <c r="E40" s="12">
        <v>0.157301</v>
      </c>
      <c r="F40" s="1"/>
      <c r="G40" s="1"/>
      <c r="H40" s="1"/>
      <c r="I40" s="1"/>
      <c r="J40" s="1"/>
      <c r="K40" s="1"/>
      <c r="L40" s="1"/>
      <c r="M40" s="1"/>
      <c r="N40" s="18"/>
    </row>
    <row r="41" spans="2:14" ht="15" customHeight="1" x14ac:dyDescent="0.25">
      <c r="B41" s="20"/>
      <c r="C41" s="5" t="s">
        <v>171</v>
      </c>
      <c r="D41" s="6" t="s">
        <v>54</v>
      </c>
      <c r="E41" s="11">
        <v>1.1953E-2</v>
      </c>
      <c r="F41" s="1"/>
      <c r="G41" s="1"/>
      <c r="H41" s="1"/>
      <c r="I41" s="1"/>
      <c r="J41" s="1"/>
      <c r="K41" s="1"/>
      <c r="L41" s="1"/>
      <c r="M41" s="1"/>
      <c r="N41" s="18"/>
    </row>
    <row r="42" spans="2:14" ht="15.75" customHeight="1" x14ac:dyDescent="0.25">
      <c r="B42" s="20"/>
      <c r="C42" s="5" t="s">
        <v>211</v>
      </c>
      <c r="D42" s="6" t="s">
        <v>54</v>
      </c>
      <c r="E42" s="11">
        <v>8.6E-3</v>
      </c>
      <c r="F42" s="1"/>
      <c r="G42" s="1"/>
      <c r="H42" s="1"/>
      <c r="I42" s="1"/>
      <c r="J42" s="1"/>
      <c r="K42" s="1"/>
      <c r="L42" s="1"/>
      <c r="M42" s="1"/>
      <c r="N42" s="18"/>
    </row>
    <row r="43" spans="2:14" ht="15" customHeight="1" x14ac:dyDescent="0.25">
      <c r="B43" s="20"/>
      <c r="C43" s="5" t="s">
        <v>225</v>
      </c>
      <c r="D43" s="6" t="s">
        <v>54</v>
      </c>
      <c r="E43" s="11">
        <v>4.1850000000000004E-3</v>
      </c>
      <c r="F43" s="1"/>
      <c r="G43" s="1"/>
      <c r="H43" s="1"/>
      <c r="I43" s="1"/>
      <c r="J43" s="1"/>
      <c r="K43" s="1"/>
      <c r="L43" s="1"/>
      <c r="M43" s="1"/>
      <c r="N43" s="18"/>
    </row>
    <row r="44" spans="2:14" ht="15.75" customHeight="1" x14ac:dyDescent="0.25">
      <c r="B44" s="20"/>
      <c r="C44" s="5" t="s">
        <v>198</v>
      </c>
      <c r="D44" s="6" t="s">
        <v>54</v>
      </c>
      <c r="E44" s="11">
        <v>3.934E-3</v>
      </c>
      <c r="F44" s="1"/>
      <c r="G44" s="1"/>
      <c r="H44" s="1"/>
      <c r="I44" s="1"/>
      <c r="J44" s="1"/>
      <c r="K44" s="1"/>
      <c r="L44" s="1"/>
      <c r="M44" s="1"/>
      <c r="N44" s="18"/>
    </row>
    <row r="45" spans="2:14" ht="15" customHeight="1" x14ac:dyDescent="0.25">
      <c r="B45" s="20"/>
      <c r="C45" s="5" t="s">
        <v>204</v>
      </c>
      <c r="D45" s="6" t="s">
        <v>54</v>
      </c>
      <c r="E45" s="11">
        <v>3.0720000000000001E-3</v>
      </c>
      <c r="F45" s="1"/>
      <c r="J45" s="1"/>
      <c r="K45" s="1"/>
      <c r="L45" s="1"/>
      <c r="M45" s="1"/>
      <c r="N45" s="18"/>
    </row>
    <row r="46" spans="2:14" ht="15.75" customHeight="1" x14ac:dyDescent="0.25">
      <c r="B46" s="20"/>
      <c r="C46" s="5" t="s">
        <v>229</v>
      </c>
      <c r="D46" s="6" t="s">
        <v>54</v>
      </c>
      <c r="E46" s="11">
        <v>2.9269999999999999E-3</v>
      </c>
      <c r="F46" s="1"/>
      <c r="J46" s="1"/>
      <c r="K46" s="1"/>
      <c r="L46" s="1"/>
      <c r="M46" s="1"/>
      <c r="N46" s="18"/>
    </row>
    <row r="47" spans="2:14" ht="15" customHeight="1" x14ac:dyDescent="0.25">
      <c r="B47" s="20"/>
      <c r="C47" s="5" t="s">
        <v>226</v>
      </c>
      <c r="D47" s="6" t="s">
        <v>54</v>
      </c>
      <c r="E47" s="11">
        <v>2.5070000000000001E-3</v>
      </c>
      <c r="F47" s="1"/>
      <c r="J47" s="1"/>
      <c r="K47" s="1"/>
      <c r="L47" s="1"/>
      <c r="M47" s="1"/>
      <c r="N47" s="18"/>
    </row>
    <row r="48" spans="2:14" ht="15.75" customHeight="1" x14ac:dyDescent="0.25">
      <c r="B48" s="20"/>
      <c r="C48" s="5" t="s">
        <v>219</v>
      </c>
      <c r="D48" s="6" t="s">
        <v>54</v>
      </c>
      <c r="E48" s="11">
        <v>2.1779999999999998E-3</v>
      </c>
      <c r="F48" s="1"/>
      <c r="G48" s="1"/>
      <c r="H48" s="1"/>
      <c r="I48" s="1"/>
      <c r="J48" s="1"/>
      <c r="K48" s="1"/>
      <c r="L48" s="1"/>
      <c r="M48" s="1"/>
      <c r="N48" s="18"/>
    </row>
    <row r="49" spans="2:14" ht="15" customHeight="1" x14ac:dyDescent="0.25">
      <c r="B49" s="20"/>
      <c r="C49" s="5" t="s">
        <v>213</v>
      </c>
      <c r="D49" s="6" t="s">
        <v>54</v>
      </c>
      <c r="E49" s="11">
        <v>2.1740000000000002E-3</v>
      </c>
      <c r="F49" s="1"/>
      <c r="G49" s="1"/>
      <c r="H49" s="1"/>
      <c r="I49" s="1"/>
      <c r="J49" s="1"/>
      <c r="K49" s="1"/>
      <c r="L49" s="1"/>
      <c r="M49" s="1"/>
      <c r="N49" s="18"/>
    </row>
    <row r="50" spans="2:14" ht="15" customHeight="1" x14ac:dyDescent="0.25">
      <c r="B50" s="20"/>
      <c r="C50" s="5" t="s">
        <v>214</v>
      </c>
      <c r="D50" s="6" t="s">
        <v>54</v>
      </c>
      <c r="E50" s="11">
        <v>1.8649999999999999E-3</v>
      </c>
      <c r="F50" s="1"/>
      <c r="G50" s="1"/>
      <c r="H50" s="1"/>
      <c r="I50" s="1"/>
      <c r="J50" s="1"/>
      <c r="K50" s="1"/>
      <c r="L50" s="1"/>
      <c r="M50" s="1"/>
      <c r="N50" s="18"/>
    </row>
    <row r="51" spans="2:14" ht="15" customHeight="1" x14ac:dyDescent="0.25">
      <c r="B51" s="20"/>
      <c r="C51" s="5" t="s">
        <v>215</v>
      </c>
      <c r="D51" s="6" t="s">
        <v>54</v>
      </c>
      <c r="E51" s="11">
        <v>1.56E-3</v>
      </c>
      <c r="F51" s="1"/>
      <c r="G51" s="1"/>
      <c r="H51" s="1"/>
      <c r="I51" s="1"/>
      <c r="J51" s="1"/>
      <c r="K51" s="1"/>
      <c r="L51" s="1"/>
      <c r="M51" s="1"/>
      <c r="N51" s="18"/>
    </row>
    <row r="52" spans="2:14" ht="15" customHeight="1" x14ac:dyDescent="0.25">
      <c r="B52" s="20"/>
      <c r="C52" s="5" t="s">
        <v>222</v>
      </c>
      <c r="D52" s="6" t="s">
        <v>54</v>
      </c>
      <c r="E52" s="11">
        <v>1.5499999999999999E-3</v>
      </c>
      <c r="F52" s="1"/>
      <c r="G52" s="1"/>
      <c r="H52" s="1"/>
      <c r="I52" s="1"/>
      <c r="J52" s="1"/>
      <c r="K52" s="1"/>
      <c r="L52" s="1"/>
      <c r="M52" s="1"/>
      <c r="N52" s="18"/>
    </row>
    <row r="53" spans="2:14" ht="15" customHeight="1" x14ac:dyDescent="0.25">
      <c r="B53" s="20"/>
      <c r="C53" s="5" t="s">
        <v>228</v>
      </c>
      <c r="D53" s="6" t="s">
        <v>54</v>
      </c>
      <c r="E53" s="11">
        <v>1.4630000000000001E-3</v>
      </c>
      <c r="F53" s="1"/>
      <c r="G53" s="1"/>
      <c r="H53" s="1"/>
      <c r="I53" s="1"/>
      <c r="J53" s="1"/>
      <c r="K53" s="1"/>
      <c r="L53" s="1"/>
      <c r="M53" s="1"/>
      <c r="N53" s="18"/>
    </row>
    <row r="54" spans="2:14" ht="15" customHeight="1" x14ac:dyDescent="0.25">
      <c r="B54" s="20"/>
      <c r="C54" s="5" t="s">
        <v>224</v>
      </c>
      <c r="D54" s="6" t="s">
        <v>54</v>
      </c>
      <c r="E54" s="11">
        <v>1.2440000000000001E-3</v>
      </c>
      <c r="F54" s="1"/>
      <c r="G54" s="1"/>
      <c r="H54" s="1"/>
      <c r="I54" s="1"/>
      <c r="J54" s="1"/>
      <c r="K54" s="1"/>
      <c r="L54" s="1"/>
      <c r="M54" s="1"/>
      <c r="N54" s="18"/>
    </row>
    <row r="55" spans="2:14" ht="15" customHeight="1" x14ac:dyDescent="0.25">
      <c r="B55" s="20"/>
      <c r="C55" s="5" t="s">
        <v>212</v>
      </c>
      <c r="D55" s="6" t="s">
        <v>54</v>
      </c>
      <c r="E55" s="11">
        <v>1.238E-3</v>
      </c>
      <c r="F55" s="1"/>
      <c r="G55" s="1"/>
      <c r="H55" s="1"/>
      <c r="I55" s="1"/>
      <c r="J55" s="1"/>
      <c r="K55" s="1"/>
      <c r="L55" s="1"/>
      <c r="M55" s="1"/>
      <c r="N55" s="18"/>
    </row>
    <row r="56" spans="2:14" ht="15" customHeight="1" x14ac:dyDescent="0.25">
      <c r="B56" s="20"/>
      <c r="C56" s="5" t="s">
        <v>223</v>
      </c>
      <c r="D56" s="6" t="s">
        <v>54</v>
      </c>
      <c r="E56" s="11">
        <v>1.2359999999999999E-3</v>
      </c>
      <c r="F56" s="1"/>
      <c r="G56" s="1"/>
      <c r="H56" s="1"/>
      <c r="I56" s="1"/>
      <c r="J56" s="1"/>
      <c r="K56" s="1"/>
      <c r="L56" s="1"/>
      <c r="M56" s="1"/>
      <c r="N56" s="18"/>
    </row>
    <row r="57" spans="2:14" ht="15" customHeight="1" x14ac:dyDescent="0.25">
      <c r="B57" s="20"/>
      <c r="C57" s="5" t="s">
        <v>218</v>
      </c>
      <c r="D57" s="6" t="s">
        <v>54</v>
      </c>
      <c r="E57" s="11">
        <v>9.3300000000000002E-4</v>
      </c>
      <c r="F57" s="1"/>
      <c r="G57" s="1"/>
      <c r="H57" s="1"/>
      <c r="I57" s="1"/>
      <c r="J57" s="1"/>
      <c r="K57" s="1"/>
      <c r="L57" s="1"/>
      <c r="M57" s="1"/>
      <c r="N57" s="18"/>
    </row>
    <row r="58" spans="2:14" ht="15" customHeight="1" x14ac:dyDescent="0.25">
      <c r="B58" s="20"/>
      <c r="C58" s="5" t="s">
        <v>210</v>
      </c>
      <c r="D58" s="6" t="s">
        <v>54</v>
      </c>
      <c r="E58" s="11">
        <v>9.2199999999999997E-4</v>
      </c>
      <c r="F58" s="1"/>
      <c r="G58" s="1"/>
      <c r="H58" s="1"/>
      <c r="I58" s="1"/>
      <c r="J58" s="1"/>
      <c r="K58" s="1"/>
      <c r="L58" s="1"/>
      <c r="M58" s="1"/>
      <c r="N58" s="18"/>
    </row>
    <row r="59" spans="2:14" ht="15" customHeight="1" x14ac:dyDescent="0.25">
      <c r="B59" s="20"/>
      <c r="C59" s="5" t="s">
        <v>216</v>
      </c>
      <c r="D59" s="6" t="s">
        <v>54</v>
      </c>
      <c r="E59" s="11">
        <v>6.2399999999999999E-4</v>
      </c>
      <c r="F59" s="1"/>
      <c r="G59" s="1"/>
      <c r="H59" s="1"/>
      <c r="I59" s="1"/>
      <c r="J59" s="1"/>
      <c r="K59" s="1"/>
      <c r="L59" s="1"/>
      <c r="M59" s="1"/>
      <c r="N59" s="18"/>
    </row>
    <row r="60" spans="2:14" ht="15" customHeight="1" x14ac:dyDescent="0.25">
      <c r="B60" s="20"/>
      <c r="C60" s="5" t="s">
        <v>217</v>
      </c>
      <c r="D60" s="6" t="s">
        <v>54</v>
      </c>
      <c r="E60" s="11">
        <v>6.2200000000000005E-4</v>
      </c>
      <c r="F60" s="1"/>
      <c r="G60" s="1"/>
      <c r="H60" s="1"/>
      <c r="I60" s="1"/>
      <c r="J60" s="1"/>
      <c r="K60" s="1"/>
      <c r="L60" s="1"/>
      <c r="M60" s="1"/>
      <c r="N60" s="18"/>
    </row>
    <row r="61" spans="2:14" ht="15" customHeight="1" x14ac:dyDescent="0.25">
      <c r="B61" s="20"/>
      <c r="C61" s="5" t="s">
        <v>221</v>
      </c>
      <c r="D61" s="6" t="s">
        <v>54</v>
      </c>
      <c r="E61" s="11">
        <v>6.1799999999999995E-4</v>
      </c>
      <c r="F61" s="1"/>
      <c r="G61" s="1"/>
      <c r="H61" s="1"/>
      <c r="I61" s="1"/>
      <c r="J61" s="1"/>
      <c r="K61" s="1"/>
      <c r="L61" s="1"/>
      <c r="M61" s="1"/>
      <c r="N61" s="18"/>
    </row>
    <row r="62" spans="2:14" ht="15" customHeight="1" x14ac:dyDescent="0.25">
      <c r="B62" s="20"/>
      <c r="C62" s="5" t="s">
        <v>220</v>
      </c>
      <c r="D62" s="6" t="s">
        <v>54</v>
      </c>
      <c r="E62" s="11">
        <v>3.1E-4</v>
      </c>
      <c r="F62" s="1"/>
      <c r="G62" s="1"/>
      <c r="H62" s="1"/>
      <c r="I62" s="1"/>
      <c r="J62" s="1"/>
      <c r="K62" s="1"/>
      <c r="L62" s="1"/>
      <c r="M62" s="1"/>
      <c r="N62" s="18"/>
    </row>
    <row r="63" spans="2:14" ht="15" customHeight="1" x14ac:dyDescent="0.25">
      <c r="B63" s="20"/>
      <c r="C63" s="5" t="s">
        <v>227</v>
      </c>
      <c r="D63" s="6" t="s">
        <v>54</v>
      </c>
      <c r="E63" s="11">
        <v>1.45E-4</v>
      </c>
      <c r="F63" s="1"/>
      <c r="G63" s="1"/>
      <c r="H63" s="1"/>
      <c r="I63" s="1"/>
      <c r="J63" s="1"/>
      <c r="K63" s="1"/>
      <c r="L63" s="1"/>
      <c r="M63" s="1"/>
      <c r="N63" s="18"/>
    </row>
    <row r="64" spans="2:14" ht="15" customHeight="1" x14ac:dyDescent="0.25">
      <c r="B64" s="20"/>
      <c r="C64" s="7" t="s">
        <v>58</v>
      </c>
      <c r="D64" s="8"/>
      <c r="E64" s="12">
        <v>5.586E-2</v>
      </c>
      <c r="F64" s="1"/>
      <c r="G64" s="1"/>
      <c r="H64" s="1"/>
      <c r="I64" s="1"/>
      <c r="J64" s="1"/>
      <c r="K64" s="1"/>
      <c r="L64" s="1"/>
      <c r="M64" s="1"/>
      <c r="N64" s="18"/>
    </row>
    <row r="65" spans="2:14" ht="15" customHeight="1" x14ac:dyDescent="0.25">
      <c r="B65" s="20"/>
      <c r="C65" s="5" t="s">
        <v>9</v>
      </c>
      <c r="D65" s="6"/>
      <c r="E65" s="11">
        <v>1.797E-2</v>
      </c>
      <c r="F65" s="1"/>
      <c r="G65" s="1"/>
      <c r="H65" s="1"/>
      <c r="I65" s="1"/>
      <c r="J65" s="1"/>
      <c r="K65" s="1"/>
      <c r="L65" s="1"/>
      <c r="M65" s="1"/>
      <c r="N65" s="18"/>
    </row>
    <row r="66" spans="2:14" ht="15" customHeight="1" x14ac:dyDescent="0.25">
      <c r="B66" s="20"/>
      <c r="C66" s="7" t="s">
        <v>10</v>
      </c>
      <c r="D66" s="8"/>
      <c r="E66" s="12">
        <v>1.797E-2</v>
      </c>
      <c r="F66" s="1"/>
      <c r="G66" s="1"/>
      <c r="H66" s="1"/>
      <c r="I66" s="1"/>
      <c r="J66" s="1"/>
      <c r="K66" s="1"/>
      <c r="L66" s="1"/>
      <c r="M66" s="1"/>
      <c r="N66" s="18"/>
    </row>
    <row r="67" spans="2:14" ht="15" customHeight="1" x14ac:dyDescent="0.25">
      <c r="B67" s="20"/>
      <c r="C67" s="5" t="s">
        <v>38</v>
      </c>
      <c r="D67" s="6" t="s">
        <v>35</v>
      </c>
      <c r="E67" s="11">
        <v>1.17E-4</v>
      </c>
      <c r="F67" s="1"/>
      <c r="G67" s="1"/>
      <c r="H67" s="1"/>
      <c r="I67" s="1"/>
      <c r="J67" s="1"/>
      <c r="K67" s="1"/>
      <c r="L67" s="1"/>
      <c r="M67" s="1"/>
      <c r="N67" s="18"/>
    </row>
    <row r="68" spans="2:14" ht="15" customHeight="1" x14ac:dyDescent="0.25">
      <c r="B68" s="20"/>
      <c r="C68" s="7" t="s">
        <v>106</v>
      </c>
      <c r="D68" s="8"/>
      <c r="E68" s="12">
        <v>1.17E-4</v>
      </c>
      <c r="F68" s="1"/>
      <c r="G68" s="1"/>
      <c r="H68" s="1"/>
      <c r="I68" s="1"/>
      <c r="J68" s="1"/>
      <c r="K68" s="1"/>
      <c r="L68" s="1"/>
      <c r="M68" s="1"/>
      <c r="N68" s="18"/>
    </row>
    <row r="69" spans="2:14" ht="15" customHeight="1" x14ac:dyDescent="0.25">
      <c r="B69" s="20"/>
      <c r="C69" s="5"/>
      <c r="D69" s="6"/>
      <c r="E69" s="11"/>
      <c r="F69" s="1"/>
      <c r="G69" s="1"/>
      <c r="H69" s="1"/>
      <c r="I69" s="1"/>
      <c r="J69" s="1"/>
      <c r="K69" s="1"/>
      <c r="L69" s="1"/>
      <c r="M69" s="1"/>
      <c r="N69" s="18"/>
    </row>
    <row r="70" spans="2:14" ht="15" customHeight="1" x14ac:dyDescent="0.25">
      <c r="B70" s="20"/>
      <c r="C70" s="7" t="s">
        <v>11</v>
      </c>
      <c r="D70" s="8"/>
      <c r="E70" s="12">
        <v>2.6539E-2</v>
      </c>
      <c r="F70" s="1"/>
      <c r="G70" s="1"/>
      <c r="H70" s="1"/>
      <c r="I70" s="1"/>
      <c r="J70" s="1"/>
      <c r="K70" s="1"/>
      <c r="L70" s="1"/>
      <c r="M70" s="1"/>
      <c r="N70" s="18"/>
    </row>
    <row r="71" spans="2:14" ht="15" customHeight="1" x14ac:dyDescent="0.25">
      <c r="B71" s="20"/>
      <c r="C71" s="5"/>
      <c r="D71" s="6"/>
      <c r="E71" s="11"/>
      <c r="F71" s="1"/>
      <c r="G71" s="1"/>
      <c r="H71" s="1"/>
      <c r="I71" s="1"/>
      <c r="J71" s="1"/>
      <c r="K71" s="1"/>
      <c r="L71" s="1"/>
      <c r="M71" s="1"/>
      <c r="N71" s="18"/>
    </row>
    <row r="72" spans="2:14" ht="15" customHeight="1" x14ac:dyDescent="0.25">
      <c r="B72" s="20"/>
      <c r="C72" s="9" t="s">
        <v>12</v>
      </c>
      <c r="D72" s="10"/>
      <c r="E72" s="13">
        <v>1</v>
      </c>
      <c r="F72" s="1"/>
      <c r="G72" s="1"/>
      <c r="H72" s="1"/>
      <c r="I72" s="1"/>
      <c r="J72" s="1"/>
      <c r="K72" s="1"/>
      <c r="L72" s="1"/>
      <c r="M72" s="1"/>
      <c r="N72" s="18"/>
    </row>
    <row r="73" spans="2:14" ht="15" customHeight="1" x14ac:dyDescent="0.25">
      <c r="B73" s="20"/>
      <c r="C73" s="1"/>
      <c r="D73" s="1"/>
      <c r="E73" s="1"/>
      <c r="F73" s="1"/>
      <c r="G73" s="1"/>
      <c r="H73" s="1"/>
      <c r="I73" s="1"/>
      <c r="J73" s="1"/>
      <c r="K73" s="1"/>
      <c r="L73" s="1"/>
      <c r="M73" s="1"/>
      <c r="N73" s="18"/>
    </row>
    <row r="74" spans="2:14" ht="15" customHeight="1" thickBot="1" x14ac:dyDescent="0.3">
      <c r="B74" s="21"/>
      <c r="C74" s="22"/>
      <c r="D74" s="22"/>
      <c r="E74" s="22"/>
      <c r="F74" s="22"/>
      <c r="G74" s="22"/>
      <c r="H74" s="22"/>
      <c r="I74" s="22"/>
      <c r="J74" s="22"/>
      <c r="K74" s="22"/>
      <c r="L74" s="22"/>
      <c r="M74" s="22"/>
      <c r="N74" s="23"/>
    </row>
    <row r="75" spans="2:14" ht="15" customHeight="1" thickBot="1" x14ac:dyDescent="0.3"/>
    <row r="76" spans="2:14" ht="113.25" customHeight="1" thickBot="1" x14ac:dyDescent="0.3">
      <c r="B76" s="34" t="s">
        <v>231</v>
      </c>
      <c r="C76" s="35"/>
      <c r="D76" s="35"/>
      <c r="E76" s="35"/>
      <c r="F76" s="35"/>
      <c r="G76" s="35"/>
      <c r="H76" s="35"/>
      <c r="I76" s="35"/>
      <c r="J76" s="35"/>
      <c r="K76" s="35"/>
      <c r="L76" s="35"/>
      <c r="M76" s="35"/>
      <c r="N76" s="36"/>
    </row>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row r="93" ht="15" customHeight="1" x14ac:dyDescent="0.25"/>
    <row r="94" ht="15" customHeight="1" x14ac:dyDescent="0.25"/>
    <row r="95" ht="15" customHeight="1" x14ac:dyDescent="0.25"/>
    <row r="96" ht="15" customHeight="1" x14ac:dyDescent="0.25"/>
  </sheetData>
  <sortState ref="C42:E63">
    <sortCondition descending="1" ref="E41"/>
  </sortState>
  <mergeCells count="6">
    <mergeCell ref="B76:N76"/>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7495E-9E65-422D-8B92-A0E3856CEDB1}">
  <dimension ref="B1:N51"/>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116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117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118</v>
      </c>
      <c r="D8" s="6" t="s">
        <v>119</v>
      </c>
      <c r="E8" s="11">
        <v>9.5616999999999994E-2</v>
      </c>
      <c r="F8" s="1"/>
      <c r="G8" s="24" t="s">
        <v>16</v>
      </c>
      <c r="H8" s="29">
        <f>37.4865%-E17</f>
        <v>0.36735400000000001</v>
      </c>
      <c r="I8" s="1"/>
      <c r="J8" s="24" t="s">
        <v>13</v>
      </c>
      <c r="K8" s="24" t="s">
        <v>5</v>
      </c>
      <c r="L8" s="1"/>
      <c r="M8" s="1"/>
      <c r="N8" s="18"/>
    </row>
    <row r="9" spans="2:14" ht="15" customHeight="1" x14ac:dyDescent="0.25">
      <c r="B9" s="20"/>
      <c r="C9" s="5" t="s">
        <v>120</v>
      </c>
      <c r="D9" s="6" t="s">
        <v>121</v>
      </c>
      <c r="E9" s="11">
        <v>9.0181999999999998E-2</v>
      </c>
      <c r="F9" s="1"/>
      <c r="G9" s="24" t="s">
        <v>130</v>
      </c>
      <c r="H9" s="29">
        <f>37.261%+E17</f>
        <v>0.38012100000000004</v>
      </c>
      <c r="I9" s="1"/>
      <c r="J9" s="24" t="s">
        <v>11</v>
      </c>
      <c r="K9" s="29">
        <v>1.4364999999999999E-2</v>
      </c>
      <c r="L9" s="1"/>
      <c r="M9" s="1"/>
      <c r="N9" s="18"/>
    </row>
    <row r="10" spans="2:14" ht="15" customHeight="1" x14ac:dyDescent="0.25">
      <c r="B10" s="20"/>
      <c r="C10" s="5" t="s">
        <v>122</v>
      </c>
      <c r="D10" s="6" t="s">
        <v>123</v>
      </c>
      <c r="E10" s="11">
        <v>8.9264999999999997E-2</v>
      </c>
      <c r="F10" s="1"/>
      <c r="G10" s="24" t="s">
        <v>131</v>
      </c>
      <c r="H10" s="29">
        <v>0.16234299999999999</v>
      </c>
      <c r="I10" s="1"/>
      <c r="J10" s="24" t="s">
        <v>14</v>
      </c>
      <c r="K10" s="29">
        <v>4.4616000000000003E-2</v>
      </c>
      <c r="L10" s="1"/>
      <c r="M10" s="1"/>
      <c r="N10" s="18"/>
    </row>
    <row r="11" spans="2:14" ht="15" customHeight="1" x14ac:dyDescent="0.25">
      <c r="B11" s="20"/>
      <c r="C11" s="5" t="s">
        <v>124</v>
      </c>
      <c r="D11" s="6" t="s">
        <v>119</v>
      </c>
      <c r="E11" s="11">
        <v>8.3434999999999995E-2</v>
      </c>
      <c r="F11" s="1"/>
      <c r="G11" s="24" t="s">
        <v>132</v>
      </c>
      <c r="H11" s="29">
        <v>9.0181999999999998E-2</v>
      </c>
      <c r="I11" s="1"/>
      <c r="J11" s="24" t="s">
        <v>66</v>
      </c>
      <c r="K11" s="29">
        <v>0.62358999999999998</v>
      </c>
      <c r="L11" s="1"/>
      <c r="M11" s="1"/>
      <c r="N11" s="18"/>
    </row>
    <row r="12" spans="2:14" ht="15" customHeight="1" x14ac:dyDescent="0.25">
      <c r="B12" s="20"/>
      <c r="C12" s="5" t="s">
        <v>125</v>
      </c>
      <c r="D12" s="6" t="s">
        <v>123</v>
      </c>
      <c r="E12" s="11">
        <v>7.3078000000000004E-2</v>
      </c>
      <c r="F12" s="1"/>
      <c r="G12" s="1"/>
      <c r="H12" s="1"/>
      <c r="I12" s="1"/>
      <c r="J12" s="24" t="s">
        <v>68</v>
      </c>
      <c r="K12" s="29">
        <v>0.13963300000000001</v>
      </c>
      <c r="L12" s="1"/>
      <c r="M12" s="1"/>
      <c r="N12" s="18"/>
    </row>
    <row r="13" spans="2:14" ht="15" customHeight="1" x14ac:dyDescent="0.25">
      <c r="B13" s="20"/>
      <c r="C13" s="5" t="s">
        <v>126</v>
      </c>
      <c r="D13" s="6" t="s">
        <v>35</v>
      </c>
      <c r="E13" s="11">
        <v>7.1923000000000001E-2</v>
      </c>
      <c r="F13" s="1"/>
      <c r="G13" s="1"/>
      <c r="H13" s="1"/>
      <c r="I13" s="1"/>
      <c r="J13" s="24" t="s">
        <v>81</v>
      </c>
      <c r="K13" s="29">
        <v>7.4397000000000005E-2</v>
      </c>
      <c r="L13" s="1"/>
      <c r="M13" s="1"/>
      <c r="N13" s="18"/>
    </row>
    <row r="14" spans="2:14" ht="15" customHeight="1" x14ac:dyDescent="0.25">
      <c r="B14" s="20"/>
      <c r="C14" s="5" t="s">
        <v>235</v>
      </c>
      <c r="D14" s="6" t="s">
        <v>119</v>
      </c>
      <c r="E14" s="11">
        <v>4.5162000000000001E-2</v>
      </c>
      <c r="F14" s="1"/>
      <c r="G14" s="1"/>
      <c r="H14" s="1"/>
      <c r="I14" s="1"/>
      <c r="J14" s="24" t="s">
        <v>107</v>
      </c>
      <c r="K14" s="29">
        <v>0.103399</v>
      </c>
      <c r="L14" s="1"/>
      <c r="M14" s="1"/>
      <c r="N14" s="18"/>
    </row>
    <row r="15" spans="2:14" ht="15" customHeight="1" x14ac:dyDescent="0.25">
      <c r="B15" s="20"/>
      <c r="C15" s="5" t="s">
        <v>236</v>
      </c>
      <c r="D15" s="6" t="s">
        <v>119</v>
      </c>
      <c r="E15" s="11">
        <v>4.4997000000000002E-2</v>
      </c>
      <c r="F15" s="1"/>
      <c r="G15" s="1"/>
      <c r="H15" s="1"/>
      <c r="I15" s="1"/>
      <c r="J15" s="1"/>
      <c r="K15" s="1"/>
      <c r="L15" s="1"/>
      <c r="M15" s="1"/>
      <c r="N15" s="18"/>
    </row>
    <row r="16" spans="2:14" ht="15" customHeight="1" x14ac:dyDescent="0.25">
      <c r="B16" s="20"/>
      <c r="C16" s="5" t="s">
        <v>44</v>
      </c>
      <c r="D16" s="6" t="s">
        <v>35</v>
      </c>
      <c r="E16" s="11">
        <v>2.2419999999999999E-2</v>
      </c>
      <c r="F16" s="1"/>
      <c r="G16" s="1"/>
      <c r="H16" s="1"/>
      <c r="I16" s="1"/>
      <c r="J16" s="1"/>
      <c r="K16" s="1"/>
      <c r="L16" s="1"/>
      <c r="M16" s="1"/>
      <c r="N16" s="18"/>
    </row>
    <row r="17" spans="2:14" ht="15" customHeight="1" x14ac:dyDescent="0.25">
      <c r="B17" s="20"/>
      <c r="C17" s="5" t="s">
        <v>124</v>
      </c>
      <c r="D17" s="6" t="s">
        <v>127</v>
      </c>
      <c r="E17" s="11">
        <v>7.5110000000000003E-3</v>
      </c>
      <c r="F17" s="1"/>
      <c r="G17" s="1"/>
      <c r="H17" s="1"/>
      <c r="I17" s="1"/>
      <c r="J17" s="1"/>
      <c r="K17" s="1"/>
      <c r="L17" s="1"/>
      <c r="M17" s="1"/>
      <c r="N17" s="18"/>
    </row>
    <row r="18" spans="2:14" ht="15.75" customHeight="1" x14ac:dyDescent="0.25">
      <c r="B18" s="20"/>
      <c r="C18" s="7" t="s">
        <v>52</v>
      </c>
      <c r="D18" s="8"/>
      <c r="E18" s="12">
        <v>0.62358999999999998</v>
      </c>
      <c r="F18" s="1"/>
      <c r="G18" s="1"/>
      <c r="H18" s="1"/>
      <c r="I18" s="1"/>
      <c r="J18" s="1"/>
      <c r="K18" s="1"/>
      <c r="L18" s="1"/>
      <c r="M18" s="1"/>
      <c r="N18" s="18"/>
    </row>
    <row r="19" spans="2:14" ht="15" customHeight="1" x14ac:dyDescent="0.25">
      <c r="B19" s="20"/>
      <c r="C19" s="5" t="s">
        <v>128</v>
      </c>
      <c r="D19" s="6" t="s">
        <v>54</v>
      </c>
      <c r="E19" s="11">
        <v>0.12536800000000001</v>
      </c>
      <c r="F19" s="1"/>
      <c r="G19" s="1"/>
      <c r="H19" s="1"/>
      <c r="I19" s="1"/>
      <c r="J19" s="1"/>
      <c r="K19" s="1"/>
      <c r="L19" s="1"/>
      <c r="M19" s="1"/>
      <c r="N19" s="18"/>
    </row>
    <row r="20" spans="2:14" ht="15" customHeight="1" x14ac:dyDescent="0.25">
      <c r="B20" s="20"/>
      <c r="C20" s="5" t="s">
        <v>113</v>
      </c>
      <c r="D20" s="6" t="s">
        <v>54</v>
      </c>
      <c r="E20" s="11">
        <v>1.4265E-2</v>
      </c>
      <c r="F20" s="1"/>
      <c r="G20" s="1"/>
      <c r="H20" s="1"/>
      <c r="I20" s="1"/>
      <c r="J20" s="1"/>
      <c r="K20" s="1"/>
      <c r="L20" s="1"/>
      <c r="M20" s="1"/>
      <c r="N20" s="18"/>
    </row>
    <row r="21" spans="2:14" ht="15.75" customHeight="1" x14ac:dyDescent="0.25">
      <c r="B21" s="20"/>
      <c r="C21" s="7" t="s">
        <v>57</v>
      </c>
      <c r="D21" s="8"/>
      <c r="E21" s="12">
        <v>0.13963300000000001</v>
      </c>
      <c r="F21" s="1"/>
      <c r="G21" s="1"/>
      <c r="H21" s="1"/>
      <c r="I21" s="1"/>
      <c r="J21" s="1"/>
      <c r="K21" s="1"/>
      <c r="L21" s="1"/>
      <c r="M21" s="1"/>
      <c r="N21" s="18"/>
    </row>
    <row r="22" spans="2:14" ht="15" customHeight="1" x14ac:dyDescent="0.25">
      <c r="B22" s="20"/>
      <c r="C22" s="5" t="s">
        <v>86</v>
      </c>
      <c r="D22" s="6" t="s">
        <v>87</v>
      </c>
      <c r="E22" s="11">
        <v>7.4397000000000005E-2</v>
      </c>
      <c r="F22" s="1"/>
      <c r="G22" s="1"/>
      <c r="H22" s="1"/>
      <c r="I22" s="1"/>
      <c r="J22" s="1"/>
      <c r="K22" s="1"/>
      <c r="L22" s="1"/>
      <c r="M22" s="1"/>
      <c r="N22" s="18"/>
    </row>
    <row r="23" spans="2:14" ht="15.75" customHeight="1" x14ac:dyDescent="0.25">
      <c r="B23" s="20"/>
      <c r="C23" s="7" t="s">
        <v>88</v>
      </c>
      <c r="D23" s="8"/>
      <c r="E23" s="12">
        <v>7.4397000000000005E-2</v>
      </c>
      <c r="F23" s="1"/>
      <c r="G23" s="1"/>
      <c r="H23" s="1"/>
      <c r="I23" s="1"/>
      <c r="J23" s="1"/>
      <c r="K23" s="1"/>
      <c r="L23" s="1"/>
      <c r="M23" s="1"/>
      <c r="N23" s="18"/>
    </row>
    <row r="24" spans="2:14" ht="15" customHeight="1" x14ac:dyDescent="0.25">
      <c r="B24" s="20"/>
      <c r="C24" s="5" t="s">
        <v>9</v>
      </c>
      <c r="D24" s="6"/>
      <c r="E24" s="11">
        <v>4.4616000000000003E-2</v>
      </c>
      <c r="F24" s="1"/>
      <c r="G24" s="42" t="s">
        <v>18</v>
      </c>
      <c r="H24" s="43"/>
      <c r="I24" s="43"/>
      <c r="J24" s="43"/>
      <c r="K24" s="43"/>
      <c r="L24" s="26">
        <v>3.51</v>
      </c>
      <c r="M24" s="27"/>
      <c r="N24" s="28"/>
    </row>
    <row r="25" spans="2:14" ht="15.75" customHeight="1" x14ac:dyDescent="0.25">
      <c r="B25" s="20"/>
      <c r="C25" s="7" t="s">
        <v>10</v>
      </c>
      <c r="D25" s="8"/>
      <c r="E25" s="12">
        <v>4.4616000000000003E-2</v>
      </c>
      <c r="F25" s="1"/>
      <c r="G25" s="1"/>
      <c r="H25" s="1"/>
      <c r="I25" s="1"/>
      <c r="J25" s="1"/>
      <c r="K25" s="1"/>
      <c r="L25" s="1"/>
      <c r="M25" s="1"/>
      <c r="N25" s="18"/>
    </row>
    <row r="26" spans="2:14" ht="15" customHeight="1" x14ac:dyDescent="0.25">
      <c r="B26" s="20"/>
      <c r="C26" s="5" t="s">
        <v>129</v>
      </c>
      <c r="D26" s="6" t="s">
        <v>119</v>
      </c>
      <c r="E26" s="11">
        <v>0.103399</v>
      </c>
      <c r="F26" s="1"/>
      <c r="G26" s="42" t="s">
        <v>19</v>
      </c>
      <c r="H26" s="43"/>
      <c r="I26" s="43"/>
      <c r="J26" s="43"/>
      <c r="K26" s="43"/>
      <c r="L26" s="43"/>
      <c r="M26" s="43"/>
      <c r="N26" s="44"/>
    </row>
    <row r="27" spans="2:14" ht="15.75" customHeight="1" x14ac:dyDescent="0.25">
      <c r="B27" s="20"/>
      <c r="C27" s="7" t="s">
        <v>106</v>
      </c>
      <c r="D27" s="8"/>
      <c r="E27" s="12">
        <v>0.103399</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75" customHeight="1" x14ac:dyDescent="0.25">
      <c r="B29" s="20"/>
      <c r="C29" s="7" t="s">
        <v>11</v>
      </c>
      <c r="D29" s="8"/>
      <c r="E29" s="12">
        <v>1.4364999999999999E-2</v>
      </c>
      <c r="F29" s="1"/>
      <c r="G29" s="1"/>
      <c r="H29" s="1"/>
      <c r="I29" s="1"/>
      <c r="J29" s="1"/>
      <c r="K29" s="1"/>
      <c r="L29" s="1"/>
      <c r="M29" s="1"/>
      <c r="N29" s="18"/>
    </row>
    <row r="30" spans="2:14" ht="15" customHeight="1" x14ac:dyDescent="0.25">
      <c r="B30" s="20"/>
      <c r="C30" s="5"/>
      <c r="D30" s="6"/>
      <c r="E30" s="11"/>
      <c r="F30" s="1"/>
      <c r="G30" s="1"/>
      <c r="H30" s="1"/>
      <c r="I30" s="1"/>
      <c r="J30" s="1"/>
      <c r="K30" s="1"/>
      <c r="L30" s="1"/>
      <c r="M30" s="1"/>
      <c r="N30" s="18"/>
    </row>
    <row r="31" spans="2:14" ht="15" customHeight="1" x14ac:dyDescent="0.25">
      <c r="B31" s="20"/>
      <c r="C31" s="9" t="s">
        <v>12</v>
      </c>
      <c r="D31" s="10"/>
      <c r="E31" s="13">
        <v>1</v>
      </c>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t="s">
        <v>233</v>
      </c>
      <c r="D33" s="1"/>
      <c r="E33" s="1"/>
      <c r="F33" s="1"/>
      <c r="G33" s="1"/>
      <c r="H33" s="1"/>
      <c r="I33" s="1"/>
      <c r="J33" s="1"/>
      <c r="K33" s="1"/>
      <c r="L33" s="1"/>
      <c r="M33" s="1"/>
      <c r="N33" s="18"/>
    </row>
    <row r="34" spans="2:14" ht="15" customHeight="1" x14ac:dyDescent="0.25">
      <c r="B34" s="20"/>
      <c r="C34" s="1" t="s">
        <v>237</v>
      </c>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8.75" customHeight="1" thickBot="1" x14ac:dyDescent="0.3">
      <c r="B45" s="34" t="s">
        <v>231</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BA65E-8FBC-49F3-BD88-DC39443AE57A}">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28</v>
      </c>
      <c r="D8" s="6" t="s">
        <v>23</v>
      </c>
      <c r="E8" s="11">
        <v>0.127694</v>
      </c>
      <c r="F8" s="1"/>
      <c r="G8" s="24" t="s">
        <v>16</v>
      </c>
      <c r="H8" s="25">
        <v>1</v>
      </c>
      <c r="I8" s="1"/>
      <c r="J8" s="24" t="s">
        <v>13</v>
      </c>
      <c r="K8" s="24" t="s">
        <v>5</v>
      </c>
      <c r="L8" s="1"/>
      <c r="M8" s="1"/>
      <c r="N8" s="18"/>
    </row>
    <row r="9" spans="2:14" ht="15" customHeight="1" x14ac:dyDescent="0.25">
      <c r="B9" s="20"/>
      <c r="C9" s="5" t="s">
        <v>26</v>
      </c>
      <c r="D9" s="6" t="s">
        <v>23</v>
      </c>
      <c r="E9" s="11">
        <v>0.121112</v>
      </c>
      <c r="F9" s="1"/>
      <c r="G9" s="1"/>
      <c r="H9" s="1"/>
      <c r="I9" s="1"/>
      <c r="J9" s="24" t="s">
        <v>11</v>
      </c>
      <c r="K9" s="29">
        <v>3.0712E-2</v>
      </c>
      <c r="L9" s="1"/>
      <c r="M9" s="1"/>
      <c r="N9" s="18"/>
    </row>
    <row r="10" spans="2:14" ht="15" customHeight="1" x14ac:dyDescent="0.25">
      <c r="B10" s="20"/>
      <c r="C10" s="5" t="s">
        <v>27</v>
      </c>
      <c r="D10" s="6" t="s">
        <v>23</v>
      </c>
      <c r="E10" s="11">
        <v>0.118855</v>
      </c>
      <c r="F10" s="1"/>
      <c r="G10" s="1"/>
      <c r="H10" s="1"/>
      <c r="I10" s="1"/>
      <c r="J10" s="24" t="s">
        <v>14</v>
      </c>
      <c r="K10" s="29">
        <v>4.0540000000000003E-3</v>
      </c>
      <c r="L10" s="1"/>
      <c r="M10" s="1"/>
      <c r="N10" s="18"/>
    </row>
    <row r="11" spans="2:14" ht="15" customHeight="1" x14ac:dyDescent="0.25">
      <c r="B11" s="20"/>
      <c r="C11" s="5" t="s">
        <v>29</v>
      </c>
      <c r="D11" s="6" t="s">
        <v>23</v>
      </c>
      <c r="E11" s="11">
        <v>0.115304</v>
      </c>
      <c r="F11" s="1"/>
      <c r="G11" s="1"/>
      <c r="H11" s="1"/>
      <c r="I11" s="1"/>
      <c r="J11" s="24" t="s">
        <v>65</v>
      </c>
      <c r="K11" s="29">
        <v>0.56283099999999997</v>
      </c>
      <c r="L11" s="1"/>
      <c r="M11" s="1"/>
      <c r="N11" s="18"/>
    </row>
    <row r="12" spans="2:14" ht="15" customHeight="1" x14ac:dyDescent="0.25">
      <c r="B12" s="20"/>
      <c r="C12" s="5" t="s">
        <v>25</v>
      </c>
      <c r="D12" s="6" t="s">
        <v>23</v>
      </c>
      <c r="E12" s="11">
        <v>3.9959000000000001E-2</v>
      </c>
      <c r="F12" s="1"/>
      <c r="G12" s="1"/>
      <c r="H12" s="1"/>
      <c r="I12" s="1"/>
      <c r="J12" s="24" t="s">
        <v>66</v>
      </c>
      <c r="K12" s="29">
        <v>0.22107599999999999</v>
      </c>
      <c r="L12" s="1"/>
      <c r="M12" s="1"/>
      <c r="N12" s="18"/>
    </row>
    <row r="13" spans="2:14" ht="15" customHeight="1" x14ac:dyDescent="0.25">
      <c r="B13" s="20"/>
      <c r="C13" s="5" t="s">
        <v>22</v>
      </c>
      <c r="D13" s="6" t="s">
        <v>23</v>
      </c>
      <c r="E13" s="11">
        <v>3.9906999999999998E-2</v>
      </c>
      <c r="F13" s="1"/>
      <c r="G13" s="1"/>
      <c r="H13" s="1"/>
      <c r="I13" s="1"/>
      <c r="J13" s="24" t="s">
        <v>68</v>
      </c>
      <c r="K13" s="29">
        <v>0.181312</v>
      </c>
      <c r="L13" s="1"/>
      <c r="M13" s="1"/>
      <c r="N13" s="18"/>
    </row>
    <row r="14" spans="2:14" ht="15.75" customHeight="1" x14ac:dyDescent="0.25">
      <c r="B14" s="20"/>
      <c r="C14" s="7" t="s">
        <v>32</v>
      </c>
      <c r="D14" s="8"/>
      <c r="E14" s="12">
        <v>0.56283099999999997</v>
      </c>
      <c r="F14" s="1"/>
      <c r="G14" s="1"/>
      <c r="H14" s="1"/>
      <c r="I14" s="1"/>
      <c r="J14" s="24"/>
      <c r="K14" s="29"/>
      <c r="L14" s="1"/>
      <c r="M14" s="1"/>
      <c r="N14" s="18"/>
    </row>
    <row r="15" spans="2:14" ht="15" customHeight="1" x14ac:dyDescent="0.25">
      <c r="B15" s="20"/>
      <c r="C15" s="5" t="s">
        <v>37</v>
      </c>
      <c r="D15" s="6" t="s">
        <v>35</v>
      </c>
      <c r="E15" s="11">
        <v>0.13892099999999999</v>
      </c>
      <c r="F15" s="1"/>
      <c r="G15" s="1"/>
      <c r="H15" s="1"/>
      <c r="I15" s="1"/>
      <c r="J15" s="1"/>
      <c r="K15" s="1"/>
      <c r="L15" s="1"/>
      <c r="M15" s="1"/>
      <c r="N15" s="18"/>
    </row>
    <row r="16" spans="2:14" ht="15" customHeight="1" x14ac:dyDescent="0.25">
      <c r="B16" s="20"/>
      <c r="C16" s="5" t="s">
        <v>31</v>
      </c>
      <c r="D16" s="6" t="s">
        <v>35</v>
      </c>
      <c r="E16" s="11">
        <v>4.1348999999999997E-2</v>
      </c>
      <c r="F16" s="1"/>
      <c r="G16" s="1"/>
      <c r="H16" s="1"/>
      <c r="I16" s="1"/>
      <c r="J16" s="1"/>
      <c r="K16" s="1"/>
      <c r="L16" s="1"/>
      <c r="M16" s="1"/>
      <c r="N16" s="18"/>
    </row>
    <row r="17" spans="2:14" ht="15" customHeight="1" x14ac:dyDescent="0.25">
      <c r="B17" s="20"/>
      <c r="C17" s="5" t="s">
        <v>45</v>
      </c>
      <c r="D17" s="6" t="s">
        <v>35</v>
      </c>
      <c r="E17" s="11">
        <v>1.6461E-2</v>
      </c>
      <c r="F17" s="1"/>
      <c r="G17" s="1"/>
      <c r="H17" s="1"/>
      <c r="I17" s="1"/>
      <c r="J17" s="1"/>
      <c r="K17" s="1"/>
      <c r="L17" s="1"/>
      <c r="M17" s="1"/>
      <c r="N17" s="18"/>
    </row>
    <row r="18" spans="2:14" ht="15" customHeight="1" x14ac:dyDescent="0.25">
      <c r="B18" s="20"/>
      <c r="C18" s="5" t="s">
        <v>33</v>
      </c>
      <c r="D18" s="6" t="s">
        <v>35</v>
      </c>
      <c r="E18" s="11">
        <v>1.6303000000000002E-2</v>
      </c>
      <c r="F18" s="1"/>
      <c r="G18" s="1"/>
      <c r="H18" s="1"/>
      <c r="I18" s="1"/>
      <c r="J18" s="1"/>
      <c r="K18" s="1"/>
      <c r="L18" s="1"/>
      <c r="M18" s="1"/>
      <c r="N18" s="18"/>
    </row>
    <row r="19" spans="2:14" ht="15" customHeight="1" x14ac:dyDescent="0.25">
      <c r="B19" s="20"/>
      <c r="C19" s="5" t="s">
        <v>39</v>
      </c>
      <c r="D19" s="6" t="s">
        <v>35</v>
      </c>
      <c r="E19" s="11">
        <v>8.0420000000000005E-3</v>
      </c>
      <c r="F19" s="1"/>
      <c r="G19" s="1"/>
      <c r="H19" s="1"/>
      <c r="I19" s="1"/>
      <c r="J19" s="1"/>
      <c r="K19" s="1"/>
      <c r="L19" s="1"/>
      <c r="M19" s="1"/>
      <c r="N19" s="18"/>
    </row>
    <row r="20" spans="2:14" ht="15.75" customHeight="1" x14ac:dyDescent="0.25">
      <c r="B20" s="20"/>
      <c r="C20" s="7" t="s">
        <v>52</v>
      </c>
      <c r="D20" s="8"/>
      <c r="E20" s="12">
        <v>0.22107599999999999</v>
      </c>
      <c r="F20" s="1"/>
      <c r="G20" s="1"/>
      <c r="H20" s="1"/>
      <c r="I20" s="1"/>
      <c r="J20" s="1"/>
      <c r="K20" s="1"/>
      <c r="L20" s="1"/>
      <c r="M20" s="1"/>
      <c r="N20" s="18"/>
    </row>
    <row r="21" spans="2:14" ht="15" customHeight="1" x14ac:dyDescent="0.25">
      <c r="B21" s="20"/>
      <c r="C21" s="5" t="s">
        <v>73</v>
      </c>
      <c r="D21" s="6" t="s">
        <v>54</v>
      </c>
      <c r="E21" s="11">
        <v>0.181312</v>
      </c>
      <c r="F21" s="1"/>
      <c r="G21" s="1"/>
      <c r="H21" s="1"/>
      <c r="I21" s="1"/>
      <c r="J21" s="1"/>
      <c r="K21" s="1"/>
      <c r="L21" s="1"/>
      <c r="M21" s="1"/>
      <c r="N21" s="18"/>
    </row>
    <row r="22" spans="2:14" ht="15.75" customHeight="1" x14ac:dyDescent="0.25">
      <c r="B22" s="20"/>
      <c r="C22" s="7" t="s">
        <v>57</v>
      </c>
      <c r="D22" s="8"/>
      <c r="E22" s="12">
        <v>0.181312</v>
      </c>
      <c r="F22" s="1"/>
      <c r="G22" s="1"/>
      <c r="H22" s="1"/>
      <c r="I22" s="1"/>
      <c r="J22" s="1"/>
      <c r="K22" s="1"/>
      <c r="L22" s="1"/>
      <c r="M22" s="1"/>
      <c r="N22" s="18"/>
    </row>
    <row r="23" spans="2:14" ht="15" customHeight="1" x14ac:dyDescent="0.25">
      <c r="B23" s="20"/>
      <c r="C23" s="5" t="s">
        <v>9</v>
      </c>
      <c r="D23" s="6"/>
      <c r="E23" s="11">
        <v>4.0540000000000003E-3</v>
      </c>
      <c r="F23" s="1"/>
      <c r="G23" s="1"/>
      <c r="H23" s="1"/>
      <c r="I23" s="1"/>
      <c r="J23" s="1"/>
      <c r="K23" s="1"/>
      <c r="L23" s="1"/>
      <c r="M23" s="1"/>
      <c r="N23" s="18"/>
    </row>
    <row r="24" spans="2:14" ht="15.75" customHeight="1" x14ac:dyDescent="0.25">
      <c r="B24" s="20"/>
      <c r="C24" s="7" t="s">
        <v>10</v>
      </c>
      <c r="D24" s="8"/>
      <c r="E24" s="12">
        <v>4.0540000000000003E-3</v>
      </c>
      <c r="F24" s="1"/>
      <c r="G24" s="42" t="s">
        <v>18</v>
      </c>
      <c r="H24" s="43"/>
      <c r="I24" s="43"/>
      <c r="J24" s="43"/>
      <c r="K24" s="43"/>
      <c r="L24" s="26">
        <v>1.1200000000000001</v>
      </c>
      <c r="M24" s="27"/>
      <c r="N24" s="28"/>
    </row>
    <row r="25" spans="2:14" ht="15" customHeight="1" x14ac:dyDescent="0.25">
      <c r="B25" s="20"/>
      <c r="C25" s="5"/>
      <c r="D25" s="6"/>
      <c r="E25" s="11"/>
      <c r="F25" s="1"/>
      <c r="G25" s="1"/>
      <c r="H25" s="1"/>
      <c r="I25" s="1"/>
      <c r="J25" s="1"/>
      <c r="K25" s="1"/>
      <c r="L25" s="1"/>
      <c r="M25" s="1"/>
      <c r="N25" s="18"/>
    </row>
    <row r="26" spans="2:14" ht="15.75" customHeight="1" x14ac:dyDescent="0.25">
      <c r="B26" s="20"/>
      <c r="C26" s="7" t="s">
        <v>11</v>
      </c>
      <c r="D26" s="8"/>
      <c r="E26" s="12">
        <v>3.0712E-2</v>
      </c>
      <c r="F26" s="1"/>
      <c r="G26" s="42" t="s">
        <v>19</v>
      </c>
      <c r="H26" s="43"/>
      <c r="I26" s="43"/>
      <c r="J26" s="43"/>
      <c r="K26" s="43"/>
      <c r="L26" s="43"/>
      <c r="M26" s="43"/>
      <c r="N26" s="44"/>
    </row>
    <row r="27" spans="2:14" ht="15" customHeight="1" x14ac:dyDescent="0.25">
      <c r="B27" s="20"/>
      <c r="C27" s="5"/>
      <c r="D27" s="6"/>
      <c r="E27" s="11"/>
      <c r="F27" s="1"/>
      <c r="G27" s="1"/>
      <c r="H27" s="1"/>
      <c r="I27" s="1"/>
      <c r="J27" s="1"/>
      <c r="K27" s="1"/>
      <c r="L27" s="1"/>
      <c r="M27" s="1"/>
      <c r="N27" s="18"/>
    </row>
    <row r="28" spans="2:14" ht="15.75" customHeight="1" x14ac:dyDescent="0.25">
      <c r="B28" s="20"/>
      <c r="C28" s="9" t="s">
        <v>12</v>
      </c>
      <c r="D28" s="10"/>
      <c r="E28" s="13">
        <v>1</v>
      </c>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31" t="s">
        <v>145</v>
      </c>
      <c r="D30" s="31"/>
      <c r="E30" s="32">
        <v>0.61526199999999998</v>
      </c>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7.25" customHeight="1" thickBot="1" x14ac:dyDescent="0.3">
      <c r="B45" s="34" t="s">
        <v>231</v>
      </c>
      <c r="C45" s="35"/>
      <c r="D45" s="35"/>
      <c r="E45" s="35"/>
      <c r="F45" s="35"/>
      <c r="G45" s="35"/>
      <c r="H45" s="35"/>
      <c r="I45" s="35"/>
      <c r="J45" s="35"/>
      <c r="K45" s="35"/>
      <c r="L45" s="35"/>
      <c r="M45" s="35"/>
      <c r="N45" s="36"/>
    </row>
    <row r="46" spans="2:14" ht="15" customHeight="1" x14ac:dyDescent="0.25"/>
    <row r="47" spans="2:14" ht="15" customHeight="1" x14ac:dyDescent="0.25"/>
    <row r="48" spans="2:14" ht="15" customHeight="1" x14ac:dyDescent="0.25"/>
    <row r="49" ht="15" customHeight="1" x14ac:dyDescent="0.25"/>
    <row r="50"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EA5B2-208F-4C00-BC70-1C769B344739}">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133</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134</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77</v>
      </c>
      <c r="D8" s="6" t="s">
        <v>54</v>
      </c>
      <c r="E8" s="11">
        <v>0.480877</v>
      </c>
      <c r="F8" s="1"/>
      <c r="G8" s="24" t="s">
        <v>16</v>
      </c>
      <c r="H8" s="25">
        <v>1</v>
      </c>
      <c r="I8" s="1"/>
      <c r="J8" s="24" t="s">
        <v>13</v>
      </c>
      <c r="K8" s="24" t="s">
        <v>5</v>
      </c>
      <c r="L8" s="1"/>
      <c r="M8" s="1"/>
      <c r="N8" s="18"/>
    </row>
    <row r="9" spans="2:14" ht="15" customHeight="1" x14ac:dyDescent="0.25">
      <c r="B9" s="20"/>
      <c r="C9" s="5" t="s">
        <v>85</v>
      </c>
      <c r="D9" s="6" t="s">
        <v>54</v>
      </c>
      <c r="E9" s="11">
        <v>0.31971300000000002</v>
      </c>
      <c r="F9" s="1"/>
      <c r="G9" s="1"/>
      <c r="H9" s="1"/>
      <c r="I9" s="1"/>
      <c r="J9" s="24" t="s">
        <v>11</v>
      </c>
      <c r="K9" s="29">
        <v>1.0355E-2</v>
      </c>
      <c r="L9" s="1"/>
      <c r="M9" s="1"/>
      <c r="N9" s="18"/>
    </row>
    <row r="10" spans="2:14" ht="15" customHeight="1" x14ac:dyDescent="0.25">
      <c r="B10" s="20"/>
      <c r="C10" s="5" t="s">
        <v>135</v>
      </c>
      <c r="D10" s="6" t="s">
        <v>54</v>
      </c>
      <c r="E10" s="11">
        <v>0.14879800000000001</v>
      </c>
      <c r="F10" s="1"/>
      <c r="G10" s="1"/>
      <c r="H10" s="1"/>
      <c r="I10" s="1"/>
      <c r="J10" s="24" t="s">
        <v>14</v>
      </c>
      <c r="K10" s="29">
        <v>3.2502999999999997E-2</v>
      </c>
      <c r="L10" s="1"/>
      <c r="M10" s="1"/>
      <c r="N10" s="18"/>
    </row>
    <row r="11" spans="2:14" ht="15.75" customHeight="1" x14ac:dyDescent="0.25">
      <c r="B11" s="20"/>
      <c r="C11" s="7" t="s">
        <v>57</v>
      </c>
      <c r="D11" s="8"/>
      <c r="E11" s="12">
        <v>0.94938800000000001</v>
      </c>
      <c r="F11" s="1"/>
      <c r="G11" s="1"/>
      <c r="H11" s="1"/>
      <c r="I11" s="1"/>
      <c r="J11" s="24" t="s">
        <v>68</v>
      </c>
      <c r="K11" s="29">
        <v>0.94938800000000001</v>
      </c>
      <c r="L11" s="1"/>
      <c r="M11" s="1"/>
      <c r="N11" s="18"/>
    </row>
    <row r="12" spans="2:14" ht="15" customHeight="1" x14ac:dyDescent="0.25">
      <c r="B12" s="20"/>
      <c r="C12" s="5" t="s">
        <v>136</v>
      </c>
      <c r="D12" s="6" t="s">
        <v>54</v>
      </c>
      <c r="E12" s="11">
        <v>4.4289999999999998E-3</v>
      </c>
      <c r="F12" s="1"/>
      <c r="G12" s="1"/>
      <c r="H12" s="1"/>
      <c r="I12" s="1"/>
      <c r="J12" s="24" t="s">
        <v>70</v>
      </c>
      <c r="K12" s="29">
        <v>7.7539999999999996E-3</v>
      </c>
      <c r="L12" s="1"/>
      <c r="M12" s="1"/>
      <c r="N12" s="18"/>
    </row>
    <row r="13" spans="2:14" ht="15" customHeight="1" x14ac:dyDescent="0.25">
      <c r="B13" s="20"/>
      <c r="C13" s="5" t="s">
        <v>101</v>
      </c>
      <c r="D13" s="6" t="s">
        <v>54</v>
      </c>
      <c r="E13" s="11">
        <v>3.3249999999999998E-3</v>
      </c>
      <c r="F13" s="1"/>
      <c r="G13" s="1"/>
      <c r="H13" s="1"/>
      <c r="I13" s="1"/>
      <c r="J13" s="1"/>
      <c r="K13" s="1"/>
      <c r="L13" s="1"/>
      <c r="M13" s="1"/>
      <c r="N13" s="18"/>
    </row>
    <row r="14" spans="2:14" ht="15.75" customHeight="1" x14ac:dyDescent="0.25">
      <c r="B14" s="20"/>
      <c r="C14" s="7" t="s">
        <v>64</v>
      </c>
      <c r="D14" s="8"/>
      <c r="E14" s="12">
        <v>7.7539999999999996E-3</v>
      </c>
      <c r="F14" s="1"/>
      <c r="G14" s="1"/>
      <c r="H14" s="1"/>
      <c r="I14" s="1"/>
      <c r="J14" s="1"/>
      <c r="K14" s="1"/>
      <c r="L14" s="1"/>
      <c r="M14" s="1"/>
      <c r="N14" s="18"/>
    </row>
    <row r="15" spans="2:14" ht="15" customHeight="1" x14ac:dyDescent="0.25">
      <c r="B15" s="20"/>
      <c r="C15" s="5" t="s">
        <v>9</v>
      </c>
      <c r="D15" s="6"/>
      <c r="E15" s="11">
        <v>3.2502999999999997E-2</v>
      </c>
      <c r="F15" s="1"/>
      <c r="G15" s="1"/>
      <c r="H15" s="1"/>
      <c r="I15" s="1"/>
      <c r="J15" s="1"/>
      <c r="K15" s="1"/>
      <c r="L15" s="1"/>
      <c r="M15" s="1"/>
      <c r="N15" s="18"/>
    </row>
    <row r="16" spans="2:14" ht="15.75" customHeight="1" x14ac:dyDescent="0.25">
      <c r="B16" s="20"/>
      <c r="C16" s="7" t="s">
        <v>10</v>
      </c>
      <c r="D16" s="8"/>
      <c r="E16" s="12">
        <v>3.2502999999999997E-2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1.0355E-2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4.47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8" customHeight="1" thickBot="1" x14ac:dyDescent="0.3">
      <c r="B45" s="34" t="s">
        <v>231</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0E8D9-C47D-4337-8DF8-8E4E2C9AB5C6}">
  <dimension ref="B1:N45"/>
  <sheetViews>
    <sheetView showGridLines="0" zoomScale="75" zoomScaleNormal="75" workbookViewId="0">
      <selection activeCell="E18" activeCellId="3" sqref="E11 E14 E16 E18"/>
    </sheetView>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137</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138</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128</v>
      </c>
      <c r="D8" s="6" t="s">
        <v>54</v>
      </c>
      <c r="E8" s="11">
        <v>0.67239700000000002</v>
      </c>
      <c r="F8" s="1"/>
      <c r="G8" s="24" t="s">
        <v>16</v>
      </c>
      <c r="H8" s="25">
        <v>1</v>
      </c>
      <c r="I8" s="1"/>
      <c r="J8" s="24" t="s">
        <v>13</v>
      </c>
      <c r="K8" s="24" t="s">
        <v>5</v>
      </c>
      <c r="L8" s="1"/>
      <c r="M8" s="1"/>
      <c r="N8" s="18"/>
    </row>
    <row r="9" spans="2:14" ht="15" customHeight="1" x14ac:dyDescent="0.25">
      <c r="B9" s="20"/>
      <c r="C9" s="5" t="s">
        <v>84</v>
      </c>
      <c r="D9" s="6" t="s">
        <v>54</v>
      </c>
      <c r="E9" s="11">
        <v>0.17429500000000001</v>
      </c>
      <c r="F9" s="1"/>
      <c r="G9" s="1"/>
      <c r="H9" s="1"/>
      <c r="I9" s="1"/>
      <c r="J9" s="24" t="s">
        <v>11</v>
      </c>
      <c r="K9" s="29">
        <v>1.4224000000000001E-2</v>
      </c>
      <c r="L9" s="1"/>
      <c r="M9" s="1"/>
      <c r="N9" s="18"/>
    </row>
    <row r="10" spans="2:14" ht="15" customHeight="1" x14ac:dyDescent="0.25">
      <c r="B10" s="20"/>
      <c r="C10" s="5" t="s">
        <v>135</v>
      </c>
      <c r="D10" s="6" t="s">
        <v>54</v>
      </c>
      <c r="E10" s="11">
        <v>9.9422999999999997E-2</v>
      </c>
      <c r="F10" s="1"/>
      <c r="G10" s="1"/>
      <c r="H10" s="1"/>
      <c r="I10" s="1"/>
      <c r="J10" s="24" t="s">
        <v>14</v>
      </c>
      <c r="K10" s="29">
        <v>3.1220000000000001E-2</v>
      </c>
      <c r="L10" s="1"/>
      <c r="M10" s="1"/>
      <c r="N10" s="18"/>
    </row>
    <row r="11" spans="2:14" ht="15.75" customHeight="1" x14ac:dyDescent="0.25">
      <c r="B11" s="20"/>
      <c r="C11" s="7" t="s">
        <v>57</v>
      </c>
      <c r="D11" s="8"/>
      <c r="E11" s="12">
        <v>0.94611500000000004</v>
      </c>
      <c r="F11" s="1"/>
      <c r="G11" s="1"/>
      <c r="H11" s="1"/>
      <c r="I11" s="1"/>
      <c r="J11" s="24" t="s">
        <v>68</v>
      </c>
      <c r="K11" s="29">
        <v>0.94611500000000004</v>
      </c>
      <c r="L11" s="1"/>
      <c r="M11" s="1"/>
      <c r="N11" s="18"/>
    </row>
    <row r="12" spans="2:14" ht="15" customHeight="1" x14ac:dyDescent="0.25">
      <c r="B12" s="20"/>
      <c r="C12" s="5" t="s">
        <v>136</v>
      </c>
      <c r="D12" s="6" t="s">
        <v>54</v>
      </c>
      <c r="E12" s="11">
        <v>4.8199999999999996E-3</v>
      </c>
      <c r="F12" s="1"/>
      <c r="G12" s="1"/>
      <c r="H12" s="1"/>
      <c r="I12" s="1"/>
      <c r="J12" s="24" t="s">
        <v>70</v>
      </c>
      <c r="K12" s="29">
        <v>8.4410000000000006E-3</v>
      </c>
      <c r="L12" s="1"/>
      <c r="M12" s="1"/>
      <c r="N12" s="18"/>
    </row>
    <row r="13" spans="2:14" ht="15" customHeight="1" x14ac:dyDescent="0.25">
      <c r="B13" s="20"/>
      <c r="C13" s="5" t="s">
        <v>101</v>
      </c>
      <c r="D13" s="6" t="s">
        <v>54</v>
      </c>
      <c r="E13" s="11">
        <v>3.6210000000000001E-3</v>
      </c>
      <c r="F13" s="1"/>
      <c r="G13" s="1"/>
      <c r="H13" s="1"/>
      <c r="I13" s="1"/>
      <c r="J13" s="1"/>
      <c r="K13" s="1"/>
      <c r="L13" s="1"/>
      <c r="M13" s="1"/>
      <c r="N13" s="18"/>
    </row>
    <row r="14" spans="2:14" ht="15.75" customHeight="1" x14ac:dyDescent="0.25">
      <c r="B14" s="20"/>
      <c r="C14" s="7" t="s">
        <v>64</v>
      </c>
      <c r="D14" s="8"/>
      <c r="E14" s="12">
        <v>8.4410000000000006E-3</v>
      </c>
      <c r="F14" s="1"/>
      <c r="G14" s="1"/>
      <c r="H14" s="1"/>
      <c r="I14" s="1"/>
      <c r="J14" s="1"/>
      <c r="K14" s="1"/>
      <c r="L14" s="1"/>
      <c r="M14" s="1"/>
      <c r="N14" s="18"/>
    </row>
    <row r="15" spans="2:14" ht="15" customHeight="1" x14ac:dyDescent="0.25">
      <c r="B15" s="20"/>
      <c r="C15" s="5" t="s">
        <v>9</v>
      </c>
      <c r="D15" s="6"/>
      <c r="E15" s="11">
        <v>3.1220000000000001E-2</v>
      </c>
      <c r="F15" s="1"/>
      <c r="G15" s="1"/>
      <c r="H15" s="1"/>
      <c r="I15" s="1"/>
      <c r="J15" s="1"/>
      <c r="K15" s="1"/>
      <c r="L15" s="1"/>
      <c r="M15" s="1"/>
      <c r="N15" s="18"/>
    </row>
    <row r="16" spans="2:14" ht="15.75" customHeight="1" x14ac:dyDescent="0.25">
      <c r="B16" s="20"/>
      <c r="C16" s="7" t="s">
        <v>10</v>
      </c>
      <c r="D16" s="8"/>
      <c r="E16" s="12">
        <v>3.1220000000000001E-2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1.4224000000000001E-2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5.04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0.25" customHeight="1" thickBot="1" x14ac:dyDescent="0.3">
      <c r="B45" s="34" t="s">
        <v>231</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6AC23-BD54-4A9D-B51C-2094FF708948}">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146</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147</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73</v>
      </c>
      <c r="D8" s="6" t="s">
        <v>54</v>
      </c>
      <c r="E8" s="11">
        <v>0.97249600000000003</v>
      </c>
      <c r="F8" s="1"/>
      <c r="G8" s="24" t="s">
        <v>16</v>
      </c>
      <c r="H8" s="25">
        <v>1</v>
      </c>
      <c r="I8" s="1"/>
      <c r="J8" s="24" t="s">
        <v>13</v>
      </c>
      <c r="K8" s="24" t="s">
        <v>5</v>
      </c>
      <c r="L8" s="1"/>
      <c r="M8" s="1"/>
      <c r="N8" s="18"/>
    </row>
    <row r="9" spans="2:14" ht="15" customHeight="1" x14ac:dyDescent="0.25">
      <c r="B9" s="20"/>
      <c r="C9" s="5" t="s">
        <v>141</v>
      </c>
      <c r="D9" s="6" t="s">
        <v>54</v>
      </c>
      <c r="E9" s="11">
        <v>5.4539999999999996E-3</v>
      </c>
      <c r="F9" s="1"/>
      <c r="G9" s="1"/>
      <c r="H9" s="1"/>
      <c r="I9" s="1"/>
      <c r="J9" s="24" t="s">
        <v>11</v>
      </c>
      <c r="K9" s="29">
        <v>2.1555999999999999E-2</v>
      </c>
      <c r="L9" s="1"/>
      <c r="M9" s="1"/>
      <c r="N9" s="18"/>
    </row>
    <row r="10" spans="2:14" ht="15" customHeight="1" x14ac:dyDescent="0.25">
      <c r="B10" s="20"/>
      <c r="C10" s="5" t="s">
        <v>128</v>
      </c>
      <c r="D10" s="6" t="s">
        <v>54</v>
      </c>
      <c r="E10" s="30">
        <v>4.5000000000000003E-5</v>
      </c>
      <c r="F10" s="1"/>
      <c r="G10" s="1"/>
      <c r="H10" s="1"/>
      <c r="I10" s="1"/>
      <c r="J10" s="24" t="s">
        <v>14</v>
      </c>
      <c r="K10" s="29">
        <v>4.4900000000000002E-4</v>
      </c>
      <c r="L10" s="1"/>
      <c r="M10" s="1"/>
      <c r="N10" s="18"/>
    </row>
    <row r="11" spans="2:14" ht="15.75" customHeight="1" x14ac:dyDescent="0.25">
      <c r="B11" s="20"/>
      <c r="C11" s="7" t="s">
        <v>57</v>
      </c>
      <c r="D11" s="8"/>
      <c r="E11" s="12">
        <v>0.97799499999999995</v>
      </c>
      <c r="F11" s="1"/>
      <c r="G11" s="1"/>
      <c r="H11" s="1"/>
      <c r="I11" s="1"/>
      <c r="J11" s="24" t="s">
        <v>68</v>
      </c>
      <c r="K11" s="29">
        <v>0.97799499999999995</v>
      </c>
      <c r="L11" s="1"/>
      <c r="M11" s="1"/>
      <c r="N11" s="18"/>
    </row>
    <row r="12" spans="2:14" ht="15" customHeight="1" x14ac:dyDescent="0.25">
      <c r="B12" s="20"/>
      <c r="C12" s="5" t="s">
        <v>9</v>
      </c>
      <c r="D12" s="6"/>
      <c r="E12" s="11">
        <v>4.4900000000000002E-4</v>
      </c>
      <c r="F12" s="1"/>
      <c r="G12" s="1"/>
      <c r="H12" s="1"/>
      <c r="I12" s="1"/>
      <c r="J12" s="1"/>
      <c r="K12" s="1"/>
      <c r="L12" s="1"/>
      <c r="M12" s="1"/>
      <c r="N12" s="18"/>
    </row>
    <row r="13" spans="2:14" ht="15.75" customHeight="1" x14ac:dyDescent="0.25">
      <c r="B13" s="20"/>
      <c r="C13" s="7" t="s">
        <v>10</v>
      </c>
      <c r="D13" s="8"/>
      <c r="E13" s="12">
        <v>4.4900000000000002E-4</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2.1555999999999999E-2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3.62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4.75" customHeight="1" thickBot="1" x14ac:dyDescent="0.3">
      <c r="B45" s="34" t="s">
        <v>231</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37E01-2AD8-4066-A0C1-81ADC9C25553}">
  <dimension ref="B1:N45"/>
  <sheetViews>
    <sheetView showGridLines="0" zoomScale="75" zoomScaleNormal="75" workbookViewId="0"/>
  </sheetViews>
  <sheetFormatPr defaultRowHeight="15" x14ac:dyDescent="0.25"/>
  <cols>
    <col min="1" max="1" width="2.85546875" customWidth="1"/>
    <col min="2" max="2" width="3.85546875" customWidth="1"/>
    <col min="3" max="3" width="5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148</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149</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150</v>
      </c>
      <c r="D8" s="6" t="s">
        <v>54</v>
      </c>
      <c r="E8" s="11">
        <v>0.93978600000000001</v>
      </c>
      <c r="F8" s="1"/>
      <c r="G8" s="24" t="s">
        <v>16</v>
      </c>
      <c r="H8" s="25">
        <v>1</v>
      </c>
      <c r="I8" s="1"/>
      <c r="J8" s="24" t="s">
        <v>13</v>
      </c>
      <c r="K8" s="24" t="s">
        <v>5</v>
      </c>
      <c r="L8" s="1"/>
      <c r="M8" s="1"/>
      <c r="N8" s="18"/>
    </row>
    <row r="9" spans="2:14" ht="15" customHeight="1" x14ac:dyDescent="0.25">
      <c r="B9" s="20"/>
      <c r="C9" s="5" t="s">
        <v>85</v>
      </c>
      <c r="D9" s="6" t="s">
        <v>54</v>
      </c>
      <c r="E9" s="11">
        <v>1.0351000000000001E-2</v>
      </c>
      <c r="F9" s="1"/>
      <c r="G9" s="1"/>
      <c r="H9" s="1"/>
      <c r="I9" s="1"/>
      <c r="J9" s="24" t="s">
        <v>11</v>
      </c>
      <c r="K9" s="29">
        <v>2.4634E-2</v>
      </c>
      <c r="L9" s="1"/>
      <c r="M9" s="1"/>
      <c r="N9" s="18"/>
    </row>
    <row r="10" spans="2:14" ht="15" customHeight="1" x14ac:dyDescent="0.25">
      <c r="B10" s="20"/>
      <c r="C10" s="5" t="s">
        <v>128</v>
      </c>
      <c r="D10" s="6" t="s">
        <v>54</v>
      </c>
      <c r="E10" s="11">
        <v>8.0630000000000007E-3</v>
      </c>
      <c r="F10" s="1"/>
      <c r="G10" s="1"/>
      <c r="H10" s="1"/>
      <c r="I10" s="1"/>
      <c r="J10" s="24" t="s">
        <v>14</v>
      </c>
      <c r="K10" s="29">
        <v>1.0303E-2</v>
      </c>
      <c r="L10" s="1"/>
      <c r="M10" s="1"/>
      <c r="N10" s="18"/>
    </row>
    <row r="11" spans="2:14" ht="15" customHeight="1" x14ac:dyDescent="0.25">
      <c r="B11" s="20"/>
      <c r="C11" s="5" t="s">
        <v>77</v>
      </c>
      <c r="D11" s="6" t="s">
        <v>54</v>
      </c>
      <c r="E11" s="11">
        <v>6.8630000000000002E-3</v>
      </c>
      <c r="F11" s="1"/>
      <c r="G11" s="1"/>
      <c r="H11" s="1"/>
      <c r="I11" s="1"/>
      <c r="J11" s="24" t="s">
        <v>68</v>
      </c>
      <c r="K11" s="29">
        <v>0.965063</v>
      </c>
      <c r="L11" s="1"/>
      <c r="M11" s="1"/>
      <c r="N11" s="18"/>
    </row>
    <row r="12" spans="2:14" ht="15.75" customHeight="1" x14ac:dyDescent="0.25">
      <c r="B12" s="20"/>
      <c r="C12" s="7" t="s">
        <v>57</v>
      </c>
      <c r="D12" s="8"/>
      <c r="E12" s="12">
        <v>0.965063</v>
      </c>
      <c r="F12" s="1"/>
      <c r="G12" s="1"/>
      <c r="H12" s="1"/>
      <c r="I12" s="1"/>
      <c r="J12" s="1"/>
      <c r="K12" s="1"/>
      <c r="L12" s="1"/>
      <c r="M12" s="1"/>
      <c r="N12" s="18"/>
    </row>
    <row r="13" spans="2:14" ht="15" customHeight="1" x14ac:dyDescent="0.25">
      <c r="B13" s="20"/>
      <c r="C13" s="5" t="s">
        <v>9</v>
      </c>
      <c r="D13" s="6"/>
      <c r="E13" s="11">
        <v>1.0303E-2</v>
      </c>
      <c r="F13" s="1"/>
      <c r="G13" s="1"/>
      <c r="H13" s="1"/>
      <c r="I13" s="1"/>
      <c r="J13" s="1"/>
      <c r="K13" s="1"/>
      <c r="L13" s="1"/>
      <c r="M13" s="1"/>
      <c r="N13" s="18"/>
    </row>
    <row r="14" spans="2:14" ht="15.75" customHeight="1" x14ac:dyDescent="0.25">
      <c r="B14" s="20"/>
      <c r="C14" s="7" t="s">
        <v>10</v>
      </c>
      <c r="D14" s="8"/>
      <c r="E14" s="12">
        <v>1.0303E-2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2.4634E-2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9.52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34" t="s">
        <v>231</v>
      </c>
      <c r="C45" s="35"/>
      <c r="D45" s="35"/>
      <c r="E45" s="35"/>
      <c r="F45" s="35"/>
      <c r="G45" s="35"/>
      <c r="H45" s="35"/>
      <c r="I45" s="35"/>
      <c r="J45" s="35"/>
      <c r="K45" s="35"/>
      <c r="L45" s="35"/>
      <c r="M45" s="35"/>
      <c r="N45" s="36"/>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B2DE9-85FC-4984-B54A-03C8A8D29D0B}">
  <dimension ref="B1:N47"/>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37" t="s">
        <v>0</v>
      </c>
      <c r="D3" s="38"/>
      <c r="E3" s="38"/>
      <c r="F3" s="38"/>
      <c r="G3" s="38"/>
      <c r="H3" s="38"/>
      <c r="I3" s="38"/>
      <c r="J3" s="38"/>
      <c r="K3" s="38"/>
      <c r="L3" s="38"/>
      <c r="M3" s="38"/>
      <c r="N3" s="39"/>
    </row>
    <row r="4" spans="2:14" ht="15.75" customHeight="1" x14ac:dyDescent="0.25">
      <c r="B4" s="20"/>
      <c r="C4" s="14"/>
      <c r="D4" s="1"/>
      <c r="E4" s="1"/>
      <c r="F4" s="1"/>
      <c r="G4" s="1"/>
      <c r="H4" s="1"/>
      <c r="I4" s="1"/>
      <c r="J4" s="1"/>
      <c r="K4" s="1"/>
      <c r="L4" s="1"/>
      <c r="M4" s="1"/>
      <c r="N4" s="18"/>
    </row>
    <row r="5" spans="2:14" ht="18" customHeight="1" x14ac:dyDescent="0.25">
      <c r="B5" s="20"/>
      <c r="C5" s="15" t="s">
        <v>1</v>
      </c>
      <c r="D5" s="40" t="s">
        <v>2</v>
      </c>
      <c r="E5" s="41"/>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42" t="s">
        <v>17</v>
      </c>
      <c r="H7" s="43"/>
      <c r="I7" s="43"/>
      <c r="J7" s="43"/>
      <c r="K7" s="43"/>
      <c r="L7" s="43"/>
      <c r="M7" s="43"/>
      <c r="N7" s="44"/>
    </row>
    <row r="8" spans="2:14" ht="15" customHeight="1" x14ac:dyDescent="0.25">
      <c r="B8" s="20"/>
      <c r="C8" s="5" t="s">
        <v>230</v>
      </c>
      <c r="D8" s="6"/>
      <c r="E8" s="11">
        <v>0.55485499999999999</v>
      </c>
      <c r="F8" s="1"/>
      <c r="G8" s="24" t="s">
        <v>16</v>
      </c>
      <c r="H8" s="25">
        <v>1</v>
      </c>
      <c r="I8" s="1"/>
      <c r="J8" s="24" t="s">
        <v>13</v>
      </c>
      <c r="K8" s="24" t="s">
        <v>5</v>
      </c>
      <c r="L8" s="1"/>
      <c r="M8" s="1"/>
      <c r="N8" s="18"/>
    </row>
    <row r="9" spans="2:14" ht="15" customHeight="1" x14ac:dyDescent="0.25">
      <c r="B9" s="20"/>
      <c r="C9" s="5" t="s">
        <v>6</v>
      </c>
      <c r="D9" s="6"/>
      <c r="E9" s="11">
        <v>0.36191600000000002</v>
      </c>
      <c r="F9" s="1"/>
      <c r="G9" s="1"/>
      <c r="H9" s="1"/>
      <c r="I9" s="1"/>
      <c r="J9" s="24" t="s">
        <v>11</v>
      </c>
      <c r="K9" s="29">
        <v>-1.407E-3</v>
      </c>
      <c r="L9" s="1"/>
      <c r="M9" s="1"/>
      <c r="N9" s="18"/>
    </row>
    <row r="10" spans="2:14" ht="15" customHeight="1" x14ac:dyDescent="0.25">
      <c r="B10" s="20"/>
      <c r="C10" s="5" t="s">
        <v>7</v>
      </c>
      <c r="D10" s="6"/>
      <c r="E10" s="11">
        <v>7.7478000000000005E-2</v>
      </c>
      <c r="F10" s="1"/>
      <c r="G10" s="1"/>
      <c r="H10" s="1"/>
      <c r="I10" s="1"/>
      <c r="J10" s="24" t="s">
        <v>14</v>
      </c>
      <c r="K10" s="29">
        <v>7.1580000000000003E-3</v>
      </c>
      <c r="L10" s="1"/>
      <c r="M10" s="1"/>
      <c r="N10" s="18"/>
    </row>
    <row r="11" spans="2:14" ht="15.75" customHeight="1" x14ac:dyDescent="0.25">
      <c r="B11" s="20"/>
      <c r="C11" s="7" t="s">
        <v>8</v>
      </c>
      <c r="D11" s="8"/>
      <c r="E11" s="12">
        <v>0.99424900000000005</v>
      </c>
      <c r="F11" s="1"/>
      <c r="G11" s="1"/>
      <c r="H11" s="1"/>
      <c r="I11" s="1"/>
      <c r="J11" s="24" t="s">
        <v>15</v>
      </c>
      <c r="K11" s="29">
        <v>0.99424900000000005</v>
      </c>
      <c r="L11" s="1"/>
      <c r="M11" s="1"/>
      <c r="N11" s="18"/>
    </row>
    <row r="12" spans="2:14" ht="15" customHeight="1" x14ac:dyDescent="0.25">
      <c r="B12" s="20"/>
      <c r="C12" s="5" t="s">
        <v>9</v>
      </c>
      <c r="D12" s="6"/>
      <c r="E12" s="11">
        <v>7.1580000000000003E-3</v>
      </c>
      <c r="F12" s="1"/>
      <c r="G12" s="1"/>
      <c r="H12" s="1"/>
      <c r="I12" s="1"/>
      <c r="J12" s="1"/>
      <c r="K12" s="1"/>
      <c r="L12" s="1"/>
      <c r="M12" s="1"/>
      <c r="N12" s="18"/>
    </row>
    <row r="13" spans="2:14" ht="15.75" customHeight="1" x14ac:dyDescent="0.25">
      <c r="B13" s="20"/>
      <c r="C13" s="7" t="s">
        <v>10</v>
      </c>
      <c r="D13" s="8"/>
      <c r="E13" s="12">
        <v>7.1580000000000003E-3</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-1.407E-3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42" t="s">
        <v>18</v>
      </c>
      <c r="H24" s="43"/>
      <c r="I24" s="43"/>
      <c r="J24" s="43"/>
      <c r="K24" s="43"/>
      <c r="L24" s="26">
        <v>1.37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42" t="s">
        <v>19</v>
      </c>
      <c r="H26" s="43"/>
      <c r="I26" s="43"/>
      <c r="J26" s="43"/>
      <c r="K26" s="43"/>
      <c r="L26" s="43"/>
      <c r="M26" s="43"/>
      <c r="N26" s="44"/>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67.5" customHeight="1" thickBot="1" x14ac:dyDescent="0.3">
      <c r="B45" s="34" t="s">
        <v>232</v>
      </c>
      <c r="C45" s="35"/>
      <c r="D45" s="35"/>
      <c r="E45" s="35"/>
      <c r="F45" s="35"/>
      <c r="G45" s="35"/>
      <c r="H45" s="35"/>
      <c r="I45" s="35"/>
      <c r="J45" s="35"/>
      <c r="K45" s="35"/>
      <c r="L45" s="35"/>
      <c r="M45" s="35"/>
      <c r="N45" s="36"/>
    </row>
    <row r="46" spans="2:14" ht="15.75" thickBot="1" x14ac:dyDescent="0.3"/>
    <row r="47" spans="2:14" ht="111" customHeight="1" thickBot="1" x14ac:dyDescent="0.3">
      <c r="B47" s="34" t="s">
        <v>231</v>
      </c>
      <c r="C47" s="35"/>
      <c r="D47" s="35"/>
      <c r="E47" s="35"/>
      <c r="F47" s="35"/>
      <c r="G47" s="35"/>
      <c r="H47" s="35"/>
      <c r="I47" s="35"/>
      <c r="J47" s="35"/>
      <c r="K47" s="35"/>
      <c r="L47" s="35"/>
      <c r="M47" s="35"/>
      <c r="N47" s="36"/>
    </row>
  </sheetData>
  <mergeCells count="7">
    <mergeCell ref="B47:N47"/>
    <mergeCell ref="B45:N45"/>
    <mergeCell ref="C3:N3"/>
    <mergeCell ref="D5:E5"/>
    <mergeCell ref="G7:N7"/>
    <mergeCell ref="G24:K24"/>
    <mergeCell ref="G26:N2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CRF</vt:lpstr>
      <vt:lpstr>IDFC FRF</vt:lpstr>
      <vt:lpstr>IDFC-CGIF2027</vt:lpstr>
      <vt:lpstr>IDFC-CGIF2028</vt:lpstr>
      <vt:lpstr>IDFC GSF-IP</vt:lpstr>
      <vt:lpstr>IDFC GSF - CMP</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2022-09-01T03:41:06Z</dcterms:created>
  <dcterms:modified xsi:type="dcterms:W3CDTF">2022-09-12T06:33:40Z</dcterms:modified>
</cp:coreProperties>
</file>