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726"/>
  <workbookPr defaultThemeVersion="124226"/>
  <mc:AlternateContent xmlns:mc="http://schemas.openxmlformats.org/markup-compatibility/2006">
    <mc:Choice Requires="x15">
      <x15ac:absPath xmlns:x15ac="http://schemas.microsoft.com/office/spreadsheetml/2010/11/ac" url="T:\INVESTMENTS_VALUATION\2 Regulatory Monthly-Half yearly ReportIng\3 Jun 2024\Portfolio Monthly\"/>
    </mc:Choice>
  </mc:AlternateContent>
  <xr:revisionPtr revIDLastSave="0" documentId="13_ncr:1_{8AC0EC1B-7CAA-4FAD-A781-80FD51656E06}" xr6:coauthVersionLast="47" xr6:coauthVersionMax="47" xr10:uidLastSave="{00000000-0000-0000-0000-000000000000}"/>
  <bookViews>
    <workbookView xWindow="-110" yWindow="-110" windowWidth="19420" windowHeight="10420" xr2:uid="{00000000-000D-0000-FFFF-FFFF00000000}"/>
  </bookViews>
  <sheets>
    <sheet name="Sheet1" sheetId="40"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ROW" sheetId="24" r:id="rId15"/>
    <sheet name="LEINFA" sheetId="25" r:id="rId16"/>
    <sheet name="LEINNF" sheetId="26" r:id="rId17"/>
    <sheet name="LEINSX" sheetId="27" r:id="rId18"/>
    <sheet name="LELTVF" sheetId="28" r:id="rId19"/>
    <sheet name="LEMETF" sheetId="29" r:id="rId20"/>
    <sheet name="LEMIDF" sheetId="30" r:id="rId21"/>
    <sheet name="LEMUCF" sheetId="31" r:id="rId22"/>
    <sheet name="LENI50" sheetId="32" r:id="rId23"/>
    <sheet name="LET100" sheetId="33" r:id="rId24"/>
    <sheet name="LETAXP" sheetId="34" r:id="rId25"/>
    <sheet name="LETF50" sheetId="35" r:id="rId26"/>
    <sheet name="LETFSX" sheetId="36" r:id="rId27"/>
    <sheet name="LEULIS" sheetId="37" r:id="rId28"/>
    <sheet name="LICMFGOLDETF" sheetId="41" r:id="rId29"/>
  </sheets>
  <definedNames>
    <definedName name="_xlnm._FilterDatabase" localSheetId="1" hidden="1">LEARBF!$B$5:$P$106</definedName>
    <definedName name="_xlnm._FilterDatabase" localSheetId="2" hidden="1">LEBADF!$B$5:$P$93</definedName>
    <definedName name="_xlnm._FilterDatabase" localSheetId="3" hidden="1">LEBALF!$B$5:$P$101</definedName>
    <definedName name="_xlnm._FilterDatabase" localSheetId="4" hidden="1">LEBFSF!$B$5:$P$47</definedName>
    <definedName name="_xlnm._FilterDatabase" localSheetId="5" hidden="1">LECHID!$B$5:$P$78</definedName>
    <definedName name="_xlnm._FilterDatabase" localSheetId="6" hidden="1">LEDDYF!$B$5:$P$79</definedName>
    <definedName name="_xlnm._FilterDatabase" localSheetId="7" hidden="1">LEDHCF!$B$5:$P$41</definedName>
    <definedName name="_xlnm._FilterDatabase" localSheetId="8" hidden="1">LEEMCF!$B$5:$P$81</definedName>
    <definedName name="_xlnm._FilterDatabase" localSheetId="9" hidden="1">LEEQSF!$B$5:$P$86</definedName>
    <definedName name="_xlnm._FilterDatabase" localSheetId="10" hidden="1">LEEQTF!$B$5:$P$86</definedName>
    <definedName name="_xlnm._FilterDatabase" localSheetId="11" hidden="1">LEESCF!$B$5:$P$88</definedName>
    <definedName name="_xlnm._FilterDatabase" localSheetId="12" hidden="1">LEFE30!$B$5:$P$49</definedName>
    <definedName name="_xlnm._FilterDatabase" localSheetId="13" hidden="1">LEGFOF!$B$5:$P$20</definedName>
    <definedName name="_xlnm._FilterDatabase" localSheetId="14" hidden="1">LEGROW!$B$5:$P$85</definedName>
    <definedName name="_xlnm._FilterDatabase" localSheetId="15" hidden="1">LEINFA!$B$5:$P$83</definedName>
    <definedName name="_xlnm._FilterDatabase" localSheetId="16" hidden="1">LEINNF!$B$5:$P$70</definedName>
    <definedName name="_xlnm._FilterDatabase" localSheetId="17" hidden="1">LEINSX!$B$5:$P$50</definedName>
    <definedName name="_xlnm._FilterDatabase" localSheetId="18" hidden="1">LELTVF!$B$5:$P$71</definedName>
    <definedName name="_xlnm._FilterDatabase" localSheetId="19" hidden="1">LEMETF!$B$5:$P$120</definedName>
    <definedName name="_xlnm._FilterDatabase" localSheetId="20" hidden="1">LEMIDF!$B$5:$P$95</definedName>
    <definedName name="_xlnm._FilterDatabase" localSheetId="21" hidden="1">LEMUCF!$B$5:$P$99</definedName>
    <definedName name="_xlnm._FilterDatabase" localSheetId="22" hidden="1">LENI50!$B$5:$P$70</definedName>
    <definedName name="_xlnm._FilterDatabase" localSheetId="23" hidden="1">'LET100'!$B$5:$P$121</definedName>
    <definedName name="_xlnm._FilterDatabase" localSheetId="24" hidden="1">LETAXP!$B$5:$P$77</definedName>
    <definedName name="_xlnm._FilterDatabase" localSheetId="25" hidden="1">LETF50!$B$5:$P$70</definedName>
    <definedName name="_xlnm._FilterDatabase" localSheetId="26" hidden="1">LETFSX!$B$5:$P$50</definedName>
    <definedName name="_xlnm._FilterDatabase" localSheetId="27" hidden="1">LEULIS!$B$5:$P$86</definedName>
    <definedName name="_xlnm._FilterDatabase" localSheetId="28" hidden="1">LICMFGOLDETF!$B$5:$P$20</definedName>
    <definedName name="Hedging_Positions_through_Futures_AS_ON_MMMM_DD__YYYY___NIL" localSheetId="1">LEARBF!$L$68:$P$84</definedName>
    <definedName name="Hedging_Positions_through_Futures_AS_ON_MMMM_DD__YYYY___NIL" localSheetId="2">LEBADF!$L$68:$P$84</definedName>
    <definedName name="Hedging_Positions_through_Futures_AS_ON_MMMM_DD__YYYY___NIL" localSheetId="3">LEBALF!$L$68:$P$84</definedName>
    <definedName name="Hedging_Positions_through_Futures_AS_ON_MMMM_DD__YYYY___NIL" localSheetId="4">LEBFSF!$L$68:$P$84</definedName>
    <definedName name="Hedging_Positions_through_Futures_AS_ON_MMMM_DD__YYYY___NIL" localSheetId="5">LECHID!$L$68:$P$84</definedName>
    <definedName name="Hedging_Positions_through_Futures_AS_ON_MMMM_DD__YYYY___NIL" localSheetId="6">LEDDYF!$L$68:$P$84</definedName>
    <definedName name="Hedging_Positions_through_Futures_AS_ON_MMMM_DD__YYYY___NIL" localSheetId="7">LEDHCF!$L$68:$P$84</definedName>
    <definedName name="Hedging_Positions_through_Futures_AS_ON_MMMM_DD__YYYY___NIL" localSheetId="8">LEEMCF!$L$68:$P$84</definedName>
    <definedName name="Hedging_Positions_through_Futures_AS_ON_MMMM_DD__YYYY___NIL" localSheetId="9">LEEQSF!$L$68:$P$84</definedName>
    <definedName name="Hedging_Positions_through_Futures_AS_ON_MMMM_DD__YYYY___NIL" localSheetId="10">LEEQTF!$L$68:$P$84</definedName>
    <definedName name="Hedging_Positions_through_Futures_AS_ON_MMMM_DD__YYYY___NIL" localSheetId="11">LEESCF!$L$68:$P$84</definedName>
    <definedName name="Hedging_Positions_through_Futures_AS_ON_MMMM_DD__YYYY___NIL" localSheetId="12">LEFE30!$L$68:$P$84</definedName>
    <definedName name="Hedging_Positions_through_Futures_AS_ON_MMMM_DD__YYYY___NIL" localSheetId="13">LEGFOF!$L$68:$P$84</definedName>
    <definedName name="Hedging_Positions_through_Futures_AS_ON_MMMM_DD__YYYY___NIL" localSheetId="14">LEGROW!$L$68:$P$84</definedName>
    <definedName name="Hedging_Positions_through_Futures_AS_ON_MMMM_DD__YYYY___NIL" localSheetId="15">LEINFA!$L$68:$P$84</definedName>
    <definedName name="Hedging_Positions_through_Futures_AS_ON_MMMM_DD__YYYY___NIL" localSheetId="16">LEINNF!$L$68:$P$84</definedName>
    <definedName name="Hedging_Positions_through_Futures_AS_ON_MMMM_DD__YYYY___NIL" localSheetId="17">LEINSX!$L$68:$P$84</definedName>
    <definedName name="Hedging_Positions_through_Futures_AS_ON_MMMM_DD__YYYY___NIL" localSheetId="18">LELTVF!$L$68:$P$84</definedName>
    <definedName name="Hedging_Positions_through_Futures_AS_ON_MMMM_DD__YYYY___NIL" localSheetId="19">LEMETF!$L$68:$P$84</definedName>
    <definedName name="Hedging_Positions_through_Futures_AS_ON_MMMM_DD__YYYY___NIL" localSheetId="20">LEMIDF!$L$68:$P$84</definedName>
    <definedName name="Hedging_Positions_through_Futures_AS_ON_MMMM_DD__YYYY___NIL" localSheetId="21">LEMUCF!$L$68:$P$84</definedName>
    <definedName name="Hedging_Positions_through_Futures_AS_ON_MMMM_DD__YYYY___NIL" localSheetId="22">LENI50!$L$68:$P$84</definedName>
    <definedName name="Hedging_Positions_through_Futures_AS_ON_MMMM_DD__YYYY___NIL" localSheetId="23">'LET100'!$L$68:$P$84</definedName>
    <definedName name="Hedging_Positions_through_Futures_AS_ON_MMMM_DD__YYYY___NIL" localSheetId="24">LETAXP!$L$68:$P$84</definedName>
    <definedName name="Hedging_Positions_through_Futures_AS_ON_MMMM_DD__YYYY___NIL" localSheetId="25">LETF50!$L$68:$P$84</definedName>
    <definedName name="Hedging_Positions_through_Futures_AS_ON_MMMM_DD__YYYY___NIL" localSheetId="26">LETFSX!$L$68:$P$84</definedName>
    <definedName name="Hedging_Positions_through_Futures_AS_ON_MMMM_DD__YYYY___NIL" localSheetId="27">LEULIS!$L$68:$P$84</definedName>
    <definedName name="Hedging_Positions_through_Futures_AS_ON_MMMM_DD__YYYY___NIL" localSheetId="28">LICMFGOLDETF!$L$68:$P$84</definedName>
    <definedName name="Hedging_Positions_through_Futures_AS_ON_MMMM_DD__YYYY___NIL">#REF!</definedName>
    <definedName name="JPM_Footer_disp" localSheetId="1">LEARBF!$L$74:$P$84</definedName>
    <definedName name="JPM_Footer_disp" localSheetId="2">LEBADF!$L$74:$P$84</definedName>
    <definedName name="JPM_Footer_disp" localSheetId="3">LEBALF!$L$74:$P$84</definedName>
    <definedName name="JPM_Footer_disp" localSheetId="4">LEBFSF!$L$74:$P$84</definedName>
    <definedName name="JPM_Footer_disp" localSheetId="5">LECHID!$L$74:$P$84</definedName>
    <definedName name="JPM_Footer_disp" localSheetId="6">LEDDYF!$L$74:$P$84</definedName>
    <definedName name="JPM_Footer_disp" localSheetId="7">LEDHCF!$L$74:$P$84</definedName>
    <definedName name="JPM_Footer_disp" localSheetId="8">LEEMCF!$L$74:$P$84</definedName>
    <definedName name="JPM_Footer_disp" localSheetId="9">LEEQSF!$L$74:$P$84</definedName>
    <definedName name="JPM_Footer_disp" localSheetId="10">LEEQTF!$L$74:$P$84</definedName>
    <definedName name="JPM_Footer_disp" localSheetId="11">LEESCF!$L$74:$P$84</definedName>
    <definedName name="JPM_Footer_disp" localSheetId="12">LEFE30!$L$74:$P$84</definedName>
    <definedName name="JPM_Footer_disp" localSheetId="13">LEGFOF!$L$74:$P$84</definedName>
    <definedName name="JPM_Footer_disp" localSheetId="14">LEGROW!$L$74:$P$84</definedName>
    <definedName name="JPM_Footer_disp" localSheetId="15">LEINFA!$L$74:$P$84</definedName>
    <definedName name="JPM_Footer_disp" localSheetId="16">LEINNF!$L$74:$P$84</definedName>
    <definedName name="JPM_Footer_disp" localSheetId="17">LEINSX!$L$74:$P$84</definedName>
    <definedName name="JPM_Footer_disp" localSheetId="18">LELTVF!$L$74:$P$84</definedName>
    <definedName name="JPM_Footer_disp" localSheetId="19">LEMETF!$L$74:$P$84</definedName>
    <definedName name="JPM_Footer_disp" localSheetId="20">LEMIDF!$L$74:$P$84</definedName>
    <definedName name="JPM_Footer_disp" localSheetId="21">LEMUCF!$L$74:$P$84</definedName>
    <definedName name="JPM_Footer_disp" localSheetId="22">LENI50!$L$74:$P$84</definedName>
    <definedName name="JPM_Footer_disp" localSheetId="23">'LET100'!$L$74:$P$84</definedName>
    <definedName name="JPM_Footer_disp" localSheetId="24">LETAXP!$L$74:$P$84</definedName>
    <definedName name="JPM_Footer_disp" localSheetId="25">LETF50!$L$74:$P$84</definedName>
    <definedName name="JPM_Footer_disp" localSheetId="26">LETFSX!$L$74:$P$84</definedName>
    <definedName name="JPM_Footer_disp" localSheetId="27">LEULIS!$L$74:$P$84</definedName>
    <definedName name="JPM_Footer_disp" localSheetId="28">LICMFGOLDETF!$L$74:$P$84</definedName>
    <definedName name="JPM_Footer_disp">#REF!</definedName>
    <definedName name="JPM_Footer_disp12" localSheetId="1">LEARBF!$L$68:$P$86</definedName>
    <definedName name="JPM_Footer_disp12" localSheetId="2">LEBADF!$L$68:$P$86</definedName>
    <definedName name="JPM_Footer_disp12" localSheetId="3">LEBALF!$L$68:$P$86</definedName>
    <definedName name="JPM_Footer_disp12" localSheetId="4">LEBFSF!$L$68:$P$86</definedName>
    <definedName name="JPM_Footer_disp12" localSheetId="5">LECHID!$L$68:$P$86</definedName>
    <definedName name="JPM_Footer_disp12" localSheetId="6">LEDDYF!$L$68:$P$86</definedName>
    <definedName name="JPM_Footer_disp12" localSheetId="7">LEDHCF!$L$68:$P$86</definedName>
    <definedName name="JPM_Footer_disp12" localSheetId="8">LEEMCF!$L$68:$P$86</definedName>
    <definedName name="JPM_Footer_disp12" localSheetId="9">LEEQSF!$L$68:$P$86</definedName>
    <definedName name="JPM_Footer_disp12" localSheetId="10">LEEQTF!$L$68:$P$86</definedName>
    <definedName name="JPM_Footer_disp12" localSheetId="11">LEESCF!$L$68:$P$86</definedName>
    <definedName name="JPM_Footer_disp12" localSheetId="12">LEFE30!$L$68:$P$86</definedName>
    <definedName name="JPM_Footer_disp12" localSheetId="13">LEGFOF!$L$68:$P$86</definedName>
    <definedName name="JPM_Footer_disp12" localSheetId="14">LEGROW!$L$68:$P$86</definedName>
    <definedName name="JPM_Footer_disp12" localSheetId="15">LEINFA!$L$68:$P$86</definedName>
    <definedName name="JPM_Footer_disp12" localSheetId="16">LEINNF!$L$68:$P$86</definedName>
    <definedName name="JPM_Footer_disp12" localSheetId="17">LEINSX!$L$68:$P$86</definedName>
    <definedName name="JPM_Footer_disp12" localSheetId="18">LELTVF!$L$68:$P$86</definedName>
    <definedName name="JPM_Footer_disp12" localSheetId="19">LEMETF!$L$68:$P$86</definedName>
    <definedName name="JPM_Footer_disp12" localSheetId="20">LEMIDF!$L$68:$P$86</definedName>
    <definedName name="JPM_Footer_disp12" localSheetId="21">LEMUCF!$L$68:$P$86</definedName>
    <definedName name="JPM_Footer_disp12" localSheetId="22">LENI50!$L$68:$P$86</definedName>
    <definedName name="JPM_Footer_disp12" localSheetId="23">'LET100'!$L$68:$P$86</definedName>
    <definedName name="JPM_Footer_disp12" localSheetId="24">LETAXP!$L$68:$P$86</definedName>
    <definedName name="JPM_Footer_disp12" localSheetId="25">LETF50!$L$68:$P$86</definedName>
    <definedName name="JPM_Footer_disp12" localSheetId="26">LETFSX!$L$68:$P$86</definedName>
    <definedName name="JPM_Footer_disp12" localSheetId="27">LEULIS!$L$68:$P$86</definedName>
    <definedName name="JPM_Footer_disp12" localSheetId="28">LICMFGOLDETF!$L$68:$P$86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41" l="1"/>
  <c r="G18" i="41" s="1"/>
  <c r="F16" i="41"/>
  <c r="F18" i="41" s="1"/>
  <c r="G10" i="41"/>
  <c r="G12" i="41" s="1"/>
  <c r="F10" i="41"/>
  <c r="F12" i="41" s="1"/>
  <c r="G20" i="41" l="1"/>
  <c r="F20" i="41"/>
</calcChain>
</file>

<file path=xl/sharedStrings.xml><?xml version="1.0" encoding="utf-8"?>
<sst xmlns="http://schemas.openxmlformats.org/spreadsheetml/2006/main" count="5789" uniqueCount="1066">
  <si>
    <t>Name of the Instrument</t>
  </si>
  <si>
    <t>ISIN</t>
  </si>
  <si>
    <t>Quantity</t>
  </si>
  <si>
    <t>Market/Fair Value (Rounded, Rs. In Lacs)</t>
  </si>
  <si>
    <t>Rounded, % to Net Assets</t>
  </si>
  <si>
    <t>Industry / Rating</t>
  </si>
  <si>
    <t>Yield</t>
  </si>
  <si>
    <t>Monthly Portfolio Statement as on June 30,2024</t>
  </si>
  <si>
    <t>Index</t>
  </si>
  <si>
    <t>LIC MF ARBITRAGE FUND</t>
  </si>
  <si>
    <t>LIC MF BALANCED ADVANTAGE FUND</t>
  </si>
  <si>
    <t>LIC MF AGGRESSIVE HYBRID FUND</t>
  </si>
  <si>
    <t>LIC MF BANKING AND FINANCIAL SERVICES FUND</t>
  </si>
  <si>
    <t>LIC MF DIVIDEND YIELD FUND</t>
  </si>
  <si>
    <t>LIC MF HEALTHCARE FUND</t>
  </si>
  <si>
    <t>LIC MF MID CAP FUND</t>
  </si>
  <si>
    <t>LIC MF EQUITY SAVINGS FUND</t>
  </si>
  <si>
    <t>LIC MF FLEXI CAP FUND</t>
  </si>
  <si>
    <t>LIC MF SMALL CAP FUND</t>
  </si>
  <si>
    <t>LIC MF GOLD ETF FUND OF FUND</t>
  </si>
  <si>
    <t>LIC MF LARGE CAP FUND</t>
  </si>
  <si>
    <t>LIC MF INFRASTRUCTURE FUND</t>
  </si>
  <si>
    <t>LIC MF NIFTY 50 INDEX FUND</t>
  </si>
  <si>
    <t>LIC MF NIFTY MIDCAP 100 ETF</t>
  </si>
  <si>
    <t>LIC MF LARGE &amp; MID CAP FUND</t>
  </si>
  <si>
    <t>LIC MF MULTI CAP FUND</t>
  </si>
  <si>
    <t>LIC MF NIFTY NEXT 50 INDEX FUND</t>
  </si>
  <si>
    <t>LIC MF NIFTY 100 ETF</t>
  </si>
  <si>
    <t>LIC MF ELSS TAX SAVER</t>
  </si>
  <si>
    <t>LIC MF NIFTY 50 ETF</t>
  </si>
  <si>
    <t>LIC MF UNIT LINKED INSURANCE SCHEME</t>
  </si>
  <si>
    <t>LEARBF</t>
  </si>
  <si>
    <t>LIC MF Arbitrage Fund</t>
  </si>
  <si>
    <t>LEBADF</t>
  </si>
  <si>
    <t>LIC MF Balanced Advantage Fund</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</si>
  <si>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</si>
  <si>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</si>
  <si>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</si>
  <si>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</si>
  <si>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</si>
  <si>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</si>
  <si>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</si>
  <si>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</si>
  <si>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</si>
  <si>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</si>
  <si>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</si>
  <si>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</si>
  <si>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</si>
  <si>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</si>
  <si>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</si>
  <si>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</si>
  <si>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</si>
  <si>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</si>
  <si>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</si>
  <si>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</si>
  <si>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</si>
  <si>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</si>
  <si>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LEGROW</t>
  </si>
  <si>
    <t>LIC MF Large Cap Fund</t>
  </si>
  <si>
    <t>LEINFA</t>
  </si>
  <si>
    <t>LIC MF Infrastructure Fund</t>
  </si>
  <si>
    <t>LEINNF</t>
  </si>
  <si>
    <t>LIC MF Nifty 50 Index Fund</t>
  </si>
  <si>
    <t>LEINSX</t>
  </si>
  <si>
    <t>LIC MF BSE Sensex Index Fund</t>
  </si>
  <si>
    <t>LELTVF</t>
  </si>
  <si>
    <t>LIC MF Value Fund</t>
  </si>
  <si>
    <t>LEMETF</t>
  </si>
  <si>
    <t>LIC MF Nifty Midcap 100 ETF</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</si>
  <si>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</si>
  <si>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</si>
  <si>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</si>
  <si>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</si>
  <si>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</si>
  <si>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</si>
  <si>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</si>
  <si>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</si>
  <si>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</si>
  <si>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</si>
  <si>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</si>
  <si>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</si>
  <si>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</si>
  <si>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</si>
  <si>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</si>
  <si>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</si>
  <si>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</si>
  <si>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June 30, 2024</t>
  </si>
  <si>
    <t>Scheme</t>
  </si>
  <si>
    <t>Scheme Name</t>
  </si>
  <si>
    <t>Debt Instruments</t>
  </si>
  <si>
    <t>(a)Listed / Awaiting listing on stock Exchanges</t>
  </si>
  <si>
    <t>7.7% State Government of Maharashtra</t>
  </si>
  <si>
    <t>SOVEREIGN</t>
  </si>
  <si>
    <t>7.18% Government of India</t>
  </si>
  <si>
    <t>IN0020230085</t>
  </si>
  <si>
    <t>7.71% State Government of Maharashtra</t>
  </si>
  <si>
    <t>IN2220230139</t>
  </si>
  <si>
    <t>8.0% HDFC Bank Ltd. **</t>
  </si>
  <si>
    <t>INE040A08807</t>
  </si>
  <si>
    <t>CRISIL AAA</t>
  </si>
  <si>
    <t>7.26% Government of India</t>
  </si>
  <si>
    <t>IN0020220151</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</si>
  <si>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</si>
  <si>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</si>
  <si>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</si>
  <si>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</si>
  <si>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</si>
  <si>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</si>
  <si>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</si>
  <si>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</si>
  <si>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</si>
  <si>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</si>
  <si>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</si>
  <si>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</si>
  <si>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7.1% Government of India</t>
  </si>
  <si>
    <t>IN0020230077</t>
  </si>
  <si>
    <t>Money Market Instruments</t>
  </si>
  <si>
    <t>7.4% National Bk for Agriculture &amp; Rural Dev. **</t>
  </si>
  <si>
    <t>INE261F08DO9</t>
  </si>
  <si>
    <t>7.74% Power Finance Corporation Ltd. **</t>
  </si>
  <si>
    <t>INE134E08JI0</t>
  </si>
  <si>
    <t>7.42% State Government of Maharashtra</t>
  </si>
  <si>
    <t>IN2220230311</t>
  </si>
  <si>
    <t>CRISIL A1+</t>
  </si>
  <si>
    <t>#  Unlisted Security</t>
  </si>
  <si>
    <t>Equity &amp; Equity related</t>
  </si>
  <si>
    <t>(a)Listed / Awaiting listing on Stock Exchanges</t>
  </si>
  <si>
    <t>ICICI Bank Ltd.</t>
  </si>
  <si>
    <t>INE090A01021</t>
  </si>
  <si>
    <t>Banks</t>
  </si>
  <si>
    <t>Infosys Ltd.</t>
  </si>
  <si>
    <t>INE009A01021</t>
  </si>
  <si>
    <t>IT - Software</t>
  </si>
  <si>
    <t>Mahindra &amp; Mahindra Ltd.</t>
  </si>
  <si>
    <t>INE101A01026</t>
  </si>
  <si>
    <t>Automobiles</t>
  </si>
  <si>
    <t>HDFC Bank Ltd.</t>
  </si>
  <si>
    <t>INE040A01034</t>
  </si>
  <si>
    <t>Reliance Industries Ltd.</t>
  </si>
  <si>
    <t>INE002A01018</t>
  </si>
  <si>
    <t>Petroleum Products</t>
  </si>
  <si>
    <t>Hindustan Unilever Ltd.</t>
  </si>
  <si>
    <t>INE030A01027</t>
  </si>
  <si>
    <t>Diversified FMCG</t>
  </si>
  <si>
    <t>Nestle India Ltd.</t>
  </si>
  <si>
    <t>INE239A01024</t>
  </si>
  <si>
    <t>Food Products</t>
  </si>
  <si>
    <t>LTIMindtree Ltd.</t>
  </si>
  <si>
    <t>INE214T01019</t>
  </si>
  <si>
    <t>(b) Unlisted</t>
  </si>
  <si>
    <t>7.38% Government of India</t>
  </si>
  <si>
    <t>IN0020220037</t>
  </si>
  <si>
    <t>7.17% Government of India</t>
  </si>
  <si>
    <t>IN0020230036</t>
  </si>
  <si>
    <t>8.03% State Government of Karnataka</t>
  </si>
  <si>
    <t>IN1920170165</t>
  </si>
  <si>
    <t>IN0020220060</t>
  </si>
  <si>
    <t>IN0020220011</t>
  </si>
  <si>
    <t>7.19% State Government of Tamil Nadu</t>
  </si>
  <si>
    <t>IN3120190225</t>
  </si>
  <si>
    <t>8.49% NTPC Ltd. **</t>
  </si>
  <si>
    <t>INE733E07JP6</t>
  </si>
  <si>
    <t>Commercial Paper</t>
  </si>
  <si>
    <t>Motilal Oswal Financial Services Ltd. **</t>
  </si>
  <si>
    <t>Bharat Electronics Ltd.</t>
  </si>
  <si>
    <t>INE263A01024</t>
  </si>
  <si>
    <t>Aerospace &amp; Defense</t>
  </si>
  <si>
    <t>Zydus Lifesciences Ltd.</t>
  </si>
  <si>
    <t>INE010B01027</t>
  </si>
  <si>
    <t>Pharmaceuticals &amp; Biotechnology</t>
  </si>
  <si>
    <t>IndusInd Bank Ltd.</t>
  </si>
  <si>
    <t>INE095A01012</t>
  </si>
  <si>
    <t>Bandhan Bank Ltd.</t>
  </si>
  <si>
    <t>INE545U01014</t>
  </si>
  <si>
    <t>Biocon Ltd.</t>
  </si>
  <si>
    <t>INE376G01013</t>
  </si>
  <si>
    <t>Bharat Heavy Electricals Ltd.</t>
  </si>
  <si>
    <t>INE257A01026</t>
  </si>
  <si>
    <t>Electrical Equipment</t>
  </si>
  <si>
    <t>Tata Steel Ltd.</t>
  </si>
  <si>
    <t>INE081A01020</t>
  </si>
  <si>
    <t>Ferrous Metals</t>
  </si>
  <si>
    <t>HDFC Asset Management Company Ltd.</t>
  </si>
  <si>
    <t>INE127D01025</t>
  </si>
  <si>
    <t>Capital Markets</t>
  </si>
  <si>
    <t>Ashok Leyland Ltd.</t>
  </si>
  <si>
    <t>INE208A01029</t>
  </si>
  <si>
    <t>Agricultural, Commercial &amp; Construction Vehicles</t>
  </si>
  <si>
    <t>Axis Bank Ltd.</t>
  </si>
  <si>
    <t>INE238A01034</t>
  </si>
  <si>
    <t>RBL Bank Ltd.</t>
  </si>
  <si>
    <t>INE976G01028</t>
  </si>
  <si>
    <t>Havells India Ltd.</t>
  </si>
  <si>
    <t>INE176B01034</t>
  </si>
  <si>
    <t>Consumer Durables</t>
  </si>
  <si>
    <t>Bank of Baroda</t>
  </si>
  <si>
    <t>INE028A01039</t>
  </si>
  <si>
    <t>Vedanta Ltd.</t>
  </si>
  <si>
    <t>INE205A01025</t>
  </si>
  <si>
    <t>Diversified Metals</t>
  </si>
  <si>
    <t>Tata Power Company Ltd.</t>
  </si>
  <si>
    <t>INE245A01021</t>
  </si>
  <si>
    <t>Power</t>
  </si>
  <si>
    <t>NMDC Ltd.</t>
  </si>
  <si>
    <t>INE584A01023</t>
  </si>
  <si>
    <t>Minerals &amp; Mining</t>
  </si>
  <si>
    <t>Power Grid Corporation of India Ltd.</t>
  </si>
  <si>
    <t>INE752E01010</t>
  </si>
  <si>
    <t>Tech Mahindra Ltd.</t>
  </si>
  <si>
    <t>INE669C01036</t>
  </si>
  <si>
    <t>ITC Ltd.</t>
  </si>
  <si>
    <t>INE154A01025</t>
  </si>
  <si>
    <t>Hindustan Copper Ltd.</t>
  </si>
  <si>
    <t>INE531E01026</t>
  </si>
  <si>
    <t>Non - Ferrous Metals</t>
  </si>
  <si>
    <t>Kotak Mahindra Bank Ltd.</t>
  </si>
  <si>
    <t>INE237A01028</t>
  </si>
  <si>
    <t>DLF Ltd.</t>
  </si>
  <si>
    <t>INE271C01023</t>
  </si>
  <si>
    <t>Realty</t>
  </si>
  <si>
    <t>State Bank of India</t>
  </si>
  <si>
    <t>INE062A01020</t>
  </si>
  <si>
    <t>Larsen &amp; Toubro Ltd.</t>
  </si>
  <si>
    <t>INE018A01030</t>
  </si>
  <si>
    <t>Construction</t>
  </si>
  <si>
    <t>Bajaj Finance Ltd.</t>
  </si>
  <si>
    <t>INE296A01024</t>
  </si>
  <si>
    <t>Finance</t>
  </si>
  <si>
    <t>Canara Bank</t>
  </si>
  <si>
    <t>INE476A01022</t>
  </si>
  <si>
    <t>InterGlobe Aviation Ltd.</t>
  </si>
  <si>
    <t>INE646L01027</t>
  </si>
  <si>
    <t>Transport Services</t>
  </si>
  <si>
    <t>Aditya Birla Capital Ltd.</t>
  </si>
  <si>
    <t>INE674K01013</t>
  </si>
  <si>
    <t>Indian Oil Corporation Ltd.</t>
  </si>
  <si>
    <t>INE242A01010</t>
  </si>
  <si>
    <t>IDFC First Bank Ltd.</t>
  </si>
  <si>
    <t>INE092T01019</t>
  </si>
  <si>
    <t>GAIL (India) Ltd.</t>
  </si>
  <si>
    <t>INE129A01019</t>
  </si>
  <si>
    <t>Gas</t>
  </si>
  <si>
    <t>Punjab National Bank</t>
  </si>
  <si>
    <t>INE160A01022</t>
  </si>
  <si>
    <t>Godrej Consumer Products Ltd.</t>
  </si>
  <si>
    <t>INE102D01028</t>
  </si>
  <si>
    <t>Personal Products</t>
  </si>
  <si>
    <t>Aurobindo Pharma Ltd.</t>
  </si>
  <si>
    <t>INE406A01037</t>
  </si>
  <si>
    <t>Bharat Forge Ltd.</t>
  </si>
  <si>
    <t>INE465A01025</t>
  </si>
  <si>
    <t>Auto Components</t>
  </si>
  <si>
    <t>Info Edge (India) Ltd.</t>
  </si>
  <si>
    <t>INE663F01024</t>
  </si>
  <si>
    <t>Retailing</t>
  </si>
  <si>
    <t>Hindustan Petroleum Corporation Ltd.</t>
  </si>
  <si>
    <t>INE094A01015</t>
  </si>
  <si>
    <t>Aditya Birla Fashion and Retail Ltd.</t>
  </si>
  <si>
    <t>INE647O01011</t>
  </si>
  <si>
    <t>Piramal Enterprises Ltd.</t>
  </si>
  <si>
    <t>INE140A01024</t>
  </si>
  <si>
    <t>Indian Railway Catering &amp;Tou. Corp. Ltd.</t>
  </si>
  <si>
    <t>INE335Y01020</t>
  </si>
  <si>
    <t>Leisure Services</t>
  </si>
  <si>
    <t>Coal India Ltd.</t>
  </si>
  <si>
    <t>INE522F01014</t>
  </si>
  <si>
    <t>Consumable Fuels</t>
  </si>
  <si>
    <t>Aarti Industries Ltd.</t>
  </si>
  <si>
    <t>INE769A01020</t>
  </si>
  <si>
    <t>Chemicals &amp; Petrochemicals</t>
  </si>
  <si>
    <t>Titan Company Ltd.</t>
  </si>
  <si>
    <t>INE280A01028</t>
  </si>
  <si>
    <t>Tata Consultancy Services Ltd.</t>
  </si>
  <si>
    <t>INE467B01029</t>
  </si>
  <si>
    <t>Dalmia Bharat Ltd.</t>
  </si>
  <si>
    <t>INE00R701025</t>
  </si>
  <si>
    <t>Cement &amp; Cement Products</t>
  </si>
  <si>
    <t>National Aluminium Company Ltd.</t>
  </si>
  <si>
    <t>INE139A01034</t>
  </si>
  <si>
    <t>JSW Steel Ltd.</t>
  </si>
  <si>
    <t>INE019A01038</t>
  </si>
  <si>
    <t>Bharat Petroleum Corporation Ltd.</t>
  </si>
  <si>
    <t>INE029A01011</t>
  </si>
  <si>
    <t>ICICI Prudential Life Insurance Co Ltd.</t>
  </si>
  <si>
    <t>INE726G01019</t>
  </si>
  <si>
    <t>Insurance</t>
  </si>
  <si>
    <t>L &amp; T Finance Ltd.</t>
  </si>
  <si>
    <t>INE498L01015</t>
  </si>
  <si>
    <t>GMR Airports Infrastructure Ltd.</t>
  </si>
  <si>
    <t>INE776C01039</t>
  </si>
  <si>
    <t>Transport Infrastructure</t>
  </si>
  <si>
    <t>Tata Motors Ltd.</t>
  </si>
  <si>
    <t>INE155A01022</t>
  </si>
  <si>
    <t>UPL Ltd.</t>
  </si>
  <si>
    <t>INE628A01036</t>
  </si>
  <si>
    <t>Fertilizers &amp; Agrochemicals</t>
  </si>
  <si>
    <t>SBI Life Insurance Company Ltd.</t>
  </si>
  <si>
    <t>INE123W01016</t>
  </si>
  <si>
    <t>Shriram Finance Ltd.</t>
  </si>
  <si>
    <t>INE721A01013</t>
  </si>
  <si>
    <t>Britannia Industries Ltd.</t>
  </si>
  <si>
    <t>INE216A01030</t>
  </si>
  <si>
    <t>Container Corporation Of India Ltd.</t>
  </si>
  <si>
    <t>INE111A01025</t>
  </si>
  <si>
    <t>Exide Industries Ltd.</t>
  </si>
  <si>
    <t>INE302A01020</t>
  </si>
  <si>
    <t>The Ramco Cements Ltd.</t>
  </si>
  <si>
    <t>INE331A01037</t>
  </si>
  <si>
    <t>Glenmark Pharmaceuticals Ltd.</t>
  </si>
  <si>
    <t>INE935A01035</t>
  </si>
  <si>
    <t>Mphasis Ltd.</t>
  </si>
  <si>
    <t>INE356A01018</t>
  </si>
  <si>
    <t>Hindalco Industries Ltd.</t>
  </si>
  <si>
    <t>INE038A01020</t>
  </si>
  <si>
    <t>United Spirits Ltd.</t>
  </si>
  <si>
    <t>INE854D01024</t>
  </si>
  <si>
    <t>Beverages</t>
  </si>
  <si>
    <t>Hindustan Aeronautics Ltd.</t>
  </si>
  <si>
    <t>INE066F01020</t>
  </si>
  <si>
    <t>Deepak Nitrite Ltd.</t>
  </si>
  <si>
    <t>INE288B01029</t>
  </si>
  <si>
    <t>HDFC Life Insurance Company Ltd.</t>
  </si>
  <si>
    <t>INE795G01014</t>
  </si>
  <si>
    <t>Bajaj Finserv Ltd.</t>
  </si>
  <si>
    <t>INE918I01026</t>
  </si>
  <si>
    <t>IDFC Ltd.</t>
  </si>
  <si>
    <t>INE043D01016</t>
  </si>
  <si>
    <t>INE338I14HL4</t>
  </si>
  <si>
    <t>LIC MF LIQUID FUND-DR PLN-GR</t>
  </si>
  <si>
    <t>INF767K01DN1</t>
  </si>
  <si>
    <t>Disclosure in Devrivtives</t>
  </si>
  <si>
    <t>Rounded,% TO Net Assets)</t>
  </si>
  <si>
    <t>Total</t>
  </si>
  <si>
    <t>Total outstanding position(as at 30 June 2024 ) in Derivative Instruments(Gross National) 16905.3 lacs.</t>
  </si>
  <si>
    <t>Total percentage of existing assets hedge through futures is 66.69%.</t>
  </si>
  <si>
    <t>Shakti Pumps (India) Ltd.</t>
  </si>
  <si>
    <t>INE908D01010</t>
  </si>
  <si>
    <t>Industrial Products</t>
  </si>
  <si>
    <t>NTPC Ltd.</t>
  </si>
  <si>
    <t>INE733E01010</t>
  </si>
  <si>
    <t>Grasim Industries Ltd.</t>
  </si>
  <si>
    <t>INE047A01021</t>
  </si>
  <si>
    <t>Hero MotoCorp Ltd.</t>
  </si>
  <si>
    <t>INE158A01026</t>
  </si>
  <si>
    <t>Texmaco Rail &amp; Engineering Ltd.</t>
  </si>
  <si>
    <t>INE621L01012</t>
  </si>
  <si>
    <t>Industrial Manufacturing</t>
  </si>
  <si>
    <t>HCL Technologies Ltd.</t>
  </si>
  <si>
    <t>INE860A01027</t>
  </si>
  <si>
    <t>R K Swamy Ltd.</t>
  </si>
  <si>
    <t>INE0NQ801033</t>
  </si>
  <si>
    <t>Media</t>
  </si>
  <si>
    <t>Garware Hi-Tech Films Ltd.</t>
  </si>
  <si>
    <t>INE291A01017</t>
  </si>
  <si>
    <t>Maruti Suzuki India Ltd.</t>
  </si>
  <si>
    <t>INE585B01010</t>
  </si>
  <si>
    <t>Mankind Pharma Ltd.</t>
  </si>
  <si>
    <t>INE634S01028</t>
  </si>
  <si>
    <t>Mahindra &amp; Mahindra Financial Serv Ltd.</t>
  </si>
  <si>
    <t>INE774D01024</t>
  </si>
  <si>
    <t>Syngene International Ltd.</t>
  </si>
  <si>
    <t>INE398R01022</t>
  </si>
  <si>
    <t>Healthcare Services</t>
  </si>
  <si>
    <t>SRF Ltd.</t>
  </si>
  <si>
    <t>INE647A01010</t>
  </si>
  <si>
    <t>Power Finance Corporation Ltd.</t>
  </si>
  <si>
    <t>INE134E01011</t>
  </si>
  <si>
    <t>Torrent Pharmaceuticals Ltd.</t>
  </si>
  <si>
    <t>INE685A01028</t>
  </si>
  <si>
    <t>APL Apollo Tubes Ltd.</t>
  </si>
  <si>
    <t>INE702C01027</t>
  </si>
  <si>
    <t>TVS Motor Company Ltd.</t>
  </si>
  <si>
    <t>INE494B01023</t>
  </si>
  <si>
    <t>Allied Blenders And Distillers Ltd. #</t>
  </si>
  <si>
    <t>INE552Z01027</t>
  </si>
  <si>
    <t>Asian Paints Ltd.</t>
  </si>
  <si>
    <t>INE021A01026</t>
  </si>
  <si>
    <t>Creditaccess Grameen Ltd.</t>
  </si>
  <si>
    <t>INE741K01010</t>
  </si>
  <si>
    <t>Bank of India</t>
  </si>
  <si>
    <t>INE084A01016</t>
  </si>
  <si>
    <t>Alkem Laboratories Ltd.</t>
  </si>
  <si>
    <t>INE540L01014</t>
  </si>
  <si>
    <t>REC Ltd.</t>
  </si>
  <si>
    <t>INE020B01018</t>
  </si>
  <si>
    <t>Gujarat State Petronet Ltd.</t>
  </si>
  <si>
    <t>INE246F01010</t>
  </si>
  <si>
    <t>Sonata Software Ltd.</t>
  </si>
  <si>
    <t>INE269A01021</t>
  </si>
  <si>
    <t>Abbott India Ltd.</t>
  </si>
  <si>
    <t>INE358A01014</t>
  </si>
  <si>
    <t>Dr. Reddy's Laboratories Ltd.</t>
  </si>
  <si>
    <t>INE089A01023</t>
  </si>
  <si>
    <t>Grasim Industries Ltd. PARTLY PAID UP FV 0.5 #</t>
  </si>
  <si>
    <t>IN9047A01011</t>
  </si>
  <si>
    <t>7.8% State Government of Tamil Nadu</t>
  </si>
  <si>
    <t>IN3120220097</t>
  </si>
  <si>
    <t>7.68% State Government of Karnataka</t>
  </si>
  <si>
    <t>IN1920230159</t>
  </si>
  <si>
    <t>IN1920230217</t>
  </si>
  <si>
    <t>7.54% Government of India</t>
  </si>
  <si>
    <t>IN0020220029</t>
  </si>
  <si>
    <t>Total outstanding position(as at 30 June 2024 ) in Derivative Instruments(Gross National) 20568.89 lacs.</t>
  </si>
  <si>
    <t>Total percentage of existing assets hedge through futures is 23.34%.</t>
  </si>
  <si>
    <t>Trent Ltd.</t>
  </si>
  <si>
    <t>INE849A01020</t>
  </si>
  <si>
    <t>Azad Engineering Ltd.</t>
  </si>
  <si>
    <t>INE02IJ01035</t>
  </si>
  <si>
    <t>GE T&amp;D India Ltd.</t>
  </si>
  <si>
    <t>INE200A01026</t>
  </si>
  <si>
    <t>Zomato Ltd.</t>
  </si>
  <si>
    <t>INE758T01015</t>
  </si>
  <si>
    <t>Siemens Ltd.</t>
  </si>
  <si>
    <t>INE003A01024</t>
  </si>
  <si>
    <t>Piramal Pharma Ltd.</t>
  </si>
  <si>
    <t>INE0DK501011</t>
  </si>
  <si>
    <t>Samvardhana Motherson International Ltd.</t>
  </si>
  <si>
    <t>INE775A01035</t>
  </si>
  <si>
    <t>VARUN BEVERAGES LIMITED</t>
  </si>
  <si>
    <t>INE200M01021</t>
  </si>
  <si>
    <t>Equitas Small Finance Bank Ltd.</t>
  </si>
  <si>
    <t>INE063P01018</t>
  </si>
  <si>
    <t>TD Power Systems Ltd.</t>
  </si>
  <si>
    <t>INE419M01027</t>
  </si>
  <si>
    <t>KEI Industries Ltd.</t>
  </si>
  <si>
    <t>INE878B01027</t>
  </si>
  <si>
    <t>Bharti Airtel Ltd.</t>
  </si>
  <si>
    <t>INE397D01024</t>
  </si>
  <si>
    <t>Telecom - Services</t>
  </si>
  <si>
    <t>Craftsman Automation Ltd.</t>
  </si>
  <si>
    <t>INE00LO01017</t>
  </si>
  <si>
    <t>Bikaji Foods International Ltd.</t>
  </si>
  <si>
    <t>INE00E101023</t>
  </si>
  <si>
    <t>Macrotech Developers Ltd.</t>
  </si>
  <si>
    <t>INE670K01029</t>
  </si>
  <si>
    <t>AXISCADES Engineering Technologies Ltd.</t>
  </si>
  <si>
    <t>INE555B01013</t>
  </si>
  <si>
    <t>IT - Services</t>
  </si>
  <si>
    <t>Latent View Analytics Ltd.</t>
  </si>
  <si>
    <t>INE0I7C01011</t>
  </si>
  <si>
    <t>Dee Development Engineers Ltd.</t>
  </si>
  <si>
    <t>INE841L01016</t>
  </si>
  <si>
    <t>Five Star Business Finance Ltd.</t>
  </si>
  <si>
    <t>INE128S01021</t>
  </si>
  <si>
    <t>Transport Corporation Of India Ltd.</t>
  </si>
  <si>
    <t>INE688A01022</t>
  </si>
  <si>
    <t>Arvind Fashions Ltd.</t>
  </si>
  <si>
    <t>INE955V01021</t>
  </si>
  <si>
    <t>Sun Pharmaceutical Industries Ltd.</t>
  </si>
  <si>
    <t>INE044A01036</t>
  </si>
  <si>
    <t>Sona BLW Precision Forgings Ltd.</t>
  </si>
  <si>
    <t>INE073K01018</t>
  </si>
  <si>
    <t>Oil India Ltd.</t>
  </si>
  <si>
    <t>INE274J01014</t>
  </si>
  <si>
    <t>Oil</t>
  </si>
  <si>
    <t>Yuken India Ltd.</t>
  </si>
  <si>
    <t>INE384C01016</t>
  </si>
  <si>
    <t>Global Health Ltd.</t>
  </si>
  <si>
    <t>INE474Q01031</t>
  </si>
  <si>
    <t>NCC Ltd.</t>
  </si>
  <si>
    <t>INE868B01028</t>
  </si>
  <si>
    <t>7.7% State Government of Karnataka</t>
  </si>
  <si>
    <t>IN1920230068</t>
  </si>
  <si>
    <t>7.73% State Government of Karnataka</t>
  </si>
  <si>
    <t>IN1920230084</t>
  </si>
  <si>
    <t>7.63% State Government of Maharashtra</t>
  </si>
  <si>
    <t>IN2220230204</t>
  </si>
  <si>
    <t>7.76% State Government of Maharashtra</t>
  </si>
  <si>
    <t>IN2220220122</t>
  </si>
  <si>
    <t>IN2220230162</t>
  </si>
  <si>
    <t>7.725% Larsen &amp; Toubro Ltd. **</t>
  </si>
  <si>
    <t>INE018A08BE9</t>
  </si>
  <si>
    <t>6.1% Government of India</t>
  </si>
  <si>
    <t>IN0020210095</t>
  </si>
  <si>
    <t>$0.00%</t>
  </si>
  <si>
    <t>$ Less Than 0.01% of Net Asset Value</t>
  </si>
  <si>
    <t>CSB Bank Ltd.</t>
  </si>
  <si>
    <t>INE679A01013</t>
  </si>
  <si>
    <t>IIFL Finance Ltd.</t>
  </si>
  <si>
    <t>INE530B01024</t>
  </si>
  <si>
    <t>DCB Bank Ltd.</t>
  </si>
  <si>
    <t>INE503A01015</t>
  </si>
  <si>
    <t>The Federal Bank Ltd.</t>
  </si>
  <si>
    <t>INE171A01029</t>
  </si>
  <si>
    <t>Aavas Financiers Ltd.</t>
  </si>
  <si>
    <t>INE216P01012</t>
  </si>
  <si>
    <t>Cholamandalam Financial Holdings Ltd.</t>
  </si>
  <si>
    <t>INE149A01033</t>
  </si>
  <si>
    <t>Spandana Sphoorty Financial Ltd.</t>
  </si>
  <si>
    <t>INE572J01011</t>
  </si>
  <si>
    <t>MAS Financial Services Ltd.</t>
  </si>
  <si>
    <t>INE348L01012</t>
  </si>
  <si>
    <t>Aadhar Housing Finance Ltd.</t>
  </si>
  <si>
    <t>INE883F01010</t>
  </si>
  <si>
    <t>ICICI Securities Ltd.</t>
  </si>
  <si>
    <t>INE763G01038</t>
  </si>
  <si>
    <t>Utkarsh Small Finance Bank Ltd.</t>
  </si>
  <si>
    <t>INE735W01017</t>
  </si>
  <si>
    <t>TARC Ltd.</t>
  </si>
  <si>
    <t>INE0EK901012</t>
  </si>
  <si>
    <t>Neogen Chemicals Ltd.</t>
  </si>
  <si>
    <t>INE136S01016</t>
  </si>
  <si>
    <t>Ultratech Cement Ltd.</t>
  </si>
  <si>
    <t>INE481G01011</t>
  </si>
  <si>
    <t>Coromandel International Ltd.</t>
  </si>
  <si>
    <t>INE169A01031</t>
  </si>
  <si>
    <t>Gokaldas Exports Ltd.</t>
  </si>
  <si>
    <t>INE887G01027</t>
  </si>
  <si>
    <t>Textiles &amp; Apparels</t>
  </si>
  <si>
    <t>Elecon Engineering Company Ltd.</t>
  </si>
  <si>
    <t>INE205B01023</t>
  </si>
  <si>
    <t>Triveni Turbine Ltd.</t>
  </si>
  <si>
    <t>INE152M01016</t>
  </si>
  <si>
    <t>Motherson Sumi Wiring India Ltd.</t>
  </si>
  <si>
    <t>INE0FS801015</t>
  </si>
  <si>
    <t>Savita Oil Technologies Ltd.</t>
  </si>
  <si>
    <t>INE035D01020</t>
  </si>
  <si>
    <t>Kennametal India Ltd.</t>
  </si>
  <si>
    <t>INE717A01029</t>
  </si>
  <si>
    <t>Syrma Sgs Technology Ltd.</t>
  </si>
  <si>
    <t>INE0DYJ01015</t>
  </si>
  <si>
    <t>Hindware Home Innovation Ltd.</t>
  </si>
  <si>
    <t>INE05AN01011</t>
  </si>
  <si>
    <t>Max Healthcare Institute Ltd.</t>
  </si>
  <si>
    <t>INE027H01010</t>
  </si>
  <si>
    <t>Cyient Ltd.</t>
  </si>
  <si>
    <t>INE136B01020</t>
  </si>
  <si>
    <t>Bharat Bijlee Ltd.</t>
  </si>
  <si>
    <t>INE464A01036</t>
  </si>
  <si>
    <t>Techno Electric &amp; Engineering Co. Ltd.</t>
  </si>
  <si>
    <t>INE285K01026</t>
  </si>
  <si>
    <t>Sudarshan Chemical Industries Ltd.</t>
  </si>
  <si>
    <t>INE659A01023</t>
  </si>
  <si>
    <t>Surya Roshni Ltd.</t>
  </si>
  <si>
    <t>INE335A01020</t>
  </si>
  <si>
    <t>PSP Projects Ltd.</t>
  </si>
  <si>
    <t>INE488V01015</t>
  </si>
  <si>
    <t>EIH Ltd.</t>
  </si>
  <si>
    <t>INE230A01023</t>
  </si>
  <si>
    <t>Radico Khaitan Ltd.</t>
  </si>
  <si>
    <t>INE944F01028</t>
  </si>
  <si>
    <t>Sharda Cropchem Ltd.</t>
  </si>
  <si>
    <t>INE221J01015</t>
  </si>
  <si>
    <t>Apollo Hospitals Enterprise Ltd.</t>
  </si>
  <si>
    <t>INE437A01024</t>
  </si>
  <si>
    <t>JK Paper Ltd.</t>
  </si>
  <si>
    <t>INE789E01012</t>
  </si>
  <si>
    <t>Paper, Forest &amp; Jute Products</t>
  </si>
  <si>
    <t>Artemis Medicare Services Ltd.</t>
  </si>
  <si>
    <t>INE025R01021</t>
  </si>
  <si>
    <t>Vascon Engineers Ltd.</t>
  </si>
  <si>
    <t>INE893I01013</t>
  </si>
  <si>
    <t>Page Industries Ltd.</t>
  </si>
  <si>
    <t>INE761H01022</t>
  </si>
  <si>
    <t>Bajaj Auto Ltd.</t>
  </si>
  <si>
    <t>INE917I01010</t>
  </si>
  <si>
    <t>MRS Bectors Food Specialities Ltd.</t>
  </si>
  <si>
    <t>INE495P01012</t>
  </si>
  <si>
    <t>Sanofi India Ltd.</t>
  </si>
  <si>
    <t>INE058A01010</t>
  </si>
  <si>
    <t>PCBL Ltd.</t>
  </si>
  <si>
    <t>INE602A01031</t>
  </si>
  <si>
    <t>Sanofi Consumer Healthcare India Ltd. #</t>
  </si>
  <si>
    <t>INE0UOS01011</t>
  </si>
  <si>
    <t>CCL Products (India) Ltd.</t>
  </si>
  <si>
    <t>INE421D01022</t>
  </si>
  <si>
    <t>Agricultural Food &amp; other Products</t>
  </si>
  <si>
    <t>JB Chemicals &amp; Pharmaceuticals Ltd.</t>
  </si>
  <si>
    <t>INE572A01036</t>
  </si>
  <si>
    <t>Cipla Ltd.</t>
  </si>
  <si>
    <t>INE059A01026</t>
  </si>
  <si>
    <t>Divi's Laboratories Ltd.</t>
  </si>
  <si>
    <t>INE361B01024</t>
  </si>
  <si>
    <t>IPCA Laboratories Ltd.</t>
  </si>
  <si>
    <t>INE571A01038</t>
  </si>
  <si>
    <t>Laurus Labs Ltd.</t>
  </si>
  <si>
    <t>INE947Q01028</t>
  </si>
  <si>
    <t>Metropolis Healthcare Ltd.</t>
  </si>
  <si>
    <t>INE112L01020</t>
  </si>
  <si>
    <t>Suven Pharmaceuticals Ltd.</t>
  </si>
  <si>
    <t>INE03QK01018</t>
  </si>
  <si>
    <t>UNO Minda Ltd.</t>
  </si>
  <si>
    <t>INE405E01023</t>
  </si>
  <si>
    <t>Schaeffler India Ltd.</t>
  </si>
  <si>
    <t>INE513A01022</t>
  </si>
  <si>
    <t>Balkrishna Industries Ltd.</t>
  </si>
  <si>
    <t>INE787D01026</t>
  </si>
  <si>
    <t>Torrent Power Ltd.</t>
  </si>
  <si>
    <t>INE813H01021</t>
  </si>
  <si>
    <t>The Indian Hotels Company Ltd.</t>
  </si>
  <si>
    <t>INE053A01029</t>
  </si>
  <si>
    <t>Endurance Technologies Ltd.</t>
  </si>
  <si>
    <t>INE913H01037</t>
  </si>
  <si>
    <t>ZF Commercial Vehicle Ctrl Sys Ind Ltd.</t>
  </si>
  <si>
    <t>INE342J01019</t>
  </si>
  <si>
    <t>K.P.R. Mill Ltd.</t>
  </si>
  <si>
    <t>INE930H01031</t>
  </si>
  <si>
    <t>Voltas Ltd.</t>
  </si>
  <si>
    <t>INE226A01021</t>
  </si>
  <si>
    <t>3M India Ltd.</t>
  </si>
  <si>
    <t>INE470A01017</t>
  </si>
  <si>
    <t>Diversified</t>
  </si>
  <si>
    <t>Astral Ltd.</t>
  </si>
  <si>
    <t>INE006I01046</t>
  </si>
  <si>
    <t>Supreme Industries Ltd.</t>
  </si>
  <si>
    <t>INE195A01028</t>
  </si>
  <si>
    <t>P I INDUSTRIES LIMITED</t>
  </si>
  <si>
    <t>INE603J01030</t>
  </si>
  <si>
    <t>Cholamandalam Investment &amp; Fin Co Ltd.</t>
  </si>
  <si>
    <t>INE121A01024</t>
  </si>
  <si>
    <t>Escorts Kubota Ltd.</t>
  </si>
  <si>
    <t>INE042A01014</t>
  </si>
  <si>
    <t>Honeywell Automation India Ltd.</t>
  </si>
  <si>
    <t>INE671A01010</t>
  </si>
  <si>
    <t>Tata Elxsi Ltd.</t>
  </si>
  <si>
    <t>INE670A01012</t>
  </si>
  <si>
    <t>Metro Brands Ltd.</t>
  </si>
  <si>
    <t>INE317I01021</t>
  </si>
  <si>
    <t>Nippon Life India Asset Management Ltd.</t>
  </si>
  <si>
    <t>INE298J01013</t>
  </si>
  <si>
    <t>Muthoot Finance Ltd.</t>
  </si>
  <si>
    <t>INE414G01012</t>
  </si>
  <si>
    <t>Coforge Ltd.</t>
  </si>
  <si>
    <t>INE591G01017</t>
  </si>
  <si>
    <t>Kirloskar Oil Engines Ltd.</t>
  </si>
  <si>
    <t>INE146L01010</t>
  </si>
  <si>
    <t>Prestige Estates Projects Ltd.</t>
  </si>
  <si>
    <t>INE811K01011</t>
  </si>
  <si>
    <t>Swan Energy Ltd.</t>
  </si>
  <si>
    <t>INE665A01038</t>
  </si>
  <si>
    <t>Jubilant Foodworks Ltd.</t>
  </si>
  <si>
    <t>INE797F01020</t>
  </si>
  <si>
    <t>Tata Communications Ltd.</t>
  </si>
  <si>
    <t>INE151A01013</t>
  </si>
  <si>
    <t>ACC Ltd.</t>
  </si>
  <si>
    <t>INE012A01025</t>
  </si>
  <si>
    <t>Oberoi Realty Ltd.</t>
  </si>
  <si>
    <t>INE093I01010</t>
  </si>
  <si>
    <t>Titagarh Rail Systems Ltd.</t>
  </si>
  <si>
    <t>INE615H01020</t>
  </si>
  <si>
    <t>Bharat Dynamics Ltd.</t>
  </si>
  <si>
    <t>INE171Z01026</t>
  </si>
  <si>
    <t>Cummins India Ltd.</t>
  </si>
  <si>
    <t>INE298A01020</t>
  </si>
  <si>
    <t>Oil &amp; Natural Gas Corporation Ltd.</t>
  </si>
  <si>
    <t>INE213A01029</t>
  </si>
  <si>
    <t>Total outstanding position(as at 30 June 2024 ) in Derivative Instruments(Gross National) 567.44 lacs.</t>
  </si>
  <si>
    <t>Total percentage of existing assets hedge through futures is 32.11%.</t>
  </si>
  <si>
    <t>VA Tech Wabag Ltd.</t>
  </si>
  <si>
    <t>INE956G01038</t>
  </si>
  <si>
    <t>Other Utilities</t>
  </si>
  <si>
    <t>Kajaria Ceramics Ltd.</t>
  </si>
  <si>
    <t>INE217B01036</t>
  </si>
  <si>
    <t>Vinati Organics Ltd.</t>
  </si>
  <si>
    <t>INE410B01037</t>
  </si>
  <si>
    <t>IRM Energy Ltd.</t>
  </si>
  <si>
    <t>INE07U701015</t>
  </si>
  <si>
    <t>Mahindra Lifespace Developers Ltd.</t>
  </si>
  <si>
    <t>INE813A01018</t>
  </si>
  <si>
    <t>Jyothy Labs Ltd.</t>
  </si>
  <si>
    <t>INE668F01031</t>
  </si>
  <si>
    <t>Household Products</t>
  </si>
  <si>
    <t>Alicon Castalloy Ltd.</t>
  </si>
  <si>
    <t>INE062D01024</t>
  </si>
  <si>
    <t>Apar Industries Ltd.</t>
  </si>
  <si>
    <t>INE372A01015</t>
  </si>
  <si>
    <t>Ador Welding Ltd.</t>
  </si>
  <si>
    <t>INE045A01017</t>
  </si>
  <si>
    <t>Wendt India Ltd.</t>
  </si>
  <si>
    <t>INE274C01019</t>
  </si>
  <si>
    <t>TVS Holdings Ltd.</t>
  </si>
  <si>
    <t>INE105A01035</t>
  </si>
  <si>
    <t>CESC Ltd.</t>
  </si>
  <si>
    <t>INE486A01021</t>
  </si>
  <si>
    <t>Disa India Ltd.</t>
  </si>
  <si>
    <t>INE131C01011</t>
  </si>
  <si>
    <t>INOX India Limited</t>
  </si>
  <si>
    <t>INE616N01034</t>
  </si>
  <si>
    <t>Blue Star Ltd.</t>
  </si>
  <si>
    <t>INE472A01039</t>
  </si>
  <si>
    <t>BSE Ltd.</t>
  </si>
  <si>
    <t>INE118H01025</t>
  </si>
  <si>
    <t>Huhtamaki India Ltd.</t>
  </si>
  <si>
    <t>INE275B01026</t>
  </si>
  <si>
    <t>PNC Infratech Ltd.</t>
  </si>
  <si>
    <t>INE195J01029</t>
  </si>
  <si>
    <t>KSB Ltd.</t>
  </si>
  <si>
    <t>INE999A01015</t>
  </si>
  <si>
    <t>Lemon Tree Hotels Ltd.</t>
  </si>
  <si>
    <t>INE970X01018</t>
  </si>
  <si>
    <t>Elgi Equipments Ltd.</t>
  </si>
  <si>
    <t>INE285A01027</t>
  </si>
  <si>
    <t>Avalon Technologies Ltd.</t>
  </si>
  <si>
    <t>INE0LCL01028</t>
  </si>
  <si>
    <t>Saregama India Ltd.</t>
  </si>
  <si>
    <t>INE979A01025</t>
  </si>
  <si>
    <t>Entertainment</t>
  </si>
  <si>
    <t>Hitachi Energy India Ltd.</t>
  </si>
  <si>
    <t>INE07Y701011</t>
  </si>
  <si>
    <t>EID Parry India Ltd.</t>
  </si>
  <si>
    <t>INE126A01031</t>
  </si>
  <si>
    <t>Ratnamani Metals &amp; Tubes Ltd.</t>
  </si>
  <si>
    <t>INE703B01027</t>
  </si>
  <si>
    <t>Birlasoft Ltd.</t>
  </si>
  <si>
    <t>INE836A01035</t>
  </si>
  <si>
    <t>Navin Fluorine International Ltd.</t>
  </si>
  <si>
    <t>INE048G01026</t>
  </si>
  <si>
    <t>Crompton Greaves Cons Electrical Ltd.</t>
  </si>
  <si>
    <t>INE299U01018</t>
  </si>
  <si>
    <t>Kirloskar Pneumatic Co.Ltd.</t>
  </si>
  <si>
    <t>INE811A01020</t>
  </si>
  <si>
    <t>GMM Pfaudler Ltd.</t>
  </si>
  <si>
    <t>INE541A01023</t>
  </si>
  <si>
    <t>Time Technoplast Ltd.</t>
  </si>
  <si>
    <t>INE508G01029</t>
  </si>
  <si>
    <t>Century Plyboards (India) Ltd.</t>
  </si>
  <si>
    <t>INE348B01021</t>
  </si>
  <si>
    <t>Mahanagar Gas Ltd.</t>
  </si>
  <si>
    <t>INE002S01010</t>
  </si>
  <si>
    <t>Arvind Ltd.</t>
  </si>
  <si>
    <t>INE034A01011</t>
  </si>
  <si>
    <t>SP Apparels Ltd.</t>
  </si>
  <si>
    <t>INE212I01016</t>
  </si>
  <si>
    <t>Carysil Ltd.</t>
  </si>
  <si>
    <t>INE482D01024</t>
  </si>
  <si>
    <t>JNK India Ltd.</t>
  </si>
  <si>
    <t>INE0OAF01028</t>
  </si>
  <si>
    <t>NRB Bearing Ltd.</t>
  </si>
  <si>
    <t>INE349A01021</t>
  </si>
  <si>
    <t>Divgi Torqtransfer Systems Ltd.</t>
  </si>
  <si>
    <t>INE753U01022</t>
  </si>
  <si>
    <t>Birla Corporation Ltd.</t>
  </si>
  <si>
    <t>INE340A01012</t>
  </si>
  <si>
    <t>Swaraj Engines Ltd.</t>
  </si>
  <si>
    <t>INE277A01016</t>
  </si>
  <si>
    <t>Foseco India Ltd.</t>
  </si>
  <si>
    <t>INE519A01011</t>
  </si>
  <si>
    <t>Kalyani Steels Ltd.</t>
  </si>
  <si>
    <t>INE907A01026</t>
  </si>
  <si>
    <t>IFGL Refractories Ltd.</t>
  </si>
  <si>
    <t>INE133Y01011</t>
  </si>
  <si>
    <t>LIC Mutual Fund</t>
  </si>
  <si>
    <t>INF397L01554</t>
  </si>
  <si>
    <t>Tata Consumer Products Ltd.</t>
  </si>
  <si>
    <t>INE192A01025</t>
  </si>
  <si>
    <t>Pidilite Industries Ltd.</t>
  </si>
  <si>
    <t>INE318A01026</t>
  </si>
  <si>
    <t>ICICI Lombard General Insurance Co. Ltd.</t>
  </si>
  <si>
    <t>INE765G01017</t>
  </si>
  <si>
    <t>Avenue Supermarts Ltd.</t>
  </si>
  <si>
    <t>INE192R01011</t>
  </si>
  <si>
    <t>Schneider Electric Infrastructure Ltd.</t>
  </si>
  <si>
    <t>INE839M01018</t>
  </si>
  <si>
    <t>NLC India Ltd.</t>
  </si>
  <si>
    <t>INE589A01014</t>
  </si>
  <si>
    <t>Housing &amp; Urban Development Corp Ltd.</t>
  </si>
  <si>
    <t>INE031A01017</t>
  </si>
  <si>
    <t>Ashoka Buildcon Ltd.</t>
  </si>
  <si>
    <t>INE442H01029</t>
  </si>
  <si>
    <t>Blue Dart Express Ltd.</t>
  </si>
  <si>
    <t>INE233B01017</t>
  </si>
  <si>
    <t>Yatharth Hospital&amp;Trauma Care Serv Ltd.</t>
  </si>
  <si>
    <t>INE0JO301016</t>
  </si>
  <si>
    <t>Pitti Engineering Ltd.</t>
  </si>
  <si>
    <t>INE450D01021</t>
  </si>
  <si>
    <t>Tata Chemicals Ltd.</t>
  </si>
  <si>
    <t>INE092A01019</t>
  </si>
  <si>
    <t>JSW Infrastructure Ltd.</t>
  </si>
  <si>
    <t>INE880J01026</t>
  </si>
  <si>
    <t>Kirloskar Industries Ltd.</t>
  </si>
  <si>
    <t>INE250A01039</t>
  </si>
  <si>
    <t>Adani Ports &amp; Special Economic Zone Ltd.</t>
  </si>
  <si>
    <t>INE742F01042</t>
  </si>
  <si>
    <t>Adani Enterprises Ltd.</t>
  </si>
  <si>
    <t>INE423A01024</t>
  </si>
  <si>
    <t>Metals &amp; Minerals Trading</t>
  </si>
  <si>
    <t>Wipro Ltd.</t>
  </si>
  <si>
    <t>INE075A01022</t>
  </si>
  <si>
    <t>Eicher Motors Ltd.</t>
  </si>
  <si>
    <t>INE066A01021</t>
  </si>
  <si>
    <t>Persistent Systems Ltd.</t>
  </si>
  <si>
    <t>INE262H01021</t>
  </si>
  <si>
    <t>Emami Ltd.</t>
  </si>
  <si>
    <t>INE548C01032</t>
  </si>
  <si>
    <t>Brigade Enterprises Ltd.</t>
  </si>
  <si>
    <t>INE791I01019</t>
  </si>
  <si>
    <t>Godfrey Phillips India Ltd.</t>
  </si>
  <si>
    <t>INE260B01028</t>
  </si>
  <si>
    <t>Cigarettes &amp; Tobacco Products</t>
  </si>
  <si>
    <t>Suzlon Energy Ltd.</t>
  </si>
  <si>
    <t>INE040H01021</t>
  </si>
  <si>
    <t>Tube Investments Of India Ltd.</t>
  </si>
  <si>
    <t>INE974X01010</t>
  </si>
  <si>
    <t>CG Power and Industrial Solutions Ltd.</t>
  </si>
  <si>
    <t>INE067A01029</t>
  </si>
  <si>
    <t>Dixon Technologies (India) Ltd.</t>
  </si>
  <si>
    <t>INE935N01020</t>
  </si>
  <si>
    <t>Yes Bank Ltd.</t>
  </si>
  <si>
    <t>INE528G01035</t>
  </si>
  <si>
    <t>PB Fintech Ltd.</t>
  </si>
  <si>
    <t>INE417T01026</t>
  </si>
  <si>
    <t>Financial Technology (Fintech)</t>
  </si>
  <si>
    <t>JSW Energy Ltd.</t>
  </si>
  <si>
    <t>INE121E01018</t>
  </si>
  <si>
    <t>Lupin Ltd.</t>
  </si>
  <si>
    <t>INE326A01037</t>
  </si>
  <si>
    <t>Vodafone Idea Ltd.</t>
  </si>
  <si>
    <t>INE669E01016</t>
  </si>
  <si>
    <t>AU Small Finance Bank Ltd.</t>
  </si>
  <si>
    <t>INE949L01017</t>
  </si>
  <si>
    <t>Godrej Properties Ltd.</t>
  </si>
  <si>
    <t>INE484J01027</t>
  </si>
  <si>
    <t>Polycab India Ltd.</t>
  </si>
  <si>
    <t>INE455K01017</t>
  </si>
  <si>
    <t>Indus Towers Ltd.</t>
  </si>
  <si>
    <t>INE121J01017</t>
  </si>
  <si>
    <t>NHPC Ltd.</t>
  </si>
  <si>
    <t>INE848E01016</t>
  </si>
  <si>
    <t>Union Bank of India</t>
  </si>
  <si>
    <t>INE692A01016</t>
  </si>
  <si>
    <t>MRF Ltd.</t>
  </si>
  <si>
    <t>INE883A01011</t>
  </si>
  <si>
    <t>KPIT Technologies Ltd.</t>
  </si>
  <si>
    <t>INE04I401011</t>
  </si>
  <si>
    <t>Fortis Healthcare Ltd.</t>
  </si>
  <si>
    <t>INE061F01013</t>
  </si>
  <si>
    <t>Petronet LNG Ltd.</t>
  </si>
  <si>
    <t>INE347G01014</t>
  </si>
  <si>
    <t>LIC Housing Finance Ltd.</t>
  </si>
  <si>
    <t>INE115A01026</t>
  </si>
  <si>
    <t>Max Financial Services Ltd.</t>
  </si>
  <si>
    <t>INE180A01020</t>
  </si>
  <si>
    <t>FSN E-Commerce Ventures Ltd.</t>
  </si>
  <si>
    <t>INE388Y01029</t>
  </si>
  <si>
    <t>Rail Vikas Nigam Ltd.</t>
  </si>
  <si>
    <t>INE415G01027</t>
  </si>
  <si>
    <t>Oracle Financial Services Software Ltd.</t>
  </si>
  <si>
    <t>INE881D01027</t>
  </si>
  <si>
    <t>Steel Authority of India Ltd.</t>
  </si>
  <si>
    <t>INE114A01011</t>
  </si>
  <si>
    <t>Indian Bank</t>
  </si>
  <si>
    <t>INE562A01011</t>
  </si>
  <si>
    <t>Apollo Tyres Ltd.</t>
  </si>
  <si>
    <t>INE438A01022</t>
  </si>
  <si>
    <t>Delhivery Ltd.</t>
  </si>
  <si>
    <t>INE148O01028</t>
  </si>
  <si>
    <t>Indraprastha Gas Ltd.</t>
  </si>
  <si>
    <t>INE203G01027</t>
  </si>
  <si>
    <t>Kalyan Jewellers India Ltd.</t>
  </si>
  <si>
    <t>INE303R01014</t>
  </si>
  <si>
    <t>Patanjali Foods Ltd.</t>
  </si>
  <si>
    <t>INE619A01035</t>
  </si>
  <si>
    <t>Zee Entertainment Enterprises Ltd.</t>
  </si>
  <si>
    <t>INE256A01028</t>
  </si>
  <si>
    <t>L&amp;T Technology Services Ltd.</t>
  </si>
  <si>
    <t>INE010V01017</t>
  </si>
  <si>
    <t>Mazagon Dock Shipbuilders Ltd.</t>
  </si>
  <si>
    <t>INE249Z01012</t>
  </si>
  <si>
    <t>One 97 Communications Ltd.</t>
  </si>
  <si>
    <t>INE982J01020</t>
  </si>
  <si>
    <t>Gland Pharma Ltd.</t>
  </si>
  <si>
    <t>INE068V01023</t>
  </si>
  <si>
    <t>Poonawalla Fincorp Ltd.</t>
  </si>
  <si>
    <t>INE511C01022</t>
  </si>
  <si>
    <t>Gujarat Gas Ltd.</t>
  </si>
  <si>
    <t>INE844O01030</t>
  </si>
  <si>
    <t>Dr. Lal Path Labs Ltd.</t>
  </si>
  <si>
    <t>INE600L01024</t>
  </si>
  <si>
    <t>SJVN Ltd.</t>
  </si>
  <si>
    <t>INE002L01015</t>
  </si>
  <si>
    <t>Tata Technologies Ltd.</t>
  </si>
  <si>
    <t>INE142M01025</t>
  </si>
  <si>
    <t>Bank of Maharashtra</t>
  </si>
  <si>
    <t>INE457A01014</t>
  </si>
  <si>
    <t>Fertilizers &amp; Chemicals Travancore Ltd.</t>
  </si>
  <si>
    <t>INE188A01015</t>
  </si>
  <si>
    <t>Sun TV Network Ltd.</t>
  </si>
  <si>
    <t>INE424H01027</t>
  </si>
  <si>
    <t>IDBI Bank Ltd.</t>
  </si>
  <si>
    <t>INE008A01015</t>
  </si>
  <si>
    <t>Bharti Hexacom Ltd.</t>
  </si>
  <si>
    <t>INE343G01021</t>
  </si>
  <si>
    <t>Star Health &amp; Allied Insurance Co Ltd.</t>
  </si>
  <si>
    <t>INE575P01011</t>
  </si>
  <si>
    <t>Cello World Ltd.</t>
  </si>
  <si>
    <t>INE0LMW01024</t>
  </si>
  <si>
    <t>Vedant Fashions Ltd.</t>
  </si>
  <si>
    <t>INE825V01034</t>
  </si>
  <si>
    <t>ABB India Ltd.</t>
  </si>
  <si>
    <t>INE117A01022</t>
  </si>
  <si>
    <t>Ambuja Cements Ltd.</t>
  </si>
  <si>
    <t>INE079A01024</t>
  </si>
  <si>
    <t>Jindal Steel &amp; Power Ltd.</t>
  </si>
  <si>
    <t>INE749A01030</t>
  </si>
  <si>
    <t>Jio Financial Services Ltd.</t>
  </si>
  <si>
    <t>INE758E01017</t>
  </si>
  <si>
    <t>Colgate Palmolive (India) Ltd.</t>
  </si>
  <si>
    <t>INE259A01022</t>
  </si>
  <si>
    <t>Shree Cement Ltd.</t>
  </si>
  <si>
    <t>INE070A01015</t>
  </si>
  <si>
    <t>Dabur India Ltd.</t>
  </si>
  <si>
    <t>INE016A01026</t>
  </si>
  <si>
    <t>Marico Ltd.</t>
  </si>
  <si>
    <t>INE196A01026</t>
  </si>
  <si>
    <t>Bosch Ltd.</t>
  </si>
  <si>
    <t>INE323A01026</t>
  </si>
  <si>
    <t>Adani Power Ltd.</t>
  </si>
  <si>
    <t>INE814H01011</t>
  </si>
  <si>
    <t>SBI Cards &amp; Payment Services Ltd.</t>
  </si>
  <si>
    <t>INE018E01016</t>
  </si>
  <si>
    <t>Adani Green Energy Ltd.</t>
  </si>
  <si>
    <t>INE364U01010</t>
  </si>
  <si>
    <t>Berger Paints (I) Ltd.</t>
  </si>
  <si>
    <t>INE463A01038</t>
  </si>
  <si>
    <t>Bajaj Holdings &amp; Investment Ltd.</t>
  </si>
  <si>
    <t>INE118A01012</t>
  </si>
  <si>
    <t>Indian Railway Finance Corporation Ltd.</t>
  </si>
  <si>
    <t>INE053F01010</t>
  </si>
  <si>
    <t>Adani Energy Solutions Ltd.</t>
  </si>
  <si>
    <t>INE931S01010</t>
  </si>
  <si>
    <t>Adani Total Gas Ltd.</t>
  </si>
  <si>
    <t>INE399L01023</t>
  </si>
  <si>
    <t>Life Insurance Corporation of India</t>
  </si>
  <si>
    <t>INE0J1Y01017</t>
  </si>
  <si>
    <t>Tata Motors Ltd (DVR)</t>
  </si>
  <si>
    <t>IN9155A01020</t>
  </si>
  <si>
    <t>Thermax Ltd.</t>
  </si>
  <si>
    <t>INE152A01029</t>
  </si>
  <si>
    <t>Affle (India) Ltd.</t>
  </si>
  <si>
    <t>INE00WC01027</t>
  </si>
  <si>
    <t>AIA Engineering Ltd.</t>
  </si>
  <si>
    <t>INE212H01026</t>
  </si>
  <si>
    <t>Safari Industries India Ltd.</t>
  </si>
  <si>
    <t>INE429E01023</t>
  </si>
  <si>
    <t>Grindwell Norton Ltd.</t>
  </si>
  <si>
    <t>INE536A01023</t>
  </si>
  <si>
    <t>Carborundum Universal Ltd.</t>
  </si>
  <si>
    <t>INE120A01034</t>
  </si>
  <si>
    <t>Cera Sanitaryware Ltd.</t>
  </si>
  <si>
    <t>INE739E01017</t>
  </si>
  <si>
    <t>Bajaj Electricals Ltd.</t>
  </si>
  <si>
    <t>INE193E01025</t>
  </si>
  <si>
    <t>SKF India Ltd.</t>
  </si>
  <si>
    <t>INE640A01023</t>
  </si>
  <si>
    <t>MM Forgings Ltd.</t>
  </si>
  <si>
    <t>INE227C01017</t>
  </si>
  <si>
    <t>RHI Magnesita India Ltd.</t>
  </si>
  <si>
    <t>INE743M01012</t>
  </si>
  <si>
    <t>Bajel Projects Ltd.</t>
  </si>
  <si>
    <t>INE0KQN01018</t>
  </si>
  <si>
    <t>Bharti Airtel Ltd. PARTLY PAID UP FV 1.25</t>
  </si>
  <si>
    <t>IN9397D01014</t>
  </si>
  <si>
    <t>5.74% Government of India</t>
  </si>
  <si>
    <t>IN0020210186</t>
  </si>
  <si>
    <t>NSE Symbol: LICNMID100</t>
  </si>
  <si>
    <t>BSE Scrip Code: 544123</t>
  </si>
  <si>
    <t>NSE Symbol: LICNFNHGP</t>
  </si>
  <si>
    <t>BSE Scrip Code: 539784</t>
  </si>
  <si>
    <t>NSE Symbol: LICNETFN50</t>
  </si>
  <si>
    <t>BSE Scrip Code: 539480</t>
  </si>
  <si>
    <t>NSE Symbol: LICNETFSEN</t>
  </si>
  <si>
    <t>BSE Scrip Code: 539487</t>
  </si>
  <si>
    <t>Riskometer</t>
  </si>
  <si>
    <t>Low</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</si>
  <si>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</si>
  <si>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</si>
  <si>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</si>
  <si>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</si>
  <si>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</si>
  <si>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</si>
  <si>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</si>
  <si>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</si>
  <si>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Very High</t>
  </si>
  <si>
    <t>High</t>
  </si>
  <si>
    <t xml:space="preserve">          LIC MF Arbitrage Fund</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</si>
  <si>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</si>
  <si>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</si>
  <si>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</si>
  <si>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</si>
  <si>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NIFTY 50 Hybrid Composite Debt 50:50 Index</t>
  </si>
  <si>
    <t>•Capital appreciation over a long period of time</t>
  </si>
  <si>
    <t>•Investments in a dynamically managed portfolio of equity and equity related instruments, debt and money market instruments</t>
  </si>
  <si>
    <r>
      <t>•</t>
    </r>
    <r>
      <rPr>
        <b/>
        <sz val="9"/>
        <color rgb="FF000000"/>
        <rFont val="Arial"/>
        <family val="2"/>
      </rPr>
      <t>Risk - Very High</t>
    </r>
  </si>
  <si>
    <r>
      <t>•</t>
    </r>
    <r>
      <rPr>
        <b/>
        <sz val="9"/>
        <color rgb="FF000000"/>
        <rFont val="Arial"/>
        <family val="2"/>
      </rPr>
      <t>Risk - High</t>
    </r>
  </si>
  <si>
    <t>CRISIL Hybrid 35+65 - Aggressive Index</t>
  </si>
  <si>
    <t>•Long term capital appreciation with current income</t>
  </si>
  <si>
    <t xml:space="preserve">•A fund that invests both in stocks and fixed income instruments. </t>
  </si>
  <si>
    <t>LIC MF Banking &amp; Financial Services Fund</t>
  </si>
  <si>
    <t>•Capital appreciation over long term.</t>
  </si>
  <si>
    <t>Nifty Financial Services TRI</t>
  </si>
  <si>
    <t>•Investing predominantly in portfolio of equity and equity related securities of companies engaged in banking and financial services.</t>
  </si>
  <si>
    <r>
      <t>•</t>
    </r>
    <r>
      <rPr>
        <b/>
        <sz val="9"/>
        <color rgb="FF000000"/>
        <rFont val="Arial"/>
        <family val="2"/>
      </rPr>
      <t>Risk – Very High</t>
    </r>
  </si>
  <si>
    <t>LIC MF Children's Fund</t>
  </si>
  <si>
    <t>•Long term capital appreciation and current income</t>
  </si>
  <si>
    <t>•A fund that invests both in stocks and fixed income instruments.</t>
  </si>
  <si>
    <t>NIFTY 500  TRI</t>
  </si>
  <si>
    <t>•Long term capital appreciation</t>
  </si>
  <si>
    <t>•Investment predominantly in dividend yielding equity and equity related instruments.</t>
  </si>
  <si>
    <t>BSE Healthcare Total Return Index</t>
  </si>
  <si>
    <t>•Investment predominantly in equity and equity related instruments of companies engaged in Healthcare &amp; Allied Sectors</t>
  </si>
  <si>
    <t>LIC MF Midcap Fund</t>
  </si>
  <si>
    <t>NIFTY Midcap 150 - TRI</t>
  </si>
  <si>
    <t>•Investment predominantly in equity and equity related instruments of Midcap companies.</t>
  </si>
  <si>
    <t>NIFTY Equity Savings Index</t>
  </si>
  <si>
    <t>•Regular income &amp; Capital appreciation over Medium to Long term</t>
  </si>
  <si>
    <t>•Investment in equity and equity related Instruments including equity derivatives, arbitrage and debt and money market instruments</t>
  </si>
  <si>
    <t>Nifty 500 TRI</t>
  </si>
  <si>
    <t>•Investing across Large, Mid &amp; Small Cap stocks.</t>
  </si>
  <si>
    <t>LIC MF SmallCap Fund</t>
  </si>
  <si>
    <t>NIFTY Smallcap 250 - TRI</t>
  </si>
  <si>
    <t>•Investment predominantly in equity and equity related instruments of Smallcap companies.</t>
  </si>
  <si>
    <t>LIC  MF Focused Fund</t>
  </si>
  <si>
    <t>NIFTY 500 - TRI</t>
  </si>
  <si>
    <t>• Investment predominantly in large cap focused equity &amp; equity related instruments of up to 30 ompanies and balance in debt &amp; money market instruments.</t>
  </si>
  <si>
    <t>Domestic Price of Gold</t>
  </si>
  <si>
    <t>•To replicate returns of LIC MF Gold ETF FOF with at least medium term horizon</t>
  </si>
  <si>
    <t>•Investments in units of LIC MF Gold ETF / Money Market Instruments/ LIC MF Liquid Fund Scheme</t>
  </si>
  <si>
    <t>NIFTY 100 TRI</t>
  </si>
  <si>
    <t>•Long Term Capital Appreciation</t>
  </si>
  <si>
    <t>•A Fund that primarily invest in large-cap stock.</t>
  </si>
  <si>
    <t>Nifty Infrastructure TRI</t>
  </si>
  <si>
    <t>•Long Term Capital Growth</t>
  </si>
  <si>
    <t>•Investment in equity and equity related instruments of companies engaged either directly or indirectly in infrastructure sector.</t>
  </si>
  <si>
    <t>NIFTY 50 TRI</t>
  </si>
  <si>
    <r>
      <t>•</t>
    </r>
    <r>
      <rPr>
        <sz val="9"/>
        <color rgb="FF000000"/>
        <rFont val="Arial"/>
        <family val="2"/>
      </rPr>
      <t>Long Term Capital Growth</t>
    </r>
  </si>
  <si>
    <r>
      <t>•</t>
    </r>
    <r>
      <rPr>
        <sz val="9"/>
        <color rgb="FF000000"/>
        <rFont val="Arial"/>
        <family val="2"/>
      </rPr>
      <t>Investment in equity instrument of respective index stocks subject to tracking error.</t>
    </r>
  </si>
  <si>
    <t>BSE Sensex Total Return Index</t>
  </si>
  <si>
    <t>•Investment in equity and equity related instruments by following value investment strategy.</t>
  </si>
  <si>
    <t>Nifty Midcap 100 TRI</t>
  </si>
  <si>
    <t>•Long term investment.</t>
  </si>
  <si>
    <t>•Investment in equity and equity related securities and portfolios replicating the composition of Nifty Midcap 100 Total Returns Index, subject to tracking errors.</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</si>
  <si>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</si>
  <si>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</si>
  <si>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</si>
  <si>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NIFTY 500 Multicap 50:25:25 TRI</t>
  </si>
  <si>
    <r>
      <t>•</t>
    </r>
    <r>
      <rPr>
        <sz val="9"/>
        <color rgb="FF000000"/>
        <rFont val="Arial"/>
        <family val="2"/>
      </rPr>
      <t>Investment in equity and equity related instruments across Large, Mid &amp; Small Cap stocks.</t>
    </r>
  </si>
  <si>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</si>
  <si>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</si>
  <si>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</si>
  <si>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</si>
  <si>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</si>
  <si>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</si>
  <si>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r>
      <t>•</t>
    </r>
    <r>
      <rPr>
        <sz val="9"/>
        <color rgb="FF000000"/>
        <rFont val="Arial"/>
        <family val="2"/>
      </rPr>
      <t>Investment in equity and equity related securities</t>
    </r>
  </si>
  <si>
    <r>
      <t>•</t>
    </r>
    <r>
      <rPr>
        <sz val="9"/>
        <color rgb="FF000000"/>
        <rFont val="Arial"/>
        <family val="2"/>
      </rPr>
      <t>Investment in securities covered by NIFTY 50 Index, subject to tracking errors.</t>
    </r>
  </si>
  <si>
    <r>
      <t>•</t>
    </r>
    <r>
      <rPr>
        <b/>
        <sz val="9"/>
        <color rgb="FF000000"/>
        <rFont val="Arial"/>
        <family val="2"/>
      </rPr>
      <t>Risk- Very High</t>
    </r>
  </si>
  <si>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</si>
  <si>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</si>
  <si>
    <r>
      <t>•</t>
    </r>
    <r>
      <rPr>
        <sz val="9"/>
        <color rgb="FF000000"/>
        <rFont val="Arial"/>
        <family val="2"/>
      </rPr>
      <t>Investment in securities covered by BSE SENSEX,  subject to tracking errors.</t>
    </r>
  </si>
  <si>
    <r>
      <t>•</t>
    </r>
    <r>
      <rPr>
        <sz val="9"/>
        <color rgb="FF000000"/>
        <rFont val="Arial"/>
        <family val="2"/>
      </rPr>
      <t>Investment in equity instrument of BSE Sensex index stocks subject to tracking error.</t>
    </r>
  </si>
  <si>
    <t>•Long term capital appreciation.</t>
  </si>
  <si>
    <t>LIC MF CHILDREN'S FUND (ERSTWHILE LIC MF CHILDREN'S GIFT FUND)</t>
  </si>
  <si>
    <t>LIC MF FOCUSED FUND (ERSTWHILE LIC MF FOCUSED 30 EQUITY FUND)</t>
  </si>
  <si>
    <t>LIC MF BSE SENSEX INDEX FUND (ERSTWHILE LIC MF S &amp; P BSE SENSEX INDEX FUND)</t>
  </si>
  <si>
    <t>LIC MF VALUE FUND (ERSTWHILE LIC MF LONG TERM VALUE FUND)</t>
  </si>
  <si>
    <t>LIC MF ELSS TAX SAVER (ERSTWHILE LIC MF ELSS)</t>
  </si>
  <si>
    <t>LIC MF BSE SENSEX ETF (ERSTWHILE LIC MF S &amp; P BSE SENSEX ETF)</t>
  </si>
  <si>
    <t>Moderately High</t>
  </si>
  <si>
    <t>•Risk - Moderately High</t>
  </si>
  <si>
    <t>LICMFGOLDETF</t>
  </si>
  <si>
    <t>LIC MF Gold Exchange Traded Fund</t>
  </si>
  <si>
    <r>
      <t xml:space="preserve">NSE Symbol: </t>
    </r>
    <r>
      <rPr>
        <b/>
        <sz val="9"/>
        <color theme="1"/>
        <rFont val="Arial"/>
        <family val="2"/>
      </rPr>
      <t>LICMFGOLD</t>
    </r>
  </si>
  <si>
    <r>
      <t xml:space="preserve">BSE Scrip Code: </t>
    </r>
    <r>
      <rPr>
        <b/>
        <sz val="9"/>
        <color theme="1"/>
        <rFont val="Arial"/>
        <family val="2"/>
      </rPr>
      <t>533719</t>
    </r>
  </si>
  <si>
    <t>Gold</t>
  </si>
  <si>
    <t>• To replicate the performance of gold in domestic prices with at least medium term horizon.</t>
  </si>
  <si>
    <t>• Investments in physical gold and gold related instruments / debt &amp; money market instruments.</t>
  </si>
  <si>
    <t>LIC MF GOLD EXCHANGE TRADED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</si>
</sst>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3"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9"/>
      <color rgb="FFFFFFFF"/>
      <name val="Arial"/>
      <family val="2"/>
    </font>
    <font>
      <b/>
      <sz val="9"/>
      <name val="Arial"/>
      <family val="2"/>
    </font>
    <font>
      <b/>
      <sz val="9"/>
      <color rgb="FF000000"/>
      <name val="Arial"/>
      <family val="2"/>
    </font>
    <font>
      <sz val="9"/>
      <color rgb="FF000000"/>
      <name val="Arial"/>
      <family val="2"/>
    </font>
    <font>
      <sz val="9"/>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36">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thin">
        <color indexed="64"/>
      </left>
      <right style="thin">
        <color indexed="64"/>
      </right>
      <top/>
      <bottom/>
      <diagonal/>
    </border>
    <border>
      <left style="medium">
        <color rgb="FF000000"/>
      </left>
      <right style="medium">
        <color rgb="FF000000"/>
      </right>
      <top style="medium">
        <color indexed="64"/>
      </top>
      <bottom style="medium">
        <color indexed="64"/>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rgb="FF000000"/>
      </right>
      <top/>
      <bottom style="medium">
        <color rgb="FF000000"/>
      </bottom>
      <diagonal/>
    </border>
    <border>
      <left/>
      <right style="medium">
        <color rgb="FF000000"/>
      </right>
      <top/>
      <bottom/>
      <diagonal/>
    </border>
    <border>
      <left style="medium">
        <color rgb="FF000000"/>
      </left>
      <right style="medium">
        <color indexed="64"/>
      </right>
      <top style="medium">
        <color indexed="64"/>
      </top>
      <bottom style="medium">
        <color indexed="64"/>
      </bottom>
      <diagonal/>
    </border>
    <border>
      <left/>
      <right style="medium">
        <color rgb="FF000000"/>
      </right>
      <top style="medium">
        <color rgb="FF000000"/>
      </top>
      <bottom/>
      <diagonal/>
    </border>
    <border>
      <left style="medium">
        <color indexed="64"/>
      </left>
      <right style="medium">
        <color rgb="FF000000"/>
      </right>
      <top/>
      <bottom style="medium">
        <color rgb="FF000000"/>
      </bottom>
      <diagonal/>
    </border>
    <border>
      <left style="medium">
        <color rgb="FF000000"/>
      </left>
      <right style="medium">
        <color rgb="FF000000"/>
      </right>
      <top style="medium">
        <color indexed="64"/>
      </top>
      <bottom/>
      <diagonal/>
    </border>
    <border>
      <left style="medium">
        <color rgb="FF000000"/>
      </left>
      <right style="medium">
        <color rgb="FF000000"/>
      </right>
      <top/>
      <bottom style="medium">
        <color indexed="64"/>
      </bottom>
      <diagonal/>
    </border>
    <border>
      <left/>
      <right/>
      <top/>
      <bottom style="medium">
        <color indexed="64"/>
      </bottom>
      <diagonal/>
    </border>
    <border>
      <left/>
      <right style="medium">
        <color rgb="FF000000"/>
      </right>
      <top style="medium">
        <color indexed="64"/>
      </top>
      <bottom/>
      <diagonal/>
    </border>
    <border>
      <left/>
      <right style="medium">
        <color rgb="FF000000"/>
      </right>
      <top/>
      <bottom style="medium">
        <color indexed="64"/>
      </bottom>
      <diagonal/>
    </border>
    <border>
      <left style="medium">
        <color indexed="64"/>
      </left>
      <right style="thin">
        <color auto="1"/>
      </right>
      <top style="thin">
        <color auto="1"/>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auto="1"/>
      </left>
      <right style="medium">
        <color indexed="64"/>
      </right>
      <top/>
      <bottom/>
      <diagonal/>
    </border>
    <border>
      <left style="medium">
        <color indexed="64"/>
      </left>
      <right style="thin">
        <color auto="1"/>
      </right>
      <top style="thin">
        <color indexed="64"/>
      </top>
      <bottom style="thin">
        <color indexed="64"/>
      </bottom>
      <diagonal/>
    </border>
    <border>
      <left style="medium">
        <color indexed="64"/>
      </left>
      <right style="thin">
        <color auto="1"/>
      </right>
      <top/>
      <bottom style="medium">
        <color indexed="64"/>
      </bottom>
      <diagonal/>
    </border>
    <border>
      <left style="thin">
        <color auto="1"/>
      </left>
      <right style="thin">
        <color auto="1"/>
      </right>
      <top/>
      <bottom style="medium">
        <color indexed="64"/>
      </bottom>
      <diagonal/>
    </border>
    <border>
      <left style="thin">
        <color auto="1"/>
      </left>
      <right style="medium">
        <color indexed="64"/>
      </right>
      <top/>
      <bottom style="medium">
        <color indexed="64"/>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112">
    <xf numFmtId="0" fontId="0" fillId="0" borderId="0" xfId="0"/>
    <xf numFmtId="0" fontId="2" fillId="0" borderId="0" xfId="0" applyFont="1" applyAlignment="1">
      <alignment vertical="center"/>
    </xf>
    <xf numFmtId="0" fontId="2" fillId="0" borderId="0" xfId="0" applyFont="1"/>
    <xf numFmtId="0" fontId="3" fillId="0" borderId="0" xfId="0" applyFont="1"/>
    <xf numFmtId="0" fontId="3" fillId="0" borderId="0" xfId="0" applyFont="1" applyAlignment="1">
      <alignment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2" fillId="0" borderId="0" xfId="0" applyFont="1" applyAlignment="1">
      <alignment vertical="top"/>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3" fillId="0" borderId="0" xfId="0" applyFont="1" applyAlignment="1">
      <alignment horizontal="left"/>
    </xf>
    <xf numFmtId="0" fontId="3" fillId="0" borderId="1" xfId="0" applyFont="1" applyBorder="1" applyAlignment="1">
      <alignment horizontal="left"/>
    </xf>
    <xf numFmtId="0" fontId="1" fillId="0" borderId="3" xfId="0" applyFont="1" applyBorder="1" applyAlignment="1">
      <alignment horizontal="center" vertical="center"/>
    </xf>
    <xf numFmtId="0" fontId="1" fillId="0" borderId="4" xfId="0" applyFont="1" applyBorder="1" applyAlignment="1">
      <alignment horizontal="center" vertical="center"/>
    </xf>
    <xf numFmtId="164" fontId="1" fillId="0" borderId="4" xfId="0" applyNumberFormat="1" applyFont="1" applyBorder="1" applyAlignment="1">
      <alignment horizontal="center" vertical="center"/>
    </xf>
    <xf numFmtId="0" fontId="1" fillId="0" borderId="4" xfId="0" applyFont="1" applyBorder="1" applyAlignment="1">
      <alignment horizontal="center" vertical="center" wrapText="1"/>
    </xf>
    <xf numFmtId="0" fontId="1" fillId="0" borderId="5" xfId="0" applyFont="1" applyBorder="1" applyAlignment="1">
      <alignment horizontal="center" vertical="center" wrapText="1"/>
    </xf>
    <xf numFmtId="0" fontId="2" fillId="0" borderId="6" xfId="0" applyFont="1" applyBorder="1" applyAlignment="1">
      <alignment horizontal="left"/>
    </xf>
    <xf numFmtId="165" fontId="2" fillId="0" borderId="6" xfId="0" applyNumberFormat="1" applyFont="1" applyBorder="1"/>
    <xf numFmtId="166" fontId="2" fillId="0" borderId="6" xfId="0" applyNumberFormat="1" applyFont="1" applyBorder="1"/>
    <xf numFmtId="167" fontId="2" fillId="0" borderId="6" xfId="0" applyNumberFormat="1" applyFont="1" applyBorder="1" applyAlignment="1">
      <alignment horizontal="right"/>
    </xf>
    <xf numFmtId="167" fontId="2" fillId="0" borderId="6" xfId="1" applyNumberFormat="1" applyFont="1" applyBorder="1"/>
    <xf numFmtId="0" fontId="3" fillId="0" borderId="7" xfId="0" applyFont="1" applyBorder="1" applyAlignment="1">
      <alignment horizontal="left"/>
    </xf>
    <xf numFmtId="0" fontId="2" fillId="0" borderId="7" xfId="0" applyFont="1" applyBorder="1" applyAlignment="1">
      <alignment horizontal="left"/>
    </xf>
    <xf numFmtId="164" fontId="2" fillId="0" borderId="7" xfId="0" applyNumberFormat="1" applyFont="1" applyBorder="1"/>
    <xf numFmtId="4" fontId="2" fillId="0" borderId="7" xfId="0" applyNumberFormat="1" applyFont="1" applyBorder="1"/>
    <xf numFmtId="10" fontId="2" fillId="0" borderId="7" xfId="0" applyNumberFormat="1" applyFont="1" applyBorder="1" applyAlignment="1">
      <alignment horizontal="right"/>
    </xf>
    <xf numFmtId="10" fontId="2" fillId="0" borderId="7" xfId="1" applyNumberFormat="1" applyFont="1" applyBorder="1"/>
    <xf numFmtId="164" fontId="3" fillId="0" borderId="7" xfId="0" applyNumberFormat="1" applyFont="1" applyBorder="1"/>
    <xf numFmtId="4" fontId="3" fillId="0" borderId="8" xfId="0" applyNumberFormat="1" applyFont="1" applyBorder="1"/>
    <xf numFmtId="10" fontId="3" fillId="0" borderId="8" xfId="0" applyNumberFormat="1" applyFont="1" applyBorder="1" applyAlignment="1">
      <alignment horizontal="right"/>
    </xf>
    <xf numFmtId="10" fontId="3" fillId="0" borderId="7" xfId="1" applyNumberFormat="1" applyFont="1" applyBorder="1"/>
    <xf numFmtId="4" fontId="2" fillId="0" borderId="8" xfId="0" applyNumberFormat="1" applyFont="1" applyBorder="1" applyAlignment="1">
      <alignment horizontal="right"/>
    </xf>
    <xf numFmtId="10" fontId="2" fillId="0" borderId="8" xfId="0" applyNumberFormat="1" applyFont="1" applyBorder="1" applyAlignment="1">
      <alignment horizontal="right"/>
    </xf>
    <xf numFmtId="0" fontId="3" fillId="0" borderId="8" xfId="0" applyFont="1" applyBorder="1" applyAlignment="1">
      <alignment horizontal="left"/>
    </xf>
    <xf numFmtId="164" fontId="3" fillId="0" borderId="8"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9" xfId="1" applyNumberFormat="1" applyFont="1" applyBorder="1"/>
    <xf numFmtId="0" fontId="3" fillId="0" borderId="6" xfId="0" applyFont="1" applyBorder="1" applyAlignment="1">
      <alignment horizontal="left"/>
    </xf>
    <xf numFmtId="0" fontId="2" fillId="0" borderId="10" xfId="0" applyFont="1" applyBorder="1" applyAlignment="1">
      <alignment horizontal="left"/>
    </xf>
    <xf numFmtId="168" fontId="2" fillId="0" borderId="10" xfId="0" applyNumberFormat="1" applyFont="1" applyBorder="1" applyAlignment="1">
      <alignment horizontal="left"/>
    </xf>
    <xf numFmtId="166" fontId="2" fillId="0" borderId="10" xfId="0" applyNumberFormat="1" applyFont="1" applyBorder="1" applyAlignment="1">
      <alignment horizontal="left"/>
    </xf>
    <xf numFmtId="10" fontId="2" fillId="0" borderId="10" xfId="0" applyNumberFormat="1" applyFont="1" applyBorder="1"/>
    <xf numFmtId="168" fontId="3" fillId="0" borderId="1" xfId="0" applyNumberFormat="1" applyFont="1" applyBorder="1" applyAlignment="1">
      <alignment horizontal="left"/>
    </xf>
    <xf numFmtId="166" fontId="3" fillId="0" borderId="1" xfId="0" applyNumberFormat="1" applyFont="1" applyBorder="1" applyAlignment="1">
      <alignment horizontal="left"/>
    </xf>
    <xf numFmtId="10" fontId="3" fillId="0" borderId="1" xfId="0" applyNumberFormat="1" applyFont="1" applyBorder="1"/>
    <xf numFmtId="10" fontId="2" fillId="0" borderId="0" xfId="0" applyNumberFormat="1" applyFont="1" applyAlignment="1">
      <alignment horizontal="left"/>
    </xf>
    <xf numFmtId="0" fontId="6" fillId="0" borderId="8" xfId="0" applyFont="1" applyBorder="1"/>
    <xf numFmtId="0" fontId="0" fillId="0" borderId="8" xfId="0" applyBorder="1"/>
    <xf numFmtId="0" fontId="8" fillId="3" borderId="11" xfId="0" applyFont="1" applyFill="1" applyBorder="1" applyAlignment="1">
      <alignment horizontal="left" vertical="center" wrapText="1" readingOrder="1"/>
    </xf>
    <xf numFmtId="0" fontId="8" fillId="3" borderId="11" xfId="0" applyFont="1" applyFill="1" applyBorder="1" applyAlignment="1">
      <alignment horizontal="center" vertical="center" wrapText="1" readingOrder="1"/>
    </xf>
    <xf numFmtId="0" fontId="9" fillId="0" borderId="0" xfId="0" applyFont="1" applyAlignment="1">
      <alignment horizontal="left" vertical="center" indent="3" readingOrder="1"/>
    </xf>
    <xf numFmtId="0" fontId="2" fillId="0" borderId="0" xfId="0" applyFont="1" applyAlignment="1">
      <alignment horizontal="center"/>
    </xf>
    <xf numFmtId="0" fontId="10" fillId="0" borderId="0" xfId="0" applyFont="1" applyAlignment="1">
      <alignment horizontal="center" vertical="center" readingOrder="1"/>
    </xf>
    <xf numFmtId="0" fontId="11" fillId="0" borderId="0" xfId="0" applyFont="1" applyAlignment="1">
      <alignment horizontal="center" vertical="center" wrapText="1" readingOrder="1"/>
    </xf>
    <xf numFmtId="0" fontId="8" fillId="3" borderId="20" xfId="0" applyFont="1" applyFill="1" applyBorder="1" applyAlignment="1">
      <alignment horizontal="center" vertical="center" wrapText="1" readingOrder="1"/>
    </xf>
    <xf numFmtId="0" fontId="9" fillId="0" borderId="12" xfId="0" applyFont="1" applyBorder="1" applyAlignment="1">
      <alignment horizontal="left" vertical="center" wrapText="1" indent="3" readingOrder="1"/>
    </xf>
    <xf numFmtId="0" fontId="10" fillId="0" borderId="22" xfId="0" applyFont="1" applyBorder="1" applyAlignment="1">
      <alignment horizontal="center" vertical="center" wrapText="1" readingOrder="1"/>
    </xf>
    <xf numFmtId="0" fontId="12" fillId="0" borderId="13" xfId="0" applyFont="1" applyBorder="1" applyAlignment="1">
      <alignment horizontal="left" vertical="center" wrapText="1" indent="3" readingOrder="1"/>
    </xf>
    <xf numFmtId="2" fontId="9" fillId="0" borderId="12" xfId="0" applyNumberFormat="1" applyFont="1" applyBorder="1" applyAlignment="1">
      <alignment horizontal="left" vertical="center" wrapText="1" readingOrder="1"/>
    </xf>
    <xf numFmtId="0" fontId="12" fillId="0" borderId="14" xfId="0" applyFont="1" applyBorder="1" applyAlignment="1">
      <alignment horizontal="left" vertical="center" wrapText="1" indent="3" readingOrder="1"/>
    </xf>
    <xf numFmtId="0" fontId="12" fillId="0" borderId="17" xfId="0" applyFont="1" applyBorder="1" applyAlignment="1">
      <alignment horizontal="center" vertical="center" wrapText="1" readingOrder="1"/>
    </xf>
    <xf numFmtId="0" fontId="9" fillId="0" borderId="13" xfId="0" applyFont="1" applyBorder="1" applyAlignment="1">
      <alignment horizontal="left" vertical="center" wrapText="1" indent="3" readingOrder="1"/>
    </xf>
    <xf numFmtId="0" fontId="12" fillId="0" borderId="14" xfId="0" applyFont="1" applyBorder="1" applyAlignment="1">
      <alignment horizontal="center" vertical="center" wrapText="1" readingOrder="1"/>
    </xf>
    <xf numFmtId="0" fontId="12" fillId="0" borderId="13" xfId="0" applyFont="1" applyBorder="1" applyAlignment="1">
      <alignment horizontal="center" vertical="center" wrapText="1" readingOrder="1"/>
    </xf>
    <xf numFmtId="0" fontId="6" fillId="0" borderId="0" xfId="0" applyFont="1" applyAlignment="1">
      <alignment horizontal="center" vertical="center"/>
    </xf>
    <xf numFmtId="0" fontId="7" fillId="2" borderId="2" xfId="0" applyFont="1" applyFill="1" applyBorder="1" applyAlignment="1">
      <alignment horizontal="center" vertical="center"/>
    </xf>
    <xf numFmtId="0" fontId="8" fillId="0" borderId="0" xfId="0" applyFont="1" applyAlignment="1">
      <alignment horizontal="center" vertical="center" wrapText="1" readingOrder="1"/>
    </xf>
    <xf numFmtId="0" fontId="8" fillId="0" borderId="25" xfId="0" applyFont="1" applyBorder="1" applyAlignment="1">
      <alignment horizontal="center" vertical="center" wrapText="1" readingOrder="1"/>
    </xf>
    <xf numFmtId="0" fontId="11" fillId="0" borderId="15" xfId="0" applyFont="1" applyBorder="1" applyAlignment="1">
      <alignment horizontal="center" vertical="center" readingOrder="1"/>
    </xf>
    <xf numFmtId="0" fontId="11" fillId="0" borderId="16" xfId="0" applyFont="1" applyBorder="1" applyAlignment="1">
      <alignment horizontal="center" vertical="center" readingOrder="1"/>
    </xf>
    <xf numFmtId="0" fontId="8" fillId="0" borderId="21" xfId="0" applyFont="1" applyBorder="1" applyAlignment="1">
      <alignment horizontal="center" vertical="center" wrapText="1" readingOrder="1"/>
    </xf>
    <xf numFmtId="0" fontId="8" fillId="0" borderId="19" xfId="0" applyFont="1" applyBorder="1" applyAlignment="1">
      <alignment horizontal="center" vertical="center" wrapText="1" readingOrder="1"/>
    </xf>
    <xf numFmtId="0" fontId="8" fillId="0" borderId="18" xfId="0" applyFont="1" applyBorder="1" applyAlignment="1">
      <alignment horizontal="center" vertical="center" wrapText="1" readingOrder="1"/>
    </xf>
    <xf numFmtId="0" fontId="8" fillId="0" borderId="23" xfId="0" applyFont="1" applyBorder="1" applyAlignment="1">
      <alignment horizontal="center" vertical="center" wrapText="1" readingOrder="1"/>
    </xf>
    <xf numFmtId="0" fontId="8" fillId="0" borderId="13" xfId="0" applyFont="1" applyBorder="1" applyAlignment="1">
      <alignment horizontal="center" vertical="center" wrapText="1" readingOrder="1"/>
    </xf>
    <xf numFmtId="0" fontId="8" fillId="0" borderId="24" xfId="0" applyFont="1" applyBorder="1" applyAlignment="1">
      <alignment horizontal="center" vertical="center" wrapText="1" readingOrder="1"/>
    </xf>
    <xf numFmtId="0" fontId="11" fillId="0" borderId="12" xfId="0" applyFont="1" applyBorder="1" applyAlignment="1">
      <alignment horizontal="center" vertical="center" wrapText="1" readingOrder="1"/>
    </xf>
    <xf numFmtId="0" fontId="11" fillId="0" borderId="13" xfId="0" applyFont="1" applyBorder="1" applyAlignment="1">
      <alignment horizontal="center" vertical="center" wrapText="1" readingOrder="1"/>
    </xf>
    <xf numFmtId="0" fontId="8" fillId="0" borderId="12" xfId="0" applyFont="1" applyBorder="1" applyAlignment="1">
      <alignment horizontal="center" vertical="center" wrapText="1" readingOrder="1"/>
    </xf>
    <xf numFmtId="0" fontId="8" fillId="0" borderId="14" xfId="0" applyFont="1" applyBorder="1" applyAlignment="1">
      <alignment horizontal="center" vertical="center" wrapText="1" readingOrder="1"/>
    </xf>
    <xf numFmtId="0" fontId="8" fillId="0" borderId="26" xfId="0" applyFont="1" applyBorder="1" applyAlignment="1">
      <alignment horizontal="center" vertical="center" wrapText="1" readingOrder="1"/>
    </xf>
    <xf numFmtId="0" fontId="8" fillId="0" borderId="27" xfId="0" applyFont="1" applyBorder="1" applyAlignment="1">
      <alignment horizontal="center" vertical="center" wrapText="1" readingOrder="1"/>
    </xf>
    <xf numFmtId="0" fontId="9" fillId="0" borderId="14" xfId="0" applyFont="1" applyBorder="1" applyAlignment="1">
      <alignment horizontal="left" vertical="center" wrapText="1" indent="3" readingOrder="1"/>
    </xf>
    <xf numFmtId="0" fontId="2" fillId="0" borderId="28" xfId="0" applyFont="1" applyBorder="1" applyAlignment="1">
      <alignment horizontal="left"/>
    </xf>
    <xf numFmtId="167" fontId="2" fillId="0" borderId="29" xfId="1" applyNumberFormat="1" applyFont="1" applyBorder="1"/>
    <xf numFmtId="0" fontId="2" fillId="0" borderId="30" xfId="0" applyFont="1" applyBorder="1" applyAlignment="1">
      <alignment horizontal="left"/>
    </xf>
    <xf numFmtId="164" fontId="2" fillId="0" borderId="10" xfId="0" applyNumberFormat="1" applyFont="1" applyBorder="1"/>
    <xf numFmtId="4" fontId="2" fillId="0" borderId="10" xfId="0" applyNumberFormat="1" applyFont="1" applyBorder="1"/>
    <xf numFmtId="10" fontId="2" fillId="0" borderId="10" xfId="0" applyNumberFormat="1" applyFont="1" applyBorder="1" applyAlignment="1">
      <alignment horizontal="right"/>
    </xf>
    <xf numFmtId="10" fontId="2" fillId="0" borderId="31" xfId="1" applyNumberFormat="1" applyFont="1" applyBorder="1"/>
    <xf numFmtId="0" fontId="3" fillId="0" borderId="30" xfId="0" applyFont="1" applyBorder="1" applyAlignment="1">
      <alignment horizontal="left"/>
    </xf>
    <xf numFmtId="0" fontId="3" fillId="0" borderId="10" xfId="0" applyFont="1" applyBorder="1" applyAlignment="1">
      <alignment horizontal="left"/>
    </xf>
    <xf numFmtId="164" fontId="3" fillId="0" borderId="10" xfId="0" applyNumberFormat="1" applyFont="1" applyBorder="1"/>
    <xf numFmtId="10" fontId="3" fillId="0" borderId="8" xfId="1" applyNumberFormat="1" applyFont="1" applyBorder="1"/>
    <xf numFmtId="10" fontId="3" fillId="0" borderId="31" xfId="1" applyNumberFormat="1" applyFont="1" applyBorder="1"/>
    <xf numFmtId="0" fontId="3" fillId="0" borderId="32" xfId="0" applyFont="1" applyBorder="1" applyAlignment="1">
      <alignment horizontal="left"/>
    </xf>
    <xf numFmtId="166" fontId="2" fillId="0" borderId="10" xfId="0" applyNumberFormat="1" applyFont="1" applyBorder="1"/>
    <xf numFmtId="167" fontId="2" fillId="0" borderId="10" xfId="0" applyNumberFormat="1" applyFont="1" applyBorder="1" applyAlignment="1">
      <alignment horizontal="right"/>
    </xf>
    <xf numFmtId="0" fontId="3" fillId="0" borderId="33" xfId="0" applyFont="1" applyBorder="1" applyAlignment="1">
      <alignment horizontal="left"/>
    </xf>
    <xf numFmtId="0" fontId="3" fillId="0" borderId="34" xfId="0" applyFont="1" applyBorder="1" applyAlignment="1">
      <alignment horizontal="left"/>
    </xf>
    <xf numFmtId="164" fontId="3" fillId="0" borderId="34" xfId="0" applyNumberFormat="1" applyFont="1" applyBorder="1"/>
    <xf numFmtId="4" fontId="3" fillId="0" borderId="34" xfId="0" applyNumberFormat="1" applyFont="1" applyBorder="1"/>
    <xf numFmtId="10" fontId="3" fillId="0" borderId="34" xfId="0" applyNumberFormat="1" applyFont="1" applyBorder="1" applyAlignment="1">
      <alignment horizontal="right"/>
    </xf>
    <xf numFmtId="10" fontId="3" fillId="0" borderId="35" xfId="1" applyNumberFormat="1" applyFont="1" applyBorder="1"/>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4.jpeg"/><Relationship Id="rId1" Type="http://schemas.openxmlformats.org/officeDocument/2006/relationships/image" Target="../media/image3.jpeg"/></Relationships>
</file>

<file path=xl/drawings/_rels/drawing3.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6.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8.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9.xml.rels><?xml version="1.0" encoding="UTF-8" standalone="yes"?>
<Relationships xmlns="http://schemas.openxmlformats.org/package/2006/relationships"><Relationship Id="rId2" Type="http://schemas.openxmlformats.org/officeDocument/2006/relationships/image" Target="../media/image8.jpeg"/><Relationship Id="rId1" Type="http://schemas.openxmlformats.org/officeDocument/2006/relationships/image" Target="../media/image7.jpeg"/></Relationships>
</file>

<file path=xl/drawings/_rels/drawing10.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1.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3.xml.rels><?xml version="1.0" encoding="UTF-8" standalone="yes"?>
<Relationships xmlns="http://schemas.openxmlformats.org/package/2006/relationships"><Relationship Id="rId2" Type="http://schemas.openxmlformats.org/officeDocument/2006/relationships/image" Target="../media/image9.jpeg"/><Relationship Id="rId1" Type="http://schemas.openxmlformats.org/officeDocument/2006/relationships/image" Target="../media/image3.jpeg"/></Relationships>
</file>

<file path=xl/drawings/_rels/drawing1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19.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0.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1.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2.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3.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6.jpeg"/><Relationship Id="rId1" Type="http://schemas.openxmlformats.org/officeDocument/2006/relationships/image" Target="../media/image5.jpeg"/></Relationships>
</file>

<file path=xl/drawings/_rels/drawing27.xml.rels><?xml version="1.0" encoding="UTF-8" standalone="yes"?>
<Relationships xmlns="http://schemas.openxmlformats.org/package/2006/relationships"><Relationship Id="rId2" Type="http://schemas.openxmlformats.org/officeDocument/2006/relationships/image" Target="../media/image5.jpeg"/><Relationship Id="rId1" Type="http://schemas.openxmlformats.org/officeDocument/2006/relationships/image" Target="../media/image6.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9.jpeg"/></Relationships>
</file>

<file path=xl/drawings/drawing1.xml><?xml version="1.0" encoding="utf-8"?>
<xdr:wsDr xmlns:xdr="http://schemas.openxmlformats.org/drawingml/2006/spreadsheetDrawing" xmlns:a="http://schemas.openxmlformats.org/drawingml/2006/main">
  <xdr:twoCellAnchor editAs="oneCell">
    <xdr:from>
      <xdr:col>2</xdr:col>
      <xdr:colOff>57150</xdr:colOff>
      <xdr:row>187</xdr:row>
      <xdr:rowOff>50800</xdr:rowOff>
    </xdr:from>
    <xdr:to>
      <xdr:col>2</xdr:col>
      <xdr:colOff>1765299</xdr:colOff>
      <xdr:row>190</xdr:row>
      <xdr:rowOff>323850</xdr:rowOff>
    </xdr:to>
    <xdr:pic>
      <xdr:nvPicPr>
        <xdr:cNvPr id="2" name="Picture 1">
          <a:extLst>
            <a:ext uri="{FF2B5EF4-FFF2-40B4-BE49-F238E27FC236}">
              <a16:creationId xmlns:a16="http://schemas.microsoft.com/office/drawing/2014/main" id="{278C22F7-C52F-4161-AAF2-43EB3B4F6A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1650" y="37274500"/>
          <a:ext cx="1708149" cy="1701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63500</xdr:colOff>
      <xdr:row>187</xdr:row>
      <xdr:rowOff>44450</xdr:rowOff>
    </xdr:from>
    <xdr:to>
      <xdr:col>4</xdr:col>
      <xdr:colOff>1860549</xdr:colOff>
      <xdr:row>190</xdr:row>
      <xdr:rowOff>298450</xdr:rowOff>
    </xdr:to>
    <xdr:pic>
      <xdr:nvPicPr>
        <xdr:cNvPr id="3" name="Picture 2">
          <a:extLst>
            <a:ext uri="{FF2B5EF4-FFF2-40B4-BE49-F238E27FC236}">
              <a16:creationId xmlns:a16="http://schemas.microsoft.com/office/drawing/2014/main" id="{F01D02D9-D231-48B2-90EF-0556CE515E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04100" y="37268150"/>
          <a:ext cx="1797049" cy="1682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85725</xdr:colOff>
      <xdr:row>121</xdr:row>
      <xdr:rowOff>336550</xdr:rowOff>
    </xdr:from>
    <xdr:to>
      <xdr:col>4</xdr:col>
      <xdr:colOff>1963772</xdr:colOff>
      <xdr:row>124</xdr:row>
      <xdr:rowOff>63500</xdr:rowOff>
    </xdr:to>
    <xdr:pic>
      <xdr:nvPicPr>
        <xdr:cNvPr id="2" name="Picture 1">
          <a:extLst>
            <a:ext uri="{FF2B5EF4-FFF2-40B4-BE49-F238E27FC236}">
              <a16:creationId xmlns:a16="http://schemas.microsoft.com/office/drawing/2014/main" id="{F99F48EC-F745-411D-B13F-A6DC3081AC2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058025" y="24568150"/>
          <a:ext cx="1878047" cy="1073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63734</xdr:colOff>
      <xdr:row>122</xdr:row>
      <xdr:rowOff>44450</xdr:rowOff>
    </xdr:from>
    <xdr:to>
      <xdr:col>2</xdr:col>
      <xdr:colOff>1547615</xdr:colOff>
      <xdr:row>123</xdr:row>
      <xdr:rowOff>603250</xdr:rowOff>
    </xdr:to>
    <xdr:pic>
      <xdr:nvPicPr>
        <xdr:cNvPr id="4" name="Picture 3">
          <a:extLst>
            <a:ext uri="{FF2B5EF4-FFF2-40B4-BE49-F238E27FC236}">
              <a16:creationId xmlns:a16="http://schemas.microsoft.com/office/drawing/2014/main" id="{CFEAE312-512D-4012-AC90-E0011B9FA31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048234" y="24644350"/>
          <a:ext cx="1483881" cy="889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38101</xdr:colOff>
      <xdr:row>106</xdr:row>
      <xdr:rowOff>8126</xdr:rowOff>
    </xdr:from>
    <xdr:to>
      <xdr:col>2</xdr:col>
      <xdr:colOff>1955801</xdr:colOff>
      <xdr:row>109</xdr:row>
      <xdr:rowOff>203200</xdr:rowOff>
    </xdr:to>
    <xdr:pic>
      <xdr:nvPicPr>
        <xdr:cNvPr id="2" name="Picture 1">
          <a:extLst>
            <a:ext uri="{FF2B5EF4-FFF2-40B4-BE49-F238E27FC236}">
              <a16:creationId xmlns:a16="http://schemas.microsoft.com/office/drawing/2014/main" id="{CF815509-575C-4021-9CF8-B57A2B2C6DA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1" y="21286976"/>
          <a:ext cx="1917700" cy="13380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106</xdr:row>
      <xdr:rowOff>24179</xdr:rowOff>
    </xdr:from>
    <xdr:to>
      <xdr:col>4</xdr:col>
      <xdr:colOff>1797050</xdr:colOff>
      <xdr:row>109</xdr:row>
      <xdr:rowOff>203200</xdr:rowOff>
    </xdr:to>
    <xdr:pic>
      <xdr:nvPicPr>
        <xdr:cNvPr id="3" name="Picture 2">
          <a:extLst>
            <a:ext uri="{FF2B5EF4-FFF2-40B4-BE49-F238E27FC236}">
              <a16:creationId xmlns:a16="http://schemas.microsoft.com/office/drawing/2014/main" id="{6FB528D6-8A66-4138-9C19-6A7B71DF2D6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4451" y="21303029"/>
          <a:ext cx="1771649" cy="132202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22785</xdr:colOff>
      <xdr:row>49</xdr:row>
      <xdr:rowOff>47514</xdr:rowOff>
    </xdr:from>
    <xdr:to>
      <xdr:col>2</xdr:col>
      <xdr:colOff>1924050</xdr:colOff>
      <xdr:row>52</xdr:row>
      <xdr:rowOff>330200</xdr:rowOff>
    </xdr:to>
    <xdr:pic>
      <xdr:nvPicPr>
        <xdr:cNvPr id="2" name="Picture 1">
          <a:extLst>
            <a:ext uri="{FF2B5EF4-FFF2-40B4-BE49-F238E27FC236}">
              <a16:creationId xmlns:a16="http://schemas.microsoft.com/office/drawing/2014/main" id="{98D18A7C-B58F-4FA6-B4E4-71CE2D46BA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1035" y="10105914"/>
          <a:ext cx="1901265" cy="16034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49</xdr:row>
      <xdr:rowOff>38100</xdr:rowOff>
    </xdr:from>
    <xdr:to>
      <xdr:col>4</xdr:col>
      <xdr:colOff>2048295</xdr:colOff>
      <xdr:row>52</xdr:row>
      <xdr:rowOff>323850</xdr:rowOff>
    </xdr:to>
    <xdr:pic>
      <xdr:nvPicPr>
        <xdr:cNvPr id="3" name="Picture 2">
          <a:extLst>
            <a:ext uri="{FF2B5EF4-FFF2-40B4-BE49-F238E27FC236}">
              <a16:creationId xmlns:a16="http://schemas.microsoft.com/office/drawing/2014/main" id="{6E188E16-6676-4754-9ADD-F5D06F13CE2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70800" y="10096500"/>
          <a:ext cx="1991145" cy="160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57151</xdr:colOff>
      <xdr:row>80</xdr:row>
      <xdr:rowOff>53555</xdr:rowOff>
    </xdr:from>
    <xdr:to>
      <xdr:col>4</xdr:col>
      <xdr:colOff>1905001</xdr:colOff>
      <xdr:row>83</xdr:row>
      <xdr:rowOff>254000</xdr:rowOff>
    </xdr:to>
    <xdr:pic>
      <xdr:nvPicPr>
        <xdr:cNvPr id="4" name="Picture 3">
          <a:extLst>
            <a:ext uri="{FF2B5EF4-FFF2-40B4-BE49-F238E27FC236}">
              <a16:creationId xmlns:a16="http://schemas.microsoft.com/office/drawing/2014/main" id="{BD520099-CE31-4AE2-AEA2-3C09E30BEF7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8251" y="16214305"/>
          <a:ext cx="1847850" cy="158474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62379</xdr:colOff>
      <xdr:row>80</xdr:row>
      <xdr:rowOff>61768</xdr:rowOff>
    </xdr:from>
    <xdr:to>
      <xdr:col>2</xdr:col>
      <xdr:colOff>1847850</xdr:colOff>
      <xdr:row>83</xdr:row>
      <xdr:rowOff>234950</xdr:rowOff>
    </xdr:to>
    <xdr:pic>
      <xdr:nvPicPr>
        <xdr:cNvPr id="5" name="Picture 4">
          <a:extLst>
            <a:ext uri="{FF2B5EF4-FFF2-40B4-BE49-F238E27FC236}">
              <a16:creationId xmlns:a16="http://schemas.microsoft.com/office/drawing/2014/main" id="{22D4A93C-1E64-45F2-8DE5-40E1779DB8E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0629" y="16222518"/>
          <a:ext cx="1785471" cy="1557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4</xdr:col>
      <xdr:colOff>50801</xdr:colOff>
      <xdr:row>83</xdr:row>
      <xdr:rowOff>58171</xdr:rowOff>
    </xdr:from>
    <xdr:to>
      <xdr:col>4</xdr:col>
      <xdr:colOff>1885951</xdr:colOff>
      <xdr:row>86</xdr:row>
      <xdr:rowOff>228600</xdr:rowOff>
    </xdr:to>
    <xdr:pic>
      <xdr:nvPicPr>
        <xdr:cNvPr id="4" name="Picture 3">
          <a:extLst>
            <a:ext uri="{FF2B5EF4-FFF2-40B4-BE49-F238E27FC236}">
              <a16:creationId xmlns:a16="http://schemas.microsoft.com/office/drawing/2014/main" id="{7CFB48E2-B06F-435A-B258-4BEF52662B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6651" y="16809471"/>
          <a:ext cx="1835150" cy="15547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63501</xdr:colOff>
      <xdr:row>83</xdr:row>
      <xdr:rowOff>38100</xdr:rowOff>
    </xdr:from>
    <xdr:to>
      <xdr:col>2</xdr:col>
      <xdr:colOff>1758950</xdr:colOff>
      <xdr:row>86</xdr:row>
      <xdr:rowOff>234950</xdr:rowOff>
    </xdr:to>
    <xdr:pic>
      <xdr:nvPicPr>
        <xdr:cNvPr id="5" name="Picture 4">
          <a:extLst>
            <a:ext uri="{FF2B5EF4-FFF2-40B4-BE49-F238E27FC236}">
              <a16:creationId xmlns:a16="http://schemas.microsoft.com/office/drawing/2014/main" id="{E9CC6D2D-A163-44C1-AA90-56AB8E34FC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41751" y="16789400"/>
          <a:ext cx="1695449" cy="158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63501</xdr:colOff>
      <xdr:row>43</xdr:row>
      <xdr:rowOff>25401</xdr:rowOff>
    </xdr:from>
    <xdr:to>
      <xdr:col>2</xdr:col>
      <xdr:colOff>1765300</xdr:colOff>
      <xdr:row>46</xdr:row>
      <xdr:rowOff>234950</xdr:rowOff>
    </xdr:to>
    <xdr:pic>
      <xdr:nvPicPr>
        <xdr:cNvPr id="2" name="Picture 1">
          <a:extLst>
            <a:ext uri="{FF2B5EF4-FFF2-40B4-BE49-F238E27FC236}">
              <a16:creationId xmlns:a16="http://schemas.microsoft.com/office/drawing/2014/main" id="{0C61D6AD-E732-48EA-8743-A7472A6C7FF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41751" y="8902701"/>
          <a:ext cx="1701799" cy="159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25401</xdr:colOff>
      <xdr:row>43</xdr:row>
      <xdr:rowOff>19051</xdr:rowOff>
    </xdr:from>
    <xdr:to>
      <xdr:col>4</xdr:col>
      <xdr:colOff>1905000</xdr:colOff>
      <xdr:row>46</xdr:row>
      <xdr:rowOff>247650</xdr:rowOff>
    </xdr:to>
    <xdr:pic>
      <xdr:nvPicPr>
        <xdr:cNvPr id="3" name="Picture 2">
          <a:extLst>
            <a:ext uri="{FF2B5EF4-FFF2-40B4-BE49-F238E27FC236}">
              <a16:creationId xmlns:a16="http://schemas.microsoft.com/office/drawing/2014/main" id="{FDC6CA85-6482-4AAE-AFA5-49619E58024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12051" y="8896351"/>
          <a:ext cx="187959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19051</xdr:colOff>
      <xdr:row>83</xdr:row>
      <xdr:rowOff>19051</xdr:rowOff>
    </xdr:from>
    <xdr:to>
      <xdr:col>4</xdr:col>
      <xdr:colOff>1898651</xdr:colOff>
      <xdr:row>86</xdr:row>
      <xdr:rowOff>279400</xdr:rowOff>
    </xdr:to>
    <xdr:pic>
      <xdr:nvPicPr>
        <xdr:cNvPr id="2" name="Picture 1">
          <a:extLst>
            <a:ext uri="{FF2B5EF4-FFF2-40B4-BE49-F238E27FC236}">
              <a16:creationId xmlns:a16="http://schemas.microsoft.com/office/drawing/2014/main" id="{5B7E7702-12AC-426D-A0EC-7241B66A87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93001" y="16770351"/>
          <a:ext cx="1879600" cy="1644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0</xdr:colOff>
      <xdr:row>83</xdr:row>
      <xdr:rowOff>19050</xdr:rowOff>
    </xdr:from>
    <xdr:to>
      <xdr:col>2</xdr:col>
      <xdr:colOff>1778000</xdr:colOff>
      <xdr:row>86</xdr:row>
      <xdr:rowOff>241300</xdr:rowOff>
    </xdr:to>
    <xdr:pic>
      <xdr:nvPicPr>
        <xdr:cNvPr id="3" name="Picture 2">
          <a:extLst>
            <a:ext uri="{FF2B5EF4-FFF2-40B4-BE49-F238E27FC236}">
              <a16:creationId xmlns:a16="http://schemas.microsoft.com/office/drawing/2014/main" id="{511792E3-C872-47D8-9811-2FE02F63D09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0" y="16770350"/>
          <a:ext cx="1778000" cy="1606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4</xdr:col>
      <xdr:colOff>19051</xdr:colOff>
      <xdr:row>107</xdr:row>
      <xdr:rowOff>361950</xdr:rowOff>
    </xdr:from>
    <xdr:to>
      <xdr:col>4</xdr:col>
      <xdr:colOff>1689100</xdr:colOff>
      <xdr:row>109</xdr:row>
      <xdr:rowOff>520700</xdr:rowOff>
    </xdr:to>
    <xdr:pic>
      <xdr:nvPicPr>
        <xdr:cNvPr id="2" name="Picture 1">
          <a:extLst>
            <a:ext uri="{FF2B5EF4-FFF2-40B4-BE49-F238E27FC236}">
              <a16:creationId xmlns:a16="http://schemas.microsoft.com/office/drawing/2014/main" id="{F50D614F-C9A0-45F1-8F41-5E2646722E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562851" y="21837650"/>
          <a:ext cx="1670049" cy="1035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127000</xdr:colOff>
      <xdr:row>107</xdr:row>
      <xdr:rowOff>260350</xdr:rowOff>
    </xdr:from>
    <xdr:to>
      <xdr:col>2</xdr:col>
      <xdr:colOff>1850216</xdr:colOff>
      <xdr:row>110</xdr:row>
      <xdr:rowOff>127000</xdr:rowOff>
    </xdr:to>
    <xdr:pic>
      <xdr:nvPicPr>
        <xdr:cNvPr id="4" name="Picture 3">
          <a:extLst>
            <a:ext uri="{FF2B5EF4-FFF2-40B4-BE49-F238E27FC236}">
              <a16:creationId xmlns:a16="http://schemas.microsoft.com/office/drawing/2014/main" id="{84AD4E84-5F59-4609-AD92-108C62C2B16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111500" y="21736050"/>
          <a:ext cx="1723216" cy="13017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4</xdr:col>
      <xdr:colOff>1</xdr:colOff>
      <xdr:row>90</xdr:row>
      <xdr:rowOff>1</xdr:rowOff>
    </xdr:from>
    <xdr:to>
      <xdr:col>4</xdr:col>
      <xdr:colOff>2025651</xdr:colOff>
      <xdr:row>93</xdr:row>
      <xdr:rowOff>330200</xdr:rowOff>
    </xdr:to>
    <xdr:pic>
      <xdr:nvPicPr>
        <xdr:cNvPr id="2" name="Picture 1">
          <a:extLst>
            <a:ext uri="{FF2B5EF4-FFF2-40B4-BE49-F238E27FC236}">
              <a16:creationId xmlns:a16="http://schemas.microsoft.com/office/drawing/2014/main" id="{4A66FE1B-9F2C-4862-AD0A-E9CD442E9EF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94601" y="18129251"/>
          <a:ext cx="2025650" cy="16382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90</xdr:row>
      <xdr:rowOff>0</xdr:rowOff>
    </xdr:from>
    <xdr:to>
      <xdr:col>2</xdr:col>
      <xdr:colOff>1917700</xdr:colOff>
      <xdr:row>93</xdr:row>
      <xdr:rowOff>285750</xdr:rowOff>
    </xdr:to>
    <xdr:pic>
      <xdr:nvPicPr>
        <xdr:cNvPr id="3" name="Picture 2">
          <a:extLst>
            <a:ext uri="{FF2B5EF4-FFF2-40B4-BE49-F238E27FC236}">
              <a16:creationId xmlns:a16="http://schemas.microsoft.com/office/drawing/2014/main" id="{58AE567D-BE91-45B2-91D5-E19980B9AA7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8129250"/>
          <a:ext cx="1917699" cy="159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12701</xdr:colOff>
      <xdr:row>93</xdr:row>
      <xdr:rowOff>25401</xdr:rowOff>
    </xdr:from>
    <xdr:to>
      <xdr:col>2</xdr:col>
      <xdr:colOff>1784350</xdr:colOff>
      <xdr:row>96</xdr:row>
      <xdr:rowOff>254000</xdr:rowOff>
    </xdr:to>
    <xdr:pic>
      <xdr:nvPicPr>
        <xdr:cNvPr id="2" name="Picture 1">
          <a:extLst>
            <a:ext uri="{FF2B5EF4-FFF2-40B4-BE49-F238E27FC236}">
              <a16:creationId xmlns:a16="http://schemas.microsoft.com/office/drawing/2014/main" id="{DFC9A962-BACE-4B69-9F17-081907E8921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90951" y="18745201"/>
          <a:ext cx="177164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93</xdr:row>
      <xdr:rowOff>25401</xdr:rowOff>
    </xdr:from>
    <xdr:to>
      <xdr:col>4</xdr:col>
      <xdr:colOff>1968500</xdr:colOff>
      <xdr:row>96</xdr:row>
      <xdr:rowOff>254000</xdr:rowOff>
    </xdr:to>
    <xdr:pic>
      <xdr:nvPicPr>
        <xdr:cNvPr id="3" name="Picture 2">
          <a:extLst>
            <a:ext uri="{FF2B5EF4-FFF2-40B4-BE49-F238E27FC236}">
              <a16:creationId xmlns:a16="http://schemas.microsoft.com/office/drawing/2014/main" id="{F58349CF-1C41-445C-A08D-7D68CF1B532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99351" y="18745201"/>
          <a:ext cx="1936749" cy="16128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1</xdr:colOff>
      <xdr:row>51</xdr:row>
      <xdr:rowOff>0</xdr:rowOff>
    </xdr:from>
    <xdr:to>
      <xdr:col>2</xdr:col>
      <xdr:colOff>1771650</xdr:colOff>
      <xdr:row>54</xdr:row>
      <xdr:rowOff>209550</xdr:rowOff>
    </xdr:to>
    <xdr:pic>
      <xdr:nvPicPr>
        <xdr:cNvPr id="2" name="Picture 1">
          <a:extLst>
            <a:ext uri="{FF2B5EF4-FFF2-40B4-BE49-F238E27FC236}">
              <a16:creationId xmlns:a16="http://schemas.microsoft.com/office/drawing/2014/main" id="{FB65C31B-9E45-4C87-B5D0-DD0E607B116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452100"/>
          <a:ext cx="1771649" cy="15938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51</xdr:row>
      <xdr:rowOff>1</xdr:rowOff>
    </xdr:from>
    <xdr:to>
      <xdr:col>4</xdr:col>
      <xdr:colOff>1917700</xdr:colOff>
      <xdr:row>54</xdr:row>
      <xdr:rowOff>234950</xdr:rowOff>
    </xdr:to>
    <xdr:pic>
      <xdr:nvPicPr>
        <xdr:cNvPr id="3" name="Picture 2">
          <a:extLst>
            <a:ext uri="{FF2B5EF4-FFF2-40B4-BE49-F238E27FC236}">
              <a16:creationId xmlns:a16="http://schemas.microsoft.com/office/drawing/2014/main" id="{4C5BE888-3367-49EA-8181-96B10FAEA06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1" y="10452101"/>
          <a:ext cx="1917699" cy="1619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4</xdr:col>
      <xdr:colOff>44450</xdr:colOff>
      <xdr:row>22</xdr:row>
      <xdr:rowOff>38747</xdr:rowOff>
    </xdr:from>
    <xdr:to>
      <xdr:col>4</xdr:col>
      <xdr:colOff>1701799</xdr:colOff>
      <xdr:row>25</xdr:row>
      <xdr:rowOff>215900</xdr:rowOff>
    </xdr:to>
    <xdr:pic>
      <xdr:nvPicPr>
        <xdr:cNvPr id="2" name="Picture 1">
          <a:extLst>
            <a:ext uri="{FF2B5EF4-FFF2-40B4-BE49-F238E27FC236}">
              <a16:creationId xmlns:a16="http://schemas.microsoft.com/office/drawing/2014/main" id="{087E8B48-3A06-4487-BC93-17DC21DF02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1900" y="4782197"/>
          <a:ext cx="1657349" cy="15614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22</xdr:row>
      <xdr:rowOff>1</xdr:rowOff>
    </xdr:from>
    <xdr:to>
      <xdr:col>2</xdr:col>
      <xdr:colOff>1841500</xdr:colOff>
      <xdr:row>25</xdr:row>
      <xdr:rowOff>209550</xdr:rowOff>
    </xdr:to>
    <xdr:pic>
      <xdr:nvPicPr>
        <xdr:cNvPr id="3" name="Picture 2">
          <a:extLst>
            <a:ext uri="{FF2B5EF4-FFF2-40B4-BE49-F238E27FC236}">
              <a16:creationId xmlns:a16="http://schemas.microsoft.com/office/drawing/2014/main" id="{2E3D2898-AD1D-493C-9990-161C0F6290E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4743451"/>
          <a:ext cx="1841499" cy="1593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30628</xdr:colOff>
      <xdr:row>87</xdr:row>
      <xdr:rowOff>44451</xdr:rowOff>
    </xdr:from>
    <xdr:to>
      <xdr:col>2</xdr:col>
      <xdr:colOff>1809750</xdr:colOff>
      <xdr:row>90</xdr:row>
      <xdr:rowOff>311150</xdr:rowOff>
    </xdr:to>
    <xdr:pic>
      <xdr:nvPicPr>
        <xdr:cNvPr id="2" name="Picture 1">
          <a:extLst>
            <a:ext uri="{FF2B5EF4-FFF2-40B4-BE49-F238E27FC236}">
              <a16:creationId xmlns:a16="http://schemas.microsoft.com/office/drawing/2014/main" id="{D6896EE2-CA21-40CA-8ED7-0103012F0D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08878" y="17583151"/>
          <a:ext cx="1779122"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76200</xdr:colOff>
      <xdr:row>87</xdr:row>
      <xdr:rowOff>1</xdr:rowOff>
    </xdr:from>
    <xdr:to>
      <xdr:col>4</xdr:col>
      <xdr:colOff>2209800</xdr:colOff>
      <xdr:row>90</xdr:row>
      <xdr:rowOff>285750</xdr:rowOff>
    </xdr:to>
    <xdr:pic>
      <xdr:nvPicPr>
        <xdr:cNvPr id="3" name="Picture 2">
          <a:extLst>
            <a:ext uri="{FF2B5EF4-FFF2-40B4-BE49-F238E27FC236}">
              <a16:creationId xmlns:a16="http://schemas.microsoft.com/office/drawing/2014/main" id="{57675ED4-C7C8-4548-9F48-45BA2B90CF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75550" y="17538701"/>
          <a:ext cx="2133600"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4</xdr:col>
      <xdr:colOff>44449</xdr:colOff>
      <xdr:row>85</xdr:row>
      <xdr:rowOff>1</xdr:rowOff>
    </xdr:from>
    <xdr:to>
      <xdr:col>4</xdr:col>
      <xdr:colOff>2120900</xdr:colOff>
      <xdr:row>88</xdr:row>
      <xdr:rowOff>368300</xdr:rowOff>
    </xdr:to>
    <xdr:pic>
      <xdr:nvPicPr>
        <xdr:cNvPr id="2" name="Picture 1">
          <a:extLst>
            <a:ext uri="{FF2B5EF4-FFF2-40B4-BE49-F238E27FC236}">
              <a16:creationId xmlns:a16="http://schemas.microsoft.com/office/drawing/2014/main" id="{03BE775B-CF40-4288-8B4C-3EB43D397FD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31099" y="17145001"/>
          <a:ext cx="2076451"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85</xdr:row>
      <xdr:rowOff>1</xdr:rowOff>
    </xdr:from>
    <xdr:to>
      <xdr:col>2</xdr:col>
      <xdr:colOff>1822450</xdr:colOff>
      <xdr:row>88</xdr:row>
      <xdr:rowOff>304800</xdr:rowOff>
    </xdr:to>
    <xdr:pic>
      <xdr:nvPicPr>
        <xdr:cNvPr id="3" name="Picture 2">
          <a:extLst>
            <a:ext uri="{FF2B5EF4-FFF2-40B4-BE49-F238E27FC236}">
              <a16:creationId xmlns:a16="http://schemas.microsoft.com/office/drawing/2014/main" id="{F0DFD67C-E03A-4D71-94E6-EFC2021F846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7145001"/>
          <a:ext cx="1822449" cy="15176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38100</xdr:colOff>
      <xdr:row>72</xdr:row>
      <xdr:rowOff>0</xdr:rowOff>
    </xdr:from>
    <xdr:to>
      <xdr:col>2</xdr:col>
      <xdr:colOff>1930400</xdr:colOff>
      <xdr:row>75</xdr:row>
      <xdr:rowOff>222250</xdr:rowOff>
    </xdr:to>
    <xdr:pic>
      <xdr:nvPicPr>
        <xdr:cNvPr id="2" name="Picture 1">
          <a:extLst>
            <a:ext uri="{FF2B5EF4-FFF2-40B4-BE49-F238E27FC236}">
              <a16:creationId xmlns:a16="http://schemas.microsoft.com/office/drawing/2014/main" id="{9EF6311A-9E9C-46B0-97DD-2C09578421D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16350" y="14585950"/>
          <a:ext cx="1892300" cy="1479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72</xdr:row>
      <xdr:rowOff>1</xdr:rowOff>
    </xdr:from>
    <xdr:to>
      <xdr:col>4</xdr:col>
      <xdr:colOff>2184400</xdr:colOff>
      <xdr:row>75</xdr:row>
      <xdr:rowOff>234950</xdr:rowOff>
    </xdr:to>
    <xdr:pic>
      <xdr:nvPicPr>
        <xdr:cNvPr id="3" name="Picture 2">
          <a:extLst>
            <a:ext uri="{FF2B5EF4-FFF2-40B4-BE49-F238E27FC236}">
              <a16:creationId xmlns:a16="http://schemas.microsoft.com/office/drawing/2014/main" id="{8CC031D6-ADF4-4C63-A94D-42734BCE854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64450" y="14585951"/>
          <a:ext cx="2127250" cy="14922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4</xdr:col>
      <xdr:colOff>1</xdr:colOff>
      <xdr:row>52</xdr:row>
      <xdr:rowOff>1</xdr:rowOff>
    </xdr:from>
    <xdr:to>
      <xdr:col>4</xdr:col>
      <xdr:colOff>1905000</xdr:colOff>
      <xdr:row>55</xdr:row>
      <xdr:rowOff>311150</xdr:rowOff>
    </xdr:to>
    <xdr:pic>
      <xdr:nvPicPr>
        <xdr:cNvPr id="2" name="Picture 1">
          <a:extLst>
            <a:ext uri="{FF2B5EF4-FFF2-40B4-BE49-F238E27FC236}">
              <a16:creationId xmlns:a16="http://schemas.microsoft.com/office/drawing/2014/main" id="{8F151D9E-5701-4D2A-A2E3-A20B7E4523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48551" y="10648951"/>
          <a:ext cx="1904999" cy="14350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52</xdr:row>
      <xdr:rowOff>1</xdr:rowOff>
    </xdr:from>
    <xdr:to>
      <xdr:col>2</xdr:col>
      <xdr:colOff>1765300</xdr:colOff>
      <xdr:row>55</xdr:row>
      <xdr:rowOff>273050</xdr:rowOff>
    </xdr:to>
    <xdr:pic>
      <xdr:nvPicPr>
        <xdr:cNvPr id="3" name="Picture 2">
          <a:extLst>
            <a:ext uri="{FF2B5EF4-FFF2-40B4-BE49-F238E27FC236}">
              <a16:creationId xmlns:a16="http://schemas.microsoft.com/office/drawing/2014/main" id="{062F35DC-D37F-48DB-8AB3-588FABA5E24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0648951"/>
          <a:ext cx="1765299" cy="1396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50799</xdr:colOff>
      <xdr:row>73</xdr:row>
      <xdr:rowOff>0</xdr:rowOff>
    </xdr:from>
    <xdr:to>
      <xdr:col>2</xdr:col>
      <xdr:colOff>1790700</xdr:colOff>
      <xdr:row>76</xdr:row>
      <xdr:rowOff>184150</xdr:rowOff>
    </xdr:to>
    <xdr:pic>
      <xdr:nvPicPr>
        <xdr:cNvPr id="2" name="Picture 1">
          <a:extLst>
            <a:ext uri="{FF2B5EF4-FFF2-40B4-BE49-F238E27FC236}">
              <a16:creationId xmlns:a16="http://schemas.microsoft.com/office/drawing/2014/main" id="{563BE0F3-F024-4315-9A9C-248BA13E0BED}"/>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829049" y="14782800"/>
          <a:ext cx="1739901" cy="1568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57150</xdr:colOff>
      <xdr:row>73</xdr:row>
      <xdr:rowOff>1</xdr:rowOff>
    </xdr:from>
    <xdr:to>
      <xdr:col>4</xdr:col>
      <xdr:colOff>1949450</xdr:colOff>
      <xdr:row>76</xdr:row>
      <xdr:rowOff>266700</xdr:rowOff>
    </xdr:to>
    <xdr:pic>
      <xdr:nvPicPr>
        <xdr:cNvPr id="3" name="Picture 2">
          <a:extLst>
            <a:ext uri="{FF2B5EF4-FFF2-40B4-BE49-F238E27FC236}">
              <a16:creationId xmlns:a16="http://schemas.microsoft.com/office/drawing/2014/main" id="{C89C5F03-61E4-4F4E-8CF3-667B586E97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556500" y="14782801"/>
          <a:ext cx="1892300"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xdr:col>
      <xdr:colOff>82551</xdr:colOff>
      <xdr:row>122</xdr:row>
      <xdr:rowOff>6351</xdr:rowOff>
    </xdr:from>
    <xdr:to>
      <xdr:col>4</xdr:col>
      <xdr:colOff>2022475</xdr:colOff>
      <xdr:row>125</xdr:row>
      <xdr:rowOff>254000</xdr:rowOff>
    </xdr:to>
    <xdr:pic>
      <xdr:nvPicPr>
        <xdr:cNvPr id="2" name="Picture 1">
          <a:extLst>
            <a:ext uri="{FF2B5EF4-FFF2-40B4-BE49-F238E27FC236}">
              <a16:creationId xmlns:a16="http://schemas.microsoft.com/office/drawing/2014/main" id="{E9DAF0FD-1AD0-48EC-B4F3-FA30359AFDC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658101" y="24434801"/>
          <a:ext cx="1939924" cy="1631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88899</xdr:colOff>
      <xdr:row>122</xdr:row>
      <xdr:rowOff>1</xdr:rowOff>
    </xdr:from>
    <xdr:to>
      <xdr:col>2</xdr:col>
      <xdr:colOff>1882774</xdr:colOff>
      <xdr:row>125</xdr:row>
      <xdr:rowOff>196850</xdr:rowOff>
    </xdr:to>
    <xdr:pic>
      <xdr:nvPicPr>
        <xdr:cNvPr id="3" name="Picture 2">
          <a:extLst>
            <a:ext uri="{FF2B5EF4-FFF2-40B4-BE49-F238E27FC236}">
              <a16:creationId xmlns:a16="http://schemas.microsoft.com/office/drawing/2014/main" id="{683962AA-344D-430B-8674-1AE90FE1121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67149" y="24428451"/>
          <a:ext cx="1793875"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2</xdr:col>
      <xdr:colOff>1</xdr:colOff>
      <xdr:row>97</xdr:row>
      <xdr:rowOff>1</xdr:rowOff>
    </xdr:from>
    <xdr:to>
      <xdr:col>2</xdr:col>
      <xdr:colOff>1974850</xdr:colOff>
      <xdr:row>100</xdr:row>
      <xdr:rowOff>247650</xdr:rowOff>
    </xdr:to>
    <xdr:pic>
      <xdr:nvPicPr>
        <xdr:cNvPr id="2" name="Picture 1">
          <a:extLst>
            <a:ext uri="{FF2B5EF4-FFF2-40B4-BE49-F238E27FC236}">
              <a16:creationId xmlns:a16="http://schemas.microsoft.com/office/drawing/2014/main" id="{5BF5C9E8-2902-42C7-81CC-48C1B0EA62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9507201"/>
          <a:ext cx="1974849" cy="15049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97</xdr:row>
      <xdr:rowOff>1</xdr:rowOff>
    </xdr:from>
    <xdr:to>
      <xdr:col>4</xdr:col>
      <xdr:colOff>1917700</xdr:colOff>
      <xdr:row>100</xdr:row>
      <xdr:rowOff>222250</xdr:rowOff>
    </xdr:to>
    <xdr:pic>
      <xdr:nvPicPr>
        <xdr:cNvPr id="3" name="Picture 2">
          <a:extLst>
            <a:ext uri="{FF2B5EF4-FFF2-40B4-BE49-F238E27FC236}">
              <a16:creationId xmlns:a16="http://schemas.microsoft.com/office/drawing/2014/main" id="{772614B2-1364-4F6B-A7CE-537F981EEE8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19507201"/>
          <a:ext cx="1917699" cy="14795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xdr:col>
      <xdr:colOff>57151</xdr:colOff>
      <xdr:row>101</xdr:row>
      <xdr:rowOff>38101</xdr:rowOff>
    </xdr:from>
    <xdr:to>
      <xdr:col>4</xdr:col>
      <xdr:colOff>2006600</xdr:colOff>
      <xdr:row>104</xdr:row>
      <xdr:rowOff>228600</xdr:rowOff>
    </xdr:to>
    <xdr:pic>
      <xdr:nvPicPr>
        <xdr:cNvPr id="2" name="Picture 1">
          <a:extLst>
            <a:ext uri="{FF2B5EF4-FFF2-40B4-BE49-F238E27FC236}">
              <a16:creationId xmlns:a16="http://schemas.microsoft.com/office/drawing/2014/main" id="{04070972-9D12-45D6-B0C1-AB8949C29A5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80301" y="20332701"/>
          <a:ext cx="1949449" cy="14477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101</xdr:row>
      <xdr:rowOff>1</xdr:rowOff>
    </xdr:from>
    <xdr:to>
      <xdr:col>2</xdr:col>
      <xdr:colOff>1739900</xdr:colOff>
      <xdr:row>104</xdr:row>
      <xdr:rowOff>209550</xdr:rowOff>
    </xdr:to>
    <xdr:pic>
      <xdr:nvPicPr>
        <xdr:cNvPr id="3" name="Picture 2">
          <a:extLst>
            <a:ext uri="{FF2B5EF4-FFF2-40B4-BE49-F238E27FC236}">
              <a16:creationId xmlns:a16="http://schemas.microsoft.com/office/drawing/2014/main" id="{24C4CE10-5B0C-4DF7-9352-E352DF55804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0294601"/>
          <a:ext cx="1739899" cy="14668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1</xdr:colOff>
      <xdr:row>72</xdr:row>
      <xdr:rowOff>1</xdr:rowOff>
    </xdr:from>
    <xdr:to>
      <xdr:col>2</xdr:col>
      <xdr:colOff>1809750</xdr:colOff>
      <xdr:row>75</xdr:row>
      <xdr:rowOff>247650</xdr:rowOff>
    </xdr:to>
    <xdr:pic>
      <xdr:nvPicPr>
        <xdr:cNvPr id="2" name="Picture 1">
          <a:extLst>
            <a:ext uri="{FF2B5EF4-FFF2-40B4-BE49-F238E27FC236}">
              <a16:creationId xmlns:a16="http://schemas.microsoft.com/office/drawing/2014/main" id="{61A2B45A-DA65-450A-A5C8-EA7F06D360F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4585951"/>
          <a:ext cx="1809749" cy="1695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72</xdr:row>
      <xdr:rowOff>1</xdr:rowOff>
    </xdr:from>
    <xdr:to>
      <xdr:col>4</xdr:col>
      <xdr:colOff>1924050</xdr:colOff>
      <xdr:row>75</xdr:row>
      <xdr:rowOff>228600</xdr:rowOff>
    </xdr:to>
    <xdr:pic>
      <xdr:nvPicPr>
        <xdr:cNvPr id="3" name="Picture 2">
          <a:extLst>
            <a:ext uri="{FF2B5EF4-FFF2-40B4-BE49-F238E27FC236}">
              <a16:creationId xmlns:a16="http://schemas.microsoft.com/office/drawing/2014/main" id="{BFA93EA9-98D7-4CFD-B42F-E36D292BF97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73951" y="14585951"/>
          <a:ext cx="1924049" cy="16763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xdr:col>
      <xdr:colOff>12701</xdr:colOff>
      <xdr:row>123</xdr:row>
      <xdr:rowOff>25401</xdr:rowOff>
    </xdr:from>
    <xdr:to>
      <xdr:col>4</xdr:col>
      <xdr:colOff>1847850</xdr:colOff>
      <xdr:row>126</xdr:row>
      <xdr:rowOff>317500</xdr:rowOff>
    </xdr:to>
    <xdr:pic>
      <xdr:nvPicPr>
        <xdr:cNvPr id="2" name="Picture 1">
          <a:extLst>
            <a:ext uri="{FF2B5EF4-FFF2-40B4-BE49-F238E27FC236}">
              <a16:creationId xmlns:a16="http://schemas.microsoft.com/office/drawing/2014/main" id="{306C0FCD-94E8-4C3B-B7C6-A3CF96E2E12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24751" y="24650701"/>
          <a:ext cx="1835149" cy="1581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123</xdr:row>
      <xdr:rowOff>0</xdr:rowOff>
    </xdr:from>
    <xdr:to>
      <xdr:col>2</xdr:col>
      <xdr:colOff>1822450</xdr:colOff>
      <xdr:row>126</xdr:row>
      <xdr:rowOff>349250</xdr:rowOff>
    </xdr:to>
    <xdr:pic>
      <xdr:nvPicPr>
        <xdr:cNvPr id="3" name="Picture 2">
          <a:extLst>
            <a:ext uri="{FF2B5EF4-FFF2-40B4-BE49-F238E27FC236}">
              <a16:creationId xmlns:a16="http://schemas.microsoft.com/office/drawing/2014/main" id="{BDF61C6E-7AF4-4B41-8879-AE900461B31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24625300"/>
          <a:ext cx="1822449" cy="16383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1</xdr:colOff>
      <xdr:row>79</xdr:row>
      <xdr:rowOff>0</xdr:rowOff>
    </xdr:from>
    <xdr:to>
      <xdr:col>2</xdr:col>
      <xdr:colOff>1720850</xdr:colOff>
      <xdr:row>82</xdr:row>
      <xdr:rowOff>311150</xdr:rowOff>
    </xdr:to>
    <xdr:pic>
      <xdr:nvPicPr>
        <xdr:cNvPr id="2" name="Picture 1">
          <a:extLst>
            <a:ext uri="{FF2B5EF4-FFF2-40B4-BE49-F238E27FC236}">
              <a16:creationId xmlns:a16="http://schemas.microsoft.com/office/drawing/2014/main" id="{1042F5B1-0C4F-4C76-B13A-EC416549BCC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5963900"/>
          <a:ext cx="1720849" cy="14414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31751</xdr:colOff>
      <xdr:row>79</xdr:row>
      <xdr:rowOff>19051</xdr:rowOff>
    </xdr:from>
    <xdr:to>
      <xdr:col>4</xdr:col>
      <xdr:colOff>2057401</xdr:colOff>
      <xdr:row>82</xdr:row>
      <xdr:rowOff>361950</xdr:rowOff>
    </xdr:to>
    <xdr:pic>
      <xdr:nvPicPr>
        <xdr:cNvPr id="3" name="Picture 2">
          <a:extLst>
            <a:ext uri="{FF2B5EF4-FFF2-40B4-BE49-F238E27FC236}">
              <a16:creationId xmlns:a16="http://schemas.microsoft.com/office/drawing/2014/main" id="{559642E3-891F-4DB3-85E1-E8AC532CE6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454901" y="15982951"/>
          <a:ext cx="2025650" cy="14731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4</xdr:col>
      <xdr:colOff>82550</xdr:colOff>
      <xdr:row>72</xdr:row>
      <xdr:rowOff>22983</xdr:rowOff>
    </xdr:from>
    <xdr:to>
      <xdr:col>4</xdr:col>
      <xdr:colOff>1803400</xdr:colOff>
      <xdr:row>75</xdr:row>
      <xdr:rowOff>336550</xdr:rowOff>
    </xdr:to>
    <xdr:pic>
      <xdr:nvPicPr>
        <xdr:cNvPr id="2" name="Picture 1">
          <a:extLst>
            <a:ext uri="{FF2B5EF4-FFF2-40B4-BE49-F238E27FC236}">
              <a16:creationId xmlns:a16="http://schemas.microsoft.com/office/drawing/2014/main" id="{E44B49C7-FA69-4A76-B0CF-087C4A40F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588250" y="14608933"/>
          <a:ext cx="1720850" cy="156451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1</xdr:colOff>
      <xdr:row>72</xdr:row>
      <xdr:rowOff>1</xdr:rowOff>
    </xdr:from>
    <xdr:to>
      <xdr:col>2</xdr:col>
      <xdr:colOff>1828800</xdr:colOff>
      <xdr:row>75</xdr:row>
      <xdr:rowOff>317500</xdr:rowOff>
    </xdr:to>
    <xdr:pic>
      <xdr:nvPicPr>
        <xdr:cNvPr id="3" name="Picture 2">
          <a:extLst>
            <a:ext uri="{FF2B5EF4-FFF2-40B4-BE49-F238E27FC236}">
              <a16:creationId xmlns:a16="http://schemas.microsoft.com/office/drawing/2014/main" id="{7761D9D6-ECA8-4D66-9A74-FFC6A37342E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778251" y="14585951"/>
          <a:ext cx="1828799" cy="15684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1</xdr:colOff>
      <xdr:row>52</xdr:row>
      <xdr:rowOff>1</xdr:rowOff>
    </xdr:from>
    <xdr:to>
      <xdr:col>2</xdr:col>
      <xdr:colOff>1771650</xdr:colOff>
      <xdr:row>55</xdr:row>
      <xdr:rowOff>336550</xdr:rowOff>
    </xdr:to>
    <xdr:pic>
      <xdr:nvPicPr>
        <xdr:cNvPr id="2" name="Picture 1">
          <a:extLst>
            <a:ext uri="{FF2B5EF4-FFF2-40B4-BE49-F238E27FC236}">
              <a16:creationId xmlns:a16="http://schemas.microsoft.com/office/drawing/2014/main" id="{DD111AD3-DB96-4D7F-8EE8-F06291B402A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778251" y="10648951"/>
          <a:ext cx="1771649" cy="1663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xdr:colOff>
      <xdr:row>52</xdr:row>
      <xdr:rowOff>1</xdr:rowOff>
    </xdr:from>
    <xdr:to>
      <xdr:col>4</xdr:col>
      <xdr:colOff>1682751</xdr:colOff>
      <xdr:row>55</xdr:row>
      <xdr:rowOff>330200</xdr:rowOff>
    </xdr:to>
    <xdr:pic>
      <xdr:nvPicPr>
        <xdr:cNvPr id="3" name="Picture 2">
          <a:extLst>
            <a:ext uri="{FF2B5EF4-FFF2-40B4-BE49-F238E27FC236}">
              <a16:creationId xmlns:a16="http://schemas.microsoft.com/office/drawing/2014/main" id="{BE03AC49-E419-4787-AFC0-A55D3200C96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72301" y="10648951"/>
          <a:ext cx="1682750" cy="16573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4</xdr:col>
      <xdr:colOff>44450</xdr:colOff>
      <xdr:row>88</xdr:row>
      <xdr:rowOff>1</xdr:rowOff>
    </xdr:from>
    <xdr:to>
      <xdr:col>4</xdr:col>
      <xdr:colOff>1943100</xdr:colOff>
      <xdr:row>91</xdr:row>
      <xdr:rowOff>266700</xdr:rowOff>
    </xdr:to>
    <xdr:pic>
      <xdr:nvPicPr>
        <xdr:cNvPr id="2" name="Picture 1">
          <a:extLst>
            <a:ext uri="{FF2B5EF4-FFF2-40B4-BE49-F238E27FC236}">
              <a16:creationId xmlns:a16="http://schemas.microsoft.com/office/drawing/2014/main" id="{B4633EBA-0EC3-48D4-9EE0-E72876DCDDB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7416800" y="17735551"/>
          <a:ext cx="1898650"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xdr:col>
      <xdr:colOff>31751</xdr:colOff>
      <xdr:row>88</xdr:row>
      <xdr:rowOff>1</xdr:rowOff>
    </xdr:from>
    <xdr:to>
      <xdr:col>2</xdr:col>
      <xdr:colOff>1682750</xdr:colOff>
      <xdr:row>91</xdr:row>
      <xdr:rowOff>266700</xdr:rowOff>
    </xdr:to>
    <xdr:pic>
      <xdr:nvPicPr>
        <xdr:cNvPr id="3" name="Picture 2">
          <a:extLst>
            <a:ext uri="{FF2B5EF4-FFF2-40B4-BE49-F238E27FC236}">
              <a16:creationId xmlns:a16="http://schemas.microsoft.com/office/drawing/2014/main" id="{0EBF110F-F23D-4D57-9C01-699D8CD7708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810001" y="17735551"/>
          <a:ext cx="1650999" cy="1650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161925</xdr:colOff>
      <xdr:row>22</xdr:row>
      <xdr:rowOff>228600</xdr:rowOff>
    </xdr:from>
    <xdr:to>
      <xdr:col>2</xdr:col>
      <xdr:colOff>1542164</xdr:colOff>
      <xdr:row>25</xdr:row>
      <xdr:rowOff>123825</xdr:rowOff>
    </xdr:to>
    <xdr:pic>
      <xdr:nvPicPr>
        <xdr:cNvPr id="2" name="Picture 1">
          <a:extLst>
            <a:ext uri="{FF2B5EF4-FFF2-40B4-BE49-F238E27FC236}">
              <a16:creationId xmlns:a16="http://schemas.microsoft.com/office/drawing/2014/main" id="{3427982C-B7D9-48DF-A3F9-086DBC0518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4972050"/>
          <a:ext cx="1380239" cy="12795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171451</xdr:colOff>
      <xdr:row>22</xdr:row>
      <xdr:rowOff>190499</xdr:rowOff>
    </xdr:from>
    <xdr:to>
      <xdr:col>4</xdr:col>
      <xdr:colOff>1714501</xdr:colOff>
      <xdr:row>25</xdr:row>
      <xdr:rowOff>82185</xdr:rowOff>
    </xdr:to>
    <xdr:pic>
      <xdr:nvPicPr>
        <xdr:cNvPr id="3" name="Picture 2">
          <a:extLst>
            <a:ext uri="{FF2B5EF4-FFF2-40B4-BE49-F238E27FC236}">
              <a16:creationId xmlns:a16="http://schemas.microsoft.com/office/drawing/2014/main" id="{F1021B09-D81D-454E-A1F1-6B1F851639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7645401" y="4933949"/>
          <a:ext cx="1543050" cy="12759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110DB-B78B-42FD-A79F-3B3D6A5AA6A0}">
  <dimension ref="A1:C31"/>
  <sheetViews>
    <sheetView tabSelected="1" workbookViewId="0">
      <selection sqref="A1:B1"/>
    </sheetView>
  </sheetViews>
  <sheetFormatPr defaultRowHeight="14.5" x14ac:dyDescent="0.35"/>
  <cols>
    <col min="1" max="1" width="13.6328125" bestFit="1" customWidth="1"/>
    <col min="2" max="2" width="37" bestFit="1" customWidth="1"/>
    <col min="3" max="3" width="14.7265625" bestFit="1" customWidth="1"/>
  </cols>
  <sheetData>
    <row r="1" spans="1:3" x14ac:dyDescent="0.35">
      <c r="A1" s="72" t="s">
        <v>85</v>
      </c>
      <c r="B1" s="72"/>
    </row>
    <row r="2" spans="1:3" x14ac:dyDescent="0.35">
      <c r="A2" s="73" t="s">
        <v>86</v>
      </c>
      <c r="B2" s="73"/>
    </row>
    <row r="3" spans="1:3" x14ac:dyDescent="0.35">
      <c r="A3" s="54" t="s">
        <v>87</v>
      </c>
      <c r="B3" s="54" t="s">
        <v>88</v>
      </c>
      <c r="C3" s="54" t="s">
        <v>962</v>
      </c>
    </row>
    <row r="4" spans="1:3" x14ac:dyDescent="0.35">
      <c r="A4" s="55" t="s">
        <v>31</v>
      </c>
      <c r="B4" s="55" t="s">
        <v>32</v>
      </c>
      <c r="C4" s="55" t="s">
        <v>963</v>
      </c>
    </row>
    <row r="5" spans="1:3" x14ac:dyDescent="0.35">
      <c r="A5" s="55" t="s">
        <v>33</v>
      </c>
      <c r="B5" s="55" t="s">
        <v>34</v>
      </c>
      <c r="C5" s="55" t="s">
        <v>1056</v>
      </c>
    </row>
    <row r="6" spans="1:3" x14ac:dyDescent="0.35">
      <c r="A6" s="55" t="s">
        <v>35</v>
      </c>
      <c r="B6" s="55" t="s">
        <v>36</v>
      </c>
      <c r="C6" s="55" t="s">
        <v>972</v>
      </c>
    </row>
    <row r="7" spans="1:3" x14ac:dyDescent="0.35">
      <c r="A7" s="55" t="s">
        <v>37</v>
      </c>
      <c r="B7" s="55" t="s">
        <v>38</v>
      </c>
      <c r="C7" s="55" t="s">
        <v>972</v>
      </c>
    </row>
    <row r="8" spans="1:3" x14ac:dyDescent="0.35">
      <c r="A8" s="55" t="s">
        <v>39</v>
      </c>
      <c r="B8" s="55" t="s">
        <v>40</v>
      </c>
      <c r="C8" s="55" t="s">
        <v>972</v>
      </c>
    </row>
    <row r="9" spans="1:3" x14ac:dyDescent="0.35">
      <c r="A9" s="55" t="s">
        <v>41</v>
      </c>
      <c r="B9" s="55" t="s">
        <v>42</v>
      </c>
      <c r="C9" s="55" t="s">
        <v>972</v>
      </c>
    </row>
    <row r="10" spans="1:3" x14ac:dyDescent="0.35">
      <c r="A10" s="55" t="s">
        <v>43</v>
      </c>
      <c r="B10" s="55" t="s">
        <v>44</v>
      </c>
      <c r="C10" s="55" t="s">
        <v>972</v>
      </c>
    </row>
    <row r="11" spans="1:3" x14ac:dyDescent="0.35">
      <c r="A11" s="55" t="s">
        <v>45</v>
      </c>
      <c r="B11" s="55" t="s">
        <v>46</v>
      </c>
      <c r="C11" s="55" t="s">
        <v>972</v>
      </c>
    </row>
    <row r="12" spans="1:3" x14ac:dyDescent="0.35">
      <c r="A12" s="55" t="s">
        <v>47</v>
      </c>
      <c r="B12" s="55" t="s">
        <v>48</v>
      </c>
      <c r="C12" s="55" t="s">
        <v>1056</v>
      </c>
    </row>
    <row r="13" spans="1:3" x14ac:dyDescent="0.35">
      <c r="A13" s="55" t="s">
        <v>49</v>
      </c>
      <c r="B13" s="55" t="s">
        <v>50</v>
      </c>
      <c r="C13" s="55" t="s">
        <v>972</v>
      </c>
    </row>
    <row r="14" spans="1:3" x14ac:dyDescent="0.35">
      <c r="A14" s="55" t="s">
        <v>51</v>
      </c>
      <c r="B14" s="55" t="s">
        <v>52</v>
      </c>
      <c r="C14" s="55" t="s">
        <v>972</v>
      </c>
    </row>
    <row r="15" spans="1:3" x14ac:dyDescent="0.35">
      <c r="A15" s="55" t="s">
        <v>53</v>
      </c>
      <c r="B15" s="55" t="s">
        <v>54</v>
      </c>
      <c r="C15" s="55" t="s">
        <v>972</v>
      </c>
    </row>
    <row r="16" spans="1:3" x14ac:dyDescent="0.35">
      <c r="A16" s="55" t="s">
        <v>55</v>
      </c>
      <c r="B16" s="55" t="s">
        <v>56</v>
      </c>
      <c r="C16" s="55" t="s">
        <v>973</v>
      </c>
    </row>
    <row r="17" spans="1:3" x14ac:dyDescent="0.35">
      <c r="A17" s="55" t="s">
        <v>57</v>
      </c>
      <c r="B17" s="55" t="s">
        <v>58</v>
      </c>
      <c r="C17" s="55" t="s">
        <v>972</v>
      </c>
    </row>
    <row r="18" spans="1:3" x14ac:dyDescent="0.35">
      <c r="A18" s="55" t="s">
        <v>59</v>
      </c>
      <c r="B18" s="55" t="s">
        <v>60</v>
      </c>
      <c r="C18" s="55" t="s">
        <v>972</v>
      </c>
    </row>
    <row r="19" spans="1:3" x14ac:dyDescent="0.35">
      <c r="A19" s="55" t="s">
        <v>61</v>
      </c>
      <c r="B19" s="55" t="s">
        <v>62</v>
      </c>
      <c r="C19" s="55" t="s">
        <v>972</v>
      </c>
    </row>
    <row r="20" spans="1:3" x14ac:dyDescent="0.35">
      <c r="A20" s="55" t="s">
        <v>63</v>
      </c>
      <c r="B20" s="55" t="s">
        <v>64</v>
      </c>
      <c r="C20" s="55" t="s">
        <v>972</v>
      </c>
    </row>
    <row r="21" spans="1:3" x14ac:dyDescent="0.35">
      <c r="A21" s="55" t="s">
        <v>65</v>
      </c>
      <c r="B21" s="55" t="s">
        <v>66</v>
      </c>
      <c r="C21" s="55" t="s">
        <v>972</v>
      </c>
    </row>
    <row r="22" spans="1:3" x14ac:dyDescent="0.35">
      <c r="A22" s="55" t="s">
        <v>67</v>
      </c>
      <c r="B22" s="55" t="s">
        <v>68</v>
      </c>
      <c r="C22" s="55" t="s">
        <v>972</v>
      </c>
    </row>
    <row r="23" spans="1:3" x14ac:dyDescent="0.35">
      <c r="A23" s="55" t="s">
        <v>69</v>
      </c>
      <c r="B23" s="55" t="s">
        <v>70</v>
      </c>
      <c r="C23" s="55" t="s">
        <v>972</v>
      </c>
    </row>
    <row r="24" spans="1:3" x14ac:dyDescent="0.35">
      <c r="A24" s="55" t="s">
        <v>71</v>
      </c>
      <c r="B24" s="55" t="s">
        <v>72</v>
      </c>
      <c r="C24" s="55" t="s">
        <v>972</v>
      </c>
    </row>
    <row r="25" spans="1:3" x14ac:dyDescent="0.35">
      <c r="A25" s="55" t="s">
        <v>73</v>
      </c>
      <c r="B25" s="55" t="s">
        <v>74</v>
      </c>
      <c r="C25" s="55" t="s">
        <v>972</v>
      </c>
    </row>
    <row r="26" spans="1:3" x14ac:dyDescent="0.35">
      <c r="A26" s="55" t="s">
        <v>75</v>
      </c>
      <c r="B26" s="55" t="s">
        <v>76</v>
      </c>
      <c r="C26" s="55" t="s">
        <v>972</v>
      </c>
    </row>
    <row r="27" spans="1:3" x14ac:dyDescent="0.35">
      <c r="A27" s="55" t="s">
        <v>77</v>
      </c>
      <c r="B27" s="55" t="s">
        <v>78</v>
      </c>
      <c r="C27" s="55" t="s">
        <v>972</v>
      </c>
    </row>
    <row r="28" spans="1:3" x14ac:dyDescent="0.35">
      <c r="A28" s="55" t="s">
        <v>79</v>
      </c>
      <c r="B28" s="55" t="s">
        <v>80</v>
      </c>
      <c r="C28" s="55" t="s">
        <v>972</v>
      </c>
    </row>
    <row r="29" spans="1:3" x14ac:dyDescent="0.35">
      <c r="A29" s="55" t="s">
        <v>81</v>
      </c>
      <c r="B29" s="55" t="s">
        <v>82</v>
      </c>
      <c r="C29" s="55" t="s">
        <v>972</v>
      </c>
    </row>
    <row r="30" spans="1:3" x14ac:dyDescent="0.35">
      <c r="A30" s="55" t="s">
        <v>83</v>
      </c>
      <c r="B30" s="55" t="s">
        <v>84</v>
      </c>
      <c r="C30" s="55" t="s">
        <v>972</v>
      </c>
    </row>
    <row r="31" spans="1:3" x14ac:dyDescent="0.35">
      <c r="A31" s="55" t="s">
        <v>1058</v>
      </c>
      <c r="B31" s="55" t="s">
        <v>1059</v>
      </c>
      <c r="C31" s="55" t="s">
        <v>973</v>
      </c>
    </row>
  </sheetData>
  <mergeCells count="2">
    <mergeCell ref="A1:B1"/>
    <mergeCell ref="A2:B2"/>
  </mergeCells>
  <hyperlinks>
    <hyperlink ref="A4" location="'LEARBF'!A1" display="LEARBF" xr:uid="{A6342BEC-070B-4EBA-B665-CC7FCD65D399}"/>
    <hyperlink ref="A5" location="'LEBADF'!A1" display="LEBADF" xr:uid="{B8BDFBF3-0D9E-4550-BDFC-257693F14410}"/>
    <hyperlink ref="A6" location="'LEBALF'!A1" display="LEBALF" xr:uid="{501D8B46-9180-441C-8D78-C0D4688E2317}"/>
    <hyperlink ref="A7" location="'LEBFSF'!A1" display="LEBFSF" xr:uid="{5EB1652F-1870-477F-89C6-241F2CAD6E3C}"/>
    <hyperlink ref="A8" location="'LECHID'!A1" display="LECHID" xr:uid="{DACD95F4-9997-453A-931E-4DE7CCDAF4C1}"/>
    <hyperlink ref="A9" location="'LEDDYF'!A1" display="LEDDYF" xr:uid="{1958FC02-2BB5-4268-A555-DEA481E6F68D}"/>
    <hyperlink ref="A10" location="'LEDHCF'!A1" display="LEDHCF" xr:uid="{0EF6ABA1-4D44-4743-A94F-94F2744A2951}"/>
    <hyperlink ref="A11" location="'LEEMCF'!A1" display="LEEMCF" xr:uid="{7A1A92F4-6471-493F-8C3F-1EA9D4C5A4E4}"/>
    <hyperlink ref="A12" location="'LEEQSF'!A1" display="LEEQSF" xr:uid="{5FA17766-B0F1-48ED-81DC-B1688D33373D}"/>
    <hyperlink ref="A13" location="'LEEQTF'!A1" display="LEEQTF" xr:uid="{8F459C0B-3282-45F8-983A-7AF3755292FA}"/>
    <hyperlink ref="A14" location="'LEESCF'!A1" display="LEESCF" xr:uid="{BC931F9C-A481-41C2-B566-3BA2698CBB5F}"/>
    <hyperlink ref="A15" location="'LEFE30'!A1" display="LEFE30" xr:uid="{E1BE7DB9-9CD7-4077-BAA2-0E7AEC3EEF4B}"/>
    <hyperlink ref="A16" location="'LEGFOF'!A1" display="LEGFOF" xr:uid="{E2E25032-D214-45B7-A915-22A71EC4538A}"/>
    <hyperlink ref="A17" location="'LEGROW'!A1" display="LEGROW" xr:uid="{5429C592-4005-4A77-A57B-2ECA47504F4B}"/>
    <hyperlink ref="A18" location="'LEINFA'!A1" display="LEINFA" xr:uid="{CA777153-BB12-4494-8412-3582AAB4B429}"/>
    <hyperlink ref="A19" location="'LEINNF'!A1" display="LEINNF" xr:uid="{9BDC42F0-081E-4921-8855-5D918449DEB3}"/>
    <hyperlink ref="A20" location="'LEINSX'!A1" display="LEINSX" xr:uid="{45600618-E36B-413F-AAB1-2867DBFA7146}"/>
    <hyperlink ref="A21" location="'LELTVF'!A1" display="LELTVF" xr:uid="{E3773D70-C62C-4A8D-85D7-22F0A34E7F18}"/>
    <hyperlink ref="A22" location="'LEMETF'!A1" display="LEMETF" xr:uid="{31CCBF14-CFFD-4B5E-A0DA-8FBAF3CC453A}"/>
    <hyperlink ref="A23" location="'LEMIDF'!A1" display="LEMIDF" xr:uid="{B350FEFF-E316-4057-908F-160943906CAC}"/>
    <hyperlink ref="A24" location="'LEMUCF'!A1" display="LEMUCF" xr:uid="{E04E8CED-86A1-4FDE-82D7-9754DC2118E9}"/>
    <hyperlink ref="A25" location="'LENI50'!A1" display="LENI50" xr:uid="{3C04C544-1FE3-452D-8A22-651C5272F42D}"/>
    <hyperlink ref="A26" location="'LET100'!A1" display="LET100" xr:uid="{C026B8CC-8D88-4195-9E8F-AA4FAAAC49DC}"/>
    <hyperlink ref="A27" location="'LETAXP'!A1" display="LETAXP" xr:uid="{4CD2D9D4-4EEF-4932-BC92-62EBD2A06983}"/>
    <hyperlink ref="A28" location="'LETF50'!A1" display="LETF50" xr:uid="{4C08D9C3-0BAF-4C95-943D-57AE9650AE87}"/>
    <hyperlink ref="A29" location="'LETFSX'!A1" display="LETFSX" xr:uid="{8A3EE817-1BD4-42B3-B1F1-E6D491A05805}"/>
    <hyperlink ref="A30" location="'LEULIS'!A1" display="LEULIS" xr:uid="{D2CA0595-4225-4119-A0BE-7E717246880D}"/>
    <hyperlink ref="A31" location="LICMFGOLDETF!A1" display="LICMFGOLDETF" xr:uid="{9D31B415-0F81-4F49-932D-F8FBDA896C9A}"/>
  </hyperlink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37304-2BEB-4025-A954-5056EC58599F}">
  <dimension ref="B1:P195"/>
  <sheetViews>
    <sheetView workbookViewId="0"/>
  </sheetViews>
  <sheetFormatPr defaultColWidth="9.1796875" defaultRowHeight="15.75" customHeight="1" x14ac:dyDescent="0.25"/>
  <cols>
    <col min="1" max="1" width="3.6328125" style="2" customWidth="1"/>
    <col min="2" max="2" width="39.08984375" style="9" bestFit="1" customWidth="1"/>
    <col min="3" max="3" width="25.7265625" style="9" customWidth="1"/>
    <col min="4" max="4" width="36.6328125" style="9" bestFit="1" customWidth="1"/>
    <col min="5" max="5" width="27.542968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9</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164</v>
      </c>
      <c r="C7" s="25" t="s">
        <v>165</v>
      </c>
      <c r="D7" s="25" t="s">
        <v>166</v>
      </c>
      <c r="E7" s="26">
        <v>259350</v>
      </c>
      <c r="F7" s="27">
        <v>793.35</v>
      </c>
      <c r="G7" s="28">
        <v>3.1300000000000001E-2</v>
      </c>
      <c r="H7" s="29"/>
    </row>
    <row r="8" spans="2:9" ht="15.75" customHeight="1" x14ac:dyDescent="0.25">
      <c r="B8" s="25" t="s">
        <v>167</v>
      </c>
      <c r="C8" s="25" t="s">
        <v>168</v>
      </c>
      <c r="D8" s="25" t="s">
        <v>169</v>
      </c>
      <c r="E8" s="26">
        <v>62100</v>
      </c>
      <c r="F8" s="27">
        <v>666.92</v>
      </c>
      <c r="G8" s="28">
        <v>2.63E-2</v>
      </c>
      <c r="H8" s="29"/>
    </row>
    <row r="9" spans="2:9" ht="15.75" customHeight="1" x14ac:dyDescent="0.25">
      <c r="B9" s="25" t="s">
        <v>170</v>
      </c>
      <c r="C9" s="25" t="s">
        <v>171</v>
      </c>
      <c r="D9" s="25" t="s">
        <v>129</v>
      </c>
      <c r="E9" s="26">
        <v>39500</v>
      </c>
      <c r="F9" s="27">
        <v>578.48</v>
      </c>
      <c r="G9" s="28">
        <v>2.2800000000000001E-2</v>
      </c>
      <c r="H9" s="29"/>
    </row>
    <row r="10" spans="2:9" ht="15.75" customHeight="1" x14ac:dyDescent="0.25">
      <c r="B10" s="25" t="s">
        <v>172</v>
      </c>
      <c r="C10" s="25" t="s">
        <v>173</v>
      </c>
      <c r="D10" s="25" t="s">
        <v>129</v>
      </c>
      <c r="E10" s="26">
        <v>280000</v>
      </c>
      <c r="F10" s="27">
        <v>570.58000000000004</v>
      </c>
      <c r="G10" s="28">
        <v>2.2499999999999999E-2</v>
      </c>
      <c r="H10" s="29"/>
    </row>
    <row r="11" spans="2:9" ht="15.75" customHeight="1" x14ac:dyDescent="0.25">
      <c r="B11" s="25" t="s">
        <v>174</v>
      </c>
      <c r="C11" s="25" t="s">
        <v>175</v>
      </c>
      <c r="D11" s="25" t="s">
        <v>169</v>
      </c>
      <c r="E11" s="26">
        <v>162500</v>
      </c>
      <c r="F11" s="27">
        <v>570.54</v>
      </c>
      <c r="G11" s="28">
        <v>2.2499999999999999E-2</v>
      </c>
      <c r="H11" s="29"/>
    </row>
    <row r="12" spans="2:9" ht="15.75" customHeight="1" x14ac:dyDescent="0.25">
      <c r="B12" s="25" t="s">
        <v>176</v>
      </c>
      <c r="C12" s="25" t="s">
        <v>177</v>
      </c>
      <c r="D12" s="25" t="s">
        <v>178</v>
      </c>
      <c r="E12" s="26">
        <v>181125</v>
      </c>
      <c r="F12" s="27">
        <v>544.91</v>
      </c>
      <c r="G12" s="28">
        <v>2.1499999999999998E-2</v>
      </c>
      <c r="H12" s="29"/>
    </row>
    <row r="13" spans="2:9" ht="15.75" customHeight="1" x14ac:dyDescent="0.25">
      <c r="B13" s="25" t="s">
        <v>179</v>
      </c>
      <c r="C13" s="25" t="s">
        <v>180</v>
      </c>
      <c r="D13" s="25" t="s">
        <v>181</v>
      </c>
      <c r="E13" s="26">
        <v>308000</v>
      </c>
      <c r="F13" s="27">
        <v>535.95000000000005</v>
      </c>
      <c r="G13" s="28">
        <v>2.1100000000000001E-2</v>
      </c>
      <c r="H13" s="29"/>
    </row>
    <row r="14" spans="2:9" ht="15.75" customHeight="1" x14ac:dyDescent="0.25">
      <c r="B14" s="25" t="s">
        <v>182</v>
      </c>
      <c r="C14" s="25" t="s">
        <v>183</v>
      </c>
      <c r="D14" s="25" t="s">
        <v>184</v>
      </c>
      <c r="E14" s="26">
        <v>12450</v>
      </c>
      <c r="F14" s="27">
        <v>497.17</v>
      </c>
      <c r="G14" s="28">
        <v>1.9599999999999999E-2</v>
      </c>
      <c r="H14" s="29"/>
    </row>
    <row r="15" spans="2:9" ht="15.75" customHeight="1" x14ac:dyDescent="0.25">
      <c r="B15" s="25" t="s">
        <v>185</v>
      </c>
      <c r="C15" s="25" t="s">
        <v>186</v>
      </c>
      <c r="D15" s="25" t="s">
        <v>187</v>
      </c>
      <c r="E15" s="26">
        <v>205000</v>
      </c>
      <c r="F15" s="27">
        <v>495.87</v>
      </c>
      <c r="G15" s="28">
        <v>1.9599999999999999E-2</v>
      </c>
      <c r="H15" s="29"/>
    </row>
    <row r="16" spans="2:9" ht="15.75" customHeight="1" x14ac:dyDescent="0.25">
      <c r="B16" s="25" t="s">
        <v>188</v>
      </c>
      <c r="C16" s="25" t="s">
        <v>189</v>
      </c>
      <c r="D16" s="25" t="s">
        <v>129</v>
      </c>
      <c r="E16" s="26">
        <v>38750</v>
      </c>
      <c r="F16" s="27">
        <v>490.28</v>
      </c>
      <c r="G16" s="28">
        <v>1.9300000000000001E-2</v>
      </c>
      <c r="H16" s="29"/>
    </row>
    <row r="17" spans="2:8" ht="15.75" customHeight="1" x14ac:dyDescent="0.25">
      <c r="B17" s="25" t="s">
        <v>190</v>
      </c>
      <c r="C17" s="25" t="s">
        <v>191</v>
      </c>
      <c r="D17" s="25" t="s">
        <v>129</v>
      </c>
      <c r="E17" s="26">
        <v>185000</v>
      </c>
      <c r="F17" s="27">
        <v>486.51</v>
      </c>
      <c r="G17" s="28">
        <v>1.9199999999999998E-2</v>
      </c>
      <c r="H17" s="29"/>
    </row>
    <row r="18" spans="2:8" ht="15.75" customHeight="1" x14ac:dyDescent="0.25">
      <c r="B18" s="25" t="s">
        <v>192</v>
      </c>
      <c r="C18" s="25" t="s">
        <v>193</v>
      </c>
      <c r="D18" s="25" t="s">
        <v>194</v>
      </c>
      <c r="E18" s="26">
        <v>25500</v>
      </c>
      <c r="F18" s="27">
        <v>464.71</v>
      </c>
      <c r="G18" s="28">
        <v>1.83E-2</v>
      </c>
      <c r="H18" s="29"/>
    </row>
    <row r="19" spans="2:8" ht="15.75" customHeight="1" x14ac:dyDescent="0.25">
      <c r="B19" s="25" t="s">
        <v>136</v>
      </c>
      <c r="C19" s="25" t="s">
        <v>137</v>
      </c>
      <c r="D19" s="25" t="s">
        <v>129</v>
      </c>
      <c r="E19" s="26">
        <v>27500</v>
      </c>
      <c r="F19" s="27">
        <v>463.05</v>
      </c>
      <c r="G19" s="28">
        <v>1.83E-2</v>
      </c>
      <c r="H19" s="29"/>
    </row>
    <row r="20" spans="2:8" ht="15.75" customHeight="1" x14ac:dyDescent="0.25">
      <c r="B20" s="25" t="s">
        <v>195</v>
      </c>
      <c r="C20" s="25" t="s">
        <v>196</v>
      </c>
      <c r="D20" s="25" t="s">
        <v>129</v>
      </c>
      <c r="E20" s="26">
        <v>163800</v>
      </c>
      <c r="F20" s="27">
        <v>451.11</v>
      </c>
      <c r="G20" s="28">
        <v>1.78E-2</v>
      </c>
      <c r="H20" s="29"/>
    </row>
    <row r="21" spans="2:8" ht="15.75" customHeight="1" x14ac:dyDescent="0.25">
      <c r="B21" s="25" t="s">
        <v>197</v>
      </c>
      <c r="C21" s="25" t="s">
        <v>198</v>
      </c>
      <c r="D21" s="25" t="s">
        <v>199</v>
      </c>
      <c r="E21" s="26">
        <v>98900</v>
      </c>
      <c r="F21" s="27">
        <v>449.01</v>
      </c>
      <c r="G21" s="28">
        <v>1.77E-2</v>
      </c>
      <c r="H21" s="29"/>
    </row>
    <row r="22" spans="2:8" ht="15.75" customHeight="1" x14ac:dyDescent="0.25">
      <c r="B22" s="25" t="s">
        <v>200</v>
      </c>
      <c r="C22" s="25" t="s">
        <v>201</v>
      </c>
      <c r="D22" s="25" t="s">
        <v>202</v>
      </c>
      <c r="E22" s="26">
        <v>98550</v>
      </c>
      <c r="F22" s="27">
        <v>434.21</v>
      </c>
      <c r="G22" s="28">
        <v>1.7100000000000001E-2</v>
      </c>
      <c r="H22" s="29"/>
    </row>
    <row r="23" spans="2:8" ht="15.75" customHeight="1" x14ac:dyDescent="0.25">
      <c r="B23" s="25" t="s">
        <v>203</v>
      </c>
      <c r="C23" s="25" t="s">
        <v>204</v>
      </c>
      <c r="D23" s="25" t="s">
        <v>205</v>
      </c>
      <c r="E23" s="26">
        <v>175500</v>
      </c>
      <c r="F23" s="27">
        <v>431.82</v>
      </c>
      <c r="G23" s="28">
        <v>1.7000000000000001E-2</v>
      </c>
      <c r="H23" s="29"/>
    </row>
    <row r="24" spans="2:8" ht="15.75" customHeight="1" x14ac:dyDescent="0.25">
      <c r="B24" s="25" t="s">
        <v>206</v>
      </c>
      <c r="C24" s="25" t="s">
        <v>207</v>
      </c>
      <c r="D24" s="25" t="s">
        <v>202</v>
      </c>
      <c r="E24" s="26">
        <v>126000</v>
      </c>
      <c r="F24" s="27">
        <v>417</v>
      </c>
      <c r="G24" s="28">
        <v>1.6400000000000001E-2</v>
      </c>
      <c r="H24" s="29"/>
    </row>
    <row r="25" spans="2:8" ht="15.75" customHeight="1" x14ac:dyDescent="0.25">
      <c r="B25" s="25" t="s">
        <v>208</v>
      </c>
      <c r="C25" s="25" t="s">
        <v>209</v>
      </c>
      <c r="D25" s="25" t="s">
        <v>132</v>
      </c>
      <c r="E25" s="26">
        <v>27600</v>
      </c>
      <c r="F25" s="27">
        <v>394.78</v>
      </c>
      <c r="G25" s="28">
        <v>1.5599999999999999E-2</v>
      </c>
      <c r="H25" s="29"/>
    </row>
    <row r="26" spans="2:8" ht="15.75" customHeight="1" x14ac:dyDescent="0.25">
      <c r="B26" s="25" t="s">
        <v>210</v>
      </c>
      <c r="C26" s="25" t="s">
        <v>211</v>
      </c>
      <c r="D26" s="25" t="s">
        <v>143</v>
      </c>
      <c r="E26" s="26">
        <v>92800</v>
      </c>
      <c r="F26" s="27">
        <v>394.31</v>
      </c>
      <c r="G26" s="28">
        <v>1.55E-2</v>
      </c>
      <c r="H26" s="29"/>
    </row>
    <row r="27" spans="2:8" ht="15.75" customHeight="1" x14ac:dyDescent="0.25">
      <c r="B27" s="25" t="s">
        <v>212</v>
      </c>
      <c r="C27" s="25" t="s">
        <v>213</v>
      </c>
      <c r="D27" s="25" t="s">
        <v>214</v>
      </c>
      <c r="E27" s="26">
        <v>121900</v>
      </c>
      <c r="F27" s="27">
        <v>388.5</v>
      </c>
      <c r="G27" s="28">
        <v>1.5299999999999999E-2</v>
      </c>
      <c r="H27" s="29"/>
    </row>
    <row r="28" spans="2:8" ht="15.75" customHeight="1" x14ac:dyDescent="0.25">
      <c r="B28" s="25" t="s">
        <v>215</v>
      </c>
      <c r="C28" s="25" t="s">
        <v>216</v>
      </c>
      <c r="D28" s="25" t="s">
        <v>129</v>
      </c>
      <c r="E28" s="26">
        <v>18800</v>
      </c>
      <c r="F28" s="27">
        <v>338.87</v>
      </c>
      <c r="G28" s="28">
        <v>1.34E-2</v>
      </c>
      <c r="H28" s="29"/>
    </row>
    <row r="29" spans="2:8" ht="15.75" customHeight="1" x14ac:dyDescent="0.25">
      <c r="B29" s="25" t="s">
        <v>217</v>
      </c>
      <c r="C29" s="25" t="s">
        <v>218</v>
      </c>
      <c r="D29" s="25" t="s">
        <v>219</v>
      </c>
      <c r="E29" s="26">
        <v>39600</v>
      </c>
      <c r="F29" s="27">
        <v>326.60000000000002</v>
      </c>
      <c r="G29" s="28">
        <v>1.29E-2</v>
      </c>
      <c r="H29" s="29"/>
    </row>
    <row r="30" spans="2:8" ht="15.75" customHeight="1" x14ac:dyDescent="0.25">
      <c r="B30" s="25" t="s">
        <v>220</v>
      </c>
      <c r="C30" s="25" t="s">
        <v>221</v>
      </c>
      <c r="D30" s="25" t="s">
        <v>129</v>
      </c>
      <c r="E30" s="26">
        <v>34500</v>
      </c>
      <c r="F30" s="27">
        <v>292.89</v>
      </c>
      <c r="G30" s="28">
        <v>1.15E-2</v>
      </c>
      <c r="H30" s="29"/>
    </row>
    <row r="31" spans="2:8" ht="15.75" customHeight="1" x14ac:dyDescent="0.25">
      <c r="B31" s="25" t="s">
        <v>222</v>
      </c>
      <c r="C31" s="25" t="s">
        <v>223</v>
      </c>
      <c r="D31" s="25" t="s">
        <v>224</v>
      </c>
      <c r="E31" s="26">
        <v>8250</v>
      </c>
      <c r="F31" s="27">
        <v>292.75</v>
      </c>
      <c r="G31" s="28">
        <v>1.15E-2</v>
      </c>
      <c r="H31" s="29"/>
    </row>
    <row r="32" spans="2:8" ht="15.75" customHeight="1" x14ac:dyDescent="0.25">
      <c r="B32" s="25" t="s">
        <v>225</v>
      </c>
      <c r="C32" s="25" t="s">
        <v>226</v>
      </c>
      <c r="D32" s="25" t="s">
        <v>227</v>
      </c>
      <c r="E32" s="26">
        <v>3750</v>
      </c>
      <c r="F32" s="27">
        <v>266.83</v>
      </c>
      <c r="G32" s="28">
        <v>1.0500000000000001E-2</v>
      </c>
      <c r="H32" s="29"/>
    </row>
    <row r="33" spans="2:8" ht="15.75" customHeight="1" x14ac:dyDescent="0.25">
      <c r="B33" s="25" t="s">
        <v>228</v>
      </c>
      <c r="C33" s="25" t="s">
        <v>229</v>
      </c>
      <c r="D33" s="25" t="s">
        <v>129</v>
      </c>
      <c r="E33" s="26">
        <v>216000</v>
      </c>
      <c r="F33" s="27">
        <v>258.06</v>
      </c>
      <c r="G33" s="28">
        <v>1.0200000000000001E-2</v>
      </c>
      <c r="H33" s="29"/>
    </row>
    <row r="34" spans="2:8" ht="15.75" customHeight="1" x14ac:dyDescent="0.25">
      <c r="B34" s="25" t="s">
        <v>230</v>
      </c>
      <c r="C34" s="25" t="s">
        <v>231</v>
      </c>
      <c r="D34" s="25" t="s">
        <v>232</v>
      </c>
      <c r="E34" s="26">
        <v>6000</v>
      </c>
      <c r="F34" s="27">
        <v>253.7</v>
      </c>
      <c r="G34" s="28">
        <v>0.01</v>
      </c>
      <c r="H34" s="29"/>
    </row>
    <row r="35" spans="2:8" ht="15.75" customHeight="1" x14ac:dyDescent="0.25">
      <c r="B35" s="25" t="s">
        <v>233</v>
      </c>
      <c r="C35" s="25" t="s">
        <v>234</v>
      </c>
      <c r="D35" s="25" t="s">
        <v>227</v>
      </c>
      <c r="E35" s="26">
        <v>102600</v>
      </c>
      <c r="F35" s="27">
        <v>244.92</v>
      </c>
      <c r="G35" s="28">
        <v>9.7000000000000003E-3</v>
      </c>
      <c r="H35" s="29"/>
    </row>
    <row r="36" spans="2:8" ht="15.75" customHeight="1" x14ac:dyDescent="0.25">
      <c r="B36" s="25" t="s">
        <v>235</v>
      </c>
      <c r="C36" s="25" t="s">
        <v>236</v>
      </c>
      <c r="D36" s="25" t="s">
        <v>140</v>
      </c>
      <c r="E36" s="26">
        <v>141375</v>
      </c>
      <c r="F36" s="27">
        <v>234.16</v>
      </c>
      <c r="G36" s="28">
        <v>9.1999999999999998E-3</v>
      </c>
      <c r="H36" s="29"/>
    </row>
    <row r="37" spans="2:8" ht="15.75" customHeight="1" x14ac:dyDescent="0.25">
      <c r="B37" s="25" t="s">
        <v>237</v>
      </c>
      <c r="C37" s="25" t="s">
        <v>238</v>
      </c>
      <c r="D37" s="25" t="s">
        <v>129</v>
      </c>
      <c r="E37" s="26">
        <v>285000</v>
      </c>
      <c r="F37" s="27">
        <v>234.16</v>
      </c>
      <c r="G37" s="28">
        <v>9.1999999999999998E-3</v>
      </c>
      <c r="H37" s="29"/>
    </row>
    <row r="38" spans="2:8" ht="15.75" customHeight="1" x14ac:dyDescent="0.25">
      <c r="B38" s="25" t="s">
        <v>239</v>
      </c>
      <c r="C38" s="25" t="s">
        <v>240</v>
      </c>
      <c r="D38" s="25" t="s">
        <v>241</v>
      </c>
      <c r="E38" s="26">
        <v>105225</v>
      </c>
      <c r="F38" s="27">
        <v>231.02</v>
      </c>
      <c r="G38" s="28">
        <v>9.1000000000000004E-3</v>
      </c>
      <c r="H38" s="29"/>
    </row>
    <row r="39" spans="2:8" ht="15.75" customHeight="1" x14ac:dyDescent="0.25">
      <c r="B39" s="25" t="s">
        <v>242</v>
      </c>
      <c r="C39" s="25" t="s">
        <v>243</v>
      </c>
      <c r="D39" s="25" t="s">
        <v>129</v>
      </c>
      <c r="E39" s="26">
        <v>176000</v>
      </c>
      <c r="F39" s="27">
        <v>216.94</v>
      </c>
      <c r="G39" s="28">
        <v>8.6E-3</v>
      </c>
      <c r="H39" s="29"/>
    </row>
    <row r="40" spans="2:8" ht="15.75" customHeight="1" x14ac:dyDescent="0.25">
      <c r="B40" s="25" t="s">
        <v>244</v>
      </c>
      <c r="C40" s="25" t="s">
        <v>245</v>
      </c>
      <c r="D40" s="25" t="s">
        <v>246</v>
      </c>
      <c r="E40" s="26">
        <v>14500</v>
      </c>
      <c r="F40" s="27">
        <v>199.5</v>
      </c>
      <c r="G40" s="28">
        <v>7.9000000000000008E-3</v>
      </c>
      <c r="H40" s="29"/>
    </row>
    <row r="41" spans="2:8" ht="15.75" customHeight="1" x14ac:dyDescent="0.25">
      <c r="B41" s="25" t="s">
        <v>247</v>
      </c>
      <c r="C41" s="25" t="s">
        <v>248</v>
      </c>
      <c r="D41" s="25" t="s">
        <v>169</v>
      </c>
      <c r="E41" s="26">
        <v>16500</v>
      </c>
      <c r="F41" s="27">
        <v>199.25</v>
      </c>
      <c r="G41" s="28">
        <v>7.9000000000000008E-3</v>
      </c>
      <c r="H41" s="29"/>
    </row>
    <row r="42" spans="2:8" ht="15.75" customHeight="1" x14ac:dyDescent="0.25">
      <c r="B42" s="25" t="s">
        <v>249</v>
      </c>
      <c r="C42" s="25" t="s">
        <v>250</v>
      </c>
      <c r="D42" s="25" t="s">
        <v>251</v>
      </c>
      <c r="E42" s="26">
        <v>11000</v>
      </c>
      <c r="F42" s="27">
        <v>183.74</v>
      </c>
      <c r="G42" s="28">
        <v>7.1999999999999998E-3</v>
      </c>
      <c r="H42" s="29"/>
    </row>
    <row r="43" spans="2:8" ht="15.75" customHeight="1" x14ac:dyDescent="0.25">
      <c r="B43" s="25" t="s">
        <v>252</v>
      </c>
      <c r="C43" s="25" t="s">
        <v>253</v>
      </c>
      <c r="D43" s="25" t="s">
        <v>254</v>
      </c>
      <c r="E43" s="26">
        <v>2550</v>
      </c>
      <c r="F43" s="27">
        <v>173.04</v>
      </c>
      <c r="G43" s="28">
        <v>6.7999999999999996E-3</v>
      </c>
      <c r="H43" s="29"/>
    </row>
    <row r="44" spans="2:8" ht="15.75" customHeight="1" x14ac:dyDescent="0.25">
      <c r="B44" s="25" t="s">
        <v>255</v>
      </c>
      <c r="C44" s="25" t="s">
        <v>256</v>
      </c>
      <c r="D44" s="25" t="s">
        <v>140</v>
      </c>
      <c r="E44" s="26">
        <v>44550</v>
      </c>
      <c r="F44" s="27">
        <v>147.94999999999999</v>
      </c>
      <c r="G44" s="28">
        <v>5.7999999999999996E-3</v>
      </c>
      <c r="H44" s="29"/>
    </row>
    <row r="45" spans="2:8" ht="15.75" customHeight="1" x14ac:dyDescent="0.25">
      <c r="B45" s="25" t="s">
        <v>257</v>
      </c>
      <c r="C45" s="25" t="s">
        <v>258</v>
      </c>
      <c r="D45" s="25" t="s">
        <v>254</v>
      </c>
      <c r="E45" s="26">
        <v>46800</v>
      </c>
      <c r="F45" s="27">
        <v>146.09</v>
      </c>
      <c r="G45" s="28">
        <v>5.7999999999999996E-3</v>
      </c>
      <c r="H45" s="29"/>
    </row>
    <row r="46" spans="2:8" ht="15.75" customHeight="1" x14ac:dyDescent="0.25">
      <c r="B46" s="25" t="s">
        <v>259</v>
      </c>
      <c r="C46" s="25" t="s">
        <v>260</v>
      </c>
      <c r="D46" s="25" t="s">
        <v>227</v>
      </c>
      <c r="E46" s="26">
        <v>15000</v>
      </c>
      <c r="F46" s="27">
        <v>139.05000000000001</v>
      </c>
      <c r="G46" s="28">
        <v>5.4999999999999997E-3</v>
      </c>
      <c r="H46" s="29"/>
    </row>
    <row r="47" spans="2:8" ht="15.75" customHeight="1" x14ac:dyDescent="0.25">
      <c r="B47" s="25" t="s">
        <v>261</v>
      </c>
      <c r="C47" s="25" t="s">
        <v>262</v>
      </c>
      <c r="D47" s="25" t="s">
        <v>263</v>
      </c>
      <c r="E47" s="26">
        <v>13125</v>
      </c>
      <c r="F47" s="27">
        <v>129.84</v>
      </c>
      <c r="G47" s="28">
        <v>5.1000000000000004E-3</v>
      </c>
      <c r="H47" s="29"/>
    </row>
    <row r="48" spans="2:8" ht="15.75" customHeight="1" x14ac:dyDescent="0.25">
      <c r="B48" s="25" t="s">
        <v>144</v>
      </c>
      <c r="C48" s="25" t="s">
        <v>145</v>
      </c>
      <c r="D48" s="25" t="s">
        <v>146</v>
      </c>
      <c r="E48" s="26">
        <v>4800</v>
      </c>
      <c r="F48" s="27">
        <v>122.48</v>
      </c>
      <c r="G48" s="28">
        <v>4.7999999999999996E-3</v>
      </c>
      <c r="H48" s="29"/>
    </row>
    <row r="49" spans="2:8" ht="15.75" customHeight="1" x14ac:dyDescent="0.25">
      <c r="B49" s="25" t="s">
        <v>264</v>
      </c>
      <c r="C49" s="25" t="s">
        <v>265</v>
      </c>
      <c r="D49" s="25" t="s">
        <v>266</v>
      </c>
      <c r="E49" s="26">
        <v>25200</v>
      </c>
      <c r="F49" s="27">
        <v>119.23</v>
      </c>
      <c r="G49" s="28">
        <v>4.7000000000000002E-3</v>
      </c>
      <c r="H49" s="29"/>
    </row>
    <row r="50" spans="2:8" ht="15.75" customHeight="1" x14ac:dyDescent="0.25">
      <c r="B50" s="25" t="s">
        <v>267</v>
      </c>
      <c r="C50" s="25" t="s">
        <v>268</v>
      </c>
      <c r="D50" s="25" t="s">
        <v>269</v>
      </c>
      <c r="E50" s="26">
        <v>16000</v>
      </c>
      <c r="F50" s="27">
        <v>109.8</v>
      </c>
      <c r="G50" s="28">
        <v>4.3E-3</v>
      </c>
      <c r="H50" s="29"/>
    </row>
    <row r="51" spans="2:8" ht="15.75" customHeight="1" x14ac:dyDescent="0.25">
      <c r="B51" s="25" t="s">
        <v>270</v>
      </c>
      <c r="C51" s="25" t="s">
        <v>271</v>
      </c>
      <c r="D51" s="25" t="s">
        <v>194</v>
      </c>
      <c r="E51" s="26">
        <v>3150</v>
      </c>
      <c r="F51" s="27">
        <v>107.23</v>
      </c>
      <c r="G51" s="28">
        <v>4.1999999999999997E-3</v>
      </c>
      <c r="H51" s="29"/>
    </row>
    <row r="52" spans="2:8" ht="15.75" customHeight="1" x14ac:dyDescent="0.25">
      <c r="B52" s="25" t="s">
        <v>272</v>
      </c>
      <c r="C52" s="25" t="s">
        <v>273</v>
      </c>
      <c r="D52" s="25" t="s">
        <v>132</v>
      </c>
      <c r="E52" s="26">
        <v>2625</v>
      </c>
      <c r="F52" s="27">
        <v>102.48</v>
      </c>
      <c r="G52" s="28">
        <v>4.0000000000000001E-3</v>
      </c>
      <c r="H52" s="29"/>
    </row>
    <row r="53" spans="2:8" ht="15.75" customHeight="1" x14ac:dyDescent="0.25">
      <c r="B53" s="25" t="s">
        <v>133</v>
      </c>
      <c r="C53" s="25" t="s">
        <v>134</v>
      </c>
      <c r="D53" s="25" t="s">
        <v>135</v>
      </c>
      <c r="E53" s="26">
        <v>3500</v>
      </c>
      <c r="F53" s="27">
        <v>100.33</v>
      </c>
      <c r="G53" s="28">
        <v>4.0000000000000001E-3</v>
      </c>
      <c r="H53" s="29"/>
    </row>
    <row r="54" spans="2:8" ht="15.75" customHeight="1" x14ac:dyDescent="0.25">
      <c r="B54" s="25" t="s">
        <v>274</v>
      </c>
      <c r="C54" s="25" t="s">
        <v>275</v>
      </c>
      <c r="D54" s="25" t="s">
        <v>276</v>
      </c>
      <c r="E54" s="26">
        <v>5500</v>
      </c>
      <c r="F54" s="27">
        <v>99.74</v>
      </c>
      <c r="G54" s="28">
        <v>3.8999999999999998E-3</v>
      </c>
      <c r="H54" s="29"/>
    </row>
    <row r="55" spans="2:8" ht="15.75" customHeight="1" x14ac:dyDescent="0.25">
      <c r="B55" s="25" t="s">
        <v>277</v>
      </c>
      <c r="C55" s="25" t="s">
        <v>278</v>
      </c>
      <c r="D55" s="25" t="s">
        <v>214</v>
      </c>
      <c r="E55" s="26">
        <v>52500</v>
      </c>
      <c r="F55" s="27">
        <v>98.23</v>
      </c>
      <c r="G55" s="28">
        <v>3.8999999999999998E-3</v>
      </c>
      <c r="H55" s="29"/>
    </row>
    <row r="56" spans="2:8" ht="15.75" customHeight="1" x14ac:dyDescent="0.25">
      <c r="B56" s="25" t="s">
        <v>279</v>
      </c>
      <c r="C56" s="25" t="s">
        <v>280</v>
      </c>
      <c r="D56" s="25" t="s">
        <v>181</v>
      </c>
      <c r="E56" s="26">
        <v>10125</v>
      </c>
      <c r="F56" s="27">
        <v>94.31</v>
      </c>
      <c r="G56" s="28">
        <v>3.7000000000000002E-3</v>
      </c>
      <c r="H56" s="29"/>
    </row>
    <row r="57" spans="2:8" ht="15.75" customHeight="1" x14ac:dyDescent="0.25">
      <c r="B57" s="25" t="s">
        <v>281</v>
      </c>
      <c r="C57" s="25" t="s">
        <v>282</v>
      </c>
      <c r="D57" s="25" t="s">
        <v>140</v>
      </c>
      <c r="E57" s="26">
        <v>30600</v>
      </c>
      <c r="F57" s="27">
        <v>93.01</v>
      </c>
      <c r="G57" s="28">
        <v>3.7000000000000002E-3</v>
      </c>
      <c r="H57" s="29"/>
    </row>
    <row r="58" spans="2:8" ht="15.75" customHeight="1" x14ac:dyDescent="0.25">
      <c r="B58" s="25" t="s">
        <v>283</v>
      </c>
      <c r="C58" s="25" t="s">
        <v>284</v>
      </c>
      <c r="D58" s="25" t="s">
        <v>285</v>
      </c>
      <c r="E58" s="26">
        <v>15000</v>
      </c>
      <c r="F58" s="27">
        <v>90.86</v>
      </c>
      <c r="G58" s="28">
        <v>3.5999999999999999E-3</v>
      </c>
      <c r="H58" s="29"/>
    </row>
    <row r="59" spans="2:8" ht="15.75" customHeight="1" x14ac:dyDescent="0.25">
      <c r="B59" s="25" t="s">
        <v>286</v>
      </c>
      <c r="C59" s="25" t="s">
        <v>287</v>
      </c>
      <c r="D59" s="25" t="s">
        <v>227</v>
      </c>
      <c r="E59" s="26">
        <v>40158</v>
      </c>
      <c r="F59" s="27">
        <v>72.75</v>
      </c>
      <c r="G59" s="28">
        <v>2.8999999999999998E-3</v>
      </c>
      <c r="H59" s="29"/>
    </row>
    <row r="60" spans="2:8" ht="15.75" customHeight="1" x14ac:dyDescent="0.25">
      <c r="B60" s="25" t="s">
        <v>288</v>
      </c>
      <c r="C60" s="25" t="s">
        <v>289</v>
      </c>
      <c r="D60" s="25" t="s">
        <v>290</v>
      </c>
      <c r="E60" s="26">
        <v>67500</v>
      </c>
      <c r="F60" s="27">
        <v>65.180000000000007</v>
      </c>
      <c r="G60" s="28">
        <v>2.5999999999999999E-3</v>
      </c>
      <c r="H60" s="29"/>
    </row>
    <row r="61" spans="2:8" ht="15.75" customHeight="1" x14ac:dyDescent="0.25">
      <c r="B61" s="25" t="s">
        <v>291</v>
      </c>
      <c r="C61" s="25" t="s">
        <v>292</v>
      </c>
      <c r="D61" s="25" t="s">
        <v>135</v>
      </c>
      <c r="E61" s="26">
        <v>6050</v>
      </c>
      <c r="F61" s="27">
        <v>59.88</v>
      </c>
      <c r="G61" s="28">
        <v>2.3999999999999998E-3</v>
      </c>
      <c r="H61" s="29"/>
    </row>
    <row r="62" spans="2:8" ht="15.75" customHeight="1" x14ac:dyDescent="0.25">
      <c r="B62" s="25" t="s">
        <v>293</v>
      </c>
      <c r="C62" s="25" t="s">
        <v>294</v>
      </c>
      <c r="D62" s="25" t="s">
        <v>295</v>
      </c>
      <c r="E62" s="26">
        <v>9100</v>
      </c>
      <c r="F62" s="27">
        <v>51.95</v>
      </c>
      <c r="G62" s="28">
        <v>2E-3</v>
      </c>
      <c r="H62" s="29"/>
    </row>
    <row r="63" spans="2:8" ht="15.75" customHeight="1" x14ac:dyDescent="0.25">
      <c r="B63" s="25" t="s">
        <v>296</v>
      </c>
      <c r="C63" s="25" t="s">
        <v>297</v>
      </c>
      <c r="D63" s="25" t="s">
        <v>285</v>
      </c>
      <c r="E63" s="26">
        <v>3000</v>
      </c>
      <c r="F63" s="27">
        <v>44.76</v>
      </c>
      <c r="G63" s="28">
        <v>1.8E-3</v>
      </c>
      <c r="H63" s="29"/>
    </row>
    <row r="64" spans="2:8" ht="15.75" customHeight="1" x14ac:dyDescent="0.25">
      <c r="B64" s="25" t="s">
        <v>298</v>
      </c>
      <c r="C64" s="25" t="s">
        <v>299</v>
      </c>
      <c r="D64" s="25" t="s">
        <v>227</v>
      </c>
      <c r="E64" s="26">
        <v>1500</v>
      </c>
      <c r="F64" s="27">
        <v>43.67</v>
      </c>
      <c r="G64" s="28">
        <v>1.6999999999999999E-3</v>
      </c>
      <c r="H64" s="29"/>
    </row>
    <row r="65" spans="2:16" ht="15.75" customHeight="1" x14ac:dyDescent="0.25">
      <c r="B65" s="25" t="s">
        <v>130</v>
      </c>
      <c r="C65" s="25" t="s">
        <v>131</v>
      </c>
      <c r="D65" s="25" t="s">
        <v>132</v>
      </c>
      <c r="E65" s="26">
        <v>2400</v>
      </c>
      <c r="F65" s="27">
        <v>37.6</v>
      </c>
      <c r="G65" s="28">
        <v>1.5E-3</v>
      </c>
      <c r="H65" s="29"/>
    </row>
    <row r="66" spans="2:16" ht="15.75" customHeight="1" x14ac:dyDescent="0.25">
      <c r="B66" s="25" t="s">
        <v>300</v>
      </c>
      <c r="C66" s="25" t="s">
        <v>301</v>
      </c>
      <c r="D66" s="25" t="s">
        <v>146</v>
      </c>
      <c r="E66" s="26">
        <v>600</v>
      </c>
      <c r="F66" s="27">
        <v>32.85</v>
      </c>
      <c r="G66" s="28">
        <v>1.2999999999999999E-3</v>
      </c>
      <c r="H66" s="29"/>
    </row>
    <row r="67" spans="2:16" ht="15.75" customHeight="1" x14ac:dyDescent="0.25">
      <c r="B67" s="25" t="s">
        <v>302</v>
      </c>
      <c r="C67" s="25" t="s">
        <v>303</v>
      </c>
      <c r="D67" s="25" t="s">
        <v>232</v>
      </c>
      <c r="E67" s="26">
        <v>3000</v>
      </c>
      <c r="F67" s="27">
        <v>31.27</v>
      </c>
      <c r="G67" s="28">
        <v>1.1999999999999999E-3</v>
      </c>
      <c r="H67" s="29"/>
    </row>
    <row r="68" spans="2:16" ht="15.75" customHeight="1" x14ac:dyDescent="0.25">
      <c r="B68" s="25" t="s">
        <v>304</v>
      </c>
      <c r="C68" s="25" t="s">
        <v>305</v>
      </c>
      <c r="D68" s="25" t="s">
        <v>251</v>
      </c>
      <c r="E68" s="26">
        <v>5400</v>
      </c>
      <c r="F68" s="27">
        <v>30.48</v>
      </c>
      <c r="G68" s="28">
        <v>1.1999999999999999E-3</v>
      </c>
      <c r="H68" s="29"/>
      <c r="L68" s="3"/>
    </row>
    <row r="69" spans="2:16" ht="15.75" customHeight="1" x14ac:dyDescent="0.25">
      <c r="B69" s="25" t="s">
        <v>306</v>
      </c>
      <c r="C69" s="25" t="s">
        <v>307</v>
      </c>
      <c r="D69" s="25" t="s">
        <v>276</v>
      </c>
      <c r="E69" s="26">
        <v>3400</v>
      </c>
      <c r="F69" s="27">
        <v>28.44</v>
      </c>
      <c r="G69" s="28">
        <v>1.1000000000000001E-3</v>
      </c>
      <c r="H69" s="29"/>
    </row>
    <row r="70" spans="2:16" ht="15.75" customHeight="1" x14ac:dyDescent="0.25">
      <c r="B70" s="25" t="s">
        <v>308</v>
      </c>
      <c r="C70" s="25" t="s">
        <v>309</v>
      </c>
      <c r="D70" s="25" t="s">
        <v>169</v>
      </c>
      <c r="E70" s="26">
        <v>2175</v>
      </c>
      <c r="F70" s="27">
        <v>26.76</v>
      </c>
      <c r="G70" s="28">
        <v>1.1000000000000001E-3</v>
      </c>
      <c r="H70" s="29"/>
      <c r="L70" s="3"/>
    </row>
    <row r="71" spans="2:16" ht="15.75" customHeight="1" x14ac:dyDescent="0.25">
      <c r="B71" s="25" t="s">
        <v>310</v>
      </c>
      <c r="C71" s="25" t="s">
        <v>311</v>
      </c>
      <c r="D71" s="25" t="s">
        <v>132</v>
      </c>
      <c r="E71" s="26">
        <v>825</v>
      </c>
      <c r="F71" s="27">
        <v>20.27</v>
      </c>
      <c r="G71" s="28">
        <v>8.0000000000000004E-4</v>
      </c>
      <c r="H71" s="29"/>
      <c r="L71" s="3"/>
    </row>
    <row r="72" spans="2:16" ht="15.75" customHeight="1" x14ac:dyDescent="0.25">
      <c r="B72" s="25" t="s">
        <v>312</v>
      </c>
      <c r="C72" s="25" t="s">
        <v>313</v>
      </c>
      <c r="D72" s="25" t="s">
        <v>214</v>
      </c>
      <c r="E72" s="26">
        <v>2800</v>
      </c>
      <c r="F72" s="27">
        <v>19.420000000000002</v>
      </c>
      <c r="G72" s="28">
        <v>8.0000000000000004E-4</v>
      </c>
      <c r="H72" s="29"/>
      <c r="L72" s="3"/>
    </row>
    <row r="73" spans="2:16" ht="15.75" customHeight="1" x14ac:dyDescent="0.25">
      <c r="B73" s="25" t="s">
        <v>314</v>
      </c>
      <c r="C73" s="25" t="s">
        <v>315</v>
      </c>
      <c r="D73" s="25" t="s">
        <v>316</v>
      </c>
      <c r="E73" s="26">
        <v>1400</v>
      </c>
      <c r="F73" s="27">
        <v>17.87</v>
      </c>
      <c r="G73" s="28">
        <v>6.9999999999999999E-4</v>
      </c>
      <c r="H73" s="29"/>
      <c r="L73" s="3"/>
    </row>
    <row r="74" spans="2:16" ht="15.75" customHeight="1" x14ac:dyDescent="0.25">
      <c r="B74" s="25" t="s">
        <v>317</v>
      </c>
      <c r="C74" s="25" t="s">
        <v>318</v>
      </c>
      <c r="D74" s="25" t="s">
        <v>166</v>
      </c>
      <c r="E74" s="26">
        <v>300</v>
      </c>
      <c r="F74" s="27">
        <v>15.79</v>
      </c>
      <c r="G74" s="28">
        <v>5.9999999999999995E-4</v>
      </c>
      <c r="H74" s="29"/>
      <c r="L74" s="3"/>
    </row>
    <row r="75" spans="2:16" ht="15.75" customHeight="1" x14ac:dyDescent="0.25">
      <c r="B75" s="25" t="s">
        <v>319</v>
      </c>
      <c r="C75" s="25" t="s">
        <v>320</v>
      </c>
      <c r="D75" s="25" t="s">
        <v>269</v>
      </c>
      <c r="E75" s="26">
        <v>600</v>
      </c>
      <c r="F75" s="27">
        <v>15.01</v>
      </c>
      <c r="G75" s="28">
        <v>5.9999999999999995E-4</v>
      </c>
      <c r="H75" s="29"/>
      <c r="L75" s="5"/>
      <c r="M75" s="5"/>
      <c r="N75" s="6"/>
      <c r="O75" s="6"/>
      <c r="P75" s="5"/>
    </row>
    <row r="76" spans="2:16" ht="15.75" customHeight="1" x14ac:dyDescent="0.25">
      <c r="B76" s="25" t="s">
        <v>321</v>
      </c>
      <c r="C76" s="25" t="s">
        <v>322</v>
      </c>
      <c r="D76" s="25" t="s">
        <v>285</v>
      </c>
      <c r="E76" s="26">
        <v>2200</v>
      </c>
      <c r="F76" s="27">
        <v>13.09</v>
      </c>
      <c r="G76" s="28">
        <v>5.0000000000000001E-4</v>
      </c>
      <c r="H76" s="29"/>
    </row>
    <row r="77" spans="2:16" ht="15.75" customHeight="1" x14ac:dyDescent="0.25">
      <c r="B77" s="25" t="s">
        <v>323</v>
      </c>
      <c r="C77" s="25" t="s">
        <v>324</v>
      </c>
      <c r="D77" s="25" t="s">
        <v>227</v>
      </c>
      <c r="E77" s="26">
        <v>500</v>
      </c>
      <c r="F77" s="27">
        <v>7.94</v>
      </c>
      <c r="G77" s="28">
        <v>2.9999999999999997E-4</v>
      </c>
      <c r="H77" s="29"/>
    </row>
    <row r="78" spans="2:16" ht="15.75" customHeight="1" x14ac:dyDescent="0.25">
      <c r="B78" s="25" t="s">
        <v>325</v>
      </c>
      <c r="C78" s="25" t="s">
        <v>326</v>
      </c>
      <c r="D78" s="25" t="s">
        <v>227</v>
      </c>
      <c r="E78" s="26">
        <v>5000</v>
      </c>
      <c r="F78" s="27">
        <v>6.11</v>
      </c>
      <c r="G78" s="28">
        <v>2.0000000000000001E-4</v>
      </c>
      <c r="H78" s="29"/>
      <c r="L78" s="7"/>
      <c r="M78" s="7"/>
      <c r="N78" s="7"/>
      <c r="O78" s="7"/>
      <c r="P78" s="7"/>
    </row>
    <row r="79" spans="2:16" ht="15.75" customHeight="1" x14ac:dyDescent="0.25">
      <c r="B79" s="24" t="s">
        <v>102</v>
      </c>
      <c r="C79" s="24"/>
      <c r="D79" s="24"/>
      <c r="E79" s="30"/>
      <c r="F79" s="31">
        <v>16807.21</v>
      </c>
      <c r="G79" s="32">
        <v>0.66269999999999996</v>
      </c>
      <c r="H79" s="33"/>
      <c r="L79" s="7"/>
      <c r="M79" s="7"/>
      <c r="N79" s="7"/>
      <c r="O79" s="7"/>
      <c r="P79" s="7"/>
    </row>
    <row r="80" spans="2:16" ht="15.75" customHeight="1" x14ac:dyDescent="0.25">
      <c r="B80" s="24" t="s">
        <v>149</v>
      </c>
      <c r="C80" s="25"/>
      <c r="D80" s="25"/>
      <c r="E80" s="26"/>
      <c r="F80" s="27"/>
      <c r="G80" s="28"/>
      <c r="H80" s="29"/>
      <c r="L80" s="7"/>
      <c r="M80" s="7"/>
      <c r="N80" s="7"/>
      <c r="O80" s="7"/>
      <c r="P80" s="7"/>
    </row>
    <row r="81" spans="2:16" ht="15.75" customHeight="1" x14ac:dyDescent="0.25">
      <c r="B81" s="24" t="s">
        <v>102</v>
      </c>
      <c r="C81" s="25"/>
      <c r="D81" s="25"/>
      <c r="E81" s="26"/>
      <c r="F81" s="34" t="s">
        <v>104</v>
      </c>
      <c r="G81" s="35" t="s">
        <v>104</v>
      </c>
      <c r="H81" s="29"/>
      <c r="L81" s="7"/>
      <c r="M81" s="7"/>
      <c r="N81" s="7"/>
      <c r="O81" s="7"/>
      <c r="P81" s="7"/>
    </row>
    <row r="82" spans="2:16" ht="15.75" customHeight="1" x14ac:dyDescent="0.25">
      <c r="B82" s="25"/>
      <c r="C82" s="25"/>
      <c r="D82" s="25"/>
      <c r="E82" s="26"/>
      <c r="F82" s="27"/>
      <c r="G82" s="28"/>
      <c r="H82" s="29"/>
      <c r="L82" s="7"/>
      <c r="M82" s="7"/>
      <c r="N82" s="7"/>
      <c r="O82" s="7"/>
      <c r="P82" s="7"/>
    </row>
    <row r="83" spans="2:16" ht="15.75" customHeight="1" x14ac:dyDescent="0.25">
      <c r="B83" s="36" t="s">
        <v>106</v>
      </c>
      <c r="C83" s="36"/>
      <c r="D83" s="36"/>
      <c r="E83" s="37"/>
      <c r="F83" s="31">
        <v>16807.21</v>
      </c>
      <c r="G83" s="32">
        <v>0.66269999999999996</v>
      </c>
      <c r="H83" s="33"/>
      <c r="L83" s="7"/>
      <c r="M83" s="7"/>
      <c r="N83" s="7"/>
      <c r="O83" s="7"/>
      <c r="P83" s="7"/>
    </row>
    <row r="84" spans="2:16" ht="15.75" customHeight="1" x14ac:dyDescent="0.25">
      <c r="B84" s="25"/>
      <c r="C84" s="25"/>
      <c r="D84" s="25"/>
      <c r="E84" s="26"/>
      <c r="F84" s="27"/>
      <c r="G84" s="28"/>
      <c r="H84" s="29"/>
      <c r="L84" s="7"/>
      <c r="M84" s="7"/>
      <c r="N84" s="7"/>
      <c r="O84" s="7"/>
      <c r="P84" s="7"/>
    </row>
    <row r="85" spans="2:16" ht="15.75" customHeight="1" x14ac:dyDescent="0.25">
      <c r="B85" s="24" t="s">
        <v>116</v>
      </c>
      <c r="C85" s="25"/>
      <c r="D85" s="25"/>
      <c r="E85" s="26"/>
      <c r="F85" s="27"/>
      <c r="G85" s="28"/>
      <c r="H85" s="29"/>
    </row>
    <row r="86" spans="2:16" ht="15.75" customHeight="1" x14ac:dyDescent="0.25">
      <c r="B86" s="25"/>
      <c r="C86" s="25"/>
      <c r="D86" s="25"/>
      <c r="E86" s="26"/>
      <c r="F86" s="27"/>
      <c r="G86" s="28"/>
      <c r="H86" s="29"/>
      <c r="L86" s="3"/>
    </row>
    <row r="87" spans="2:16" ht="15.75" customHeight="1" x14ac:dyDescent="0.25">
      <c r="B87" s="24" t="s">
        <v>162</v>
      </c>
      <c r="C87" s="25"/>
      <c r="D87" s="25"/>
      <c r="E87" s="26"/>
      <c r="F87" s="27"/>
      <c r="G87" s="28"/>
      <c r="H87" s="29"/>
    </row>
    <row r="88" spans="2:16" ht="15.75" customHeight="1" x14ac:dyDescent="0.25">
      <c r="B88" s="25" t="s">
        <v>163</v>
      </c>
      <c r="C88" s="25" t="s">
        <v>327</v>
      </c>
      <c r="D88" s="25" t="s">
        <v>123</v>
      </c>
      <c r="E88" s="26">
        <v>200</v>
      </c>
      <c r="F88" s="27">
        <v>992.09</v>
      </c>
      <c r="G88" s="28">
        <v>3.9100000000000003E-2</v>
      </c>
      <c r="H88" s="29">
        <v>8.3173999999999998E-2</v>
      </c>
    </row>
    <row r="89" spans="2:16" ht="15.75" customHeight="1" x14ac:dyDescent="0.25">
      <c r="B89" s="24" t="s">
        <v>102</v>
      </c>
      <c r="C89" s="24"/>
      <c r="D89" s="24"/>
      <c r="E89" s="30"/>
      <c r="F89" s="31">
        <v>992.09</v>
      </c>
      <c r="G89" s="32">
        <v>3.9100000000000003E-2</v>
      </c>
      <c r="H89" s="33"/>
    </row>
    <row r="90" spans="2:16" ht="15.75" customHeight="1" x14ac:dyDescent="0.25">
      <c r="B90" s="25"/>
      <c r="C90" s="25"/>
      <c r="D90" s="25"/>
      <c r="E90" s="26"/>
      <c r="F90" s="27"/>
      <c r="G90" s="28"/>
      <c r="H90" s="29"/>
    </row>
    <row r="91" spans="2:16" ht="15.75" customHeight="1" x14ac:dyDescent="0.25">
      <c r="B91" s="36" t="s">
        <v>106</v>
      </c>
      <c r="C91" s="36"/>
      <c r="D91" s="36"/>
      <c r="E91" s="37"/>
      <c r="F91" s="31">
        <v>992.09</v>
      </c>
      <c r="G91" s="32">
        <v>3.9100000000000003E-2</v>
      </c>
      <c r="H91" s="33"/>
    </row>
    <row r="92" spans="2:16" ht="15.75" customHeight="1" x14ac:dyDescent="0.25">
      <c r="B92" s="25"/>
      <c r="C92" s="25"/>
      <c r="D92" s="25"/>
      <c r="E92" s="26"/>
      <c r="F92" s="27"/>
      <c r="G92" s="28"/>
      <c r="H92" s="29"/>
    </row>
    <row r="93" spans="2:16" ht="15.75" customHeight="1" x14ac:dyDescent="0.25">
      <c r="B93" s="25"/>
      <c r="C93" s="25"/>
      <c r="D93" s="25"/>
      <c r="E93" s="26"/>
      <c r="F93" s="27"/>
      <c r="G93" s="28"/>
      <c r="H93" s="29"/>
    </row>
    <row r="94" spans="2:16" ht="15.75" customHeight="1" x14ac:dyDescent="0.25">
      <c r="B94" s="24" t="s">
        <v>107</v>
      </c>
      <c r="C94" s="25"/>
      <c r="D94" s="25"/>
      <c r="E94" s="26"/>
      <c r="F94" s="27"/>
      <c r="G94" s="28"/>
      <c r="H94" s="29"/>
    </row>
    <row r="95" spans="2:16" ht="15.75" customHeight="1" x14ac:dyDescent="0.25">
      <c r="B95" s="24" t="s">
        <v>108</v>
      </c>
      <c r="C95" s="25"/>
      <c r="D95" s="25"/>
      <c r="E95" s="26"/>
      <c r="F95" s="27"/>
      <c r="G95" s="28"/>
      <c r="H95" s="29"/>
    </row>
    <row r="96" spans="2:16" ht="15.75" customHeight="1" x14ac:dyDescent="0.25">
      <c r="B96" s="25" t="s">
        <v>328</v>
      </c>
      <c r="C96" s="25" t="s">
        <v>329</v>
      </c>
      <c r="D96" s="25"/>
      <c r="E96" s="26">
        <v>114499.295</v>
      </c>
      <c r="F96" s="27">
        <v>5112.4799999999996</v>
      </c>
      <c r="G96" s="28">
        <v>0.2016</v>
      </c>
      <c r="H96" s="29"/>
    </row>
    <row r="97" spans="2:8" ht="15.75" customHeight="1" x14ac:dyDescent="0.25">
      <c r="B97" s="25"/>
      <c r="C97" s="25"/>
      <c r="D97" s="25"/>
      <c r="E97" s="26"/>
      <c r="F97" s="27"/>
      <c r="G97" s="28"/>
      <c r="H97" s="29"/>
    </row>
    <row r="98" spans="2:8" ht="15.75" customHeight="1" x14ac:dyDescent="0.25">
      <c r="B98" s="36" t="s">
        <v>106</v>
      </c>
      <c r="C98" s="36"/>
      <c r="D98" s="36"/>
      <c r="E98" s="37"/>
      <c r="F98" s="31">
        <v>5112.4799999999996</v>
      </c>
      <c r="G98" s="32">
        <v>0.2016</v>
      </c>
      <c r="H98" s="33"/>
    </row>
    <row r="99" spans="2:8" ht="15.75" customHeight="1" x14ac:dyDescent="0.25">
      <c r="B99" s="25"/>
      <c r="C99" s="25"/>
      <c r="D99" s="25"/>
      <c r="E99" s="26"/>
      <c r="F99" s="27"/>
      <c r="G99" s="28"/>
      <c r="H99" s="29"/>
    </row>
    <row r="100" spans="2:8" ht="15.75" customHeight="1" x14ac:dyDescent="0.25">
      <c r="B100" s="24" t="s">
        <v>109</v>
      </c>
      <c r="C100" s="25"/>
      <c r="D100" s="25"/>
      <c r="E100" s="26"/>
      <c r="F100" s="27"/>
      <c r="G100" s="28"/>
      <c r="H100" s="29"/>
    </row>
    <row r="101" spans="2:8" ht="15.75" customHeight="1" x14ac:dyDescent="0.25">
      <c r="B101" s="25" t="s">
        <v>110</v>
      </c>
      <c r="C101" s="25"/>
      <c r="D101" s="25"/>
      <c r="E101" s="26"/>
      <c r="F101" s="27">
        <v>3588.93</v>
      </c>
      <c r="G101" s="28">
        <v>0.14149999999999999</v>
      </c>
      <c r="H101" s="29"/>
    </row>
    <row r="102" spans="2:8" ht="15.75" customHeight="1" x14ac:dyDescent="0.25">
      <c r="B102" s="24" t="s">
        <v>102</v>
      </c>
      <c r="C102" s="24"/>
      <c r="D102" s="24"/>
      <c r="E102" s="30"/>
      <c r="F102" s="31">
        <v>3588.93</v>
      </c>
      <c r="G102" s="32">
        <v>0.14149999999999999</v>
      </c>
      <c r="H102" s="33"/>
    </row>
    <row r="103" spans="2:8" ht="15.75" customHeight="1" x14ac:dyDescent="0.25">
      <c r="B103" s="25"/>
      <c r="C103" s="25"/>
      <c r="D103" s="25"/>
      <c r="E103" s="26"/>
      <c r="F103" s="27"/>
      <c r="G103" s="28"/>
      <c r="H103" s="29"/>
    </row>
    <row r="104" spans="2:8" ht="15.75" customHeight="1" x14ac:dyDescent="0.25">
      <c r="B104" s="36" t="s">
        <v>106</v>
      </c>
      <c r="C104" s="36"/>
      <c r="D104" s="36"/>
      <c r="E104" s="37"/>
      <c r="F104" s="31">
        <v>3588.93</v>
      </c>
      <c r="G104" s="32">
        <v>0.14149999999999999</v>
      </c>
      <c r="H104" s="33"/>
    </row>
    <row r="105" spans="2:8" ht="15.75" customHeight="1" x14ac:dyDescent="0.25">
      <c r="B105" s="25" t="s">
        <v>111</v>
      </c>
      <c r="C105" s="25"/>
      <c r="D105" s="25"/>
      <c r="E105" s="26"/>
      <c r="F105" s="38">
        <v>-1141.72</v>
      </c>
      <c r="G105" s="39">
        <v>-4.489999999999994E-2</v>
      </c>
      <c r="H105" s="29"/>
    </row>
    <row r="106" spans="2:8" ht="15.75" customHeight="1" x14ac:dyDescent="0.25">
      <c r="B106" s="40" t="s">
        <v>112</v>
      </c>
      <c r="C106" s="40"/>
      <c r="D106" s="40"/>
      <c r="E106" s="41"/>
      <c r="F106" s="42">
        <v>25358.99</v>
      </c>
      <c r="G106" s="43">
        <v>1</v>
      </c>
      <c r="H106" s="44"/>
    </row>
    <row r="107" spans="2:8" ht="15.75" customHeight="1" x14ac:dyDescent="0.25">
      <c r="B107" s="2"/>
    </row>
    <row r="108" spans="2:8" ht="15.75" customHeight="1" x14ac:dyDescent="0.25">
      <c r="B108" s="12" t="s">
        <v>113</v>
      </c>
    </row>
    <row r="109" spans="2:8" ht="15.75" customHeight="1" x14ac:dyDescent="0.25">
      <c r="B109" s="53"/>
    </row>
    <row r="110" spans="2:8" ht="15.75" customHeight="1" x14ac:dyDescent="0.25">
      <c r="B110" s="9" t="s">
        <v>333</v>
      </c>
    </row>
    <row r="111" spans="2:8" ht="15.75" customHeight="1" x14ac:dyDescent="0.25">
      <c r="B111" s="9" t="s">
        <v>334</v>
      </c>
    </row>
    <row r="112" spans="2:8" ht="15.75" customHeight="1" x14ac:dyDescent="0.25">
      <c r="B112" s="13" t="s">
        <v>330</v>
      </c>
      <c r="C112" s="50" t="s">
        <v>2</v>
      </c>
      <c r="D112" s="51" t="s">
        <v>3</v>
      </c>
      <c r="E112" s="52" t="s">
        <v>331</v>
      </c>
    </row>
    <row r="113" spans="2:5" ht="15.75" customHeight="1" x14ac:dyDescent="0.25">
      <c r="B113" s="46" t="s">
        <v>321</v>
      </c>
      <c r="C113" s="47">
        <v>-2200</v>
      </c>
      <c r="D113" s="48">
        <v>-13.15</v>
      </c>
      <c r="E113" s="49">
        <v>-5.0000000000000001E-4</v>
      </c>
    </row>
    <row r="114" spans="2:5" ht="15.75" customHeight="1" x14ac:dyDescent="0.25">
      <c r="B114" s="46" t="s">
        <v>312</v>
      </c>
      <c r="C114" s="47">
        <v>-2800</v>
      </c>
      <c r="D114" s="48">
        <v>-19.5</v>
      </c>
      <c r="E114" s="49">
        <v>-8.0000000000000004E-4</v>
      </c>
    </row>
    <row r="115" spans="2:5" ht="15.75" customHeight="1" x14ac:dyDescent="0.25">
      <c r="B115" s="46" t="s">
        <v>212</v>
      </c>
      <c r="C115" s="47">
        <v>-121900</v>
      </c>
      <c r="D115" s="48">
        <v>-390.99</v>
      </c>
      <c r="E115" s="49">
        <v>-1.54E-2</v>
      </c>
    </row>
    <row r="116" spans="2:5" ht="15.75" customHeight="1" x14ac:dyDescent="0.25">
      <c r="B116" s="46" t="s">
        <v>255</v>
      </c>
      <c r="C116" s="47">
        <v>-44550</v>
      </c>
      <c r="D116" s="48">
        <v>-148.77000000000001</v>
      </c>
      <c r="E116" s="49">
        <v>-5.8999999999999999E-3</v>
      </c>
    </row>
    <row r="117" spans="2:5" ht="15.75" customHeight="1" x14ac:dyDescent="0.25">
      <c r="B117" s="46" t="s">
        <v>283</v>
      </c>
      <c r="C117" s="47">
        <v>-15000</v>
      </c>
      <c r="D117" s="48">
        <v>-91.51</v>
      </c>
      <c r="E117" s="49">
        <v>-3.5999999999999999E-3</v>
      </c>
    </row>
    <row r="118" spans="2:5" ht="15.75" customHeight="1" x14ac:dyDescent="0.25">
      <c r="B118" s="46" t="s">
        <v>325</v>
      </c>
      <c r="C118" s="47">
        <v>-5000</v>
      </c>
      <c r="D118" s="48">
        <v>-6.15</v>
      </c>
      <c r="E118" s="49">
        <v>-2.0000000000000001E-4</v>
      </c>
    </row>
    <row r="119" spans="2:5" ht="15.75" customHeight="1" x14ac:dyDescent="0.25">
      <c r="B119" s="46" t="s">
        <v>237</v>
      </c>
      <c r="C119" s="47">
        <v>-285000</v>
      </c>
      <c r="D119" s="48">
        <v>-235.84</v>
      </c>
      <c r="E119" s="49">
        <v>-9.2999999999999992E-3</v>
      </c>
    </row>
    <row r="120" spans="2:5" ht="15.75" customHeight="1" x14ac:dyDescent="0.25">
      <c r="B120" s="46" t="s">
        <v>230</v>
      </c>
      <c r="C120" s="47">
        <v>-6000</v>
      </c>
      <c r="D120" s="48">
        <v>-255.45</v>
      </c>
      <c r="E120" s="49">
        <v>-1.01E-2</v>
      </c>
    </row>
    <row r="121" spans="2:5" ht="15.75" customHeight="1" x14ac:dyDescent="0.25">
      <c r="B121" s="46" t="s">
        <v>170</v>
      </c>
      <c r="C121" s="47">
        <v>-39500</v>
      </c>
      <c r="D121" s="48">
        <v>-581.16</v>
      </c>
      <c r="E121" s="49">
        <v>-2.29E-2</v>
      </c>
    </row>
    <row r="122" spans="2:5" ht="15.75" customHeight="1" x14ac:dyDescent="0.25">
      <c r="B122" s="46" t="s">
        <v>130</v>
      </c>
      <c r="C122" s="47">
        <v>-2400</v>
      </c>
      <c r="D122" s="48">
        <v>-37.75</v>
      </c>
      <c r="E122" s="49">
        <v>-1.5E-3</v>
      </c>
    </row>
    <row r="123" spans="2:5" ht="15.75" customHeight="1" x14ac:dyDescent="0.25">
      <c r="B123" s="46" t="s">
        <v>235</v>
      </c>
      <c r="C123" s="47">
        <v>-141375</v>
      </c>
      <c r="D123" s="48">
        <v>-235.25</v>
      </c>
      <c r="E123" s="49">
        <v>-9.2999999999999992E-3</v>
      </c>
    </row>
    <row r="124" spans="2:5" ht="15.75" customHeight="1" x14ac:dyDescent="0.25">
      <c r="B124" s="46" t="s">
        <v>261</v>
      </c>
      <c r="C124" s="47">
        <v>-13125</v>
      </c>
      <c r="D124" s="48">
        <v>-130.72999999999999</v>
      </c>
      <c r="E124" s="49">
        <v>-5.1999999999999998E-3</v>
      </c>
    </row>
    <row r="125" spans="2:5" ht="15.75" customHeight="1" x14ac:dyDescent="0.25">
      <c r="B125" s="46" t="s">
        <v>210</v>
      </c>
      <c r="C125" s="47">
        <v>-92800</v>
      </c>
      <c r="D125" s="48">
        <v>-397.04</v>
      </c>
      <c r="E125" s="49">
        <v>-1.5699999999999999E-2</v>
      </c>
    </row>
    <row r="126" spans="2:5" ht="15.75" customHeight="1" x14ac:dyDescent="0.25">
      <c r="B126" s="46" t="s">
        <v>279</v>
      </c>
      <c r="C126" s="47">
        <v>-10125</v>
      </c>
      <c r="D126" s="48">
        <v>-94.26</v>
      </c>
      <c r="E126" s="49">
        <v>-3.7000000000000002E-3</v>
      </c>
    </row>
    <row r="127" spans="2:5" ht="15.75" customHeight="1" x14ac:dyDescent="0.25">
      <c r="B127" s="46" t="s">
        <v>215</v>
      </c>
      <c r="C127" s="47">
        <v>-18800</v>
      </c>
      <c r="D127" s="48">
        <v>-341.2</v>
      </c>
      <c r="E127" s="49">
        <v>-1.35E-2</v>
      </c>
    </row>
    <row r="128" spans="2:5" ht="15.75" customHeight="1" x14ac:dyDescent="0.25">
      <c r="B128" s="46" t="s">
        <v>270</v>
      </c>
      <c r="C128" s="47">
        <v>-3150</v>
      </c>
      <c r="D128" s="48">
        <v>-107.94</v>
      </c>
      <c r="E128" s="49">
        <v>-4.3E-3</v>
      </c>
    </row>
    <row r="129" spans="2:5" ht="15.75" customHeight="1" x14ac:dyDescent="0.25">
      <c r="B129" s="46" t="s">
        <v>293</v>
      </c>
      <c r="C129" s="47">
        <v>-9100</v>
      </c>
      <c r="D129" s="48">
        <v>-52.13</v>
      </c>
      <c r="E129" s="49">
        <v>-2.0999999999999999E-3</v>
      </c>
    </row>
    <row r="130" spans="2:5" ht="15.75" customHeight="1" x14ac:dyDescent="0.25">
      <c r="B130" s="46" t="s">
        <v>197</v>
      </c>
      <c r="C130" s="47">
        <v>-98900</v>
      </c>
      <c r="D130" s="48">
        <v>-452.22</v>
      </c>
      <c r="E130" s="49">
        <v>-1.78E-2</v>
      </c>
    </row>
    <row r="131" spans="2:5" ht="15.75" customHeight="1" x14ac:dyDescent="0.25">
      <c r="B131" s="46" t="s">
        <v>167</v>
      </c>
      <c r="C131" s="47">
        <v>-62100</v>
      </c>
      <c r="D131" s="48">
        <v>-671.83</v>
      </c>
      <c r="E131" s="49">
        <v>-2.6499999999999999E-2</v>
      </c>
    </row>
    <row r="132" spans="2:5" ht="15.75" customHeight="1" x14ac:dyDescent="0.25">
      <c r="B132" s="46" t="s">
        <v>228</v>
      </c>
      <c r="C132" s="47">
        <v>-216000</v>
      </c>
      <c r="D132" s="48">
        <v>-259.85000000000002</v>
      </c>
      <c r="E132" s="49">
        <v>-1.0200000000000001E-2</v>
      </c>
    </row>
    <row r="133" spans="2:5" ht="15.75" customHeight="1" x14ac:dyDescent="0.25">
      <c r="B133" s="46" t="s">
        <v>264</v>
      </c>
      <c r="C133" s="47">
        <v>-25200</v>
      </c>
      <c r="D133" s="48">
        <v>-120</v>
      </c>
      <c r="E133" s="49">
        <v>-4.7000000000000002E-3</v>
      </c>
    </row>
    <row r="134" spans="2:5" ht="15.75" customHeight="1" x14ac:dyDescent="0.25">
      <c r="B134" s="46" t="s">
        <v>302</v>
      </c>
      <c r="C134" s="47">
        <v>-3000</v>
      </c>
      <c r="D134" s="48">
        <v>-31.44</v>
      </c>
      <c r="E134" s="49">
        <v>-1.1999999999999999E-3</v>
      </c>
    </row>
    <row r="135" spans="2:5" ht="15.75" customHeight="1" x14ac:dyDescent="0.25">
      <c r="B135" s="46" t="s">
        <v>274</v>
      </c>
      <c r="C135" s="47">
        <v>-5500</v>
      </c>
      <c r="D135" s="48">
        <v>-100.18</v>
      </c>
      <c r="E135" s="49">
        <v>-4.0000000000000001E-3</v>
      </c>
    </row>
    <row r="136" spans="2:5" ht="15.75" customHeight="1" x14ac:dyDescent="0.25">
      <c r="B136" s="46" t="s">
        <v>319</v>
      </c>
      <c r="C136" s="47">
        <v>-600</v>
      </c>
      <c r="D136" s="48">
        <v>-15.11</v>
      </c>
      <c r="E136" s="49">
        <v>-5.9999999999999995E-4</v>
      </c>
    </row>
    <row r="137" spans="2:5" ht="15.75" customHeight="1" x14ac:dyDescent="0.25">
      <c r="B137" s="46" t="s">
        <v>217</v>
      </c>
      <c r="C137" s="47">
        <v>-39600</v>
      </c>
      <c r="D137" s="48">
        <v>-327.91</v>
      </c>
      <c r="E137" s="49">
        <v>-1.29E-2</v>
      </c>
    </row>
    <row r="138" spans="2:5" ht="15.75" customHeight="1" x14ac:dyDescent="0.25">
      <c r="B138" s="46" t="s">
        <v>304</v>
      </c>
      <c r="C138" s="47">
        <v>-5400</v>
      </c>
      <c r="D138" s="48">
        <v>-30.58</v>
      </c>
      <c r="E138" s="49">
        <v>-1.1999999999999999E-3</v>
      </c>
    </row>
    <row r="139" spans="2:5" ht="15.75" customHeight="1" x14ac:dyDescent="0.25">
      <c r="B139" s="46" t="s">
        <v>239</v>
      </c>
      <c r="C139" s="47">
        <v>-105225</v>
      </c>
      <c r="D139" s="48">
        <v>-232.65</v>
      </c>
      <c r="E139" s="49">
        <v>-9.1999999999999998E-3</v>
      </c>
    </row>
    <row r="140" spans="2:5" ht="15.75" customHeight="1" x14ac:dyDescent="0.25">
      <c r="B140" s="46" t="s">
        <v>308</v>
      </c>
      <c r="C140" s="47">
        <v>-2175</v>
      </c>
      <c r="D140" s="48">
        <v>-26.89</v>
      </c>
      <c r="E140" s="49">
        <v>-1.1000000000000001E-3</v>
      </c>
    </row>
    <row r="141" spans="2:5" ht="15.75" customHeight="1" x14ac:dyDescent="0.25">
      <c r="B141" s="46" t="s">
        <v>288</v>
      </c>
      <c r="C141" s="47">
        <v>-67500</v>
      </c>
      <c r="D141" s="48">
        <v>-65.540000000000006</v>
      </c>
      <c r="E141" s="49">
        <v>-2.5999999999999999E-3</v>
      </c>
    </row>
    <row r="142" spans="2:5" ht="15.75" customHeight="1" x14ac:dyDescent="0.25">
      <c r="B142" s="46" t="s">
        <v>244</v>
      </c>
      <c r="C142" s="47">
        <v>-14500</v>
      </c>
      <c r="D142" s="48">
        <v>-200.64</v>
      </c>
      <c r="E142" s="49">
        <v>-7.9000000000000008E-3</v>
      </c>
    </row>
    <row r="143" spans="2:5" ht="15.75" customHeight="1" x14ac:dyDescent="0.25">
      <c r="B143" s="46" t="s">
        <v>317</v>
      </c>
      <c r="C143" s="47">
        <v>-300</v>
      </c>
      <c r="D143" s="48">
        <v>-15.9</v>
      </c>
      <c r="E143" s="49">
        <v>-5.9999999999999995E-4</v>
      </c>
    </row>
    <row r="144" spans="2:5" ht="15.75" customHeight="1" x14ac:dyDescent="0.25">
      <c r="B144" s="46" t="s">
        <v>192</v>
      </c>
      <c r="C144" s="47">
        <v>-25500</v>
      </c>
      <c r="D144" s="48">
        <v>-466.38</v>
      </c>
      <c r="E144" s="49">
        <v>-1.84E-2</v>
      </c>
    </row>
    <row r="145" spans="2:5" ht="15.75" customHeight="1" x14ac:dyDescent="0.25">
      <c r="B145" s="46" t="s">
        <v>182</v>
      </c>
      <c r="C145" s="47">
        <v>-12450</v>
      </c>
      <c r="D145" s="48">
        <v>-500.61</v>
      </c>
      <c r="E145" s="49">
        <v>-1.9699999999999999E-2</v>
      </c>
    </row>
    <row r="146" spans="2:5" ht="15.75" customHeight="1" x14ac:dyDescent="0.25">
      <c r="B146" s="46" t="s">
        <v>136</v>
      </c>
      <c r="C146" s="47">
        <v>-27500</v>
      </c>
      <c r="D146" s="48">
        <v>-466.02</v>
      </c>
      <c r="E146" s="49">
        <v>-1.84E-2</v>
      </c>
    </row>
    <row r="147" spans="2:5" ht="15.75" customHeight="1" x14ac:dyDescent="0.25">
      <c r="B147" s="46" t="s">
        <v>267</v>
      </c>
      <c r="C147" s="47">
        <v>-16000</v>
      </c>
      <c r="D147" s="48">
        <v>-110.57</v>
      </c>
      <c r="E147" s="49">
        <v>-4.4000000000000003E-3</v>
      </c>
    </row>
    <row r="148" spans="2:5" ht="15.75" customHeight="1" x14ac:dyDescent="0.25">
      <c r="B148" s="46" t="s">
        <v>233</v>
      </c>
      <c r="C148" s="47">
        <v>-102600</v>
      </c>
      <c r="D148" s="48">
        <v>-246.29</v>
      </c>
      <c r="E148" s="49">
        <v>-9.7000000000000003E-3</v>
      </c>
    </row>
    <row r="149" spans="2:5" ht="15.75" customHeight="1" x14ac:dyDescent="0.25">
      <c r="B149" s="46" t="s">
        <v>257</v>
      </c>
      <c r="C149" s="47">
        <v>-46800</v>
      </c>
      <c r="D149" s="48">
        <v>-147.16</v>
      </c>
      <c r="E149" s="49">
        <v>-5.7999999999999996E-3</v>
      </c>
    </row>
    <row r="150" spans="2:5" ht="15.75" customHeight="1" x14ac:dyDescent="0.25">
      <c r="B150" s="46" t="s">
        <v>185</v>
      </c>
      <c r="C150" s="47">
        <v>-205000</v>
      </c>
      <c r="D150" s="48">
        <v>-499.18</v>
      </c>
      <c r="E150" s="49">
        <v>-1.9699999999999999E-2</v>
      </c>
    </row>
    <row r="151" spans="2:5" ht="15.75" customHeight="1" x14ac:dyDescent="0.25">
      <c r="B151" s="46" t="s">
        <v>247</v>
      </c>
      <c r="C151" s="47">
        <v>-16500</v>
      </c>
      <c r="D151" s="48">
        <v>-200.6</v>
      </c>
      <c r="E151" s="49">
        <v>-7.9000000000000008E-3</v>
      </c>
    </row>
    <row r="152" spans="2:5" ht="15.75" customHeight="1" x14ac:dyDescent="0.25">
      <c r="B152" s="46" t="s">
        <v>188</v>
      </c>
      <c r="C152" s="47">
        <v>-38750</v>
      </c>
      <c r="D152" s="48">
        <v>-493.04</v>
      </c>
      <c r="E152" s="49">
        <v>-1.9400000000000001E-2</v>
      </c>
    </row>
    <row r="153" spans="2:5" ht="15.75" customHeight="1" x14ac:dyDescent="0.25">
      <c r="B153" s="46" t="s">
        <v>323</v>
      </c>
      <c r="C153" s="47">
        <v>-500</v>
      </c>
      <c r="D153" s="48">
        <v>-7.97</v>
      </c>
      <c r="E153" s="49">
        <v>-2.9999999999999997E-4</v>
      </c>
    </row>
    <row r="154" spans="2:5" ht="15.75" customHeight="1" x14ac:dyDescent="0.25">
      <c r="B154" s="46" t="s">
        <v>225</v>
      </c>
      <c r="C154" s="47">
        <v>-3750</v>
      </c>
      <c r="D154" s="48">
        <v>-268.64</v>
      </c>
      <c r="E154" s="49">
        <v>-1.06E-2</v>
      </c>
    </row>
    <row r="155" spans="2:5" ht="15.75" customHeight="1" x14ac:dyDescent="0.25">
      <c r="B155" s="46" t="s">
        <v>172</v>
      </c>
      <c r="C155" s="47">
        <v>-280000</v>
      </c>
      <c r="D155" s="48">
        <v>-574.98</v>
      </c>
      <c r="E155" s="49">
        <v>-2.2700000000000001E-2</v>
      </c>
    </row>
    <row r="156" spans="2:5" ht="15.75" customHeight="1" x14ac:dyDescent="0.25">
      <c r="B156" s="46" t="s">
        <v>195</v>
      </c>
      <c r="C156" s="47">
        <v>-163800</v>
      </c>
      <c r="D156" s="48">
        <v>-454.05</v>
      </c>
      <c r="E156" s="49">
        <v>-1.7899999999999999E-2</v>
      </c>
    </row>
    <row r="157" spans="2:5" ht="15.75" customHeight="1" x14ac:dyDescent="0.25">
      <c r="B157" s="46" t="s">
        <v>164</v>
      </c>
      <c r="C157" s="47">
        <v>-259350</v>
      </c>
      <c r="D157" s="48">
        <v>-799.45</v>
      </c>
      <c r="E157" s="49">
        <v>-3.15E-2</v>
      </c>
    </row>
    <row r="158" spans="2:5" ht="15.75" customHeight="1" x14ac:dyDescent="0.25">
      <c r="B158" s="46" t="s">
        <v>249</v>
      </c>
      <c r="C158" s="47">
        <v>-11000</v>
      </c>
      <c r="D158" s="48">
        <v>-183.93</v>
      </c>
      <c r="E158" s="49">
        <v>-7.3000000000000001E-3</v>
      </c>
    </row>
    <row r="159" spans="2:5" ht="15.75" customHeight="1" x14ac:dyDescent="0.25">
      <c r="B159" s="46" t="s">
        <v>176</v>
      </c>
      <c r="C159" s="47">
        <v>-181125</v>
      </c>
      <c r="D159" s="48">
        <v>-548.08000000000004</v>
      </c>
      <c r="E159" s="49">
        <v>-2.1600000000000001E-2</v>
      </c>
    </row>
    <row r="160" spans="2:5" ht="15.75" customHeight="1" x14ac:dyDescent="0.25">
      <c r="B160" s="46" t="s">
        <v>174</v>
      </c>
      <c r="C160" s="47">
        <v>-162500</v>
      </c>
      <c r="D160" s="48">
        <v>-573.54</v>
      </c>
      <c r="E160" s="49">
        <v>-2.2599999999999999E-2</v>
      </c>
    </row>
    <row r="161" spans="2:5" ht="15.75" customHeight="1" x14ac:dyDescent="0.25">
      <c r="B161" s="46" t="s">
        <v>281</v>
      </c>
      <c r="C161" s="47">
        <v>-30600</v>
      </c>
      <c r="D161" s="48">
        <v>-93.35</v>
      </c>
      <c r="E161" s="49">
        <v>-3.7000000000000002E-3</v>
      </c>
    </row>
    <row r="162" spans="2:5" ht="15.75" customHeight="1" x14ac:dyDescent="0.25">
      <c r="B162" s="46" t="s">
        <v>300</v>
      </c>
      <c r="C162" s="47">
        <v>-600</v>
      </c>
      <c r="D162" s="48">
        <v>-33</v>
      </c>
      <c r="E162" s="49">
        <v>-1.2999999999999999E-3</v>
      </c>
    </row>
    <row r="163" spans="2:5" ht="15.75" customHeight="1" x14ac:dyDescent="0.25">
      <c r="B163" s="46" t="s">
        <v>277</v>
      </c>
      <c r="C163" s="47">
        <v>-52500</v>
      </c>
      <c r="D163" s="48">
        <v>-98.67</v>
      </c>
      <c r="E163" s="49">
        <v>-3.8999999999999998E-3</v>
      </c>
    </row>
    <row r="164" spans="2:5" ht="15.75" customHeight="1" x14ac:dyDescent="0.25">
      <c r="B164" s="46" t="s">
        <v>252</v>
      </c>
      <c r="C164" s="47">
        <v>-2550</v>
      </c>
      <c r="D164" s="48">
        <v>-173.85</v>
      </c>
      <c r="E164" s="49">
        <v>-6.8999999999999999E-3</v>
      </c>
    </row>
    <row r="165" spans="2:5" ht="15.75" customHeight="1" x14ac:dyDescent="0.25">
      <c r="B165" s="46" t="s">
        <v>144</v>
      </c>
      <c r="C165" s="47">
        <v>-4800</v>
      </c>
      <c r="D165" s="48">
        <v>-122.78</v>
      </c>
      <c r="E165" s="49">
        <v>-4.7999999999999996E-3</v>
      </c>
    </row>
    <row r="166" spans="2:5" ht="15.75" customHeight="1" x14ac:dyDescent="0.25">
      <c r="B166" s="46" t="s">
        <v>203</v>
      </c>
      <c r="C166" s="47">
        <v>-175500</v>
      </c>
      <c r="D166" s="48">
        <v>-434.98</v>
      </c>
      <c r="E166" s="49">
        <v>-1.72E-2</v>
      </c>
    </row>
    <row r="167" spans="2:5" ht="15.75" customHeight="1" x14ac:dyDescent="0.25">
      <c r="B167" s="46" t="s">
        <v>259</v>
      </c>
      <c r="C167" s="47">
        <v>-15000</v>
      </c>
      <c r="D167" s="48">
        <v>-138.51</v>
      </c>
      <c r="E167" s="49">
        <v>-5.4999999999999997E-3</v>
      </c>
    </row>
    <row r="168" spans="2:5" ht="15.75" customHeight="1" x14ac:dyDescent="0.25">
      <c r="B168" s="46" t="s">
        <v>242</v>
      </c>
      <c r="C168" s="47">
        <v>-176000</v>
      </c>
      <c r="D168" s="48">
        <v>-218.5</v>
      </c>
      <c r="E168" s="49">
        <v>-8.6E-3</v>
      </c>
    </row>
    <row r="169" spans="2:5" ht="15.75" customHeight="1" x14ac:dyDescent="0.25">
      <c r="B169" s="46" t="s">
        <v>206</v>
      </c>
      <c r="C169" s="47">
        <v>-126000</v>
      </c>
      <c r="D169" s="48">
        <v>-419.64</v>
      </c>
      <c r="E169" s="49">
        <v>-1.6500000000000001E-2</v>
      </c>
    </row>
    <row r="170" spans="2:5" ht="15.75" customHeight="1" x14ac:dyDescent="0.25">
      <c r="B170" s="46" t="s">
        <v>306</v>
      </c>
      <c r="C170" s="47">
        <v>-3400</v>
      </c>
      <c r="D170" s="48">
        <v>-28.63</v>
      </c>
      <c r="E170" s="49">
        <v>-1.1000000000000001E-3</v>
      </c>
    </row>
    <row r="171" spans="2:5" ht="15.75" customHeight="1" x14ac:dyDescent="0.25">
      <c r="B171" s="46" t="s">
        <v>190</v>
      </c>
      <c r="C171" s="47">
        <v>-185000</v>
      </c>
      <c r="D171" s="48">
        <v>-487.48</v>
      </c>
      <c r="E171" s="49">
        <v>-1.9199999999999998E-2</v>
      </c>
    </row>
    <row r="172" spans="2:5" ht="15.75" customHeight="1" x14ac:dyDescent="0.25">
      <c r="B172" s="46" t="s">
        <v>296</v>
      </c>
      <c r="C172" s="47">
        <v>-3000</v>
      </c>
      <c r="D172" s="48">
        <v>-44.95</v>
      </c>
      <c r="E172" s="49">
        <v>-1.8E-3</v>
      </c>
    </row>
    <row r="173" spans="2:5" ht="15.75" customHeight="1" x14ac:dyDescent="0.25">
      <c r="B173" s="46" t="s">
        <v>220</v>
      </c>
      <c r="C173" s="47">
        <v>-34500</v>
      </c>
      <c r="D173" s="48">
        <v>-294.92</v>
      </c>
      <c r="E173" s="49">
        <v>-1.1599999999999999E-2</v>
      </c>
    </row>
    <row r="174" spans="2:5" ht="15.75" customHeight="1" x14ac:dyDescent="0.25">
      <c r="B174" s="46" t="s">
        <v>298</v>
      </c>
      <c r="C174" s="47">
        <v>-1500</v>
      </c>
      <c r="D174" s="48">
        <v>-43.77</v>
      </c>
      <c r="E174" s="49">
        <v>-1.6999999999999999E-3</v>
      </c>
    </row>
    <row r="175" spans="2:5" ht="15.75" customHeight="1" x14ac:dyDescent="0.25">
      <c r="B175" s="46" t="s">
        <v>286</v>
      </c>
      <c r="C175" s="47">
        <v>-40158</v>
      </c>
      <c r="D175" s="48">
        <v>-73.17</v>
      </c>
      <c r="E175" s="49">
        <v>-2.8999999999999998E-3</v>
      </c>
    </row>
    <row r="176" spans="2:5" ht="15.75" customHeight="1" x14ac:dyDescent="0.25">
      <c r="B176" s="46" t="s">
        <v>222</v>
      </c>
      <c r="C176" s="47">
        <v>-8250</v>
      </c>
      <c r="D176" s="48">
        <v>-294.77999999999997</v>
      </c>
      <c r="E176" s="49">
        <v>-1.1599999999999999E-2</v>
      </c>
    </row>
    <row r="177" spans="2:8" ht="15.75" customHeight="1" x14ac:dyDescent="0.25">
      <c r="B177" s="46" t="s">
        <v>133</v>
      </c>
      <c r="C177" s="47">
        <v>-3500</v>
      </c>
      <c r="D177" s="48">
        <v>-100.29</v>
      </c>
      <c r="E177" s="49">
        <v>-4.0000000000000001E-3</v>
      </c>
    </row>
    <row r="178" spans="2:8" ht="15.75" customHeight="1" x14ac:dyDescent="0.25">
      <c r="B178" s="46" t="s">
        <v>314</v>
      </c>
      <c r="C178" s="47">
        <v>-1400</v>
      </c>
      <c r="D178" s="48">
        <v>-17.920000000000002</v>
      </c>
      <c r="E178" s="49">
        <v>-6.9999999999999999E-4</v>
      </c>
    </row>
    <row r="179" spans="2:8" ht="15.75" customHeight="1" x14ac:dyDescent="0.25">
      <c r="B179" s="46" t="s">
        <v>310</v>
      </c>
      <c r="C179" s="47">
        <v>-825</v>
      </c>
      <c r="D179" s="48">
        <v>-20.38</v>
      </c>
      <c r="E179" s="49">
        <v>-8.0000000000000004E-4</v>
      </c>
    </row>
    <row r="180" spans="2:8" ht="15.75" customHeight="1" x14ac:dyDescent="0.25">
      <c r="B180" s="46" t="s">
        <v>291</v>
      </c>
      <c r="C180" s="47">
        <v>-6050</v>
      </c>
      <c r="D180" s="48">
        <v>-60.09</v>
      </c>
      <c r="E180" s="49">
        <v>-2.3999999999999998E-3</v>
      </c>
    </row>
    <row r="181" spans="2:8" ht="15.75" customHeight="1" x14ac:dyDescent="0.25">
      <c r="B181" s="46" t="s">
        <v>200</v>
      </c>
      <c r="C181" s="47">
        <v>-98550</v>
      </c>
      <c r="D181" s="48">
        <v>-435.39</v>
      </c>
      <c r="E181" s="49">
        <v>-1.72E-2</v>
      </c>
    </row>
    <row r="182" spans="2:8" ht="15.75" customHeight="1" x14ac:dyDescent="0.25">
      <c r="B182" s="46" t="s">
        <v>179</v>
      </c>
      <c r="C182" s="47">
        <v>-308000</v>
      </c>
      <c r="D182" s="48">
        <v>-539.91999999999996</v>
      </c>
      <c r="E182" s="49">
        <v>-2.1299999999999999E-2</v>
      </c>
    </row>
    <row r="183" spans="2:8" ht="15.75" customHeight="1" x14ac:dyDescent="0.25">
      <c r="B183" s="46" t="s">
        <v>272</v>
      </c>
      <c r="C183" s="47">
        <v>-2625</v>
      </c>
      <c r="D183" s="48">
        <v>-102.95</v>
      </c>
      <c r="E183" s="49">
        <v>-4.1000000000000003E-3</v>
      </c>
    </row>
    <row r="184" spans="2:8" ht="15.75" customHeight="1" x14ac:dyDescent="0.25">
      <c r="B184" s="46" t="s">
        <v>208</v>
      </c>
      <c r="C184" s="47">
        <v>-27600</v>
      </c>
      <c r="D184" s="48">
        <v>-397.33</v>
      </c>
      <c r="E184" s="49">
        <v>-1.5699999999999999E-2</v>
      </c>
    </row>
    <row r="185" spans="2:8" ht="15.75" customHeight="1" x14ac:dyDescent="0.25">
      <c r="B185" s="13" t="s">
        <v>332</v>
      </c>
      <c r="C185" s="50">
        <v>-4319858</v>
      </c>
      <c r="D185" s="51">
        <v>-16905.3</v>
      </c>
      <c r="E185" s="52">
        <v>-0.66690000000000005</v>
      </c>
    </row>
    <row r="186" spans="2:8" ht="15.75" customHeight="1" thickBot="1" x14ac:dyDescent="0.3"/>
    <row r="187" spans="2:8" ht="27" customHeight="1" thickBot="1" x14ac:dyDescent="0.3">
      <c r="B187" s="56" t="s">
        <v>964</v>
      </c>
      <c r="C187" s="57" t="s">
        <v>965</v>
      </c>
      <c r="D187" s="57" t="s">
        <v>966</v>
      </c>
      <c r="E187" s="62" t="s">
        <v>967</v>
      </c>
      <c r="G187" s="2"/>
      <c r="H187" s="2"/>
    </row>
    <row r="188" spans="2:8" ht="28.5" customHeight="1" x14ac:dyDescent="0.25">
      <c r="B188" s="66" t="s">
        <v>974</v>
      </c>
      <c r="C188" s="74"/>
      <c r="D188" s="76" t="s">
        <v>975</v>
      </c>
      <c r="E188" s="78"/>
      <c r="G188" s="2"/>
      <c r="H188" s="2"/>
    </row>
    <row r="189" spans="2:8" ht="28.5" customHeight="1" x14ac:dyDescent="0.25">
      <c r="B189" s="65" t="s">
        <v>976</v>
      </c>
      <c r="C189" s="74"/>
      <c r="D189" s="77"/>
      <c r="E189" s="79"/>
      <c r="G189" s="2"/>
      <c r="H189" s="2"/>
    </row>
    <row r="190" spans="2:8" ht="55.5" customHeight="1" x14ac:dyDescent="0.25">
      <c r="B190" s="65" t="s">
        <v>977</v>
      </c>
      <c r="C190" s="74"/>
      <c r="D190" s="77"/>
      <c r="E190" s="79"/>
      <c r="G190" s="2"/>
      <c r="H190" s="2"/>
    </row>
    <row r="191" spans="2:8" ht="28.5" customHeight="1" thickBot="1" x14ac:dyDescent="0.3">
      <c r="B191" s="67" t="s">
        <v>978</v>
      </c>
      <c r="C191" s="75"/>
      <c r="D191" s="68" t="s">
        <v>978</v>
      </c>
      <c r="E191" s="80"/>
      <c r="G191" s="2"/>
      <c r="H191" s="2"/>
    </row>
    <row r="192" spans="2:8" ht="25" customHeight="1" x14ac:dyDescent="0.25">
      <c r="B192" s="58" t="s">
        <v>969</v>
      </c>
      <c r="C192" s="59"/>
      <c r="D192" s="60"/>
      <c r="E192" s="61"/>
      <c r="G192" s="2"/>
      <c r="H192" s="2"/>
    </row>
    <row r="194" spans="2:8" ht="11.5" x14ac:dyDescent="0.25">
      <c r="B194" s="2" t="s">
        <v>970</v>
      </c>
      <c r="C194" s="2"/>
      <c r="D194" s="2"/>
      <c r="G194" s="2"/>
      <c r="H194" s="2"/>
    </row>
    <row r="195" spans="2:8" ht="11.5" x14ac:dyDescent="0.25">
      <c r="B195" s="3" t="s">
        <v>971</v>
      </c>
      <c r="C195" s="2"/>
      <c r="D195" s="2"/>
      <c r="G195" s="2"/>
      <c r="H195" s="2"/>
    </row>
  </sheetData>
  <mergeCells count="3">
    <mergeCell ref="C188:C191"/>
    <mergeCell ref="D188:D190"/>
    <mergeCell ref="E188:E191"/>
  </mergeCells>
  <hyperlinks>
    <hyperlink ref="I1" location="'Sheet1'!A1" display="Index" xr:uid="{71E6A192-4621-419A-BFDB-C936EB9C284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EC78F-497E-4968-91DC-A9D82CA575EE}">
  <dimension ref="B1:P129"/>
  <sheetViews>
    <sheetView workbookViewId="0"/>
  </sheetViews>
  <sheetFormatPr defaultColWidth="9.1796875" defaultRowHeight="15.75" customHeight="1" x14ac:dyDescent="0.25"/>
  <cols>
    <col min="1" max="1" width="3.6328125" style="2" customWidth="1"/>
    <col min="2" max="2" width="39.08984375" style="9" bestFit="1" customWidth="1"/>
    <col min="3" max="3" width="23.6328125" style="9" customWidth="1"/>
    <col min="4" max="4" width="33.453125" style="9" bestFit="1" customWidth="1"/>
    <col min="5" max="5" width="29.6328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466108</v>
      </c>
      <c r="F7" s="27">
        <v>7848.33</v>
      </c>
      <c r="G7" s="28">
        <v>8.8999999999999996E-2</v>
      </c>
      <c r="H7" s="29"/>
    </row>
    <row r="8" spans="2:9" ht="15.75" customHeight="1" x14ac:dyDescent="0.25">
      <c r="B8" s="25" t="s">
        <v>138</v>
      </c>
      <c r="C8" s="25" t="s">
        <v>139</v>
      </c>
      <c r="D8" s="25" t="s">
        <v>140</v>
      </c>
      <c r="E8" s="26">
        <v>189181</v>
      </c>
      <c r="F8" s="27">
        <v>5922.88</v>
      </c>
      <c r="G8" s="28">
        <v>6.7199999999999996E-2</v>
      </c>
      <c r="H8" s="29"/>
    </row>
    <row r="9" spans="2:9" ht="15.75" customHeight="1" x14ac:dyDescent="0.25">
      <c r="B9" s="25" t="s">
        <v>127</v>
      </c>
      <c r="C9" s="25" t="s">
        <v>128</v>
      </c>
      <c r="D9" s="25" t="s">
        <v>129</v>
      </c>
      <c r="E9" s="26">
        <v>471563</v>
      </c>
      <c r="F9" s="27">
        <v>5656.87</v>
      </c>
      <c r="G9" s="28">
        <v>6.4199999999999993E-2</v>
      </c>
      <c r="H9" s="29"/>
    </row>
    <row r="10" spans="2:9" ht="15.75" customHeight="1" x14ac:dyDescent="0.25">
      <c r="B10" s="25" t="s">
        <v>133</v>
      </c>
      <c r="C10" s="25" t="s">
        <v>134</v>
      </c>
      <c r="D10" s="25" t="s">
        <v>135</v>
      </c>
      <c r="E10" s="26">
        <v>158322</v>
      </c>
      <c r="F10" s="27">
        <v>4538.54</v>
      </c>
      <c r="G10" s="28">
        <v>5.1499999999999997E-2</v>
      </c>
      <c r="H10" s="29"/>
    </row>
    <row r="11" spans="2:9" ht="15.75" customHeight="1" x14ac:dyDescent="0.25">
      <c r="B11" s="25" t="s">
        <v>130</v>
      </c>
      <c r="C11" s="25" t="s">
        <v>131</v>
      </c>
      <c r="D11" s="25" t="s">
        <v>132</v>
      </c>
      <c r="E11" s="26">
        <v>223125</v>
      </c>
      <c r="F11" s="27">
        <v>3495.81</v>
      </c>
      <c r="G11" s="28">
        <v>3.9699999999999999E-2</v>
      </c>
      <c r="H11" s="29"/>
    </row>
    <row r="12" spans="2:9" ht="15.75" customHeight="1" x14ac:dyDescent="0.25">
      <c r="B12" s="25" t="s">
        <v>272</v>
      </c>
      <c r="C12" s="25" t="s">
        <v>273</v>
      </c>
      <c r="D12" s="25" t="s">
        <v>132</v>
      </c>
      <c r="E12" s="26">
        <v>81079</v>
      </c>
      <c r="F12" s="27">
        <v>3165.45</v>
      </c>
      <c r="G12" s="28">
        <v>3.5900000000000001E-2</v>
      </c>
      <c r="H12" s="29"/>
    </row>
    <row r="13" spans="2:9" ht="15.75" customHeight="1" x14ac:dyDescent="0.25">
      <c r="B13" s="25" t="s">
        <v>210</v>
      </c>
      <c r="C13" s="25" t="s">
        <v>211</v>
      </c>
      <c r="D13" s="25" t="s">
        <v>143</v>
      </c>
      <c r="E13" s="26">
        <v>725716</v>
      </c>
      <c r="F13" s="27">
        <v>3083.57</v>
      </c>
      <c r="G13" s="28">
        <v>3.5000000000000003E-2</v>
      </c>
      <c r="H13" s="29"/>
    </row>
    <row r="14" spans="2:9" ht="15.75" customHeight="1" x14ac:dyDescent="0.25">
      <c r="B14" s="25" t="s">
        <v>220</v>
      </c>
      <c r="C14" s="25" t="s">
        <v>221</v>
      </c>
      <c r="D14" s="25" t="s">
        <v>129</v>
      </c>
      <c r="E14" s="26">
        <v>327165</v>
      </c>
      <c r="F14" s="27">
        <v>2777.47</v>
      </c>
      <c r="G14" s="28">
        <v>3.15E-2</v>
      </c>
      <c r="H14" s="29"/>
    </row>
    <row r="15" spans="2:9" ht="15.75" customHeight="1" x14ac:dyDescent="0.25">
      <c r="B15" s="25" t="s">
        <v>215</v>
      </c>
      <c r="C15" s="25" t="s">
        <v>216</v>
      </c>
      <c r="D15" s="25" t="s">
        <v>129</v>
      </c>
      <c r="E15" s="26">
        <v>125198</v>
      </c>
      <c r="F15" s="27">
        <v>2256.69</v>
      </c>
      <c r="G15" s="28">
        <v>2.5600000000000001E-2</v>
      </c>
      <c r="H15" s="29"/>
    </row>
    <row r="16" spans="2:9" ht="15.75" customHeight="1" x14ac:dyDescent="0.25">
      <c r="B16" s="25" t="s">
        <v>188</v>
      </c>
      <c r="C16" s="25" t="s">
        <v>189</v>
      </c>
      <c r="D16" s="25" t="s">
        <v>129</v>
      </c>
      <c r="E16" s="26">
        <v>175849</v>
      </c>
      <c r="F16" s="27">
        <v>2224.9299999999998</v>
      </c>
      <c r="G16" s="28">
        <v>2.52E-2</v>
      </c>
      <c r="H16" s="29"/>
    </row>
    <row r="17" spans="2:8" ht="15.75" customHeight="1" x14ac:dyDescent="0.25">
      <c r="B17" s="25" t="s">
        <v>225</v>
      </c>
      <c r="C17" s="25" t="s">
        <v>226</v>
      </c>
      <c r="D17" s="25" t="s">
        <v>227</v>
      </c>
      <c r="E17" s="26">
        <v>21685</v>
      </c>
      <c r="F17" s="27">
        <v>1543.01</v>
      </c>
      <c r="G17" s="28">
        <v>1.7500000000000002E-2</v>
      </c>
      <c r="H17" s="29"/>
    </row>
    <row r="18" spans="2:8" ht="15.75" customHeight="1" x14ac:dyDescent="0.25">
      <c r="B18" s="25" t="s">
        <v>335</v>
      </c>
      <c r="C18" s="25" t="s">
        <v>336</v>
      </c>
      <c r="D18" s="25" t="s">
        <v>337</v>
      </c>
      <c r="E18" s="26">
        <v>38042</v>
      </c>
      <c r="F18" s="27">
        <v>1394.13</v>
      </c>
      <c r="G18" s="28">
        <v>1.5800000000000002E-2</v>
      </c>
      <c r="H18" s="29"/>
    </row>
    <row r="19" spans="2:8" ht="15.75" customHeight="1" x14ac:dyDescent="0.25">
      <c r="B19" s="25" t="s">
        <v>338</v>
      </c>
      <c r="C19" s="25" t="s">
        <v>339</v>
      </c>
      <c r="D19" s="25" t="s">
        <v>202</v>
      </c>
      <c r="E19" s="26">
        <v>334560</v>
      </c>
      <c r="F19" s="27">
        <v>1265.81</v>
      </c>
      <c r="G19" s="28">
        <v>1.44E-2</v>
      </c>
      <c r="H19" s="29"/>
    </row>
    <row r="20" spans="2:8" ht="15.75" customHeight="1" x14ac:dyDescent="0.25">
      <c r="B20" s="25" t="s">
        <v>208</v>
      </c>
      <c r="C20" s="25" t="s">
        <v>209</v>
      </c>
      <c r="D20" s="25" t="s">
        <v>132</v>
      </c>
      <c r="E20" s="26">
        <v>68355</v>
      </c>
      <c r="F20" s="27">
        <v>977.72</v>
      </c>
      <c r="G20" s="28">
        <v>1.11E-2</v>
      </c>
      <c r="H20" s="29"/>
    </row>
    <row r="21" spans="2:8" ht="15.75" customHeight="1" x14ac:dyDescent="0.25">
      <c r="B21" s="25" t="s">
        <v>340</v>
      </c>
      <c r="C21" s="25" t="s">
        <v>341</v>
      </c>
      <c r="D21" s="25" t="s">
        <v>276</v>
      </c>
      <c r="E21" s="26">
        <v>35769</v>
      </c>
      <c r="F21" s="27">
        <v>955.19</v>
      </c>
      <c r="G21" s="28">
        <v>1.0800000000000001E-2</v>
      </c>
      <c r="H21" s="29"/>
    </row>
    <row r="22" spans="2:8" ht="15.75" customHeight="1" x14ac:dyDescent="0.25">
      <c r="B22" s="25" t="s">
        <v>342</v>
      </c>
      <c r="C22" s="25" t="s">
        <v>343</v>
      </c>
      <c r="D22" s="25" t="s">
        <v>135</v>
      </c>
      <c r="E22" s="26">
        <v>17003</v>
      </c>
      <c r="F22" s="27">
        <v>948.7</v>
      </c>
      <c r="G22" s="28">
        <v>1.0800000000000001E-2</v>
      </c>
      <c r="H22" s="29"/>
    </row>
    <row r="23" spans="2:8" ht="15.75" customHeight="1" x14ac:dyDescent="0.25">
      <c r="B23" s="25" t="s">
        <v>344</v>
      </c>
      <c r="C23" s="25" t="s">
        <v>345</v>
      </c>
      <c r="D23" s="25" t="s">
        <v>346</v>
      </c>
      <c r="E23" s="26">
        <v>374618</v>
      </c>
      <c r="F23" s="27">
        <v>930.55</v>
      </c>
      <c r="G23" s="28">
        <v>1.06E-2</v>
      </c>
      <c r="H23" s="29"/>
    </row>
    <row r="24" spans="2:8" ht="15.75" customHeight="1" x14ac:dyDescent="0.25">
      <c r="B24" s="25" t="s">
        <v>141</v>
      </c>
      <c r="C24" s="25" t="s">
        <v>142</v>
      </c>
      <c r="D24" s="25" t="s">
        <v>143</v>
      </c>
      <c r="E24" s="26">
        <v>37367</v>
      </c>
      <c r="F24" s="27">
        <v>924.1</v>
      </c>
      <c r="G24" s="28">
        <v>1.0500000000000001E-2</v>
      </c>
      <c r="H24" s="29"/>
    </row>
    <row r="25" spans="2:8" ht="15.75" customHeight="1" x14ac:dyDescent="0.25">
      <c r="B25" s="25" t="s">
        <v>347</v>
      </c>
      <c r="C25" s="25" t="s">
        <v>348</v>
      </c>
      <c r="D25" s="25" t="s">
        <v>132</v>
      </c>
      <c r="E25" s="26">
        <v>61924</v>
      </c>
      <c r="F25" s="27">
        <v>903.84</v>
      </c>
      <c r="G25" s="28">
        <v>1.03E-2</v>
      </c>
      <c r="H25" s="29"/>
    </row>
    <row r="26" spans="2:8" ht="15.75" customHeight="1" x14ac:dyDescent="0.25">
      <c r="B26" s="25" t="s">
        <v>349</v>
      </c>
      <c r="C26" s="25" t="s">
        <v>350</v>
      </c>
      <c r="D26" s="25" t="s">
        <v>351</v>
      </c>
      <c r="E26" s="26">
        <v>312500</v>
      </c>
      <c r="F26" s="27">
        <v>837.5</v>
      </c>
      <c r="G26" s="28">
        <v>9.4999999999999998E-3</v>
      </c>
      <c r="H26" s="29"/>
    </row>
    <row r="27" spans="2:8" ht="15.75" customHeight="1" x14ac:dyDescent="0.25">
      <c r="B27" s="25" t="s">
        <v>164</v>
      </c>
      <c r="C27" s="25" t="s">
        <v>165</v>
      </c>
      <c r="D27" s="25" t="s">
        <v>166</v>
      </c>
      <c r="E27" s="26">
        <v>272973</v>
      </c>
      <c r="F27" s="27">
        <v>835.02</v>
      </c>
      <c r="G27" s="28">
        <v>9.4999999999999998E-3</v>
      </c>
      <c r="H27" s="29"/>
    </row>
    <row r="28" spans="2:8" ht="15.75" customHeight="1" x14ac:dyDescent="0.25">
      <c r="B28" s="25" t="s">
        <v>352</v>
      </c>
      <c r="C28" s="25" t="s">
        <v>353</v>
      </c>
      <c r="D28" s="25" t="s">
        <v>337</v>
      </c>
      <c r="E28" s="26">
        <v>32969</v>
      </c>
      <c r="F28" s="27">
        <v>776.88</v>
      </c>
      <c r="G28" s="28">
        <v>8.8000000000000005E-3</v>
      </c>
      <c r="H28" s="29"/>
    </row>
    <row r="29" spans="2:8" ht="15.75" customHeight="1" x14ac:dyDescent="0.25">
      <c r="B29" s="25" t="s">
        <v>354</v>
      </c>
      <c r="C29" s="25" t="s">
        <v>355</v>
      </c>
      <c r="D29" s="25" t="s">
        <v>135</v>
      </c>
      <c r="E29" s="26">
        <v>6050</v>
      </c>
      <c r="F29" s="27">
        <v>728.05</v>
      </c>
      <c r="G29" s="28">
        <v>8.3000000000000001E-3</v>
      </c>
      <c r="H29" s="29"/>
    </row>
    <row r="30" spans="2:8" ht="15.75" customHeight="1" x14ac:dyDescent="0.25">
      <c r="B30" s="25" t="s">
        <v>312</v>
      </c>
      <c r="C30" s="25" t="s">
        <v>313</v>
      </c>
      <c r="D30" s="25" t="s">
        <v>214</v>
      </c>
      <c r="E30" s="26">
        <v>98464</v>
      </c>
      <c r="F30" s="27">
        <v>682.9</v>
      </c>
      <c r="G30" s="28">
        <v>7.7000000000000002E-3</v>
      </c>
      <c r="H30" s="29"/>
    </row>
    <row r="31" spans="2:8" ht="15.75" customHeight="1" x14ac:dyDescent="0.25">
      <c r="B31" s="25" t="s">
        <v>356</v>
      </c>
      <c r="C31" s="25" t="s">
        <v>357</v>
      </c>
      <c r="D31" s="25" t="s">
        <v>169</v>
      </c>
      <c r="E31" s="26">
        <v>25867</v>
      </c>
      <c r="F31" s="27">
        <v>550.76</v>
      </c>
      <c r="G31" s="28">
        <v>6.1999999999999998E-3</v>
      </c>
      <c r="H31" s="29"/>
    </row>
    <row r="32" spans="2:8" ht="15.75" customHeight="1" x14ac:dyDescent="0.25">
      <c r="B32" s="25" t="s">
        <v>206</v>
      </c>
      <c r="C32" s="25" t="s">
        <v>207</v>
      </c>
      <c r="D32" s="25" t="s">
        <v>202</v>
      </c>
      <c r="E32" s="26">
        <v>153823</v>
      </c>
      <c r="F32" s="27">
        <v>509.08</v>
      </c>
      <c r="G32" s="28">
        <v>5.7999999999999996E-3</v>
      </c>
      <c r="H32" s="29"/>
    </row>
    <row r="33" spans="2:8" ht="15.75" customHeight="1" x14ac:dyDescent="0.25">
      <c r="B33" s="25" t="s">
        <v>200</v>
      </c>
      <c r="C33" s="25" t="s">
        <v>201</v>
      </c>
      <c r="D33" s="25" t="s">
        <v>202</v>
      </c>
      <c r="E33" s="26">
        <v>110742</v>
      </c>
      <c r="F33" s="27">
        <v>487.93</v>
      </c>
      <c r="G33" s="28">
        <v>5.4999999999999997E-3</v>
      </c>
      <c r="H33" s="29"/>
    </row>
    <row r="34" spans="2:8" ht="15.75" customHeight="1" x14ac:dyDescent="0.25">
      <c r="B34" s="25" t="s">
        <v>244</v>
      </c>
      <c r="C34" s="25" t="s">
        <v>245</v>
      </c>
      <c r="D34" s="25" t="s">
        <v>246</v>
      </c>
      <c r="E34" s="26">
        <v>32925</v>
      </c>
      <c r="F34" s="27">
        <v>453</v>
      </c>
      <c r="G34" s="28">
        <v>5.1000000000000004E-3</v>
      </c>
      <c r="H34" s="29"/>
    </row>
    <row r="35" spans="2:8" ht="15.75" customHeight="1" x14ac:dyDescent="0.25">
      <c r="B35" s="25" t="s">
        <v>358</v>
      </c>
      <c r="C35" s="25" t="s">
        <v>359</v>
      </c>
      <c r="D35" s="25" t="s">
        <v>227</v>
      </c>
      <c r="E35" s="26">
        <v>150488</v>
      </c>
      <c r="F35" s="27">
        <v>452.37</v>
      </c>
      <c r="G35" s="28">
        <v>5.1000000000000004E-3</v>
      </c>
      <c r="H35" s="29"/>
    </row>
    <row r="36" spans="2:8" ht="15.75" customHeight="1" x14ac:dyDescent="0.25">
      <c r="B36" s="25" t="s">
        <v>170</v>
      </c>
      <c r="C36" s="25" t="s">
        <v>171</v>
      </c>
      <c r="D36" s="25" t="s">
        <v>129</v>
      </c>
      <c r="E36" s="26">
        <v>30105</v>
      </c>
      <c r="F36" s="27">
        <v>440.89</v>
      </c>
      <c r="G36" s="28">
        <v>5.0000000000000001E-3</v>
      </c>
      <c r="H36" s="29"/>
    </row>
    <row r="37" spans="2:8" ht="15.75" customHeight="1" x14ac:dyDescent="0.25">
      <c r="B37" s="25" t="s">
        <v>259</v>
      </c>
      <c r="C37" s="25" t="s">
        <v>260</v>
      </c>
      <c r="D37" s="25" t="s">
        <v>227</v>
      </c>
      <c r="E37" s="26">
        <v>47352</v>
      </c>
      <c r="F37" s="27">
        <v>438.95</v>
      </c>
      <c r="G37" s="28">
        <v>5.0000000000000001E-3</v>
      </c>
      <c r="H37" s="29"/>
    </row>
    <row r="38" spans="2:8" ht="15.75" customHeight="1" x14ac:dyDescent="0.25">
      <c r="B38" s="25" t="s">
        <v>360</v>
      </c>
      <c r="C38" s="25" t="s">
        <v>361</v>
      </c>
      <c r="D38" s="25" t="s">
        <v>362</v>
      </c>
      <c r="E38" s="26">
        <v>60802</v>
      </c>
      <c r="F38" s="27">
        <v>431.69</v>
      </c>
      <c r="G38" s="28">
        <v>4.8999999999999998E-3</v>
      </c>
      <c r="H38" s="29"/>
    </row>
    <row r="39" spans="2:8" ht="15.75" customHeight="1" x14ac:dyDescent="0.25">
      <c r="B39" s="25" t="s">
        <v>363</v>
      </c>
      <c r="C39" s="25" t="s">
        <v>364</v>
      </c>
      <c r="D39" s="25" t="s">
        <v>269</v>
      </c>
      <c r="E39" s="26">
        <v>16500</v>
      </c>
      <c r="F39" s="27">
        <v>401.95</v>
      </c>
      <c r="G39" s="28">
        <v>4.5999999999999999E-3</v>
      </c>
      <c r="H39" s="29"/>
    </row>
    <row r="40" spans="2:8" ht="15.75" customHeight="1" x14ac:dyDescent="0.25">
      <c r="B40" s="25" t="s">
        <v>365</v>
      </c>
      <c r="C40" s="25" t="s">
        <v>366</v>
      </c>
      <c r="D40" s="25" t="s">
        <v>227</v>
      </c>
      <c r="E40" s="26">
        <v>76624</v>
      </c>
      <c r="F40" s="27">
        <v>371.7</v>
      </c>
      <c r="G40" s="28">
        <v>4.1999999999999997E-3</v>
      </c>
      <c r="H40" s="29"/>
    </row>
    <row r="41" spans="2:8" ht="15.75" customHeight="1" x14ac:dyDescent="0.25">
      <c r="B41" s="25" t="s">
        <v>367</v>
      </c>
      <c r="C41" s="25" t="s">
        <v>368</v>
      </c>
      <c r="D41" s="25" t="s">
        <v>169</v>
      </c>
      <c r="E41" s="26">
        <v>13198</v>
      </c>
      <c r="F41" s="27">
        <v>368.4</v>
      </c>
      <c r="G41" s="28">
        <v>4.1999999999999997E-3</v>
      </c>
      <c r="H41" s="29"/>
    </row>
    <row r="42" spans="2:8" ht="15.75" customHeight="1" x14ac:dyDescent="0.25">
      <c r="B42" s="25" t="s">
        <v>369</v>
      </c>
      <c r="C42" s="25" t="s">
        <v>370</v>
      </c>
      <c r="D42" s="25" t="s">
        <v>337</v>
      </c>
      <c r="E42" s="26">
        <v>19539</v>
      </c>
      <c r="F42" s="27">
        <v>303.89</v>
      </c>
      <c r="G42" s="28">
        <v>3.3999999999999998E-3</v>
      </c>
      <c r="H42" s="29"/>
    </row>
    <row r="43" spans="2:8" ht="15.75" customHeight="1" x14ac:dyDescent="0.25">
      <c r="B43" s="25" t="s">
        <v>371</v>
      </c>
      <c r="C43" s="25" t="s">
        <v>372</v>
      </c>
      <c r="D43" s="25" t="s">
        <v>135</v>
      </c>
      <c r="E43" s="26">
        <v>12463</v>
      </c>
      <c r="F43" s="27">
        <v>294.73</v>
      </c>
      <c r="G43" s="28">
        <v>3.3E-3</v>
      </c>
      <c r="H43" s="29"/>
    </row>
    <row r="44" spans="2:8" ht="15.75" customHeight="1" x14ac:dyDescent="0.25">
      <c r="B44" s="25" t="s">
        <v>237</v>
      </c>
      <c r="C44" s="25" t="s">
        <v>238</v>
      </c>
      <c r="D44" s="25" t="s">
        <v>129</v>
      </c>
      <c r="E44" s="26">
        <v>310602</v>
      </c>
      <c r="F44" s="27">
        <v>255.19</v>
      </c>
      <c r="G44" s="28">
        <v>2.8999999999999998E-3</v>
      </c>
      <c r="H44" s="29"/>
    </row>
    <row r="45" spans="2:8" ht="15.75" customHeight="1" x14ac:dyDescent="0.25">
      <c r="B45" s="25" t="s">
        <v>373</v>
      </c>
      <c r="C45" s="25" t="s">
        <v>374</v>
      </c>
      <c r="D45" s="25" t="s">
        <v>316</v>
      </c>
      <c r="E45" s="26">
        <v>88987</v>
      </c>
      <c r="F45" s="27">
        <v>250.05</v>
      </c>
      <c r="G45" s="28">
        <v>2.8E-3</v>
      </c>
      <c r="H45" s="29"/>
    </row>
    <row r="46" spans="2:8" ht="15.75" customHeight="1" x14ac:dyDescent="0.25">
      <c r="B46" s="25" t="s">
        <v>375</v>
      </c>
      <c r="C46" s="25" t="s">
        <v>376</v>
      </c>
      <c r="D46" s="25" t="s">
        <v>194</v>
      </c>
      <c r="E46" s="26">
        <v>8456</v>
      </c>
      <c r="F46" s="27">
        <v>246.67</v>
      </c>
      <c r="G46" s="28">
        <v>2.8E-3</v>
      </c>
      <c r="H46" s="29"/>
    </row>
    <row r="47" spans="2:8" ht="15.75" customHeight="1" x14ac:dyDescent="0.25">
      <c r="B47" s="25" t="s">
        <v>230</v>
      </c>
      <c r="C47" s="25" t="s">
        <v>231</v>
      </c>
      <c r="D47" s="25" t="s">
        <v>232</v>
      </c>
      <c r="E47" s="26">
        <v>5823</v>
      </c>
      <c r="F47" s="27">
        <v>246.21</v>
      </c>
      <c r="G47" s="28">
        <v>2.8E-3</v>
      </c>
      <c r="H47" s="29"/>
    </row>
    <row r="48" spans="2:8" ht="15.75" customHeight="1" x14ac:dyDescent="0.25">
      <c r="B48" s="25" t="s">
        <v>274</v>
      </c>
      <c r="C48" s="25" t="s">
        <v>275</v>
      </c>
      <c r="D48" s="25" t="s">
        <v>276</v>
      </c>
      <c r="E48" s="26">
        <v>12298</v>
      </c>
      <c r="F48" s="27">
        <v>223.02</v>
      </c>
      <c r="G48" s="28">
        <v>2.5000000000000001E-3</v>
      </c>
      <c r="H48" s="29"/>
    </row>
    <row r="49" spans="2:8" ht="15.75" customHeight="1" x14ac:dyDescent="0.25">
      <c r="B49" s="25" t="s">
        <v>377</v>
      </c>
      <c r="C49" s="25" t="s">
        <v>378</v>
      </c>
      <c r="D49" s="25" t="s">
        <v>227</v>
      </c>
      <c r="E49" s="26">
        <v>16766</v>
      </c>
      <c r="F49" s="27">
        <v>221.66</v>
      </c>
      <c r="G49" s="28">
        <v>2.5000000000000001E-3</v>
      </c>
      <c r="H49" s="29"/>
    </row>
    <row r="50" spans="2:8" ht="15.75" customHeight="1" x14ac:dyDescent="0.25">
      <c r="B50" s="25" t="s">
        <v>379</v>
      </c>
      <c r="C50" s="25" t="s">
        <v>380</v>
      </c>
      <c r="D50" s="25" t="s">
        <v>129</v>
      </c>
      <c r="E50" s="26">
        <v>171288</v>
      </c>
      <c r="F50" s="27">
        <v>206.42</v>
      </c>
      <c r="G50" s="28">
        <v>2.3E-3</v>
      </c>
      <c r="H50" s="29"/>
    </row>
    <row r="51" spans="2:8" ht="15.75" customHeight="1" x14ac:dyDescent="0.25">
      <c r="B51" s="25" t="s">
        <v>222</v>
      </c>
      <c r="C51" s="25" t="s">
        <v>223</v>
      </c>
      <c r="D51" s="25" t="s">
        <v>224</v>
      </c>
      <c r="E51" s="26">
        <v>5776</v>
      </c>
      <c r="F51" s="27">
        <v>204.96</v>
      </c>
      <c r="G51" s="28">
        <v>2.3E-3</v>
      </c>
      <c r="H51" s="29"/>
    </row>
    <row r="52" spans="2:8" ht="15.75" customHeight="1" x14ac:dyDescent="0.25">
      <c r="B52" s="25" t="s">
        <v>381</v>
      </c>
      <c r="C52" s="25" t="s">
        <v>382</v>
      </c>
      <c r="D52" s="25" t="s">
        <v>169</v>
      </c>
      <c r="E52" s="26">
        <v>3749</v>
      </c>
      <c r="F52" s="27">
        <v>187.13</v>
      </c>
      <c r="G52" s="28">
        <v>2.0999999999999999E-3</v>
      </c>
      <c r="H52" s="29"/>
    </row>
    <row r="53" spans="2:8" ht="15.75" customHeight="1" x14ac:dyDescent="0.25">
      <c r="B53" s="25" t="s">
        <v>383</v>
      </c>
      <c r="C53" s="25" t="s">
        <v>384</v>
      </c>
      <c r="D53" s="25" t="s">
        <v>227</v>
      </c>
      <c r="E53" s="26">
        <v>34193</v>
      </c>
      <c r="F53" s="27">
        <v>179.65</v>
      </c>
      <c r="G53" s="28">
        <v>2E-3</v>
      </c>
      <c r="H53" s="29"/>
    </row>
    <row r="54" spans="2:8" ht="15.75" customHeight="1" x14ac:dyDescent="0.25">
      <c r="B54" s="25" t="s">
        <v>385</v>
      </c>
      <c r="C54" s="25" t="s">
        <v>386</v>
      </c>
      <c r="D54" s="25" t="s">
        <v>241</v>
      </c>
      <c r="E54" s="26">
        <v>53763</v>
      </c>
      <c r="F54" s="27">
        <v>159.43</v>
      </c>
      <c r="G54" s="28">
        <v>1.8E-3</v>
      </c>
      <c r="H54" s="29"/>
    </row>
    <row r="55" spans="2:8" ht="15.75" customHeight="1" x14ac:dyDescent="0.25">
      <c r="B55" s="25" t="s">
        <v>281</v>
      </c>
      <c r="C55" s="25" t="s">
        <v>282</v>
      </c>
      <c r="D55" s="25" t="s">
        <v>140</v>
      </c>
      <c r="E55" s="26">
        <v>51486</v>
      </c>
      <c r="F55" s="27">
        <v>156.49</v>
      </c>
      <c r="G55" s="28">
        <v>1.8E-3</v>
      </c>
      <c r="H55" s="29"/>
    </row>
    <row r="56" spans="2:8" ht="15.75" customHeight="1" x14ac:dyDescent="0.25">
      <c r="B56" s="25" t="s">
        <v>387</v>
      </c>
      <c r="C56" s="25" t="s">
        <v>388</v>
      </c>
      <c r="D56" s="25" t="s">
        <v>132</v>
      </c>
      <c r="E56" s="26">
        <v>23749</v>
      </c>
      <c r="F56" s="27">
        <v>140.69999999999999</v>
      </c>
      <c r="G56" s="28">
        <v>1.6000000000000001E-3</v>
      </c>
      <c r="H56" s="29"/>
    </row>
    <row r="57" spans="2:8" ht="15.75" customHeight="1" x14ac:dyDescent="0.25">
      <c r="B57" s="25" t="s">
        <v>389</v>
      </c>
      <c r="C57" s="25" t="s">
        <v>390</v>
      </c>
      <c r="D57" s="25" t="s">
        <v>169</v>
      </c>
      <c r="E57" s="26">
        <v>476</v>
      </c>
      <c r="F57" s="27">
        <v>131.49</v>
      </c>
      <c r="G57" s="28">
        <v>1.5E-3</v>
      </c>
      <c r="H57" s="29"/>
    </row>
    <row r="58" spans="2:8" ht="15.75" customHeight="1" x14ac:dyDescent="0.25">
      <c r="B58" s="25" t="s">
        <v>391</v>
      </c>
      <c r="C58" s="25" t="s">
        <v>392</v>
      </c>
      <c r="D58" s="25" t="s">
        <v>169</v>
      </c>
      <c r="E58" s="26">
        <v>129</v>
      </c>
      <c r="F58" s="27">
        <v>8.26</v>
      </c>
      <c r="G58" s="28">
        <v>1E-4</v>
      </c>
      <c r="H58" s="29"/>
    </row>
    <row r="59" spans="2:8" ht="15.75" customHeight="1" x14ac:dyDescent="0.25">
      <c r="B59" s="25" t="s">
        <v>393</v>
      </c>
      <c r="C59" s="25" t="s">
        <v>394</v>
      </c>
      <c r="D59" s="25" t="s">
        <v>276</v>
      </c>
      <c r="E59" s="26">
        <v>594</v>
      </c>
      <c r="F59" s="27">
        <v>6.71</v>
      </c>
      <c r="G59" s="28">
        <v>1E-4</v>
      </c>
      <c r="H59" s="29"/>
    </row>
    <row r="60" spans="2:8" ht="15.75" customHeight="1" x14ac:dyDescent="0.25">
      <c r="B60" s="25" t="s">
        <v>300</v>
      </c>
      <c r="C60" s="25" t="s">
        <v>301</v>
      </c>
      <c r="D60" s="25" t="s">
        <v>146</v>
      </c>
      <c r="E60" s="26">
        <v>96</v>
      </c>
      <c r="F60" s="27">
        <v>5.26</v>
      </c>
      <c r="G60" s="28">
        <v>1E-4</v>
      </c>
      <c r="H60" s="29"/>
    </row>
    <row r="61" spans="2:8" ht="15.75" customHeight="1" x14ac:dyDescent="0.25">
      <c r="B61" s="24" t="s">
        <v>102</v>
      </c>
      <c r="C61" s="24"/>
      <c r="D61" s="24"/>
      <c r="E61" s="30"/>
      <c r="F61" s="31">
        <v>63008.58</v>
      </c>
      <c r="G61" s="32">
        <v>0.71479999999999999</v>
      </c>
      <c r="H61" s="33"/>
    </row>
    <row r="62" spans="2:8" ht="15.75" customHeight="1" x14ac:dyDescent="0.25">
      <c r="B62" s="24" t="s">
        <v>149</v>
      </c>
      <c r="C62" s="25"/>
      <c r="D62" s="25"/>
      <c r="E62" s="26"/>
      <c r="F62" s="27"/>
      <c r="G62" s="28"/>
      <c r="H62" s="29"/>
    </row>
    <row r="63" spans="2:8" ht="15.75" customHeight="1" x14ac:dyDescent="0.25">
      <c r="B63" s="24" t="s">
        <v>102</v>
      </c>
      <c r="C63" s="25"/>
      <c r="D63" s="25"/>
      <c r="E63" s="26"/>
      <c r="F63" s="34" t="s">
        <v>104</v>
      </c>
      <c r="G63" s="35" t="s">
        <v>104</v>
      </c>
      <c r="H63" s="29"/>
    </row>
    <row r="64" spans="2:8" ht="15.75" customHeight="1" x14ac:dyDescent="0.25">
      <c r="B64" s="25"/>
      <c r="C64" s="25"/>
      <c r="D64" s="25"/>
      <c r="E64" s="26"/>
      <c r="F64" s="27"/>
      <c r="G64" s="28"/>
      <c r="H64" s="29"/>
    </row>
    <row r="65" spans="2:16" ht="15.75" customHeight="1" x14ac:dyDescent="0.25">
      <c r="B65" s="36" t="s">
        <v>106</v>
      </c>
      <c r="C65" s="36"/>
      <c r="D65" s="36"/>
      <c r="E65" s="37"/>
      <c r="F65" s="31">
        <v>63008.58</v>
      </c>
      <c r="G65" s="32">
        <v>0.71479999999999999</v>
      </c>
      <c r="H65" s="33"/>
    </row>
    <row r="66" spans="2:16" ht="15.75" customHeight="1" x14ac:dyDescent="0.25">
      <c r="B66" s="25"/>
      <c r="C66" s="25"/>
      <c r="D66" s="25"/>
      <c r="E66" s="26"/>
      <c r="F66" s="27"/>
      <c r="G66" s="28"/>
      <c r="H66" s="29"/>
    </row>
    <row r="67" spans="2:16" ht="15.75" customHeight="1" x14ac:dyDescent="0.25">
      <c r="B67" s="24" t="s">
        <v>89</v>
      </c>
      <c r="C67" s="25"/>
      <c r="D67" s="25"/>
      <c r="E67" s="26"/>
      <c r="F67" s="27"/>
      <c r="G67" s="28"/>
      <c r="H67" s="29"/>
    </row>
    <row r="68" spans="2:16" ht="15.75" customHeight="1" x14ac:dyDescent="0.25">
      <c r="B68" s="24" t="s">
        <v>90</v>
      </c>
      <c r="C68" s="25"/>
      <c r="D68" s="25"/>
      <c r="E68" s="26"/>
      <c r="F68" s="27"/>
      <c r="G68" s="28"/>
      <c r="H68" s="29"/>
      <c r="L68" s="3"/>
    </row>
    <row r="69" spans="2:16" ht="15.75" customHeight="1" x14ac:dyDescent="0.25">
      <c r="B69" s="25" t="s">
        <v>100</v>
      </c>
      <c r="C69" s="25" t="s">
        <v>156</v>
      </c>
      <c r="D69" s="25" t="s">
        <v>92</v>
      </c>
      <c r="E69" s="26">
        <v>7500000</v>
      </c>
      <c r="F69" s="27">
        <v>7784.93</v>
      </c>
      <c r="G69" s="28">
        <v>8.8300000000000003E-2</v>
      </c>
      <c r="H69" s="29">
        <v>7.1867E-2</v>
      </c>
    </row>
    <row r="70" spans="2:16" ht="15.75" customHeight="1" x14ac:dyDescent="0.25">
      <c r="B70" s="25" t="s">
        <v>97</v>
      </c>
      <c r="C70" s="25" t="s">
        <v>98</v>
      </c>
      <c r="D70" s="25" t="s">
        <v>99</v>
      </c>
      <c r="E70" s="26">
        <v>250</v>
      </c>
      <c r="F70" s="27">
        <v>2724</v>
      </c>
      <c r="G70" s="28">
        <v>3.09E-2</v>
      </c>
      <c r="H70" s="29">
        <v>7.7350000000000002E-2</v>
      </c>
      <c r="L70" s="3"/>
    </row>
    <row r="71" spans="2:16" ht="15.75" customHeight="1" x14ac:dyDescent="0.25">
      <c r="B71" s="25" t="s">
        <v>395</v>
      </c>
      <c r="C71" s="25" t="s">
        <v>396</v>
      </c>
      <c r="D71" s="25" t="s">
        <v>92</v>
      </c>
      <c r="E71" s="26">
        <v>2500000</v>
      </c>
      <c r="F71" s="27">
        <v>2648.9</v>
      </c>
      <c r="G71" s="28">
        <v>0.03</v>
      </c>
      <c r="H71" s="29">
        <v>7.4979000000000004E-2</v>
      </c>
      <c r="L71" s="3"/>
    </row>
    <row r="72" spans="2:16" ht="15.75" customHeight="1" x14ac:dyDescent="0.25">
      <c r="B72" s="25" t="s">
        <v>95</v>
      </c>
      <c r="C72" s="25" t="s">
        <v>96</v>
      </c>
      <c r="D72" s="25" t="s">
        <v>92</v>
      </c>
      <c r="E72" s="26">
        <v>2500000</v>
      </c>
      <c r="F72" s="27">
        <v>2588.58</v>
      </c>
      <c r="G72" s="28">
        <v>2.9399999999999999E-2</v>
      </c>
      <c r="H72" s="29">
        <v>7.4823000000000001E-2</v>
      </c>
      <c r="L72" s="3"/>
    </row>
    <row r="73" spans="2:16" ht="15.75" customHeight="1" x14ac:dyDescent="0.25">
      <c r="B73" s="25" t="s">
        <v>397</v>
      </c>
      <c r="C73" s="25" t="s">
        <v>398</v>
      </c>
      <c r="D73" s="25" t="s">
        <v>92</v>
      </c>
      <c r="E73" s="26">
        <v>2511400</v>
      </c>
      <c r="F73" s="27">
        <v>2582.63</v>
      </c>
      <c r="G73" s="28">
        <v>2.93E-2</v>
      </c>
      <c r="H73" s="29">
        <v>7.4899999999999994E-2</v>
      </c>
      <c r="L73" s="3"/>
    </row>
    <row r="74" spans="2:16" ht="15.75" customHeight="1" x14ac:dyDescent="0.25">
      <c r="B74" s="25" t="s">
        <v>397</v>
      </c>
      <c r="C74" s="25" t="s">
        <v>399</v>
      </c>
      <c r="D74" s="25" t="s">
        <v>92</v>
      </c>
      <c r="E74" s="26">
        <v>1082000</v>
      </c>
      <c r="F74" s="27">
        <v>1151.8599999999999</v>
      </c>
      <c r="G74" s="28">
        <v>1.3100000000000001E-2</v>
      </c>
      <c r="H74" s="29">
        <v>7.4799000000000004E-2</v>
      </c>
      <c r="L74" s="3"/>
    </row>
    <row r="75" spans="2:16" ht="15.75" customHeight="1" x14ac:dyDescent="0.25">
      <c r="B75" s="25" t="s">
        <v>400</v>
      </c>
      <c r="C75" s="25" t="s">
        <v>401</v>
      </c>
      <c r="D75" s="25" t="s">
        <v>92</v>
      </c>
      <c r="E75" s="26">
        <v>1000000</v>
      </c>
      <c r="F75" s="27">
        <v>1047.02</v>
      </c>
      <c r="G75" s="28">
        <v>1.1900000000000001E-2</v>
      </c>
      <c r="H75" s="29">
        <v>7.1722999999999995E-2</v>
      </c>
      <c r="L75" s="5"/>
      <c r="M75" s="5"/>
      <c r="N75" s="6"/>
      <c r="O75" s="6"/>
      <c r="P75" s="5"/>
    </row>
    <row r="76" spans="2:16" ht="15.75" customHeight="1" x14ac:dyDescent="0.25">
      <c r="B76" s="24" t="s">
        <v>102</v>
      </c>
      <c r="C76" s="24"/>
      <c r="D76" s="24"/>
      <c r="E76" s="30"/>
      <c r="F76" s="31">
        <v>20527.919999999998</v>
      </c>
      <c r="G76" s="32">
        <v>0.2329</v>
      </c>
      <c r="H76" s="33"/>
    </row>
    <row r="77" spans="2:16" ht="15.75" customHeight="1" x14ac:dyDescent="0.25">
      <c r="B77" s="25"/>
      <c r="C77" s="25"/>
      <c r="D77" s="25"/>
      <c r="E77" s="26"/>
      <c r="F77" s="27"/>
      <c r="G77" s="28"/>
      <c r="H77" s="29"/>
    </row>
    <row r="78" spans="2:16" ht="15.75" customHeight="1" x14ac:dyDescent="0.25">
      <c r="B78" s="24" t="s">
        <v>103</v>
      </c>
      <c r="C78" s="25"/>
      <c r="D78" s="25"/>
      <c r="E78" s="26"/>
      <c r="F78" s="27"/>
      <c r="G78" s="28"/>
      <c r="H78" s="29"/>
      <c r="L78" s="7"/>
      <c r="M78" s="7"/>
      <c r="N78" s="7"/>
      <c r="O78" s="7"/>
      <c r="P78" s="7"/>
    </row>
    <row r="79" spans="2:16" ht="15.75" customHeight="1" x14ac:dyDescent="0.25">
      <c r="B79" s="24" t="s">
        <v>102</v>
      </c>
      <c r="C79" s="25"/>
      <c r="D79" s="25"/>
      <c r="E79" s="26"/>
      <c r="F79" s="34" t="s">
        <v>104</v>
      </c>
      <c r="G79" s="35" t="s">
        <v>104</v>
      </c>
      <c r="H79" s="29"/>
      <c r="L79" s="7"/>
      <c r="M79" s="7"/>
      <c r="N79" s="7"/>
      <c r="O79" s="7"/>
      <c r="P79" s="7"/>
    </row>
    <row r="80" spans="2:16" ht="15.75" customHeight="1" x14ac:dyDescent="0.25">
      <c r="B80" s="25"/>
      <c r="C80" s="25"/>
      <c r="D80" s="25"/>
      <c r="E80" s="26"/>
      <c r="F80" s="27"/>
      <c r="G80" s="28"/>
      <c r="H80" s="29"/>
      <c r="L80" s="7"/>
      <c r="M80" s="7"/>
      <c r="N80" s="7"/>
      <c r="O80" s="7"/>
      <c r="P80" s="7"/>
    </row>
    <row r="81" spans="2:16" ht="15.75" customHeight="1" x14ac:dyDescent="0.25">
      <c r="B81" s="24" t="s">
        <v>105</v>
      </c>
      <c r="C81" s="25"/>
      <c r="D81" s="25"/>
      <c r="E81" s="26"/>
      <c r="F81" s="27"/>
      <c r="G81" s="28"/>
      <c r="H81" s="29"/>
      <c r="L81" s="7"/>
      <c r="M81" s="7"/>
      <c r="N81" s="7"/>
      <c r="O81" s="7"/>
      <c r="P81" s="7"/>
    </row>
    <row r="82" spans="2:16" ht="15.75" customHeight="1" x14ac:dyDescent="0.25">
      <c r="B82" s="24" t="s">
        <v>102</v>
      </c>
      <c r="C82" s="25"/>
      <c r="D82" s="25"/>
      <c r="E82" s="26"/>
      <c r="F82" s="34" t="s">
        <v>104</v>
      </c>
      <c r="G82" s="35" t="s">
        <v>104</v>
      </c>
      <c r="H82" s="29"/>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36" t="s">
        <v>106</v>
      </c>
      <c r="C84" s="36"/>
      <c r="D84" s="36"/>
      <c r="E84" s="37"/>
      <c r="F84" s="31">
        <v>20527.919999999998</v>
      </c>
      <c r="G84" s="32">
        <v>0.2329</v>
      </c>
      <c r="H84" s="33"/>
      <c r="L84" s="7"/>
      <c r="M84" s="7"/>
      <c r="N84" s="7"/>
      <c r="O84" s="7"/>
      <c r="P84" s="7"/>
    </row>
    <row r="85" spans="2:16" ht="15.75" customHeight="1" x14ac:dyDescent="0.25">
      <c r="B85" s="25"/>
      <c r="C85" s="25"/>
      <c r="D85" s="25"/>
      <c r="E85" s="26"/>
      <c r="F85" s="27"/>
      <c r="G85" s="28"/>
      <c r="H85" s="29"/>
    </row>
    <row r="86" spans="2:16" ht="15.75" customHeight="1" x14ac:dyDescent="0.25">
      <c r="B86" s="25"/>
      <c r="C86" s="25"/>
      <c r="D86" s="25"/>
      <c r="E86" s="26"/>
      <c r="F86" s="27"/>
      <c r="G86" s="28"/>
      <c r="H86" s="29"/>
      <c r="L86" s="3"/>
    </row>
    <row r="87" spans="2:16" ht="15.75" customHeight="1" x14ac:dyDescent="0.25">
      <c r="B87" s="24" t="s">
        <v>109</v>
      </c>
      <c r="C87" s="25"/>
      <c r="D87" s="25"/>
      <c r="E87" s="26"/>
      <c r="F87" s="27"/>
      <c r="G87" s="28"/>
      <c r="H87" s="29"/>
    </row>
    <row r="88" spans="2:16" ht="15.75" customHeight="1" x14ac:dyDescent="0.25">
      <c r="B88" s="25" t="s">
        <v>110</v>
      </c>
      <c r="C88" s="25"/>
      <c r="D88" s="25"/>
      <c r="E88" s="26"/>
      <c r="F88" s="27">
        <v>3327.52</v>
      </c>
      <c r="G88" s="28">
        <v>3.7699999999999997E-2</v>
      </c>
      <c r="H88" s="29"/>
    </row>
    <row r="89" spans="2:16" ht="15.75" customHeight="1" x14ac:dyDescent="0.25">
      <c r="B89" s="24" t="s">
        <v>102</v>
      </c>
      <c r="C89" s="24"/>
      <c r="D89" s="24"/>
      <c r="E89" s="30"/>
      <c r="F89" s="31">
        <v>3327.52</v>
      </c>
      <c r="G89" s="32">
        <v>3.7699999999999997E-2</v>
      </c>
      <c r="H89" s="33"/>
    </row>
    <row r="90" spans="2:16" ht="15.75" customHeight="1" x14ac:dyDescent="0.25">
      <c r="B90" s="25"/>
      <c r="C90" s="25"/>
      <c r="D90" s="25"/>
      <c r="E90" s="26"/>
      <c r="F90" s="27"/>
      <c r="G90" s="28"/>
      <c r="H90" s="29"/>
    </row>
    <row r="91" spans="2:16" ht="15.75" customHeight="1" x14ac:dyDescent="0.25">
      <c r="B91" s="36" t="s">
        <v>106</v>
      </c>
      <c r="C91" s="36"/>
      <c r="D91" s="36"/>
      <c r="E91" s="37"/>
      <c r="F91" s="31">
        <v>3327.52</v>
      </c>
      <c r="G91" s="32">
        <v>3.7699999999999997E-2</v>
      </c>
      <c r="H91" s="33"/>
    </row>
    <row r="92" spans="2:16" ht="15.75" customHeight="1" x14ac:dyDescent="0.25">
      <c r="B92" s="25" t="s">
        <v>111</v>
      </c>
      <c r="C92" s="25"/>
      <c r="D92" s="25"/>
      <c r="E92" s="26"/>
      <c r="F92" s="27">
        <v>1287.1500000000001</v>
      </c>
      <c r="G92" s="28">
        <v>1.4600000000000057E-2</v>
      </c>
      <c r="H92" s="29"/>
    </row>
    <row r="93" spans="2:16" ht="15.75" customHeight="1" x14ac:dyDescent="0.25">
      <c r="B93" s="40" t="s">
        <v>112</v>
      </c>
      <c r="C93" s="40"/>
      <c r="D93" s="40"/>
      <c r="E93" s="41"/>
      <c r="F93" s="42">
        <v>88151.17</v>
      </c>
      <c r="G93" s="43">
        <v>1</v>
      </c>
      <c r="H93" s="44"/>
    </row>
    <row r="94" spans="2:16" ht="15.75" customHeight="1" x14ac:dyDescent="0.25">
      <c r="B94" s="2"/>
    </row>
    <row r="95" spans="2:16" ht="15.75" customHeight="1" x14ac:dyDescent="0.25">
      <c r="B95" s="12" t="s">
        <v>124</v>
      </c>
    </row>
    <row r="96" spans="2:16" ht="15.75" customHeight="1" x14ac:dyDescent="0.25">
      <c r="B96" s="12" t="s">
        <v>113</v>
      </c>
    </row>
    <row r="97" spans="2:5" ht="15.75" customHeight="1" x14ac:dyDescent="0.25">
      <c r="B97" s="53"/>
    </row>
    <row r="98" spans="2:5" ht="15.75" customHeight="1" x14ac:dyDescent="0.25">
      <c r="B98" s="9" t="s">
        <v>402</v>
      </c>
    </row>
    <row r="99" spans="2:5" ht="15.75" customHeight="1" x14ac:dyDescent="0.25">
      <c r="B99" s="9" t="s">
        <v>403</v>
      </c>
    </row>
    <row r="100" spans="2:5" ht="15.75" customHeight="1" x14ac:dyDescent="0.25">
      <c r="B100" s="13" t="s">
        <v>330</v>
      </c>
      <c r="C100" s="50" t="s">
        <v>2</v>
      </c>
      <c r="D100" s="51" t="s">
        <v>3</v>
      </c>
      <c r="E100" s="52" t="s">
        <v>331</v>
      </c>
    </row>
    <row r="101" spans="2:5" ht="15.75" customHeight="1" x14ac:dyDescent="0.25">
      <c r="B101" s="46" t="s">
        <v>130</v>
      </c>
      <c r="C101" s="47">
        <v>-102000</v>
      </c>
      <c r="D101" s="48">
        <v>-1604.46</v>
      </c>
      <c r="E101" s="49">
        <v>-1.8200000000000001E-2</v>
      </c>
    </row>
    <row r="102" spans="2:5" ht="15.75" customHeight="1" x14ac:dyDescent="0.25">
      <c r="B102" s="46" t="s">
        <v>210</v>
      </c>
      <c r="C102" s="47">
        <v>-208000</v>
      </c>
      <c r="D102" s="48">
        <v>-889.93</v>
      </c>
      <c r="E102" s="49">
        <v>-1.01E-2</v>
      </c>
    </row>
    <row r="103" spans="2:5" ht="15.75" customHeight="1" x14ac:dyDescent="0.25">
      <c r="B103" s="46" t="s">
        <v>133</v>
      </c>
      <c r="C103" s="47">
        <v>-156800</v>
      </c>
      <c r="D103" s="48">
        <v>-4492.95</v>
      </c>
      <c r="E103" s="49">
        <v>-5.0999999999999997E-2</v>
      </c>
    </row>
    <row r="104" spans="2:5" ht="15.75" customHeight="1" x14ac:dyDescent="0.25">
      <c r="B104" s="46" t="s">
        <v>354</v>
      </c>
      <c r="C104" s="47">
        <v>-4250</v>
      </c>
      <c r="D104" s="48">
        <v>-514.94000000000005</v>
      </c>
      <c r="E104" s="49">
        <v>-5.7999999999999996E-3</v>
      </c>
    </row>
    <row r="105" spans="2:5" ht="15.75" customHeight="1" x14ac:dyDescent="0.25">
      <c r="B105" s="46" t="s">
        <v>338</v>
      </c>
      <c r="C105" s="47">
        <v>-195000</v>
      </c>
      <c r="D105" s="48">
        <v>-742.95</v>
      </c>
      <c r="E105" s="49">
        <v>-8.3999999999999995E-3</v>
      </c>
    </row>
    <row r="106" spans="2:5" ht="15.75" customHeight="1" x14ac:dyDescent="0.25">
      <c r="B106" s="46" t="s">
        <v>138</v>
      </c>
      <c r="C106" s="47">
        <v>-66750</v>
      </c>
      <c r="D106" s="48">
        <v>-2103.59</v>
      </c>
      <c r="E106" s="49">
        <v>-2.3900000000000001E-2</v>
      </c>
    </row>
    <row r="107" spans="2:5" ht="15.75" customHeight="1" x14ac:dyDescent="0.25">
      <c r="B107" s="46" t="s">
        <v>220</v>
      </c>
      <c r="C107" s="47">
        <v>-139500</v>
      </c>
      <c r="D107" s="48">
        <v>-1192.52</v>
      </c>
      <c r="E107" s="49">
        <v>-1.35E-2</v>
      </c>
    </row>
    <row r="108" spans="2:5" ht="15.75" customHeight="1" x14ac:dyDescent="0.25">
      <c r="B108" s="46" t="s">
        <v>363</v>
      </c>
      <c r="C108" s="47">
        <v>-6000</v>
      </c>
      <c r="D108" s="48">
        <v>-146.63999999999999</v>
      </c>
      <c r="E108" s="49">
        <v>-1.6999999999999999E-3</v>
      </c>
    </row>
    <row r="109" spans="2:5" ht="15.75" customHeight="1" x14ac:dyDescent="0.25">
      <c r="B109" s="46" t="s">
        <v>272</v>
      </c>
      <c r="C109" s="47">
        <v>-34300</v>
      </c>
      <c r="D109" s="48">
        <v>-1345.18</v>
      </c>
      <c r="E109" s="49">
        <v>-1.5299999999999999E-2</v>
      </c>
    </row>
    <row r="110" spans="2:5" ht="15.75" customHeight="1" x14ac:dyDescent="0.25">
      <c r="B110" s="46" t="s">
        <v>208</v>
      </c>
      <c r="C110" s="47">
        <v>-19200</v>
      </c>
      <c r="D110" s="48">
        <v>-276.39999999999998</v>
      </c>
      <c r="E110" s="49">
        <v>-3.0999999999999999E-3</v>
      </c>
    </row>
    <row r="111" spans="2:5" ht="15.75" customHeight="1" x14ac:dyDescent="0.25">
      <c r="B111" s="46" t="s">
        <v>188</v>
      </c>
      <c r="C111" s="47">
        <v>-143750</v>
      </c>
      <c r="D111" s="48">
        <v>-1829</v>
      </c>
      <c r="E111" s="49">
        <v>-2.07E-2</v>
      </c>
    </row>
    <row r="112" spans="2:5" ht="15.75" customHeight="1" x14ac:dyDescent="0.25">
      <c r="B112" s="46" t="s">
        <v>225</v>
      </c>
      <c r="C112" s="47">
        <v>-6875</v>
      </c>
      <c r="D112" s="48">
        <v>-492.51</v>
      </c>
      <c r="E112" s="49">
        <v>-5.5999999999999999E-3</v>
      </c>
    </row>
    <row r="113" spans="2:8" ht="15.75" customHeight="1" x14ac:dyDescent="0.25">
      <c r="B113" s="46" t="s">
        <v>164</v>
      </c>
      <c r="C113" s="47">
        <v>-228000</v>
      </c>
      <c r="D113" s="48">
        <v>-702.81</v>
      </c>
      <c r="E113" s="49">
        <v>-8.0000000000000002E-3</v>
      </c>
    </row>
    <row r="114" spans="2:8" ht="15.75" customHeight="1" x14ac:dyDescent="0.25">
      <c r="B114" s="46" t="s">
        <v>347</v>
      </c>
      <c r="C114" s="47">
        <v>-18200</v>
      </c>
      <c r="D114" s="48">
        <v>-264.26</v>
      </c>
      <c r="E114" s="49">
        <v>-3.0000000000000001E-3</v>
      </c>
    </row>
    <row r="115" spans="2:8" ht="15.75" customHeight="1" x14ac:dyDescent="0.25">
      <c r="B115" s="46" t="s">
        <v>136</v>
      </c>
      <c r="C115" s="47">
        <v>-28050</v>
      </c>
      <c r="D115" s="48">
        <v>-475.34</v>
      </c>
      <c r="E115" s="49">
        <v>-5.4000000000000003E-3</v>
      </c>
    </row>
    <row r="116" spans="2:8" ht="15.75" customHeight="1" x14ac:dyDescent="0.25">
      <c r="B116" s="46" t="s">
        <v>312</v>
      </c>
      <c r="C116" s="47">
        <v>-42000</v>
      </c>
      <c r="D116" s="48">
        <v>-292.43</v>
      </c>
      <c r="E116" s="49">
        <v>-3.3E-3</v>
      </c>
    </row>
    <row r="117" spans="2:8" ht="15.75" customHeight="1" x14ac:dyDescent="0.25">
      <c r="B117" s="46" t="s">
        <v>141</v>
      </c>
      <c r="C117" s="47">
        <v>-12300</v>
      </c>
      <c r="D117" s="48">
        <v>-305.81</v>
      </c>
      <c r="E117" s="49">
        <v>-3.5000000000000001E-3</v>
      </c>
    </row>
    <row r="118" spans="2:8" ht="15.75" customHeight="1" x14ac:dyDescent="0.25">
      <c r="B118" s="46" t="s">
        <v>127</v>
      </c>
      <c r="C118" s="47">
        <v>-240100</v>
      </c>
      <c r="D118" s="48">
        <v>-2897.17</v>
      </c>
      <c r="E118" s="49">
        <v>-3.2899999999999999E-2</v>
      </c>
    </row>
    <row r="119" spans="2:8" ht="15.75" customHeight="1" x14ac:dyDescent="0.25">
      <c r="B119" s="13" t="s">
        <v>332</v>
      </c>
      <c r="C119" s="50">
        <v>-1651075</v>
      </c>
      <c r="D119" s="51">
        <v>-20568.89</v>
      </c>
      <c r="E119" s="52">
        <v>-0.2334</v>
      </c>
    </row>
    <row r="120" spans="2:8" ht="15.75" customHeight="1" thickBot="1" x14ac:dyDescent="0.3"/>
    <row r="121" spans="2:8" ht="27" customHeight="1" thickBot="1" x14ac:dyDescent="0.3">
      <c r="B121" s="56" t="s">
        <v>964</v>
      </c>
      <c r="C121" s="57" t="s">
        <v>965</v>
      </c>
      <c r="D121" s="57" t="s">
        <v>966</v>
      </c>
      <c r="E121" s="62" t="s">
        <v>967</v>
      </c>
      <c r="G121" s="2"/>
      <c r="H121" s="2"/>
    </row>
    <row r="122" spans="2:8" ht="29.25" customHeight="1" x14ac:dyDescent="0.25">
      <c r="B122" s="69" t="s">
        <v>34</v>
      </c>
      <c r="C122" s="81"/>
      <c r="D122" s="84" t="s">
        <v>979</v>
      </c>
      <c r="E122" s="86"/>
      <c r="G122" s="2"/>
      <c r="H122" s="2"/>
    </row>
    <row r="123" spans="2:8" ht="26.25" customHeight="1" x14ac:dyDescent="0.25">
      <c r="B123" s="65" t="s">
        <v>980</v>
      </c>
      <c r="C123" s="82"/>
      <c r="D123" s="85"/>
      <c r="E123" s="82"/>
      <c r="G123" s="2"/>
      <c r="H123" s="2"/>
    </row>
    <row r="124" spans="2:8" ht="51" customHeight="1" x14ac:dyDescent="0.25">
      <c r="B124" s="65" t="s">
        <v>981</v>
      </c>
      <c r="C124" s="82"/>
      <c r="D124" s="85"/>
      <c r="E124" s="82"/>
      <c r="G124" s="2"/>
      <c r="H124" s="2"/>
    </row>
    <row r="125" spans="2:8" ht="23.25" customHeight="1" thickBot="1" x14ac:dyDescent="0.3">
      <c r="B125" s="67" t="s">
        <v>1057</v>
      </c>
      <c r="C125" s="83"/>
      <c r="D125" s="70" t="s">
        <v>983</v>
      </c>
      <c r="E125" s="87"/>
      <c r="G125" s="2"/>
      <c r="H125" s="2"/>
    </row>
    <row r="126" spans="2:8" ht="25" customHeight="1" x14ac:dyDescent="0.25">
      <c r="B126" s="58" t="s">
        <v>969</v>
      </c>
      <c r="C126" s="59"/>
      <c r="D126" s="60"/>
      <c r="E126" s="61"/>
      <c r="G126" s="2"/>
      <c r="H126" s="2"/>
    </row>
    <row r="128" spans="2:8" ht="11.5" x14ac:dyDescent="0.25">
      <c r="B128" s="2" t="s">
        <v>970</v>
      </c>
      <c r="C128" s="2"/>
      <c r="D128" s="2"/>
      <c r="G128" s="2"/>
      <c r="H128" s="2"/>
    </row>
    <row r="129" spans="2:8" ht="11.5" x14ac:dyDescent="0.25">
      <c r="B129" s="3" t="s">
        <v>971</v>
      </c>
      <c r="C129" s="2"/>
      <c r="D129" s="2"/>
      <c r="G129" s="2"/>
      <c r="H129" s="2"/>
    </row>
  </sheetData>
  <mergeCells count="3">
    <mergeCell ref="C122:C125"/>
    <mergeCell ref="D122:D124"/>
    <mergeCell ref="E122:E125"/>
  </mergeCells>
  <hyperlinks>
    <hyperlink ref="I1" location="'Sheet1'!A1" display="Index" xr:uid="{B4FD72D0-3F93-4C0A-9154-224656B6332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54A3F-E3DE-4EB1-A5D2-86145C1DB2D7}">
  <dimension ref="B1:P114"/>
  <sheetViews>
    <sheetView workbookViewId="0"/>
  </sheetViews>
  <sheetFormatPr defaultColWidth="9.1796875" defaultRowHeight="15.75" customHeight="1" x14ac:dyDescent="0.25"/>
  <cols>
    <col min="1" max="1" width="3.6328125" style="2" customWidth="1"/>
    <col min="2" max="2" width="50.453125" style="9" customWidth="1"/>
    <col min="3" max="3" width="28.6328125" style="9" customWidth="1"/>
    <col min="4" max="4" width="26.6328125" style="9" customWidth="1"/>
    <col min="5" max="5" width="26.81640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11</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174356</v>
      </c>
      <c r="F7" s="27">
        <v>2935.81</v>
      </c>
      <c r="G7" s="28">
        <v>5.3999999999999999E-2</v>
      </c>
      <c r="H7" s="29"/>
    </row>
    <row r="8" spans="2:9" ht="15.75" customHeight="1" x14ac:dyDescent="0.25">
      <c r="B8" s="25" t="s">
        <v>127</v>
      </c>
      <c r="C8" s="25" t="s">
        <v>128</v>
      </c>
      <c r="D8" s="25" t="s">
        <v>129</v>
      </c>
      <c r="E8" s="26">
        <v>200567</v>
      </c>
      <c r="F8" s="27">
        <v>2406</v>
      </c>
      <c r="G8" s="28">
        <v>4.4299999999999999E-2</v>
      </c>
      <c r="H8" s="29"/>
    </row>
    <row r="9" spans="2:9" ht="15.75" customHeight="1" x14ac:dyDescent="0.25">
      <c r="B9" s="25" t="s">
        <v>138</v>
      </c>
      <c r="C9" s="25" t="s">
        <v>139</v>
      </c>
      <c r="D9" s="25" t="s">
        <v>140</v>
      </c>
      <c r="E9" s="26">
        <v>70159</v>
      </c>
      <c r="F9" s="27">
        <v>2196.54</v>
      </c>
      <c r="G9" s="28">
        <v>4.0399999999999998E-2</v>
      </c>
      <c r="H9" s="29"/>
    </row>
    <row r="10" spans="2:9" ht="15.75" customHeight="1" x14ac:dyDescent="0.25">
      <c r="B10" s="25" t="s">
        <v>404</v>
      </c>
      <c r="C10" s="25" t="s">
        <v>405</v>
      </c>
      <c r="D10" s="25" t="s">
        <v>254</v>
      </c>
      <c r="E10" s="26">
        <v>25364</v>
      </c>
      <c r="F10" s="27">
        <v>1389.91</v>
      </c>
      <c r="G10" s="28">
        <v>2.5600000000000001E-2</v>
      </c>
      <c r="H10" s="29"/>
    </row>
    <row r="11" spans="2:9" ht="15.75" customHeight="1" x14ac:dyDescent="0.25">
      <c r="B11" s="25" t="s">
        <v>130</v>
      </c>
      <c r="C11" s="25" t="s">
        <v>131</v>
      </c>
      <c r="D11" s="25" t="s">
        <v>132</v>
      </c>
      <c r="E11" s="26">
        <v>80123</v>
      </c>
      <c r="F11" s="27">
        <v>1255.33</v>
      </c>
      <c r="G11" s="28">
        <v>2.3099999999999999E-2</v>
      </c>
      <c r="H11" s="29"/>
    </row>
    <row r="12" spans="2:9" ht="15.75" customHeight="1" x14ac:dyDescent="0.25">
      <c r="B12" s="25" t="s">
        <v>210</v>
      </c>
      <c r="C12" s="25" t="s">
        <v>211</v>
      </c>
      <c r="D12" s="25" t="s">
        <v>143</v>
      </c>
      <c r="E12" s="26">
        <v>292074</v>
      </c>
      <c r="F12" s="27">
        <v>1241.02</v>
      </c>
      <c r="G12" s="28">
        <v>2.2800000000000001E-2</v>
      </c>
      <c r="H12" s="29"/>
    </row>
    <row r="13" spans="2:9" ht="15.75" customHeight="1" x14ac:dyDescent="0.25">
      <c r="B13" s="25" t="s">
        <v>406</v>
      </c>
      <c r="C13" s="25" t="s">
        <v>407</v>
      </c>
      <c r="D13" s="25" t="s">
        <v>178</v>
      </c>
      <c r="E13" s="26">
        <v>58569</v>
      </c>
      <c r="F13" s="27">
        <v>1111.67</v>
      </c>
      <c r="G13" s="28">
        <v>2.0500000000000001E-2</v>
      </c>
      <c r="H13" s="29"/>
    </row>
    <row r="14" spans="2:9" ht="15.75" customHeight="1" x14ac:dyDescent="0.25">
      <c r="B14" s="25" t="s">
        <v>222</v>
      </c>
      <c r="C14" s="25" t="s">
        <v>223</v>
      </c>
      <c r="D14" s="25" t="s">
        <v>224</v>
      </c>
      <c r="E14" s="26">
        <v>29555</v>
      </c>
      <c r="F14" s="27">
        <v>1048.74</v>
      </c>
      <c r="G14" s="28">
        <v>1.9300000000000001E-2</v>
      </c>
      <c r="H14" s="29"/>
    </row>
    <row r="15" spans="2:9" ht="15.75" customHeight="1" x14ac:dyDescent="0.25">
      <c r="B15" s="25" t="s">
        <v>272</v>
      </c>
      <c r="C15" s="25" t="s">
        <v>273</v>
      </c>
      <c r="D15" s="25" t="s">
        <v>132</v>
      </c>
      <c r="E15" s="26">
        <v>26629</v>
      </c>
      <c r="F15" s="27">
        <v>1039.6400000000001</v>
      </c>
      <c r="G15" s="28">
        <v>1.9099999999999999E-2</v>
      </c>
      <c r="H15" s="29"/>
    </row>
    <row r="16" spans="2:9" ht="15.75" customHeight="1" x14ac:dyDescent="0.25">
      <c r="B16" s="25" t="s">
        <v>408</v>
      </c>
      <c r="C16" s="25" t="s">
        <v>409</v>
      </c>
      <c r="D16" s="25" t="s">
        <v>178</v>
      </c>
      <c r="E16" s="26">
        <v>68931</v>
      </c>
      <c r="F16" s="27">
        <v>1028.24</v>
      </c>
      <c r="G16" s="28">
        <v>1.89E-2</v>
      </c>
      <c r="H16" s="29"/>
    </row>
    <row r="17" spans="2:8" ht="15.75" customHeight="1" x14ac:dyDescent="0.25">
      <c r="B17" s="25" t="s">
        <v>220</v>
      </c>
      <c r="C17" s="25" t="s">
        <v>221</v>
      </c>
      <c r="D17" s="25" t="s">
        <v>129</v>
      </c>
      <c r="E17" s="26">
        <v>106415</v>
      </c>
      <c r="F17" s="27">
        <v>903.41</v>
      </c>
      <c r="G17" s="28">
        <v>1.66E-2</v>
      </c>
      <c r="H17" s="29"/>
    </row>
    <row r="18" spans="2:8" ht="15.75" customHeight="1" x14ac:dyDescent="0.25">
      <c r="B18" s="25" t="s">
        <v>410</v>
      </c>
      <c r="C18" s="25" t="s">
        <v>411</v>
      </c>
      <c r="D18" s="25" t="s">
        <v>254</v>
      </c>
      <c r="E18" s="26">
        <v>444250</v>
      </c>
      <c r="F18" s="27">
        <v>890.99</v>
      </c>
      <c r="G18" s="28">
        <v>1.6400000000000001E-2</v>
      </c>
      <c r="H18" s="29"/>
    </row>
    <row r="19" spans="2:8" ht="15.75" customHeight="1" x14ac:dyDescent="0.25">
      <c r="B19" s="25" t="s">
        <v>188</v>
      </c>
      <c r="C19" s="25" t="s">
        <v>189</v>
      </c>
      <c r="D19" s="25" t="s">
        <v>129</v>
      </c>
      <c r="E19" s="26">
        <v>68876</v>
      </c>
      <c r="F19" s="27">
        <v>871.45</v>
      </c>
      <c r="G19" s="28">
        <v>1.6E-2</v>
      </c>
      <c r="H19" s="29"/>
    </row>
    <row r="20" spans="2:8" ht="15.75" customHeight="1" x14ac:dyDescent="0.25">
      <c r="B20" s="25" t="s">
        <v>412</v>
      </c>
      <c r="C20" s="25" t="s">
        <v>413</v>
      </c>
      <c r="D20" s="25" t="s">
        <v>178</v>
      </c>
      <c r="E20" s="26">
        <v>11021</v>
      </c>
      <c r="F20" s="27">
        <v>849.11</v>
      </c>
      <c r="G20" s="28">
        <v>1.5599999999999999E-2</v>
      </c>
      <c r="H20" s="29"/>
    </row>
    <row r="21" spans="2:8" ht="15.75" customHeight="1" x14ac:dyDescent="0.25">
      <c r="B21" s="25" t="s">
        <v>338</v>
      </c>
      <c r="C21" s="25" t="s">
        <v>339</v>
      </c>
      <c r="D21" s="25" t="s">
        <v>202</v>
      </c>
      <c r="E21" s="26">
        <v>224003</v>
      </c>
      <c r="F21" s="27">
        <v>847.52</v>
      </c>
      <c r="G21" s="28">
        <v>1.5599999999999999E-2</v>
      </c>
      <c r="H21" s="29"/>
    </row>
    <row r="22" spans="2:8" ht="15.75" customHeight="1" x14ac:dyDescent="0.25">
      <c r="B22" s="25" t="s">
        <v>414</v>
      </c>
      <c r="C22" s="25" t="s">
        <v>415</v>
      </c>
      <c r="D22" s="25" t="s">
        <v>169</v>
      </c>
      <c r="E22" s="26">
        <v>517297</v>
      </c>
      <c r="F22" s="27">
        <v>813.4</v>
      </c>
      <c r="G22" s="28">
        <v>1.4999999999999999E-2</v>
      </c>
      <c r="H22" s="29"/>
    </row>
    <row r="23" spans="2:8" ht="15.75" customHeight="1" x14ac:dyDescent="0.25">
      <c r="B23" s="25" t="s">
        <v>416</v>
      </c>
      <c r="C23" s="25" t="s">
        <v>417</v>
      </c>
      <c r="D23" s="25" t="s">
        <v>251</v>
      </c>
      <c r="E23" s="26">
        <v>423986</v>
      </c>
      <c r="F23" s="27">
        <v>806.89</v>
      </c>
      <c r="G23" s="28">
        <v>1.49E-2</v>
      </c>
      <c r="H23" s="29"/>
    </row>
    <row r="24" spans="2:8" ht="15.75" customHeight="1" x14ac:dyDescent="0.25">
      <c r="B24" s="25" t="s">
        <v>356</v>
      </c>
      <c r="C24" s="25" t="s">
        <v>357</v>
      </c>
      <c r="D24" s="25" t="s">
        <v>169</v>
      </c>
      <c r="E24" s="26">
        <v>37221</v>
      </c>
      <c r="F24" s="27">
        <v>792.51</v>
      </c>
      <c r="G24" s="28">
        <v>1.46E-2</v>
      </c>
      <c r="H24" s="29"/>
    </row>
    <row r="25" spans="2:8" ht="15.75" customHeight="1" x14ac:dyDescent="0.25">
      <c r="B25" s="25" t="s">
        <v>369</v>
      </c>
      <c r="C25" s="25" t="s">
        <v>370</v>
      </c>
      <c r="D25" s="25" t="s">
        <v>337</v>
      </c>
      <c r="E25" s="26">
        <v>50605</v>
      </c>
      <c r="F25" s="27">
        <v>787.06</v>
      </c>
      <c r="G25" s="28">
        <v>1.4500000000000001E-2</v>
      </c>
      <c r="H25" s="29"/>
    </row>
    <row r="26" spans="2:8" ht="15.75" customHeight="1" x14ac:dyDescent="0.25">
      <c r="B26" s="25" t="s">
        <v>354</v>
      </c>
      <c r="C26" s="25" t="s">
        <v>355</v>
      </c>
      <c r="D26" s="25" t="s">
        <v>135</v>
      </c>
      <c r="E26" s="26">
        <v>6210</v>
      </c>
      <c r="F26" s="27">
        <v>747.3</v>
      </c>
      <c r="G26" s="28">
        <v>1.38E-2</v>
      </c>
      <c r="H26" s="29"/>
    </row>
    <row r="27" spans="2:8" ht="15.75" customHeight="1" x14ac:dyDescent="0.25">
      <c r="B27" s="25" t="s">
        <v>270</v>
      </c>
      <c r="C27" s="25" t="s">
        <v>271</v>
      </c>
      <c r="D27" s="25" t="s">
        <v>194</v>
      </c>
      <c r="E27" s="26">
        <v>21678</v>
      </c>
      <c r="F27" s="27">
        <v>737.96</v>
      </c>
      <c r="G27" s="28">
        <v>1.3599999999999999E-2</v>
      </c>
      <c r="H27" s="29"/>
    </row>
    <row r="28" spans="2:8" ht="15.75" customHeight="1" x14ac:dyDescent="0.25">
      <c r="B28" s="25" t="s">
        <v>141</v>
      </c>
      <c r="C28" s="25" t="s">
        <v>142</v>
      </c>
      <c r="D28" s="25" t="s">
        <v>143</v>
      </c>
      <c r="E28" s="26">
        <v>29468</v>
      </c>
      <c r="F28" s="27">
        <v>728.76</v>
      </c>
      <c r="G28" s="28">
        <v>1.34E-2</v>
      </c>
      <c r="H28" s="29"/>
    </row>
    <row r="29" spans="2:8" ht="15.75" customHeight="1" x14ac:dyDescent="0.25">
      <c r="B29" s="25" t="s">
        <v>208</v>
      </c>
      <c r="C29" s="25" t="s">
        <v>209</v>
      </c>
      <c r="D29" s="25" t="s">
        <v>132</v>
      </c>
      <c r="E29" s="26">
        <v>50774</v>
      </c>
      <c r="F29" s="27">
        <v>726.25</v>
      </c>
      <c r="G29" s="28">
        <v>1.34E-2</v>
      </c>
      <c r="H29" s="29"/>
    </row>
    <row r="30" spans="2:8" ht="15.75" customHeight="1" x14ac:dyDescent="0.25">
      <c r="B30" s="25" t="s">
        <v>418</v>
      </c>
      <c r="C30" s="25" t="s">
        <v>419</v>
      </c>
      <c r="D30" s="25" t="s">
        <v>316</v>
      </c>
      <c r="E30" s="26">
        <v>43310</v>
      </c>
      <c r="F30" s="27">
        <v>705.74</v>
      </c>
      <c r="G30" s="28">
        <v>1.2999999999999999E-2</v>
      </c>
      <c r="H30" s="29"/>
    </row>
    <row r="31" spans="2:8" ht="15.75" customHeight="1" x14ac:dyDescent="0.25">
      <c r="B31" s="25" t="s">
        <v>420</v>
      </c>
      <c r="C31" s="25" t="s">
        <v>421</v>
      </c>
      <c r="D31" s="25" t="s">
        <v>129</v>
      </c>
      <c r="E31" s="26">
        <v>724565</v>
      </c>
      <c r="F31" s="27">
        <v>703.99</v>
      </c>
      <c r="G31" s="28">
        <v>1.2999999999999999E-2</v>
      </c>
      <c r="H31" s="29"/>
    </row>
    <row r="32" spans="2:8" ht="15.75" customHeight="1" x14ac:dyDescent="0.25">
      <c r="B32" s="25" t="s">
        <v>249</v>
      </c>
      <c r="C32" s="25" t="s">
        <v>250</v>
      </c>
      <c r="D32" s="25" t="s">
        <v>251</v>
      </c>
      <c r="E32" s="26">
        <v>42132</v>
      </c>
      <c r="F32" s="27">
        <v>703.75</v>
      </c>
      <c r="G32" s="28">
        <v>1.2999999999999999E-2</v>
      </c>
      <c r="H32" s="29"/>
    </row>
    <row r="33" spans="2:8" ht="15.75" customHeight="1" x14ac:dyDescent="0.25">
      <c r="B33" s="25" t="s">
        <v>422</v>
      </c>
      <c r="C33" s="25" t="s">
        <v>423</v>
      </c>
      <c r="D33" s="25" t="s">
        <v>178</v>
      </c>
      <c r="E33" s="26">
        <v>187101</v>
      </c>
      <c r="F33" s="27">
        <v>665.14</v>
      </c>
      <c r="G33" s="28">
        <v>1.2200000000000001E-2</v>
      </c>
      <c r="H33" s="29"/>
    </row>
    <row r="34" spans="2:8" ht="15.75" customHeight="1" x14ac:dyDescent="0.25">
      <c r="B34" s="25" t="s">
        <v>144</v>
      </c>
      <c r="C34" s="25" t="s">
        <v>145</v>
      </c>
      <c r="D34" s="25" t="s">
        <v>146</v>
      </c>
      <c r="E34" s="26">
        <v>25799</v>
      </c>
      <c r="F34" s="27">
        <v>658.3</v>
      </c>
      <c r="G34" s="28">
        <v>1.21E-2</v>
      </c>
      <c r="H34" s="29"/>
    </row>
    <row r="35" spans="2:8" ht="15.75" customHeight="1" x14ac:dyDescent="0.25">
      <c r="B35" s="25" t="s">
        <v>424</v>
      </c>
      <c r="C35" s="25" t="s">
        <v>425</v>
      </c>
      <c r="D35" s="25" t="s">
        <v>337</v>
      </c>
      <c r="E35" s="26">
        <v>14876</v>
      </c>
      <c r="F35" s="27">
        <v>657.5</v>
      </c>
      <c r="G35" s="28">
        <v>1.21E-2</v>
      </c>
      <c r="H35" s="29"/>
    </row>
    <row r="36" spans="2:8" ht="15.75" customHeight="1" x14ac:dyDescent="0.25">
      <c r="B36" s="25" t="s">
        <v>237</v>
      </c>
      <c r="C36" s="25" t="s">
        <v>238</v>
      </c>
      <c r="D36" s="25" t="s">
        <v>129</v>
      </c>
      <c r="E36" s="26">
        <v>795452</v>
      </c>
      <c r="F36" s="27">
        <v>653.54</v>
      </c>
      <c r="G36" s="28">
        <v>1.2E-2</v>
      </c>
      <c r="H36" s="29"/>
    </row>
    <row r="37" spans="2:8" ht="15.75" customHeight="1" x14ac:dyDescent="0.25">
      <c r="B37" s="25" t="s">
        <v>426</v>
      </c>
      <c r="C37" s="25" t="s">
        <v>427</v>
      </c>
      <c r="D37" s="25" t="s">
        <v>428</v>
      </c>
      <c r="E37" s="26">
        <v>45194</v>
      </c>
      <c r="F37" s="27">
        <v>652.62</v>
      </c>
      <c r="G37" s="28">
        <v>1.2E-2</v>
      </c>
      <c r="H37" s="29"/>
    </row>
    <row r="38" spans="2:8" ht="15.75" customHeight="1" x14ac:dyDescent="0.25">
      <c r="B38" s="25" t="s">
        <v>342</v>
      </c>
      <c r="C38" s="25" t="s">
        <v>343</v>
      </c>
      <c r="D38" s="25" t="s">
        <v>135</v>
      </c>
      <c r="E38" s="26">
        <v>11523</v>
      </c>
      <c r="F38" s="27">
        <v>642.94000000000005</v>
      </c>
      <c r="G38" s="28">
        <v>1.18E-2</v>
      </c>
      <c r="H38" s="29"/>
    </row>
    <row r="39" spans="2:8" ht="15.75" customHeight="1" x14ac:dyDescent="0.25">
      <c r="B39" s="25" t="s">
        <v>371</v>
      </c>
      <c r="C39" s="25" t="s">
        <v>372</v>
      </c>
      <c r="D39" s="25" t="s">
        <v>135</v>
      </c>
      <c r="E39" s="26">
        <v>24686</v>
      </c>
      <c r="F39" s="27">
        <v>583.79</v>
      </c>
      <c r="G39" s="28">
        <v>1.0699999999999999E-2</v>
      </c>
      <c r="H39" s="29"/>
    </row>
    <row r="40" spans="2:8" ht="15.75" customHeight="1" x14ac:dyDescent="0.25">
      <c r="B40" s="25" t="s">
        <v>429</v>
      </c>
      <c r="C40" s="25" t="s">
        <v>430</v>
      </c>
      <c r="D40" s="25" t="s">
        <v>251</v>
      </c>
      <c r="E40" s="26">
        <v>10380</v>
      </c>
      <c r="F40" s="27">
        <v>575.21</v>
      </c>
      <c r="G40" s="28">
        <v>1.06E-2</v>
      </c>
      <c r="H40" s="29"/>
    </row>
    <row r="41" spans="2:8" ht="15.75" customHeight="1" x14ac:dyDescent="0.25">
      <c r="B41" s="25" t="s">
        <v>365</v>
      </c>
      <c r="C41" s="25" t="s">
        <v>366</v>
      </c>
      <c r="D41" s="25" t="s">
        <v>227</v>
      </c>
      <c r="E41" s="26">
        <v>115248</v>
      </c>
      <c r="F41" s="27">
        <v>559.07000000000005</v>
      </c>
      <c r="G41" s="28">
        <v>1.03E-2</v>
      </c>
      <c r="H41" s="29"/>
    </row>
    <row r="42" spans="2:8" ht="15.75" customHeight="1" x14ac:dyDescent="0.25">
      <c r="B42" s="25" t="s">
        <v>431</v>
      </c>
      <c r="C42" s="25" t="s">
        <v>432</v>
      </c>
      <c r="D42" s="25" t="s">
        <v>146</v>
      </c>
      <c r="E42" s="26">
        <v>77805</v>
      </c>
      <c r="F42" s="27">
        <v>556.77</v>
      </c>
      <c r="G42" s="28">
        <v>1.0200000000000001E-2</v>
      </c>
      <c r="H42" s="29"/>
    </row>
    <row r="43" spans="2:8" ht="15.75" customHeight="1" x14ac:dyDescent="0.25">
      <c r="B43" s="25" t="s">
        <v>363</v>
      </c>
      <c r="C43" s="25" t="s">
        <v>364</v>
      </c>
      <c r="D43" s="25" t="s">
        <v>269</v>
      </c>
      <c r="E43" s="26">
        <v>22191</v>
      </c>
      <c r="F43" s="27">
        <v>540.58000000000004</v>
      </c>
      <c r="G43" s="28">
        <v>9.9000000000000008E-3</v>
      </c>
      <c r="H43" s="29"/>
    </row>
    <row r="44" spans="2:8" ht="15.75" customHeight="1" x14ac:dyDescent="0.25">
      <c r="B44" s="25" t="s">
        <v>433</v>
      </c>
      <c r="C44" s="25" t="s">
        <v>434</v>
      </c>
      <c r="D44" s="25" t="s">
        <v>219</v>
      </c>
      <c r="E44" s="26">
        <v>35418</v>
      </c>
      <c r="F44" s="27">
        <v>532.53</v>
      </c>
      <c r="G44" s="28">
        <v>9.7999999999999997E-3</v>
      </c>
      <c r="H44" s="29"/>
    </row>
    <row r="45" spans="2:8" ht="15.75" customHeight="1" x14ac:dyDescent="0.25">
      <c r="B45" s="25" t="s">
        <v>435</v>
      </c>
      <c r="C45" s="25" t="s">
        <v>436</v>
      </c>
      <c r="D45" s="25" t="s">
        <v>437</v>
      </c>
      <c r="E45" s="26">
        <v>101016</v>
      </c>
      <c r="F45" s="27">
        <v>528.57000000000005</v>
      </c>
      <c r="G45" s="28">
        <v>9.7000000000000003E-3</v>
      </c>
      <c r="H45" s="29"/>
    </row>
    <row r="46" spans="2:8" ht="15.75" customHeight="1" x14ac:dyDescent="0.25">
      <c r="B46" s="25" t="s">
        <v>192</v>
      </c>
      <c r="C46" s="25" t="s">
        <v>193</v>
      </c>
      <c r="D46" s="25" t="s">
        <v>194</v>
      </c>
      <c r="E46" s="26">
        <v>28496</v>
      </c>
      <c r="F46" s="27">
        <v>519.30999999999995</v>
      </c>
      <c r="G46" s="28">
        <v>9.5999999999999992E-3</v>
      </c>
      <c r="H46" s="29"/>
    </row>
    <row r="47" spans="2:8" ht="15.75" customHeight="1" x14ac:dyDescent="0.25">
      <c r="B47" s="25" t="s">
        <v>438</v>
      </c>
      <c r="C47" s="25" t="s">
        <v>439</v>
      </c>
      <c r="D47" s="25" t="s">
        <v>132</v>
      </c>
      <c r="E47" s="26">
        <v>97058</v>
      </c>
      <c r="F47" s="27">
        <v>486.55</v>
      </c>
      <c r="G47" s="28">
        <v>8.9999999999999993E-3</v>
      </c>
      <c r="H47" s="29"/>
    </row>
    <row r="48" spans="2:8" ht="15.75" customHeight="1" x14ac:dyDescent="0.25">
      <c r="B48" s="25" t="s">
        <v>440</v>
      </c>
      <c r="C48" s="25" t="s">
        <v>441</v>
      </c>
      <c r="D48" s="25" t="s">
        <v>346</v>
      </c>
      <c r="E48" s="26">
        <v>149519</v>
      </c>
      <c r="F48" s="27">
        <v>483.65</v>
      </c>
      <c r="G48" s="28">
        <v>8.8999999999999999E-3</v>
      </c>
      <c r="H48" s="29"/>
    </row>
    <row r="49" spans="2:8" ht="15.75" customHeight="1" x14ac:dyDescent="0.25">
      <c r="B49" s="25" t="s">
        <v>442</v>
      </c>
      <c r="C49" s="25" t="s">
        <v>443</v>
      </c>
      <c r="D49" s="25" t="s">
        <v>227</v>
      </c>
      <c r="E49" s="26">
        <v>54757</v>
      </c>
      <c r="F49" s="27">
        <v>434.36</v>
      </c>
      <c r="G49" s="28">
        <v>8.0000000000000002E-3</v>
      </c>
      <c r="H49" s="29"/>
    </row>
    <row r="50" spans="2:8" ht="15.75" customHeight="1" x14ac:dyDescent="0.25">
      <c r="B50" s="25" t="s">
        <v>444</v>
      </c>
      <c r="C50" s="25" t="s">
        <v>445</v>
      </c>
      <c r="D50" s="25" t="s">
        <v>232</v>
      </c>
      <c r="E50" s="26">
        <v>47107</v>
      </c>
      <c r="F50" s="27">
        <v>425.87</v>
      </c>
      <c r="G50" s="28">
        <v>7.7999999999999996E-3</v>
      </c>
      <c r="H50" s="29"/>
    </row>
    <row r="51" spans="2:8" ht="15.75" customHeight="1" x14ac:dyDescent="0.25">
      <c r="B51" s="25" t="s">
        <v>379</v>
      </c>
      <c r="C51" s="25" t="s">
        <v>380</v>
      </c>
      <c r="D51" s="25" t="s">
        <v>129</v>
      </c>
      <c r="E51" s="26">
        <v>352538</v>
      </c>
      <c r="F51" s="27">
        <v>424.84</v>
      </c>
      <c r="G51" s="28">
        <v>7.7999999999999996E-3</v>
      </c>
      <c r="H51" s="29"/>
    </row>
    <row r="52" spans="2:8" ht="15.75" customHeight="1" x14ac:dyDescent="0.25">
      <c r="B52" s="25" t="s">
        <v>446</v>
      </c>
      <c r="C52" s="25" t="s">
        <v>447</v>
      </c>
      <c r="D52" s="25" t="s">
        <v>254</v>
      </c>
      <c r="E52" s="26">
        <v>78004</v>
      </c>
      <c r="F52" s="27">
        <v>402.11</v>
      </c>
      <c r="G52" s="28">
        <v>7.4000000000000003E-3</v>
      </c>
      <c r="H52" s="29"/>
    </row>
    <row r="53" spans="2:8" ht="15.75" customHeight="1" x14ac:dyDescent="0.25">
      <c r="B53" s="25" t="s">
        <v>448</v>
      </c>
      <c r="C53" s="25" t="s">
        <v>449</v>
      </c>
      <c r="D53" s="25" t="s">
        <v>169</v>
      </c>
      <c r="E53" s="26">
        <v>25658</v>
      </c>
      <c r="F53" s="27">
        <v>390.22</v>
      </c>
      <c r="G53" s="28">
        <v>7.1999999999999998E-3</v>
      </c>
      <c r="H53" s="29"/>
    </row>
    <row r="54" spans="2:8" ht="15.75" customHeight="1" x14ac:dyDescent="0.25">
      <c r="B54" s="25" t="s">
        <v>215</v>
      </c>
      <c r="C54" s="25" t="s">
        <v>216</v>
      </c>
      <c r="D54" s="25" t="s">
        <v>129</v>
      </c>
      <c r="E54" s="26">
        <v>20641</v>
      </c>
      <c r="F54" s="27">
        <v>372.05</v>
      </c>
      <c r="G54" s="28">
        <v>6.7999999999999996E-3</v>
      </c>
      <c r="H54" s="29"/>
    </row>
    <row r="55" spans="2:8" ht="15.75" customHeight="1" x14ac:dyDescent="0.25">
      <c r="B55" s="25" t="s">
        <v>450</v>
      </c>
      <c r="C55" s="25" t="s">
        <v>451</v>
      </c>
      <c r="D55" s="25" t="s">
        <v>251</v>
      </c>
      <c r="E55" s="26">
        <v>49058</v>
      </c>
      <c r="F55" s="27">
        <v>314.45999999999998</v>
      </c>
      <c r="G55" s="28">
        <v>5.7999999999999996E-3</v>
      </c>
      <c r="H55" s="29"/>
    </row>
    <row r="56" spans="2:8" ht="15.75" customHeight="1" x14ac:dyDescent="0.25">
      <c r="B56" s="25" t="s">
        <v>452</v>
      </c>
      <c r="C56" s="25" t="s">
        <v>453</v>
      </c>
      <c r="D56" s="25" t="s">
        <v>454</v>
      </c>
      <c r="E56" s="26">
        <v>42719</v>
      </c>
      <c r="F56" s="27">
        <v>308.88</v>
      </c>
      <c r="G56" s="28">
        <v>5.7000000000000002E-3</v>
      </c>
      <c r="H56" s="29"/>
    </row>
    <row r="57" spans="2:8" ht="15.75" customHeight="1" x14ac:dyDescent="0.25">
      <c r="B57" s="25" t="s">
        <v>455</v>
      </c>
      <c r="C57" s="25" t="s">
        <v>456</v>
      </c>
      <c r="D57" s="25" t="s">
        <v>337</v>
      </c>
      <c r="E57" s="26">
        <v>24955</v>
      </c>
      <c r="F57" s="27">
        <v>308.87</v>
      </c>
      <c r="G57" s="28">
        <v>5.7000000000000002E-3</v>
      </c>
      <c r="H57" s="29"/>
    </row>
    <row r="58" spans="2:8" ht="15.75" customHeight="1" x14ac:dyDescent="0.25">
      <c r="B58" s="25" t="s">
        <v>457</v>
      </c>
      <c r="C58" s="25" t="s">
        <v>458</v>
      </c>
      <c r="D58" s="25" t="s">
        <v>362</v>
      </c>
      <c r="E58" s="26">
        <v>22179</v>
      </c>
      <c r="F58" s="27">
        <v>290.17</v>
      </c>
      <c r="G58" s="28">
        <v>5.3E-3</v>
      </c>
      <c r="H58" s="29"/>
    </row>
    <row r="59" spans="2:8" ht="15.75" customHeight="1" x14ac:dyDescent="0.25">
      <c r="B59" s="25" t="s">
        <v>459</v>
      </c>
      <c r="C59" s="25" t="s">
        <v>460</v>
      </c>
      <c r="D59" s="25" t="s">
        <v>224</v>
      </c>
      <c r="E59" s="26">
        <v>84924</v>
      </c>
      <c r="F59" s="27">
        <v>268.74</v>
      </c>
      <c r="G59" s="28">
        <v>4.8999999999999998E-3</v>
      </c>
      <c r="H59" s="29"/>
    </row>
    <row r="60" spans="2:8" ht="15.75" customHeight="1" x14ac:dyDescent="0.25">
      <c r="B60" s="25" t="s">
        <v>244</v>
      </c>
      <c r="C60" s="25" t="s">
        <v>245</v>
      </c>
      <c r="D60" s="25" t="s">
        <v>246</v>
      </c>
      <c r="E60" s="26">
        <v>18613</v>
      </c>
      <c r="F60" s="27">
        <v>256.08999999999997</v>
      </c>
      <c r="G60" s="28">
        <v>4.7000000000000002E-3</v>
      </c>
      <c r="H60" s="29"/>
    </row>
    <row r="61" spans="2:8" ht="15.75" customHeight="1" x14ac:dyDescent="0.25">
      <c r="B61" s="24" t="s">
        <v>102</v>
      </c>
      <c r="C61" s="24"/>
      <c r="D61" s="24"/>
      <c r="E61" s="30"/>
      <c r="F61" s="31">
        <v>41761.72</v>
      </c>
      <c r="G61" s="32">
        <v>0.76859999999999995</v>
      </c>
      <c r="H61" s="33"/>
    </row>
    <row r="62" spans="2:8" ht="15.75" customHeight="1" x14ac:dyDescent="0.25">
      <c r="B62" s="24" t="s">
        <v>149</v>
      </c>
      <c r="C62" s="25"/>
      <c r="D62" s="25"/>
      <c r="E62" s="26"/>
      <c r="F62" s="27"/>
      <c r="G62" s="28"/>
      <c r="H62" s="29"/>
    </row>
    <row r="63" spans="2:8" ht="15.75" customHeight="1" x14ac:dyDescent="0.25">
      <c r="B63" s="24" t="s">
        <v>102</v>
      </c>
      <c r="C63" s="25"/>
      <c r="D63" s="25"/>
      <c r="E63" s="26"/>
      <c r="F63" s="34" t="s">
        <v>104</v>
      </c>
      <c r="G63" s="35" t="s">
        <v>104</v>
      </c>
      <c r="H63" s="29"/>
    </row>
    <row r="64" spans="2:8" ht="15.75" customHeight="1" x14ac:dyDescent="0.25">
      <c r="B64" s="25"/>
      <c r="C64" s="25"/>
      <c r="D64" s="25"/>
      <c r="E64" s="26"/>
      <c r="F64" s="27"/>
      <c r="G64" s="28"/>
      <c r="H64" s="29"/>
    </row>
    <row r="65" spans="2:16" ht="15.75" customHeight="1" x14ac:dyDescent="0.25">
      <c r="B65" s="36" t="s">
        <v>106</v>
      </c>
      <c r="C65" s="36"/>
      <c r="D65" s="36"/>
      <c r="E65" s="37"/>
      <c r="F65" s="31">
        <v>41761.72</v>
      </c>
      <c r="G65" s="32">
        <v>0.76859999999999995</v>
      </c>
      <c r="H65" s="33"/>
    </row>
    <row r="66" spans="2:16" ht="15.75" customHeight="1" x14ac:dyDescent="0.25">
      <c r="B66" s="25"/>
      <c r="C66" s="25"/>
      <c r="D66" s="25"/>
      <c r="E66" s="26"/>
      <c r="F66" s="27"/>
      <c r="G66" s="28"/>
      <c r="H66" s="29"/>
    </row>
    <row r="67" spans="2:16" ht="15.75" customHeight="1" x14ac:dyDescent="0.25">
      <c r="B67" s="24" t="s">
        <v>89</v>
      </c>
      <c r="C67" s="25"/>
      <c r="D67" s="25"/>
      <c r="E67" s="26"/>
      <c r="F67" s="27"/>
      <c r="G67" s="28"/>
      <c r="H67" s="29"/>
    </row>
    <row r="68" spans="2:16" ht="15.75" customHeight="1" x14ac:dyDescent="0.25">
      <c r="B68" s="24" t="s">
        <v>90</v>
      </c>
      <c r="C68" s="25"/>
      <c r="D68" s="25"/>
      <c r="E68" s="26"/>
      <c r="F68" s="27"/>
      <c r="G68" s="28"/>
      <c r="H68" s="29"/>
      <c r="L68" s="3"/>
    </row>
    <row r="69" spans="2:16" ht="15.75" customHeight="1" x14ac:dyDescent="0.25">
      <c r="B69" s="25" t="s">
        <v>93</v>
      </c>
      <c r="C69" s="25" t="s">
        <v>115</v>
      </c>
      <c r="D69" s="25" t="s">
        <v>92</v>
      </c>
      <c r="E69" s="26">
        <v>2500000</v>
      </c>
      <c r="F69" s="27">
        <v>2607.0500000000002</v>
      </c>
      <c r="G69" s="28">
        <v>4.8000000000000001E-2</v>
      </c>
      <c r="H69" s="29">
        <v>7.1669999999999998E-2</v>
      </c>
    </row>
    <row r="70" spans="2:16" ht="15.75" customHeight="1" x14ac:dyDescent="0.25">
      <c r="B70" s="25" t="s">
        <v>461</v>
      </c>
      <c r="C70" s="25" t="s">
        <v>462</v>
      </c>
      <c r="D70" s="25" t="s">
        <v>92</v>
      </c>
      <c r="E70" s="26">
        <v>1500000</v>
      </c>
      <c r="F70" s="27">
        <v>1552.04</v>
      </c>
      <c r="G70" s="28">
        <v>2.86E-2</v>
      </c>
      <c r="H70" s="29">
        <v>7.4831999999999996E-2</v>
      </c>
      <c r="L70" s="3"/>
    </row>
    <row r="71" spans="2:16" ht="15.75" customHeight="1" x14ac:dyDescent="0.25">
      <c r="B71" s="25" t="s">
        <v>93</v>
      </c>
      <c r="C71" s="25" t="s">
        <v>94</v>
      </c>
      <c r="D71" s="25" t="s">
        <v>92</v>
      </c>
      <c r="E71" s="26">
        <v>1000000</v>
      </c>
      <c r="F71" s="27">
        <v>1035.81</v>
      </c>
      <c r="G71" s="28">
        <v>1.9099999999999999E-2</v>
      </c>
      <c r="H71" s="29">
        <v>7.1748999999999993E-2</v>
      </c>
      <c r="L71" s="3"/>
    </row>
    <row r="72" spans="2:16" ht="15.75" customHeight="1" x14ac:dyDescent="0.25">
      <c r="B72" s="25" t="s">
        <v>463</v>
      </c>
      <c r="C72" s="25" t="s">
        <v>464</v>
      </c>
      <c r="D72" s="25" t="s">
        <v>92</v>
      </c>
      <c r="E72" s="26">
        <v>1000000</v>
      </c>
      <c r="F72" s="27">
        <v>1035.07</v>
      </c>
      <c r="G72" s="28">
        <v>1.9099999999999999E-2</v>
      </c>
      <c r="H72" s="29">
        <v>7.4712000000000001E-2</v>
      </c>
      <c r="L72" s="3"/>
    </row>
    <row r="73" spans="2:16" ht="15.75" customHeight="1" x14ac:dyDescent="0.25">
      <c r="B73" s="25" t="s">
        <v>465</v>
      </c>
      <c r="C73" s="25" t="s">
        <v>466</v>
      </c>
      <c r="D73" s="25" t="s">
        <v>92</v>
      </c>
      <c r="E73" s="26">
        <v>665600</v>
      </c>
      <c r="F73" s="27">
        <v>701.87</v>
      </c>
      <c r="G73" s="28">
        <v>1.29E-2</v>
      </c>
      <c r="H73" s="29">
        <v>7.4718000000000007E-2</v>
      </c>
      <c r="L73" s="3"/>
    </row>
    <row r="74" spans="2:16" ht="15.75" customHeight="1" x14ac:dyDescent="0.25">
      <c r="B74" s="25" t="s">
        <v>150</v>
      </c>
      <c r="C74" s="25" t="s">
        <v>151</v>
      </c>
      <c r="D74" s="25" t="s">
        <v>92</v>
      </c>
      <c r="E74" s="26">
        <v>650000</v>
      </c>
      <c r="F74" s="27">
        <v>658.37</v>
      </c>
      <c r="G74" s="28">
        <v>1.21E-2</v>
      </c>
      <c r="H74" s="29">
        <v>7.0982000000000003E-2</v>
      </c>
      <c r="L74" s="3"/>
    </row>
    <row r="75" spans="2:16" ht="15.75" customHeight="1" x14ac:dyDescent="0.25">
      <c r="B75" s="25" t="s">
        <v>154</v>
      </c>
      <c r="C75" s="25" t="s">
        <v>155</v>
      </c>
      <c r="D75" s="25" t="s">
        <v>92</v>
      </c>
      <c r="E75" s="26">
        <v>550000</v>
      </c>
      <c r="F75" s="27">
        <v>581.01</v>
      </c>
      <c r="G75" s="28">
        <v>1.0699999999999999E-2</v>
      </c>
      <c r="H75" s="29">
        <v>7.4279999999999999E-2</v>
      </c>
      <c r="L75" s="5"/>
      <c r="M75" s="5"/>
      <c r="N75" s="6"/>
      <c r="O75" s="6"/>
      <c r="P75" s="5"/>
    </row>
    <row r="76" spans="2:16" ht="15.75" customHeight="1" x14ac:dyDescent="0.25">
      <c r="B76" s="25" t="s">
        <v>467</v>
      </c>
      <c r="C76" s="25" t="s">
        <v>468</v>
      </c>
      <c r="D76" s="25" t="s">
        <v>92</v>
      </c>
      <c r="E76" s="26">
        <v>500000</v>
      </c>
      <c r="F76" s="27">
        <v>519.41</v>
      </c>
      <c r="G76" s="28">
        <v>9.5999999999999992E-3</v>
      </c>
      <c r="H76" s="29">
        <v>7.4857999999999994E-2</v>
      </c>
    </row>
    <row r="77" spans="2:16" ht="15.75" customHeight="1" x14ac:dyDescent="0.25">
      <c r="B77" s="25" t="s">
        <v>119</v>
      </c>
      <c r="C77" s="25" t="s">
        <v>120</v>
      </c>
      <c r="D77" s="25" t="s">
        <v>99</v>
      </c>
      <c r="E77" s="26">
        <v>50</v>
      </c>
      <c r="F77" s="27">
        <v>517.98</v>
      </c>
      <c r="G77" s="28">
        <v>9.4999999999999998E-3</v>
      </c>
      <c r="H77" s="29">
        <v>7.5988E-2</v>
      </c>
    </row>
    <row r="78" spans="2:16" ht="15.75" customHeight="1" x14ac:dyDescent="0.25">
      <c r="B78" s="25" t="s">
        <v>91</v>
      </c>
      <c r="C78" s="25" t="s">
        <v>469</v>
      </c>
      <c r="D78" s="25" t="s">
        <v>92</v>
      </c>
      <c r="E78" s="26">
        <v>500000</v>
      </c>
      <c r="F78" s="27">
        <v>517.55999999999995</v>
      </c>
      <c r="G78" s="28">
        <v>9.4999999999999998E-3</v>
      </c>
      <c r="H78" s="29">
        <v>7.4804999999999996E-2</v>
      </c>
      <c r="L78" s="7"/>
      <c r="M78" s="7"/>
      <c r="N78" s="7"/>
      <c r="O78" s="7"/>
      <c r="P78" s="7"/>
    </row>
    <row r="79" spans="2:16" ht="15.75" customHeight="1" x14ac:dyDescent="0.25">
      <c r="B79" s="25" t="s">
        <v>117</v>
      </c>
      <c r="C79" s="25" t="s">
        <v>118</v>
      </c>
      <c r="D79" s="25" t="s">
        <v>99</v>
      </c>
      <c r="E79" s="26">
        <v>50</v>
      </c>
      <c r="F79" s="27">
        <v>512.62</v>
      </c>
      <c r="G79" s="28">
        <v>9.4000000000000004E-3</v>
      </c>
      <c r="H79" s="29">
        <v>7.7499999999999999E-2</v>
      </c>
      <c r="L79" s="7"/>
      <c r="M79" s="7"/>
      <c r="N79" s="7"/>
      <c r="O79" s="7"/>
      <c r="P79" s="7"/>
    </row>
    <row r="80" spans="2:16" ht="15.75" customHeight="1" x14ac:dyDescent="0.25">
      <c r="B80" s="25" t="s">
        <v>470</v>
      </c>
      <c r="C80" s="25" t="s">
        <v>471</v>
      </c>
      <c r="D80" s="25" t="s">
        <v>99</v>
      </c>
      <c r="E80" s="26">
        <v>500</v>
      </c>
      <c r="F80" s="27">
        <v>508.98</v>
      </c>
      <c r="G80" s="28">
        <v>9.4000000000000004E-3</v>
      </c>
      <c r="H80" s="29">
        <v>7.5749999999999998E-2</v>
      </c>
      <c r="L80" s="7"/>
      <c r="M80" s="7"/>
      <c r="N80" s="7"/>
      <c r="O80" s="7"/>
      <c r="P80" s="7"/>
    </row>
    <row r="81" spans="2:16" ht="15.75" customHeight="1" x14ac:dyDescent="0.25">
      <c r="B81" s="25" t="s">
        <v>472</v>
      </c>
      <c r="C81" s="25" t="s">
        <v>473</v>
      </c>
      <c r="D81" s="25" t="s">
        <v>92</v>
      </c>
      <c r="E81" s="26">
        <v>500000</v>
      </c>
      <c r="F81" s="27">
        <v>488.65</v>
      </c>
      <c r="G81" s="28">
        <v>8.9999999999999993E-3</v>
      </c>
      <c r="H81" s="29">
        <v>7.1614999999999998E-2</v>
      </c>
      <c r="L81" s="7"/>
      <c r="M81" s="7"/>
      <c r="N81" s="7"/>
      <c r="O81" s="7"/>
      <c r="P81" s="7"/>
    </row>
    <row r="82" spans="2:16" ht="15.75" customHeight="1" x14ac:dyDescent="0.25">
      <c r="B82" s="25" t="s">
        <v>100</v>
      </c>
      <c r="C82" s="25" t="s">
        <v>156</v>
      </c>
      <c r="D82" s="25" t="s">
        <v>92</v>
      </c>
      <c r="E82" s="26">
        <v>50000</v>
      </c>
      <c r="F82" s="27">
        <v>51.9</v>
      </c>
      <c r="G82" s="28">
        <v>1E-3</v>
      </c>
      <c r="H82" s="29">
        <v>7.1867E-2</v>
      </c>
      <c r="L82" s="7"/>
      <c r="M82" s="7"/>
      <c r="N82" s="7"/>
      <c r="O82" s="7"/>
      <c r="P82" s="7"/>
    </row>
    <row r="83" spans="2:16" ht="15.75" customHeight="1" x14ac:dyDescent="0.25">
      <c r="B83" s="25" t="s">
        <v>160</v>
      </c>
      <c r="C83" s="25" t="s">
        <v>161</v>
      </c>
      <c r="D83" s="25" t="s">
        <v>99</v>
      </c>
      <c r="E83" s="26">
        <v>37500</v>
      </c>
      <c r="F83" s="27">
        <v>1.85</v>
      </c>
      <c r="G83" s="28" t="s">
        <v>474</v>
      </c>
      <c r="H83" s="29">
        <v>7.4650999999999995E-2</v>
      </c>
      <c r="L83" s="7"/>
      <c r="M83" s="7"/>
      <c r="N83" s="7"/>
      <c r="O83" s="7"/>
      <c r="P83" s="7"/>
    </row>
    <row r="84" spans="2:16" ht="15.75" customHeight="1" x14ac:dyDescent="0.25">
      <c r="B84" s="24" t="s">
        <v>102</v>
      </c>
      <c r="C84" s="24"/>
      <c r="D84" s="24"/>
      <c r="E84" s="30"/>
      <c r="F84" s="31">
        <v>11290.17</v>
      </c>
      <c r="G84" s="32">
        <v>0.2079</v>
      </c>
      <c r="H84" s="33"/>
      <c r="L84" s="7"/>
      <c r="M84" s="7"/>
      <c r="N84" s="7"/>
      <c r="O84" s="7"/>
      <c r="P84" s="7"/>
    </row>
    <row r="85" spans="2:16" ht="15.75" customHeight="1" x14ac:dyDescent="0.25">
      <c r="B85" s="25"/>
      <c r="C85" s="25"/>
      <c r="D85" s="25"/>
      <c r="E85" s="26"/>
      <c r="F85" s="27"/>
      <c r="G85" s="28"/>
      <c r="H85" s="29"/>
    </row>
    <row r="86" spans="2:16" ht="15.75" customHeight="1" x14ac:dyDescent="0.25">
      <c r="B86" s="24" t="s">
        <v>103</v>
      </c>
      <c r="C86" s="25"/>
      <c r="D86" s="25"/>
      <c r="E86" s="26"/>
      <c r="F86" s="27"/>
      <c r="G86" s="28"/>
      <c r="H86" s="29"/>
      <c r="L86" s="3"/>
    </row>
    <row r="87" spans="2:16" ht="15.75" customHeight="1" x14ac:dyDescent="0.25">
      <c r="B87" s="24" t="s">
        <v>102</v>
      </c>
      <c r="C87" s="25"/>
      <c r="D87" s="25"/>
      <c r="E87" s="26"/>
      <c r="F87" s="34" t="s">
        <v>104</v>
      </c>
      <c r="G87" s="35" t="s">
        <v>104</v>
      </c>
      <c r="H87" s="29"/>
    </row>
    <row r="88" spans="2:16" ht="15.75" customHeight="1" x14ac:dyDescent="0.25">
      <c r="B88" s="25"/>
      <c r="C88" s="25"/>
      <c r="D88" s="25"/>
      <c r="E88" s="26"/>
      <c r="F88" s="27"/>
      <c r="G88" s="28"/>
      <c r="H88" s="29"/>
    </row>
    <row r="89" spans="2:16" ht="15.75" customHeight="1" x14ac:dyDescent="0.25">
      <c r="B89" s="24" t="s">
        <v>105</v>
      </c>
      <c r="C89" s="25"/>
      <c r="D89" s="25"/>
      <c r="E89" s="26"/>
      <c r="F89" s="27"/>
      <c r="G89" s="28"/>
      <c r="H89" s="29"/>
    </row>
    <row r="90" spans="2:16" ht="15.75" customHeight="1" x14ac:dyDescent="0.25">
      <c r="B90" s="24" t="s">
        <v>102</v>
      </c>
      <c r="C90" s="25"/>
      <c r="D90" s="25"/>
      <c r="E90" s="26"/>
      <c r="F90" s="34" t="s">
        <v>104</v>
      </c>
      <c r="G90" s="35" t="s">
        <v>104</v>
      </c>
      <c r="H90" s="29"/>
    </row>
    <row r="91" spans="2:16" ht="15.75" customHeight="1" x14ac:dyDescent="0.25">
      <c r="B91" s="25"/>
      <c r="C91" s="25"/>
      <c r="D91" s="25"/>
      <c r="E91" s="26"/>
      <c r="F91" s="27"/>
      <c r="G91" s="28"/>
      <c r="H91" s="29"/>
    </row>
    <row r="92" spans="2:16" ht="15.75" customHeight="1" x14ac:dyDescent="0.25">
      <c r="B92" s="36" t="s">
        <v>106</v>
      </c>
      <c r="C92" s="36"/>
      <c r="D92" s="36"/>
      <c r="E92" s="37"/>
      <c r="F92" s="31">
        <v>11290.17</v>
      </c>
      <c r="G92" s="32">
        <v>0.20780000000000001</v>
      </c>
      <c r="H92" s="33"/>
    </row>
    <row r="93" spans="2:16" ht="15.75" customHeight="1" x14ac:dyDescent="0.25">
      <c r="B93" s="25"/>
      <c r="C93" s="25"/>
      <c r="D93" s="25"/>
      <c r="E93" s="26"/>
      <c r="F93" s="27"/>
      <c r="G93" s="28"/>
      <c r="H93" s="29"/>
    </row>
    <row r="94" spans="2:16" ht="15.75" customHeight="1" x14ac:dyDescent="0.25">
      <c r="B94" s="25"/>
      <c r="C94" s="25"/>
      <c r="D94" s="25"/>
      <c r="E94" s="26"/>
      <c r="F94" s="27"/>
      <c r="G94" s="28"/>
      <c r="H94" s="29"/>
    </row>
    <row r="95" spans="2:16" ht="15.75" customHeight="1" x14ac:dyDescent="0.25">
      <c r="B95" s="24" t="s">
        <v>109</v>
      </c>
      <c r="C95" s="25"/>
      <c r="D95" s="25"/>
      <c r="E95" s="26"/>
      <c r="F95" s="27"/>
      <c r="G95" s="28"/>
      <c r="H95" s="29"/>
    </row>
    <row r="96" spans="2:16" ht="15.75" customHeight="1" x14ac:dyDescent="0.25">
      <c r="B96" s="25" t="s">
        <v>110</v>
      </c>
      <c r="C96" s="25"/>
      <c r="D96" s="25"/>
      <c r="E96" s="26"/>
      <c r="F96" s="27">
        <v>841.41</v>
      </c>
      <c r="G96" s="28">
        <v>1.55E-2</v>
      </c>
      <c r="H96" s="29"/>
    </row>
    <row r="97" spans="2:8" ht="15.75" customHeight="1" x14ac:dyDescent="0.25">
      <c r="B97" s="24" t="s">
        <v>102</v>
      </c>
      <c r="C97" s="24"/>
      <c r="D97" s="24"/>
      <c r="E97" s="30"/>
      <c r="F97" s="31">
        <v>841.41</v>
      </c>
      <c r="G97" s="32">
        <v>1.55E-2</v>
      </c>
      <c r="H97" s="33"/>
    </row>
    <row r="98" spans="2:8" ht="15.75" customHeight="1" x14ac:dyDescent="0.25">
      <c r="B98" s="25"/>
      <c r="C98" s="25"/>
      <c r="D98" s="25"/>
      <c r="E98" s="26"/>
      <c r="F98" s="27"/>
      <c r="G98" s="28"/>
      <c r="H98" s="29"/>
    </row>
    <row r="99" spans="2:8" ht="15.75" customHeight="1" x14ac:dyDescent="0.25">
      <c r="B99" s="36" t="s">
        <v>106</v>
      </c>
      <c r="C99" s="36"/>
      <c r="D99" s="36"/>
      <c r="E99" s="37"/>
      <c r="F99" s="31">
        <v>841.41</v>
      </c>
      <c r="G99" s="32">
        <v>1.55E-2</v>
      </c>
      <c r="H99" s="33"/>
    </row>
    <row r="100" spans="2:8" ht="15.75" customHeight="1" x14ac:dyDescent="0.25">
      <c r="B100" s="25" t="s">
        <v>111</v>
      </c>
      <c r="C100" s="25"/>
      <c r="D100" s="25"/>
      <c r="E100" s="26"/>
      <c r="F100" s="27">
        <v>438.14</v>
      </c>
      <c r="G100" s="28">
        <v>8.1000000000001071E-3</v>
      </c>
      <c r="H100" s="29"/>
    </row>
    <row r="101" spans="2:8" ht="15.75" customHeight="1" x14ac:dyDescent="0.25">
      <c r="B101" s="40" t="s">
        <v>112</v>
      </c>
      <c r="C101" s="40"/>
      <c r="D101" s="40"/>
      <c r="E101" s="41"/>
      <c r="F101" s="42">
        <v>54331.44</v>
      </c>
      <c r="G101" s="43">
        <v>1</v>
      </c>
      <c r="H101" s="44"/>
    </row>
    <row r="102" spans="2:8" ht="15.75" customHeight="1" x14ac:dyDescent="0.25">
      <c r="B102" s="2"/>
    </row>
    <row r="103" spans="2:8" ht="15.75" customHeight="1" x14ac:dyDescent="0.25">
      <c r="B103" s="12" t="s">
        <v>475</v>
      </c>
    </row>
    <row r="104" spans="2:8" ht="15.75" customHeight="1" x14ac:dyDescent="0.25">
      <c r="B104" s="12" t="s">
        <v>113</v>
      </c>
    </row>
    <row r="105" spans="2:8" ht="15.75" customHeight="1" thickBot="1" x14ac:dyDescent="0.3"/>
    <row r="106" spans="2:8" ht="27" customHeight="1" thickBot="1" x14ac:dyDescent="0.3">
      <c r="B106" s="56" t="s">
        <v>964</v>
      </c>
      <c r="C106" s="57" t="s">
        <v>965</v>
      </c>
      <c r="D106" s="57" t="s">
        <v>966</v>
      </c>
      <c r="E106" s="62" t="s">
        <v>967</v>
      </c>
      <c r="G106" s="2"/>
      <c r="H106" s="2"/>
    </row>
    <row r="107" spans="2:8" ht="35.25" customHeight="1" x14ac:dyDescent="0.25">
      <c r="B107" s="63" t="s">
        <v>11</v>
      </c>
      <c r="C107" s="88"/>
      <c r="D107" s="85" t="s">
        <v>984</v>
      </c>
      <c r="E107" s="86"/>
      <c r="G107" s="2"/>
      <c r="H107" s="2"/>
    </row>
    <row r="108" spans="2:8" ht="18.75" customHeight="1" x14ac:dyDescent="0.25">
      <c r="B108" s="65" t="s">
        <v>985</v>
      </c>
      <c r="C108" s="79"/>
      <c r="D108" s="85"/>
      <c r="E108" s="82"/>
      <c r="G108" s="2"/>
      <c r="H108" s="2"/>
    </row>
    <row r="109" spans="2:8" ht="36.75" customHeight="1" x14ac:dyDescent="0.25">
      <c r="B109" s="65" t="s">
        <v>986</v>
      </c>
      <c r="C109" s="79"/>
      <c r="D109" s="85"/>
      <c r="E109" s="82"/>
      <c r="G109" s="2"/>
      <c r="H109" s="2"/>
    </row>
    <row r="110" spans="2:8" ht="20.149999999999999" customHeight="1" thickBot="1" x14ac:dyDescent="0.3">
      <c r="B110" s="67" t="s">
        <v>982</v>
      </c>
      <c r="C110" s="89"/>
      <c r="D110" s="70" t="s">
        <v>982</v>
      </c>
      <c r="E110" s="87"/>
      <c r="G110" s="2"/>
      <c r="H110" s="2"/>
    </row>
    <row r="111" spans="2:8" ht="25" customHeight="1" x14ac:dyDescent="0.25">
      <c r="B111" s="58" t="s">
        <v>969</v>
      </c>
      <c r="C111" s="59"/>
      <c r="D111" s="60"/>
      <c r="E111" s="61"/>
      <c r="G111" s="2"/>
      <c r="H111" s="2"/>
    </row>
    <row r="113" spans="2:8" ht="11.5" x14ac:dyDescent="0.25">
      <c r="B113" s="2" t="s">
        <v>970</v>
      </c>
      <c r="C113" s="2"/>
      <c r="D113" s="2"/>
      <c r="G113" s="2"/>
      <c r="H113" s="2"/>
    </row>
    <row r="114" spans="2:8" ht="11.5" x14ac:dyDescent="0.25">
      <c r="B114" s="3" t="s">
        <v>971</v>
      </c>
      <c r="C114" s="2"/>
      <c r="D114" s="2"/>
      <c r="G114" s="2"/>
      <c r="H114" s="2"/>
    </row>
  </sheetData>
  <mergeCells count="3">
    <mergeCell ref="C107:C110"/>
    <mergeCell ref="D107:D109"/>
    <mergeCell ref="E107:E110"/>
  </mergeCells>
  <hyperlinks>
    <hyperlink ref="I1" location="'Sheet1'!A1" display="Index" xr:uid="{A9E35447-C820-44B8-A80C-C71F745EB13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7E5D5-C6C8-4CD4-8096-24074A5DD053}">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8.26953125" style="9" customWidth="1"/>
    <col min="4" max="4" width="26.6328125" style="9" customWidth="1"/>
    <col min="5" max="5" width="30.6328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398905</v>
      </c>
      <c r="F7" s="27">
        <v>6716.76</v>
      </c>
      <c r="G7" s="28">
        <v>0.2215</v>
      </c>
      <c r="H7" s="29"/>
    </row>
    <row r="8" spans="2:9" ht="15.75" customHeight="1" x14ac:dyDescent="0.25">
      <c r="B8" s="25" t="s">
        <v>127</v>
      </c>
      <c r="C8" s="25" t="s">
        <v>128</v>
      </c>
      <c r="D8" s="25" t="s">
        <v>129</v>
      </c>
      <c r="E8" s="26">
        <v>307998</v>
      </c>
      <c r="F8" s="27">
        <v>3694.74</v>
      </c>
      <c r="G8" s="28">
        <v>0.12180000000000001</v>
      </c>
      <c r="H8" s="29"/>
    </row>
    <row r="9" spans="2:9" ht="15.75" customHeight="1" x14ac:dyDescent="0.25">
      <c r="B9" s="25" t="s">
        <v>188</v>
      </c>
      <c r="C9" s="25" t="s">
        <v>189</v>
      </c>
      <c r="D9" s="25" t="s">
        <v>129</v>
      </c>
      <c r="E9" s="26">
        <v>176868</v>
      </c>
      <c r="F9" s="27">
        <v>2237.8200000000002</v>
      </c>
      <c r="G9" s="28">
        <v>7.3800000000000004E-2</v>
      </c>
      <c r="H9" s="29"/>
    </row>
    <row r="10" spans="2:9" ht="15.75" customHeight="1" x14ac:dyDescent="0.25">
      <c r="B10" s="25" t="s">
        <v>220</v>
      </c>
      <c r="C10" s="25" t="s">
        <v>221</v>
      </c>
      <c r="D10" s="25" t="s">
        <v>129</v>
      </c>
      <c r="E10" s="26">
        <v>201860</v>
      </c>
      <c r="F10" s="27">
        <v>1713.69</v>
      </c>
      <c r="G10" s="28">
        <v>5.6500000000000002E-2</v>
      </c>
      <c r="H10" s="29"/>
    </row>
    <row r="11" spans="2:9" ht="15.75" customHeight="1" x14ac:dyDescent="0.25">
      <c r="B11" s="25" t="s">
        <v>377</v>
      </c>
      <c r="C11" s="25" t="s">
        <v>378</v>
      </c>
      <c r="D11" s="25" t="s">
        <v>227</v>
      </c>
      <c r="E11" s="26">
        <v>74502</v>
      </c>
      <c r="F11" s="27">
        <v>984.99</v>
      </c>
      <c r="G11" s="28">
        <v>3.2500000000000001E-2</v>
      </c>
      <c r="H11" s="29"/>
    </row>
    <row r="12" spans="2:9" ht="15.75" customHeight="1" x14ac:dyDescent="0.25">
      <c r="B12" s="25" t="s">
        <v>365</v>
      </c>
      <c r="C12" s="25" t="s">
        <v>366</v>
      </c>
      <c r="D12" s="25" t="s">
        <v>227</v>
      </c>
      <c r="E12" s="26">
        <v>200878</v>
      </c>
      <c r="F12" s="27">
        <v>974.46</v>
      </c>
      <c r="G12" s="28">
        <v>3.2099999999999997E-2</v>
      </c>
      <c r="H12" s="29"/>
    </row>
    <row r="13" spans="2:9" ht="15.75" customHeight="1" x14ac:dyDescent="0.25">
      <c r="B13" s="25" t="s">
        <v>286</v>
      </c>
      <c r="C13" s="25" t="s">
        <v>287</v>
      </c>
      <c r="D13" s="25" t="s">
        <v>227</v>
      </c>
      <c r="E13" s="26">
        <v>536756</v>
      </c>
      <c r="F13" s="27">
        <v>972.44</v>
      </c>
      <c r="G13" s="28">
        <v>3.2099999999999997E-2</v>
      </c>
      <c r="H13" s="29"/>
    </row>
    <row r="14" spans="2:9" ht="15.75" customHeight="1" x14ac:dyDescent="0.25">
      <c r="B14" s="25" t="s">
        <v>476</v>
      </c>
      <c r="C14" s="25" t="s">
        <v>477</v>
      </c>
      <c r="D14" s="25" t="s">
        <v>129</v>
      </c>
      <c r="E14" s="26">
        <v>245748</v>
      </c>
      <c r="F14" s="27">
        <v>929.3</v>
      </c>
      <c r="G14" s="28">
        <v>3.0599999999999999E-2</v>
      </c>
      <c r="H14" s="29"/>
    </row>
    <row r="15" spans="2:9" ht="15.75" customHeight="1" x14ac:dyDescent="0.25">
      <c r="B15" s="25" t="s">
        <v>170</v>
      </c>
      <c r="C15" s="25" t="s">
        <v>171</v>
      </c>
      <c r="D15" s="25" t="s">
        <v>129</v>
      </c>
      <c r="E15" s="26">
        <v>62294</v>
      </c>
      <c r="F15" s="27">
        <v>912.3</v>
      </c>
      <c r="G15" s="28">
        <v>3.0099999999999998E-2</v>
      </c>
      <c r="H15" s="29"/>
    </row>
    <row r="16" spans="2:9" ht="15.75" customHeight="1" x14ac:dyDescent="0.25">
      <c r="B16" s="25" t="s">
        <v>215</v>
      </c>
      <c r="C16" s="25" t="s">
        <v>216</v>
      </c>
      <c r="D16" s="25" t="s">
        <v>129</v>
      </c>
      <c r="E16" s="26">
        <v>49613</v>
      </c>
      <c r="F16" s="27">
        <v>894.27</v>
      </c>
      <c r="G16" s="28">
        <v>2.9499999999999998E-2</v>
      </c>
      <c r="H16" s="29"/>
    </row>
    <row r="17" spans="2:8" ht="15.75" customHeight="1" x14ac:dyDescent="0.25">
      <c r="B17" s="25" t="s">
        <v>478</v>
      </c>
      <c r="C17" s="25" t="s">
        <v>479</v>
      </c>
      <c r="D17" s="25" t="s">
        <v>227</v>
      </c>
      <c r="E17" s="26">
        <v>165545</v>
      </c>
      <c r="F17" s="27">
        <v>856.86</v>
      </c>
      <c r="G17" s="28">
        <v>2.8299999999999999E-2</v>
      </c>
      <c r="H17" s="29"/>
    </row>
    <row r="18" spans="2:8" ht="15.75" customHeight="1" x14ac:dyDescent="0.25">
      <c r="B18" s="25" t="s">
        <v>259</v>
      </c>
      <c r="C18" s="25" t="s">
        <v>260</v>
      </c>
      <c r="D18" s="25" t="s">
        <v>227</v>
      </c>
      <c r="E18" s="26">
        <v>85634</v>
      </c>
      <c r="F18" s="27">
        <v>793.83</v>
      </c>
      <c r="G18" s="28">
        <v>2.6200000000000001E-2</v>
      </c>
      <c r="H18" s="29"/>
    </row>
    <row r="19" spans="2:8" ht="15.75" customHeight="1" x14ac:dyDescent="0.25">
      <c r="B19" s="25" t="s">
        <v>442</v>
      </c>
      <c r="C19" s="25" t="s">
        <v>443</v>
      </c>
      <c r="D19" s="25" t="s">
        <v>227</v>
      </c>
      <c r="E19" s="26">
        <v>95583</v>
      </c>
      <c r="F19" s="27">
        <v>758.21</v>
      </c>
      <c r="G19" s="28">
        <v>2.5000000000000001E-2</v>
      </c>
      <c r="H19" s="29"/>
    </row>
    <row r="20" spans="2:8" ht="15.75" customHeight="1" x14ac:dyDescent="0.25">
      <c r="B20" s="25" t="s">
        <v>480</v>
      </c>
      <c r="C20" s="25" t="s">
        <v>481</v>
      </c>
      <c r="D20" s="25" t="s">
        <v>129</v>
      </c>
      <c r="E20" s="26">
        <v>541915</v>
      </c>
      <c r="F20" s="27">
        <v>747.84</v>
      </c>
      <c r="G20" s="28">
        <v>2.47E-2</v>
      </c>
      <c r="H20" s="29"/>
    </row>
    <row r="21" spans="2:8" ht="15.75" customHeight="1" x14ac:dyDescent="0.25">
      <c r="B21" s="25" t="s">
        <v>420</v>
      </c>
      <c r="C21" s="25" t="s">
        <v>421</v>
      </c>
      <c r="D21" s="25" t="s">
        <v>129</v>
      </c>
      <c r="E21" s="26">
        <v>765779</v>
      </c>
      <c r="F21" s="27">
        <v>744.03</v>
      </c>
      <c r="G21" s="28">
        <v>2.4500000000000001E-2</v>
      </c>
      <c r="H21" s="29"/>
    </row>
    <row r="22" spans="2:8" ht="15.75" customHeight="1" x14ac:dyDescent="0.25">
      <c r="B22" s="25" t="s">
        <v>482</v>
      </c>
      <c r="C22" s="25" t="s">
        <v>483</v>
      </c>
      <c r="D22" s="25" t="s">
        <v>129</v>
      </c>
      <c r="E22" s="26">
        <v>404940</v>
      </c>
      <c r="F22" s="27">
        <v>717.76</v>
      </c>
      <c r="G22" s="28">
        <v>2.3699999999999999E-2</v>
      </c>
      <c r="H22" s="29"/>
    </row>
    <row r="23" spans="2:8" ht="15.75" customHeight="1" x14ac:dyDescent="0.25">
      <c r="B23" s="25" t="s">
        <v>484</v>
      </c>
      <c r="C23" s="25" t="s">
        <v>485</v>
      </c>
      <c r="D23" s="25" t="s">
        <v>227</v>
      </c>
      <c r="E23" s="26">
        <v>35553</v>
      </c>
      <c r="F23" s="27">
        <v>658.83</v>
      </c>
      <c r="G23" s="28">
        <v>2.1700000000000001E-2</v>
      </c>
      <c r="H23" s="29"/>
    </row>
    <row r="24" spans="2:8" ht="15.75" customHeight="1" x14ac:dyDescent="0.25">
      <c r="B24" s="25" t="s">
        <v>358</v>
      </c>
      <c r="C24" s="25" t="s">
        <v>359</v>
      </c>
      <c r="D24" s="25" t="s">
        <v>227</v>
      </c>
      <c r="E24" s="26">
        <v>195114</v>
      </c>
      <c r="F24" s="27">
        <v>586.51</v>
      </c>
      <c r="G24" s="28">
        <v>1.9300000000000001E-2</v>
      </c>
      <c r="H24" s="29"/>
    </row>
    <row r="25" spans="2:8" ht="15.75" customHeight="1" x14ac:dyDescent="0.25">
      <c r="B25" s="25" t="s">
        <v>486</v>
      </c>
      <c r="C25" s="25" t="s">
        <v>487</v>
      </c>
      <c r="D25" s="25" t="s">
        <v>227</v>
      </c>
      <c r="E25" s="26">
        <v>28088</v>
      </c>
      <c r="F25" s="27">
        <v>408.26</v>
      </c>
      <c r="G25" s="28">
        <v>1.35E-2</v>
      </c>
      <c r="H25" s="29"/>
    </row>
    <row r="26" spans="2:8" ht="15.75" customHeight="1" x14ac:dyDescent="0.25">
      <c r="B26" s="25" t="s">
        <v>488</v>
      </c>
      <c r="C26" s="25" t="s">
        <v>489</v>
      </c>
      <c r="D26" s="25" t="s">
        <v>227</v>
      </c>
      <c r="E26" s="26">
        <v>56153</v>
      </c>
      <c r="F26" s="27">
        <v>396.64</v>
      </c>
      <c r="G26" s="28">
        <v>1.3100000000000001E-2</v>
      </c>
      <c r="H26" s="29"/>
    </row>
    <row r="27" spans="2:8" ht="15.75" customHeight="1" x14ac:dyDescent="0.25">
      <c r="B27" s="25" t="s">
        <v>490</v>
      </c>
      <c r="C27" s="25" t="s">
        <v>491</v>
      </c>
      <c r="D27" s="25" t="s">
        <v>227</v>
      </c>
      <c r="E27" s="26">
        <v>134622</v>
      </c>
      <c r="F27" s="27">
        <v>396.06</v>
      </c>
      <c r="G27" s="28">
        <v>1.3100000000000001E-2</v>
      </c>
      <c r="H27" s="29"/>
    </row>
    <row r="28" spans="2:8" ht="15.75" customHeight="1" x14ac:dyDescent="0.25">
      <c r="B28" s="25" t="s">
        <v>492</v>
      </c>
      <c r="C28" s="25" t="s">
        <v>493</v>
      </c>
      <c r="D28" s="25" t="s">
        <v>227</v>
      </c>
      <c r="E28" s="26">
        <v>95222</v>
      </c>
      <c r="F28" s="27">
        <v>389.22</v>
      </c>
      <c r="G28" s="28">
        <v>1.2800000000000001E-2</v>
      </c>
      <c r="H28" s="29"/>
    </row>
    <row r="29" spans="2:8" ht="15.75" customHeight="1" x14ac:dyDescent="0.25">
      <c r="B29" s="25" t="s">
        <v>298</v>
      </c>
      <c r="C29" s="25" t="s">
        <v>299</v>
      </c>
      <c r="D29" s="25" t="s">
        <v>227</v>
      </c>
      <c r="E29" s="26">
        <v>12485</v>
      </c>
      <c r="F29" s="27">
        <v>363.5</v>
      </c>
      <c r="G29" s="28">
        <v>1.2E-2</v>
      </c>
      <c r="H29" s="29"/>
    </row>
    <row r="30" spans="2:8" ht="15.75" customHeight="1" x14ac:dyDescent="0.25">
      <c r="B30" s="25" t="s">
        <v>494</v>
      </c>
      <c r="C30" s="25" t="s">
        <v>495</v>
      </c>
      <c r="D30" s="25" t="s">
        <v>184</v>
      </c>
      <c r="E30" s="26">
        <v>40769</v>
      </c>
      <c r="F30" s="27">
        <v>308.85000000000002</v>
      </c>
      <c r="G30" s="28">
        <v>1.0200000000000001E-2</v>
      </c>
      <c r="H30" s="29"/>
    </row>
    <row r="31" spans="2:8" ht="15.75" customHeight="1" x14ac:dyDescent="0.25">
      <c r="B31" s="25" t="s">
        <v>237</v>
      </c>
      <c r="C31" s="25" t="s">
        <v>238</v>
      </c>
      <c r="D31" s="25" t="s">
        <v>129</v>
      </c>
      <c r="E31" s="26">
        <v>341486</v>
      </c>
      <c r="F31" s="27">
        <v>280.56</v>
      </c>
      <c r="G31" s="28">
        <v>9.2999999999999992E-3</v>
      </c>
      <c r="H31" s="29"/>
    </row>
    <row r="32" spans="2:8" ht="15.75" customHeight="1" x14ac:dyDescent="0.25">
      <c r="B32" s="25" t="s">
        <v>379</v>
      </c>
      <c r="C32" s="25" t="s">
        <v>380</v>
      </c>
      <c r="D32" s="25" t="s">
        <v>129</v>
      </c>
      <c r="E32" s="26">
        <v>215897</v>
      </c>
      <c r="F32" s="27">
        <v>260.18</v>
      </c>
      <c r="G32" s="28">
        <v>8.6E-3</v>
      </c>
      <c r="H32" s="29"/>
    </row>
    <row r="33" spans="2:8" ht="15.75" customHeight="1" x14ac:dyDescent="0.25">
      <c r="B33" s="25" t="s">
        <v>496</v>
      </c>
      <c r="C33" s="25" t="s">
        <v>497</v>
      </c>
      <c r="D33" s="25" t="s">
        <v>129</v>
      </c>
      <c r="E33" s="26">
        <v>489067</v>
      </c>
      <c r="F33" s="27">
        <v>250.5</v>
      </c>
      <c r="G33" s="28">
        <v>8.3000000000000001E-3</v>
      </c>
      <c r="H33" s="29"/>
    </row>
    <row r="34" spans="2:8" ht="15.75" customHeight="1" x14ac:dyDescent="0.25">
      <c r="B34" s="24" t="s">
        <v>102</v>
      </c>
      <c r="C34" s="24"/>
      <c r="D34" s="24"/>
      <c r="E34" s="30"/>
      <c r="F34" s="31">
        <v>28948.41</v>
      </c>
      <c r="G34" s="32">
        <v>0.95450000000000002</v>
      </c>
      <c r="H34" s="33"/>
    </row>
    <row r="35" spans="2:8" ht="15.75" customHeight="1" x14ac:dyDescent="0.25">
      <c r="B35" s="24" t="s">
        <v>149</v>
      </c>
      <c r="C35" s="25"/>
      <c r="D35" s="25"/>
      <c r="E35" s="26"/>
      <c r="F35" s="27"/>
      <c r="G35" s="28"/>
      <c r="H35" s="29"/>
    </row>
    <row r="36" spans="2:8" ht="15.75" customHeight="1" x14ac:dyDescent="0.25">
      <c r="B36" s="24" t="s">
        <v>102</v>
      </c>
      <c r="C36" s="25"/>
      <c r="D36" s="25"/>
      <c r="E36" s="26"/>
      <c r="F36" s="34" t="s">
        <v>104</v>
      </c>
      <c r="G36" s="35" t="s">
        <v>104</v>
      </c>
      <c r="H36" s="29"/>
    </row>
    <row r="37" spans="2:8" ht="15.75" customHeight="1" x14ac:dyDescent="0.25">
      <c r="B37" s="25"/>
      <c r="C37" s="25"/>
      <c r="D37" s="25"/>
      <c r="E37" s="26"/>
      <c r="F37" s="27"/>
      <c r="G37" s="28"/>
      <c r="H37" s="29"/>
    </row>
    <row r="38" spans="2:8" ht="15.75" customHeight="1" x14ac:dyDescent="0.25">
      <c r="B38" s="36" t="s">
        <v>106</v>
      </c>
      <c r="C38" s="36"/>
      <c r="D38" s="36"/>
      <c r="E38" s="37"/>
      <c r="F38" s="31">
        <v>28948.41</v>
      </c>
      <c r="G38" s="32">
        <v>0.95450000000000002</v>
      </c>
      <c r="H38" s="33"/>
    </row>
    <row r="39" spans="2:8" ht="15.75" customHeight="1" x14ac:dyDescent="0.25">
      <c r="B39" s="25"/>
      <c r="C39" s="25"/>
      <c r="D39" s="25"/>
      <c r="E39" s="26"/>
      <c r="F39" s="27"/>
      <c r="G39" s="28"/>
      <c r="H39" s="29"/>
    </row>
    <row r="40" spans="2:8" ht="15.75" customHeight="1" x14ac:dyDescent="0.25">
      <c r="B40" s="25"/>
      <c r="C40" s="25"/>
      <c r="D40" s="25"/>
      <c r="E40" s="26"/>
      <c r="F40" s="27"/>
      <c r="G40" s="28"/>
      <c r="H40" s="29"/>
    </row>
    <row r="41" spans="2:8" ht="15.75" customHeight="1" x14ac:dyDescent="0.25">
      <c r="B41" s="24" t="s">
        <v>109</v>
      </c>
      <c r="C41" s="25"/>
      <c r="D41" s="25"/>
      <c r="E41" s="26"/>
      <c r="F41" s="27"/>
      <c r="G41" s="28"/>
      <c r="H41" s="29"/>
    </row>
    <row r="42" spans="2:8" ht="15.75" customHeight="1" x14ac:dyDescent="0.25">
      <c r="B42" s="25" t="s">
        <v>110</v>
      </c>
      <c r="C42" s="25"/>
      <c r="D42" s="25"/>
      <c r="E42" s="26"/>
      <c r="F42" s="27">
        <v>1380.29</v>
      </c>
      <c r="G42" s="28">
        <v>4.5499999999999999E-2</v>
      </c>
      <c r="H42" s="29"/>
    </row>
    <row r="43" spans="2:8" ht="15.75" customHeight="1" x14ac:dyDescent="0.25">
      <c r="B43" s="24" t="s">
        <v>102</v>
      </c>
      <c r="C43" s="24"/>
      <c r="D43" s="24"/>
      <c r="E43" s="30"/>
      <c r="F43" s="31">
        <v>1380.29</v>
      </c>
      <c r="G43" s="32">
        <v>4.5499999999999999E-2</v>
      </c>
      <c r="H43" s="33"/>
    </row>
    <row r="44" spans="2:8" ht="15.75" customHeight="1" x14ac:dyDescent="0.25">
      <c r="B44" s="25"/>
      <c r="C44" s="25"/>
      <c r="D44" s="25"/>
      <c r="E44" s="26"/>
      <c r="F44" s="27"/>
      <c r="G44" s="28"/>
      <c r="H44" s="29"/>
    </row>
    <row r="45" spans="2:8" ht="15.75" customHeight="1" x14ac:dyDescent="0.25">
      <c r="B45" s="36" t="s">
        <v>106</v>
      </c>
      <c r="C45" s="36"/>
      <c r="D45" s="36"/>
      <c r="E45" s="37"/>
      <c r="F45" s="31">
        <v>1380.29</v>
      </c>
      <c r="G45" s="32">
        <v>4.5499999999999999E-2</v>
      </c>
      <c r="H45" s="33"/>
    </row>
    <row r="46" spans="2:8" ht="15.75" customHeight="1" x14ac:dyDescent="0.25">
      <c r="B46" s="25" t="s">
        <v>111</v>
      </c>
      <c r="C46" s="25"/>
      <c r="D46" s="25"/>
      <c r="E46" s="26"/>
      <c r="F46" s="38">
        <v>-0.83</v>
      </c>
      <c r="G46" s="28">
        <v>0</v>
      </c>
      <c r="H46" s="29"/>
    </row>
    <row r="47" spans="2:8" ht="15.75" customHeight="1" x14ac:dyDescent="0.25">
      <c r="B47" s="40" t="s">
        <v>112</v>
      </c>
      <c r="C47" s="40"/>
      <c r="D47" s="40"/>
      <c r="E47" s="41"/>
      <c r="F47" s="42">
        <v>30327.87</v>
      </c>
      <c r="G47" s="43">
        <v>1</v>
      </c>
      <c r="H47" s="44"/>
    </row>
    <row r="48" spans="2:8" ht="15.75" customHeight="1" thickBot="1" x14ac:dyDescent="0.3">
      <c r="B48" s="2"/>
    </row>
    <row r="49" spans="2:8" ht="27" customHeight="1" thickBot="1" x14ac:dyDescent="0.3">
      <c r="B49" s="56" t="s">
        <v>964</v>
      </c>
      <c r="C49" s="57" t="s">
        <v>965</v>
      </c>
      <c r="D49" s="57" t="s">
        <v>966</v>
      </c>
      <c r="E49" s="62" t="s">
        <v>967</v>
      </c>
      <c r="G49" s="2"/>
      <c r="H49" s="2"/>
    </row>
    <row r="50" spans="2:8" ht="20.25" customHeight="1" x14ac:dyDescent="0.25">
      <c r="B50" s="69" t="s">
        <v>987</v>
      </c>
      <c r="C50" s="81"/>
      <c r="D50" s="71"/>
      <c r="E50" s="86"/>
      <c r="G50" s="2"/>
      <c r="H50" s="2"/>
    </row>
    <row r="51" spans="2:8" ht="40" customHeight="1" x14ac:dyDescent="0.25">
      <c r="B51" s="65" t="s">
        <v>988</v>
      </c>
      <c r="C51" s="82"/>
      <c r="D51" s="85" t="s">
        <v>989</v>
      </c>
      <c r="E51" s="82"/>
      <c r="G51" s="2"/>
      <c r="H51" s="2"/>
    </row>
    <row r="52" spans="2:8" ht="44.25" customHeight="1" x14ac:dyDescent="0.25">
      <c r="B52" s="65" t="s">
        <v>990</v>
      </c>
      <c r="C52" s="82"/>
      <c r="D52" s="85"/>
      <c r="E52" s="82"/>
      <c r="G52" s="2"/>
      <c r="H52" s="2"/>
    </row>
    <row r="53" spans="2:8" ht="29.25" customHeight="1" thickBot="1" x14ac:dyDescent="0.3">
      <c r="B53" s="67" t="s">
        <v>991</v>
      </c>
      <c r="C53" s="83"/>
      <c r="D53" s="70" t="s">
        <v>991</v>
      </c>
      <c r="E53" s="87"/>
      <c r="G53" s="2"/>
      <c r="H53" s="2"/>
    </row>
    <row r="54" spans="2:8" ht="25" customHeight="1" x14ac:dyDescent="0.25">
      <c r="B54" s="58" t="s">
        <v>969</v>
      </c>
      <c r="C54" s="59"/>
      <c r="D54" s="60"/>
      <c r="E54" s="61"/>
      <c r="G54" s="2"/>
      <c r="H54" s="2"/>
    </row>
    <row r="56" spans="2:8" ht="11.5" x14ac:dyDescent="0.25">
      <c r="B56" s="2" t="s">
        <v>970</v>
      </c>
      <c r="C56" s="2"/>
      <c r="D56" s="2"/>
      <c r="G56" s="2"/>
      <c r="H56" s="2"/>
    </row>
    <row r="57" spans="2:8" ht="11.5" x14ac:dyDescent="0.25">
      <c r="B57" s="3" t="s">
        <v>971</v>
      </c>
      <c r="C57" s="2"/>
      <c r="D57" s="2"/>
      <c r="G57" s="2"/>
      <c r="H57"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0:C53"/>
    <mergeCell ref="E50:E53"/>
    <mergeCell ref="D51:D52"/>
  </mergeCells>
  <hyperlinks>
    <hyperlink ref="I1" location="'Sheet1'!A1" display="Index" xr:uid="{F2B073EB-C39C-48F4-8F5D-6BBAF623830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62005B-F1AF-416A-BC15-EA5BFD5C1D2A}">
  <dimension ref="B1:P88"/>
  <sheetViews>
    <sheetView workbookViewId="0"/>
  </sheetViews>
  <sheetFormatPr defaultColWidth="9.1796875" defaultRowHeight="15.75" customHeight="1" x14ac:dyDescent="0.25"/>
  <cols>
    <col min="1" max="1" width="3.6328125" style="2" customWidth="1"/>
    <col min="2" max="2" width="50.453125" style="9" customWidth="1"/>
    <col min="3" max="3" width="27.08984375" style="9" customWidth="1"/>
    <col min="4" max="4" width="26.6328125" style="9" customWidth="1"/>
    <col min="5" max="5" width="27.90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127</v>
      </c>
      <c r="C7" s="25" t="s">
        <v>128</v>
      </c>
      <c r="D7" s="25" t="s">
        <v>129</v>
      </c>
      <c r="E7" s="26">
        <v>8930</v>
      </c>
      <c r="F7" s="27">
        <v>107.12</v>
      </c>
      <c r="G7" s="28">
        <v>6.3200000000000006E-2</v>
      </c>
      <c r="H7" s="29"/>
    </row>
    <row r="8" spans="2:9" ht="15.75" customHeight="1" x14ac:dyDescent="0.25">
      <c r="B8" s="25" t="s">
        <v>136</v>
      </c>
      <c r="C8" s="25" t="s">
        <v>137</v>
      </c>
      <c r="D8" s="25" t="s">
        <v>129</v>
      </c>
      <c r="E8" s="26">
        <v>5570</v>
      </c>
      <c r="F8" s="27">
        <v>93.79</v>
      </c>
      <c r="G8" s="28">
        <v>5.5300000000000002E-2</v>
      </c>
      <c r="H8" s="29"/>
    </row>
    <row r="9" spans="2:9" ht="15.75" customHeight="1" x14ac:dyDescent="0.25">
      <c r="B9" s="25" t="s">
        <v>138</v>
      </c>
      <c r="C9" s="25" t="s">
        <v>139</v>
      </c>
      <c r="D9" s="25" t="s">
        <v>140</v>
      </c>
      <c r="E9" s="26">
        <v>2062</v>
      </c>
      <c r="F9" s="27">
        <v>64.56</v>
      </c>
      <c r="G9" s="28">
        <v>3.8100000000000002E-2</v>
      </c>
      <c r="H9" s="29"/>
    </row>
    <row r="10" spans="2:9" ht="15.75" customHeight="1" x14ac:dyDescent="0.25">
      <c r="B10" s="25" t="s">
        <v>404</v>
      </c>
      <c r="C10" s="25" t="s">
        <v>405</v>
      </c>
      <c r="D10" s="25" t="s">
        <v>254</v>
      </c>
      <c r="E10" s="26">
        <v>1173</v>
      </c>
      <c r="F10" s="27">
        <v>64.28</v>
      </c>
      <c r="G10" s="28">
        <v>3.7900000000000003E-2</v>
      </c>
      <c r="H10" s="29"/>
    </row>
    <row r="11" spans="2:9" ht="15.75" customHeight="1" x14ac:dyDescent="0.25">
      <c r="B11" s="25" t="s">
        <v>188</v>
      </c>
      <c r="C11" s="25" t="s">
        <v>189</v>
      </c>
      <c r="D11" s="25" t="s">
        <v>129</v>
      </c>
      <c r="E11" s="26">
        <v>4154</v>
      </c>
      <c r="F11" s="27">
        <v>52.56</v>
      </c>
      <c r="G11" s="28">
        <v>3.1E-2</v>
      </c>
      <c r="H11" s="29"/>
    </row>
    <row r="12" spans="2:9" ht="15.75" customHeight="1" x14ac:dyDescent="0.25">
      <c r="B12" s="25" t="s">
        <v>220</v>
      </c>
      <c r="C12" s="25" t="s">
        <v>221</v>
      </c>
      <c r="D12" s="25" t="s">
        <v>129</v>
      </c>
      <c r="E12" s="26">
        <v>6141</v>
      </c>
      <c r="F12" s="27">
        <v>52.13</v>
      </c>
      <c r="G12" s="28">
        <v>3.0800000000000001E-2</v>
      </c>
      <c r="H12" s="29"/>
    </row>
    <row r="13" spans="2:9" ht="15.75" customHeight="1" x14ac:dyDescent="0.25">
      <c r="B13" s="25" t="s">
        <v>406</v>
      </c>
      <c r="C13" s="25" t="s">
        <v>407</v>
      </c>
      <c r="D13" s="25" t="s">
        <v>178</v>
      </c>
      <c r="E13" s="26">
        <v>2681</v>
      </c>
      <c r="F13" s="27">
        <v>50.89</v>
      </c>
      <c r="G13" s="28">
        <v>0.03</v>
      </c>
      <c r="H13" s="29"/>
    </row>
    <row r="14" spans="2:9" ht="15.75" customHeight="1" x14ac:dyDescent="0.25">
      <c r="B14" s="25" t="s">
        <v>375</v>
      </c>
      <c r="C14" s="25" t="s">
        <v>376</v>
      </c>
      <c r="D14" s="25" t="s">
        <v>194</v>
      </c>
      <c r="E14" s="26">
        <v>1737</v>
      </c>
      <c r="F14" s="27">
        <v>50.67</v>
      </c>
      <c r="G14" s="28">
        <v>2.9899999999999999E-2</v>
      </c>
      <c r="H14" s="29"/>
    </row>
    <row r="15" spans="2:9" ht="15.75" customHeight="1" x14ac:dyDescent="0.25">
      <c r="B15" s="25" t="s">
        <v>130</v>
      </c>
      <c r="C15" s="25" t="s">
        <v>131</v>
      </c>
      <c r="D15" s="25" t="s">
        <v>132</v>
      </c>
      <c r="E15" s="26">
        <v>3202</v>
      </c>
      <c r="F15" s="27">
        <v>50.17</v>
      </c>
      <c r="G15" s="28">
        <v>2.9600000000000001E-2</v>
      </c>
      <c r="H15" s="29"/>
    </row>
    <row r="16" spans="2:9" ht="15.75" customHeight="1" x14ac:dyDescent="0.25">
      <c r="B16" s="25" t="s">
        <v>222</v>
      </c>
      <c r="C16" s="25" t="s">
        <v>223</v>
      </c>
      <c r="D16" s="25" t="s">
        <v>224</v>
      </c>
      <c r="E16" s="26">
        <v>1302</v>
      </c>
      <c r="F16" s="27">
        <v>46.2</v>
      </c>
      <c r="G16" s="28">
        <v>2.7300000000000001E-2</v>
      </c>
      <c r="H16" s="29"/>
    </row>
    <row r="17" spans="2:8" ht="15.75" customHeight="1" x14ac:dyDescent="0.25">
      <c r="B17" s="25" t="s">
        <v>498</v>
      </c>
      <c r="C17" s="25" t="s">
        <v>499</v>
      </c>
      <c r="D17" s="25" t="s">
        <v>219</v>
      </c>
      <c r="E17" s="26">
        <v>20738</v>
      </c>
      <c r="F17" s="27">
        <v>39.590000000000003</v>
      </c>
      <c r="G17" s="28">
        <v>2.3400000000000001E-2</v>
      </c>
      <c r="H17" s="29"/>
    </row>
    <row r="18" spans="2:8" ht="15.75" customHeight="1" x14ac:dyDescent="0.25">
      <c r="B18" s="25" t="s">
        <v>446</v>
      </c>
      <c r="C18" s="25" t="s">
        <v>447</v>
      </c>
      <c r="D18" s="25" t="s">
        <v>254</v>
      </c>
      <c r="E18" s="26">
        <v>6912</v>
      </c>
      <c r="F18" s="27">
        <v>35.630000000000003</v>
      </c>
      <c r="G18" s="28">
        <v>2.1000000000000001E-2</v>
      </c>
      <c r="H18" s="29"/>
    </row>
    <row r="19" spans="2:8" ht="15.75" customHeight="1" x14ac:dyDescent="0.25">
      <c r="B19" s="25" t="s">
        <v>500</v>
      </c>
      <c r="C19" s="25" t="s">
        <v>501</v>
      </c>
      <c r="D19" s="25" t="s">
        <v>269</v>
      </c>
      <c r="E19" s="26">
        <v>2167</v>
      </c>
      <c r="F19" s="27">
        <v>34.42</v>
      </c>
      <c r="G19" s="28">
        <v>2.0299999999999999E-2</v>
      </c>
      <c r="H19" s="29"/>
    </row>
    <row r="20" spans="2:8" ht="15.75" customHeight="1" x14ac:dyDescent="0.25">
      <c r="B20" s="25" t="s">
        <v>272</v>
      </c>
      <c r="C20" s="25" t="s">
        <v>273</v>
      </c>
      <c r="D20" s="25" t="s">
        <v>132</v>
      </c>
      <c r="E20" s="26">
        <v>851</v>
      </c>
      <c r="F20" s="27">
        <v>33.22</v>
      </c>
      <c r="G20" s="28">
        <v>1.9599999999999999E-2</v>
      </c>
      <c r="H20" s="29"/>
    </row>
    <row r="21" spans="2:8" ht="15.75" customHeight="1" x14ac:dyDescent="0.25">
      <c r="B21" s="25" t="s">
        <v>459</v>
      </c>
      <c r="C21" s="25" t="s">
        <v>460</v>
      </c>
      <c r="D21" s="25" t="s">
        <v>224</v>
      </c>
      <c r="E21" s="26">
        <v>10219</v>
      </c>
      <c r="F21" s="27">
        <v>32.340000000000003</v>
      </c>
      <c r="G21" s="28">
        <v>1.9099999999999999E-2</v>
      </c>
      <c r="H21" s="29"/>
    </row>
    <row r="22" spans="2:8" ht="15.75" customHeight="1" x14ac:dyDescent="0.25">
      <c r="B22" s="25" t="s">
        <v>426</v>
      </c>
      <c r="C22" s="25" t="s">
        <v>427</v>
      </c>
      <c r="D22" s="25" t="s">
        <v>428</v>
      </c>
      <c r="E22" s="26">
        <v>2192</v>
      </c>
      <c r="F22" s="27">
        <v>31.65</v>
      </c>
      <c r="G22" s="28">
        <v>1.8700000000000001E-2</v>
      </c>
      <c r="H22" s="29"/>
    </row>
    <row r="23" spans="2:8" ht="15.75" customHeight="1" x14ac:dyDescent="0.25">
      <c r="B23" s="25" t="s">
        <v>431</v>
      </c>
      <c r="C23" s="25" t="s">
        <v>432</v>
      </c>
      <c r="D23" s="25" t="s">
        <v>146</v>
      </c>
      <c r="E23" s="26">
        <v>4273</v>
      </c>
      <c r="F23" s="27">
        <v>30.58</v>
      </c>
      <c r="G23" s="28">
        <v>1.7999999999999999E-2</v>
      </c>
      <c r="H23" s="29"/>
    </row>
    <row r="24" spans="2:8" ht="15.75" customHeight="1" x14ac:dyDescent="0.25">
      <c r="B24" s="25" t="s">
        <v>502</v>
      </c>
      <c r="C24" s="25" t="s">
        <v>503</v>
      </c>
      <c r="D24" s="25" t="s">
        <v>276</v>
      </c>
      <c r="E24" s="26">
        <v>258</v>
      </c>
      <c r="F24" s="27">
        <v>30.1</v>
      </c>
      <c r="G24" s="28">
        <v>1.78E-2</v>
      </c>
      <c r="H24" s="29"/>
    </row>
    <row r="25" spans="2:8" ht="15.75" customHeight="1" x14ac:dyDescent="0.25">
      <c r="B25" s="25" t="s">
        <v>504</v>
      </c>
      <c r="C25" s="25" t="s">
        <v>505</v>
      </c>
      <c r="D25" s="25" t="s">
        <v>295</v>
      </c>
      <c r="E25" s="26">
        <v>1862</v>
      </c>
      <c r="F25" s="27">
        <v>29.81</v>
      </c>
      <c r="G25" s="28">
        <v>1.7600000000000001E-2</v>
      </c>
      <c r="H25" s="29"/>
    </row>
    <row r="26" spans="2:8" ht="15.75" customHeight="1" x14ac:dyDescent="0.25">
      <c r="B26" s="25" t="s">
        <v>141</v>
      </c>
      <c r="C26" s="25" t="s">
        <v>142</v>
      </c>
      <c r="D26" s="25" t="s">
        <v>143</v>
      </c>
      <c r="E26" s="26">
        <v>1140</v>
      </c>
      <c r="F26" s="27">
        <v>28.19</v>
      </c>
      <c r="G26" s="28">
        <v>1.66E-2</v>
      </c>
      <c r="H26" s="29"/>
    </row>
    <row r="27" spans="2:8" ht="15.75" customHeight="1" x14ac:dyDescent="0.25">
      <c r="B27" s="25" t="s">
        <v>506</v>
      </c>
      <c r="C27" s="25" t="s">
        <v>507</v>
      </c>
      <c r="D27" s="25" t="s">
        <v>508</v>
      </c>
      <c r="E27" s="26">
        <v>2997</v>
      </c>
      <c r="F27" s="27">
        <v>28.17</v>
      </c>
      <c r="G27" s="28">
        <v>1.66E-2</v>
      </c>
      <c r="H27" s="29"/>
    </row>
    <row r="28" spans="2:8" ht="15.75" customHeight="1" x14ac:dyDescent="0.25">
      <c r="B28" s="25" t="s">
        <v>509</v>
      </c>
      <c r="C28" s="25" t="s">
        <v>510</v>
      </c>
      <c r="D28" s="25" t="s">
        <v>346</v>
      </c>
      <c r="E28" s="26">
        <v>2118</v>
      </c>
      <c r="F28" s="27">
        <v>28</v>
      </c>
      <c r="G28" s="28">
        <v>1.6500000000000001E-2</v>
      </c>
      <c r="H28" s="29"/>
    </row>
    <row r="29" spans="2:8" ht="15.75" customHeight="1" x14ac:dyDescent="0.25">
      <c r="B29" s="25" t="s">
        <v>511</v>
      </c>
      <c r="C29" s="25" t="s">
        <v>512</v>
      </c>
      <c r="D29" s="25" t="s">
        <v>178</v>
      </c>
      <c r="E29" s="26">
        <v>4456</v>
      </c>
      <c r="F29" s="27">
        <v>27.65</v>
      </c>
      <c r="G29" s="28">
        <v>1.6299999999999999E-2</v>
      </c>
      <c r="H29" s="29"/>
    </row>
    <row r="30" spans="2:8" ht="15.75" customHeight="1" x14ac:dyDescent="0.25">
      <c r="B30" s="25" t="s">
        <v>291</v>
      </c>
      <c r="C30" s="25" t="s">
        <v>292</v>
      </c>
      <c r="D30" s="25" t="s">
        <v>135</v>
      </c>
      <c r="E30" s="26">
        <v>2719</v>
      </c>
      <c r="F30" s="27">
        <v>26.91</v>
      </c>
      <c r="G30" s="28">
        <v>1.5900000000000001E-2</v>
      </c>
      <c r="H30" s="29"/>
    </row>
    <row r="31" spans="2:8" ht="15.75" customHeight="1" x14ac:dyDescent="0.25">
      <c r="B31" s="25" t="s">
        <v>513</v>
      </c>
      <c r="C31" s="25" t="s">
        <v>514</v>
      </c>
      <c r="D31" s="25" t="s">
        <v>251</v>
      </c>
      <c r="E31" s="26">
        <v>33895</v>
      </c>
      <c r="F31" s="27">
        <v>25.53</v>
      </c>
      <c r="G31" s="28">
        <v>1.5100000000000001E-2</v>
      </c>
      <c r="H31" s="29"/>
    </row>
    <row r="32" spans="2:8" ht="15.75" customHeight="1" x14ac:dyDescent="0.25">
      <c r="B32" s="25" t="s">
        <v>144</v>
      </c>
      <c r="C32" s="25" t="s">
        <v>145</v>
      </c>
      <c r="D32" s="25" t="s">
        <v>146</v>
      </c>
      <c r="E32" s="26">
        <v>950</v>
      </c>
      <c r="F32" s="27">
        <v>24.24</v>
      </c>
      <c r="G32" s="28">
        <v>1.43E-2</v>
      </c>
      <c r="H32" s="29"/>
    </row>
    <row r="33" spans="2:8" ht="15.75" customHeight="1" x14ac:dyDescent="0.25">
      <c r="B33" s="25" t="s">
        <v>455</v>
      </c>
      <c r="C33" s="25" t="s">
        <v>456</v>
      </c>
      <c r="D33" s="25" t="s">
        <v>337</v>
      </c>
      <c r="E33" s="26">
        <v>1868</v>
      </c>
      <c r="F33" s="27">
        <v>23.12</v>
      </c>
      <c r="G33" s="28">
        <v>1.3599999999999999E-2</v>
      </c>
      <c r="H33" s="29"/>
    </row>
    <row r="34" spans="2:8" ht="15.75" customHeight="1" x14ac:dyDescent="0.25">
      <c r="B34" s="25" t="s">
        <v>484</v>
      </c>
      <c r="C34" s="25" t="s">
        <v>485</v>
      </c>
      <c r="D34" s="25" t="s">
        <v>227</v>
      </c>
      <c r="E34" s="26">
        <v>1244</v>
      </c>
      <c r="F34" s="27">
        <v>23.05</v>
      </c>
      <c r="G34" s="28">
        <v>1.3599999999999999E-2</v>
      </c>
      <c r="H34" s="29"/>
    </row>
    <row r="35" spans="2:8" ht="15.75" customHeight="1" x14ac:dyDescent="0.25">
      <c r="B35" s="25" t="s">
        <v>354</v>
      </c>
      <c r="C35" s="25" t="s">
        <v>355</v>
      </c>
      <c r="D35" s="25" t="s">
        <v>135</v>
      </c>
      <c r="E35" s="26">
        <v>188</v>
      </c>
      <c r="F35" s="27">
        <v>22.62</v>
      </c>
      <c r="G35" s="28">
        <v>1.3299999999999999E-2</v>
      </c>
      <c r="H35" s="29"/>
    </row>
    <row r="36" spans="2:8" ht="15.75" customHeight="1" x14ac:dyDescent="0.25">
      <c r="B36" s="25" t="s">
        <v>515</v>
      </c>
      <c r="C36" s="25" t="s">
        <v>516</v>
      </c>
      <c r="D36" s="25" t="s">
        <v>140</v>
      </c>
      <c r="E36" s="26">
        <v>4025</v>
      </c>
      <c r="F36" s="27">
        <v>22.44</v>
      </c>
      <c r="G36" s="28">
        <v>1.32E-2</v>
      </c>
      <c r="H36" s="29"/>
    </row>
    <row r="37" spans="2:8" ht="15.75" customHeight="1" x14ac:dyDescent="0.25">
      <c r="B37" s="25" t="s">
        <v>517</v>
      </c>
      <c r="C37" s="25" t="s">
        <v>518</v>
      </c>
      <c r="D37" s="25" t="s">
        <v>346</v>
      </c>
      <c r="E37" s="26">
        <v>672</v>
      </c>
      <c r="F37" s="27">
        <v>22.18</v>
      </c>
      <c r="G37" s="28">
        <v>1.3100000000000001E-2</v>
      </c>
      <c r="H37" s="29"/>
    </row>
    <row r="38" spans="2:8" ht="15.75" customHeight="1" x14ac:dyDescent="0.25">
      <c r="B38" s="25" t="s">
        <v>363</v>
      </c>
      <c r="C38" s="25" t="s">
        <v>364</v>
      </c>
      <c r="D38" s="25" t="s">
        <v>269</v>
      </c>
      <c r="E38" s="26">
        <v>893</v>
      </c>
      <c r="F38" s="27">
        <v>21.75</v>
      </c>
      <c r="G38" s="28">
        <v>1.2800000000000001E-2</v>
      </c>
      <c r="H38" s="29"/>
    </row>
    <row r="39" spans="2:8" ht="15.75" customHeight="1" x14ac:dyDescent="0.25">
      <c r="B39" s="25" t="s">
        <v>448</v>
      </c>
      <c r="C39" s="25" t="s">
        <v>449</v>
      </c>
      <c r="D39" s="25" t="s">
        <v>169</v>
      </c>
      <c r="E39" s="26">
        <v>1418</v>
      </c>
      <c r="F39" s="27">
        <v>21.57</v>
      </c>
      <c r="G39" s="28">
        <v>1.2699999999999999E-2</v>
      </c>
      <c r="H39" s="29"/>
    </row>
    <row r="40" spans="2:8" ht="15.75" customHeight="1" x14ac:dyDescent="0.25">
      <c r="B40" s="25" t="s">
        <v>519</v>
      </c>
      <c r="C40" s="25" t="s">
        <v>520</v>
      </c>
      <c r="D40" s="25" t="s">
        <v>346</v>
      </c>
      <c r="E40" s="26">
        <v>4174</v>
      </c>
      <c r="F40" s="27">
        <v>20.74</v>
      </c>
      <c r="G40" s="28">
        <v>1.2200000000000001E-2</v>
      </c>
      <c r="H40" s="29"/>
    </row>
    <row r="41" spans="2:8" ht="15.75" customHeight="1" x14ac:dyDescent="0.25">
      <c r="B41" s="25" t="s">
        <v>480</v>
      </c>
      <c r="C41" s="25" t="s">
        <v>481</v>
      </c>
      <c r="D41" s="25" t="s">
        <v>129</v>
      </c>
      <c r="E41" s="26">
        <v>14905</v>
      </c>
      <c r="F41" s="27">
        <v>20.57</v>
      </c>
      <c r="G41" s="28">
        <v>1.21E-2</v>
      </c>
      <c r="H41" s="29"/>
    </row>
    <row r="42" spans="2:8" ht="15.75" customHeight="1" x14ac:dyDescent="0.25">
      <c r="B42" s="25" t="s">
        <v>342</v>
      </c>
      <c r="C42" s="25" t="s">
        <v>343</v>
      </c>
      <c r="D42" s="25" t="s">
        <v>135</v>
      </c>
      <c r="E42" s="26">
        <v>352</v>
      </c>
      <c r="F42" s="27">
        <v>19.64</v>
      </c>
      <c r="G42" s="28">
        <v>1.1599999999999999E-2</v>
      </c>
      <c r="H42" s="29"/>
    </row>
    <row r="43" spans="2:8" ht="15.75" customHeight="1" x14ac:dyDescent="0.25">
      <c r="B43" s="25" t="s">
        <v>347</v>
      </c>
      <c r="C43" s="25" t="s">
        <v>348</v>
      </c>
      <c r="D43" s="25" t="s">
        <v>132</v>
      </c>
      <c r="E43" s="26">
        <v>1320</v>
      </c>
      <c r="F43" s="27">
        <v>19.27</v>
      </c>
      <c r="G43" s="28">
        <v>1.14E-2</v>
      </c>
      <c r="H43" s="29"/>
    </row>
    <row r="44" spans="2:8" ht="15.75" customHeight="1" x14ac:dyDescent="0.25">
      <c r="B44" s="25" t="s">
        <v>521</v>
      </c>
      <c r="C44" s="25" t="s">
        <v>522</v>
      </c>
      <c r="D44" s="25" t="s">
        <v>194</v>
      </c>
      <c r="E44" s="26">
        <v>4274</v>
      </c>
      <c r="F44" s="27">
        <v>18.899999999999999</v>
      </c>
      <c r="G44" s="28">
        <v>1.11E-2</v>
      </c>
      <c r="H44" s="29"/>
    </row>
    <row r="45" spans="2:8" ht="15.75" customHeight="1" x14ac:dyDescent="0.25">
      <c r="B45" s="25" t="s">
        <v>523</v>
      </c>
      <c r="C45" s="25" t="s">
        <v>524</v>
      </c>
      <c r="D45" s="25" t="s">
        <v>362</v>
      </c>
      <c r="E45" s="26">
        <v>1982</v>
      </c>
      <c r="F45" s="27">
        <v>18.64</v>
      </c>
      <c r="G45" s="28">
        <v>1.0999999999999999E-2</v>
      </c>
      <c r="H45" s="29"/>
    </row>
    <row r="46" spans="2:8" ht="15.75" customHeight="1" x14ac:dyDescent="0.25">
      <c r="B46" s="25" t="s">
        <v>215</v>
      </c>
      <c r="C46" s="25" t="s">
        <v>216</v>
      </c>
      <c r="D46" s="25" t="s">
        <v>129</v>
      </c>
      <c r="E46" s="26">
        <v>1029</v>
      </c>
      <c r="F46" s="27">
        <v>18.55</v>
      </c>
      <c r="G46" s="28">
        <v>1.09E-2</v>
      </c>
      <c r="H46" s="29"/>
    </row>
    <row r="47" spans="2:8" ht="15.75" customHeight="1" x14ac:dyDescent="0.25">
      <c r="B47" s="25" t="s">
        <v>300</v>
      </c>
      <c r="C47" s="25" t="s">
        <v>301</v>
      </c>
      <c r="D47" s="25" t="s">
        <v>146</v>
      </c>
      <c r="E47" s="26">
        <v>327</v>
      </c>
      <c r="F47" s="27">
        <v>17.91</v>
      </c>
      <c r="G47" s="28">
        <v>1.06E-2</v>
      </c>
      <c r="H47" s="29"/>
    </row>
    <row r="48" spans="2:8" ht="15.75" customHeight="1" x14ac:dyDescent="0.25">
      <c r="B48" s="25" t="s">
        <v>381</v>
      </c>
      <c r="C48" s="25" t="s">
        <v>382</v>
      </c>
      <c r="D48" s="25" t="s">
        <v>169</v>
      </c>
      <c r="E48" s="26">
        <v>338</v>
      </c>
      <c r="F48" s="27">
        <v>16.87</v>
      </c>
      <c r="G48" s="28">
        <v>0.01</v>
      </c>
      <c r="H48" s="29"/>
    </row>
    <row r="49" spans="2:8" ht="15.75" customHeight="1" x14ac:dyDescent="0.25">
      <c r="B49" s="25" t="s">
        <v>525</v>
      </c>
      <c r="C49" s="25" t="s">
        <v>526</v>
      </c>
      <c r="D49" s="25" t="s">
        <v>437</v>
      </c>
      <c r="E49" s="26">
        <v>905</v>
      </c>
      <c r="F49" s="27">
        <v>16.62</v>
      </c>
      <c r="G49" s="28">
        <v>9.7999999999999997E-3</v>
      </c>
      <c r="H49" s="29"/>
    </row>
    <row r="50" spans="2:8" ht="15.75" customHeight="1" x14ac:dyDescent="0.25">
      <c r="B50" s="25" t="s">
        <v>387</v>
      </c>
      <c r="C50" s="25" t="s">
        <v>388</v>
      </c>
      <c r="D50" s="25" t="s">
        <v>132</v>
      </c>
      <c r="E50" s="26">
        <v>2767</v>
      </c>
      <c r="F50" s="27">
        <v>16.39</v>
      </c>
      <c r="G50" s="28">
        <v>9.7000000000000003E-3</v>
      </c>
      <c r="H50" s="29"/>
    </row>
    <row r="51" spans="2:8" ht="15.75" customHeight="1" x14ac:dyDescent="0.25">
      <c r="B51" s="25" t="s">
        <v>367</v>
      </c>
      <c r="C51" s="25" t="s">
        <v>368</v>
      </c>
      <c r="D51" s="25" t="s">
        <v>169</v>
      </c>
      <c r="E51" s="26">
        <v>436</v>
      </c>
      <c r="F51" s="27">
        <v>12.17</v>
      </c>
      <c r="G51" s="28">
        <v>7.1999999999999998E-3</v>
      </c>
      <c r="H51" s="29"/>
    </row>
    <row r="52" spans="2:8" ht="15.75" customHeight="1" x14ac:dyDescent="0.25">
      <c r="B52" s="24" t="s">
        <v>102</v>
      </c>
      <c r="C52" s="24"/>
      <c r="D52" s="24"/>
      <c r="E52" s="30"/>
      <c r="F52" s="31">
        <v>1491.4</v>
      </c>
      <c r="G52" s="32">
        <v>0.87980000000000003</v>
      </c>
      <c r="H52" s="33"/>
    </row>
    <row r="53" spans="2:8" ht="15.75" customHeight="1" x14ac:dyDescent="0.25">
      <c r="B53" s="24" t="s">
        <v>149</v>
      </c>
      <c r="C53" s="25"/>
      <c r="D53" s="25"/>
      <c r="E53" s="26"/>
      <c r="F53" s="27"/>
      <c r="G53" s="28"/>
      <c r="H53" s="29"/>
    </row>
    <row r="54" spans="2:8" ht="15.75" customHeight="1" x14ac:dyDescent="0.25">
      <c r="B54" s="24" t="s">
        <v>102</v>
      </c>
      <c r="C54" s="25"/>
      <c r="D54" s="25"/>
      <c r="E54" s="26"/>
      <c r="F54" s="34" t="s">
        <v>104</v>
      </c>
      <c r="G54" s="35" t="s">
        <v>104</v>
      </c>
      <c r="H54" s="29"/>
    </row>
    <row r="55" spans="2:8" ht="15.75" customHeight="1" x14ac:dyDescent="0.25">
      <c r="B55" s="25"/>
      <c r="C55" s="25"/>
      <c r="D55" s="25"/>
      <c r="E55" s="26"/>
      <c r="F55" s="27"/>
      <c r="G55" s="28"/>
      <c r="H55" s="29"/>
    </row>
    <row r="56" spans="2:8" ht="15.75" customHeight="1" x14ac:dyDescent="0.25">
      <c r="B56" s="36" t="s">
        <v>106</v>
      </c>
      <c r="C56" s="36"/>
      <c r="D56" s="36"/>
      <c r="E56" s="37"/>
      <c r="F56" s="31">
        <v>1491.4</v>
      </c>
      <c r="G56" s="32">
        <v>0.87980000000000003</v>
      </c>
      <c r="H56" s="33"/>
    </row>
    <row r="57" spans="2:8" ht="15.75" customHeight="1" x14ac:dyDescent="0.25">
      <c r="B57" s="25"/>
      <c r="C57" s="25"/>
      <c r="D57" s="25"/>
      <c r="E57" s="26"/>
      <c r="F57" s="27"/>
      <c r="G57" s="28"/>
      <c r="H57" s="29"/>
    </row>
    <row r="58" spans="2:8" ht="15.75" customHeight="1" x14ac:dyDescent="0.25">
      <c r="B58" s="24" t="s">
        <v>89</v>
      </c>
      <c r="C58" s="25"/>
      <c r="D58" s="25"/>
      <c r="E58" s="26"/>
      <c r="F58" s="27"/>
      <c r="G58" s="28"/>
      <c r="H58" s="29"/>
    </row>
    <row r="59" spans="2:8" ht="15.75" customHeight="1" x14ac:dyDescent="0.25">
      <c r="B59" s="24" t="s">
        <v>90</v>
      </c>
      <c r="C59" s="25"/>
      <c r="D59" s="25"/>
      <c r="E59" s="26"/>
      <c r="F59" s="27"/>
      <c r="G59" s="28"/>
      <c r="H59" s="29"/>
    </row>
    <row r="60" spans="2:8" ht="15.75" customHeight="1" x14ac:dyDescent="0.25">
      <c r="B60" s="25" t="s">
        <v>150</v>
      </c>
      <c r="C60" s="25" t="s">
        <v>151</v>
      </c>
      <c r="D60" s="25" t="s">
        <v>92</v>
      </c>
      <c r="E60" s="26">
        <v>150000</v>
      </c>
      <c r="F60" s="27">
        <v>151.93</v>
      </c>
      <c r="G60" s="28">
        <v>8.9599999999999999E-2</v>
      </c>
      <c r="H60" s="29">
        <v>7.0982000000000003E-2</v>
      </c>
    </row>
    <row r="61" spans="2:8" ht="15.75" customHeight="1" x14ac:dyDescent="0.25">
      <c r="B61" s="24" t="s">
        <v>102</v>
      </c>
      <c r="C61" s="24"/>
      <c r="D61" s="24"/>
      <c r="E61" s="30"/>
      <c r="F61" s="31">
        <v>151.93</v>
      </c>
      <c r="G61" s="32">
        <v>8.9599999999999999E-2</v>
      </c>
      <c r="H61" s="33"/>
    </row>
    <row r="62" spans="2:8" ht="15.75" customHeight="1" x14ac:dyDescent="0.25">
      <c r="B62" s="25"/>
      <c r="C62" s="25"/>
      <c r="D62" s="25"/>
      <c r="E62" s="26"/>
      <c r="F62" s="27"/>
      <c r="G62" s="28"/>
      <c r="H62" s="29"/>
    </row>
    <row r="63" spans="2:8" ht="15.75" customHeight="1" x14ac:dyDescent="0.25">
      <c r="B63" s="24" t="s">
        <v>103</v>
      </c>
      <c r="C63" s="25"/>
      <c r="D63" s="25"/>
      <c r="E63" s="26"/>
      <c r="F63" s="27"/>
      <c r="G63" s="28"/>
      <c r="H63" s="29"/>
    </row>
    <row r="64" spans="2:8" ht="15.75" customHeight="1" x14ac:dyDescent="0.25">
      <c r="B64" s="24" t="s">
        <v>102</v>
      </c>
      <c r="C64" s="25"/>
      <c r="D64" s="25"/>
      <c r="E64" s="26"/>
      <c r="F64" s="34" t="s">
        <v>104</v>
      </c>
      <c r="G64" s="35" t="s">
        <v>104</v>
      </c>
      <c r="H64" s="29"/>
    </row>
    <row r="65" spans="2:16" ht="15.75" customHeight="1" x14ac:dyDescent="0.25">
      <c r="B65" s="25"/>
      <c r="C65" s="25"/>
      <c r="D65" s="25"/>
      <c r="E65" s="26"/>
      <c r="F65" s="27"/>
      <c r="G65" s="28"/>
      <c r="H65" s="29"/>
    </row>
    <row r="66" spans="2:16" ht="15.75" customHeight="1" x14ac:dyDescent="0.25">
      <c r="B66" s="24" t="s">
        <v>105</v>
      </c>
      <c r="C66" s="25"/>
      <c r="D66" s="25"/>
      <c r="E66" s="26"/>
      <c r="F66" s="27"/>
      <c r="G66" s="28"/>
      <c r="H66" s="29"/>
    </row>
    <row r="67" spans="2:16" ht="15.75" customHeight="1" x14ac:dyDescent="0.25">
      <c r="B67" s="24" t="s">
        <v>102</v>
      </c>
      <c r="C67" s="25"/>
      <c r="D67" s="25"/>
      <c r="E67" s="26"/>
      <c r="F67" s="34" t="s">
        <v>104</v>
      </c>
      <c r="G67" s="35" t="s">
        <v>104</v>
      </c>
      <c r="H67" s="29"/>
    </row>
    <row r="68" spans="2:16" ht="15.75" customHeight="1" x14ac:dyDescent="0.25">
      <c r="B68" s="25"/>
      <c r="C68" s="25"/>
      <c r="D68" s="25"/>
      <c r="E68" s="26"/>
      <c r="F68" s="27"/>
      <c r="G68" s="28"/>
      <c r="H68" s="29"/>
      <c r="L68" s="3"/>
    </row>
    <row r="69" spans="2:16" ht="15.75" customHeight="1" x14ac:dyDescent="0.25">
      <c r="B69" s="36" t="s">
        <v>106</v>
      </c>
      <c r="C69" s="36"/>
      <c r="D69" s="36"/>
      <c r="E69" s="37"/>
      <c r="F69" s="31">
        <v>151.93</v>
      </c>
      <c r="G69" s="32">
        <v>8.9599999999999999E-2</v>
      </c>
      <c r="H69" s="33"/>
    </row>
    <row r="70" spans="2:16" ht="15.75" customHeight="1" x14ac:dyDescent="0.25">
      <c r="B70" s="25"/>
      <c r="C70" s="25"/>
      <c r="D70" s="25"/>
      <c r="E70" s="26"/>
      <c r="F70" s="27"/>
      <c r="G70" s="28"/>
      <c r="H70" s="29"/>
      <c r="L70" s="3"/>
    </row>
    <row r="71" spans="2:16" ht="15.75" customHeight="1" x14ac:dyDescent="0.25">
      <c r="B71" s="25"/>
      <c r="C71" s="25"/>
      <c r="D71" s="25"/>
      <c r="E71" s="26"/>
      <c r="F71" s="27"/>
      <c r="G71" s="28"/>
      <c r="H71" s="29"/>
      <c r="L71" s="3"/>
    </row>
    <row r="72" spans="2:16" ht="15.75" customHeight="1" x14ac:dyDescent="0.25">
      <c r="B72" s="24" t="s">
        <v>109</v>
      </c>
      <c r="C72" s="25"/>
      <c r="D72" s="25"/>
      <c r="E72" s="26"/>
      <c r="F72" s="27"/>
      <c r="G72" s="28"/>
      <c r="H72" s="29"/>
      <c r="L72" s="3"/>
    </row>
    <row r="73" spans="2:16" ht="15.75" customHeight="1" x14ac:dyDescent="0.25">
      <c r="B73" s="25" t="s">
        <v>110</v>
      </c>
      <c r="C73" s="25"/>
      <c r="D73" s="25"/>
      <c r="E73" s="26"/>
      <c r="F73" s="27">
        <v>55.14</v>
      </c>
      <c r="G73" s="28">
        <v>3.2500000000000001E-2</v>
      </c>
      <c r="H73" s="29"/>
      <c r="L73" s="3"/>
    </row>
    <row r="74" spans="2:16" ht="15.75" customHeight="1" x14ac:dyDescent="0.25">
      <c r="B74" s="24" t="s">
        <v>102</v>
      </c>
      <c r="C74" s="24"/>
      <c r="D74" s="24"/>
      <c r="E74" s="30"/>
      <c r="F74" s="31">
        <v>55.14</v>
      </c>
      <c r="G74" s="32">
        <v>3.2500000000000001E-2</v>
      </c>
      <c r="H74" s="33"/>
      <c r="L74" s="3"/>
    </row>
    <row r="75" spans="2:16" ht="15.75" customHeight="1" x14ac:dyDescent="0.25">
      <c r="B75" s="25"/>
      <c r="C75" s="25"/>
      <c r="D75" s="25"/>
      <c r="E75" s="26"/>
      <c r="F75" s="27"/>
      <c r="G75" s="28"/>
      <c r="H75" s="29"/>
      <c r="L75" s="5"/>
      <c r="M75" s="5"/>
      <c r="N75" s="6"/>
      <c r="O75" s="6"/>
      <c r="P75" s="5"/>
    </row>
    <row r="76" spans="2:16" ht="15.75" customHeight="1" x14ac:dyDescent="0.25">
      <c r="B76" s="36" t="s">
        <v>106</v>
      </c>
      <c r="C76" s="36"/>
      <c r="D76" s="36"/>
      <c r="E76" s="37"/>
      <c r="F76" s="31">
        <v>55.14</v>
      </c>
      <c r="G76" s="32">
        <v>3.2500000000000001E-2</v>
      </c>
      <c r="H76" s="33"/>
    </row>
    <row r="77" spans="2:16" ht="15.75" customHeight="1" x14ac:dyDescent="0.25">
      <c r="B77" s="25" t="s">
        <v>111</v>
      </c>
      <c r="C77" s="25"/>
      <c r="D77" s="25"/>
      <c r="E77" s="26"/>
      <c r="F77" s="38">
        <v>-3.42</v>
      </c>
      <c r="G77" s="39">
        <v>-1.9000000000000128E-3</v>
      </c>
      <c r="H77" s="29"/>
    </row>
    <row r="78" spans="2:16" ht="15.75" customHeight="1" x14ac:dyDescent="0.25">
      <c r="B78" s="40" t="s">
        <v>112</v>
      </c>
      <c r="C78" s="40"/>
      <c r="D78" s="40"/>
      <c r="E78" s="41"/>
      <c r="F78" s="42">
        <v>1695.05</v>
      </c>
      <c r="G78" s="43">
        <v>1</v>
      </c>
      <c r="H78" s="44"/>
      <c r="L78" s="7"/>
      <c r="M78" s="7"/>
      <c r="N78" s="7"/>
      <c r="O78" s="7"/>
      <c r="P78" s="7"/>
    </row>
    <row r="79" spans="2:16" ht="15.75" customHeight="1" thickBot="1" x14ac:dyDescent="0.3">
      <c r="B79" s="2"/>
      <c r="L79" s="7"/>
      <c r="M79" s="7"/>
      <c r="N79" s="7"/>
      <c r="O79" s="7"/>
      <c r="P79" s="7"/>
    </row>
    <row r="80" spans="2:16" ht="27" customHeight="1" thickBot="1" x14ac:dyDescent="0.3">
      <c r="B80" s="56" t="s">
        <v>964</v>
      </c>
      <c r="C80" s="57" t="s">
        <v>965</v>
      </c>
      <c r="D80" s="57" t="s">
        <v>966</v>
      </c>
      <c r="E80" s="62" t="s">
        <v>967</v>
      </c>
      <c r="G80" s="2"/>
      <c r="H80" s="2"/>
    </row>
    <row r="81" spans="2:8" ht="29.25" customHeight="1" x14ac:dyDescent="0.25">
      <c r="B81" s="63" t="s">
        <v>992</v>
      </c>
      <c r="C81" s="81"/>
      <c r="D81" s="84" t="s">
        <v>984</v>
      </c>
      <c r="E81" s="86"/>
      <c r="G81" s="2"/>
      <c r="H81" s="2"/>
    </row>
    <row r="82" spans="2:8" ht="40" customHeight="1" x14ac:dyDescent="0.25">
      <c r="B82" s="65" t="s">
        <v>993</v>
      </c>
      <c r="C82" s="82"/>
      <c r="D82" s="85"/>
      <c r="E82" s="82"/>
      <c r="G82" s="2"/>
      <c r="H82" s="2"/>
    </row>
    <row r="83" spans="2:8" ht="40" customHeight="1" x14ac:dyDescent="0.25">
      <c r="B83" s="65" t="s">
        <v>994</v>
      </c>
      <c r="C83" s="82"/>
      <c r="D83" s="85"/>
      <c r="E83" s="82"/>
      <c r="G83" s="2"/>
      <c r="H83" s="2"/>
    </row>
    <row r="84" spans="2:8" ht="23.25" customHeight="1" thickBot="1" x14ac:dyDescent="0.3">
      <c r="B84" s="67" t="s">
        <v>982</v>
      </c>
      <c r="C84" s="83"/>
      <c r="D84" s="70" t="s">
        <v>982</v>
      </c>
      <c r="E84" s="87"/>
      <c r="G84" s="2"/>
      <c r="H84" s="2"/>
    </row>
    <row r="85" spans="2:8" ht="25" customHeight="1" x14ac:dyDescent="0.25">
      <c r="B85" s="58" t="s">
        <v>969</v>
      </c>
      <c r="C85" s="59"/>
      <c r="D85" s="60"/>
      <c r="E85" s="61"/>
      <c r="G85" s="2"/>
      <c r="H85" s="2"/>
    </row>
    <row r="87" spans="2:8" ht="11.5" x14ac:dyDescent="0.25">
      <c r="B87" s="2" t="s">
        <v>970</v>
      </c>
      <c r="C87" s="2"/>
      <c r="D87" s="2"/>
      <c r="G87" s="2"/>
      <c r="H87" s="2"/>
    </row>
    <row r="88" spans="2:8" ht="11.5" x14ac:dyDescent="0.25">
      <c r="B88" s="3" t="s">
        <v>971</v>
      </c>
      <c r="C88" s="2"/>
      <c r="D88" s="2"/>
      <c r="G88" s="2"/>
      <c r="H88" s="2"/>
    </row>
  </sheetData>
  <mergeCells count="3">
    <mergeCell ref="C81:C84"/>
    <mergeCell ref="D81:D83"/>
    <mergeCell ref="E81:E84"/>
  </mergeCells>
  <hyperlinks>
    <hyperlink ref="I1" location="'Sheet1'!A1" display="Index" xr:uid="{D528EBEE-A135-48C8-91BA-62FC51A706B6}"/>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392CE-F503-440C-84BD-11C9D7BCC86E}">
  <dimension ref="B1:P91"/>
  <sheetViews>
    <sheetView workbookViewId="0"/>
  </sheetViews>
  <sheetFormatPr defaultColWidth="9.1796875" defaultRowHeight="15.75" customHeight="1" x14ac:dyDescent="0.25"/>
  <cols>
    <col min="1" max="1" width="3.6328125" style="2" customWidth="1"/>
    <col min="2" max="2" width="50.453125" style="9" customWidth="1"/>
    <col min="3" max="3" width="25.7265625" style="9" customWidth="1"/>
    <col min="4" max="4" width="26.6328125" style="9" customWidth="1"/>
    <col min="5" max="5" width="27.90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13</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272</v>
      </c>
      <c r="C7" s="25" t="s">
        <v>273</v>
      </c>
      <c r="D7" s="25" t="s">
        <v>132</v>
      </c>
      <c r="E7" s="26">
        <v>21467</v>
      </c>
      <c r="F7" s="27">
        <v>838.1</v>
      </c>
      <c r="G7" s="28">
        <v>3.4700000000000002E-2</v>
      </c>
      <c r="H7" s="29"/>
    </row>
    <row r="8" spans="2:9" ht="15.75" customHeight="1" x14ac:dyDescent="0.25">
      <c r="B8" s="25" t="s">
        <v>127</v>
      </c>
      <c r="C8" s="25" t="s">
        <v>128</v>
      </c>
      <c r="D8" s="25" t="s">
        <v>129</v>
      </c>
      <c r="E8" s="26">
        <v>68631</v>
      </c>
      <c r="F8" s="27">
        <v>823.3</v>
      </c>
      <c r="G8" s="28">
        <v>3.4099999999999998E-2</v>
      </c>
      <c r="H8" s="29"/>
    </row>
    <row r="9" spans="2:9" ht="15.75" customHeight="1" x14ac:dyDescent="0.25">
      <c r="B9" s="25" t="s">
        <v>138</v>
      </c>
      <c r="C9" s="25" t="s">
        <v>139</v>
      </c>
      <c r="D9" s="25" t="s">
        <v>140</v>
      </c>
      <c r="E9" s="26">
        <v>24651</v>
      </c>
      <c r="F9" s="27">
        <v>771.77</v>
      </c>
      <c r="G9" s="28">
        <v>3.1899999999999998E-2</v>
      </c>
      <c r="H9" s="29"/>
    </row>
    <row r="10" spans="2:9" ht="15.75" customHeight="1" x14ac:dyDescent="0.25">
      <c r="B10" s="25" t="s">
        <v>215</v>
      </c>
      <c r="C10" s="25" t="s">
        <v>216</v>
      </c>
      <c r="D10" s="25" t="s">
        <v>129</v>
      </c>
      <c r="E10" s="26">
        <v>42798</v>
      </c>
      <c r="F10" s="27">
        <v>771.43</v>
      </c>
      <c r="G10" s="28">
        <v>3.1899999999999998E-2</v>
      </c>
      <c r="H10" s="29"/>
    </row>
    <row r="11" spans="2:9" ht="15.75" customHeight="1" x14ac:dyDescent="0.25">
      <c r="B11" s="25" t="s">
        <v>338</v>
      </c>
      <c r="C11" s="25" t="s">
        <v>339</v>
      </c>
      <c r="D11" s="25" t="s">
        <v>202</v>
      </c>
      <c r="E11" s="26">
        <v>193852</v>
      </c>
      <c r="F11" s="27">
        <v>733.44</v>
      </c>
      <c r="G11" s="28">
        <v>3.0300000000000001E-2</v>
      </c>
      <c r="H11" s="29"/>
    </row>
    <row r="12" spans="2:9" ht="15.75" customHeight="1" x14ac:dyDescent="0.25">
      <c r="B12" s="25" t="s">
        <v>335</v>
      </c>
      <c r="C12" s="25" t="s">
        <v>336</v>
      </c>
      <c r="D12" s="25" t="s">
        <v>337</v>
      </c>
      <c r="E12" s="26">
        <v>16549</v>
      </c>
      <c r="F12" s="27">
        <v>606.47</v>
      </c>
      <c r="G12" s="28">
        <v>2.5100000000000001E-2</v>
      </c>
      <c r="H12" s="29"/>
    </row>
    <row r="13" spans="2:9" ht="15.75" customHeight="1" x14ac:dyDescent="0.25">
      <c r="B13" s="25" t="s">
        <v>141</v>
      </c>
      <c r="C13" s="25" t="s">
        <v>142</v>
      </c>
      <c r="D13" s="25" t="s">
        <v>143</v>
      </c>
      <c r="E13" s="26">
        <v>24384</v>
      </c>
      <c r="F13" s="27">
        <v>603.03</v>
      </c>
      <c r="G13" s="28">
        <v>2.4899999999999999E-2</v>
      </c>
      <c r="H13" s="29"/>
    </row>
    <row r="14" spans="2:9" ht="15.75" customHeight="1" x14ac:dyDescent="0.25">
      <c r="B14" s="25" t="s">
        <v>365</v>
      </c>
      <c r="C14" s="25" t="s">
        <v>366</v>
      </c>
      <c r="D14" s="25" t="s">
        <v>227</v>
      </c>
      <c r="E14" s="26">
        <v>122087</v>
      </c>
      <c r="F14" s="27">
        <v>592.24</v>
      </c>
      <c r="G14" s="28">
        <v>2.4500000000000001E-2</v>
      </c>
      <c r="H14" s="29"/>
    </row>
    <row r="15" spans="2:9" ht="15.75" customHeight="1" x14ac:dyDescent="0.25">
      <c r="B15" s="25" t="s">
        <v>164</v>
      </c>
      <c r="C15" s="25" t="s">
        <v>165</v>
      </c>
      <c r="D15" s="25" t="s">
        <v>166</v>
      </c>
      <c r="E15" s="26">
        <v>189968</v>
      </c>
      <c r="F15" s="27">
        <v>581.11</v>
      </c>
      <c r="G15" s="28">
        <v>2.4E-2</v>
      </c>
      <c r="H15" s="29"/>
    </row>
    <row r="16" spans="2:9" ht="15.75" customHeight="1" x14ac:dyDescent="0.25">
      <c r="B16" s="25" t="s">
        <v>381</v>
      </c>
      <c r="C16" s="25" t="s">
        <v>382</v>
      </c>
      <c r="D16" s="25" t="s">
        <v>169</v>
      </c>
      <c r="E16" s="26">
        <v>11585</v>
      </c>
      <c r="F16" s="27">
        <v>578.25</v>
      </c>
      <c r="G16" s="28">
        <v>2.3900000000000001E-2</v>
      </c>
      <c r="H16" s="29"/>
    </row>
    <row r="17" spans="2:8" ht="15.75" customHeight="1" x14ac:dyDescent="0.25">
      <c r="B17" s="25" t="s">
        <v>133</v>
      </c>
      <c r="C17" s="25" t="s">
        <v>134</v>
      </c>
      <c r="D17" s="25" t="s">
        <v>135</v>
      </c>
      <c r="E17" s="26">
        <v>18248</v>
      </c>
      <c r="F17" s="27">
        <v>523.11</v>
      </c>
      <c r="G17" s="28">
        <v>2.1600000000000001E-2</v>
      </c>
      <c r="H17" s="29"/>
    </row>
    <row r="18" spans="2:8" ht="15.75" customHeight="1" x14ac:dyDescent="0.25">
      <c r="B18" s="25" t="s">
        <v>188</v>
      </c>
      <c r="C18" s="25" t="s">
        <v>189</v>
      </c>
      <c r="D18" s="25" t="s">
        <v>129</v>
      </c>
      <c r="E18" s="26">
        <v>40363</v>
      </c>
      <c r="F18" s="27">
        <v>510.69</v>
      </c>
      <c r="G18" s="28">
        <v>2.1100000000000001E-2</v>
      </c>
      <c r="H18" s="29"/>
    </row>
    <row r="19" spans="2:8" ht="15.75" customHeight="1" x14ac:dyDescent="0.25">
      <c r="B19" s="25" t="s">
        <v>298</v>
      </c>
      <c r="C19" s="25" t="s">
        <v>299</v>
      </c>
      <c r="D19" s="25" t="s">
        <v>227</v>
      </c>
      <c r="E19" s="26">
        <v>17380</v>
      </c>
      <c r="F19" s="27">
        <v>506.02</v>
      </c>
      <c r="G19" s="28">
        <v>2.0899999999999998E-2</v>
      </c>
      <c r="H19" s="29"/>
    </row>
    <row r="20" spans="2:8" ht="15.75" customHeight="1" x14ac:dyDescent="0.25">
      <c r="B20" s="25" t="s">
        <v>354</v>
      </c>
      <c r="C20" s="25" t="s">
        <v>355</v>
      </c>
      <c r="D20" s="25" t="s">
        <v>135</v>
      </c>
      <c r="E20" s="26">
        <v>4008</v>
      </c>
      <c r="F20" s="27">
        <v>482.32</v>
      </c>
      <c r="G20" s="28">
        <v>1.9900000000000001E-2</v>
      </c>
      <c r="H20" s="29"/>
    </row>
    <row r="21" spans="2:8" ht="15.75" customHeight="1" x14ac:dyDescent="0.25">
      <c r="B21" s="25" t="s">
        <v>446</v>
      </c>
      <c r="C21" s="25" t="s">
        <v>447</v>
      </c>
      <c r="D21" s="25" t="s">
        <v>254</v>
      </c>
      <c r="E21" s="26">
        <v>92476</v>
      </c>
      <c r="F21" s="27">
        <v>476.71</v>
      </c>
      <c r="G21" s="28">
        <v>1.9699999999999999E-2</v>
      </c>
      <c r="H21" s="29"/>
    </row>
    <row r="22" spans="2:8" ht="15.75" customHeight="1" x14ac:dyDescent="0.25">
      <c r="B22" s="25" t="s">
        <v>208</v>
      </c>
      <c r="C22" s="25" t="s">
        <v>209</v>
      </c>
      <c r="D22" s="25" t="s">
        <v>132</v>
      </c>
      <c r="E22" s="26">
        <v>32086</v>
      </c>
      <c r="F22" s="27">
        <v>458.94</v>
      </c>
      <c r="G22" s="28">
        <v>1.9E-2</v>
      </c>
      <c r="H22" s="29"/>
    </row>
    <row r="23" spans="2:8" ht="15.75" customHeight="1" x14ac:dyDescent="0.25">
      <c r="B23" s="25" t="s">
        <v>527</v>
      </c>
      <c r="C23" s="25" t="s">
        <v>528</v>
      </c>
      <c r="D23" s="25" t="s">
        <v>178</v>
      </c>
      <c r="E23" s="26">
        <v>9826</v>
      </c>
      <c r="F23" s="27">
        <v>457.15</v>
      </c>
      <c r="G23" s="28">
        <v>1.89E-2</v>
      </c>
      <c r="H23" s="29"/>
    </row>
    <row r="24" spans="2:8" ht="15.75" customHeight="1" x14ac:dyDescent="0.25">
      <c r="B24" s="25" t="s">
        <v>513</v>
      </c>
      <c r="C24" s="25" t="s">
        <v>514</v>
      </c>
      <c r="D24" s="25" t="s">
        <v>251</v>
      </c>
      <c r="E24" s="26">
        <v>591576</v>
      </c>
      <c r="F24" s="27">
        <v>445.52</v>
      </c>
      <c r="G24" s="28">
        <v>1.84E-2</v>
      </c>
      <c r="H24" s="29"/>
    </row>
    <row r="25" spans="2:8" ht="15.75" customHeight="1" x14ac:dyDescent="0.25">
      <c r="B25" s="25" t="s">
        <v>385</v>
      </c>
      <c r="C25" s="25" t="s">
        <v>386</v>
      </c>
      <c r="D25" s="25" t="s">
        <v>241</v>
      </c>
      <c r="E25" s="26">
        <v>141729</v>
      </c>
      <c r="F25" s="27">
        <v>420.3</v>
      </c>
      <c r="G25" s="28">
        <v>1.7399999999999999E-2</v>
      </c>
      <c r="H25" s="29"/>
    </row>
    <row r="26" spans="2:8" ht="15.75" customHeight="1" x14ac:dyDescent="0.25">
      <c r="B26" s="25" t="s">
        <v>130</v>
      </c>
      <c r="C26" s="25" t="s">
        <v>131</v>
      </c>
      <c r="D26" s="25" t="s">
        <v>132</v>
      </c>
      <c r="E26" s="26">
        <v>26348</v>
      </c>
      <c r="F26" s="27">
        <v>412.81</v>
      </c>
      <c r="G26" s="28">
        <v>1.7100000000000001E-2</v>
      </c>
      <c r="H26" s="29"/>
    </row>
    <row r="27" spans="2:8" ht="15.75" customHeight="1" x14ac:dyDescent="0.25">
      <c r="B27" s="25" t="s">
        <v>529</v>
      </c>
      <c r="C27" s="25" t="s">
        <v>530</v>
      </c>
      <c r="D27" s="25" t="s">
        <v>224</v>
      </c>
      <c r="E27" s="26">
        <v>24768</v>
      </c>
      <c r="F27" s="27">
        <v>384.72</v>
      </c>
      <c r="G27" s="28">
        <v>1.5900000000000001E-2</v>
      </c>
      <c r="H27" s="29"/>
    </row>
    <row r="28" spans="2:8" ht="15.75" customHeight="1" x14ac:dyDescent="0.25">
      <c r="B28" s="25" t="s">
        <v>531</v>
      </c>
      <c r="C28" s="25" t="s">
        <v>532</v>
      </c>
      <c r="D28" s="25" t="s">
        <v>269</v>
      </c>
      <c r="E28" s="26">
        <v>42150</v>
      </c>
      <c r="F28" s="27">
        <v>379.83</v>
      </c>
      <c r="G28" s="28">
        <v>1.5699999999999999E-2</v>
      </c>
      <c r="H28" s="29"/>
    </row>
    <row r="29" spans="2:8" ht="15.75" customHeight="1" x14ac:dyDescent="0.25">
      <c r="B29" s="25" t="s">
        <v>533</v>
      </c>
      <c r="C29" s="25" t="s">
        <v>534</v>
      </c>
      <c r="D29" s="25" t="s">
        <v>337</v>
      </c>
      <c r="E29" s="26">
        <v>59887</v>
      </c>
      <c r="F29" s="27">
        <v>374.05</v>
      </c>
      <c r="G29" s="28">
        <v>1.55E-2</v>
      </c>
      <c r="H29" s="29"/>
    </row>
    <row r="30" spans="2:8" ht="15.75" customHeight="1" x14ac:dyDescent="0.25">
      <c r="B30" s="25" t="s">
        <v>340</v>
      </c>
      <c r="C30" s="25" t="s">
        <v>341</v>
      </c>
      <c r="D30" s="25" t="s">
        <v>276</v>
      </c>
      <c r="E30" s="26">
        <v>13820</v>
      </c>
      <c r="F30" s="27">
        <v>369.06</v>
      </c>
      <c r="G30" s="28">
        <v>1.5299999999999999E-2</v>
      </c>
      <c r="H30" s="29"/>
    </row>
    <row r="31" spans="2:8" ht="15.75" customHeight="1" x14ac:dyDescent="0.25">
      <c r="B31" s="25" t="s">
        <v>200</v>
      </c>
      <c r="C31" s="25" t="s">
        <v>201</v>
      </c>
      <c r="D31" s="25" t="s">
        <v>202</v>
      </c>
      <c r="E31" s="26">
        <v>83751</v>
      </c>
      <c r="F31" s="27">
        <v>369.01</v>
      </c>
      <c r="G31" s="28">
        <v>1.5299999999999999E-2</v>
      </c>
      <c r="H31" s="29"/>
    </row>
    <row r="32" spans="2:8" ht="15.75" customHeight="1" x14ac:dyDescent="0.25">
      <c r="B32" s="25" t="s">
        <v>210</v>
      </c>
      <c r="C32" s="25" t="s">
        <v>211</v>
      </c>
      <c r="D32" s="25" t="s">
        <v>143</v>
      </c>
      <c r="E32" s="26">
        <v>86190</v>
      </c>
      <c r="F32" s="27">
        <v>366.22</v>
      </c>
      <c r="G32" s="28">
        <v>1.5100000000000001E-2</v>
      </c>
      <c r="H32" s="29"/>
    </row>
    <row r="33" spans="2:8" ht="15.75" customHeight="1" x14ac:dyDescent="0.25">
      <c r="B33" s="25" t="s">
        <v>230</v>
      </c>
      <c r="C33" s="25" t="s">
        <v>231</v>
      </c>
      <c r="D33" s="25" t="s">
        <v>232</v>
      </c>
      <c r="E33" s="26">
        <v>8580</v>
      </c>
      <c r="F33" s="27">
        <v>362.78</v>
      </c>
      <c r="G33" s="28">
        <v>1.4999999999999999E-2</v>
      </c>
      <c r="H33" s="29"/>
    </row>
    <row r="34" spans="2:8" ht="15.75" customHeight="1" x14ac:dyDescent="0.25">
      <c r="B34" s="25" t="s">
        <v>535</v>
      </c>
      <c r="C34" s="25" t="s">
        <v>536</v>
      </c>
      <c r="D34" s="25" t="s">
        <v>224</v>
      </c>
      <c r="E34" s="26">
        <v>51927</v>
      </c>
      <c r="F34" s="27">
        <v>356.06</v>
      </c>
      <c r="G34" s="28">
        <v>1.47E-2</v>
      </c>
      <c r="H34" s="29"/>
    </row>
    <row r="35" spans="2:8" ht="15.75" customHeight="1" x14ac:dyDescent="0.25">
      <c r="B35" s="25" t="s">
        <v>170</v>
      </c>
      <c r="C35" s="25" t="s">
        <v>171</v>
      </c>
      <c r="D35" s="25" t="s">
        <v>129</v>
      </c>
      <c r="E35" s="26">
        <v>23743</v>
      </c>
      <c r="F35" s="27">
        <v>347.72</v>
      </c>
      <c r="G35" s="28">
        <v>1.44E-2</v>
      </c>
      <c r="H35" s="29"/>
    </row>
    <row r="36" spans="2:8" ht="15.75" customHeight="1" x14ac:dyDescent="0.25">
      <c r="B36" s="25" t="s">
        <v>206</v>
      </c>
      <c r="C36" s="25" t="s">
        <v>207</v>
      </c>
      <c r="D36" s="25" t="s">
        <v>202</v>
      </c>
      <c r="E36" s="26">
        <v>103907</v>
      </c>
      <c r="F36" s="27">
        <v>343.88</v>
      </c>
      <c r="G36" s="28">
        <v>1.4200000000000001E-2</v>
      </c>
      <c r="H36" s="29"/>
    </row>
    <row r="37" spans="2:8" ht="15.75" customHeight="1" x14ac:dyDescent="0.25">
      <c r="B37" s="25" t="s">
        <v>537</v>
      </c>
      <c r="C37" s="25" t="s">
        <v>538</v>
      </c>
      <c r="D37" s="25" t="s">
        <v>263</v>
      </c>
      <c r="E37" s="26">
        <v>80032</v>
      </c>
      <c r="F37" s="27">
        <v>343.58</v>
      </c>
      <c r="G37" s="28">
        <v>1.4200000000000001E-2</v>
      </c>
      <c r="H37" s="29"/>
    </row>
    <row r="38" spans="2:8" ht="15.75" customHeight="1" x14ac:dyDescent="0.25">
      <c r="B38" s="25" t="s">
        <v>220</v>
      </c>
      <c r="C38" s="25" t="s">
        <v>221</v>
      </c>
      <c r="D38" s="25" t="s">
        <v>129</v>
      </c>
      <c r="E38" s="26">
        <v>40451</v>
      </c>
      <c r="F38" s="27">
        <v>343.41</v>
      </c>
      <c r="G38" s="28">
        <v>1.4200000000000001E-2</v>
      </c>
      <c r="H38" s="29"/>
    </row>
    <row r="39" spans="2:8" ht="15.75" customHeight="1" x14ac:dyDescent="0.25">
      <c r="B39" s="25" t="s">
        <v>539</v>
      </c>
      <c r="C39" s="25" t="s">
        <v>540</v>
      </c>
      <c r="D39" s="25" t="s">
        <v>316</v>
      </c>
      <c r="E39" s="26">
        <v>19149</v>
      </c>
      <c r="F39" s="27">
        <v>342.09</v>
      </c>
      <c r="G39" s="28">
        <v>1.41E-2</v>
      </c>
      <c r="H39" s="29"/>
    </row>
    <row r="40" spans="2:8" ht="15.75" customHeight="1" x14ac:dyDescent="0.25">
      <c r="B40" s="25" t="s">
        <v>222</v>
      </c>
      <c r="C40" s="25" t="s">
        <v>223</v>
      </c>
      <c r="D40" s="25" t="s">
        <v>224</v>
      </c>
      <c r="E40" s="26">
        <v>9471</v>
      </c>
      <c r="F40" s="27">
        <v>336.07</v>
      </c>
      <c r="G40" s="28">
        <v>1.3899999999999999E-2</v>
      </c>
      <c r="H40" s="29"/>
    </row>
    <row r="41" spans="2:8" ht="15.75" customHeight="1" x14ac:dyDescent="0.25">
      <c r="B41" s="25" t="s">
        <v>541</v>
      </c>
      <c r="C41" s="25" t="s">
        <v>542</v>
      </c>
      <c r="D41" s="25" t="s">
        <v>295</v>
      </c>
      <c r="E41" s="26">
        <v>75237</v>
      </c>
      <c r="F41" s="27">
        <v>335.93</v>
      </c>
      <c r="G41" s="28">
        <v>1.3899999999999999E-2</v>
      </c>
      <c r="H41" s="29"/>
    </row>
    <row r="42" spans="2:8" ht="15.75" customHeight="1" x14ac:dyDescent="0.25">
      <c r="B42" s="25" t="s">
        <v>249</v>
      </c>
      <c r="C42" s="25" t="s">
        <v>250</v>
      </c>
      <c r="D42" s="25" t="s">
        <v>251</v>
      </c>
      <c r="E42" s="26">
        <v>20000</v>
      </c>
      <c r="F42" s="27">
        <v>334.07</v>
      </c>
      <c r="G42" s="28">
        <v>1.38E-2</v>
      </c>
      <c r="H42" s="29"/>
    </row>
    <row r="43" spans="2:8" ht="15.75" customHeight="1" x14ac:dyDescent="0.25">
      <c r="B43" s="25" t="s">
        <v>379</v>
      </c>
      <c r="C43" s="25" t="s">
        <v>380</v>
      </c>
      <c r="D43" s="25" t="s">
        <v>129</v>
      </c>
      <c r="E43" s="26">
        <v>271700</v>
      </c>
      <c r="F43" s="27">
        <v>327.43</v>
      </c>
      <c r="G43" s="28">
        <v>1.35E-2</v>
      </c>
      <c r="H43" s="29"/>
    </row>
    <row r="44" spans="2:8" ht="15.75" customHeight="1" x14ac:dyDescent="0.25">
      <c r="B44" s="25" t="s">
        <v>543</v>
      </c>
      <c r="C44" s="25" t="s">
        <v>544</v>
      </c>
      <c r="D44" s="25" t="s">
        <v>362</v>
      </c>
      <c r="E44" s="26">
        <v>5220</v>
      </c>
      <c r="F44" s="27">
        <v>322.89</v>
      </c>
      <c r="G44" s="28">
        <v>1.34E-2</v>
      </c>
      <c r="H44" s="29"/>
    </row>
    <row r="45" spans="2:8" ht="15.75" customHeight="1" x14ac:dyDescent="0.25">
      <c r="B45" s="25" t="s">
        <v>545</v>
      </c>
      <c r="C45" s="25" t="s">
        <v>546</v>
      </c>
      <c r="D45" s="25" t="s">
        <v>547</v>
      </c>
      <c r="E45" s="26">
        <v>57279</v>
      </c>
      <c r="F45" s="27">
        <v>310.54000000000002</v>
      </c>
      <c r="G45" s="28">
        <v>1.2800000000000001E-2</v>
      </c>
      <c r="H45" s="29"/>
    </row>
    <row r="46" spans="2:8" ht="15.75" customHeight="1" x14ac:dyDescent="0.25">
      <c r="B46" s="25" t="s">
        <v>270</v>
      </c>
      <c r="C46" s="25" t="s">
        <v>271</v>
      </c>
      <c r="D46" s="25" t="s">
        <v>194</v>
      </c>
      <c r="E46" s="26">
        <v>9000</v>
      </c>
      <c r="F46" s="27">
        <v>306.38</v>
      </c>
      <c r="G46" s="28">
        <v>1.2699999999999999E-2</v>
      </c>
      <c r="H46" s="29"/>
    </row>
    <row r="47" spans="2:8" ht="15.75" customHeight="1" x14ac:dyDescent="0.25">
      <c r="B47" s="25" t="s">
        <v>548</v>
      </c>
      <c r="C47" s="25" t="s">
        <v>549</v>
      </c>
      <c r="D47" s="25" t="s">
        <v>362</v>
      </c>
      <c r="E47" s="26">
        <v>170341</v>
      </c>
      <c r="F47" s="27">
        <v>302.22000000000003</v>
      </c>
      <c r="G47" s="28">
        <v>1.2500000000000001E-2</v>
      </c>
      <c r="H47" s="29"/>
    </row>
    <row r="48" spans="2:8" ht="15.75" customHeight="1" x14ac:dyDescent="0.25">
      <c r="B48" s="25" t="s">
        <v>550</v>
      </c>
      <c r="C48" s="25" t="s">
        <v>551</v>
      </c>
      <c r="D48" s="25" t="s">
        <v>224</v>
      </c>
      <c r="E48" s="26">
        <v>416760</v>
      </c>
      <c r="F48" s="27">
        <v>301.32</v>
      </c>
      <c r="G48" s="28">
        <v>1.2500000000000001E-2</v>
      </c>
      <c r="H48" s="29"/>
    </row>
    <row r="49" spans="2:8" ht="15.75" customHeight="1" x14ac:dyDescent="0.25">
      <c r="B49" s="25" t="s">
        <v>363</v>
      </c>
      <c r="C49" s="25" t="s">
        <v>364</v>
      </c>
      <c r="D49" s="25" t="s">
        <v>269</v>
      </c>
      <c r="E49" s="26">
        <v>12239</v>
      </c>
      <c r="F49" s="27">
        <v>298.14999999999998</v>
      </c>
      <c r="G49" s="28">
        <v>1.23E-2</v>
      </c>
      <c r="H49" s="29"/>
    </row>
    <row r="50" spans="2:8" ht="15.75" customHeight="1" x14ac:dyDescent="0.25">
      <c r="B50" s="25" t="s">
        <v>422</v>
      </c>
      <c r="C50" s="25" t="s">
        <v>423</v>
      </c>
      <c r="D50" s="25" t="s">
        <v>178</v>
      </c>
      <c r="E50" s="26">
        <v>83356</v>
      </c>
      <c r="F50" s="27">
        <v>296.33</v>
      </c>
      <c r="G50" s="28">
        <v>1.23E-2</v>
      </c>
      <c r="H50" s="29"/>
    </row>
    <row r="51" spans="2:8" ht="15.75" customHeight="1" x14ac:dyDescent="0.25">
      <c r="B51" s="25" t="s">
        <v>515</v>
      </c>
      <c r="C51" s="25" t="s">
        <v>516</v>
      </c>
      <c r="D51" s="25" t="s">
        <v>140</v>
      </c>
      <c r="E51" s="26">
        <v>52876</v>
      </c>
      <c r="F51" s="27">
        <v>294.83999999999997</v>
      </c>
      <c r="G51" s="28">
        <v>1.2200000000000001E-2</v>
      </c>
      <c r="H51" s="29"/>
    </row>
    <row r="52" spans="2:8" ht="15.75" customHeight="1" x14ac:dyDescent="0.25">
      <c r="B52" s="25" t="s">
        <v>195</v>
      </c>
      <c r="C52" s="25" t="s">
        <v>196</v>
      </c>
      <c r="D52" s="25" t="s">
        <v>129</v>
      </c>
      <c r="E52" s="26">
        <v>105387</v>
      </c>
      <c r="F52" s="27">
        <v>290.24</v>
      </c>
      <c r="G52" s="28">
        <v>1.2E-2</v>
      </c>
      <c r="H52" s="29"/>
    </row>
    <row r="53" spans="2:8" ht="15.75" customHeight="1" x14ac:dyDescent="0.25">
      <c r="B53" s="25" t="s">
        <v>552</v>
      </c>
      <c r="C53" s="25" t="s">
        <v>553</v>
      </c>
      <c r="D53" s="25" t="s">
        <v>508</v>
      </c>
      <c r="E53" s="26">
        <v>727</v>
      </c>
      <c r="F53" s="27">
        <v>284.25</v>
      </c>
      <c r="G53" s="28">
        <v>1.18E-2</v>
      </c>
      <c r="H53" s="29"/>
    </row>
    <row r="54" spans="2:8" ht="15.75" customHeight="1" x14ac:dyDescent="0.25">
      <c r="B54" s="25" t="s">
        <v>554</v>
      </c>
      <c r="C54" s="25" t="s">
        <v>555</v>
      </c>
      <c r="D54" s="25" t="s">
        <v>135</v>
      </c>
      <c r="E54" s="26">
        <v>2725</v>
      </c>
      <c r="F54" s="27">
        <v>258.92</v>
      </c>
      <c r="G54" s="28">
        <v>1.0699999999999999E-2</v>
      </c>
      <c r="H54" s="29"/>
    </row>
    <row r="55" spans="2:8" ht="15.75" customHeight="1" x14ac:dyDescent="0.25">
      <c r="B55" s="25" t="s">
        <v>373</v>
      </c>
      <c r="C55" s="25" t="s">
        <v>374</v>
      </c>
      <c r="D55" s="25" t="s">
        <v>316</v>
      </c>
      <c r="E55" s="26">
        <v>88988</v>
      </c>
      <c r="F55" s="27">
        <v>250.06</v>
      </c>
      <c r="G55" s="28">
        <v>1.03E-2</v>
      </c>
      <c r="H55" s="29"/>
    </row>
    <row r="56" spans="2:8" ht="15.75" customHeight="1" x14ac:dyDescent="0.25">
      <c r="B56" s="25" t="s">
        <v>556</v>
      </c>
      <c r="C56" s="25" t="s">
        <v>557</v>
      </c>
      <c r="D56" s="25" t="s">
        <v>146</v>
      </c>
      <c r="E56" s="26">
        <v>17371</v>
      </c>
      <c r="F56" s="27">
        <v>238.86</v>
      </c>
      <c r="G56" s="28">
        <v>9.9000000000000008E-3</v>
      </c>
      <c r="H56" s="29"/>
    </row>
    <row r="57" spans="2:8" ht="15.75" customHeight="1" x14ac:dyDescent="0.25">
      <c r="B57" s="25" t="s">
        <v>558</v>
      </c>
      <c r="C57" s="25" t="s">
        <v>559</v>
      </c>
      <c r="D57" s="25" t="s">
        <v>169</v>
      </c>
      <c r="E57" s="26">
        <v>3637</v>
      </c>
      <c r="F57" s="27">
        <v>236.41</v>
      </c>
      <c r="G57" s="28">
        <v>9.7999999999999997E-3</v>
      </c>
      <c r="H57" s="29"/>
    </row>
    <row r="58" spans="2:8" ht="15.75" customHeight="1" x14ac:dyDescent="0.25">
      <c r="B58" s="25" t="s">
        <v>455</v>
      </c>
      <c r="C58" s="25" t="s">
        <v>456</v>
      </c>
      <c r="D58" s="25" t="s">
        <v>337</v>
      </c>
      <c r="E58" s="26">
        <v>18669</v>
      </c>
      <c r="F58" s="27">
        <v>231.07</v>
      </c>
      <c r="G58" s="28">
        <v>9.5999999999999992E-3</v>
      </c>
      <c r="H58" s="29"/>
    </row>
    <row r="59" spans="2:8" ht="15.75" customHeight="1" x14ac:dyDescent="0.25">
      <c r="B59" s="25" t="s">
        <v>431</v>
      </c>
      <c r="C59" s="25" t="s">
        <v>432</v>
      </c>
      <c r="D59" s="25" t="s">
        <v>146</v>
      </c>
      <c r="E59" s="26">
        <v>31927</v>
      </c>
      <c r="F59" s="27">
        <v>228.47</v>
      </c>
      <c r="G59" s="28">
        <v>9.4000000000000004E-3</v>
      </c>
      <c r="H59" s="29"/>
    </row>
    <row r="60" spans="2:8" ht="15.75" customHeight="1" x14ac:dyDescent="0.25">
      <c r="B60" s="25" t="s">
        <v>387</v>
      </c>
      <c r="C60" s="25" t="s">
        <v>388</v>
      </c>
      <c r="D60" s="25" t="s">
        <v>132</v>
      </c>
      <c r="E60" s="26">
        <v>36392</v>
      </c>
      <c r="F60" s="27">
        <v>215.6</v>
      </c>
      <c r="G60" s="28">
        <v>8.8999999999999999E-3</v>
      </c>
      <c r="H60" s="29"/>
    </row>
    <row r="61" spans="2:8" ht="15.75" customHeight="1" x14ac:dyDescent="0.25">
      <c r="B61" s="25" t="s">
        <v>440</v>
      </c>
      <c r="C61" s="25" t="s">
        <v>441</v>
      </c>
      <c r="D61" s="25" t="s">
        <v>346</v>
      </c>
      <c r="E61" s="26">
        <v>63617</v>
      </c>
      <c r="F61" s="27">
        <v>205.78</v>
      </c>
      <c r="G61" s="28">
        <v>8.5000000000000006E-3</v>
      </c>
      <c r="H61" s="29"/>
    </row>
    <row r="62" spans="2:8" ht="15.75" customHeight="1" x14ac:dyDescent="0.25">
      <c r="B62" s="25" t="s">
        <v>517</v>
      </c>
      <c r="C62" s="25" t="s">
        <v>518</v>
      </c>
      <c r="D62" s="25" t="s">
        <v>346</v>
      </c>
      <c r="E62" s="26">
        <v>5645</v>
      </c>
      <c r="F62" s="27">
        <v>186.33</v>
      </c>
      <c r="G62" s="28">
        <v>7.7000000000000002E-3</v>
      </c>
      <c r="H62" s="29"/>
    </row>
    <row r="63" spans="2:8" ht="15.75" customHeight="1" x14ac:dyDescent="0.25">
      <c r="B63" s="25" t="s">
        <v>560</v>
      </c>
      <c r="C63" s="25" t="s">
        <v>561</v>
      </c>
      <c r="D63" s="25" t="s">
        <v>269</v>
      </c>
      <c r="E63" s="26">
        <v>66312</v>
      </c>
      <c r="F63" s="27">
        <v>169.9</v>
      </c>
      <c r="G63" s="28">
        <v>7.0000000000000001E-3</v>
      </c>
      <c r="H63" s="29"/>
    </row>
    <row r="64" spans="2:8" ht="15.75" customHeight="1" x14ac:dyDescent="0.25">
      <c r="B64" s="25" t="s">
        <v>562</v>
      </c>
      <c r="C64" s="25" t="s">
        <v>563</v>
      </c>
      <c r="D64" s="25" t="s">
        <v>169</v>
      </c>
      <c r="E64" s="26">
        <v>4452</v>
      </c>
      <c r="F64" s="27">
        <v>167.96</v>
      </c>
      <c r="G64" s="28">
        <v>6.8999999999999999E-3</v>
      </c>
      <c r="H64" s="29"/>
    </row>
    <row r="65" spans="2:16" ht="15.75" customHeight="1" x14ac:dyDescent="0.25">
      <c r="B65" s="25" t="s">
        <v>564</v>
      </c>
      <c r="C65" s="25" t="s">
        <v>565</v>
      </c>
      <c r="D65" s="25" t="s">
        <v>566</v>
      </c>
      <c r="E65" s="26">
        <v>3868</v>
      </c>
      <c r="F65" s="27">
        <v>22.86</v>
      </c>
      <c r="G65" s="28">
        <v>8.9999999999999998E-4</v>
      </c>
      <c r="H65" s="29"/>
    </row>
    <row r="66" spans="2:16" ht="15.75" customHeight="1" x14ac:dyDescent="0.25">
      <c r="B66" s="24" t="s">
        <v>102</v>
      </c>
      <c r="C66" s="24"/>
      <c r="D66" s="24"/>
      <c r="E66" s="30"/>
      <c r="F66" s="31">
        <v>23028</v>
      </c>
      <c r="G66" s="32">
        <v>0.95240000000000002</v>
      </c>
      <c r="H66" s="33"/>
    </row>
    <row r="67" spans="2:16" ht="15.75" customHeight="1" x14ac:dyDescent="0.25">
      <c r="B67" s="24" t="s">
        <v>149</v>
      </c>
      <c r="C67" s="25"/>
      <c r="D67" s="25"/>
      <c r="E67" s="26"/>
      <c r="F67" s="27"/>
      <c r="G67" s="28"/>
      <c r="H67" s="29"/>
    </row>
    <row r="68" spans="2:16" ht="15.75" customHeight="1" x14ac:dyDescent="0.25">
      <c r="B68" s="24" t="s">
        <v>102</v>
      </c>
      <c r="C68" s="25"/>
      <c r="D68" s="25"/>
      <c r="E68" s="26"/>
      <c r="F68" s="34" t="s">
        <v>104</v>
      </c>
      <c r="G68" s="35" t="s">
        <v>104</v>
      </c>
      <c r="H68" s="29"/>
      <c r="L68" s="3"/>
    </row>
    <row r="69" spans="2:16" ht="15.75" customHeight="1" x14ac:dyDescent="0.25">
      <c r="B69" s="25"/>
      <c r="C69" s="25"/>
      <c r="D69" s="25"/>
      <c r="E69" s="26"/>
      <c r="F69" s="27"/>
      <c r="G69" s="28"/>
      <c r="H69" s="29"/>
    </row>
    <row r="70" spans="2:16" ht="15.75" customHeight="1" x14ac:dyDescent="0.25">
      <c r="B70" s="36" t="s">
        <v>106</v>
      </c>
      <c r="C70" s="36"/>
      <c r="D70" s="36"/>
      <c r="E70" s="37"/>
      <c r="F70" s="31">
        <v>23028</v>
      </c>
      <c r="G70" s="32">
        <v>0.95240000000000002</v>
      </c>
      <c r="H70" s="33"/>
      <c r="L70" s="3"/>
    </row>
    <row r="71" spans="2:16" ht="15.75" customHeight="1" x14ac:dyDescent="0.25">
      <c r="B71" s="25"/>
      <c r="C71" s="25"/>
      <c r="D71" s="25"/>
      <c r="E71" s="26"/>
      <c r="F71" s="27"/>
      <c r="G71" s="28"/>
      <c r="H71" s="29"/>
      <c r="L71" s="3"/>
    </row>
    <row r="72" spans="2:16" ht="15.75" customHeight="1" x14ac:dyDescent="0.25">
      <c r="B72" s="25"/>
      <c r="C72" s="25"/>
      <c r="D72" s="25"/>
      <c r="E72" s="26"/>
      <c r="F72" s="27"/>
      <c r="G72" s="28"/>
      <c r="H72" s="29"/>
      <c r="L72" s="3"/>
    </row>
    <row r="73" spans="2:16" ht="15.75" customHeight="1" x14ac:dyDescent="0.25">
      <c r="B73" s="24" t="s">
        <v>109</v>
      </c>
      <c r="C73" s="25"/>
      <c r="D73" s="25"/>
      <c r="E73" s="26"/>
      <c r="F73" s="27"/>
      <c r="G73" s="28"/>
      <c r="H73" s="29"/>
      <c r="L73" s="3"/>
    </row>
    <row r="74" spans="2:16" ht="15.75" customHeight="1" x14ac:dyDescent="0.25">
      <c r="B74" s="25" t="s">
        <v>110</v>
      </c>
      <c r="C74" s="25"/>
      <c r="D74" s="25"/>
      <c r="E74" s="26"/>
      <c r="F74" s="27">
        <v>756.52</v>
      </c>
      <c r="G74" s="28">
        <v>3.1300000000000001E-2</v>
      </c>
      <c r="H74" s="29"/>
      <c r="L74" s="3"/>
    </row>
    <row r="75" spans="2:16" ht="15.75" customHeight="1" x14ac:dyDescent="0.25">
      <c r="B75" s="24" t="s">
        <v>102</v>
      </c>
      <c r="C75" s="24"/>
      <c r="D75" s="24"/>
      <c r="E75" s="30"/>
      <c r="F75" s="31">
        <v>756.52</v>
      </c>
      <c r="G75" s="32">
        <v>3.1300000000000001E-2</v>
      </c>
      <c r="H75" s="33"/>
      <c r="L75" s="5"/>
      <c r="M75" s="5"/>
      <c r="N75" s="6"/>
      <c r="O75" s="6"/>
      <c r="P75" s="5"/>
    </row>
    <row r="76" spans="2:16" ht="15.75" customHeight="1" x14ac:dyDescent="0.25">
      <c r="B76" s="25"/>
      <c r="C76" s="25"/>
      <c r="D76" s="25"/>
      <c r="E76" s="26"/>
      <c r="F76" s="27"/>
      <c r="G76" s="28"/>
      <c r="H76" s="29"/>
    </row>
    <row r="77" spans="2:16" ht="15.75" customHeight="1" x14ac:dyDescent="0.25">
      <c r="B77" s="36" t="s">
        <v>106</v>
      </c>
      <c r="C77" s="36"/>
      <c r="D77" s="36"/>
      <c r="E77" s="37"/>
      <c r="F77" s="31">
        <v>756.52</v>
      </c>
      <c r="G77" s="32">
        <v>3.1300000000000001E-2</v>
      </c>
      <c r="H77" s="33"/>
    </row>
    <row r="78" spans="2:16" ht="15.75" customHeight="1" x14ac:dyDescent="0.25">
      <c r="B78" s="25" t="s">
        <v>111</v>
      </c>
      <c r="C78" s="25"/>
      <c r="D78" s="25"/>
      <c r="E78" s="26"/>
      <c r="F78" s="27">
        <v>392.78</v>
      </c>
      <c r="G78" s="28">
        <v>1.6299999999999981E-2</v>
      </c>
      <c r="H78" s="29"/>
      <c r="L78" s="7"/>
      <c r="M78" s="7"/>
      <c r="N78" s="7"/>
      <c r="O78" s="7"/>
      <c r="P78" s="7"/>
    </row>
    <row r="79" spans="2:16" ht="15.75" customHeight="1" x14ac:dyDescent="0.25">
      <c r="B79" s="40" t="s">
        <v>112</v>
      </c>
      <c r="C79" s="40"/>
      <c r="D79" s="40"/>
      <c r="E79" s="41"/>
      <c r="F79" s="42">
        <v>24177.3</v>
      </c>
      <c r="G79" s="43">
        <v>1</v>
      </c>
      <c r="H79" s="44"/>
      <c r="L79" s="7"/>
      <c r="M79" s="7"/>
      <c r="N79" s="7"/>
      <c r="O79" s="7"/>
      <c r="P79" s="7"/>
    </row>
    <row r="80" spans="2:16" ht="15.75" customHeight="1" x14ac:dyDescent="0.25">
      <c r="B80" s="2"/>
      <c r="L80" s="7"/>
      <c r="M80" s="7"/>
      <c r="N80" s="7"/>
      <c r="O80" s="7"/>
      <c r="P80" s="7"/>
    </row>
    <row r="81" spans="2:16" ht="15.75" customHeight="1" x14ac:dyDescent="0.25">
      <c r="B81" s="12" t="s">
        <v>124</v>
      </c>
      <c r="L81" s="7"/>
      <c r="M81" s="7"/>
      <c r="N81" s="7"/>
      <c r="O81" s="7"/>
      <c r="P81" s="7"/>
    </row>
    <row r="82" spans="2:16" ht="15.75" customHeight="1" thickBot="1" x14ac:dyDescent="0.3">
      <c r="L82" s="7"/>
      <c r="M82" s="7"/>
      <c r="N82" s="7"/>
      <c r="O82" s="7"/>
      <c r="P82" s="7"/>
    </row>
    <row r="83" spans="2:16" ht="27" customHeight="1" thickBot="1" x14ac:dyDescent="0.3">
      <c r="B83" s="56" t="s">
        <v>964</v>
      </c>
      <c r="C83" s="57" t="s">
        <v>965</v>
      </c>
      <c r="D83" s="57" t="s">
        <v>966</v>
      </c>
      <c r="E83" s="62" t="s">
        <v>967</v>
      </c>
      <c r="G83" s="2"/>
      <c r="H83" s="2"/>
    </row>
    <row r="84" spans="2:16" ht="29.25" customHeight="1" x14ac:dyDescent="0.25">
      <c r="B84" s="63" t="s">
        <v>42</v>
      </c>
      <c r="C84" s="81"/>
      <c r="D84" s="84" t="s">
        <v>995</v>
      </c>
      <c r="E84" s="86"/>
      <c r="G84" s="2"/>
      <c r="H84" s="2"/>
    </row>
    <row r="85" spans="2:16" ht="40" customHeight="1" x14ac:dyDescent="0.25">
      <c r="B85" s="65" t="s">
        <v>996</v>
      </c>
      <c r="C85" s="82"/>
      <c r="D85" s="85"/>
      <c r="E85" s="82"/>
      <c r="G85" s="2"/>
      <c r="H85" s="2"/>
    </row>
    <row r="86" spans="2:16" ht="40" customHeight="1" x14ac:dyDescent="0.25">
      <c r="B86" s="65" t="s">
        <v>997</v>
      </c>
      <c r="C86" s="82"/>
      <c r="D86" s="85"/>
      <c r="E86" s="82"/>
      <c r="G86" s="2"/>
      <c r="H86" s="2"/>
    </row>
    <row r="87" spans="2:16" ht="23.25" customHeight="1" thickBot="1" x14ac:dyDescent="0.3">
      <c r="B87" s="67" t="s">
        <v>982</v>
      </c>
      <c r="C87" s="83"/>
      <c r="D87" s="70" t="s">
        <v>982</v>
      </c>
      <c r="E87" s="87"/>
      <c r="G87" s="2"/>
      <c r="H87" s="2"/>
    </row>
    <row r="88" spans="2:16" ht="25" customHeight="1" x14ac:dyDescent="0.25">
      <c r="B88" s="58" t="s">
        <v>969</v>
      </c>
      <c r="C88" s="59"/>
      <c r="D88" s="60"/>
      <c r="E88" s="61"/>
      <c r="G88" s="2"/>
      <c r="H88" s="2"/>
    </row>
    <row r="90" spans="2:16" ht="11.5" x14ac:dyDescent="0.25">
      <c r="B90" s="2" t="s">
        <v>970</v>
      </c>
      <c r="C90" s="2"/>
      <c r="D90" s="2"/>
      <c r="G90" s="2"/>
      <c r="H90" s="2"/>
    </row>
    <row r="91" spans="2:16" ht="11.5" x14ac:dyDescent="0.25">
      <c r="B91" s="3" t="s">
        <v>971</v>
      </c>
      <c r="C91" s="2"/>
      <c r="D91" s="2"/>
      <c r="G91" s="2"/>
      <c r="H91" s="2"/>
    </row>
  </sheetData>
  <mergeCells count="3">
    <mergeCell ref="C84:C87"/>
    <mergeCell ref="D84:D86"/>
    <mergeCell ref="E84:E87"/>
  </mergeCells>
  <hyperlinks>
    <hyperlink ref="I1" location="'Sheet1'!A1" display="Index" xr:uid="{2A9C97B0-F205-4072-8E55-DB1866DF4A5F}"/>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671388-3C7B-4CFD-9F5A-E6067C26F192}">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453125" style="9" customWidth="1"/>
    <col min="4" max="4" width="26.6328125" style="9" customWidth="1"/>
    <col min="5" max="5" width="28.089843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14</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448</v>
      </c>
      <c r="C7" s="25" t="s">
        <v>449</v>
      </c>
      <c r="D7" s="25" t="s">
        <v>169</v>
      </c>
      <c r="E7" s="26">
        <v>46390</v>
      </c>
      <c r="F7" s="27">
        <v>705.52</v>
      </c>
      <c r="G7" s="28">
        <v>0.1137</v>
      </c>
      <c r="H7" s="29"/>
    </row>
    <row r="8" spans="2:9" ht="15.75" customHeight="1" x14ac:dyDescent="0.25">
      <c r="B8" s="25" t="s">
        <v>414</v>
      </c>
      <c r="C8" s="25" t="s">
        <v>415</v>
      </c>
      <c r="D8" s="25" t="s">
        <v>169</v>
      </c>
      <c r="E8" s="26">
        <v>246701</v>
      </c>
      <c r="F8" s="27">
        <v>387.91</v>
      </c>
      <c r="G8" s="28">
        <v>6.25E-2</v>
      </c>
      <c r="H8" s="29"/>
    </row>
    <row r="9" spans="2:9" ht="15.75" customHeight="1" x14ac:dyDescent="0.25">
      <c r="B9" s="25" t="s">
        <v>567</v>
      </c>
      <c r="C9" s="25" t="s">
        <v>568</v>
      </c>
      <c r="D9" s="25" t="s">
        <v>169</v>
      </c>
      <c r="E9" s="26">
        <v>21054</v>
      </c>
      <c r="F9" s="27">
        <v>369.42</v>
      </c>
      <c r="G9" s="28">
        <v>5.96E-2</v>
      </c>
      <c r="H9" s="29"/>
    </row>
    <row r="10" spans="2:9" ht="15.75" customHeight="1" x14ac:dyDescent="0.25">
      <c r="B10" s="25" t="s">
        <v>308</v>
      </c>
      <c r="C10" s="25" t="s">
        <v>309</v>
      </c>
      <c r="D10" s="25" t="s">
        <v>169</v>
      </c>
      <c r="E10" s="26">
        <v>29749</v>
      </c>
      <c r="F10" s="27">
        <v>366.06</v>
      </c>
      <c r="G10" s="28">
        <v>5.8999999999999997E-2</v>
      </c>
      <c r="H10" s="29"/>
    </row>
    <row r="11" spans="2:9" ht="15.75" customHeight="1" x14ac:dyDescent="0.25">
      <c r="B11" s="25" t="s">
        <v>569</v>
      </c>
      <c r="C11" s="25" t="s">
        <v>570</v>
      </c>
      <c r="D11" s="25" t="s">
        <v>169</v>
      </c>
      <c r="E11" s="26">
        <v>24312</v>
      </c>
      <c r="F11" s="27">
        <v>360.01</v>
      </c>
      <c r="G11" s="28">
        <v>5.8000000000000003E-2</v>
      </c>
      <c r="H11" s="29"/>
    </row>
    <row r="12" spans="2:9" ht="15.75" customHeight="1" x14ac:dyDescent="0.25">
      <c r="B12" s="25" t="s">
        <v>367</v>
      </c>
      <c r="C12" s="25" t="s">
        <v>368</v>
      </c>
      <c r="D12" s="25" t="s">
        <v>169</v>
      </c>
      <c r="E12" s="26">
        <v>12401</v>
      </c>
      <c r="F12" s="27">
        <v>346.15</v>
      </c>
      <c r="G12" s="28">
        <v>5.5800000000000002E-2</v>
      </c>
      <c r="H12" s="29"/>
    </row>
    <row r="13" spans="2:9" ht="15.75" customHeight="1" x14ac:dyDescent="0.25">
      <c r="B13" s="25" t="s">
        <v>356</v>
      </c>
      <c r="C13" s="25" t="s">
        <v>357</v>
      </c>
      <c r="D13" s="25" t="s">
        <v>169</v>
      </c>
      <c r="E13" s="26">
        <v>15760</v>
      </c>
      <c r="F13" s="27">
        <v>335.56</v>
      </c>
      <c r="G13" s="28">
        <v>5.4100000000000002E-2</v>
      </c>
      <c r="H13" s="29"/>
    </row>
    <row r="14" spans="2:9" ht="15.75" customHeight="1" x14ac:dyDescent="0.25">
      <c r="B14" s="25" t="s">
        <v>391</v>
      </c>
      <c r="C14" s="25" t="s">
        <v>392</v>
      </c>
      <c r="D14" s="25" t="s">
        <v>169</v>
      </c>
      <c r="E14" s="26">
        <v>5105</v>
      </c>
      <c r="F14" s="27">
        <v>326.83999999999997</v>
      </c>
      <c r="G14" s="28">
        <v>5.2699999999999997E-2</v>
      </c>
      <c r="H14" s="29"/>
    </row>
    <row r="15" spans="2:9" ht="15.75" customHeight="1" x14ac:dyDescent="0.25">
      <c r="B15" s="25" t="s">
        <v>167</v>
      </c>
      <c r="C15" s="25" t="s">
        <v>168</v>
      </c>
      <c r="D15" s="25" t="s">
        <v>169</v>
      </c>
      <c r="E15" s="26">
        <v>28767</v>
      </c>
      <c r="F15" s="27">
        <v>308.94</v>
      </c>
      <c r="G15" s="28">
        <v>4.9799999999999997E-2</v>
      </c>
      <c r="H15" s="29"/>
    </row>
    <row r="16" spans="2:9" ht="15.75" customHeight="1" x14ac:dyDescent="0.25">
      <c r="B16" s="25" t="s">
        <v>548</v>
      </c>
      <c r="C16" s="25" t="s">
        <v>549</v>
      </c>
      <c r="D16" s="25" t="s">
        <v>362</v>
      </c>
      <c r="E16" s="26">
        <v>166533</v>
      </c>
      <c r="F16" s="27">
        <v>295.45999999999998</v>
      </c>
      <c r="G16" s="28">
        <v>4.7600000000000003E-2</v>
      </c>
      <c r="H16" s="29"/>
    </row>
    <row r="17" spans="2:8" ht="15.75" customHeight="1" x14ac:dyDescent="0.25">
      <c r="B17" s="25" t="s">
        <v>543</v>
      </c>
      <c r="C17" s="25" t="s">
        <v>544</v>
      </c>
      <c r="D17" s="25" t="s">
        <v>362</v>
      </c>
      <c r="E17" s="26">
        <v>4598</v>
      </c>
      <c r="F17" s="27">
        <v>284.42</v>
      </c>
      <c r="G17" s="28">
        <v>4.58E-2</v>
      </c>
      <c r="H17" s="29"/>
    </row>
    <row r="18" spans="2:8" ht="15.75" customHeight="1" x14ac:dyDescent="0.25">
      <c r="B18" s="25" t="s">
        <v>389</v>
      </c>
      <c r="C18" s="25" t="s">
        <v>390</v>
      </c>
      <c r="D18" s="25" t="s">
        <v>169</v>
      </c>
      <c r="E18" s="26">
        <v>1026</v>
      </c>
      <c r="F18" s="27">
        <v>283.42</v>
      </c>
      <c r="G18" s="28">
        <v>4.5699999999999998E-2</v>
      </c>
      <c r="H18" s="29"/>
    </row>
    <row r="19" spans="2:8" ht="15.75" customHeight="1" x14ac:dyDescent="0.25">
      <c r="B19" s="25" t="s">
        <v>571</v>
      </c>
      <c r="C19" s="25" t="s">
        <v>572</v>
      </c>
      <c r="D19" s="25" t="s">
        <v>169</v>
      </c>
      <c r="E19" s="26">
        <v>5549</v>
      </c>
      <c r="F19" s="27">
        <v>255.06</v>
      </c>
      <c r="G19" s="28">
        <v>4.1099999999999998E-2</v>
      </c>
      <c r="H19" s="29"/>
    </row>
    <row r="20" spans="2:8" ht="15.75" customHeight="1" x14ac:dyDescent="0.25">
      <c r="B20" s="25" t="s">
        <v>573</v>
      </c>
      <c r="C20" s="25" t="s">
        <v>574</v>
      </c>
      <c r="D20" s="25" t="s">
        <v>169</v>
      </c>
      <c r="E20" s="26">
        <v>21440</v>
      </c>
      <c r="F20" s="27">
        <v>242.21</v>
      </c>
      <c r="G20" s="28">
        <v>3.9E-2</v>
      </c>
      <c r="H20" s="29"/>
    </row>
    <row r="21" spans="2:8" ht="15.75" customHeight="1" x14ac:dyDescent="0.25">
      <c r="B21" s="25" t="s">
        <v>381</v>
      </c>
      <c r="C21" s="25" t="s">
        <v>382</v>
      </c>
      <c r="D21" s="25" t="s">
        <v>169</v>
      </c>
      <c r="E21" s="26">
        <v>4829</v>
      </c>
      <c r="F21" s="27">
        <v>241.03</v>
      </c>
      <c r="G21" s="28">
        <v>3.8899999999999997E-2</v>
      </c>
      <c r="H21" s="29"/>
    </row>
    <row r="22" spans="2:8" ht="15.75" customHeight="1" x14ac:dyDescent="0.25">
      <c r="B22" s="25" t="s">
        <v>457</v>
      </c>
      <c r="C22" s="25" t="s">
        <v>458</v>
      </c>
      <c r="D22" s="25" t="s">
        <v>362</v>
      </c>
      <c r="E22" s="26">
        <v>18037</v>
      </c>
      <c r="F22" s="27">
        <v>235.98</v>
      </c>
      <c r="G22" s="28">
        <v>3.7999999999999999E-2</v>
      </c>
      <c r="H22" s="29"/>
    </row>
    <row r="23" spans="2:8" ht="15.75" customHeight="1" x14ac:dyDescent="0.25">
      <c r="B23" s="25" t="s">
        <v>575</v>
      </c>
      <c r="C23" s="25" t="s">
        <v>576</v>
      </c>
      <c r="D23" s="25" t="s">
        <v>169</v>
      </c>
      <c r="E23" s="26">
        <v>49310</v>
      </c>
      <c r="F23" s="27">
        <v>209.35</v>
      </c>
      <c r="G23" s="28">
        <v>3.3700000000000001E-2</v>
      </c>
      <c r="H23" s="29"/>
    </row>
    <row r="24" spans="2:8" ht="15.75" customHeight="1" x14ac:dyDescent="0.25">
      <c r="B24" s="25" t="s">
        <v>577</v>
      </c>
      <c r="C24" s="25" t="s">
        <v>578</v>
      </c>
      <c r="D24" s="25" t="s">
        <v>362</v>
      </c>
      <c r="E24" s="26">
        <v>7812</v>
      </c>
      <c r="F24" s="27">
        <v>154.53</v>
      </c>
      <c r="G24" s="28">
        <v>2.4899999999999999E-2</v>
      </c>
      <c r="H24" s="29"/>
    </row>
    <row r="25" spans="2:8" ht="15.75" customHeight="1" x14ac:dyDescent="0.25">
      <c r="B25" s="25" t="s">
        <v>500</v>
      </c>
      <c r="C25" s="25" t="s">
        <v>501</v>
      </c>
      <c r="D25" s="25" t="s">
        <v>269</v>
      </c>
      <c r="E25" s="26">
        <v>9323</v>
      </c>
      <c r="F25" s="27">
        <v>148.08000000000001</v>
      </c>
      <c r="G25" s="28">
        <v>2.3900000000000001E-2</v>
      </c>
      <c r="H25" s="29"/>
    </row>
    <row r="26" spans="2:8" ht="15.75" customHeight="1" x14ac:dyDescent="0.25">
      <c r="B26" s="25" t="s">
        <v>579</v>
      </c>
      <c r="C26" s="25" t="s">
        <v>580</v>
      </c>
      <c r="D26" s="25" t="s">
        <v>169</v>
      </c>
      <c r="E26" s="26">
        <v>15072</v>
      </c>
      <c r="F26" s="27">
        <v>121.18</v>
      </c>
      <c r="G26" s="28">
        <v>1.95E-2</v>
      </c>
      <c r="H26" s="29"/>
    </row>
    <row r="27" spans="2:8" ht="15.75" customHeight="1" x14ac:dyDescent="0.25">
      <c r="B27" s="25" t="s">
        <v>360</v>
      </c>
      <c r="C27" s="25" t="s">
        <v>361</v>
      </c>
      <c r="D27" s="25" t="s">
        <v>362</v>
      </c>
      <c r="E27" s="26">
        <v>13737</v>
      </c>
      <c r="F27" s="27">
        <v>97.53</v>
      </c>
      <c r="G27" s="28">
        <v>1.5699999999999999E-2</v>
      </c>
      <c r="H27" s="29"/>
    </row>
    <row r="28" spans="2:8" ht="15.75" customHeight="1" x14ac:dyDescent="0.25">
      <c r="B28" s="24" t="s">
        <v>102</v>
      </c>
      <c r="C28" s="24"/>
      <c r="D28" s="24"/>
      <c r="E28" s="30"/>
      <c r="F28" s="31">
        <v>6074.66</v>
      </c>
      <c r="G28" s="32">
        <v>0.97919999999999996</v>
      </c>
      <c r="H28" s="33"/>
    </row>
    <row r="29" spans="2:8" ht="15.75" customHeight="1" x14ac:dyDescent="0.25">
      <c r="B29" s="24" t="s">
        <v>149</v>
      </c>
      <c r="C29" s="25"/>
      <c r="D29" s="25"/>
      <c r="E29" s="26"/>
      <c r="F29" s="27"/>
      <c r="G29" s="28"/>
      <c r="H29" s="29"/>
    </row>
    <row r="30" spans="2:8" ht="15.75" customHeight="1" x14ac:dyDescent="0.25">
      <c r="B30" s="24" t="s">
        <v>102</v>
      </c>
      <c r="C30" s="25"/>
      <c r="D30" s="25"/>
      <c r="E30" s="26"/>
      <c r="F30" s="34" t="s">
        <v>104</v>
      </c>
      <c r="G30" s="35" t="s">
        <v>104</v>
      </c>
      <c r="H30" s="29"/>
    </row>
    <row r="31" spans="2:8" ht="15.75" customHeight="1" x14ac:dyDescent="0.25">
      <c r="B31" s="25"/>
      <c r="C31" s="25"/>
      <c r="D31" s="25"/>
      <c r="E31" s="26"/>
      <c r="F31" s="27"/>
      <c r="G31" s="28"/>
      <c r="H31" s="29"/>
    </row>
    <row r="32" spans="2:8" ht="15.75" customHeight="1" x14ac:dyDescent="0.25">
      <c r="B32" s="36" t="s">
        <v>106</v>
      </c>
      <c r="C32" s="36"/>
      <c r="D32" s="36"/>
      <c r="E32" s="37"/>
      <c r="F32" s="31">
        <v>6074.66</v>
      </c>
      <c r="G32" s="32">
        <v>0.97919999999999996</v>
      </c>
      <c r="H32" s="33"/>
    </row>
    <row r="33" spans="2:8" ht="15.75" customHeight="1" x14ac:dyDescent="0.25">
      <c r="B33" s="25"/>
      <c r="C33" s="25"/>
      <c r="D33" s="25"/>
      <c r="E33" s="26"/>
      <c r="F33" s="27"/>
      <c r="G33" s="28"/>
      <c r="H33" s="29"/>
    </row>
    <row r="34" spans="2:8" ht="15.75" customHeight="1" x14ac:dyDescent="0.25">
      <c r="B34" s="25"/>
      <c r="C34" s="25"/>
      <c r="D34" s="25"/>
      <c r="E34" s="26"/>
      <c r="F34" s="27"/>
      <c r="G34" s="28"/>
      <c r="H34" s="29"/>
    </row>
    <row r="35" spans="2:8" ht="15.75" customHeight="1" x14ac:dyDescent="0.25">
      <c r="B35" s="24" t="s">
        <v>109</v>
      </c>
      <c r="C35" s="25"/>
      <c r="D35" s="25"/>
      <c r="E35" s="26"/>
      <c r="F35" s="27"/>
      <c r="G35" s="28"/>
      <c r="H35" s="29"/>
    </row>
    <row r="36" spans="2:8" ht="15.75" customHeight="1" x14ac:dyDescent="0.25">
      <c r="B36" s="25" t="s">
        <v>110</v>
      </c>
      <c r="C36" s="25"/>
      <c r="D36" s="25"/>
      <c r="E36" s="26"/>
      <c r="F36" s="27">
        <v>144</v>
      </c>
      <c r="G36" s="28">
        <v>2.3199999999999998E-2</v>
      </c>
      <c r="H36" s="29"/>
    </row>
    <row r="37" spans="2:8" ht="15.75" customHeight="1" x14ac:dyDescent="0.25">
      <c r="B37" s="24" t="s">
        <v>102</v>
      </c>
      <c r="C37" s="24"/>
      <c r="D37" s="24"/>
      <c r="E37" s="30"/>
      <c r="F37" s="31">
        <v>144</v>
      </c>
      <c r="G37" s="32">
        <v>2.3199999999999998E-2</v>
      </c>
      <c r="H37" s="33"/>
    </row>
    <row r="38" spans="2:8" ht="15.75" customHeight="1" x14ac:dyDescent="0.25">
      <c r="B38" s="25"/>
      <c r="C38" s="25"/>
      <c r="D38" s="25"/>
      <c r="E38" s="26"/>
      <c r="F38" s="27"/>
      <c r="G38" s="28"/>
      <c r="H38" s="29"/>
    </row>
    <row r="39" spans="2:8" ht="15.75" customHeight="1" x14ac:dyDescent="0.25">
      <c r="B39" s="36" t="s">
        <v>106</v>
      </c>
      <c r="C39" s="36"/>
      <c r="D39" s="36"/>
      <c r="E39" s="37"/>
      <c r="F39" s="31">
        <v>144</v>
      </c>
      <c r="G39" s="32">
        <v>2.3199999999999998E-2</v>
      </c>
      <c r="H39" s="33"/>
    </row>
    <row r="40" spans="2:8" ht="15.75" customHeight="1" x14ac:dyDescent="0.25">
      <c r="B40" s="25" t="s">
        <v>111</v>
      </c>
      <c r="C40" s="25"/>
      <c r="D40" s="25"/>
      <c r="E40" s="26"/>
      <c r="F40" s="38">
        <v>-15.24</v>
      </c>
      <c r="G40" s="39">
        <v>-2.3999999999999577E-3</v>
      </c>
      <c r="H40" s="29"/>
    </row>
    <row r="41" spans="2:8" ht="15.75" customHeight="1" x14ac:dyDescent="0.25">
      <c r="B41" s="40" t="s">
        <v>112</v>
      </c>
      <c r="C41" s="40"/>
      <c r="D41" s="40"/>
      <c r="E41" s="41"/>
      <c r="F41" s="42">
        <v>6203.42</v>
      </c>
      <c r="G41" s="43">
        <v>1</v>
      </c>
      <c r="H41" s="44"/>
    </row>
    <row r="42" spans="2:8" ht="15.75" customHeight="1" thickBot="1" x14ac:dyDescent="0.3">
      <c r="B42" s="2"/>
    </row>
    <row r="43" spans="2:8" ht="27" customHeight="1" thickBot="1" x14ac:dyDescent="0.3">
      <c r="B43" s="56" t="s">
        <v>964</v>
      </c>
      <c r="C43" s="57" t="s">
        <v>965</v>
      </c>
      <c r="D43" s="57" t="s">
        <v>966</v>
      </c>
      <c r="E43" s="62" t="s">
        <v>967</v>
      </c>
      <c r="G43" s="2"/>
      <c r="H43" s="2"/>
    </row>
    <row r="44" spans="2:8" ht="29.25" customHeight="1" x14ac:dyDescent="0.25">
      <c r="B44" s="63" t="s">
        <v>44</v>
      </c>
      <c r="C44" s="81"/>
      <c r="D44" s="84" t="s">
        <v>998</v>
      </c>
      <c r="E44" s="86"/>
      <c r="G44" s="2"/>
      <c r="H44" s="2"/>
    </row>
    <row r="45" spans="2:8" ht="40" customHeight="1" x14ac:dyDescent="0.25">
      <c r="B45" s="65" t="s">
        <v>996</v>
      </c>
      <c r="C45" s="82"/>
      <c r="D45" s="85"/>
      <c r="E45" s="82"/>
      <c r="G45" s="2"/>
      <c r="H45" s="2"/>
    </row>
    <row r="46" spans="2:8" ht="40" customHeight="1" x14ac:dyDescent="0.25">
      <c r="B46" s="65" t="s">
        <v>999</v>
      </c>
      <c r="C46" s="82"/>
      <c r="D46" s="85"/>
      <c r="E46" s="82"/>
      <c r="G46" s="2"/>
      <c r="H46" s="2"/>
    </row>
    <row r="47" spans="2:8" ht="23.25" customHeight="1" thickBot="1" x14ac:dyDescent="0.3">
      <c r="B47" s="67" t="s">
        <v>982</v>
      </c>
      <c r="C47" s="83"/>
      <c r="D47" s="70" t="s">
        <v>982</v>
      </c>
      <c r="E47" s="87"/>
      <c r="G47" s="2"/>
      <c r="H47" s="2"/>
    </row>
    <row r="48" spans="2:8" ht="25" customHeight="1" x14ac:dyDescent="0.25">
      <c r="B48" s="58" t="s">
        <v>969</v>
      </c>
      <c r="C48" s="59"/>
      <c r="D48" s="60"/>
      <c r="E48" s="61"/>
      <c r="G48" s="2"/>
      <c r="H48" s="2"/>
    </row>
    <row r="50" spans="2:8" ht="11.5" x14ac:dyDescent="0.25">
      <c r="B50" s="2" t="s">
        <v>970</v>
      </c>
      <c r="C50" s="2"/>
      <c r="D50" s="2"/>
      <c r="G50" s="2"/>
      <c r="H50" s="2"/>
    </row>
    <row r="51" spans="2:8" ht="11.5" x14ac:dyDescent="0.25">
      <c r="B51" s="3" t="s">
        <v>971</v>
      </c>
      <c r="C51" s="2"/>
      <c r="D51" s="2"/>
      <c r="G51" s="2"/>
      <c r="H51"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44:C47"/>
    <mergeCell ref="D44:D46"/>
    <mergeCell ref="E44:E47"/>
  </mergeCells>
  <hyperlinks>
    <hyperlink ref="I1" location="'Sheet1'!A1" display="Index" xr:uid="{2637A834-DF13-4750-A39A-951C6741437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F5B0F-D492-489D-961E-56CCDFCB2B3B}">
  <dimension ref="B1:P91"/>
  <sheetViews>
    <sheetView workbookViewId="0"/>
  </sheetViews>
  <sheetFormatPr defaultColWidth="9.1796875" defaultRowHeight="15.75" customHeight="1" x14ac:dyDescent="0.25"/>
  <cols>
    <col min="1" max="1" width="3.6328125" style="2" customWidth="1"/>
    <col min="2" max="2" width="50.453125" style="9" customWidth="1"/>
    <col min="3" max="3" width="26.26953125" style="9" customWidth="1"/>
    <col min="4" max="4" width="26.6328125" style="9" customWidth="1"/>
    <col min="5" max="5" width="27.542968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15</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335</v>
      </c>
      <c r="C7" s="25" t="s">
        <v>336</v>
      </c>
      <c r="D7" s="25" t="s">
        <v>337</v>
      </c>
      <c r="E7" s="26">
        <v>41254</v>
      </c>
      <c r="F7" s="27">
        <v>1511.84</v>
      </c>
      <c r="G7" s="28">
        <v>4.9599999999999998E-2</v>
      </c>
      <c r="H7" s="29"/>
    </row>
    <row r="8" spans="2:9" ht="15.75" customHeight="1" x14ac:dyDescent="0.25">
      <c r="B8" s="25" t="s">
        <v>404</v>
      </c>
      <c r="C8" s="25" t="s">
        <v>405</v>
      </c>
      <c r="D8" s="25" t="s">
        <v>254</v>
      </c>
      <c r="E8" s="26">
        <v>23267</v>
      </c>
      <c r="F8" s="27">
        <v>1275</v>
      </c>
      <c r="G8" s="28">
        <v>4.1799999999999997E-2</v>
      </c>
      <c r="H8" s="29"/>
    </row>
    <row r="9" spans="2:9" ht="15.75" customHeight="1" x14ac:dyDescent="0.25">
      <c r="B9" s="25" t="s">
        <v>581</v>
      </c>
      <c r="C9" s="25" t="s">
        <v>582</v>
      </c>
      <c r="D9" s="25" t="s">
        <v>251</v>
      </c>
      <c r="E9" s="26">
        <v>113587</v>
      </c>
      <c r="F9" s="27">
        <v>1240.43</v>
      </c>
      <c r="G9" s="28">
        <v>4.07E-2</v>
      </c>
      <c r="H9" s="29"/>
    </row>
    <row r="10" spans="2:9" ht="15.75" customHeight="1" x14ac:dyDescent="0.25">
      <c r="B10" s="25" t="s">
        <v>164</v>
      </c>
      <c r="C10" s="25" t="s">
        <v>165</v>
      </c>
      <c r="D10" s="25" t="s">
        <v>166</v>
      </c>
      <c r="E10" s="26">
        <v>299704</v>
      </c>
      <c r="F10" s="27">
        <v>916.79</v>
      </c>
      <c r="G10" s="28">
        <v>3.0099999999999998E-2</v>
      </c>
      <c r="H10" s="29"/>
    </row>
    <row r="11" spans="2:9" ht="15.75" customHeight="1" x14ac:dyDescent="0.25">
      <c r="B11" s="25" t="s">
        <v>127</v>
      </c>
      <c r="C11" s="25" t="s">
        <v>128</v>
      </c>
      <c r="D11" s="25" t="s">
        <v>129</v>
      </c>
      <c r="E11" s="26">
        <v>66889</v>
      </c>
      <c r="F11" s="27">
        <v>802.4</v>
      </c>
      <c r="G11" s="28">
        <v>2.63E-2</v>
      </c>
      <c r="H11" s="29"/>
    </row>
    <row r="12" spans="2:9" ht="15.75" customHeight="1" x14ac:dyDescent="0.25">
      <c r="B12" s="25" t="s">
        <v>482</v>
      </c>
      <c r="C12" s="25" t="s">
        <v>483</v>
      </c>
      <c r="D12" s="25" t="s">
        <v>129</v>
      </c>
      <c r="E12" s="26">
        <v>433372</v>
      </c>
      <c r="F12" s="27">
        <v>768.15</v>
      </c>
      <c r="G12" s="28">
        <v>2.52E-2</v>
      </c>
      <c r="H12" s="29"/>
    </row>
    <row r="13" spans="2:9" ht="15.75" customHeight="1" x14ac:dyDescent="0.25">
      <c r="B13" s="25" t="s">
        <v>583</v>
      </c>
      <c r="C13" s="25" t="s">
        <v>584</v>
      </c>
      <c r="D13" s="25" t="s">
        <v>251</v>
      </c>
      <c r="E13" s="26">
        <v>14429</v>
      </c>
      <c r="F13" s="27">
        <v>684.01</v>
      </c>
      <c r="G13" s="28">
        <v>2.24E-2</v>
      </c>
      <c r="H13" s="29"/>
    </row>
    <row r="14" spans="2:9" ht="15.75" customHeight="1" x14ac:dyDescent="0.25">
      <c r="B14" s="25" t="s">
        <v>381</v>
      </c>
      <c r="C14" s="25" t="s">
        <v>382</v>
      </c>
      <c r="D14" s="25" t="s">
        <v>169</v>
      </c>
      <c r="E14" s="26">
        <v>12978</v>
      </c>
      <c r="F14" s="27">
        <v>647.78</v>
      </c>
      <c r="G14" s="28">
        <v>2.1299999999999999E-2</v>
      </c>
      <c r="H14" s="29"/>
    </row>
    <row r="15" spans="2:9" ht="15.75" customHeight="1" x14ac:dyDescent="0.25">
      <c r="B15" s="25" t="s">
        <v>249</v>
      </c>
      <c r="C15" s="25" t="s">
        <v>250</v>
      </c>
      <c r="D15" s="25" t="s">
        <v>251</v>
      </c>
      <c r="E15" s="26">
        <v>38755</v>
      </c>
      <c r="F15" s="27">
        <v>647.34</v>
      </c>
      <c r="G15" s="28">
        <v>2.12E-2</v>
      </c>
      <c r="H15" s="29"/>
    </row>
    <row r="16" spans="2:9" ht="15.75" customHeight="1" x14ac:dyDescent="0.25">
      <c r="B16" s="25" t="s">
        <v>410</v>
      </c>
      <c r="C16" s="25" t="s">
        <v>411</v>
      </c>
      <c r="D16" s="25" t="s">
        <v>254</v>
      </c>
      <c r="E16" s="26">
        <v>320434</v>
      </c>
      <c r="F16" s="27">
        <v>642.66</v>
      </c>
      <c r="G16" s="28">
        <v>2.1100000000000001E-2</v>
      </c>
      <c r="H16" s="29"/>
    </row>
    <row r="17" spans="2:8" ht="15.75" customHeight="1" x14ac:dyDescent="0.25">
      <c r="B17" s="25" t="s">
        <v>585</v>
      </c>
      <c r="C17" s="25" t="s">
        <v>586</v>
      </c>
      <c r="D17" s="25" t="s">
        <v>251</v>
      </c>
      <c r="E17" s="26">
        <v>19673</v>
      </c>
      <c r="F17" s="27">
        <v>635.24</v>
      </c>
      <c r="G17" s="28">
        <v>2.0799999999999999E-2</v>
      </c>
      <c r="H17" s="29"/>
    </row>
    <row r="18" spans="2:8" ht="15.75" customHeight="1" x14ac:dyDescent="0.25">
      <c r="B18" s="25" t="s">
        <v>587</v>
      </c>
      <c r="C18" s="25" t="s">
        <v>588</v>
      </c>
      <c r="D18" s="25" t="s">
        <v>202</v>
      </c>
      <c r="E18" s="26">
        <v>40692</v>
      </c>
      <c r="F18" s="27">
        <v>609.73</v>
      </c>
      <c r="G18" s="28">
        <v>0.02</v>
      </c>
      <c r="H18" s="29"/>
    </row>
    <row r="19" spans="2:8" ht="15.75" customHeight="1" x14ac:dyDescent="0.25">
      <c r="B19" s="25" t="s">
        <v>589</v>
      </c>
      <c r="C19" s="25" t="s">
        <v>590</v>
      </c>
      <c r="D19" s="25" t="s">
        <v>263</v>
      </c>
      <c r="E19" s="26">
        <v>97473</v>
      </c>
      <c r="F19" s="27">
        <v>609.25</v>
      </c>
      <c r="G19" s="28">
        <v>0.02</v>
      </c>
      <c r="H19" s="29"/>
    </row>
    <row r="20" spans="2:8" ht="15.75" customHeight="1" x14ac:dyDescent="0.25">
      <c r="B20" s="25" t="s">
        <v>591</v>
      </c>
      <c r="C20" s="25" t="s">
        <v>592</v>
      </c>
      <c r="D20" s="25" t="s">
        <v>251</v>
      </c>
      <c r="E20" s="26">
        <v>21903</v>
      </c>
      <c r="F20" s="27">
        <v>586.6</v>
      </c>
      <c r="G20" s="28">
        <v>1.9300000000000001E-2</v>
      </c>
      <c r="H20" s="29"/>
    </row>
    <row r="21" spans="2:8" ht="15.75" customHeight="1" x14ac:dyDescent="0.25">
      <c r="B21" s="25" t="s">
        <v>593</v>
      </c>
      <c r="C21" s="25" t="s">
        <v>594</v>
      </c>
      <c r="D21" s="25" t="s">
        <v>251</v>
      </c>
      <c r="E21" s="26">
        <v>3762</v>
      </c>
      <c r="F21" s="27">
        <v>585.04</v>
      </c>
      <c r="G21" s="28">
        <v>1.9199999999999998E-2</v>
      </c>
      <c r="H21" s="29"/>
    </row>
    <row r="22" spans="2:8" ht="15.75" customHeight="1" x14ac:dyDescent="0.25">
      <c r="B22" s="25" t="s">
        <v>342</v>
      </c>
      <c r="C22" s="25" t="s">
        <v>343</v>
      </c>
      <c r="D22" s="25" t="s">
        <v>135</v>
      </c>
      <c r="E22" s="26">
        <v>10341</v>
      </c>
      <c r="F22" s="27">
        <v>576.99</v>
      </c>
      <c r="G22" s="28">
        <v>1.89E-2</v>
      </c>
      <c r="H22" s="29"/>
    </row>
    <row r="23" spans="2:8" ht="15.75" customHeight="1" x14ac:dyDescent="0.25">
      <c r="B23" s="25" t="s">
        <v>252</v>
      </c>
      <c r="C23" s="25" t="s">
        <v>253</v>
      </c>
      <c r="D23" s="25" t="s">
        <v>254</v>
      </c>
      <c r="E23" s="26">
        <v>8219</v>
      </c>
      <c r="F23" s="27">
        <v>557.73</v>
      </c>
      <c r="G23" s="28">
        <v>1.83E-2</v>
      </c>
      <c r="H23" s="29"/>
    </row>
    <row r="24" spans="2:8" ht="15.75" customHeight="1" x14ac:dyDescent="0.25">
      <c r="B24" s="25" t="s">
        <v>595</v>
      </c>
      <c r="C24" s="25" t="s">
        <v>596</v>
      </c>
      <c r="D24" s="25" t="s">
        <v>508</v>
      </c>
      <c r="E24" s="26">
        <v>62076</v>
      </c>
      <c r="F24" s="27">
        <v>547.6</v>
      </c>
      <c r="G24" s="28">
        <v>1.7999999999999999E-2</v>
      </c>
      <c r="H24" s="29"/>
    </row>
    <row r="25" spans="2:8" ht="15.75" customHeight="1" x14ac:dyDescent="0.25">
      <c r="B25" s="25" t="s">
        <v>597</v>
      </c>
      <c r="C25" s="25" t="s">
        <v>598</v>
      </c>
      <c r="D25" s="25" t="s">
        <v>194</v>
      </c>
      <c r="E25" s="26">
        <v>36110</v>
      </c>
      <c r="F25" s="27">
        <v>531.61</v>
      </c>
      <c r="G25" s="28">
        <v>1.7399999999999999E-2</v>
      </c>
      <c r="H25" s="29"/>
    </row>
    <row r="26" spans="2:8" ht="15.75" customHeight="1" x14ac:dyDescent="0.25">
      <c r="B26" s="25" t="s">
        <v>599</v>
      </c>
      <c r="C26" s="25" t="s">
        <v>600</v>
      </c>
      <c r="D26" s="25" t="s">
        <v>601</v>
      </c>
      <c r="E26" s="26">
        <v>1437</v>
      </c>
      <c r="F26" s="27">
        <v>528.88</v>
      </c>
      <c r="G26" s="28">
        <v>1.7399999999999999E-2</v>
      </c>
      <c r="H26" s="29"/>
    </row>
    <row r="27" spans="2:8" ht="15.75" customHeight="1" x14ac:dyDescent="0.25">
      <c r="B27" s="25" t="s">
        <v>602</v>
      </c>
      <c r="C27" s="25" t="s">
        <v>603</v>
      </c>
      <c r="D27" s="25" t="s">
        <v>337</v>
      </c>
      <c r="E27" s="26">
        <v>22151</v>
      </c>
      <c r="F27" s="27">
        <v>527.37</v>
      </c>
      <c r="G27" s="28">
        <v>1.7299999999999999E-2</v>
      </c>
      <c r="H27" s="29"/>
    </row>
    <row r="28" spans="2:8" ht="15.75" customHeight="1" x14ac:dyDescent="0.25">
      <c r="B28" s="25" t="s">
        <v>604</v>
      </c>
      <c r="C28" s="25" t="s">
        <v>605</v>
      </c>
      <c r="D28" s="25" t="s">
        <v>337</v>
      </c>
      <c r="E28" s="26">
        <v>8683</v>
      </c>
      <c r="F28" s="27">
        <v>517.15</v>
      </c>
      <c r="G28" s="28">
        <v>1.7000000000000001E-2</v>
      </c>
      <c r="H28" s="29"/>
    </row>
    <row r="29" spans="2:8" ht="15.75" customHeight="1" x14ac:dyDescent="0.25">
      <c r="B29" s="25" t="s">
        <v>504</v>
      </c>
      <c r="C29" s="25" t="s">
        <v>505</v>
      </c>
      <c r="D29" s="25" t="s">
        <v>295</v>
      </c>
      <c r="E29" s="26">
        <v>31880</v>
      </c>
      <c r="F29" s="27">
        <v>510.35</v>
      </c>
      <c r="G29" s="28">
        <v>1.6799999999999999E-2</v>
      </c>
      <c r="H29" s="29"/>
    </row>
    <row r="30" spans="2:8" ht="15.75" customHeight="1" x14ac:dyDescent="0.25">
      <c r="B30" s="25" t="s">
        <v>606</v>
      </c>
      <c r="C30" s="25" t="s">
        <v>607</v>
      </c>
      <c r="D30" s="25" t="s">
        <v>295</v>
      </c>
      <c r="E30" s="26">
        <v>13380</v>
      </c>
      <c r="F30" s="27">
        <v>508.27</v>
      </c>
      <c r="G30" s="28">
        <v>1.67E-2</v>
      </c>
      <c r="H30" s="29"/>
    </row>
    <row r="31" spans="2:8" ht="15.75" customHeight="1" x14ac:dyDescent="0.25">
      <c r="B31" s="25" t="s">
        <v>365</v>
      </c>
      <c r="C31" s="25" t="s">
        <v>366</v>
      </c>
      <c r="D31" s="25" t="s">
        <v>227</v>
      </c>
      <c r="E31" s="26">
        <v>104320</v>
      </c>
      <c r="F31" s="27">
        <v>506.06</v>
      </c>
      <c r="G31" s="28">
        <v>1.66E-2</v>
      </c>
      <c r="H31" s="29"/>
    </row>
    <row r="32" spans="2:8" ht="15.75" customHeight="1" x14ac:dyDescent="0.25">
      <c r="B32" s="25" t="s">
        <v>369</v>
      </c>
      <c r="C32" s="25" t="s">
        <v>370</v>
      </c>
      <c r="D32" s="25" t="s">
        <v>337</v>
      </c>
      <c r="E32" s="26">
        <v>32409</v>
      </c>
      <c r="F32" s="27">
        <v>504.06</v>
      </c>
      <c r="G32" s="28">
        <v>1.6500000000000001E-2</v>
      </c>
      <c r="H32" s="29"/>
    </row>
    <row r="33" spans="2:8" ht="15.75" customHeight="1" x14ac:dyDescent="0.25">
      <c r="B33" s="25" t="s">
        <v>302</v>
      </c>
      <c r="C33" s="25" t="s">
        <v>303</v>
      </c>
      <c r="D33" s="25" t="s">
        <v>232</v>
      </c>
      <c r="E33" s="26">
        <v>48306</v>
      </c>
      <c r="F33" s="27">
        <v>503.54</v>
      </c>
      <c r="G33" s="28">
        <v>1.6500000000000001E-2</v>
      </c>
      <c r="H33" s="29"/>
    </row>
    <row r="34" spans="2:8" ht="15.75" customHeight="1" x14ac:dyDescent="0.25">
      <c r="B34" s="25" t="s">
        <v>261</v>
      </c>
      <c r="C34" s="25" t="s">
        <v>262</v>
      </c>
      <c r="D34" s="25" t="s">
        <v>263</v>
      </c>
      <c r="E34" s="26">
        <v>48683</v>
      </c>
      <c r="F34" s="27">
        <v>481.6</v>
      </c>
      <c r="G34" s="28">
        <v>1.5800000000000002E-2</v>
      </c>
      <c r="H34" s="29"/>
    </row>
    <row r="35" spans="2:8" ht="15.75" customHeight="1" x14ac:dyDescent="0.25">
      <c r="B35" s="25" t="s">
        <v>371</v>
      </c>
      <c r="C35" s="25" t="s">
        <v>372</v>
      </c>
      <c r="D35" s="25" t="s">
        <v>135</v>
      </c>
      <c r="E35" s="26">
        <v>20038</v>
      </c>
      <c r="F35" s="27">
        <v>473.87</v>
      </c>
      <c r="G35" s="28">
        <v>1.5599999999999999E-2</v>
      </c>
      <c r="H35" s="29"/>
    </row>
    <row r="36" spans="2:8" ht="15.75" customHeight="1" x14ac:dyDescent="0.25">
      <c r="B36" s="25" t="s">
        <v>608</v>
      </c>
      <c r="C36" s="25" t="s">
        <v>609</v>
      </c>
      <c r="D36" s="25" t="s">
        <v>227</v>
      </c>
      <c r="E36" s="26">
        <v>32538</v>
      </c>
      <c r="F36" s="27">
        <v>463.18</v>
      </c>
      <c r="G36" s="28">
        <v>1.52E-2</v>
      </c>
      <c r="H36" s="29"/>
    </row>
    <row r="37" spans="2:8" ht="15.75" customHeight="1" x14ac:dyDescent="0.25">
      <c r="B37" s="25" t="s">
        <v>446</v>
      </c>
      <c r="C37" s="25" t="s">
        <v>447</v>
      </c>
      <c r="D37" s="25" t="s">
        <v>254</v>
      </c>
      <c r="E37" s="26">
        <v>88651</v>
      </c>
      <c r="F37" s="27">
        <v>457</v>
      </c>
      <c r="G37" s="28">
        <v>1.4999999999999999E-2</v>
      </c>
      <c r="H37" s="29"/>
    </row>
    <row r="38" spans="2:8" ht="15.75" customHeight="1" x14ac:dyDescent="0.25">
      <c r="B38" s="25" t="s">
        <v>377</v>
      </c>
      <c r="C38" s="25" t="s">
        <v>378</v>
      </c>
      <c r="D38" s="25" t="s">
        <v>227</v>
      </c>
      <c r="E38" s="26">
        <v>32085</v>
      </c>
      <c r="F38" s="27">
        <v>424.2</v>
      </c>
      <c r="G38" s="28">
        <v>1.3899999999999999E-2</v>
      </c>
      <c r="H38" s="29"/>
    </row>
    <row r="39" spans="2:8" ht="15.75" customHeight="1" x14ac:dyDescent="0.25">
      <c r="B39" s="25" t="s">
        <v>610</v>
      </c>
      <c r="C39" s="25" t="s">
        <v>611</v>
      </c>
      <c r="D39" s="25" t="s">
        <v>187</v>
      </c>
      <c r="E39" s="26">
        <v>10122</v>
      </c>
      <c r="F39" s="27">
        <v>419.71</v>
      </c>
      <c r="G39" s="28">
        <v>1.38E-2</v>
      </c>
      <c r="H39" s="29"/>
    </row>
    <row r="40" spans="2:8" ht="15.75" customHeight="1" x14ac:dyDescent="0.25">
      <c r="B40" s="25" t="s">
        <v>612</v>
      </c>
      <c r="C40" s="25" t="s">
        <v>613</v>
      </c>
      <c r="D40" s="25" t="s">
        <v>346</v>
      </c>
      <c r="E40" s="26">
        <v>737</v>
      </c>
      <c r="F40" s="27">
        <v>417.96</v>
      </c>
      <c r="G40" s="28">
        <v>1.37E-2</v>
      </c>
      <c r="H40" s="29"/>
    </row>
    <row r="41" spans="2:8" ht="15.75" customHeight="1" x14ac:dyDescent="0.25">
      <c r="B41" s="25" t="s">
        <v>220</v>
      </c>
      <c r="C41" s="25" t="s">
        <v>221</v>
      </c>
      <c r="D41" s="25" t="s">
        <v>129</v>
      </c>
      <c r="E41" s="26">
        <v>48333</v>
      </c>
      <c r="F41" s="27">
        <v>410.32</v>
      </c>
      <c r="G41" s="28">
        <v>1.35E-2</v>
      </c>
      <c r="H41" s="29"/>
    </row>
    <row r="42" spans="2:8" ht="15.75" customHeight="1" x14ac:dyDescent="0.25">
      <c r="B42" s="25" t="s">
        <v>614</v>
      </c>
      <c r="C42" s="25" t="s">
        <v>615</v>
      </c>
      <c r="D42" s="25" t="s">
        <v>132</v>
      </c>
      <c r="E42" s="26">
        <v>5739</v>
      </c>
      <c r="F42" s="27">
        <v>401.81</v>
      </c>
      <c r="G42" s="28">
        <v>1.32E-2</v>
      </c>
      <c r="H42" s="29"/>
    </row>
    <row r="43" spans="2:8" ht="15.75" customHeight="1" x14ac:dyDescent="0.25">
      <c r="B43" s="25" t="s">
        <v>306</v>
      </c>
      <c r="C43" s="25" t="s">
        <v>307</v>
      </c>
      <c r="D43" s="25" t="s">
        <v>276</v>
      </c>
      <c r="E43" s="26">
        <v>45525</v>
      </c>
      <c r="F43" s="27">
        <v>380.79</v>
      </c>
      <c r="G43" s="28">
        <v>1.2500000000000001E-2</v>
      </c>
      <c r="H43" s="29"/>
    </row>
    <row r="44" spans="2:8" ht="15.75" customHeight="1" x14ac:dyDescent="0.25">
      <c r="B44" s="25" t="s">
        <v>616</v>
      </c>
      <c r="C44" s="25" t="s">
        <v>617</v>
      </c>
      <c r="D44" s="25" t="s">
        <v>194</v>
      </c>
      <c r="E44" s="26">
        <v>29833</v>
      </c>
      <c r="F44" s="27">
        <v>366.5</v>
      </c>
      <c r="G44" s="28">
        <v>1.2E-2</v>
      </c>
      <c r="H44" s="29"/>
    </row>
    <row r="45" spans="2:8" ht="15.75" customHeight="1" x14ac:dyDescent="0.25">
      <c r="B45" s="25" t="s">
        <v>618</v>
      </c>
      <c r="C45" s="25" t="s">
        <v>619</v>
      </c>
      <c r="D45" s="25" t="s">
        <v>184</v>
      </c>
      <c r="E45" s="26">
        <v>56073</v>
      </c>
      <c r="F45" s="27">
        <v>361.36</v>
      </c>
      <c r="G45" s="28">
        <v>1.1900000000000001E-2</v>
      </c>
      <c r="H45" s="29"/>
    </row>
    <row r="46" spans="2:8" ht="15.75" customHeight="1" x14ac:dyDescent="0.25">
      <c r="B46" s="25" t="s">
        <v>358</v>
      </c>
      <c r="C46" s="25" t="s">
        <v>359</v>
      </c>
      <c r="D46" s="25" t="s">
        <v>227</v>
      </c>
      <c r="E46" s="26">
        <v>118457</v>
      </c>
      <c r="F46" s="27">
        <v>356.08</v>
      </c>
      <c r="G46" s="28">
        <v>1.17E-2</v>
      </c>
      <c r="H46" s="29"/>
    </row>
    <row r="47" spans="2:8" ht="15.75" customHeight="1" x14ac:dyDescent="0.25">
      <c r="B47" s="25" t="s">
        <v>535</v>
      </c>
      <c r="C47" s="25" t="s">
        <v>536</v>
      </c>
      <c r="D47" s="25" t="s">
        <v>224</v>
      </c>
      <c r="E47" s="26">
        <v>51556</v>
      </c>
      <c r="F47" s="27">
        <v>353.52</v>
      </c>
      <c r="G47" s="28">
        <v>1.1599999999999999E-2</v>
      </c>
      <c r="H47" s="29"/>
    </row>
    <row r="48" spans="2:8" ht="15.75" customHeight="1" x14ac:dyDescent="0.25">
      <c r="B48" s="25" t="s">
        <v>620</v>
      </c>
      <c r="C48" s="25" t="s">
        <v>621</v>
      </c>
      <c r="D48" s="25" t="s">
        <v>227</v>
      </c>
      <c r="E48" s="26">
        <v>18869</v>
      </c>
      <c r="F48" s="27">
        <v>338.86</v>
      </c>
      <c r="G48" s="28">
        <v>1.11E-2</v>
      </c>
      <c r="H48" s="29"/>
    </row>
    <row r="49" spans="2:8" ht="15.75" customHeight="1" x14ac:dyDescent="0.25">
      <c r="B49" s="25" t="s">
        <v>622</v>
      </c>
      <c r="C49" s="25" t="s">
        <v>623</v>
      </c>
      <c r="D49" s="25" t="s">
        <v>132</v>
      </c>
      <c r="E49" s="26">
        <v>6174</v>
      </c>
      <c r="F49" s="27">
        <v>337.03</v>
      </c>
      <c r="G49" s="28">
        <v>1.11E-2</v>
      </c>
      <c r="H49" s="29"/>
    </row>
    <row r="50" spans="2:8" ht="15.75" customHeight="1" x14ac:dyDescent="0.25">
      <c r="B50" s="25" t="s">
        <v>452</v>
      </c>
      <c r="C50" s="25" t="s">
        <v>453</v>
      </c>
      <c r="D50" s="25" t="s">
        <v>454</v>
      </c>
      <c r="E50" s="26">
        <v>46343</v>
      </c>
      <c r="F50" s="27">
        <v>335.08</v>
      </c>
      <c r="G50" s="28">
        <v>1.0999999999999999E-2</v>
      </c>
      <c r="H50" s="29"/>
    </row>
    <row r="51" spans="2:8" ht="15.75" customHeight="1" x14ac:dyDescent="0.25">
      <c r="B51" s="25" t="s">
        <v>541</v>
      </c>
      <c r="C51" s="25" t="s">
        <v>542</v>
      </c>
      <c r="D51" s="25" t="s">
        <v>295</v>
      </c>
      <c r="E51" s="26">
        <v>74879</v>
      </c>
      <c r="F51" s="27">
        <v>334.33</v>
      </c>
      <c r="G51" s="28">
        <v>1.0999999999999999E-2</v>
      </c>
      <c r="H51" s="29"/>
    </row>
    <row r="52" spans="2:8" ht="15.75" customHeight="1" x14ac:dyDescent="0.25">
      <c r="B52" s="25" t="s">
        <v>230</v>
      </c>
      <c r="C52" s="25" t="s">
        <v>231</v>
      </c>
      <c r="D52" s="25" t="s">
        <v>232</v>
      </c>
      <c r="E52" s="26">
        <v>7891</v>
      </c>
      <c r="F52" s="27">
        <v>333.65</v>
      </c>
      <c r="G52" s="28">
        <v>1.0999999999999999E-2</v>
      </c>
      <c r="H52" s="29"/>
    </row>
    <row r="53" spans="2:8" ht="15.75" customHeight="1" x14ac:dyDescent="0.25">
      <c r="B53" s="25" t="s">
        <v>624</v>
      </c>
      <c r="C53" s="25" t="s">
        <v>625</v>
      </c>
      <c r="D53" s="25" t="s">
        <v>337</v>
      </c>
      <c r="E53" s="26">
        <v>23533</v>
      </c>
      <c r="F53" s="27">
        <v>327.87</v>
      </c>
      <c r="G53" s="28">
        <v>1.0800000000000001E-2</v>
      </c>
      <c r="H53" s="29"/>
    </row>
    <row r="54" spans="2:8" ht="15.75" customHeight="1" x14ac:dyDescent="0.25">
      <c r="B54" s="25" t="s">
        <v>424</v>
      </c>
      <c r="C54" s="25" t="s">
        <v>425</v>
      </c>
      <c r="D54" s="25" t="s">
        <v>337</v>
      </c>
      <c r="E54" s="26">
        <v>7302</v>
      </c>
      <c r="F54" s="27">
        <v>322.74</v>
      </c>
      <c r="G54" s="28">
        <v>1.06E-2</v>
      </c>
      <c r="H54" s="29"/>
    </row>
    <row r="55" spans="2:8" ht="15.75" customHeight="1" x14ac:dyDescent="0.25">
      <c r="B55" s="25" t="s">
        <v>259</v>
      </c>
      <c r="C55" s="25" t="s">
        <v>260</v>
      </c>
      <c r="D55" s="25" t="s">
        <v>227</v>
      </c>
      <c r="E55" s="26">
        <v>34708</v>
      </c>
      <c r="F55" s="27">
        <v>321.74</v>
      </c>
      <c r="G55" s="28">
        <v>1.06E-2</v>
      </c>
      <c r="H55" s="29"/>
    </row>
    <row r="56" spans="2:8" ht="15.75" customHeight="1" x14ac:dyDescent="0.25">
      <c r="B56" s="25" t="s">
        <v>626</v>
      </c>
      <c r="C56" s="25" t="s">
        <v>627</v>
      </c>
      <c r="D56" s="25" t="s">
        <v>219</v>
      </c>
      <c r="E56" s="26">
        <v>16213</v>
      </c>
      <c r="F56" s="27">
        <v>306.85000000000002</v>
      </c>
      <c r="G56" s="28">
        <v>1.01E-2</v>
      </c>
      <c r="H56" s="29"/>
    </row>
    <row r="57" spans="2:8" ht="15.75" customHeight="1" x14ac:dyDescent="0.25">
      <c r="B57" s="25" t="s">
        <v>628</v>
      </c>
      <c r="C57" s="25" t="s">
        <v>629</v>
      </c>
      <c r="D57" s="25" t="s">
        <v>601</v>
      </c>
      <c r="E57" s="26">
        <v>49968</v>
      </c>
      <c r="F57" s="27">
        <v>293.26</v>
      </c>
      <c r="G57" s="28">
        <v>9.5999999999999992E-3</v>
      </c>
      <c r="H57" s="29"/>
    </row>
    <row r="58" spans="2:8" ht="15.75" customHeight="1" x14ac:dyDescent="0.25">
      <c r="B58" s="25" t="s">
        <v>630</v>
      </c>
      <c r="C58" s="25" t="s">
        <v>631</v>
      </c>
      <c r="D58" s="25" t="s">
        <v>263</v>
      </c>
      <c r="E58" s="26">
        <v>52041</v>
      </c>
      <c r="F58" s="27">
        <v>293.12</v>
      </c>
      <c r="G58" s="28">
        <v>9.5999999999999992E-3</v>
      </c>
      <c r="H58" s="29"/>
    </row>
    <row r="59" spans="2:8" ht="15.75" customHeight="1" x14ac:dyDescent="0.25">
      <c r="B59" s="25" t="s">
        <v>632</v>
      </c>
      <c r="C59" s="25" t="s">
        <v>633</v>
      </c>
      <c r="D59" s="25" t="s">
        <v>428</v>
      </c>
      <c r="E59" s="26">
        <v>15509</v>
      </c>
      <c r="F59" s="27">
        <v>287.61</v>
      </c>
      <c r="G59" s="28">
        <v>9.4000000000000004E-3</v>
      </c>
      <c r="H59" s="29"/>
    </row>
    <row r="60" spans="2:8" ht="15.75" customHeight="1" x14ac:dyDescent="0.25">
      <c r="B60" s="25" t="s">
        <v>319</v>
      </c>
      <c r="C60" s="25" t="s">
        <v>320</v>
      </c>
      <c r="D60" s="25" t="s">
        <v>269</v>
      </c>
      <c r="E60" s="26">
        <v>11218</v>
      </c>
      <c r="F60" s="27">
        <v>280.67</v>
      </c>
      <c r="G60" s="28">
        <v>9.1999999999999998E-3</v>
      </c>
      <c r="H60" s="29"/>
    </row>
    <row r="61" spans="2:8" ht="15.75" customHeight="1" x14ac:dyDescent="0.25">
      <c r="B61" s="25" t="s">
        <v>634</v>
      </c>
      <c r="C61" s="25" t="s">
        <v>635</v>
      </c>
      <c r="D61" s="25" t="s">
        <v>276</v>
      </c>
      <c r="E61" s="26">
        <v>10330</v>
      </c>
      <c r="F61" s="27">
        <v>270.55</v>
      </c>
      <c r="G61" s="28">
        <v>8.8999999999999999E-3</v>
      </c>
      <c r="H61" s="29"/>
    </row>
    <row r="62" spans="2:8" ht="15.75" customHeight="1" x14ac:dyDescent="0.25">
      <c r="B62" s="25" t="s">
        <v>379</v>
      </c>
      <c r="C62" s="25" t="s">
        <v>380</v>
      </c>
      <c r="D62" s="25" t="s">
        <v>129</v>
      </c>
      <c r="E62" s="26">
        <v>220375</v>
      </c>
      <c r="F62" s="27">
        <v>265.57</v>
      </c>
      <c r="G62" s="28">
        <v>8.6999999999999994E-3</v>
      </c>
      <c r="H62" s="29"/>
    </row>
    <row r="63" spans="2:8" ht="15.75" customHeight="1" x14ac:dyDescent="0.25">
      <c r="B63" s="25" t="s">
        <v>552</v>
      </c>
      <c r="C63" s="25" t="s">
        <v>553</v>
      </c>
      <c r="D63" s="25" t="s">
        <v>508</v>
      </c>
      <c r="E63" s="26">
        <v>668</v>
      </c>
      <c r="F63" s="27">
        <v>261.18</v>
      </c>
      <c r="G63" s="28">
        <v>8.6E-3</v>
      </c>
      <c r="H63" s="29"/>
    </row>
    <row r="64" spans="2:8" ht="15.75" customHeight="1" x14ac:dyDescent="0.25">
      <c r="B64" s="25" t="s">
        <v>383</v>
      </c>
      <c r="C64" s="25" t="s">
        <v>384</v>
      </c>
      <c r="D64" s="25" t="s">
        <v>227</v>
      </c>
      <c r="E64" s="26">
        <v>45632</v>
      </c>
      <c r="F64" s="27">
        <v>239.75</v>
      </c>
      <c r="G64" s="28">
        <v>7.9000000000000008E-3</v>
      </c>
      <c r="H64" s="29"/>
    </row>
    <row r="65" spans="2:16" ht="15.75" customHeight="1" x14ac:dyDescent="0.25">
      <c r="B65" s="25" t="s">
        <v>636</v>
      </c>
      <c r="C65" s="25" t="s">
        <v>637</v>
      </c>
      <c r="D65" s="25" t="s">
        <v>219</v>
      </c>
      <c r="E65" s="26">
        <v>10438</v>
      </c>
      <c r="F65" s="27">
        <v>184.31</v>
      </c>
      <c r="G65" s="28">
        <v>6.0000000000000001E-3</v>
      </c>
      <c r="H65" s="29"/>
    </row>
    <row r="66" spans="2:16" ht="15.75" customHeight="1" x14ac:dyDescent="0.25">
      <c r="B66" s="25" t="s">
        <v>440</v>
      </c>
      <c r="C66" s="25" t="s">
        <v>441</v>
      </c>
      <c r="D66" s="25" t="s">
        <v>346</v>
      </c>
      <c r="E66" s="26">
        <v>44065</v>
      </c>
      <c r="F66" s="27">
        <v>142.54</v>
      </c>
      <c r="G66" s="28">
        <v>4.7000000000000002E-3</v>
      </c>
      <c r="H66" s="29"/>
    </row>
    <row r="67" spans="2:16" ht="15.75" customHeight="1" x14ac:dyDescent="0.25">
      <c r="B67" s="25" t="s">
        <v>455</v>
      </c>
      <c r="C67" s="25" t="s">
        <v>456</v>
      </c>
      <c r="D67" s="25" t="s">
        <v>337</v>
      </c>
      <c r="E67" s="26">
        <v>10349</v>
      </c>
      <c r="F67" s="27">
        <v>128.09</v>
      </c>
      <c r="G67" s="28">
        <v>4.1999999999999997E-3</v>
      </c>
      <c r="H67" s="29"/>
    </row>
    <row r="68" spans="2:16" ht="15.75" customHeight="1" x14ac:dyDescent="0.25">
      <c r="B68" s="24" t="s">
        <v>102</v>
      </c>
      <c r="C68" s="24"/>
      <c r="D68" s="24"/>
      <c r="E68" s="30"/>
      <c r="F68" s="31">
        <v>29854.57</v>
      </c>
      <c r="G68" s="32">
        <v>0.9798</v>
      </c>
      <c r="H68" s="33"/>
      <c r="L68" s="3"/>
    </row>
    <row r="69" spans="2:16" ht="15.75" customHeight="1" x14ac:dyDescent="0.25">
      <c r="B69" s="24" t="s">
        <v>149</v>
      </c>
      <c r="C69" s="25"/>
      <c r="D69" s="25"/>
      <c r="E69" s="26"/>
      <c r="F69" s="27"/>
      <c r="G69" s="28"/>
      <c r="H69" s="29"/>
    </row>
    <row r="70" spans="2:16" ht="15.75" customHeight="1" x14ac:dyDescent="0.25">
      <c r="B70" s="24" t="s">
        <v>102</v>
      </c>
      <c r="C70" s="25"/>
      <c r="D70" s="25"/>
      <c r="E70" s="26"/>
      <c r="F70" s="34" t="s">
        <v>104</v>
      </c>
      <c r="G70" s="35" t="s">
        <v>104</v>
      </c>
      <c r="H70" s="29"/>
      <c r="L70" s="3"/>
    </row>
    <row r="71" spans="2:16" ht="15.75" customHeight="1" x14ac:dyDescent="0.25">
      <c r="B71" s="25"/>
      <c r="C71" s="25"/>
      <c r="D71" s="25"/>
      <c r="E71" s="26"/>
      <c r="F71" s="27"/>
      <c r="G71" s="28"/>
      <c r="H71" s="29"/>
      <c r="L71" s="3"/>
    </row>
    <row r="72" spans="2:16" ht="15.75" customHeight="1" x14ac:dyDescent="0.25">
      <c r="B72" s="36" t="s">
        <v>106</v>
      </c>
      <c r="C72" s="36"/>
      <c r="D72" s="36"/>
      <c r="E72" s="37"/>
      <c r="F72" s="31">
        <v>29854.57</v>
      </c>
      <c r="G72" s="32">
        <v>0.9798</v>
      </c>
      <c r="H72" s="33"/>
      <c r="L72" s="3"/>
    </row>
    <row r="73" spans="2:16" ht="15.75" customHeight="1" x14ac:dyDescent="0.25">
      <c r="B73" s="25"/>
      <c r="C73" s="25"/>
      <c r="D73" s="25"/>
      <c r="E73" s="26"/>
      <c r="F73" s="27"/>
      <c r="G73" s="28"/>
      <c r="H73" s="29"/>
      <c r="L73" s="3"/>
    </row>
    <row r="74" spans="2:16" ht="15.75" customHeight="1" x14ac:dyDescent="0.25">
      <c r="B74" s="25"/>
      <c r="C74" s="25"/>
      <c r="D74" s="25"/>
      <c r="E74" s="26"/>
      <c r="F74" s="27"/>
      <c r="G74" s="28"/>
      <c r="H74" s="29"/>
      <c r="L74" s="3"/>
    </row>
    <row r="75" spans="2:16" ht="15.75" customHeight="1" x14ac:dyDescent="0.25">
      <c r="B75" s="24" t="s">
        <v>109</v>
      </c>
      <c r="C75" s="25"/>
      <c r="D75" s="25"/>
      <c r="E75" s="26"/>
      <c r="F75" s="27"/>
      <c r="G75" s="28"/>
      <c r="H75" s="29"/>
      <c r="L75" s="5"/>
      <c r="M75" s="5"/>
      <c r="N75" s="6"/>
      <c r="O75" s="6"/>
      <c r="P75" s="5"/>
    </row>
    <row r="76" spans="2:16" ht="15.75" customHeight="1" x14ac:dyDescent="0.25">
      <c r="B76" s="25" t="s">
        <v>110</v>
      </c>
      <c r="C76" s="25"/>
      <c r="D76" s="25"/>
      <c r="E76" s="26"/>
      <c r="F76" s="27">
        <v>820.83</v>
      </c>
      <c r="G76" s="28">
        <v>2.69E-2</v>
      </c>
      <c r="H76" s="29"/>
    </row>
    <row r="77" spans="2:16" ht="15.75" customHeight="1" x14ac:dyDescent="0.25">
      <c r="B77" s="24" t="s">
        <v>102</v>
      </c>
      <c r="C77" s="24"/>
      <c r="D77" s="24"/>
      <c r="E77" s="30"/>
      <c r="F77" s="31">
        <v>820.83</v>
      </c>
      <c r="G77" s="32">
        <v>2.69E-2</v>
      </c>
      <c r="H77" s="33"/>
    </row>
    <row r="78" spans="2:16" ht="15.75" customHeight="1" x14ac:dyDescent="0.25">
      <c r="B78" s="25"/>
      <c r="C78" s="25"/>
      <c r="D78" s="25"/>
      <c r="E78" s="26"/>
      <c r="F78" s="27"/>
      <c r="G78" s="28"/>
      <c r="H78" s="29"/>
      <c r="L78" s="7"/>
      <c r="M78" s="7"/>
      <c r="N78" s="7"/>
      <c r="O78" s="7"/>
      <c r="P78" s="7"/>
    </row>
    <row r="79" spans="2:16" ht="15.75" customHeight="1" x14ac:dyDescent="0.25">
      <c r="B79" s="36" t="s">
        <v>106</v>
      </c>
      <c r="C79" s="36"/>
      <c r="D79" s="36"/>
      <c r="E79" s="37"/>
      <c r="F79" s="31">
        <v>820.83</v>
      </c>
      <c r="G79" s="32">
        <v>2.69E-2</v>
      </c>
      <c r="H79" s="33"/>
      <c r="L79" s="7"/>
      <c r="M79" s="7"/>
      <c r="N79" s="7"/>
      <c r="O79" s="7"/>
      <c r="P79" s="7"/>
    </row>
    <row r="80" spans="2:16" ht="15.75" customHeight="1" x14ac:dyDescent="0.25">
      <c r="B80" s="25" t="s">
        <v>111</v>
      </c>
      <c r="C80" s="25"/>
      <c r="D80" s="25"/>
      <c r="E80" s="26"/>
      <c r="F80" s="38">
        <v>-206.79</v>
      </c>
      <c r="G80" s="39">
        <v>-6.6999999999999282E-3</v>
      </c>
      <c r="H80" s="29"/>
      <c r="L80" s="7"/>
      <c r="M80" s="7"/>
      <c r="N80" s="7"/>
      <c r="O80" s="7"/>
      <c r="P80" s="7"/>
    </row>
    <row r="81" spans="2:16" ht="15.75" customHeight="1" x14ac:dyDescent="0.25">
      <c r="B81" s="40" t="s">
        <v>112</v>
      </c>
      <c r="C81" s="40"/>
      <c r="D81" s="40"/>
      <c r="E81" s="41"/>
      <c r="F81" s="42">
        <v>30468.61</v>
      </c>
      <c r="G81" s="43">
        <v>1</v>
      </c>
      <c r="H81" s="44"/>
      <c r="L81" s="7"/>
      <c r="M81" s="7"/>
      <c r="N81" s="7"/>
      <c r="O81" s="7"/>
      <c r="P81" s="7"/>
    </row>
    <row r="82" spans="2:16" ht="15.75" customHeight="1" thickBot="1" x14ac:dyDescent="0.3">
      <c r="B82" s="2"/>
      <c r="L82" s="7"/>
      <c r="M82" s="7"/>
      <c r="N82" s="7"/>
      <c r="O82" s="7"/>
      <c r="P82" s="7"/>
    </row>
    <row r="83" spans="2:16" ht="27" customHeight="1" thickBot="1" x14ac:dyDescent="0.3">
      <c r="B83" s="56" t="s">
        <v>964</v>
      </c>
      <c r="C83" s="57" t="s">
        <v>965</v>
      </c>
      <c r="D83" s="57" t="s">
        <v>966</v>
      </c>
      <c r="E83" s="62" t="s">
        <v>967</v>
      </c>
      <c r="G83" s="2"/>
      <c r="H83" s="2"/>
    </row>
    <row r="84" spans="2:16" ht="29.25" customHeight="1" x14ac:dyDescent="0.25">
      <c r="B84" s="63" t="s">
        <v>1000</v>
      </c>
      <c r="C84" s="81"/>
      <c r="D84" s="84" t="s">
        <v>1001</v>
      </c>
      <c r="E84" s="86"/>
      <c r="G84" s="2"/>
      <c r="H84" s="2"/>
    </row>
    <row r="85" spans="2:16" ht="40" customHeight="1" x14ac:dyDescent="0.25">
      <c r="B85" s="65" t="s">
        <v>996</v>
      </c>
      <c r="C85" s="82"/>
      <c r="D85" s="85"/>
      <c r="E85" s="82"/>
      <c r="G85" s="2"/>
      <c r="H85" s="2"/>
    </row>
    <row r="86" spans="2:16" ht="40" customHeight="1" x14ac:dyDescent="0.25">
      <c r="B86" s="65" t="s">
        <v>1002</v>
      </c>
      <c r="C86" s="82"/>
      <c r="D86" s="85"/>
      <c r="E86" s="82"/>
      <c r="G86" s="2"/>
      <c r="H86" s="2"/>
    </row>
    <row r="87" spans="2:16" ht="23.25" customHeight="1" thickBot="1" x14ac:dyDescent="0.3">
      <c r="B87" s="67" t="s">
        <v>982</v>
      </c>
      <c r="C87" s="83"/>
      <c r="D87" s="70" t="s">
        <v>982</v>
      </c>
      <c r="E87" s="87"/>
      <c r="G87" s="2"/>
      <c r="H87" s="2"/>
    </row>
    <row r="88" spans="2:16" ht="25" customHeight="1" x14ac:dyDescent="0.25">
      <c r="B88" s="58" t="s">
        <v>969</v>
      </c>
      <c r="C88" s="59"/>
      <c r="D88" s="60"/>
      <c r="E88" s="61"/>
      <c r="G88" s="2"/>
      <c r="H88" s="2"/>
    </row>
    <row r="90" spans="2:16" ht="11.5" x14ac:dyDescent="0.25">
      <c r="B90" s="2" t="s">
        <v>970</v>
      </c>
      <c r="C90" s="2"/>
      <c r="D90" s="2"/>
      <c r="G90" s="2"/>
      <c r="H90" s="2"/>
    </row>
    <row r="91" spans="2:16" ht="11.5" x14ac:dyDescent="0.25">
      <c r="B91" s="3" t="s">
        <v>971</v>
      </c>
      <c r="C91" s="2"/>
      <c r="D91" s="2"/>
      <c r="G91" s="2"/>
      <c r="H91" s="2"/>
    </row>
  </sheetData>
  <mergeCells count="3">
    <mergeCell ref="C84:C87"/>
    <mergeCell ref="D84:D86"/>
    <mergeCell ref="E84:E87"/>
  </mergeCells>
  <hyperlinks>
    <hyperlink ref="I1" location="'Sheet1'!A1" display="Index" xr:uid="{4F4A5459-5C62-4608-9217-CCADDD94433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1C033-D1A3-4F1C-839C-0EE929E92B85}">
  <dimension ref="B1:P115"/>
  <sheetViews>
    <sheetView workbookViewId="0"/>
  </sheetViews>
  <sheetFormatPr defaultColWidth="9.1796875" defaultRowHeight="15.75" customHeight="1" x14ac:dyDescent="0.25"/>
  <cols>
    <col min="1" max="1" width="3.6328125" style="2" customWidth="1"/>
    <col min="2" max="2" width="39.08984375" style="9" bestFit="1" customWidth="1"/>
    <col min="3" max="3" width="28.6328125" style="9" customWidth="1"/>
    <col min="4" max="4" width="36.6328125" style="9" bestFit="1" customWidth="1"/>
    <col min="5" max="5" width="25.17968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16</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179</v>
      </c>
      <c r="C7" s="25" t="s">
        <v>180</v>
      </c>
      <c r="D7" s="25" t="s">
        <v>181</v>
      </c>
      <c r="E7" s="26">
        <v>49500</v>
      </c>
      <c r="F7" s="27">
        <v>86.13</v>
      </c>
      <c r="G7" s="28">
        <v>4.8800000000000003E-2</v>
      </c>
      <c r="H7" s="29"/>
    </row>
    <row r="8" spans="2:9" ht="15.75" customHeight="1" x14ac:dyDescent="0.25">
      <c r="B8" s="25" t="s">
        <v>272</v>
      </c>
      <c r="C8" s="25" t="s">
        <v>273</v>
      </c>
      <c r="D8" s="25" t="s">
        <v>132</v>
      </c>
      <c r="E8" s="26">
        <v>2100</v>
      </c>
      <c r="F8" s="27">
        <v>81.99</v>
      </c>
      <c r="G8" s="28">
        <v>4.6399999999999997E-2</v>
      </c>
      <c r="H8" s="29"/>
    </row>
    <row r="9" spans="2:9" ht="15.75" customHeight="1" x14ac:dyDescent="0.25">
      <c r="B9" s="25" t="s">
        <v>136</v>
      </c>
      <c r="C9" s="25" t="s">
        <v>137</v>
      </c>
      <c r="D9" s="25" t="s">
        <v>129</v>
      </c>
      <c r="E9" s="26">
        <v>3904</v>
      </c>
      <c r="F9" s="27">
        <v>65.739999999999995</v>
      </c>
      <c r="G9" s="28">
        <v>3.7199999999999997E-2</v>
      </c>
      <c r="H9" s="29"/>
    </row>
    <row r="10" spans="2:9" ht="15.75" customHeight="1" x14ac:dyDescent="0.25">
      <c r="B10" s="25" t="s">
        <v>127</v>
      </c>
      <c r="C10" s="25" t="s">
        <v>128</v>
      </c>
      <c r="D10" s="25" t="s">
        <v>129</v>
      </c>
      <c r="E10" s="26">
        <v>5253</v>
      </c>
      <c r="F10" s="27">
        <v>63.01</v>
      </c>
      <c r="G10" s="28">
        <v>3.5700000000000003E-2</v>
      </c>
      <c r="H10" s="29"/>
    </row>
    <row r="11" spans="2:9" ht="15.75" customHeight="1" x14ac:dyDescent="0.25">
      <c r="B11" s="25" t="s">
        <v>141</v>
      </c>
      <c r="C11" s="25" t="s">
        <v>142</v>
      </c>
      <c r="D11" s="25" t="s">
        <v>143</v>
      </c>
      <c r="E11" s="26">
        <v>2400</v>
      </c>
      <c r="F11" s="27">
        <v>59.35</v>
      </c>
      <c r="G11" s="28">
        <v>3.3599999999999998E-2</v>
      </c>
      <c r="H11" s="29"/>
    </row>
    <row r="12" spans="2:9" ht="15.75" customHeight="1" x14ac:dyDescent="0.25">
      <c r="B12" s="25" t="s">
        <v>502</v>
      </c>
      <c r="C12" s="25" t="s">
        <v>503</v>
      </c>
      <c r="D12" s="25" t="s">
        <v>276</v>
      </c>
      <c r="E12" s="26">
        <v>500</v>
      </c>
      <c r="F12" s="27">
        <v>58.34</v>
      </c>
      <c r="G12" s="28">
        <v>3.3000000000000002E-2</v>
      </c>
      <c r="H12" s="29"/>
    </row>
    <row r="13" spans="2:9" ht="15.75" customHeight="1" x14ac:dyDescent="0.25">
      <c r="B13" s="25" t="s">
        <v>130</v>
      </c>
      <c r="C13" s="25" t="s">
        <v>131</v>
      </c>
      <c r="D13" s="25" t="s">
        <v>132</v>
      </c>
      <c r="E13" s="26">
        <v>3600</v>
      </c>
      <c r="F13" s="27">
        <v>56.4</v>
      </c>
      <c r="G13" s="28">
        <v>3.1899999999999998E-2</v>
      </c>
      <c r="H13" s="29"/>
    </row>
    <row r="14" spans="2:9" ht="15.75" customHeight="1" x14ac:dyDescent="0.25">
      <c r="B14" s="25" t="s">
        <v>138</v>
      </c>
      <c r="C14" s="25" t="s">
        <v>139</v>
      </c>
      <c r="D14" s="25" t="s">
        <v>140</v>
      </c>
      <c r="E14" s="26">
        <v>1719</v>
      </c>
      <c r="F14" s="27">
        <v>53.82</v>
      </c>
      <c r="G14" s="28">
        <v>3.0499999999999999E-2</v>
      </c>
      <c r="H14" s="29"/>
    </row>
    <row r="15" spans="2:9" ht="15.75" customHeight="1" x14ac:dyDescent="0.25">
      <c r="B15" s="25" t="s">
        <v>185</v>
      </c>
      <c r="C15" s="25" t="s">
        <v>186</v>
      </c>
      <c r="D15" s="25" t="s">
        <v>187</v>
      </c>
      <c r="E15" s="26">
        <v>20000</v>
      </c>
      <c r="F15" s="27">
        <v>48.38</v>
      </c>
      <c r="G15" s="28">
        <v>2.7400000000000001E-2</v>
      </c>
      <c r="H15" s="29"/>
    </row>
    <row r="16" spans="2:9" ht="15.75" customHeight="1" x14ac:dyDescent="0.25">
      <c r="B16" s="25" t="s">
        <v>277</v>
      </c>
      <c r="C16" s="25" t="s">
        <v>278</v>
      </c>
      <c r="D16" s="25" t="s">
        <v>214</v>
      </c>
      <c r="E16" s="26">
        <v>22500</v>
      </c>
      <c r="F16" s="27">
        <v>42.1</v>
      </c>
      <c r="G16" s="28">
        <v>2.3800000000000002E-2</v>
      </c>
      <c r="H16" s="29"/>
    </row>
    <row r="17" spans="2:8" ht="15.75" customHeight="1" x14ac:dyDescent="0.25">
      <c r="B17" s="25" t="s">
        <v>133</v>
      </c>
      <c r="C17" s="25" t="s">
        <v>134</v>
      </c>
      <c r="D17" s="25" t="s">
        <v>135</v>
      </c>
      <c r="E17" s="26">
        <v>1400</v>
      </c>
      <c r="F17" s="27">
        <v>40.130000000000003</v>
      </c>
      <c r="G17" s="28">
        <v>2.2700000000000001E-2</v>
      </c>
      <c r="H17" s="29"/>
    </row>
    <row r="18" spans="2:8" ht="15.75" customHeight="1" x14ac:dyDescent="0.25">
      <c r="B18" s="25" t="s">
        <v>448</v>
      </c>
      <c r="C18" s="25" t="s">
        <v>449</v>
      </c>
      <c r="D18" s="25" t="s">
        <v>169</v>
      </c>
      <c r="E18" s="26">
        <v>2100</v>
      </c>
      <c r="F18" s="27">
        <v>31.94</v>
      </c>
      <c r="G18" s="28">
        <v>1.8100000000000002E-2</v>
      </c>
      <c r="H18" s="29"/>
    </row>
    <row r="19" spans="2:8" ht="15.75" customHeight="1" x14ac:dyDescent="0.25">
      <c r="B19" s="25" t="s">
        <v>210</v>
      </c>
      <c r="C19" s="25" t="s">
        <v>211</v>
      </c>
      <c r="D19" s="25" t="s">
        <v>143</v>
      </c>
      <c r="E19" s="26">
        <v>7457</v>
      </c>
      <c r="F19" s="27">
        <v>31.68</v>
      </c>
      <c r="G19" s="28">
        <v>1.7899999999999999E-2</v>
      </c>
      <c r="H19" s="29"/>
    </row>
    <row r="20" spans="2:8" ht="15.75" customHeight="1" x14ac:dyDescent="0.25">
      <c r="B20" s="25" t="s">
        <v>188</v>
      </c>
      <c r="C20" s="25" t="s">
        <v>189</v>
      </c>
      <c r="D20" s="25" t="s">
        <v>129</v>
      </c>
      <c r="E20" s="26">
        <v>2500</v>
      </c>
      <c r="F20" s="27">
        <v>31.63</v>
      </c>
      <c r="G20" s="28">
        <v>1.7899999999999999E-2</v>
      </c>
      <c r="H20" s="29"/>
    </row>
    <row r="21" spans="2:8" ht="15.75" customHeight="1" x14ac:dyDescent="0.25">
      <c r="B21" s="25" t="s">
        <v>215</v>
      </c>
      <c r="C21" s="25" t="s">
        <v>216</v>
      </c>
      <c r="D21" s="25" t="s">
        <v>129</v>
      </c>
      <c r="E21" s="26">
        <v>1600</v>
      </c>
      <c r="F21" s="27">
        <v>28.84</v>
      </c>
      <c r="G21" s="28">
        <v>1.6299999999999999E-2</v>
      </c>
      <c r="H21" s="29"/>
    </row>
    <row r="22" spans="2:8" ht="15.75" customHeight="1" x14ac:dyDescent="0.25">
      <c r="B22" s="25" t="s">
        <v>599</v>
      </c>
      <c r="C22" s="25" t="s">
        <v>600</v>
      </c>
      <c r="D22" s="25" t="s">
        <v>601</v>
      </c>
      <c r="E22" s="26">
        <v>77</v>
      </c>
      <c r="F22" s="27">
        <v>28.34</v>
      </c>
      <c r="G22" s="28">
        <v>1.6E-2</v>
      </c>
      <c r="H22" s="29"/>
    </row>
    <row r="23" spans="2:8" ht="15.75" customHeight="1" x14ac:dyDescent="0.25">
      <c r="B23" s="25" t="s">
        <v>220</v>
      </c>
      <c r="C23" s="25" t="s">
        <v>221</v>
      </c>
      <c r="D23" s="25" t="s">
        <v>129</v>
      </c>
      <c r="E23" s="26">
        <v>3312</v>
      </c>
      <c r="F23" s="27">
        <v>28.12</v>
      </c>
      <c r="G23" s="28">
        <v>1.5900000000000001E-2</v>
      </c>
      <c r="H23" s="29"/>
    </row>
    <row r="24" spans="2:8" ht="15.75" customHeight="1" x14ac:dyDescent="0.25">
      <c r="B24" s="25" t="s">
        <v>286</v>
      </c>
      <c r="C24" s="25" t="s">
        <v>287</v>
      </c>
      <c r="D24" s="25" t="s">
        <v>227</v>
      </c>
      <c r="E24" s="26">
        <v>14892</v>
      </c>
      <c r="F24" s="27">
        <v>26.98</v>
      </c>
      <c r="G24" s="28">
        <v>1.5299999999999999E-2</v>
      </c>
      <c r="H24" s="29"/>
    </row>
    <row r="25" spans="2:8" ht="15.75" customHeight="1" x14ac:dyDescent="0.25">
      <c r="B25" s="25" t="s">
        <v>347</v>
      </c>
      <c r="C25" s="25" t="s">
        <v>348</v>
      </c>
      <c r="D25" s="25" t="s">
        <v>132</v>
      </c>
      <c r="E25" s="26">
        <v>1791</v>
      </c>
      <c r="F25" s="27">
        <v>26.14</v>
      </c>
      <c r="G25" s="28">
        <v>1.4800000000000001E-2</v>
      </c>
      <c r="H25" s="29"/>
    </row>
    <row r="26" spans="2:8" ht="15.75" customHeight="1" x14ac:dyDescent="0.25">
      <c r="B26" s="25" t="s">
        <v>377</v>
      </c>
      <c r="C26" s="25" t="s">
        <v>378</v>
      </c>
      <c r="D26" s="25" t="s">
        <v>227</v>
      </c>
      <c r="E26" s="26">
        <v>1520</v>
      </c>
      <c r="F26" s="27">
        <v>20.100000000000001</v>
      </c>
      <c r="G26" s="28">
        <v>1.14E-2</v>
      </c>
      <c r="H26" s="29"/>
    </row>
    <row r="27" spans="2:8" ht="15.75" customHeight="1" x14ac:dyDescent="0.25">
      <c r="B27" s="25" t="s">
        <v>344</v>
      </c>
      <c r="C27" s="25" t="s">
        <v>345</v>
      </c>
      <c r="D27" s="25" t="s">
        <v>346</v>
      </c>
      <c r="E27" s="26">
        <v>7416</v>
      </c>
      <c r="F27" s="27">
        <v>18.420000000000002</v>
      </c>
      <c r="G27" s="28">
        <v>1.04E-2</v>
      </c>
      <c r="H27" s="29"/>
    </row>
    <row r="28" spans="2:8" ht="15.75" customHeight="1" x14ac:dyDescent="0.25">
      <c r="B28" s="25" t="s">
        <v>369</v>
      </c>
      <c r="C28" s="25" t="s">
        <v>370</v>
      </c>
      <c r="D28" s="25" t="s">
        <v>337</v>
      </c>
      <c r="E28" s="26">
        <v>1099</v>
      </c>
      <c r="F28" s="27">
        <v>17.09</v>
      </c>
      <c r="G28" s="28">
        <v>9.7000000000000003E-3</v>
      </c>
      <c r="H28" s="29"/>
    </row>
    <row r="29" spans="2:8" ht="15.75" customHeight="1" x14ac:dyDescent="0.25">
      <c r="B29" s="25" t="s">
        <v>422</v>
      </c>
      <c r="C29" s="25" t="s">
        <v>423</v>
      </c>
      <c r="D29" s="25" t="s">
        <v>178</v>
      </c>
      <c r="E29" s="26">
        <v>4777</v>
      </c>
      <c r="F29" s="27">
        <v>16.98</v>
      </c>
      <c r="G29" s="28">
        <v>9.5999999999999992E-3</v>
      </c>
      <c r="H29" s="29"/>
    </row>
    <row r="30" spans="2:8" ht="15.75" customHeight="1" x14ac:dyDescent="0.25">
      <c r="B30" s="25" t="s">
        <v>527</v>
      </c>
      <c r="C30" s="25" t="s">
        <v>528</v>
      </c>
      <c r="D30" s="25" t="s">
        <v>178</v>
      </c>
      <c r="E30" s="26">
        <v>364</v>
      </c>
      <c r="F30" s="27">
        <v>16.93</v>
      </c>
      <c r="G30" s="28">
        <v>9.5999999999999992E-3</v>
      </c>
      <c r="H30" s="29"/>
    </row>
    <row r="31" spans="2:8" ht="15.75" customHeight="1" x14ac:dyDescent="0.25">
      <c r="B31" s="25" t="s">
        <v>440</v>
      </c>
      <c r="C31" s="25" t="s">
        <v>441</v>
      </c>
      <c r="D31" s="25" t="s">
        <v>346</v>
      </c>
      <c r="E31" s="26">
        <v>5150</v>
      </c>
      <c r="F31" s="27">
        <v>16.66</v>
      </c>
      <c r="G31" s="28">
        <v>9.4000000000000004E-3</v>
      </c>
      <c r="H31" s="29"/>
    </row>
    <row r="32" spans="2:8" ht="15.75" customHeight="1" x14ac:dyDescent="0.25">
      <c r="B32" s="25" t="s">
        <v>418</v>
      </c>
      <c r="C32" s="25" t="s">
        <v>419</v>
      </c>
      <c r="D32" s="25" t="s">
        <v>316</v>
      </c>
      <c r="E32" s="26">
        <v>984</v>
      </c>
      <c r="F32" s="27">
        <v>16.03</v>
      </c>
      <c r="G32" s="28">
        <v>9.1000000000000004E-3</v>
      </c>
      <c r="H32" s="29"/>
    </row>
    <row r="33" spans="2:8" ht="15.75" customHeight="1" x14ac:dyDescent="0.25">
      <c r="B33" s="25" t="s">
        <v>200</v>
      </c>
      <c r="C33" s="25" t="s">
        <v>201</v>
      </c>
      <c r="D33" s="25" t="s">
        <v>202</v>
      </c>
      <c r="E33" s="26">
        <v>3499</v>
      </c>
      <c r="F33" s="27">
        <v>15.42</v>
      </c>
      <c r="G33" s="28">
        <v>8.6999999999999994E-3</v>
      </c>
      <c r="H33" s="29"/>
    </row>
    <row r="34" spans="2:8" ht="15.75" customHeight="1" x14ac:dyDescent="0.25">
      <c r="B34" s="25" t="s">
        <v>261</v>
      </c>
      <c r="C34" s="25" t="s">
        <v>262</v>
      </c>
      <c r="D34" s="25" t="s">
        <v>263</v>
      </c>
      <c r="E34" s="26">
        <v>1542</v>
      </c>
      <c r="F34" s="27">
        <v>15.25</v>
      </c>
      <c r="G34" s="28">
        <v>8.6E-3</v>
      </c>
      <c r="H34" s="29"/>
    </row>
    <row r="35" spans="2:8" ht="15.75" customHeight="1" x14ac:dyDescent="0.25">
      <c r="B35" s="25" t="s">
        <v>340</v>
      </c>
      <c r="C35" s="25" t="s">
        <v>341</v>
      </c>
      <c r="D35" s="25" t="s">
        <v>276</v>
      </c>
      <c r="E35" s="26">
        <v>557</v>
      </c>
      <c r="F35" s="27">
        <v>14.87</v>
      </c>
      <c r="G35" s="28">
        <v>8.3999999999999995E-3</v>
      </c>
      <c r="H35" s="29"/>
    </row>
    <row r="36" spans="2:8" ht="15.75" customHeight="1" x14ac:dyDescent="0.25">
      <c r="B36" s="25" t="s">
        <v>222</v>
      </c>
      <c r="C36" s="25" t="s">
        <v>223</v>
      </c>
      <c r="D36" s="25" t="s">
        <v>224</v>
      </c>
      <c r="E36" s="26">
        <v>404</v>
      </c>
      <c r="F36" s="27">
        <v>14.34</v>
      </c>
      <c r="G36" s="28">
        <v>8.0999999999999996E-3</v>
      </c>
      <c r="H36" s="29"/>
    </row>
    <row r="37" spans="2:8" ht="15.75" customHeight="1" x14ac:dyDescent="0.25">
      <c r="B37" s="25" t="s">
        <v>410</v>
      </c>
      <c r="C37" s="25" t="s">
        <v>411</v>
      </c>
      <c r="D37" s="25" t="s">
        <v>254</v>
      </c>
      <c r="E37" s="26">
        <v>6628</v>
      </c>
      <c r="F37" s="27">
        <v>13.29</v>
      </c>
      <c r="G37" s="28">
        <v>7.4999999999999997E-3</v>
      </c>
      <c r="H37" s="29"/>
    </row>
    <row r="38" spans="2:8" ht="15.75" customHeight="1" x14ac:dyDescent="0.25">
      <c r="B38" s="25" t="s">
        <v>564</v>
      </c>
      <c r="C38" s="25" t="s">
        <v>565</v>
      </c>
      <c r="D38" s="25" t="s">
        <v>566</v>
      </c>
      <c r="E38" s="26">
        <v>2242</v>
      </c>
      <c r="F38" s="27">
        <v>13.25</v>
      </c>
      <c r="G38" s="28">
        <v>7.4999999999999997E-3</v>
      </c>
      <c r="H38" s="29"/>
    </row>
    <row r="39" spans="2:8" ht="15.75" customHeight="1" x14ac:dyDescent="0.25">
      <c r="B39" s="25" t="s">
        <v>638</v>
      </c>
      <c r="C39" s="25" t="s">
        <v>639</v>
      </c>
      <c r="D39" s="25" t="s">
        <v>346</v>
      </c>
      <c r="E39" s="26">
        <v>688</v>
      </c>
      <c r="F39" s="27">
        <v>12.8</v>
      </c>
      <c r="G39" s="28">
        <v>7.1999999999999998E-3</v>
      </c>
      <c r="H39" s="29"/>
    </row>
    <row r="40" spans="2:8" ht="15.75" customHeight="1" x14ac:dyDescent="0.25">
      <c r="B40" s="25" t="s">
        <v>208</v>
      </c>
      <c r="C40" s="25" t="s">
        <v>209</v>
      </c>
      <c r="D40" s="25" t="s">
        <v>132</v>
      </c>
      <c r="E40" s="26">
        <v>879</v>
      </c>
      <c r="F40" s="27">
        <v>12.57</v>
      </c>
      <c r="G40" s="28">
        <v>7.1000000000000004E-3</v>
      </c>
      <c r="H40" s="29"/>
    </row>
    <row r="41" spans="2:8" ht="15.75" customHeight="1" x14ac:dyDescent="0.25">
      <c r="B41" s="25" t="s">
        <v>356</v>
      </c>
      <c r="C41" s="25" t="s">
        <v>357</v>
      </c>
      <c r="D41" s="25" t="s">
        <v>169</v>
      </c>
      <c r="E41" s="26">
        <v>577</v>
      </c>
      <c r="F41" s="27">
        <v>12.29</v>
      </c>
      <c r="G41" s="28">
        <v>7.0000000000000001E-3</v>
      </c>
      <c r="H41" s="29"/>
    </row>
    <row r="42" spans="2:8" ht="15.75" customHeight="1" x14ac:dyDescent="0.25">
      <c r="B42" s="25" t="s">
        <v>379</v>
      </c>
      <c r="C42" s="25" t="s">
        <v>380</v>
      </c>
      <c r="D42" s="25" t="s">
        <v>129</v>
      </c>
      <c r="E42" s="26">
        <v>10078</v>
      </c>
      <c r="F42" s="27">
        <v>12.14</v>
      </c>
      <c r="G42" s="28">
        <v>6.8999999999999999E-3</v>
      </c>
      <c r="H42" s="29"/>
    </row>
    <row r="43" spans="2:8" ht="15.75" customHeight="1" x14ac:dyDescent="0.25">
      <c r="B43" s="25" t="s">
        <v>358</v>
      </c>
      <c r="C43" s="25" t="s">
        <v>359</v>
      </c>
      <c r="D43" s="25" t="s">
        <v>227</v>
      </c>
      <c r="E43" s="26">
        <v>4010</v>
      </c>
      <c r="F43" s="27">
        <v>12.05</v>
      </c>
      <c r="G43" s="28">
        <v>6.7999999999999996E-3</v>
      </c>
      <c r="H43" s="29"/>
    </row>
    <row r="44" spans="2:8" ht="15.75" customHeight="1" x14ac:dyDescent="0.25">
      <c r="B44" s="25" t="s">
        <v>480</v>
      </c>
      <c r="C44" s="25" t="s">
        <v>481</v>
      </c>
      <c r="D44" s="25" t="s">
        <v>129</v>
      </c>
      <c r="E44" s="26">
        <v>8615</v>
      </c>
      <c r="F44" s="27">
        <v>11.89</v>
      </c>
      <c r="G44" s="28">
        <v>6.7000000000000002E-3</v>
      </c>
      <c r="H44" s="29"/>
    </row>
    <row r="45" spans="2:8" ht="15.75" customHeight="1" x14ac:dyDescent="0.25">
      <c r="B45" s="25" t="s">
        <v>640</v>
      </c>
      <c r="C45" s="25" t="s">
        <v>641</v>
      </c>
      <c r="D45" s="25" t="s">
        <v>166</v>
      </c>
      <c r="E45" s="26">
        <v>742</v>
      </c>
      <c r="F45" s="27">
        <v>11.85</v>
      </c>
      <c r="G45" s="28">
        <v>6.7000000000000002E-3</v>
      </c>
      <c r="H45" s="29"/>
    </row>
    <row r="46" spans="2:8" ht="15.75" customHeight="1" x14ac:dyDescent="0.25">
      <c r="B46" s="25" t="s">
        <v>387</v>
      </c>
      <c r="C46" s="25" t="s">
        <v>388</v>
      </c>
      <c r="D46" s="25" t="s">
        <v>132</v>
      </c>
      <c r="E46" s="26">
        <v>1779</v>
      </c>
      <c r="F46" s="27">
        <v>10.54</v>
      </c>
      <c r="G46" s="28">
        <v>6.0000000000000001E-3</v>
      </c>
      <c r="H46" s="29"/>
    </row>
    <row r="47" spans="2:8" ht="15.75" customHeight="1" x14ac:dyDescent="0.25">
      <c r="B47" s="25" t="s">
        <v>642</v>
      </c>
      <c r="C47" s="25" t="s">
        <v>643</v>
      </c>
      <c r="D47" s="25" t="s">
        <v>337</v>
      </c>
      <c r="E47" s="26">
        <v>235</v>
      </c>
      <c r="F47" s="27">
        <v>9.32</v>
      </c>
      <c r="G47" s="28">
        <v>5.3E-3</v>
      </c>
      <c r="H47" s="29"/>
    </row>
    <row r="48" spans="2:8" ht="15.75" customHeight="1" x14ac:dyDescent="0.25">
      <c r="B48" s="25" t="s">
        <v>618</v>
      </c>
      <c r="C48" s="25" t="s">
        <v>619</v>
      </c>
      <c r="D48" s="25" t="s">
        <v>184</v>
      </c>
      <c r="E48" s="26">
        <v>1425</v>
      </c>
      <c r="F48" s="27">
        <v>9.18</v>
      </c>
      <c r="G48" s="28">
        <v>5.1999999999999998E-3</v>
      </c>
      <c r="H48" s="29"/>
    </row>
    <row r="49" spans="2:8" ht="15.75" customHeight="1" x14ac:dyDescent="0.25">
      <c r="B49" s="25" t="s">
        <v>482</v>
      </c>
      <c r="C49" s="25" t="s">
        <v>483</v>
      </c>
      <c r="D49" s="25" t="s">
        <v>129</v>
      </c>
      <c r="E49" s="26">
        <v>4473</v>
      </c>
      <c r="F49" s="27">
        <v>7.93</v>
      </c>
      <c r="G49" s="28">
        <v>4.4999999999999997E-3</v>
      </c>
      <c r="H49" s="29"/>
    </row>
    <row r="50" spans="2:8" ht="15.75" customHeight="1" x14ac:dyDescent="0.25">
      <c r="B50" s="25" t="s">
        <v>548</v>
      </c>
      <c r="C50" s="25" t="s">
        <v>549</v>
      </c>
      <c r="D50" s="25" t="s">
        <v>362</v>
      </c>
      <c r="E50" s="26">
        <v>3888</v>
      </c>
      <c r="F50" s="27">
        <v>6.9</v>
      </c>
      <c r="G50" s="28">
        <v>3.8999999999999998E-3</v>
      </c>
      <c r="H50" s="29"/>
    </row>
    <row r="51" spans="2:8" ht="15.75" customHeight="1" x14ac:dyDescent="0.25">
      <c r="B51" s="25" t="s">
        <v>644</v>
      </c>
      <c r="C51" s="25" t="s">
        <v>645</v>
      </c>
      <c r="D51" s="25" t="s">
        <v>454</v>
      </c>
      <c r="E51" s="26">
        <v>2339</v>
      </c>
      <c r="F51" s="27">
        <v>6.41</v>
      </c>
      <c r="G51" s="28">
        <v>3.5999999999999999E-3</v>
      </c>
      <c r="H51" s="29"/>
    </row>
    <row r="52" spans="2:8" ht="15.75" customHeight="1" x14ac:dyDescent="0.25">
      <c r="B52" s="25" t="s">
        <v>164</v>
      </c>
      <c r="C52" s="25" t="s">
        <v>165</v>
      </c>
      <c r="D52" s="25" t="s">
        <v>166</v>
      </c>
      <c r="E52" s="26">
        <v>1765</v>
      </c>
      <c r="F52" s="27">
        <v>5.4</v>
      </c>
      <c r="G52" s="28">
        <v>3.0999999999999999E-3</v>
      </c>
      <c r="H52" s="29"/>
    </row>
    <row r="53" spans="2:8" ht="15.75" customHeight="1" x14ac:dyDescent="0.25">
      <c r="B53" s="25" t="s">
        <v>393</v>
      </c>
      <c r="C53" s="25" t="s">
        <v>394</v>
      </c>
      <c r="D53" s="25" t="s">
        <v>276</v>
      </c>
      <c r="E53" s="26">
        <v>39</v>
      </c>
      <c r="F53" s="27">
        <v>0.44</v>
      </c>
      <c r="G53" s="28">
        <v>2.0000000000000001E-4</v>
      </c>
      <c r="H53" s="29"/>
    </row>
    <row r="54" spans="2:8" ht="15.75" customHeight="1" x14ac:dyDescent="0.25">
      <c r="B54" s="24" t="s">
        <v>102</v>
      </c>
      <c r="C54" s="24"/>
      <c r="D54" s="24"/>
      <c r="E54" s="30"/>
      <c r="F54" s="31">
        <v>1239.4000000000001</v>
      </c>
      <c r="G54" s="32">
        <v>0.70169999999999999</v>
      </c>
      <c r="H54" s="33"/>
    </row>
    <row r="55" spans="2:8" ht="15.75" customHeight="1" x14ac:dyDescent="0.25">
      <c r="B55" s="24" t="s">
        <v>149</v>
      </c>
      <c r="C55" s="25"/>
      <c r="D55" s="25"/>
      <c r="E55" s="26"/>
      <c r="F55" s="27"/>
      <c r="G55" s="28"/>
      <c r="H55" s="29"/>
    </row>
    <row r="56" spans="2:8" ht="15.75" customHeight="1" x14ac:dyDescent="0.25">
      <c r="B56" s="24" t="s">
        <v>102</v>
      </c>
      <c r="C56" s="25"/>
      <c r="D56" s="25"/>
      <c r="E56" s="26"/>
      <c r="F56" s="34" t="s">
        <v>104</v>
      </c>
      <c r="G56" s="35" t="s">
        <v>104</v>
      </c>
      <c r="H56" s="29"/>
    </row>
    <row r="57" spans="2:8" ht="15.75" customHeight="1" x14ac:dyDescent="0.25">
      <c r="B57" s="25"/>
      <c r="C57" s="25"/>
      <c r="D57" s="25"/>
      <c r="E57" s="26"/>
      <c r="F57" s="27"/>
      <c r="G57" s="28"/>
      <c r="H57" s="29"/>
    </row>
    <row r="58" spans="2:8" ht="15.75" customHeight="1" x14ac:dyDescent="0.25">
      <c r="B58" s="36" t="s">
        <v>106</v>
      </c>
      <c r="C58" s="36"/>
      <c r="D58" s="36"/>
      <c r="E58" s="37"/>
      <c r="F58" s="31">
        <v>1239.4000000000001</v>
      </c>
      <c r="G58" s="32">
        <v>0.70169999999999999</v>
      </c>
      <c r="H58" s="33"/>
    </row>
    <row r="59" spans="2:8" ht="15.75" customHeight="1" x14ac:dyDescent="0.25">
      <c r="B59" s="25"/>
      <c r="C59" s="25"/>
      <c r="D59" s="25"/>
      <c r="E59" s="26"/>
      <c r="F59" s="27"/>
      <c r="G59" s="28"/>
      <c r="H59" s="29"/>
    </row>
    <row r="60" spans="2:8" ht="15.75" customHeight="1" x14ac:dyDescent="0.25">
      <c r="B60" s="24" t="s">
        <v>89</v>
      </c>
      <c r="C60" s="25"/>
      <c r="D60" s="25"/>
      <c r="E60" s="26"/>
      <c r="F60" s="27"/>
      <c r="G60" s="28"/>
      <c r="H60" s="29"/>
    </row>
    <row r="61" spans="2:8" ht="15.75" customHeight="1" x14ac:dyDescent="0.25">
      <c r="B61" s="24" t="s">
        <v>90</v>
      </c>
      <c r="C61" s="25"/>
      <c r="D61" s="25"/>
      <c r="E61" s="26"/>
      <c r="F61" s="27"/>
      <c r="G61" s="28"/>
      <c r="H61" s="29"/>
    </row>
    <row r="62" spans="2:8" ht="15.75" customHeight="1" x14ac:dyDescent="0.25">
      <c r="B62" s="25" t="s">
        <v>160</v>
      </c>
      <c r="C62" s="25" t="s">
        <v>161</v>
      </c>
      <c r="D62" s="25" t="s">
        <v>99</v>
      </c>
      <c r="E62" s="26">
        <v>70223.958333333299</v>
      </c>
      <c r="F62" s="27">
        <v>3.47</v>
      </c>
      <c r="G62" s="28">
        <v>2E-3</v>
      </c>
      <c r="H62" s="29">
        <v>7.4650999999999995E-2</v>
      </c>
    </row>
    <row r="63" spans="2:8" ht="15.75" customHeight="1" x14ac:dyDescent="0.25">
      <c r="B63" s="24" t="s">
        <v>102</v>
      </c>
      <c r="C63" s="24"/>
      <c r="D63" s="24"/>
      <c r="E63" s="30"/>
      <c r="F63" s="31">
        <v>3.47</v>
      </c>
      <c r="G63" s="32">
        <v>2E-3</v>
      </c>
      <c r="H63" s="33"/>
    </row>
    <row r="64" spans="2:8" ht="15.75" customHeight="1" x14ac:dyDescent="0.25">
      <c r="B64" s="25"/>
      <c r="C64" s="25"/>
      <c r="D64" s="25"/>
      <c r="E64" s="26"/>
      <c r="F64" s="27"/>
      <c r="G64" s="28"/>
      <c r="H64" s="29"/>
    </row>
    <row r="65" spans="2:16" ht="15.75" customHeight="1" x14ac:dyDescent="0.25">
      <c r="B65" s="24" t="s">
        <v>103</v>
      </c>
      <c r="C65" s="25"/>
      <c r="D65" s="25"/>
      <c r="E65" s="26"/>
      <c r="F65" s="27"/>
      <c r="G65" s="28"/>
      <c r="H65" s="29"/>
    </row>
    <row r="66" spans="2:16" ht="15.75" customHeight="1" x14ac:dyDescent="0.25">
      <c r="B66" s="24" t="s">
        <v>102</v>
      </c>
      <c r="C66" s="25"/>
      <c r="D66" s="25"/>
      <c r="E66" s="26"/>
      <c r="F66" s="34" t="s">
        <v>104</v>
      </c>
      <c r="G66" s="35" t="s">
        <v>104</v>
      </c>
      <c r="H66" s="29"/>
    </row>
    <row r="67" spans="2:16" ht="15.75" customHeight="1" x14ac:dyDescent="0.25">
      <c r="B67" s="25"/>
      <c r="C67" s="25"/>
      <c r="D67" s="25"/>
      <c r="E67" s="26"/>
      <c r="F67" s="27"/>
      <c r="G67" s="28"/>
      <c r="H67" s="29"/>
    </row>
    <row r="68" spans="2:16" ht="15.75" customHeight="1" x14ac:dyDescent="0.25">
      <c r="B68" s="24" t="s">
        <v>105</v>
      </c>
      <c r="C68" s="25"/>
      <c r="D68" s="25"/>
      <c r="E68" s="26"/>
      <c r="F68" s="27"/>
      <c r="G68" s="28"/>
      <c r="H68" s="29"/>
      <c r="L68" s="3"/>
    </row>
    <row r="69" spans="2:16" ht="15.75" customHeight="1" x14ac:dyDescent="0.25">
      <c r="B69" s="24" t="s">
        <v>102</v>
      </c>
      <c r="C69" s="25"/>
      <c r="D69" s="25"/>
      <c r="E69" s="26"/>
      <c r="F69" s="34" t="s">
        <v>104</v>
      </c>
      <c r="G69" s="35" t="s">
        <v>104</v>
      </c>
      <c r="H69" s="29"/>
    </row>
    <row r="70" spans="2:16" ht="15.75" customHeight="1" x14ac:dyDescent="0.25">
      <c r="B70" s="25"/>
      <c r="C70" s="25"/>
      <c r="D70" s="25"/>
      <c r="E70" s="26"/>
      <c r="F70" s="27"/>
      <c r="G70" s="28"/>
      <c r="H70" s="29"/>
      <c r="L70" s="3"/>
    </row>
    <row r="71" spans="2:16" ht="15.75" customHeight="1" x14ac:dyDescent="0.25">
      <c r="B71" s="36" t="s">
        <v>106</v>
      </c>
      <c r="C71" s="36"/>
      <c r="D71" s="36"/>
      <c r="E71" s="37"/>
      <c r="F71" s="31">
        <v>3.47</v>
      </c>
      <c r="G71" s="32">
        <v>2E-3</v>
      </c>
      <c r="H71" s="33"/>
      <c r="L71" s="3"/>
    </row>
    <row r="72" spans="2:16" ht="15.75" customHeight="1" x14ac:dyDescent="0.25">
      <c r="B72" s="25"/>
      <c r="C72" s="25"/>
      <c r="D72" s="25"/>
      <c r="E72" s="26"/>
      <c r="F72" s="27"/>
      <c r="G72" s="28"/>
      <c r="H72" s="29"/>
      <c r="L72" s="3"/>
    </row>
    <row r="73" spans="2:16" ht="15.75" customHeight="1" x14ac:dyDescent="0.25">
      <c r="B73" s="25"/>
      <c r="C73" s="25"/>
      <c r="D73" s="25"/>
      <c r="E73" s="26"/>
      <c r="F73" s="27"/>
      <c r="G73" s="28"/>
      <c r="H73" s="29"/>
      <c r="L73" s="3"/>
    </row>
    <row r="74" spans="2:16" ht="15.75" customHeight="1" x14ac:dyDescent="0.25">
      <c r="B74" s="24" t="s">
        <v>107</v>
      </c>
      <c r="C74" s="25"/>
      <c r="D74" s="25"/>
      <c r="E74" s="26"/>
      <c r="F74" s="27"/>
      <c r="G74" s="28"/>
      <c r="H74" s="29"/>
      <c r="L74" s="3"/>
    </row>
    <row r="75" spans="2:16" ht="15.75" customHeight="1" x14ac:dyDescent="0.25">
      <c r="B75" s="24" t="s">
        <v>108</v>
      </c>
      <c r="C75" s="25"/>
      <c r="D75" s="25"/>
      <c r="E75" s="26"/>
      <c r="F75" s="27"/>
      <c r="G75" s="28"/>
      <c r="H75" s="29"/>
      <c r="L75" s="5"/>
      <c r="M75" s="5"/>
      <c r="N75" s="6"/>
      <c r="O75" s="6"/>
      <c r="P75" s="5"/>
    </row>
    <row r="76" spans="2:16" ht="15.75" customHeight="1" x14ac:dyDescent="0.25">
      <c r="B76" s="25" t="s">
        <v>328</v>
      </c>
      <c r="C76" s="25" t="s">
        <v>329</v>
      </c>
      <c r="D76" s="25"/>
      <c r="E76" s="26">
        <v>3653.5059999999999</v>
      </c>
      <c r="F76" s="27">
        <v>163.13</v>
      </c>
      <c r="G76" s="28">
        <v>9.2399999999999996E-2</v>
      </c>
      <c r="H76" s="29"/>
    </row>
    <row r="77" spans="2:16" ht="15.75" customHeight="1" x14ac:dyDescent="0.25">
      <c r="B77" s="25"/>
      <c r="C77" s="25"/>
      <c r="D77" s="25"/>
      <c r="E77" s="26"/>
      <c r="F77" s="27"/>
      <c r="G77" s="28"/>
      <c r="H77" s="29"/>
    </row>
    <row r="78" spans="2:16" ht="15.75" customHeight="1" x14ac:dyDescent="0.25">
      <c r="B78" s="36" t="s">
        <v>106</v>
      </c>
      <c r="C78" s="36"/>
      <c r="D78" s="36"/>
      <c r="E78" s="37"/>
      <c r="F78" s="31">
        <v>163.13</v>
      </c>
      <c r="G78" s="32">
        <v>9.2399999999999996E-2</v>
      </c>
      <c r="H78" s="33"/>
      <c r="L78" s="7"/>
      <c r="M78" s="7"/>
      <c r="N78" s="7"/>
      <c r="O78" s="7"/>
      <c r="P78" s="7"/>
    </row>
    <row r="79" spans="2:16" ht="15.75" customHeight="1" x14ac:dyDescent="0.25">
      <c r="B79" s="25"/>
      <c r="C79" s="25"/>
      <c r="D79" s="25"/>
      <c r="E79" s="26"/>
      <c r="F79" s="27"/>
      <c r="G79" s="28"/>
      <c r="H79" s="29"/>
      <c r="L79" s="7"/>
      <c r="M79" s="7"/>
      <c r="N79" s="7"/>
      <c r="O79" s="7"/>
      <c r="P79" s="7"/>
    </row>
    <row r="80" spans="2:16" ht="15.75" customHeight="1" x14ac:dyDescent="0.25">
      <c r="B80" s="24" t="s">
        <v>109</v>
      </c>
      <c r="C80" s="25"/>
      <c r="D80" s="25"/>
      <c r="E80" s="26"/>
      <c r="F80" s="27"/>
      <c r="G80" s="28"/>
      <c r="H80" s="29"/>
      <c r="L80" s="7"/>
      <c r="M80" s="7"/>
      <c r="N80" s="7"/>
      <c r="O80" s="7"/>
      <c r="P80" s="7"/>
    </row>
    <row r="81" spans="2:16" ht="15.75" customHeight="1" x14ac:dyDescent="0.25">
      <c r="B81" s="25" t="s">
        <v>110</v>
      </c>
      <c r="C81" s="25"/>
      <c r="D81" s="25"/>
      <c r="E81" s="26"/>
      <c r="F81" s="27">
        <v>352.96</v>
      </c>
      <c r="G81" s="28">
        <v>0.19980000000000001</v>
      </c>
      <c r="H81" s="29"/>
      <c r="L81" s="7"/>
      <c r="M81" s="7"/>
      <c r="N81" s="7"/>
      <c r="O81" s="7"/>
      <c r="P81" s="7"/>
    </row>
    <row r="82" spans="2:16" ht="15.75" customHeight="1" x14ac:dyDescent="0.25">
      <c r="B82" s="24" t="s">
        <v>102</v>
      </c>
      <c r="C82" s="24"/>
      <c r="D82" s="24"/>
      <c r="E82" s="30"/>
      <c r="F82" s="31">
        <v>352.96</v>
      </c>
      <c r="G82" s="32">
        <v>0.19980000000000001</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36" t="s">
        <v>106</v>
      </c>
      <c r="C84" s="36"/>
      <c r="D84" s="36"/>
      <c r="E84" s="37"/>
      <c r="F84" s="31">
        <v>352.96</v>
      </c>
      <c r="G84" s="32">
        <v>0.19980000000000001</v>
      </c>
      <c r="H84" s="33"/>
      <c r="L84" s="7"/>
      <c r="M84" s="7"/>
      <c r="N84" s="7"/>
      <c r="O84" s="7"/>
      <c r="P84" s="7"/>
    </row>
    <row r="85" spans="2:16" ht="15.75" customHeight="1" x14ac:dyDescent="0.25">
      <c r="B85" s="25" t="s">
        <v>111</v>
      </c>
      <c r="C85" s="25"/>
      <c r="D85" s="25"/>
      <c r="E85" s="26"/>
      <c r="F85" s="27">
        <v>7.3</v>
      </c>
      <c r="G85" s="28">
        <v>4.0999999999999925E-3</v>
      </c>
      <c r="H85" s="29"/>
    </row>
    <row r="86" spans="2:16" ht="15.75" customHeight="1" x14ac:dyDescent="0.25">
      <c r="B86" s="40" t="s">
        <v>112</v>
      </c>
      <c r="C86" s="40"/>
      <c r="D86" s="40"/>
      <c r="E86" s="41"/>
      <c r="F86" s="42">
        <v>1766.26</v>
      </c>
      <c r="G86" s="43">
        <v>1</v>
      </c>
      <c r="H86" s="44"/>
      <c r="L86" s="3"/>
    </row>
    <row r="87" spans="2:16" ht="15.75" customHeight="1" x14ac:dyDescent="0.25">
      <c r="B87" s="2"/>
    </row>
    <row r="88" spans="2:16" ht="15.75" customHeight="1" x14ac:dyDescent="0.25">
      <c r="B88" s="12" t="s">
        <v>124</v>
      </c>
    </row>
    <row r="89" spans="2:16" ht="15.75" customHeight="1" x14ac:dyDescent="0.25">
      <c r="B89" s="12" t="s">
        <v>113</v>
      </c>
    </row>
    <row r="90" spans="2:16" ht="15.75" customHeight="1" x14ac:dyDescent="0.25">
      <c r="B90" s="53"/>
    </row>
    <row r="91" spans="2:16" ht="15.75" customHeight="1" x14ac:dyDescent="0.25">
      <c r="B91" s="9" t="s">
        <v>646</v>
      </c>
    </row>
    <row r="92" spans="2:16" ht="15.75" customHeight="1" x14ac:dyDescent="0.25">
      <c r="B92" s="9" t="s">
        <v>647</v>
      </c>
    </row>
    <row r="93" spans="2:16" ht="15.75" customHeight="1" x14ac:dyDescent="0.25">
      <c r="B93" s="13" t="s">
        <v>330</v>
      </c>
      <c r="C93" s="50" t="s">
        <v>2</v>
      </c>
      <c r="D93" s="51" t="s">
        <v>3</v>
      </c>
      <c r="E93" s="52" t="s">
        <v>331</v>
      </c>
    </row>
    <row r="94" spans="2:16" ht="15.75" customHeight="1" x14ac:dyDescent="0.25">
      <c r="B94" s="46" t="s">
        <v>185</v>
      </c>
      <c r="C94" s="47">
        <v>-20000</v>
      </c>
      <c r="D94" s="48">
        <v>-48.7</v>
      </c>
      <c r="E94" s="49">
        <v>-2.76E-2</v>
      </c>
    </row>
    <row r="95" spans="2:16" ht="15.75" customHeight="1" x14ac:dyDescent="0.25">
      <c r="B95" s="46" t="s">
        <v>188</v>
      </c>
      <c r="C95" s="47">
        <v>-2500</v>
      </c>
      <c r="D95" s="48">
        <v>-31.81</v>
      </c>
      <c r="E95" s="49">
        <v>-1.7999999999999999E-2</v>
      </c>
    </row>
    <row r="96" spans="2:16" ht="15.75" customHeight="1" x14ac:dyDescent="0.25">
      <c r="B96" s="46" t="s">
        <v>141</v>
      </c>
      <c r="C96" s="47">
        <v>-2400</v>
      </c>
      <c r="D96" s="48">
        <v>-59.67</v>
      </c>
      <c r="E96" s="49">
        <v>-3.3799999999999997E-2</v>
      </c>
    </row>
    <row r="97" spans="2:8" ht="15.75" customHeight="1" x14ac:dyDescent="0.25">
      <c r="B97" s="46" t="s">
        <v>130</v>
      </c>
      <c r="C97" s="47">
        <v>-3600</v>
      </c>
      <c r="D97" s="48">
        <v>-56.63</v>
      </c>
      <c r="E97" s="49">
        <v>-3.2099999999999997E-2</v>
      </c>
    </row>
    <row r="98" spans="2:8" ht="15.75" customHeight="1" x14ac:dyDescent="0.25">
      <c r="B98" s="46" t="s">
        <v>215</v>
      </c>
      <c r="C98" s="47">
        <v>-1600</v>
      </c>
      <c r="D98" s="48">
        <v>-29.04</v>
      </c>
      <c r="E98" s="49">
        <v>-1.6400000000000001E-2</v>
      </c>
    </row>
    <row r="99" spans="2:8" ht="15.75" customHeight="1" x14ac:dyDescent="0.25">
      <c r="B99" s="46" t="s">
        <v>133</v>
      </c>
      <c r="C99" s="47">
        <v>-1400</v>
      </c>
      <c r="D99" s="48">
        <v>-40.119999999999997</v>
      </c>
      <c r="E99" s="49">
        <v>-2.2700000000000001E-2</v>
      </c>
    </row>
    <row r="100" spans="2:8" ht="15.75" customHeight="1" x14ac:dyDescent="0.25">
      <c r="B100" s="46" t="s">
        <v>277</v>
      </c>
      <c r="C100" s="47">
        <v>-22500</v>
      </c>
      <c r="D100" s="48">
        <v>-42.29</v>
      </c>
      <c r="E100" s="49">
        <v>-2.3900000000000001E-2</v>
      </c>
    </row>
    <row r="101" spans="2:8" ht="15.75" customHeight="1" x14ac:dyDescent="0.25">
      <c r="B101" s="46" t="s">
        <v>448</v>
      </c>
      <c r="C101" s="47">
        <v>-2100</v>
      </c>
      <c r="D101" s="48">
        <v>-32.049999999999997</v>
      </c>
      <c r="E101" s="49">
        <v>-1.8100000000000002E-2</v>
      </c>
    </row>
    <row r="102" spans="2:8" ht="15.75" customHeight="1" x14ac:dyDescent="0.25">
      <c r="B102" s="46" t="s">
        <v>179</v>
      </c>
      <c r="C102" s="47">
        <v>-49500</v>
      </c>
      <c r="D102" s="48">
        <v>-86.77</v>
      </c>
      <c r="E102" s="49">
        <v>-4.9099999999999998E-2</v>
      </c>
    </row>
    <row r="103" spans="2:8" ht="15.75" customHeight="1" x14ac:dyDescent="0.25">
      <c r="B103" s="46" t="s">
        <v>272</v>
      </c>
      <c r="C103" s="47">
        <v>-2100</v>
      </c>
      <c r="D103" s="48">
        <v>-82.36</v>
      </c>
      <c r="E103" s="49">
        <v>-4.6600000000000003E-2</v>
      </c>
    </row>
    <row r="104" spans="2:8" ht="15.75" customHeight="1" x14ac:dyDescent="0.25">
      <c r="B104" s="46" t="s">
        <v>502</v>
      </c>
      <c r="C104" s="47">
        <v>-500</v>
      </c>
      <c r="D104" s="48">
        <v>-58</v>
      </c>
      <c r="E104" s="49">
        <v>-3.2800000000000003E-2</v>
      </c>
    </row>
    <row r="105" spans="2:8" ht="15.75" customHeight="1" x14ac:dyDescent="0.25">
      <c r="B105" s="13" t="s">
        <v>332</v>
      </c>
      <c r="C105" s="50">
        <v>-108200</v>
      </c>
      <c r="D105" s="51">
        <v>-567.44000000000005</v>
      </c>
      <c r="E105" s="52">
        <v>-0.3211</v>
      </c>
    </row>
    <row r="106" spans="2:8" ht="15.75" customHeight="1" thickBot="1" x14ac:dyDescent="0.3"/>
    <row r="107" spans="2:8" ht="27" customHeight="1" thickBot="1" x14ac:dyDescent="0.3">
      <c r="B107" s="56" t="s">
        <v>964</v>
      </c>
      <c r="C107" s="57" t="s">
        <v>965</v>
      </c>
      <c r="D107" s="57" t="s">
        <v>966</v>
      </c>
      <c r="E107" s="62" t="s">
        <v>967</v>
      </c>
      <c r="G107" s="2"/>
      <c r="H107" s="2"/>
    </row>
    <row r="108" spans="2:8" ht="29.25" customHeight="1" x14ac:dyDescent="0.25">
      <c r="B108" s="63" t="s">
        <v>48</v>
      </c>
      <c r="C108" s="81"/>
      <c r="D108" s="84" t="s">
        <v>1003</v>
      </c>
      <c r="E108" s="86"/>
      <c r="G108" s="2"/>
      <c r="H108" s="2"/>
    </row>
    <row r="109" spans="2:8" ht="40" customHeight="1" x14ac:dyDescent="0.25">
      <c r="B109" s="65" t="s">
        <v>1004</v>
      </c>
      <c r="C109" s="82"/>
      <c r="D109" s="85"/>
      <c r="E109" s="82"/>
      <c r="G109" s="2"/>
      <c r="H109" s="2"/>
    </row>
    <row r="110" spans="2:8" ht="44" customHeight="1" x14ac:dyDescent="0.25">
      <c r="B110" s="65" t="s">
        <v>1005</v>
      </c>
      <c r="C110" s="82"/>
      <c r="D110" s="85"/>
      <c r="E110" s="82"/>
      <c r="G110" s="2"/>
      <c r="H110" s="2"/>
    </row>
    <row r="111" spans="2:8" ht="23.25" customHeight="1" thickBot="1" x14ac:dyDescent="0.3">
      <c r="B111" s="90" t="s">
        <v>1057</v>
      </c>
      <c r="C111" s="83"/>
      <c r="D111" s="64" t="s">
        <v>968</v>
      </c>
      <c r="E111" s="87"/>
      <c r="G111" s="2"/>
      <c r="H111" s="2"/>
    </row>
    <row r="112" spans="2:8" ht="25" customHeight="1" x14ac:dyDescent="0.25">
      <c r="B112" s="58" t="s">
        <v>969</v>
      </c>
      <c r="C112" s="59"/>
      <c r="D112" s="60"/>
      <c r="E112" s="61"/>
      <c r="G112" s="2"/>
      <c r="H112" s="2"/>
    </row>
    <row r="114" spans="2:8" ht="11.5" x14ac:dyDescent="0.25">
      <c r="B114" s="2" t="s">
        <v>970</v>
      </c>
      <c r="C114" s="2"/>
      <c r="D114" s="2"/>
      <c r="G114" s="2"/>
      <c r="H114" s="2"/>
    </row>
    <row r="115" spans="2:8" ht="11.5" x14ac:dyDescent="0.25">
      <c r="B115" s="3" t="s">
        <v>971</v>
      </c>
      <c r="C115" s="2"/>
      <c r="D115" s="2"/>
      <c r="G115" s="2"/>
      <c r="H115" s="2"/>
    </row>
  </sheetData>
  <mergeCells count="3">
    <mergeCell ref="C108:C111"/>
    <mergeCell ref="D108:D110"/>
    <mergeCell ref="E108:E111"/>
  </mergeCells>
  <hyperlinks>
    <hyperlink ref="I1" location="'Sheet1'!A1" display="Index" xr:uid="{755584BA-822C-40C9-9FD9-BABBB86F4F2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C9A8A-12BF-48F3-AA22-D5FC81D4C157}">
  <dimension ref="B1:P98"/>
  <sheetViews>
    <sheetView workbookViewId="0"/>
  </sheetViews>
  <sheetFormatPr defaultColWidth="9.1796875" defaultRowHeight="15.75" customHeight="1" x14ac:dyDescent="0.25"/>
  <cols>
    <col min="1" max="1" width="3.6328125" style="2" customWidth="1"/>
    <col min="2" max="2" width="50.453125" style="9" customWidth="1"/>
    <col min="3" max="3" width="28" style="9" customWidth="1"/>
    <col min="4" max="4" width="26.6328125" style="9" customWidth="1"/>
    <col min="5" max="5" width="29.36328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17</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431695</v>
      </c>
      <c r="F7" s="27">
        <v>7268.88</v>
      </c>
      <c r="G7" s="28">
        <v>6.7500000000000004E-2</v>
      </c>
      <c r="H7" s="29"/>
    </row>
    <row r="8" spans="2:9" ht="15.75" customHeight="1" x14ac:dyDescent="0.25">
      <c r="B8" s="25" t="s">
        <v>215</v>
      </c>
      <c r="C8" s="25" t="s">
        <v>216</v>
      </c>
      <c r="D8" s="25" t="s">
        <v>129</v>
      </c>
      <c r="E8" s="26">
        <v>259446</v>
      </c>
      <c r="F8" s="27">
        <v>4676.51</v>
      </c>
      <c r="G8" s="28">
        <v>4.3400000000000001E-2</v>
      </c>
      <c r="H8" s="29"/>
    </row>
    <row r="9" spans="2:9" ht="15.75" customHeight="1" x14ac:dyDescent="0.25">
      <c r="B9" s="25" t="s">
        <v>141</v>
      </c>
      <c r="C9" s="25" t="s">
        <v>142</v>
      </c>
      <c r="D9" s="25" t="s">
        <v>143</v>
      </c>
      <c r="E9" s="26">
        <v>162187</v>
      </c>
      <c r="F9" s="27">
        <v>4010.97</v>
      </c>
      <c r="G9" s="28">
        <v>3.73E-2</v>
      </c>
      <c r="H9" s="29"/>
    </row>
    <row r="10" spans="2:9" ht="15.75" customHeight="1" x14ac:dyDescent="0.25">
      <c r="B10" s="25" t="s">
        <v>416</v>
      </c>
      <c r="C10" s="25" t="s">
        <v>417</v>
      </c>
      <c r="D10" s="25" t="s">
        <v>251</v>
      </c>
      <c r="E10" s="26">
        <v>1850827</v>
      </c>
      <c r="F10" s="27">
        <v>3522.31</v>
      </c>
      <c r="G10" s="28">
        <v>3.27E-2</v>
      </c>
      <c r="H10" s="29"/>
    </row>
    <row r="11" spans="2:9" ht="15.75" customHeight="1" x14ac:dyDescent="0.25">
      <c r="B11" s="25" t="s">
        <v>208</v>
      </c>
      <c r="C11" s="25" t="s">
        <v>209</v>
      </c>
      <c r="D11" s="25" t="s">
        <v>132</v>
      </c>
      <c r="E11" s="26">
        <v>232191</v>
      </c>
      <c r="F11" s="27">
        <v>3321.14</v>
      </c>
      <c r="G11" s="28">
        <v>3.09E-2</v>
      </c>
      <c r="H11" s="29"/>
    </row>
    <row r="12" spans="2:9" ht="15.75" customHeight="1" x14ac:dyDescent="0.25">
      <c r="B12" s="25" t="s">
        <v>537</v>
      </c>
      <c r="C12" s="25" t="s">
        <v>538</v>
      </c>
      <c r="D12" s="25" t="s">
        <v>263</v>
      </c>
      <c r="E12" s="26">
        <v>758820</v>
      </c>
      <c r="F12" s="27">
        <v>3257.61</v>
      </c>
      <c r="G12" s="28">
        <v>3.0300000000000001E-2</v>
      </c>
      <c r="H12" s="29"/>
    </row>
    <row r="13" spans="2:9" ht="15.75" customHeight="1" x14ac:dyDescent="0.25">
      <c r="B13" s="25" t="s">
        <v>170</v>
      </c>
      <c r="C13" s="25" t="s">
        <v>171</v>
      </c>
      <c r="D13" s="25" t="s">
        <v>129</v>
      </c>
      <c r="E13" s="26">
        <v>213072</v>
      </c>
      <c r="F13" s="27">
        <v>3120.44</v>
      </c>
      <c r="G13" s="28">
        <v>2.9000000000000001E-2</v>
      </c>
      <c r="H13" s="29"/>
    </row>
    <row r="14" spans="2:9" ht="15.75" customHeight="1" x14ac:dyDescent="0.25">
      <c r="B14" s="25" t="s">
        <v>482</v>
      </c>
      <c r="C14" s="25" t="s">
        <v>483</v>
      </c>
      <c r="D14" s="25" t="s">
        <v>129</v>
      </c>
      <c r="E14" s="26">
        <v>1750427</v>
      </c>
      <c r="F14" s="27">
        <v>3102.63</v>
      </c>
      <c r="G14" s="28">
        <v>2.8799999999999999E-2</v>
      </c>
      <c r="H14" s="29"/>
    </row>
    <row r="15" spans="2:9" ht="15.75" customHeight="1" x14ac:dyDescent="0.25">
      <c r="B15" s="25" t="s">
        <v>414</v>
      </c>
      <c r="C15" s="25" t="s">
        <v>415</v>
      </c>
      <c r="D15" s="25" t="s">
        <v>169</v>
      </c>
      <c r="E15" s="26">
        <v>1908592</v>
      </c>
      <c r="F15" s="27">
        <v>3001.07</v>
      </c>
      <c r="G15" s="28">
        <v>2.7900000000000001E-2</v>
      </c>
      <c r="H15" s="29"/>
    </row>
    <row r="16" spans="2:9" ht="15.75" customHeight="1" x14ac:dyDescent="0.25">
      <c r="B16" s="25" t="s">
        <v>220</v>
      </c>
      <c r="C16" s="25" t="s">
        <v>221</v>
      </c>
      <c r="D16" s="25" t="s">
        <v>129</v>
      </c>
      <c r="E16" s="26">
        <v>346119</v>
      </c>
      <c r="F16" s="27">
        <v>2938.38</v>
      </c>
      <c r="G16" s="28">
        <v>2.7300000000000001E-2</v>
      </c>
      <c r="H16" s="29"/>
    </row>
    <row r="17" spans="2:8" ht="15.75" customHeight="1" x14ac:dyDescent="0.25">
      <c r="B17" s="25" t="s">
        <v>188</v>
      </c>
      <c r="C17" s="25" t="s">
        <v>189</v>
      </c>
      <c r="D17" s="25" t="s">
        <v>129</v>
      </c>
      <c r="E17" s="26">
        <v>222567</v>
      </c>
      <c r="F17" s="27">
        <v>2816.03</v>
      </c>
      <c r="G17" s="28">
        <v>2.6200000000000001E-2</v>
      </c>
      <c r="H17" s="29"/>
    </row>
    <row r="18" spans="2:8" ht="15.75" customHeight="1" x14ac:dyDescent="0.25">
      <c r="B18" s="25" t="s">
        <v>531</v>
      </c>
      <c r="C18" s="25" t="s">
        <v>532</v>
      </c>
      <c r="D18" s="25" t="s">
        <v>269</v>
      </c>
      <c r="E18" s="26">
        <v>299200</v>
      </c>
      <c r="F18" s="27">
        <v>2696.24</v>
      </c>
      <c r="G18" s="28">
        <v>2.5100000000000001E-2</v>
      </c>
      <c r="H18" s="29"/>
    </row>
    <row r="19" spans="2:8" ht="15.75" customHeight="1" x14ac:dyDescent="0.25">
      <c r="B19" s="25" t="s">
        <v>648</v>
      </c>
      <c r="C19" s="25" t="s">
        <v>649</v>
      </c>
      <c r="D19" s="25" t="s">
        <v>650</v>
      </c>
      <c r="E19" s="26">
        <v>206465</v>
      </c>
      <c r="F19" s="27">
        <v>2644.61</v>
      </c>
      <c r="G19" s="28">
        <v>2.46E-2</v>
      </c>
      <c r="H19" s="29"/>
    </row>
    <row r="20" spans="2:8" ht="15.75" customHeight="1" x14ac:dyDescent="0.25">
      <c r="B20" s="25" t="s">
        <v>244</v>
      </c>
      <c r="C20" s="25" t="s">
        <v>245</v>
      </c>
      <c r="D20" s="25" t="s">
        <v>246</v>
      </c>
      <c r="E20" s="26">
        <v>174349</v>
      </c>
      <c r="F20" s="27">
        <v>2398.7800000000002</v>
      </c>
      <c r="G20" s="28">
        <v>2.23E-2</v>
      </c>
      <c r="H20" s="29"/>
    </row>
    <row r="21" spans="2:8" ht="15.75" customHeight="1" x14ac:dyDescent="0.25">
      <c r="B21" s="25" t="s">
        <v>599</v>
      </c>
      <c r="C21" s="25" t="s">
        <v>600</v>
      </c>
      <c r="D21" s="25" t="s">
        <v>601</v>
      </c>
      <c r="E21" s="26">
        <v>6439</v>
      </c>
      <c r="F21" s="27">
        <v>2369.83</v>
      </c>
      <c r="G21" s="28">
        <v>2.1999999999999999E-2</v>
      </c>
      <c r="H21" s="29"/>
    </row>
    <row r="22" spans="2:8" ht="15.75" customHeight="1" x14ac:dyDescent="0.25">
      <c r="B22" s="25" t="s">
        <v>286</v>
      </c>
      <c r="C22" s="25" t="s">
        <v>287</v>
      </c>
      <c r="D22" s="25" t="s">
        <v>227</v>
      </c>
      <c r="E22" s="26">
        <v>1278414</v>
      </c>
      <c r="F22" s="27">
        <v>2316.1</v>
      </c>
      <c r="G22" s="28">
        <v>2.1499999999999998E-2</v>
      </c>
      <c r="H22" s="29"/>
    </row>
    <row r="23" spans="2:8" ht="15.75" customHeight="1" x14ac:dyDescent="0.25">
      <c r="B23" s="25" t="s">
        <v>521</v>
      </c>
      <c r="C23" s="25" t="s">
        <v>522</v>
      </c>
      <c r="D23" s="25" t="s">
        <v>194</v>
      </c>
      <c r="E23" s="26">
        <v>502889</v>
      </c>
      <c r="F23" s="27">
        <v>2223.27</v>
      </c>
      <c r="G23" s="28">
        <v>2.07E-2</v>
      </c>
      <c r="H23" s="29"/>
    </row>
    <row r="24" spans="2:8" ht="15.75" customHeight="1" x14ac:dyDescent="0.25">
      <c r="B24" s="25" t="s">
        <v>552</v>
      </c>
      <c r="C24" s="25" t="s">
        <v>553</v>
      </c>
      <c r="D24" s="25" t="s">
        <v>508</v>
      </c>
      <c r="E24" s="26">
        <v>5176</v>
      </c>
      <c r="F24" s="27">
        <v>2023.78</v>
      </c>
      <c r="G24" s="28">
        <v>1.8800000000000001E-2</v>
      </c>
      <c r="H24" s="29"/>
    </row>
    <row r="25" spans="2:8" ht="15.75" customHeight="1" x14ac:dyDescent="0.25">
      <c r="B25" s="25" t="s">
        <v>298</v>
      </c>
      <c r="C25" s="25" t="s">
        <v>299</v>
      </c>
      <c r="D25" s="25" t="s">
        <v>227</v>
      </c>
      <c r="E25" s="26">
        <v>62942</v>
      </c>
      <c r="F25" s="27">
        <v>1832.56</v>
      </c>
      <c r="G25" s="28">
        <v>1.7000000000000001E-2</v>
      </c>
      <c r="H25" s="29"/>
    </row>
    <row r="26" spans="2:8" ht="15.75" customHeight="1" x14ac:dyDescent="0.25">
      <c r="B26" s="25" t="s">
        <v>347</v>
      </c>
      <c r="C26" s="25" t="s">
        <v>348</v>
      </c>
      <c r="D26" s="25" t="s">
        <v>132</v>
      </c>
      <c r="E26" s="26">
        <v>120250</v>
      </c>
      <c r="F26" s="27">
        <v>1755.17</v>
      </c>
      <c r="G26" s="28">
        <v>1.6299999999999999E-2</v>
      </c>
      <c r="H26" s="29"/>
    </row>
    <row r="27" spans="2:8" ht="15.75" customHeight="1" x14ac:dyDescent="0.25">
      <c r="B27" s="25" t="s">
        <v>492</v>
      </c>
      <c r="C27" s="25" t="s">
        <v>493</v>
      </c>
      <c r="D27" s="25" t="s">
        <v>227</v>
      </c>
      <c r="E27" s="26">
        <v>414023</v>
      </c>
      <c r="F27" s="27">
        <v>1692.32</v>
      </c>
      <c r="G27" s="28">
        <v>1.5699999999999999E-2</v>
      </c>
      <c r="H27" s="29"/>
    </row>
    <row r="28" spans="2:8" ht="15.75" customHeight="1" x14ac:dyDescent="0.25">
      <c r="B28" s="25" t="s">
        <v>358</v>
      </c>
      <c r="C28" s="25" t="s">
        <v>359</v>
      </c>
      <c r="D28" s="25" t="s">
        <v>227</v>
      </c>
      <c r="E28" s="26">
        <v>531771</v>
      </c>
      <c r="F28" s="27">
        <v>1598.5</v>
      </c>
      <c r="G28" s="28">
        <v>1.49E-2</v>
      </c>
      <c r="H28" s="29"/>
    </row>
    <row r="29" spans="2:8" ht="15.75" customHeight="1" x14ac:dyDescent="0.25">
      <c r="B29" s="25" t="s">
        <v>556</v>
      </c>
      <c r="C29" s="25" t="s">
        <v>557</v>
      </c>
      <c r="D29" s="25" t="s">
        <v>146</v>
      </c>
      <c r="E29" s="26">
        <v>113421</v>
      </c>
      <c r="F29" s="27">
        <v>1559.6</v>
      </c>
      <c r="G29" s="28">
        <v>1.4500000000000001E-2</v>
      </c>
      <c r="H29" s="29"/>
    </row>
    <row r="30" spans="2:8" ht="15.75" customHeight="1" x14ac:dyDescent="0.25">
      <c r="B30" s="25" t="s">
        <v>446</v>
      </c>
      <c r="C30" s="25" t="s">
        <v>447</v>
      </c>
      <c r="D30" s="25" t="s">
        <v>254</v>
      </c>
      <c r="E30" s="26">
        <v>295334</v>
      </c>
      <c r="F30" s="27">
        <v>1522.45</v>
      </c>
      <c r="G30" s="28">
        <v>1.41E-2</v>
      </c>
      <c r="H30" s="29"/>
    </row>
    <row r="31" spans="2:8" ht="15.75" customHeight="1" x14ac:dyDescent="0.25">
      <c r="B31" s="25" t="s">
        <v>225</v>
      </c>
      <c r="C31" s="25" t="s">
        <v>226</v>
      </c>
      <c r="D31" s="25" t="s">
        <v>227</v>
      </c>
      <c r="E31" s="26">
        <v>21156</v>
      </c>
      <c r="F31" s="27">
        <v>1505.37</v>
      </c>
      <c r="G31" s="28">
        <v>1.4E-2</v>
      </c>
      <c r="H31" s="29"/>
    </row>
    <row r="32" spans="2:8" ht="15.75" customHeight="1" x14ac:dyDescent="0.25">
      <c r="B32" s="25" t="s">
        <v>476</v>
      </c>
      <c r="C32" s="25" t="s">
        <v>477</v>
      </c>
      <c r="D32" s="25" t="s">
        <v>129</v>
      </c>
      <c r="E32" s="26">
        <v>382980</v>
      </c>
      <c r="F32" s="27">
        <v>1448.24</v>
      </c>
      <c r="G32" s="28">
        <v>1.35E-2</v>
      </c>
      <c r="H32" s="29"/>
    </row>
    <row r="33" spans="2:8" ht="15.75" customHeight="1" x14ac:dyDescent="0.25">
      <c r="B33" s="25" t="s">
        <v>418</v>
      </c>
      <c r="C33" s="25" t="s">
        <v>419</v>
      </c>
      <c r="D33" s="25" t="s">
        <v>316</v>
      </c>
      <c r="E33" s="26">
        <v>85364</v>
      </c>
      <c r="F33" s="27">
        <v>1391.01</v>
      </c>
      <c r="G33" s="28">
        <v>1.29E-2</v>
      </c>
      <c r="H33" s="29"/>
    </row>
    <row r="34" spans="2:8" ht="15.75" customHeight="1" x14ac:dyDescent="0.25">
      <c r="B34" s="25" t="s">
        <v>651</v>
      </c>
      <c r="C34" s="25" t="s">
        <v>652</v>
      </c>
      <c r="D34" s="25" t="s">
        <v>194</v>
      </c>
      <c r="E34" s="26">
        <v>91538</v>
      </c>
      <c r="F34" s="27">
        <v>1288.99</v>
      </c>
      <c r="G34" s="28">
        <v>1.2E-2</v>
      </c>
      <c r="H34" s="29"/>
    </row>
    <row r="35" spans="2:8" ht="15.75" customHeight="1" x14ac:dyDescent="0.25">
      <c r="B35" s="25" t="s">
        <v>174</v>
      </c>
      <c r="C35" s="25" t="s">
        <v>175</v>
      </c>
      <c r="D35" s="25" t="s">
        <v>169</v>
      </c>
      <c r="E35" s="26">
        <v>356352</v>
      </c>
      <c r="F35" s="27">
        <v>1251.1500000000001</v>
      </c>
      <c r="G35" s="28">
        <v>1.1599999999999999E-2</v>
      </c>
      <c r="H35" s="29"/>
    </row>
    <row r="36" spans="2:8" ht="15.75" customHeight="1" x14ac:dyDescent="0.25">
      <c r="B36" s="25" t="s">
        <v>342</v>
      </c>
      <c r="C36" s="25" t="s">
        <v>343</v>
      </c>
      <c r="D36" s="25" t="s">
        <v>135</v>
      </c>
      <c r="E36" s="26">
        <v>21604</v>
      </c>
      <c r="F36" s="27">
        <v>1205.42</v>
      </c>
      <c r="G36" s="28">
        <v>1.12E-2</v>
      </c>
      <c r="H36" s="29"/>
    </row>
    <row r="37" spans="2:8" ht="15.75" customHeight="1" x14ac:dyDescent="0.25">
      <c r="B37" s="25" t="s">
        <v>653</v>
      </c>
      <c r="C37" s="25" t="s">
        <v>654</v>
      </c>
      <c r="D37" s="25" t="s">
        <v>269</v>
      </c>
      <c r="E37" s="26">
        <v>63196</v>
      </c>
      <c r="F37" s="27">
        <v>1199.4000000000001</v>
      </c>
      <c r="G37" s="28">
        <v>1.11E-2</v>
      </c>
      <c r="H37" s="29"/>
    </row>
    <row r="38" spans="2:8" ht="15.75" customHeight="1" x14ac:dyDescent="0.25">
      <c r="B38" s="25" t="s">
        <v>210</v>
      </c>
      <c r="C38" s="25" t="s">
        <v>211</v>
      </c>
      <c r="D38" s="25" t="s">
        <v>143</v>
      </c>
      <c r="E38" s="26">
        <v>272224</v>
      </c>
      <c r="F38" s="27">
        <v>1156.68</v>
      </c>
      <c r="G38" s="28">
        <v>1.0699999999999999E-2</v>
      </c>
      <c r="H38" s="29"/>
    </row>
    <row r="39" spans="2:8" ht="15.75" customHeight="1" x14ac:dyDescent="0.25">
      <c r="B39" s="25" t="s">
        <v>655</v>
      </c>
      <c r="C39" s="25" t="s">
        <v>656</v>
      </c>
      <c r="D39" s="25" t="s">
        <v>241</v>
      </c>
      <c r="E39" s="26">
        <v>256641</v>
      </c>
      <c r="F39" s="27">
        <v>1151.55</v>
      </c>
      <c r="G39" s="28">
        <v>1.0699999999999999E-2</v>
      </c>
      <c r="H39" s="29"/>
    </row>
    <row r="40" spans="2:8" ht="15.75" customHeight="1" x14ac:dyDescent="0.25">
      <c r="B40" s="25" t="s">
        <v>564</v>
      </c>
      <c r="C40" s="25" t="s">
        <v>565</v>
      </c>
      <c r="D40" s="25" t="s">
        <v>566</v>
      </c>
      <c r="E40" s="26">
        <v>194778</v>
      </c>
      <c r="F40" s="27">
        <v>1151.24</v>
      </c>
      <c r="G40" s="28">
        <v>1.0699999999999999E-2</v>
      </c>
      <c r="H40" s="29"/>
    </row>
    <row r="41" spans="2:8" ht="15.75" customHeight="1" x14ac:dyDescent="0.25">
      <c r="B41" s="25" t="s">
        <v>230</v>
      </c>
      <c r="C41" s="25" t="s">
        <v>231</v>
      </c>
      <c r="D41" s="25" t="s">
        <v>232</v>
      </c>
      <c r="E41" s="26">
        <v>27143</v>
      </c>
      <c r="F41" s="27">
        <v>1147.67</v>
      </c>
      <c r="G41" s="28">
        <v>1.0699999999999999E-2</v>
      </c>
      <c r="H41" s="29"/>
    </row>
    <row r="42" spans="2:8" ht="15.75" customHeight="1" x14ac:dyDescent="0.25">
      <c r="B42" s="25" t="s">
        <v>480</v>
      </c>
      <c r="C42" s="25" t="s">
        <v>481</v>
      </c>
      <c r="D42" s="25" t="s">
        <v>129</v>
      </c>
      <c r="E42" s="26">
        <v>802930</v>
      </c>
      <c r="F42" s="27">
        <v>1108.04</v>
      </c>
      <c r="G42" s="28">
        <v>1.03E-2</v>
      </c>
      <c r="H42" s="29"/>
    </row>
    <row r="43" spans="2:8" ht="15.75" customHeight="1" x14ac:dyDescent="0.25">
      <c r="B43" s="25" t="s">
        <v>657</v>
      </c>
      <c r="C43" s="25" t="s">
        <v>658</v>
      </c>
      <c r="D43" s="25" t="s">
        <v>219</v>
      </c>
      <c r="E43" s="26">
        <v>182880</v>
      </c>
      <c r="F43" s="27">
        <v>1091.1500000000001</v>
      </c>
      <c r="G43" s="28">
        <v>1.01E-2</v>
      </c>
      <c r="H43" s="29"/>
    </row>
    <row r="44" spans="2:8" ht="15.75" customHeight="1" x14ac:dyDescent="0.25">
      <c r="B44" s="25" t="s">
        <v>272</v>
      </c>
      <c r="C44" s="25" t="s">
        <v>273</v>
      </c>
      <c r="D44" s="25" t="s">
        <v>132</v>
      </c>
      <c r="E44" s="26">
        <v>27343</v>
      </c>
      <c r="F44" s="27">
        <v>1067.51</v>
      </c>
      <c r="G44" s="28">
        <v>9.9000000000000008E-3</v>
      </c>
      <c r="H44" s="29"/>
    </row>
    <row r="45" spans="2:8" ht="15.75" customHeight="1" x14ac:dyDescent="0.25">
      <c r="B45" s="25" t="s">
        <v>612</v>
      </c>
      <c r="C45" s="25" t="s">
        <v>613</v>
      </c>
      <c r="D45" s="25" t="s">
        <v>346</v>
      </c>
      <c r="E45" s="26">
        <v>1871</v>
      </c>
      <c r="F45" s="27">
        <v>1061.07</v>
      </c>
      <c r="G45" s="28">
        <v>9.9000000000000008E-3</v>
      </c>
      <c r="H45" s="29"/>
    </row>
    <row r="46" spans="2:8" ht="15.75" customHeight="1" x14ac:dyDescent="0.25">
      <c r="B46" s="25" t="s">
        <v>659</v>
      </c>
      <c r="C46" s="25" t="s">
        <v>660</v>
      </c>
      <c r="D46" s="25" t="s">
        <v>661</v>
      </c>
      <c r="E46" s="26">
        <v>242654</v>
      </c>
      <c r="F46" s="27">
        <v>1047.29</v>
      </c>
      <c r="G46" s="28">
        <v>9.7000000000000003E-3</v>
      </c>
      <c r="H46" s="29"/>
    </row>
    <row r="47" spans="2:8" ht="15.75" customHeight="1" x14ac:dyDescent="0.25">
      <c r="B47" s="25" t="s">
        <v>662</v>
      </c>
      <c r="C47" s="25" t="s">
        <v>663</v>
      </c>
      <c r="D47" s="25" t="s">
        <v>251</v>
      </c>
      <c r="E47" s="26">
        <v>83267</v>
      </c>
      <c r="F47" s="27">
        <v>1010.2</v>
      </c>
      <c r="G47" s="28">
        <v>9.4000000000000004E-3</v>
      </c>
      <c r="H47" s="29"/>
    </row>
    <row r="48" spans="2:8" ht="15.75" customHeight="1" x14ac:dyDescent="0.25">
      <c r="B48" s="25" t="s">
        <v>377</v>
      </c>
      <c r="C48" s="25" t="s">
        <v>378</v>
      </c>
      <c r="D48" s="25" t="s">
        <v>227</v>
      </c>
      <c r="E48" s="26">
        <v>75374</v>
      </c>
      <c r="F48" s="27">
        <v>996.52</v>
      </c>
      <c r="G48" s="28">
        <v>9.2999999999999992E-3</v>
      </c>
      <c r="H48" s="29"/>
    </row>
    <row r="49" spans="2:8" ht="15.75" customHeight="1" x14ac:dyDescent="0.25">
      <c r="B49" s="25" t="s">
        <v>360</v>
      </c>
      <c r="C49" s="25" t="s">
        <v>361</v>
      </c>
      <c r="D49" s="25" t="s">
        <v>362</v>
      </c>
      <c r="E49" s="26">
        <v>130423</v>
      </c>
      <c r="F49" s="27">
        <v>926</v>
      </c>
      <c r="G49" s="28">
        <v>8.6E-3</v>
      </c>
      <c r="H49" s="29"/>
    </row>
    <row r="50" spans="2:8" ht="15.75" customHeight="1" x14ac:dyDescent="0.25">
      <c r="B50" s="25" t="s">
        <v>664</v>
      </c>
      <c r="C50" s="25" t="s">
        <v>665</v>
      </c>
      <c r="D50" s="25" t="s">
        <v>178</v>
      </c>
      <c r="E50" s="26">
        <v>10682</v>
      </c>
      <c r="F50" s="27">
        <v>905.13</v>
      </c>
      <c r="G50" s="28">
        <v>8.3999999999999995E-3</v>
      </c>
      <c r="H50" s="29"/>
    </row>
    <row r="51" spans="2:8" ht="15.75" customHeight="1" x14ac:dyDescent="0.25">
      <c r="B51" s="25" t="s">
        <v>541</v>
      </c>
      <c r="C51" s="25" t="s">
        <v>542</v>
      </c>
      <c r="D51" s="25" t="s">
        <v>295</v>
      </c>
      <c r="E51" s="26">
        <v>201455</v>
      </c>
      <c r="F51" s="27">
        <v>899.5</v>
      </c>
      <c r="G51" s="28">
        <v>8.3999999999999995E-3</v>
      </c>
      <c r="H51" s="29"/>
    </row>
    <row r="52" spans="2:8" ht="15.75" customHeight="1" x14ac:dyDescent="0.25">
      <c r="B52" s="25" t="s">
        <v>274</v>
      </c>
      <c r="C52" s="25" t="s">
        <v>275</v>
      </c>
      <c r="D52" s="25" t="s">
        <v>276</v>
      </c>
      <c r="E52" s="26">
        <v>49283</v>
      </c>
      <c r="F52" s="27">
        <v>893.72</v>
      </c>
      <c r="G52" s="28">
        <v>8.3000000000000001E-3</v>
      </c>
      <c r="H52" s="29"/>
    </row>
    <row r="53" spans="2:8" ht="15.75" customHeight="1" x14ac:dyDescent="0.25">
      <c r="B53" s="25" t="s">
        <v>387</v>
      </c>
      <c r="C53" s="25" t="s">
        <v>388</v>
      </c>
      <c r="D53" s="25" t="s">
        <v>132</v>
      </c>
      <c r="E53" s="26">
        <v>148578</v>
      </c>
      <c r="F53" s="27">
        <v>880.25</v>
      </c>
      <c r="G53" s="28">
        <v>8.2000000000000007E-3</v>
      </c>
      <c r="H53" s="29"/>
    </row>
    <row r="54" spans="2:8" ht="15.75" customHeight="1" x14ac:dyDescent="0.25">
      <c r="B54" s="25" t="s">
        <v>666</v>
      </c>
      <c r="C54" s="25" t="s">
        <v>667</v>
      </c>
      <c r="D54" s="25" t="s">
        <v>337</v>
      </c>
      <c r="E54" s="26">
        <v>61356</v>
      </c>
      <c r="F54" s="27">
        <v>866.19</v>
      </c>
      <c r="G54" s="28">
        <v>8.0000000000000002E-3</v>
      </c>
      <c r="H54" s="29"/>
    </row>
    <row r="55" spans="2:8" ht="15.75" customHeight="1" x14ac:dyDescent="0.25">
      <c r="B55" s="25" t="s">
        <v>668</v>
      </c>
      <c r="C55" s="25" t="s">
        <v>669</v>
      </c>
      <c r="D55" s="25" t="s">
        <v>337</v>
      </c>
      <c r="E55" s="26">
        <v>5319</v>
      </c>
      <c r="F55" s="27">
        <v>832.09</v>
      </c>
      <c r="G55" s="28">
        <v>7.7000000000000002E-3</v>
      </c>
      <c r="H55" s="29"/>
    </row>
    <row r="56" spans="2:8" ht="15.75" customHeight="1" x14ac:dyDescent="0.25">
      <c r="B56" s="25" t="s">
        <v>593</v>
      </c>
      <c r="C56" s="25" t="s">
        <v>594</v>
      </c>
      <c r="D56" s="25" t="s">
        <v>251</v>
      </c>
      <c r="E56" s="26">
        <v>5248</v>
      </c>
      <c r="F56" s="27">
        <v>816.13</v>
      </c>
      <c r="G56" s="28">
        <v>7.6E-3</v>
      </c>
      <c r="H56" s="29"/>
    </row>
    <row r="57" spans="2:8" ht="15.75" customHeight="1" x14ac:dyDescent="0.25">
      <c r="B57" s="25" t="s">
        <v>200</v>
      </c>
      <c r="C57" s="25" t="s">
        <v>201</v>
      </c>
      <c r="D57" s="25" t="s">
        <v>202</v>
      </c>
      <c r="E57" s="26">
        <v>184815</v>
      </c>
      <c r="F57" s="27">
        <v>814.29</v>
      </c>
      <c r="G57" s="28">
        <v>7.6E-3</v>
      </c>
      <c r="H57" s="29"/>
    </row>
    <row r="58" spans="2:8" ht="15.75" customHeight="1" x14ac:dyDescent="0.25">
      <c r="B58" s="25" t="s">
        <v>130</v>
      </c>
      <c r="C58" s="25" t="s">
        <v>131</v>
      </c>
      <c r="D58" s="25" t="s">
        <v>132</v>
      </c>
      <c r="E58" s="26">
        <v>50581</v>
      </c>
      <c r="F58" s="27">
        <v>792.48</v>
      </c>
      <c r="G58" s="28">
        <v>7.4000000000000003E-3</v>
      </c>
      <c r="H58" s="29"/>
    </row>
    <row r="59" spans="2:8" ht="15.75" customHeight="1" x14ac:dyDescent="0.25">
      <c r="B59" s="25" t="s">
        <v>410</v>
      </c>
      <c r="C59" s="25" t="s">
        <v>411</v>
      </c>
      <c r="D59" s="25" t="s">
        <v>254</v>
      </c>
      <c r="E59" s="26">
        <v>325688</v>
      </c>
      <c r="F59" s="27">
        <v>653.20000000000005</v>
      </c>
      <c r="G59" s="28">
        <v>6.1000000000000004E-3</v>
      </c>
      <c r="H59" s="29"/>
    </row>
    <row r="60" spans="2:8" ht="15.75" customHeight="1" x14ac:dyDescent="0.25">
      <c r="B60" s="25" t="s">
        <v>312</v>
      </c>
      <c r="C60" s="25" t="s">
        <v>313</v>
      </c>
      <c r="D60" s="25" t="s">
        <v>214</v>
      </c>
      <c r="E60" s="26">
        <v>89230</v>
      </c>
      <c r="F60" s="27">
        <v>618.85</v>
      </c>
      <c r="G60" s="28">
        <v>5.7000000000000002E-3</v>
      </c>
      <c r="H60" s="29"/>
    </row>
    <row r="61" spans="2:8" ht="15.75" customHeight="1" x14ac:dyDescent="0.25">
      <c r="B61" s="25" t="s">
        <v>670</v>
      </c>
      <c r="C61" s="25" t="s">
        <v>671</v>
      </c>
      <c r="D61" s="25" t="s">
        <v>227</v>
      </c>
      <c r="E61" s="26">
        <v>4436</v>
      </c>
      <c r="F61" s="27">
        <v>587.41999999999996</v>
      </c>
      <c r="G61" s="28">
        <v>5.4999999999999997E-3</v>
      </c>
      <c r="H61" s="29"/>
    </row>
    <row r="62" spans="2:8" ht="15.75" customHeight="1" x14ac:dyDescent="0.25">
      <c r="B62" s="25" t="s">
        <v>672</v>
      </c>
      <c r="C62" s="25" t="s">
        <v>673</v>
      </c>
      <c r="D62" s="25" t="s">
        <v>202</v>
      </c>
      <c r="E62" s="26">
        <v>358451</v>
      </c>
      <c r="F62" s="27">
        <v>582.84</v>
      </c>
      <c r="G62" s="28">
        <v>5.4000000000000003E-3</v>
      </c>
      <c r="H62" s="29"/>
    </row>
    <row r="63" spans="2:8" ht="15.75" customHeight="1" x14ac:dyDescent="0.25">
      <c r="B63" s="25" t="s">
        <v>440</v>
      </c>
      <c r="C63" s="25" t="s">
        <v>441</v>
      </c>
      <c r="D63" s="25" t="s">
        <v>346</v>
      </c>
      <c r="E63" s="26">
        <v>178491</v>
      </c>
      <c r="F63" s="27">
        <v>577.36</v>
      </c>
      <c r="G63" s="28">
        <v>5.4000000000000003E-3</v>
      </c>
      <c r="H63" s="29"/>
    </row>
    <row r="64" spans="2:8" ht="15.75" customHeight="1" x14ac:dyDescent="0.25">
      <c r="B64" s="25" t="s">
        <v>349</v>
      </c>
      <c r="C64" s="25" t="s">
        <v>350</v>
      </c>
      <c r="D64" s="25" t="s">
        <v>351</v>
      </c>
      <c r="E64" s="26">
        <v>207536</v>
      </c>
      <c r="F64" s="27">
        <v>556.20000000000005</v>
      </c>
      <c r="G64" s="28">
        <v>5.1999999999999998E-3</v>
      </c>
      <c r="H64" s="29"/>
    </row>
    <row r="65" spans="2:16" ht="15.75" customHeight="1" x14ac:dyDescent="0.25">
      <c r="B65" s="25" t="s">
        <v>277</v>
      </c>
      <c r="C65" s="25" t="s">
        <v>278</v>
      </c>
      <c r="D65" s="25" t="s">
        <v>214</v>
      </c>
      <c r="E65" s="26">
        <v>288822</v>
      </c>
      <c r="F65" s="27">
        <v>540.41</v>
      </c>
      <c r="G65" s="28">
        <v>5.0000000000000001E-3</v>
      </c>
      <c r="H65" s="29"/>
    </row>
    <row r="66" spans="2:16" ht="15.75" customHeight="1" x14ac:dyDescent="0.25">
      <c r="B66" s="25" t="s">
        <v>535</v>
      </c>
      <c r="C66" s="25" t="s">
        <v>536</v>
      </c>
      <c r="D66" s="25" t="s">
        <v>224</v>
      </c>
      <c r="E66" s="26">
        <v>60322</v>
      </c>
      <c r="F66" s="27">
        <v>413.63</v>
      </c>
      <c r="G66" s="28">
        <v>3.8E-3</v>
      </c>
      <c r="H66" s="29"/>
    </row>
    <row r="67" spans="2:16" ht="15.75" customHeight="1" x14ac:dyDescent="0.25">
      <c r="B67" s="25" t="s">
        <v>545</v>
      </c>
      <c r="C67" s="25" t="s">
        <v>546</v>
      </c>
      <c r="D67" s="25" t="s">
        <v>547</v>
      </c>
      <c r="E67" s="26">
        <v>61870</v>
      </c>
      <c r="F67" s="27">
        <v>335.43</v>
      </c>
      <c r="G67" s="28">
        <v>3.0999999999999999E-3</v>
      </c>
      <c r="H67" s="29"/>
    </row>
    <row r="68" spans="2:16" ht="15.75" customHeight="1" x14ac:dyDescent="0.25">
      <c r="B68" s="25" t="s">
        <v>429</v>
      </c>
      <c r="C68" s="25" t="s">
        <v>430</v>
      </c>
      <c r="D68" s="25" t="s">
        <v>251</v>
      </c>
      <c r="E68" s="26">
        <v>4546</v>
      </c>
      <c r="F68" s="27">
        <v>251.92</v>
      </c>
      <c r="G68" s="28">
        <v>2.3E-3</v>
      </c>
      <c r="H68" s="29"/>
      <c r="L68" s="3"/>
    </row>
    <row r="69" spans="2:16" ht="15.75" customHeight="1" x14ac:dyDescent="0.25">
      <c r="B69" s="25" t="s">
        <v>674</v>
      </c>
      <c r="C69" s="25" t="s">
        <v>675</v>
      </c>
      <c r="D69" s="25" t="s">
        <v>346</v>
      </c>
      <c r="E69" s="26">
        <v>1146</v>
      </c>
      <c r="F69" s="27">
        <v>177.52</v>
      </c>
      <c r="G69" s="28">
        <v>1.6000000000000001E-3</v>
      </c>
      <c r="H69" s="29"/>
    </row>
    <row r="70" spans="2:16" ht="15.75" customHeight="1" x14ac:dyDescent="0.25">
      <c r="B70" s="25" t="s">
        <v>533</v>
      </c>
      <c r="C70" s="25" t="s">
        <v>534</v>
      </c>
      <c r="D70" s="25" t="s">
        <v>337</v>
      </c>
      <c r="E70" s="26">
        <v>22853</v>
      </c>
      <c r="F70" s="27">
        <v>142.74</v>
      </c>
      <c r="G70" s="28">
        <v>1.2999999999999999E-3</v>
      </c>
      <c r="H70" s="29"/>
      <c r="L70" s="3"/>
    </row>
    <row r="71" spans="2:16" ht="15.75" customHeight="1" x14ac:dyDescent="0.25">
      <c r="B71" s="25" t="s">
        <v>676</v>
      </c>
      <c r="C71" s="25" t="s">
        <v>677</v>
      </c>
      <c r="D71" s="25" t="s">
        <v>337</v>
      </c>
      <c r="E71" s="26">
        <v>937</v>
      </c>
      <c r="F71" s="27">
        <v>12.33</v>
      </c>
      <c r="G71" s="28">
        <v>1E-4</v>
      </c>
      <c r="H71" s="29"/>
      <c r="L71" s="3"/>
    </row>
    <row r="72" spans="2:16" ht="15.75" customHeight="1" x14ac:dyDescent="0.25">
      <c r="B72" s="25" t="s">
        <v>375</v>
      </c>
      <c r="C72" s="25" t="s">
        <v>376</v>
      </c>
      <c r="D72" s="25" t="s">
        <v>194</v>
      </c>
      <c r="E72" s="26">
        <v>88</v>
      </c>
      <c r="F72" s="27">
        <v>2.57</v>
      </c>
      <c r="G72" s="28" t="s">
        <v>474</v>
      </c>
      <c r="H72" s="29"/>
      <c r="L72" s="3"/>
    </row>
    <row r="73" spans="2:16" ht="15.75" customHeight="1" x14ac:dyDescent="0.25">
      <c r="B73" s="24" t="s">
        <v>102</v>
      </c>
      <c r="C73" s="24"/>
      <c r="D73" s="24"/>
      <c r="E73" s="30"/>
      <c r="F73" s="31">
        <v>103025.88</v>
      </c>
      <c r="G73" s="32">
        <v>0.95720000000000005</v>
      </c>
      <c r="H73" s="33"/>
      <c r="L73" s="3"/>
    </row>
    <row r="74" spans="2:16" ht="15.75" customHeight="1" x14ac:dyDescent="0.25">
      <c r="B74" s="24" t="s">
        <v>149</v>
      </c>
      <c r="C74" s="25"/>
      <c r="D74" s="25"/>
      <c r="E74" s="26"/>
      <c r="F74" s="27"/>
      <c r="G74" s="28"/>
      <c r="H74" s="29"/>
      <c r="L74" s="3"/>
    </row>
    <row r="75" spans="2:16" ht="15.75" customHeight="1" x14ac:dyDescent="0.25">
      <c r="B75" s="24" t="s">
        <v>102</v>
      </c>
      <c r="C75" s="25"/>
      <c r="D75" s="25"/>
      <c r="E75" s="26"/>
      <c r="F75" s="34" t="s">
        <v>104</v>
      </c>
      <c r="G75" s="35" t="s">
        <v>104</v>
      </c>
      <c r="H75" s="29"/>
      <c r="L75" s="5"/>
      <c r="M75" s="5"/>
      <c r="N75" s="6"/>
      <c r="O75" s="6"/>
      <c r="P75" s="5"/>
    </row>
    <row r="76" spans="2:16" ht="15.75" customHeight="1" x14ac:dyDescent="0.25">
      <c r="B76" s="25"/>
      <c r="C76" s="25"/>
      <c r="D76" s="25"/>
      <c r="E76" s="26"/>
      <c r="F76" s="27"/>
      <c r="G76" s="28"/>
      <c r="H76" s="29"/>
    </row>
    <row r="77" spans="2:16" ht="15.75" customHeight="1" x14ac:dyDescent="0.25">
      <c r="B77" s="36" t="s">
        <v>106</v>
      </c>
      <c r="C77" s="36"/>
      <c r="D77" s="36"/>
      <c r="E77" s="37"/>
      <c r="F77" s="31">
        <v>103025.88</v>
      </c>
      <c r="G77" s="32">
        <v>0.95720000000000005</v>
      </c>
      <c r="H77" s="33"/>
    </row>
    <row r="78" spans="2:16" ht="15.75" customHeight="1" x14ac:dyDescent="0.25">
      <c r="B78" s="25"/>
      <c r="C78" s="25"/>
      <c r="D78" s="25"/>
      <c r="E78" s="26"/>
      <c r="F78" s="27"/>
      <c r="G78" s="28"/>
      <c r="H78" s="29"/>
      <c r="L78" s="7"/>
      <c r="M78" s="7"/>
      <c r="N78" s="7"/>
      <c r="O78" s="7"/>
      <c r="P78" s="7"/>
    </row>
    <row r="79" spans="2:16" ht="15.75" customHeight="1" x14ac:dyDescent="0.25">
      <c r="B79" s="25"/>
      <c r="C79" s="25"/>
      <c r="D79" s="25"/>
      <c r="E79" s="26"/>
      <c r="F79" s="27"/>
      <c r="G79" s="28"/>
      <c r="H79" s="29"/>
      <c r="L79" s="7"/>
      <c r="M79" s="7"/>
      <c r="N79" s="7"/>
      <c r="O79" s="7"/>
      <c r="P79" s="7"/>
    </row>
    <row r="80" spans="2:16" ht="15.75" customHeight="1" x14ac:dyDescent="0.25">
      <c r="B80" s="24" t="s">
        <v>109</v>
      </c>
      <c r="C80" s="25"/>
      <c r="D80" s="25"/>
      <c r="E80" s="26"/>
      <c r="F80" s="27"/>
      <c r="G80" s="28"/>
      <c r="H80" s="29"/>
      <c r="L80" s="7"/>
      <c r="M80" s="7"/>
      <c r="N80" s="7"/>
      <c r="O80" s="7"/>
      <c r="P80" s="7"/>
    </row>
    <row r="81" spans="2:16" ht="15.75" customHeight="1" x14ac:dyDescent="0.25">
      <c r="B81" s="25" t="s">
        <v>110</v>
      </c>
      <c r="C81" s="25"/>
      <c r="D81" s="25"/>
      <c r="E81" s="26"/>
      <c r="F81" s="27">
        <v>4109.54</v>
      </c>
      <c r="G81" s="28">
        <v>3.8199999999999998E-2</v>
      </c>
      <c r="H81" s="29"/>
      <c r="L81" s="7"/>
      <c r="M81" s="7"/>
      <c r="N81" s="7"/>
      <c r="O81" s="7"/>
      <c r="P81" s="7"/>
    </row>
    <row r="82" spans="2:16" ht="15.75" customHeight="1" x14ac:dyDescent="0.25">
      <c r="B82" s="24" t="s">
        <v>102</v>
      </c>
      <c r="C82" s="24"/>
      <c r="D82" s="24"/>
      <c r="E82" s="30"/>
      <c r="F82" s="31">
        <v>4109.54</v>
      </c>
      <c r="G82" s="32">
        <v>3.8199999999999998E-2</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36" t="s">
        <v>106</v>
      </c>
      <c r="C84" s="36"/>
      <c r="D84" s="36"/>
      <c r="E84" s="37"/>
      <c r="F84" s="31">
        <v>4109.54</v>
      </c>
      <c r="G84" s="32">
        <v>3.8199999999999998E-2</v>
      </c>
      <c r="H84" s="33"/>
      <c r="L84" s="7"/>
      <c r="M84" s="7"/>
      <c r="N84" s="7"/>
      <c r="O84" s="7"/>
      <c r="P84" s="7"/>
    </row>
    <row r="85" spans="2:16" ht="15.75" customHeight="1" x14ac:dyDescent="0.25">
      <c r="B85" s="25" t="s">
        <v>111</v>
      </c>
      <c r="C85" s="25"/>
      <c r="D85" s="25"/>
      <c r="E85" s="26"/>
      <c r="F85" s="27">
        <v>495.72</v>
      </c>
      <c r="G85" s="28">
        <v>4.5999999999999375E-3</v>
      </c>
      <c r="H85" s="29"/>
    </row>
    <row r="86" spans="2:16" ht="15.75" customHeight="1" x14ac:dyDescent="0.25">
      <c r="B86" s="40" t="s">
        <v>112</v>
      </c>
      <c r="C86" s="40"/>
      <c r="D86" s="40"/>
      <c r="E86" s="41"/>
      <c r="F86" s="42">
        <v>107631.14</v>
      </c>
      <c r="G86" s="43">
        <v>1</v>
      </c>
      <c r="H86" s="44"/>
      <c r="L86" s="3"/>
    </row>
    <row r="87" spans="2:16" ht="15.75" customHeight="1" x14ac:dyDescent="0.25">
      <c r="B87" s="2"/>
    </row>
    <row r="88" spans="2:16" ht="15.75" customHeight="1" x14ac:dyDescent="0.25">
      <c r="B88" s="12" t="s">
        <v>475</v>
      </c>
    </row>
    <row r="89" spans="2:16" ht="15.75" customHeight="1" thickBot="1" x14ac:dyDescent="0.3"/>
    <row r="90" spans="2:16" ht="27" customHeight="1" thickBot="1" x14ac:dyDescent="0.3">
      <c r="B90" s="56" t="s">
        <v>964</v>
      </c>
      <c r="C90" s="57" t="s">
        <v>965</v>
      </c>
      <c r="D90" s="57" t="s">
        <v>966</v>
      </c>
      <c r="E90" s="62" t="s">
        <v>967</v>
      </c>
      <c r="G90" s="2"/>
      <c r="H90" s="2"/>
    </row>
    <row r="91" spans="2:16" ht="23.25" customHeight="1" x14ac:dyDescent="0.25">
      <c r="B91" s="63" t="s">
        <v>50</v>
      </c>
      <c r="C91" s="81"/>
      <c r="D91" s="84" t="s">
        <v>1006</v>
      </c>
      <c r="E91" s="86"/>
      <c r="G91" s="2"/>
      <c r="H91" s="2"/>
    </row>
    <row r="92" spans="2:16" ht="40" customHeight="1" x14ac:dyDescent="0.25">
      <c r="B92" s="65" t="s">
        <v>996</v>
      </c>
      <c r="C92" s="82"/>
      <c r="D92" s="85"/>
      <c r="E92" s="82"/>
      <c r="G92" s="2"/>
      <c r="H92" s="2"/>
    </row>
    <row r="93" spans="2:16" ht="40" customHeight="1" x14ac:dyDescent="0.25">
      <c r="B93" s="65" t="s">
        <v>1007</v>
      </c>
      <c r="C93" s="82"/>
      <c r="D93" s="85"/>
      <c r="E93" s="82"/>
      <c r="G93" s="2"/>
      <c r="H93" s="2"/>
    </row>
    <row r="94" spans="2:16" ht="27.75" customHeight="1" thickBot="1" x14ac:dyDescent="0.3">
      <c r="B94" s="67" t="s">
        <v>982</v>
      </c>
      <c r="C94" s="83"/>
      <c r="D94" s="70" t="s">
        <v>991</v>
      </c>
      <c r="E94" s="87"/>
      <c r="G94" s="2"/>
      <c r="H94" s="2"/>
    </row>
    <row r="95" spans="2:16" ht="25" customHeight="1" x14ac:dyDescent="0.25">
      <c r="B95" s="58" t="s">
        <v>969</v>
      </c>
      <c r="C95" s="59"/>
      <c r="D95" s="60"/>
      <c r="E95" s="61"/>
      <c r="G95" s="2"/>
      <c r="H95" s="2"/>
    </row>
    <row r="96" spans="2:16" ht="15.75" customHeight="1" x14ac:dyDescent="0.25">
      <c r="L96" s="7"/>
      <c r="M96" s="7"/>
      <c r="N96" s="7"/>
      <c r="O96" s="7"/>
      <c r="P96" s="7"/>
    </row>
    <row r="97" spans="2:8" ht="11.5" x14ac:dyDescent="0.25">
      <c r="B97" s="2" t="s">
        <v>970</v>
      </c>
      <c r="C97" s="2"/>
      <c r="D97" s="2"/>
      <c r="G97" s="2"/>
      <c r="H97" s="2"/>
    </row>
    <row r="98" spans="2:8" ht="11.5" x14ac:dyDescent="0.25">
      <c r="B98" s="3" t="s">
        <v>971</v>
      </c>
      <c r="C98" s="2"/>
      <c r="D98" s="2"/>
      <c r="G98" s="2"/>
      <c r="H98" s="2"/>
    </row>
  </sheetData>
  <mergeCells count="3">
    <mergeCell ref="C91:C94"/>
    <mergeCell ref="D91:D93"/>
    <mergeCell ref="E91:E94"/>
  </mergeCells>
  <hyperlinks>
    <hyperlink ref="I1" location="'Sheet1'!A1" display="Index" xr:uid="{B9F1C4CB-6E64-4FEF-944C-0D45924158C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5ABD88-74EF-41DC-9F4C-8E43A2B5599C}">
  <dimension ref="B1:P101"/>
  <sheetViews>
    <sheetView workbookViewId="0"/>
  </sheetViews>
  <sheetFormatPr defaultColWidth="9.1796875" defaultRowHeight="15.75" customHeight="1" x14ac:dyDescent="0.25"/>
  <cols>
    <col min="1" max="1" width="3.6328125" style="2" customWidth="1"/>
    <col min="2" max="2" width="50.453125" style="9" customWidth="1"/>
    <col min="3" max="3" width="26.1796875" style="9" customWidth="1"/>
    <col min="4" max="4" width="26.6328125" style="9" customWidth="1"/>
    <col min="5" max="5" width="28.7265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18</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352</v>
      </c>
      <c r="C7" s="25" t="s">
        <v>353</v>
      </c>
      <c r="D7" s="25" t="s">
        <v>337</v>
      </c>
      <c r="E7" s="26">
        <v>69192</v>
      </c>
      <c r="F7" s="27">
        <v>1630.44</v>
      </c>
      <c r="G7" s="28">
        <v>5.8000000000000003E-2</v>
      </c>
      <c r="H7" s="29"/>
    </row>
    <row r="8" spans="2:9" ht="15.75" customHeight="1" x14ac:dyDescent="0.25">
      <c r="B8" s="25" t="s">
        <v>624</v>
      </c>
      <c r="C8" s="25" t="s">
        <v>625</v>
      </c>
      <c r="D8" s="25" t="s">
        <v>337</v>
      </c>
      <c r="E8" s="26">
        <v>86263</v>
      </c>
      <c r="F8" s="27">
        <v>1201.8599999999999</v>
      </c>
      <c r="G8" s="28">
        <v>4.2700000000000002E-2</v>
      </c>
      <c r="H8" s="29"/>
    </row>
    <row r="9" spans="2:9" ht="15.75" customHeight="1" x14ac:dyDescent="0.25">
      <c r="B9" s="25" t="s">
        <v>335</v>
      </c>
      <c r="C9" s="25" t="s">
        <v>336</v>
      </c>
      <c r="D9" s="25" t="s">
        <v>337</v>
      </c>
      <c r="E9" s="26">
        <v>32064</v>
      </c>
      <c r="F9" s="27">
        <v>1175.05</v>
      </c>
      <c r="G9" s="28">
        <v>4.1799999999999997E-2</v>
      </c>
      <c r="H9" s="29"/>
    </row>
    <row r="10" spans="2:9" ht="15.75" customHeight="1" x14ac:dyDescent="0.25">
      <c r="B10" s="25" t="s">
        <v>517</v>
      </c>
      <c r="C10" s="25" t="s">
        <v>518</v>
      </c>
      <c r="D10" s="25" t="s">
        <v>346</v>
      </c>
      <c r="E10" s="26">
        <v>26305</v>
      </c>
      <c r="F10" s="27">
        <v>868.28</v>
      </c>
      <c r="G10" s="28">
        <v>3.09E-2</v>
      </c>
      <c r="H10" s="29"/>
    </row>
    <row r="11" spans="2:9" ht="15.75" customHeight="1" x14ac:dyDescent="0.25">
      <c r="B11" s="25" t="s">
        <v>344</v>
      </c>
      <c r="C11" s="25" t="s">
        <v>345</v>
      </c>
      <c r="D11" s="25" t="s">
        <v>346</v>
      </c>
      <c r="E11" s="26">
        <v>342201</v>
      </c>
      <c r="F11" s="27">
        <v>850.03</v>
      </c>
      <c r="G11" s="28">
        <v>3.0200000000000001E-2</v>
      </c>
      <c r="H11" s="29"/>
    </row>
    <row r="12" spans="2:9" ht="15.75" customHeight="1" x14ac:dyDescent="0.25">
      <c r="B12" s="25" t="s">
        <v>527</v>
      </c>
      <c r="C12" s="25" t="s">
        <v>528</v>
      </c>
      <c r="D12" s="25" t="s">
        <v>178</v>
      </c>
      <c r="E12" s="26">
        <v>17360</v>
      </c>
      <c r="F12" s="27">
        <v>807.67</v>
      </c>
      <c r="G12" s="28">
        <v>2.87E-2</v>
      </c>
      <c r="H12" s="29"/>
    </row>
    <row r="13" spans="2:9" ht="15.75" customHeight="1" x14ac:dyDescent="0.25">
      <c r="B13" s="25" t="s">
        <v>446</v>
      </c>
      <c r="C13" s="25" t="s">
        <v>447</v>
      </c>
      <c r="D13" s="25" t="s">
        <v>254</v>
      </c>
      <c r="E13" s="26">
        <v>151805</v>
      </c>
      <c r="F13" s="27">
        <v>782.55</v>
      </c>
      <c r="G13" s="28">
        <v>2.7799999999999998E-2</v>
      </c>
      <c r="H13" s="29"/>
    </row>
    <row r="14" spans="2:9" ht="15.75" customHeight="1" x14ac:dyDescent="0.25">
      <c r="B14" s="25" t="s">
        <v>424</v>
      </c>
      <c r="C14" s="25" t="s">
        <v>425</v>
      </c>
      <c r="D14" s="25" t="s">
        <v>337</v>
      </c>
      <c r="E14" s="26">
        <v>17539</v>
      </c>
      <c r="F14" s="27">
        <v>775.21</v>
      </c>
      <c r="G14" s="28">
        <v>2.76E-2</v>
      </c>
      <c r="H14" s="29"/>
    </row>
    <row r="15" spans="2:9" ht="15.75" customHeight="1" x14ac:dyDescent="0.25">
      <c r="B15" s="25" t="s">
        <v>678</v>
      </c>
      <c r="C15" s="25" t="s">
        <v>679</v>
      </c>
      <c r="D15" s="25" t="s">
        <v>194</v>
      </c>
      <c r="E15" s="26">
        <v>42799</v>
      </c>
      <c r="F15" s="27">
        <v>699.57</v>
      </c>
      <c r="G15" s="28">
        <v>2.4899999999999999E-2</v>
      </c>
      <c r="H15" s="29"/>
    </row>
    <row r="16" spans="2:9" ht="15.75" customHeight="1" x14ac:dyDescent="0.25">
      <c r="B16" s="25" t="s">
        <v>680</v>
      </c>
      <c r="C16" s="25" t="s">
        <v>681</v>
      </c>
      <c r="D16" s="25" t="s">
        <v>184</v>
      </c>
      <c r="E16" s="26">
        <v>26037</v>
      </c>
      <c r="F16" s="27">
        <v>672.42</v>
      </c>
      <c r="G16" s="28">
        <v>2.3900000000000001E-2</v>
      </c>
      <c r="H16" s="29"/>
    </row>
    <row r="17" spans="2:8" ht="15.75" customHeight="1" x14ac:dyDescent="0.25">
      <c r="B17" s="25" t="s">
        <v>531</v>
      </c>
      <c r="C17" s="25" t="s">
        <v>532</v>
      </c>
      <c r="D17" s="25" t="s">
        <v>269</v>
      </c>
      <c r="E17" s="26">
        <v>66784</v>
      </c>
      <c r="F17" s="27">
        <v>601.82000000000005</v>
      </c>
      <c r="G17" s="28">
        <v>2.1399999999999999E-2</v>
      </c>
      <c r="H17" s="29"/>
    </row>
    <row r="18" spans="2:8" ht="15.75" customHeight="1" x14ac:dyDescent="0.25">
      <c r="B18" s="25" t="s">
        <v>682</v>
      </c>
      <c r="C18" s="25" t="s">
        <v>683</v>
      </c>
      <c r="D18" s="25" t="s">
        <v>337</v>
      </c>
      <c r="E18" s="26">
        <v>152346</v>
      </c>
      <c r="F18" s="27">
        <v>549.13</v>
      </c>
      <c r="G18" s="28">
        <v>1.95E-2</v>
      </c>
      <c r="H18" s="29"/>
    </row>
    <row r="19" spans="2:8" ht="15.75" customHeight="1" x14ac:dyDescent="0.25">
      <c r="B19" s="25" t="s">
        <v>684</v>
      </c>
      <c r="C19" s="25" t="s">
        <v>685</v>
      </c>
      <c r="D19" s="25" t="s">
        <v>224</v>
      </c>
      <c r="E19" s="26">
        <v>113088</v>
      </c>
      <c r="F19" s="27">
        <v>544.46</v>
      </c>
      <c r="G19" s="28">
        <v>1.9400000000000001E-2</v>
      </c>
      <c r="H19" s="29"/>
    </row>
    <row r="20" spans="2:8" ht="15.75" customHeight="1" x14ac:dyDescent="0.25">
      <c r="B20" s="25" t="s">
        <v>686</v>
      </c>
      <c r="C20" s="25" t="s">
        <v>687</v>
      </c>
      <c r="D20" s="25" t="s">
        <v>337</v>
      </c>
      <c r="E20" s="26">
        <v>11106</v>
      </c>
      <c r="F20" s="27">
        <v>521.62</v>
      </c>
      <c r="G20" s="28">
        <v>1.8499999999999999E-2</v>
      </c>
      <c r="H20" s="29"/>
    </row>
    <row r="21" spans="2:8" ht="15.75" customHeight="1" x14ac:dyDescent="0.25">
      <c r="B21" s="25" t="s">
        <v>688</v>
      </c>
      <c r="C21" s="25" t="s">
        <v>689</v>
      </c>
      <c r="D21" s="25" t="s">
        <v>263</v>
      </c>
      <c r="E21" s="26">
        <v>355972</v>
      </c>
      <c r="F21" s="27">
        <v>513.16999999999996</v>
      </c>
      <c r="G21" s="28">
        <v>1.8200000000000001E-2</v>
      </c>
      <c r="H21" s="29"/>
    </row>
    <row r="22" spans="2:8" ht="15.75" customHeight="1" x14ac:dyDescent="0.25">
      <c r="B22" s="25" t="s">
        <v>690</v>
      </c>
      <c r="C22" s="25" t="s">
        <v>691</v>
      </c>
      <c r="D22" s="25" t="s">
        <v>337</v>
      </c>
      <c r="E22" s="26">
        <v>68649</v>
      </c>
      <c r="F22" s="27">
        <v>493.21</v>
      </c>
      <c r="G22" s="28">
        <v>1.7500000000000002E-2</v>
      </c>
      <c r="H22" s="29"/>
    </row>
    <row r="23" spans="2:8" ht="15.75" customHeight="1" x14ac:dyDescent="0.25">
      <c r="B23" s="25" t="s">
        <v>422</v>
      </c>
      <c r="C23" s="25" t="s">
        <v>423</v>
      </c>
      <c r="D23" s="25" t="s">
        <v>178</v>
      </c>
      <c r="E23" s="26">
        <v>138653</v>
      </c>
      <c r="F23" s="27">
        <v>492.91</v>
      </c>
      <c r="G23" s="28">
        <v>1.7500000000000002E-2</v>
      </c>
      <c r="H23" s="29"/>
    </row>
    <row r="24" spans="2:8" ht="15.75" customHeight="1" x14ac:dyDescent="0.25">
      <c r="B24" s="25" t="s">
        <v>692</v>
      </c>
      <c r="C24" s="25" t="s">
        <v>693</v>
      </c>
      <c r="D24" s="25" t="s">
        <v>178</v>
      </c>
      <c r="E24" s="26">
        <v>84788</v>
      </c>
      <c r="F24" s="27">
        <v>458.7</v>
      </c>
      <c r="G24" s="28">
        <v>1.6299999999999999E-2</v>
      </c>
      <c r="H24" s="29"/>
    </row>
    <row r="25" spans="2:8" ht="15.75" customHeight="1" x14ac:dyDescent="0.25">
      <c r="B25" s="25" t="s">
        <v>498</v>
      </c>
      <c r="C25" s="25" t="s">
        <v>499</v>
      </c>
      <c r="D25" s="25" t="s">
        <v>219</v>
      </c>
      <c r="E25" s="26">
        <v>230661</v>
      </c>
      <c r="F25" s="27">
        <v>440.35</v>
      </c>
      <c r="G25" s="28">
        <v>1.5699999999999999E-2</v>
      </c>
      <c r="H25" s="29"/>
    </row>
    <row r="26" spans="2:8" ht="15.75" customHeight="1" x14ac:dyDescent="0.25">
      <c r="B26" s="25" t="s">
        <v>529</v>
      </c>
      <c r="C26" s="25" t="s">
        <v>530</v>
      </c>
      <c r="D26" s="25" t="s">
        <v>224</v>
      </c>
      <c r="E26" s="26">
        <v>28077</v>
      </c>
      <c r="F26" s="27">
        <v>436.12</v>
      </c>
      <c r="G26" s="28">
        <v>1.55E-2</v>
      </c>
      <c r="H26" s="29"/>
    </row>
    <row r="27" spans="2:8" ht="15.75" customHeight="1" x14ac:dyDescent="0.25">
      <c r="B27" s="25" t="s">
        <v>457</v>
      </c>
      <c r="C27" s="25" t="s">
        <v>458</v>
      </c>
      <c r="D27" s="25" t="s">
        <v>362</v>
      </c>
      <c r="E27" s="26">
        <v>32764</v>
      </c>
      <c r="F27" s="27">
        <v>428.65</v>
      </c>
      <c r="G27" s="28">
        <v>1.52E-2</v>
      </c>
      <c r="H27" s="29"/>
    </row>
    <row r="28" spans="2:8" ht="15.75" customHeight="1" x14ac:dyDescent="0.25">
      <c r="B28" s="25" t="s">
        <v>694</v>
      </c>
      <c r="C28" s="25" t="s">
        <v>695</v>
      </c>
      <c r="D28" s="25" t="s">
        <v>696</v>
      </c>
      <c r="E28" s="26">
        <v>76079</v>
      </c>
      <c r="F28" s="27">
        <v>422.58</v>
      </c>
      <c r="G28" s="28">
        <v>1.4999999999999999E-2</v>
      </c>
      <c r="H28" s="29"/>
    </row>
    <row r="29" spans="2:8" ht="15.75" customHeight="1" x14ac:dyDescent="0.25">
      <c r="B29" s="25" t="s">
        <v>697</v>
      </c>
      <c r="C29" s="25" t="s">
        <v>698</v>
      </c>
      <c r="D29" s="25" t="s">
        <v>178</v>
      </c>
      <c r="E29" s="26">
        <v>3245</v>
      </c>
      <c r="F29" s="27">
        <v>418.98</v>
      </c>
      <c r="G29" s="28">
        <v>1.49E-2</v>
      </c>
      <c r="H29" s="29"/>
    </row>
    <row r="30" spans="2:8" ht="15.75" customHeight="1" x14ac:dyDescent="0.25">
      <c r="B30" s="25" t="s">
        <v>699</v>
      </c>
      <c r="C30" s="25" t="s">
        <v>700</v>
      </c>
      <c r="D30" s="25" t="s">
        <v>295</v>
      </c>
      <c r="E30" s="26">
        <v>53646</v>
      </c>
      <c r="F30" s="27">
        <v>409.72</v>
      </c>
      <c r="G30" s="28">
        <v>1.46E-2</v>
      </c>
      <c r="H30" s="29"/>
    </row>
    <row r="31" spans="2:8" ht="15.75" customHeight="1" x14ac:dyDescent="0.25">
      <c r="B31" s="25" t="s">
        <v>480</v>
      </c>
      <c r="C31" s="25" t="s">
        <v>481</v>
      </c>
      <c r="D31" s="25" t="s">
        <v>129</v>
      </c>
      <c r="E31" s="26">
        <v>265050</v>
      </c>
      <c r="F31" s="27">
        <v>365.77</v>
      </c>
      <c r="G31" s="28">
        <v>1.2999999999999999E-2</v>
      </c>
      <c r="H31" s="29"/>
    </row>
    <row r="32" spans="2:8" ht="15.75" customHeight="1" x14ac:dyDescent="0.25">
      <c r="B32" s="25" t="s">
        <v>701</v>
      </c>
      <c r="C32" s="25" t="s">
        <v>702</v>
      </c>
      <c r="D32" s="25" t="s">
        <v>337</v>
      </c>
      <c r="E32" s="26">
        <v>9913</v>
      </c>
      <c r="F32" s="27">
        <v>357.73</v>
      </c>
      <c r="G32" s="28">
        <v>1.2699999999999999E-2</v>
      </c>
      <c r="H32" s="29"/>
    </row>
    <row r="33" spans="2:8" ht="15.75" customHeight="1" x14ac:dyDescent="0.25">
      <c r="B33" s="25" t="s">
        <v>431</v>
      </c>
      <c r="C33" s="25" t="s">
        <v>432</v>
      </c>
      <c r="D33" s="25" t="s">
        <v>146</v>
      </c>
      <c r="E33" s="26">
        <v>47692</v>
      </c>
      <c r="F33" s="27">
        <v>341.28</v>
      </c>
      <c r="G33" s="28">
        <v>1.21E-2</v>
      </c>
      <c r="H33" s="29"/>
    </row>
    <row r="34" spans="2:8" ht="15.75" customHeight="1" x14ac:dyDescent="0.25">
      <c r="B34" s="25" t="s">
        <v>628</v>
      </c>
      <c r="C34" s="25" t="s">
        <v>629</v>
      </c>
      <c r="D34" s="25" t="s">
        <v>601</v>
      </c>
      <c r="E34" s="26">
        <v>57833</v>
      </c>
      <c r="F34" s="27">
        <v>339.42</v>
      </c>
      <c r="G34" s="28">
        <v>1.21E-2</v>
      </c>
      <c r="H34" s="29"/>
    </row>
    <row r="35" spans="2:8" ht="15.75" customHeight="1" x14ac:dyDescent="0.25">
      <c r="B35" s="25" t="s">
        <v>672</v>
      </c>
      <c r="C35" s="25" t="s">
        <v>673</v>
      </c>
      <c r="D35" s="25" t="s">
        <v>202</v>
      </c>
      <c r="E35" s="26">
        <v>207257</v>
      </c>
      <c r="F35" s="27">
        <v>337</v>
      </c>
      <c r="G35" s="28">
        <v>1.2E-2</v>
      </c>
      <c r="H35" s="29"/>
    </row>
    <row r="36" spans="2:8" ht="15.75" customHeight="1" x14ac:dyDescent="0.25">
      <c r="B36" s="25" t="s">
        <v>558</v>
      </c>
      <c r="C36" s="25" t="s">
        <v>559</v>
      </c>
      <c r="D36" s="25" t="s">
        <v>169</v>
      </c>
      <c r="E36" s="26">
        <v>4956</v>
      </c>
      <c r="F36" s="27">
        <v>322.14</v>
      </c>
      <c r="G36" s="28">
        <v>1.14E-2</v>
      </c>
      <c r="H36" s="29"/>
    </row>
    <row r="37" spans="2:8" ht="15.75" customHeight="1" x14ac:dyDescent="0.25">
      <c r="B37" s="25" t="s">
        <v>385</v>
      </c>
      <c r="C37" s="25" t="s">
        <v>386</v>
      </c>
      <c r="D37" s="25" t="s">
        <v>241</v>
      </c>
      <c r="E37" s="26">
        <v>107681</v>
      </c>
      <c r="F37" s="27">
        <v>319.33</v>
      </c>
      <c r="G37" s="28">
        <v>1.1299999999999999E-2</v>
      </c>
      <c r="H37" s="29"/>
    </row>
    <row r="38" spans="2:8" ht="15.75" customHeight="1" x14ac:dyDescent="0.25">
      <c r="B38" s="25" t="s">
        <v>533</v>
      </c>
      <c r="C38" s="25" t="s">
        <v>534</v>
      </c>
      <c r="D38" s="25" t="s">
        <v>337</v>
      </c>
      <c r="E38" s="26">
        <v>50324</v>
      </c>
      <c r="F38" s="27">
        <v>314.32</v>
      </c>
      <c r="G38" s="28">
        <v>1.12E-2</v>
      </c>
      <c r="H38" s="29"/>
    </row>
    <row r="39" spans="2:8" ht="15.75" customHeight="1" x14ac:dyDescent="0.25">
      <c r="B39" s="25" t="s">
        <v>666</v>
      </c>
      <c r="C39" s="25" t="s">
        <v>667</v>
      </c>
      <c r="D39" s="25" t="s">
        <v>337</v>
      </c>
      <c r="E39" s="26">
        <v>22182</v>
      </c>
      <c r="F39" s="27">
        <v>313.14999999999998</v>
      </c>
      <c r="G39" s="28">
        <v>1.11E-2</v>
      </c>
      <c r="H39" s="29"/>
    </row>
    <row r="40" spans="2:8" ht="15.75" customHeight="1" x14ac:dyDescent="0.25">
      <c r="B40" s="25" t="s">
        <v>406</v>
      </c>
      <c r="C40" s="25" t="s">
        <v>407</v>
      </c>
      <c r="D40" s="25" t="s">
        <v>178</v>
      </c>
      <c r="E40" s="26">
        <v>16394</v>
      </c>
      <c r="F40" s="27">
        <v>311.17</v>
      </c>
      <c r="G40" s="28">
        <v>1.11E-2</v>
      </c>
      <c r="H40" s="29"/>
    </row>
    <row r="41" spans="2:8" ht="15.75" customHeight="1" x14ac:dyDescent="0.25">
      <c r="B41" s="25" t="s">
        <v>703</v>
      </c>
      <c r="C41" s="25" t="s">
        <v>704</v>
      </c>
      <c r="D41" s="25" t="s">
        <v>132</v>
      </c>
      <c r="E41" s="26">
        <v>44653</v>
      </c>
      <c r="F41" s="27">
        <v>308.24</v>
      </c>
      <c r="G41" s="28">
        <v>1.0999999999999999E-2</v>
      </c>
      <c r="H41" s="29"/>
    </row>
    <row r="42" spans="2:8" ht="15.75" customHeight="1" x14ac:dyDescent="0.25">
      <c r="B42" s="25" t="s">
        <v>535</v>
      </c>
      <c r="C42" s="25" t="s">
        <v>536</v>
      </c>
      <c r="D42" s="25" t="s">
        <v>224</v>
      </c>
      <c r="E42" s="26">
        <v>44776</v>
      </c>
      <c r="F42" s="27">
        <v>307.02999999999997</v>
      </c>
      <c r="G42" s="28">
        <v>1.09E-2</v>
      </c>
      <c r="H42" s="29"/>
    </row>
    <row r="43" spans="2:8" ht="15.75" customHeight="1" x14ac:dyDescent="0.25">
      <c r="B43" s="25" t="s">
        <v>408</v>
      </c>
      <c r="C43" s="25" t="s">
        <v>409</v>
      </c>
      <c r="D43" s="25" t="s">
        <v>178</v>
      </c>
      <c r="E43" s="26">
        <v>20270</v>
      </c>
      <c r="F43" s="27">
        <v>302.37</v>
      </c>
      <c r="G43" s="28">
        <v>1.0699999999999999E-2</v>
      </c>
      <c r="H43" s="29"/>
    </row>
    <row r="44" spans="2:8" ht="15.75" customHeight="1" x14ac:dyDescent="0.25">
      <c r="B44" s="25" t="s">
        <v>705</v>
      </c>
      <c r="C44" s="25" t="s">
        <v>706</v>
      </c>
      <c r="D44" s="25" t="s">
        <v>269</v>
      </c>
      <c r="E44" s="26">
        <v>8283</v>
      </c>
      <c r="F44" s="27">
        <v>296.06</v>
      </c>
      <c r="G44" s="28">
        <v>1.0500000000000001E-2</v>
      </c>
      <c r="H44" s="29"/>
    </row>
    <row r="45" spans="2:8" ht="15.75" customHeight="1" x14ac:dyDescent="0.25">
      <c r="B45" s="25" t="s">
        <v>707</v>
      </c>
      <c r="C45" s="25" t="s">
        <v>708</v>
      </c>
      <c r="D45" s="25" t="s">
        <v>194</v>
      </c>
      <c r="E45" s="26">
        <v>71887</v>
      </c>
      <c r="F45" s="27">
        <v>291.36</v>
      </c>
      <c r="G45" s="28">
        <v>1.04E-2</v>
      </c>
      <c r="H45" s="29"/>
    </row>
    <row r="46" spans="2:8" ht="15.75" customHeight="1" x14ac:dyDescent="0.25">
      <c r="B46" s="25" t="s">
        <v>267</v>
      </c>
      <c r="C46" s="25" t="s">
        <v>268</v>
      </c>
      <c r="D46" s="25" t="s">
        <v>269</v>
      </c>
      <c r="E46" s="26">
        <v>41726</v>
      </c>
      <c r="F46" s="27">
        <v>286.33999999999997</v>
      </c>
      <c r="G46" s="28">
        <v>1.0200000000000001E-2</v>
      </c>
      <c r="H46" s="29"/>
    </row>
    <row r="47" spans="2:8" ht="15.75" customHeight="1" x14ac:dyDescent="0.25">
      <c r="B47" s="25" t="s">
        <v>414</v>
      </c>
      <c r="C47" s="25" t="s">
        <v>415</v>
      </c>
      <c r="D47" s="25" t="s">
        <v>169</v>
      </c>
      <c r="E47" s="26">
        <v>181916</v>
      </c>
      <c r="F47" s="27">
        <v>286.04000000000002</v>
      </c>
      <c r="G47" s="28">
        <v>1.0200000000000001E-2</v>
      </c>
      <c r="H47" s="29"/>
    </row>
    <row r="48" spans="2:8" ht="15.75" customHeight="1" x14ac:dyDescent="0.25">
      <c r="B48" s="25" t="s">
        <v>709</v>
      </c>
      <c r="C48" s="25" t="s">
        <v>710</v>
      </c>
      <c r="D48" s="25" t="s">
        <v>337</v>
      </c>
      <c r="E48" s="26">
        <v>21048</v>
      </c>
      <c r="F48" s="27">
        <v>283.73</v>
      </c>
      <c r="G48" s="28">
        <v>1.01E-2</v>
      </c>
      <c r="H48" s="29"/>
    </row>
    <row r="49" spans="2:8" ht="15.75" customHeight="1" x14ac:dyDescent="0.25">
      <c r="B49" s="25" t="s">
        <v>711</v>
      </c>
      <c r="C49" s="25" t="s">
        <v>712</v>
      </c>
      <c r="D49" s="25" t="s">
        <v>346</v>
      </c>
      <c r="E49" s="26">
        <v>20869</v>
      </c>
      <c r="F49" s="27">
        <v>275.36</v>
      </c>
      <c r="G49" s="28">
        <v>9.7999999999999997E-3</v>
      </c>
      <c r="H49" s="29"/>
    </row>
    <row r="50" spans="2:8" ht="15.75" customHeight="1" x14ac:dyDescent="0.25">
      <c r="B50" s="25" t="s">
        <v>713</v>
      </c>
      <c r="C50" s="25" t="s">
        <v>714</v>
      </c>
      <c r="D50" s="25" t="s">
        <v>337</v>
      </c>
      <c r="E50" s="26">
        <v>83774</v>
      </c>
      <c r="F50" s="27">
        <v>270.08999999999997</v>
      </c>
      <c r="G50" s="28">
        <v>9.5999999999999992E-3</v>
      </c>
      <c r="H50" s="29"/>
    </row>
    <row r="51" spans="2:8" ht="15.75" customHeight="1" x14ac:dyDescent="0.25">
      <c r="B51" s="25" t="s">
        <v>715</v>
      </c>
      <c r="C51" s="25" t="s">
        <v>716</v>
      </c>
      <c r="D51" s="25" t="s">
        <v>194</v>
      </c>
      <c r="E51" s="26">
        <v>35250</v>
      </c>
      <c r="F51" s="27">
        <v>269.14999999999998</v>
      </c>
      <c r="G51" s="28">
        <v>9.5999999999999992E-3</v>
      </c>
      <c r="H51" s="29"/>
    </row>
    <row r="52" spans="2:8" ht="15.75" customHeight="1" x14ac:dyDescent="0.25">
      <c r="B52" s="25" t="s">
        <v>420</v>
      </c>
      <c r="C52" s="25" t="s">
        <v>421</v>
      </c>
      <c r="D52" s="25" t="s">
        <v>129</v>
      </c>
      <c r="E52" s="26">
        <v>276121</v>
      </c>
      <c r="F52" s="27">
        <v>268.27999999999997</v>
      </c>
      <c r="G52" s="28">
        <v>9.4999999999999998E-3</v>
      </c>
      <c r="H52" s="29"/>
    </row>
    <row r="53" spans="2:8" ht="15.75" customHeight="1" x14ac:dyDescent="0.25">
      <c r="B53" s="25" t="s">
        <v>548</v>
      </c>
      <c r="C53" s="25" t="s">
        <v>549</v>
      </c>
      <c r="D53" s="25" t="s">
        <v>362</v>
      </c>
      <c r="E53" s="26">
        <v>149493</v>
      </c>
      <c r="F53" s="27">
        <v>265.23</v>
      </c>
      <c r="G53" s="28">
        <v>9.4000000000000004E-3</v>
      </c>
      <c r="H53" s="29"/>
    </row>
    <row r="54" spans="2:8" ht="15.75" customHeight="1" x14ac:dyDescent="0.25">
      <c r="B54" s="25" t="s">
        <v>717</v>
      </c>
      <c r="C54" s="25" t="s">
        <v>718</v>
      </c>
      <c r="D54" s="25" t="s">
        <v>241</v>
      </c>
      <c r="E54" s="26">
        <v>16573</v>
      </c>
      <c r="F54" s="27">
        <v>264.64999999999998</v>
      </c>
      <c r="G54" s="28">
        <v>9.4000000000000004E-3</v>
      </c>
      <c r="H54" s="29"/>
    </row>
    <row r="55" spans="2:8" ht="15.75" customHeight="1" x14ac:dyDescent="0.25">
      <c r="B55" s="25" t="s">
        <v>653</v>
      </c>
      <c r="C55" s="25" t="s">
        <v>654</v>
      </c>
      <c r="D55" s="25" t="s">
        <v>269</v>
      </c>
      <c r="E55" s="26">
        <v>13731</v>
      </c>
      <c r="F55" s="27">
        <v>260.60000000000002</v>
      </c>
      <c r="G55" s="28">
        <v>9.2999999999999992E-3</v>
      </c>
      <c r="H55" s="29"/>
    </row>
    <row r="56" spans="2:8" ht="15.75" customHeight="1" x14ac:dyDescent="0.25">
      <c r="B56" s="25" t="s">
        <v>429</v>
      </c>
      <c r="C56" s="25" t="s">
        <v>430</v>
      </c>
      <c r="D56" s="25" t="s">
        <v>251</v>
      </c>
      <c r="E56" s="26">
        <v>4546</v>
      </c>
      <c r="F56" s="27">
        <v>251.92</v>
      </c>
      <c r="G56" s="28">
        <v>8.9999999999999993E-3</v>
      </c>
      <c r="H56" s="29"/>
    </row>
    <row r="57" spans="2:8" ht="15.75" customHeight="1" x14ac:dyDescent="0.25">
      <c r="B57" s="25" t="s">
        <v>541</v>
      </c>
      <c r="C57" s="25" t="s">
        <v>542</v>
      </c>
      <c r="D57" s="25" t="s">
        <v>295</v>
      </c>
      <c r="E57" s="26">
        <v>55294</v>
      </c>
      <c r="F57" s="27">
        <v>246.89</v>
      </c>
      <c r="G57" s="28">
        <v>8.8000000000000005E-3</v>
      </c>
      <c r="H57" s="29"/>
    </row>
    <row r="58" spans="2:8" ht="15.75" customHeight="1" x14ac:dyDescent="0.25">
      <c r="B58" s="25" t="s">
        <v>719</v>
      </c>
      <c r="C58" s="25" t="s">
        <v>720</v>
      </c>
      <c r="D58" s="25" t="s">
        <v>508</v>
      </c>
      <c r="E58" s="26">
        <v>66708</v>
      </c>
      <c r="F58" s="27">
        <v>246.85</v>
      </c>
      <c r="G58" s="28">
        <v>8.8000000000000005E-3</v>
      </c>
      <c r="H58" s="29"/>
    </row>
    <row r="59" spans="2:8" ht="15.75" customHeight="1" x14ac:dyDescent="0.25">
      <c r="B59" s="25" t="s">
        <v>721</v>
      </c>
      <c r="C59" s="25" t="s">
        <v>722</v>
      </c>
      <c r="D59" s="25" t="s">
        <v>508</v>
      </c>
      <c r="E59" s="26">
        <v>33698</v>
      </c>
      <c r="F59" s="27">
        <v>246.15</v>
      </c>
      <c r="G59" s="28">
        <v>8.6999999999999994E-3</v>
      </c>
      <c r="H59" s="29"/>
    </row>
    <row r="60" spans="2:8" ht="15.75" customHeight="1" x14ac:dyDescent="0.25">
      <c r="B60" s="25" t="s">
        <v>723</v>
      </c>
      <c r="C60" s="25" t="s">
        <v>724</v>
      </c>
      <c r="D60" s="25" t="s">
        <v>194</v>
      </c>
      <c r="E60" s="26">
        <v>28816</v>
      </c>
      <c r="F60" s="27">
        <v>242.37</v>
      </c>
      <c r="G60" s="28">
        <v>8.6E-3</v>
      </c>
      <c r="H60" s="29"/>
    </row>
    <row r="61" spans="2:8" ht="15.75" customHeight="1" x14ac:dyDescent="0.25">
      <c r="B61" s="25" t="s">
        <v>725</v>
      </c>
      <c r="C61" s="25" t="s">
        <v>726</v>
      </c>
      <c r="D61" s="25" t="s">
        <v>346</v>
      </c>
      <c r="E61" s="26">
        <v>27464</v>
      </c>
      <c r="F61" s="27">
        <v>227.62</v>
      </c>
      <c r="G61" s="28">
        <v>8.0999999999999996E-3</v>
      </c>
      <c r="H61" s="29"/>
    </row>
    <row r="62" spans="2:8" ht="15.75" customHeight="1" x14ac:dyDescent="0.25">
      <c r="B62" s="25" t="s">
        <v>387</v>
      </c>
      <c r="C62" s="25" t="s">
        <v>388</v>
      </c>
      <c r="D62" s="25" t="s">
        <v>132</v>
      </c>
      <c r="E62" s="26">
        <v>36530</v>
      </c>
      <c r="F62" s="27">
        <v>216.42</v>
      </c>
      <c r="G62" s="28">
        <v>7.7000000000000002E-3</v>
      </c>
      <c r="H62" s="29"/>
    </row>
    <row r="63" spans="2:8" ht="15.75" customHeight="1" x14ac:dyDescent="0.25">
      <c r="B63" s="25" t="s">
        <v>727</v>
      </c>
      <c r="C63" s="25" t="s">
        <v>728</v>
      </c>
      <c r="D63" s="25" t="s">
        <v>251</v>
      </c>
      <c r="E63" s="26">
        <v>58140</v>
      </c>
      <c r="F63" s="27">
        <v>203.11</v>
      </c>
      <c r="G63" s="28">
        <v>7.1999999999999998E-3</v>
      </c>
      <c r="H63" s="29"/>
    </row>
    <row r="64" spans="2:8" ht="15.75" customHeight="1" x14ac:dyDescent="0.25">
      <c r="B64" s="25" t="s">
        <v>729</v>
      </c>
      <c r="C64" s="25" t="s">
        <v>730</v>
      </c>
      <c r="D64" s="25" t="s">
        <v>251</v>
      </c>
      <c r="E64" s="26">
        <v>29452</v>
      </c>
      <c r="F64" s="27">
        <v>195.72</v>
      </c>
      <c r="G64" s="28">
        <v>7.0000000000000001E-3</v>
      </c>
      <c r="H64" s="29"/>
    </row>
    <row r="65" spans="2:16" ht="15.75" customHeight="1" x14ac:dyDescent="0.25">
      <c r="B65" s="25" t="s">
        <v>562</v>
      </c>
      <c r="C65" s="25" t="s">
        <v>563</v>
      </c>
      <c r="D65" s="25" t="s">
        <v>169</v>
      </c>
      <c r="E65" s="26">
        <v>4956</v>
      </c>
      <c r="F65" s="27">
        <v>186.97</v>
      </c>
      <c r="G65" s="28">
        <v>6.6E-3</v>
      </c>
      <c r="H65" s="29"/>
    </row>
    <row r="66" spans="2:16" ht="15.75" customHeight="1" x14ac:dyDescent="0.25">
      <c r="B66" s="25" t="s">
        <v>349</v>
      </c>
      <c r="C66" s="25" t="s">
        <v>350</v>
      </c>
      <c r="D66" s="25" t="s">
        <v>351</v>
      </c>
      <c r="E66" s="26">
        <v>69450</v>
      </c>
      <c r="F66" s="27">
        <v>186.13</v>
      </c>
      <c r="G66" s="28">
        <v>6.6E-3</v>
      </c>
      <c r="H66" s="29"/>
    </row>
    <row r="67" spans="2:16" ht="15.75" customHeight="1" x14ac:dyDescent="0.25">
      <c r="B67" s="25" t="s">
        <v>521</v>
      </c>
      <c r="C67" s="25" t="s">
        <v>522</v>
      </c>
      <c r="D67" s="25" t="s">
        <v>194</v>
      </c>
      <c r="E67" s="26">
        <v>41882</v>
      </c>
      <c r="F67" s="27">
        <v>185.16</v>
      </c>
      <c r="G67" s="28">
        <v>6.6E-3</v>
      </c>
      <c r="H67" s="29"/>
    </row>
    <row r="68" spans="2:16" ht="15.75" customHeight="1" x14ac:dyDescent="0.25">
      <c r="B68" s="25" t="s">
        <v>731</v>
      </c>
      <c r="C68" s="25" t="s">
        <v>732</v>
      </c>
      <c r="D68" s="25" t="s">
        <v>276</v>
      </c>
      <c r="E68" s="26">
        <v>11370</v>
      </c>
      <c r="F68" s="27">
        <v>181.58</v>
      </c>
      <c r="G68" s="28">
        <v>6.4999999999999997E-3</v>
      </c>
      <c r="H68" s="29"/>
      <c r="L68" s="3"/>
    </row>
    <row r="69" spans="2:16" ht="15.75" customHeight="1" x14ac:dyDescent="0.25">
      <c r="B69" s="25" t="s">
        <v>655</v>
      </c>
      <c r="C69" s="25" t="s">
        <v>656</v>
      </c>
      <c r="D69" s="25" t="s">
        <v>241</v>
      </c>
      <c r="E69" s="26">
        <v>35122</v>
      </c>
      <c r="F69" s="27">
        <v>157.59</v>
      </c>
      <c r="G69" s="28">
        <v>5.5999999999999999E-3</v>
      </c>
      <c r="H69" s="29"/>
    </row>
    <row r="70" spans="2:16" ht="15.75" customHeight="1" x14ac:dyDescent="0.25">
      <c r="B70" s="25" t="s">
        <v>676</v>
      </c>
      <c r="C70" s="25" t="s">
        <v>677</v>
      </c>
      <c r="D70" s="25" t="s">
        <v>337</v>
      </c>
      <c r="E70" s="26">
        <v>10079</v>
      </c>
      <c r="F70" s="27">
        <v>132.59</v>
      </c>
      <c r="G70" s="28">
        <v>4.7000000000000002E-3</v>
      </c>
      <c r="H70" s="29"/>
      <c r="L70" s="3"/>
    </row>
    <row r="71" spans="2:16" ht="15.75" customHeight="1" x14ac:dyDescent="0.25">
      <c r="B71" s="25" t="s">
        <v>277</v>
      </c>
      <c r="C71" s="25" t="s">
        <v>278</v>
      </c>
      <c r="D71" s="25" t="s">
        <v>214</v>
      </c>
      <c r="E71" s="26">
        <v>67453</v>
      </c>
      <c r="F71" s="27">
        <v>126.21</v>
      </c>
      <c r="G71" s="28">
        <v>4.4999999999999997E-3</v>
      </c>
      <c r="H71" s="29"/>
      <c r="L71" s="3"/>
    </row>
    <row r="72" spans="2:16" ht="15.75" customHeight="1" x14ac:dyDescent="0.25">
      <c r="B72" s="25" t="s">
        <v>733</v>
      </c>
      <c r="C72" s="25" t="s">
        <v>734</v>
      </c>
      <c r="D72" s="25" t="s">
        <v>337</v>
      </c>
      <c r="E72" s="26">
        <v>3916</v>
      </c>
      <c r="F72" s="27">
        <v>113.03</v>
      </c>
      <c r="G72" s="28">
        <v>4.0000000000000001E-3</v>
      </c>
      <c r="H72" s="29"/>
      <c r="L72" s="3"/>
    </row>
    <row r="73" spans="2:16" ht="15.75" customHeight="1" x14ac:dyDescent="0.25">
      <c r="B73" s="25" t="s">
        <v>735</v>
      </c>
      <c r="C73" s="25" t="s">
        <v>736</v>
      </c>
      <c r="D73" s="25" t="s">
        <v>269</v>
      </c>
      <c r="E73" s="26">
        <v>603</v>
      </c>
      <c r="F73" s="27">
        <v>25.35</v>
      </c>
      <c r="G73" s="28">
        <v>8.9999999999999998E-4</v>
      </c>
      <c r="H73" s="29"/>
      <c r="L73" s="3"/>
    </row>
    <row r="74" spans="2:16" ht="15.75" customHeight="1" x14ac:dyDescent="0.25">
      <c r="B74" s="25" t="s">
        <v>737</v>
      </c>
      <c r="C74" s="25" t="s">
        <v>738</v>
      </c>
      <c r="D74" s="25" t="s">
        <v>337</v>
      </c>
      <c r="E74" s="26">
        <v>99</v>
      </c>
      <c r="F74" s="27">
        <v>0.92</v>
      </c>
      <c r="G74" s="28" t="s">
        <v>474</v>
      </c>
      <c r="H74" s="29"/>
      <c r="L74" s="3"/>
    </row>
    <row r="75" spans="2:16" ht="15.75" customHeight="1" x14ac:dyDescent="0.25">
      <c r="B75" s="24" t="s">
        <v>102</v>
      </c>
      <c r="C75" s="24"/>
      <c r="D75" s="24"/>
      <c r="E75" s="30"/>
      <c r="F75" s="31">
        <v>27122.92</v>
      </c>
      <c r="G75" s="32">
        <v>0.96399999999999997</v>
      </c>
      <c r="H75" s="33"/>
      <c r="L75" s="5"/>
      <c r="M75" s="5"/>
      <c r="N75" s="6"/>
      <c r="O75" s="6"/>
      <c r="P75" s="5"/>
    </row>
    <row r="76" spans="2:16" ht="15.75" customHeight="1" x14ac:dyDescent="0.25">
      <c r="B76" s="24" t="s">
        <v>149</v>
      </c>
      <c r="C76" s="25"/>
      <c r="D76" s="25"/>
      <c r="E76" s="26"/>
      <c r="F76" s="27"/>
      <c r="G76" s="28"/>
      <c r="H76" s="29"/>
    </row>
    <row r="77" spans="2:16" ht="15.75" customHeight="1" x14ac:dyDescent="0.25">
      <c r="B77" s="24" t="s">
        <v>102</v>
      </c>
      <c r="C77" s="25"/>
      <c r="D77" s="25"/>
      <c r="E77" s="26"/>
      <c r="F77" s="34" t="s">
        <v>104</v>
      </c>
      <c r="G77" s="35" t="s">
        <v>104</v>
      </c>
      <c r="H77" s="29"/>
    </row>
    <row r="78" spans="2:16" ht="15.75" customHeight="1" x14ac:dyDescent="0.25">
      <c r="B78" s="25"/>
      <c r="C78" s="25"/>
      <c r="D78" s="25"/>
      <c r="E78" s="26"/>
      <c r="F78" s="27"/>
      <c r="G78" s="28"/>
      <c r="H78" s="29"/>
      <c r="L78" s="7"/>
      <c r="M78" s="7"/>
      <c r="N78" s="7"/>
      <c r="O78" s="7"/>
      <c r="P78" s="7"/>
    </row>
    <row r="79" spans="2:16" ht="15.75" customHeight="1" x14ac:dyDescent="0.25">
      <c r="B79" s="36" t="s">
        <v>106</v>
      </c>
      <c r="C79" s="36"/>
      <c r="D79" s="36"/>
      <c r="E79" s="37"/>
      <c r="F79" s="31">
        <v>27122.92</v>
      </c>
      <c r="G79" s="32">
        <v>0.96399999999999997</v>
      </c>
      <c r="H79" s="33"/>
      <c r="L79" s="7"/>
      <c r="M79" s="7"/>
      <c r="N79" s="7"/>
      <c r="O79" s="7"/>
      <c r="P79" s="7"/>
    </row>
    <row r="80" spans="2:16" ht="15.75" customHeight="1" x14ac:dyDescent="0.25">
      <c r="B80" s="25"/>
      <c r="C80" s="25"/>
      <c r="D80" s="25"/>
      <c r="E80" s="26"/>
      <c r="F80" s="27"/>
      <c r="G80" s="28"/>
      <c r="H80" s="29"/>
      <c r="L80" s="7"/>
      <c r="M80" s="7"/>
      <c r="N80" s="7"/>
      <c r="O80" s="7"/>
      <c r="P80" s="7"/>
    </row>
    <row r="81" spans="2:16" ht="15.75" customHeight="1" x14ac:dyDescent="0.25">
      <c r="B81" s="25"/>
      <c r="C81" s="25"/>
      <c r="D81" s="25"/>
      <c r="E81" s="26"/>
      <c r="F81" s="27"/>
      <c r="G81" s="28"/>
      <c r="H81" s="29"/>
      <c r="L81" s="7"/>
      <c r="M81" s="7"/>
      <c r="N81" s="7"/>
      <c r="O81" s="7"/>
      <c r="P81" s="7"/>
    </row>
    <row r="82" spans="2:16" ht="15.75" customHeight="1" x14ac:dyDescent="0.25">
      <c r="B82" s="24" t="s">
        <v>109</v>
      </c>
      <c r="C82" s="25"/>
      <c r="D82" s="25"/>
      <c r="E82" s="26"/>
      <c r="F82" s="27"/>
      <c r="G82" s="28"/>
      <c r="H82" s="29"/>
      <c r="L82" s="7"/>
      <c r="M82" s="7"/>
      <c r="N82" s="7"/>
      <c r="O82" s="7"/>
      <c r="P82" s="7"/>
    </row>
    <row r="83" spans="2:16" ht="15.75" customHeight="1" x14ac:dyDescent="0.25">
      <c r="B83" s="25" t="s">
        <v>110</v>
      </c>
      <c r="C83" s="25"/>
      <c r="D83" s="25"/>
      <c r="E83" s="26"/>
      <c r="F83" s="27">
        <v>939.52</v>
      </c>
      <c r="G83" s="28">
        <v>3.3399999999999999E-2</v>
      </c>
      <c r="H83" s="29"/>
      <c r="L83" s="7"/>
      <c r="M83" s="7"/>
      <c r="N83" s="7"/>
      <c r="O83" s="7"/>
      <c r="P83" s="7"/>
    </row>
    <row r="84" spans="2:16" ht="15.75" customHeight="1" x14ac:dyDescent="0.25">
      <c r="B84" s="24" t="s">
        <v>102</v>
      </c>
      <c r="C84" s="24"/>
      <c r="D84" s="24"/>
      <c r="E84" s="30"/>
      <c r="F84" s="31">
        <v>939.52</v>
      </c>
      <c r="G84" s="32">
        <v>3.3399999999999999E-2</v>
      </c>
      <c r="H84" s="33"/>
      <c r="L84" s="7"/>
      <c r="M84" s="7"/>
      <c r="N84" s="7"/>
      <c r="O84" s="7"/>
      <c r="P84" s="7"/>
    </row>
    <row r="85" spans="2:16" ht="15.75" customHeight="1" x14ac:dyDescent="0.25">
      <c r="B85" s="25"/>
      <c r="C85" s="25"/>
      <c r="D85" s="25"/>
      <c r="E85" s="26"/>
      <c r="F85" s="27"/>
      <c r="G85" s="28"/>
      <c r="H85" s="29"/>
    </row>
    <row r="86" spans="2:16" ht="15.75" customHeight="1" x14ac:dyDescent="0.25">
      <c r="B86" s="36" t="s">
        <v>106</v>
      </c>
      <c r="C86" s="36"/>
      <c r="D86" s="36"/>
      <c r="E86" s="37"/>
      <c r="F86" s="31">
        <v>939.52</v>
      </c>
      <c r="G86" s="32">
        <v>3.3399999999999999E-2</v>
      </c>
      <c r="H86" s="33"/>
      <c r="L86" s="3"/>
    </row>
    <row r="87" spans="2:16" ht="15.75" customHeight="1" x14ac:dyDescent="0.25">
      <c r="B87" s="25" t="s">
        <v>111</v>
      </c>
      <c r="C87" s="25"/>
      <c r="D87" s="25"/>
      <c r="E87" s="26"/>
      <c r="F87" s="27">
        <v>72.819999999999993</v>
      </c>
      <c r="G87" s="28">
        <v>2.6000000000000467E-3</v>
      </c>
      <c r="H87" s="29"/>
    </row>
    <row r="88" spans="2:16" ht="15.75" customHeight="1" x14ac:dyDescent="0.25">
      <c r="B88" s="40" t="s">
        <v>112</v>
      </c>
      <c r="C88" s="40"/>
      <c r="D88" s="40"/>
      <c r="E88" s="41"/>
      <c r="F88" s="42">
        <v>28135.26</v>
      </c>
      <c r="G88" s="43">
        <v>1</v>
      </c>
      <c r="H88" s="44"/>
    </row>
    <row r="89" spans="2:16" ht="15.75" customHeight="1" x14ac:dyDescent="0.25">
      <c r="B89" s="2"/>
    </row>
    <row r="90" spans="2:16" ht="15.75" customHeight="1" x14ac:dyDescent="0.25">
      <c r="B90" s="12" t="s">
        <v>124</v>
      </c>
    </row>
    <row r="91" spans="2:16" ht="15.75" customHeight="1" x14ac:dyDescent="0.25">
      <c r="B91" s="12" t="s">
        <v>475</v>
      </c>
    </row>
    <row r="92" spans="2:16" ht="15.75" customHeight="1" thickBot="1" x14ac:dyDescent="0.3"/>
    <row r="93" spans="2:16" ht="27" customHeight="1" thickBot="1" x14ac:dyDescent="0.3">
      <c r="B93" s="56" t="s">
        <v>964</v>
      </c>
      <c r="C93" s="57" t="s">
        <v>965</v>
      </c>
      <c r="D93" s="57" t="s">
        <v>966</v>
      </c>
      <c r="E93" s="62" t="s">
        <v>967</v>
      </c>
      <c r="G93" s="2"/>
      <c r="H93" s="2"/>
    </row>
    <row r="94" spans="2:16" ht="29.25" customHeight="1" x14ac:dyDescent="0.25">
      <c r="B94" s="63" t="s">
        <v>1008</v>
      </c>
      <c r="C94" s="81"/>
      <c r="D94" s="84" t="s">
        <v>1009</v>
      </c>
      <c r="E94" s="86"/>
      <c r="G94" s="2"/>
      <c r="H94" s="2"/>
    </row>
    <row r="95" spans="2:16" ht="40" customHeight="1" x14ac:dyDescent="0.25">
      <c r="B95" s="65" t="s">
        <v>996</v>
      </c>
      <c r="C95" s="82"/>
      <c r="D95" s="85"/>
      <c r="E95" s="82"/>
      <c r="G95" s="2"/>
      <c r="H95" s="2"/>
    </row>
    <row r="96" spans="2:16" ht="40" customHeight="1" x14ac:dyDescent="0.25">
      <c r="B96" s="65" t="s">
        <v>1010</v>
      </c>
      <c r="C96" s="82"/>
      <c r="D96" s="85"/>
      <c r="E96" s="82"/>
      <c r="G96" s="2"/>
      <c r="H96" s="2"/>
    </row>
    <row r="97" spans="2:8" ht="23.25" customHeight="1" thickBot="1" x14ac:dyDescent="0.3">
      <c r="B97" s="67" t="s">
        <v>982</v>
      </c>
      <c r="C97" s="83"/>
      <c r="D97" s="70" t="s">
        <v>982</v>
      </c>
      <c r="E97" s="87"/>
      <c r="G97" s="2"/>
      <c r="H97" s="2"/>
    </row>
    <row r="98" spans="2:8" ht="25" customHeight="1" x14ac:dyDescent="0.25">
      <c r="B98" s="58" t="s">
        <v>969</v>
      </c>
      <c r="C98" s="59"/>
      <c r="D98" s="60"/>
      <c r="E98" s="61"/>
      <c r="G98" s="2"/>
      <c r="H98" s="2"/>
    </row>
    <row r="100" spans="2:8" ht="11.5" x14ac:dyDescent="0.25">
      <c r="B100" s="2" t="s">
        <v>970</v>
      </c>
      <c r="C100" s="2"/>
      <c r="D100" s="2"/>
      <c r="G100" s="2"/>
      <c r="H100" s="2"/>
    </row>
    <row r="101" spans="2:8" ht="11.5" x14ac:dyDescent="0.25">
      <c r="B101" s="3" t="s">
        <v>971</v>
      </c>
      <c r="C101" s="2"/>
      <c r="D101" s="2"/>
      <c r="G101" s="2"/>
      <c r="H101" s="2"/>
    </row>
  </sheetData>
  <mergeCells count="3">
    <mergeCell ref="C94:C97"/>
    <mergeCell ref="D94:D96"/>
    <mergeCell ref="E94:E97"/>
  </mergeCells>
  <hyperlinks>
    <hyperlink ref="I1" location="'Sheet1'!A1" display="Index" xr:uid="{4B8479AB-286C-4BED-9C44-3F1D4C58232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6113A-DC73-4684-9AC6-A2EA3D516646}">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 style="9" customWidth="1"/>
    <col min="4" max="4" width="26.6328125" style="9" customWidth="1"/>
    <col min="5" max="5" width="28"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1051</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215</v>
      </c>
      <c r="C7" s="25" t="s">
        <v>216</v>
      </c>
      <c r="D7" s="25" t="s">
        <v>129</v>
      </c>
      <c r="E7" s="26">
        <v>64479</v>
      </c>
      <c r="F7" s="27">
        <v>1162.23</v>
      </c>
      <c r="G7" s="28">
        <v>8.2500000000000004E-2</v>
      </c>
      <c r="H7" s="29"/>
    </row>
    <row r="8" spans="2:9" ht="15.75" customHeight="1" x14ac:dyDescent="0.25">
      <c r="B8" s="25" t="s">
        <v>136</v>
      </c>
      <c r="C8" s="25" t="s">
        <v>137</v>
      </c>
      <c r="D8" s="25" t="s">
        <v>129</v>
      </c>
      <c r="E8" s="26">
        <v>68383</v>
      </c>
      <c r="F8" s="27">
        <v>1151.43</v>
      </c>
      <c r="G8" s="28">
        <v>8.1799999999999998E-2</v>
      </c>
      <c r="H8" s="29"/>
    </row>
    <row r="9" spans="2:9" ht="15.75" customHeight="1" x14ac:dyDescent="0.25">
      <c r="B9" s="25" t="s">
        <v>141</v>
      </c>
      <c r="C9" s="25" t="s">
        <v>142</v>
      </c>
      <c r="D9" s="25" t="s">
        <v>143</v>
      </c>
      <c r="E9" s="26">
        <v>42323</v>
      </c>
      <c r="F9" s="27">
        <v>1046.67</v>
      </c>
      <c r="G9" s="28">
        <v>7.4300000000000005E-2</v>
      </c>
      <c r="H9" s="29"/>
    </row>
    <row r="10" spans="2:9" ht="15.75" customHeight="1" x14ac:dyDescent="0.25">
      <c r="B10" s="25" t="s">
        <v>208</v>
      </c>
      <c r="C10" s="25" t="s">
        <v>209</v>
      </c>
      <c r="D10" s="25" t="s">
        <v>132</v>
      </c>
      <c r="E10" s="26">
        <v>55565</v>
      </c>
      <c r="F10" s="27">
        <v>794.77</v>
      </c>
      <c r="G10" s="28">
        <v>5.6399999999999999E-2</v>
      </c>
      <c r="H10" s="29"/>
    </row>
    <row r="11" spans="2:9" ht="15.75" customHeight="1" x14ac:dyDescent="0.25">
      <c r="B11" s="25" t="s">
        <v>210</v>
      </c>
      <c r="C11" s="25" t="s">
        <v>211</v>
      </c>
      <c r="D11" s="25" t="s">
        <v>143</v>
      </c>
      <c r="E11" s="26">
        <v>185133</v>
      </c>
      <c r="F11" s="27">
        <v>786.63</v>
      </c>
      <c r="G11" s="28">
        <v>5.5899999999999998E-2</v>
      </c>
      <c r="H11" s="29"/>
    </row>
    <row r="12" spans="2:9" ht="15.75" customHeight="1" x14ac:dyDescent="0.25">
      <c r="B12" s="25" t="s">
        <v>298</v>
      </c>
      <c r="C12" s="25" t="s">
        <v>299</v>
      </c>
      <c r="D12" s="25" t="s">
        <v>227</v>
      </c>
      <c r="E12" s="26">
        <v>21949</v>
      </c>
      <c r="F12" s="27">
        <v>639.04999999999995</v>
      </c>
      <c r="G12" s="28">
        <v>4.5400000000000003E-2</v>
      </c>
      <c r="H12" s="29"/>
    </row>
    <row r="13" spans="2:9" ht="15.75" customHeight="1" x14ac:dyDescent="0.25">
      <c r="B13" s="25" t="s">
        <v>498</v>
      </c>
      <c r="C13" s="25" t="s">
        <v>499</v>
      </c>
      <c r="D13" s="25" t="s">
        <v>219</v>
      </c>
      <c r="E13" s="26">
        <v>304462</v>
      </c>
      <c r="F13" s="27">
        <v>581.25</v>
      </c>
      <c r="G13" s="28">
        <v>4.1300000000000003E-2</v>
      </c>
      <c r="H13" s="29"/>
    </row>
    <row r="14" spans="2:9" ht="15.75" customHeight="1" x14ac:dyDescent="0.25">
      <c r="B14" s="25" t="s">
        <v>418</v>
      </c>
      <c r="C14" s="25" t="s">
        <v>419</v>
      </c>
      <c r="D14" s="25" t="s">
        <v>316</v>
      </c>
      <c r="E14" s="26">
        <v>35413</v>
      </c>
      <c r="F14" s="27">
        <v>577.04999999999995</v>
      </c>
      <c r="G14" s="28">
        <v>4.1000000000000002E-2</v>
      </c>
      <c r="H14" s="29"/>
    </row>
    <row r="15" spans="2:9" ht="15.75" customHeight="1" x14ac:dyDescent="0.25">
      <c r="B15" s="25" t="s">
        <v>347</v>
      </c>
      <c r="C15" s="25" t="s">
        <v>348</v>
      </c>
      <c r="D15" s="25" t="s">
        <v>132</v>
      </c>
      <c r="E15" s="26">
        <v>38102</v>
      </c>
      <c r="F15" s="27">
        <v>556.14</v>
      </c>
      <c r="G15" s="28">
        <v>3.95E-2</v>
      </c>
      <c r="H15" s="29"/>
    </row>
    <row r="16" spans="2:9" ht="15.75" customHeight="1" x14ac:dyDescent="0.25">
      <c r="B16" s="25" t="s">
        <v>367</v>
      </c>
      <c r="C16" s="25" t="s">
        <v>368</v>
      </c>
      <c r="D16" s="25" t="s">
        <v>169</v>
      </c>
      <c r="E16" s="26">
        <v>18423</v>
      </c>
      <c r="F16" s="27">
        <v>514.24</v>
      </c>
      <c r="G16" s="28">
        <v>3.6499999999999998E-2</v>
      </c>
      <c r="H16" s="29"/>
    </row>
    <row r="17" spans="2:8" ht="15.75" customHeight="1" x14ac:dyDescent="0.25">
      <c r="B17" s="25" t="s">
        <v>537</v>
      </c>
      <c r="C17" s="25" t="s">
        <v>538</v>
      </c>
      <c r="D17" s="25" t="s">
        <v>263</v>
      </c>
      <c r="E17" s="26">
        <v>115976</v>
      </c>
      <c r="F17" s="27">
        <v>497.88</v>
      </c>
      <c r="G17" s="28">
        <v>3.5400000000000001E-2</v>
      </c>
      <c r="H17" s="29"/>
    </row>
    <row r="18" spans="2:8" ht="15.75" customHeight="1" x14ac:dyDescent="0.25">
      <c r="B18" s="25" t="s">
        <v>272</v>
      </c>
      <c r="C18" s="25" t="s">
        <v>273</v>
      </c>
      <c r="D18" s="25" t="s">
        <v>132</v>
      </c>
      <c r="E18" s="26">
        <v>12374</v>
      </c>
      <c r="F18" s="27">
        <v>483.1</v>
      </c>
      <c r="G18" s="28">
        <v>3.4299999999999997E-2</v>
      </c>
      <c r="H18" s="29"/>
    </row>
    <row r="19" spans="2:8" ht="15.75" customHeight="1" x14ac:dyDescent="0.25">
      <c r="B19" s="25" t="s">
        <v>548</v>
      </c>
      <c r="C19" s="25" t="s">
        <v>549</v>
      </c>
      <c r="D19" s="25" t="s">
        <v>362</v>
      </c>
      <c r="E19" s="26">
        <v>247163</v>
      </c>
      <c r="F19" s="27">
        <v>438.52</v>
      </c>
      <c r="G19" s="28">
        <v>3.1099999999999999E-2</v>
      </c>
      <c r="H19" s="29"/>
    </row>
    <row r="20" spans="2:8" ht="15.75" customHeight="1" x14ac:dyDescent="0.25">
      <c r="B20" s="25" t="s">
        <v>377</v>
      </c>
      <c r="C20" s="25" t="s">
        <v>378</v>
      </c>
      <c r="D20" s="25" t="s">
        <v>227</v>
      </c>
      <c r="E20" s="26">
        <v>32364</v>
      </c>
      <c r="F20" s="27">
        <v>427.88</v>
      </c>
      <c r="G20" s="28">
        <v>3.04E-2</v>
      </c>
      <c r="H20" s="29"/>
    </row>
    <row r="21" spans="2:8" ht="15.75" customHeight="1" x14ac:dyDescent="0.25">
      <c r="B21" s="25" t="s">
        <v>259</v>
      </c>
      <c r="C21" s="25" t="s">
        <v>260</v>
      </c>
      <c r="D21" s="25" t="s">
        <v>227</v>
      </c>
      <c r="E21" s="26">
        <v>45162</v>
      </c>
      <c r="F21" s="27">
        <v>418.65</v>
      </c>
      <c r="G21" s="28">
        <v>2.9700000000000001E-2</v>
      </c>
      <c r="H21" s="29"/>
    </row>
    <row r="22" spans="2:8" ht="15.75" customHeight="1" x14ac:dyDescent="0.25">
      <c r="B22" s="25" t="s">
        <v>130</v>
      </c>
      <c r="C22" s="25" t="s">
        <v>131</v>
      </c>
      <c r="D22" s="25" t="s">
        <v>132</v>
      </c>
      <c r="E22" s="26">
        <v>26180</v>
      </c>
      <c r="F22" s="27">
        <v>410.18</v>
      </c>
      <c r="G22" s="28">
        <v>2.9100000000000001E-2</v>
      </c>
      <c r="H22" s="29"/>
    </row>
    <row r="23" spans="2:8" ht="15.75" customHeight="1" x14ac:dyDescent="0.25">
      <c r="B23" s="25" t="s">
        <v>244</v>
      </c>
      <c r="C23" s="25" t="s">
        <v>245</v>
      </c>
      <c r="D23" s="25" t="s">
        <v>246</v>
      </c>
      <c r="E23" s="26">
        <v>28002</v>
      </c>
      <c r="F23" s="27">
        <v>385.27</v>
      </c>
      <c r="G23" s="28">
        <v>2.7400000000000001E-2</v>
      </c>
      <c r="H23" s="29"/>
    </row>
    <row r="24" spans="2:8" ht="15.75" customHeight="1" x14ac:dyDescent="0.25">
      <c r="B24" s="25" t="s">
        <v>170</v>
      </c>
      <c r="C24" s="25" t="s">
        <v>171</v>
      </c>
      <c r="D24" s="25" t="s">
        <v>129</v>
      </c>
      <c r="E24" s="26">
        <v>22241</v>
      </c>
      <c r="F24" s="27">
        <v>325.72000000000003</v>
      </c>
      <c r="G24" s="28">
        <v>2.3099999999999999E-2</v>
      </c>
      <c r="H24" s="29"/>
    </row>
    <row r="25" spans="2:8" ht="15.75" customHeight="1" x14ac:dyDescent="0.25">
      <c r="B25" s="25" t="s">
        <v>541</v>
      </c>
      <c r="C25" s="25" t="s">
        <v>542</v>
      </c>
      <c r="D25" s="25" t="s">
        <v>295</v>
      </c>
      <c r="E25" s="26">
        <v>67637</v>
      </c>
      <c r="F25" s="27">
        <v>302</v>
      </c>
      <c r="G25" s="28">
        <v>2.1399999999999999E-2</v>
      </c>
      <c r="H25" s="29"/>
    </row>
    <row r="26" spans="2:8" ht="15.75" customHeight="1" x14ac:dyDescent="0.25">
      <c r="B26" s="25" t="s">
        <v>521</v>
      </c>
      <c r="C26" s="25" t="s">
        <v>522</v>
      </c>
      <c r="D26" s="25" t="s">
        <v>194</v>
      </c>
      <c r="E26" s="26">
        <v>62724</v>
      </c>
      <c r="F26" s="27">
        <v>277.3</v>
      </c>
      <c r="G26" s="28">
        <v>1.9699999999999999E-2</v>
      </c>
      <c r="H26" s="29"/>
    </row>
    <row r="27" spans="2:8" ht="15.75" customHeight="1" x14ac:dyDescent="0.25">
      <c r="B27" s="25" t="s">
        <v>342</v>
      </c>
      <c r="C27" s="25" t="s">
        <v>343</v>
      </c>
      <c r="D27" s="25" t="s">
        <v>135</v>
      </c>
      <c r="E27" s="26">
        <v>4967</v>
      </c>
      <c r="F27" s="27">
        <v>277.14</v>
      </c>
      <c r="G27" s="28">
        <v>1.9699999999999999E-2</v>
      </c>
      <c r="H27" s="29"/>
    </row>
    <row r="28" spans="2:8" ht="15.75" customHeight="1" x14ac:dyDescent="0.25">
      <c r="B28" s="25" t="s">
        <v>358</v>
      </c>
      <c r="C28" s="25" t="s">
        <v>359</v>
      </c>
      <c r="D28" s="25" t="s">
        <v>227</v>
      </c>
      <c r="E28" s="26">
        <v>89579</v>
      </c>
      <c r="F28" s="27">
        <v>269.27</v>
      </c>
      <c r="G28" s="28">
        <v>1.9099999999999999E-2</v>
      </c>
      <c r="H28" s="29"/>
    </row>
    <row r="29" spans="2:8" ht="15.75" customHeight="1" x14ac:dyDescent="0.25">
      <c r="B29" s="25" t="s">
        <v>550</v>
      </c>
      <c r="C29" s="25" t="s">
        <v>551</v>
      </c>
      <c r="D29" s="25" t="s">
        <v>224</v>
      </c>
      <c r="E29" s="26">
        <v>297237</v>
      </c>
      <c r="F29" s="27">
        <v>214.9</v>
      </c>
      <c r="G29" s="28">
        <v>1.5299999999999999E-2</v>
      </c>
      <c r="H29" s="29"/>
    </row>
    <row r="30" spans="2:8" ht="15.75" customHeight="1" x14ac:dyDescent="0.25">
      <c r="B30" s="25" t="s">
        <v>655</v>
      </c>
      <c r="C30" s="25" t="s">
        <v>656</v>
      </c>
      <c r="D30" s="25" t="s">
        <v>241</v>
      </c>
      <c r="E30" s="26">
        <v>45281</v>
      </c>
      <c r="F30" s="27">
        <v>203.18</v>
      </c>
      <c r="G30" s="28">
        <v>1.44E-2</v>
      </c>
      <c r="H30" s="29"/>
    </row>
    <row r="31" spans="2:8" ht="15.75" customHeight="1" x14ac:dyDescent="0.25">
      <c r="B31" s="25" t="s">
        <v>571</v>
      </c>
      <c r="C31" s="25" t="s">
        <v>572</v>
      </c>
      <c r="D31" s="25" t="s">
        <v>169</v>
      </c>
      <c r="E31" s="26">
        <v>3898</v>
      </c>
      <c r="F31" s="27">
        <v>179.17</v>
      </c>
      <c r="G31" s="28">
        <v>1.2699999999999999E-2</v>
      </c>
      <c r="H31" s="29"/>
    </row>
    <row r="32" spans="2:8" ht="15.75" customHeight="1" x14ac:dyDescent="0.25">
      <c r="B32" s="25" t="s">
        <v>220</v>
      </c>
      <c r="C32" s="25" t="s">
        <v>221</v>
      </c>
      <c r="D32" s="25" t="s">
        <v>129</v>
      </c>
      <c r="E32" s="26">
        <v>19273</v>
      </c>
      <c r="F32" s="27">
        <v>163.62</v>
      </c>
      <c r="G32" s="28">
        <v>1.1599999999999999E-2</v>
      </c>
      <c r="H32" s="29"/>
    </row>
    <row r="33" spans="2:8" ht="15.75" customHeight="1" x14ac:dyDescent="0.25">
      <c r="B33" s="25" t="s">
        <v>291</v>
      </c>
      <c r="C33" s="25" t="s">
        <v>292</v>
      </c>
      <c r="D33" s="25" t="s">
        <v>135</v>
      </c>
      <c r="E33" s="26">
        <v>12769</v>
      </c>
      <c r="F33" s="27">
        <v>126.38</v>
      </c>
      <c r="G33" s="28">
        <v>8.9999999999999993E-3</v>
      </c>
      <c r="H33" s="29"/>
    </row>
    <row r="34" spans="2:8" ht="15.75" customHeight="1" x14ac:dyDescent="0.25">
      <c r="B34" s="25" t="s">
        <v>735</v>
      </c>
      <c r="C34" s="25" t="s">
        <v>736</v>
      </c>
      <c r="D34" s="25" t="s">
        <v>269</v>
      </c>
      <c r="E34" s="26">
        <v>1220</v>
      </c>
      <c r="F34" s="27">
        <v>51.29</v>
      </c>
      <c r="G34" s="28">
        <v>3.5999999999999999E-3</v>
      </c>
      <c r="H34" s="29"/>
    </row>
    <row r="35" spans="2:8" ht="15.75" customHeight="1" x14ac:dyDescent="0.25">
      <c r="B35" s="25" t="s">
        <v>739</v>
      </c>
      <c r="C35" s="25" t="s">
        <v>740</v>
      </c>
      <c r="D35" s="25" t="s">
        <v>337</v>
      </c>
      <c r="E35" s="26">
        <v>6116</v>
      </c>
      <c r="F35" s="27">
        <v>39.67</v>
      </c>
      <c r="G35" s="28">
        <v>2.8E-3</v>
      </c>
      <c r="H35" s="29"/>
    </row>
    <row r="36" spans="2:8" ht="15.75" customHeight="1" x14ac:dyDescent="0.25">
      <c r="B36" s="24" t="s">
        <v>102</v>
      </c>
      <c r="C36" s="24"/>
      <c r="D36" s="24"/>
      <c r="E36" s="30"/>
      <c r="F36" s="31">
        <v>13300.58</v>
      </c>
      <c r="G36" s="32">
        <v>0.9446</v>
      </c>
      <c r="H36" s="33"/>
    </row>
    <row r="37" spans="2:8" ht="15.75" customHeight="1" x14ac:dyDescent="0.25">
      <c r="B37" s="24" t="s">
        <v>149</v>
      </c>
      <c r="C37" s="25"/>
      <c r="D37" s="25"/>
      <c r="E37" s="26"/>
      <c r="F37" s="27"/>
      <c r="G37" s="28"/>
      <c r="H37" s="29"/>
    </row>
    <row r="38" spans="2:8" ht="15.75" customHeight="1" x14ac:dyDescent="0.25">
      <c r="B38" s="24" t="s">
        <v>102</v>
      </c>
      <c r="C38" s="25"/>
      <c r="D38" s="25"/>
      <c r="E38" s="26"/>
      <c r="F38" s="34" t="s">
        <v>104</v>
      </c>
      <c r="G38" s="35" t="s">
        <v>104</v>
      </c>
      <c r="H38" s="29"/>
    </row>
    <row r="39" spans="2:8" ht="15.75" customHeight="1" x14ac:dyDescent="0.25">
      <c r="B39" s="25"/>
      <c r="C39" s="25"/>
      <c r="D39" s="25"/>
      <c r="E39" s="26"/>
      <c r="F39" s="27"/>
      <c r="G39" s="28"/>
      <c r="H39" s="29"/>
    </row>
    <row r="40" spans="2:8" ht="15.75" customHeight="1" x14ac:dyDescent="0.25">
      <c r="B40" s="36" t="s">
        <v>106</v>
      </c>
      <c r="C40" s="36"/>
      <c r="D40" s="36"/>
      <c r="E40" s="37"/>
      <c r="F40" s="31">
        <v>13300.58</v>
      </c>
      <c r="G40" s="32">
        <v>0.9446</v>
      </c>
      <c r="H40" s="33"/>
    </row>
    <row r="41" spans="2:8" ht="15.75" customHeight="1" x14ac:dyDescent="0.25">
      <c r="B41" s="25"/>
      <c r="C41" s="25"/>
      <c r="D41" s="25"/>
      <c r="E41" s="26"/>
      <c r="F41" s="27"/>
      <c r="G41" s="28"/>
      <c r="H41" s="29"/>
    </row>
    <row r="42" spans="2:8" ht="15.75" customHeight="1" x14ac:dyDescent="0.25">
      <c r="B42" s="25"/>
      <c r="C42" s="25"/>
      <c r="D42" s="25"/>
      <c r="E42" s="26"/>
      <c r="F42" s="27"/>
      <c r="G42" s="28"/>
      <c r="H42" s="29"/>
    </row>
    <row r="43" spans="2:8" ht="15.75" customHeight="1" x14ac:dyDescent="0.25">
      <c r="B43" s="24" t="s">
        <v>109</v>
      </c>
      <c r="C43" s="25"/>
      <c r="D43" s="25"/>
      <c r="E43" s="26"/>
      <c r="F43" s="27"/>
      <c r="G43" s="28"/>
      <c r="H43" s="29"/>
    </row>
    <row r="44" spans="2:8" ht="15.75" customHeight="1" x14ac:dyDescent="0.25">
      <c r="B44" s="25" t="s">
        <v>110</v>
      </c>
      <c r="C44" s="25"/>
      <c r="D44" s="25"/>
      <c r="E44" s="26"/>
      <c r="F44" s="27">
        <v>603.80999999999995</v>
      </c>
      <c r="G44" s="28">
        <v>4.2900000000000001E-2</v>
      </c>
      <c r="H44" s="29"/>
    </row>
    <row r="45" spans="2:8" ht="15.75" customHeight="1" x14ac:dyDescent="0.25">
      <c r="B45" s="24" t="s">
        <v>102</v>
      </c>
      <c r="C45" s="24"/>
      <c r="D45" s="24"/>
      <c r="E45" s="30"/>
      <c r="F45" s="31">
        <v>603.80999999999995</v>
      </c>
      <c r="G45" s="32">
        <v>4.2900000000000001E-2</v>
      </c>
      <c r="H45" s="33"/>
    </row>
    <row r="46" spans="2:8" ht="15.75" customHeight="1" x14ac:dyDescent="0.25">
      <c r="B46" s="25"/>
      <c r="C46" s="25"/>
      <c r="D46" s="25"/>
      <c r="E46" s="26"/>
      <c r="F46" s="27"/>
      <c r="G46" s="28"/>
      <c r="H46" s="29"/>
    </row>
    <row r="47" spans="2:8" ht="15.75" customHeight="1" x14ac:dyDescent="0.25">
      <c r="B47" s="36" t="s">
        <v>106</v>
      </c>
      <c r="C47" s="36"/>
      <c r="D47" s="36"/>
      <c r="E47" s="37"/>
      <c r="F47" s="31">
        <v>603.80999999999995</v>
      </c>
      <c r="G47" s="32">
        <v>4.2900000000000001E-2</v>
      </c>
      <c r="H47" s="33"/>
    </row>
    <row r="48" spans="2:8" ht="15.75" customHeight="1" x14ac:dyDescent="0.25">
      <c r="B48" s="25" t="s">
        <v>111</v>
      </c>
      <c r="C48" s="25"/>
      <c r="D48" s="25"/>
      <c r="E48" s="26"/>
      <c r="F48" s="27">
        <v>175.96</v>
      </c>
      <c r="G48" s="28">
        <v>1.2499999999999956E-2</v>
      </c>
      <c r="H48" s="29"/>
    </row>
    <row r="49" spans="2:8" ht="15.75" customHeight="1" x14ac:dyDescent="0.25">
      <c r="B49" s="40" t="s">
        <v>112</v>
      </c>
      <c r="C49" s="40"/>
      <c r="D49" s="40"/>
      <c r="E49" s="41"/>
      <c r="F49" s="42">
        <v>14080.35</v>
      </c>
      <c r="G49" s="43">
        <v>1</v>
      </c>
      <c r="H49" s="44"/>
    </row>
    <row r="50" spans="2:8" ht="15.75" customHeight="1" thickBot="1" x14ac:dyDescent="0.3">
      <c r="B50" s="2"/>
    </row>
    <row r="51" spans="2:8" ht="27" customHeight="1" thickBot="1" x14ac:dyDescent="0.3">
      <c r="B51" s="56" t="s">
        <v>964</v>
      </c>
      <c r="C51" s="57" t="s">
        <v>965</v>
      </c>
      <c r="D51" s="57" t="s">
        <v>966</v>
      </c>
      <c r="E51" s="62" t="s">
        <v>967</v>
      </c>
      <c r="G51" s="2"/>
      <c r="H51" s="2"/>
    </row>
    <row r="52" spans="2:8" ht="29.25" customHeight="1" x14ac:dyDescent="0.25">
      <c r="B52" s="63" t="s">
        <v>1011</v>
      </c>
      <c r="C52" s="81"/>
      <c r="D52" s="84" t="s">
        <v>1012</v>
      </c>
      <c r="E52" s="86"/>
      <c r="G52" s="2"/>
      <c r="H52" s="2"/>
    </row>
    <row r="53" spans="2:8" ht="40" customHeight="1" x14ac:dyDescent="0.25">
      <c r="B53" s="65" t="s">
        <v>996</v>
      </c>
      <c r="C53" s="82"/>
      <c r="D53" s="85"/>
      <c r="E53" s="82"/>
      <c r="G53" s="2"/>
      <c r="H53" s="2"/>
    </row>
    <row r="54" spans="2:8" ht="40" customHeight="1" x14ac:dyDescent="0.25">
      <c r="B54" s="65" t="s">
        <v>1013</v>
      </c>
      <c r="C54" s="82"/>
      <c r="D54" s="85"/>
      <c r="E54" s="82"/>
      <c r="G54" s="2"/>
      <c r="H54" s="2"/>
    </row>
    <row r="55" spans="2:8" ht="23.25" customHeight="1" thickBot="1" x14ac:dyDescent="0.3">
      <c r="B55" s="67" t="s">
        <v>982</v>
      </c>
      <c r="C55" s="83"/>
      <c r="D55" s="70" t="s">
        <v>982</v>
      </c>
      <c r="E55" s="87"/>
      <c r="G55" s="2"/>
      <c r="H55" s="2"/>
    </row>
    <row r="56" spans="2:8" ht="25" customHeight="1" x14ac:dyDescent="0.25">
      <c r="B56" s="58" t="s">
        <v>969</v>
      </c>
      <c r="C56" s="59"/>
      <c r="D56" s="60"/>
      <c r="E56" s="61"/>
      <c r="G56" s="2"/>
      <c r="H56" s="2"/>
    </row>
    <row r="58" spans="2:8" ht="11.5" x14ac:dyDescent="0.25">
      <c r="B58" s="2" t="s">
        <v>970</v>
      </c>
      <c r="C58" s="2"/>
      <c r="D58" s="2"/>
      <c r="G58" s="2"/>
      <c r="H58" s="2"/>
    </row>
    <row r="59" spans="2:8" ht="11.5" x14ac:dyDescent="0.25">
      <c r="B59" s="3" t="s">
        <v>971</v>
      </c>
      <c r="C59" s="2"/>
      <c r="D59" s="2"/>
      <c r="G59" s="2"/>
      <c r="H59"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2:C55"/>
    <mergeCell ref="D52:D54"/>
    <mergeCell ref="E52:E55"/>
  </mergeCells>
  <hyperlinks>
    <hyperlink ref="I1" location="'Sheet1'!A1" display="Index" xr:uid="{2D74EDBB-A13C-4E6A-AEB2-A1123875538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01C95-02C4-490B-B279-FE5AFDEB8A6D}">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7.1796875" style="9" customWidth="1"/>
    <col min="4" max="4" width="26.6328125" style="9" customWidth="1"/>
    <col min="5" max="5" width="25.26953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19</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19"/>
      <c r="C5" s="19"/>
      <c r="D5" s="19"/>
      <c r="E5" s="20"/>
      <c r="F5" s="21"/>
      <c r="G5" s="22"/>
      <c r="H5" s="23"/>
    </row>
    <row r="6" spans="2:9" ht="15.75" customHeight="1" x14ac:dyDescent="0.25">
      <c r="B6" s="25"/>
      <c r="C6" s="25"/>
      <c r="D6" s="25"/>
      <c r="E6" s="26"/>
      <c r="F6" s="27"/>
      <c r="G6" s="28"/>
      <c r="H6" s="29"/>
    </row>
    <row r="7" spans="2:9" ht="15.75" customHeight="1" x14ac:dyDescent="0.25">
      <c r="B7" s="24" t="s">
        <v>107</v>
      </c>
      <c r="C7" s="25"/>
      <c r="D7" s="25"/>
      <c r="E7" s="26"/>
      <c r="F7" s="27"/>
      <c r="G7" s="28"/>
      <c r="H7" s="29"/>
    </row>
    <row r="8" spans="2:9" ht="15.75" customHeight="1" x14ac:dyDescent="0.25">
      <c r="B8" s="24" t="s">
        <v>108</v>
      </c>
      <c r="C8" s="25"/>
      <c r="D8" s="25"/>
      <c r="E8" s="26"/>
      <c r="F8" s="27"/>
      <c r="G8" s="28"/>
      <c r="H8" s="29"/>
    </row>
    <row r="9" spans="2:9" ht="15.75" customHeight="1" x14ac:dyDescent="0.25">
      <c r="B9" s="25" t="s">
        <v>741</v>
      </c>
      <c r="C9" s="25" t="s">
        <v>742</v>
      </c>
      <c r="D9" s="25"/>
      <c r="E9" s="26">
        <v>82443</v>
      </c>
      <c r="F9" s="27">
        <v>5435.8</v>
      </c>
      <c r="G9" s="28">
        <v>0.99539999999999995</v>
      </c>
      <c r="H9" s="29"/>
    </row>
    <row r="10" spans="2:9" ht="15.75" customHeight="1" x14ac:dyDescent="0.25">
      <c r="B10" s="24" t="s">
        <v>102</v>
      </c>
      <c r="C10" s="24"/>
      <c r="D10" s="24"/>
      <c r="E10" s="30"/>
      <c r="F10" s="31">
        <v>5435.8</v>
      </c>
      <c r="G10" s="32">
        <v>99.542699999999996</v>
      </c>
      <c r="H10" s="33"/>
    </row>
    <row r="11" spans="2:9" ht="15.75" customHeight="1" x14ac:dyDescent="0.25">
      <c r="B11" s="25"/>
      <c r="C11" s="25"/>
      <c r="D11" s="25"/>
      <c r="E11" s="26"/>
      <c r="F11" s="27"/>
      <c r="G11" s="28"/>
      <c r="H11" s="29"/>
    </row>
    <row r="12" spans="2:9" ht="15.75" customHeight="1" x14ac:dyDescent="0.25">
      <c r="B12" s="36" t="s">
        <v>106</v>
      </c>
      <c r="C12" s="36"/>
      <c r="D12" s="36"/>
      <c r="E12" s="37"/>
      <c r="F12" s="31">
        <v>5435.8</v>
      </c>
      <c r="G12" s="32">
        <v>0.99539999999999995</v>
      </c>
      <c r="H12" s="33"/>
    </row>
    <row r="13" spans="2:9" ht="15.75" customHeight="1" x14ac:dyDescent="0.25">
      <c r="B13" s="25"/>
      <c r="C13" s="25"/>
      <c r="D13" s="25"/>
      <c r="E13" s="26"/>
      <c r="F13" s="27"/>
      <c r="G13" s="28"/>
      <c r="H13" s="29"/>
    </row>
    <row r="14" spans="2:9" ht="15.75" customHeight="1" x14ac:dyDescent="0.25">
      <c r="B14" s="24" t="s">
        <v>109</v>
      </c>
      <c r="C14" s="25"/>
      <c r="D14" s="25"/>
      <c r="E14" s="26"/>
      <c r="F14" s="27"/>
      <c r="G14" s="28"/>
      <c r="H14" s="29"/>
    </row>
    <row r="15" spans="2:9" ht="15.75" customHeight="1" x14ac:dyDescent="0.25">
      <c r="B15" s="25" t="s">
        <v>110</v>
      </c>
      <c r="C15" s="25"/>
      <c r="D15" s="25"/>
      <c r="E15" s="26"/>
      <c r="F15" s="27">
        <v>73.28</v>
      </c>
      <c r="G15" s="28">
        <v>1.34E-2</v>
      </c>
      <c r="H15" s="29"/>
    </row>
    <row r="16" spans="2:9" ht="15.75" customHeight="1" x14ac:dyDescent="0.25">
      <c r="B16" s="24" t="s">
        <v>102</v>
      </c>
      <c r="C16" s="24"/>
      <c r="D16" s="24"/>
      <c r="E16" s="30"/>
      <c r="F16" s="31">
        <v>73.28</v>
      </c>
      <c r="G16" s="32">
        <v>1.34E-2</v>
      </c>
      <c r="H16" s="33"/>
    </row>
    <row r="17" spans="2:8" ht="15.75" customHeight="1" x14ac:dyDescent="0.25">
      <c r="B17" s="25"/>
      <c r="C17" s="25"/>
      <c r="D17" s="25"/>
      <c r="E17" s="26"/>
      <c r="F17" s="27"/>
      <c r="G17" s="28"/>
      <c r="H17" s="29"/>
    </row>
    <row r="18" spans="2:8" ht="15.75" customHeight="1" x14ac:dyDescent="0.25">
      <c r="B18" s="36" t="s">
        <v>106</v>
      </c>
      <c r="C18" s="36"/>
      <c r="D18" s="36"/>
      <c r="E18" s="37"/>
      <c r="F18" s="31">
        <v>73.28</v>
      </c>
      <c r="G18" s="32">
        <v>1.34E-2</v>
      </c>
      <c r="H18" s="33"/>
    </row>
    <row r="19" spans="2:8" ht="15.75" customHeight="1" x14ac:dyDescent="0.25">
      <c r="B19" s="25" t="s">
        <v>111</v>
      </c>
      <c r="C19" s="25"/>
      <c r="D19" s="25"/>
      <c r="E19" s="26"/>
      <c r="F19" s="38">
        <v>-48.31</v>
      </c>
      <c r="G19" s="39">
        <v>-8.799999999999919E-3</v>
      </c>
      <c r="H19" s="29"/>
    </row>
    <row r="20" spans="2:8" ht="15.75" customHeight="1" x14ac:dyDescent="0.25">
      <c r="B20" s="40" t="s">
        <v>112</v>
      </c>
      <c r="C20" s="40"/>
      <c r="D20" s="40"/>
      <c r="E20" s="41"/>
      <c r="F20" s="42">
        <v>5460.77</v>
      </c>
      <c r="G20" s="43">
        <v>1</v>
      </c>
      <c r="H20" s="44"/>
    </row>
    <row r="21" spans="2:8" ht="15.75" customHeight="1" thickBot="1" x14ac:dyDescent="0.3">
      <c r="B21" s="2"/>
    </row>
    <row r="22" spans="2:8" ht="27" customHeight="1" thickBot="1" x14ac:dyDescent="0.3">
      <c r="B22" s="56" t="s">
        <v>964</v>
      </c>
      <c r="C22" s="57" t="s">
        <v>965</v>
      </c>
      <c r="D22" s="57" t="s">
        <v>966</v>
      </c>
      <c r="E22" s="62" t="s">
        <v>967</v>
      </c>
      <c r="G22" s="2"/>
      <c r="H22" s="2"/>
    </row>
    <row r="23" spans="2:8" ht="29.25" customHeight="1" x14ac:dyDescent="0.25">
      <c r="B23" s="63" t="s">
        <v>56</v>
      </c>
      <c r="C23" s="81"/>
      <c r="D23" s="84" t="s">
        <v>1014</v>
      </c>
      <c r="E23" s="86"/>
      <c r="G23" s="2"/>
      <c r="H23" s="2"/>
    </row>
    <row r="24" spans="2:8" ht="40" customHeight="1" x14ac:dyDescent="0.25">
      <c r="B24" s="65" t="s">
        <v>1015</v>
      </c>
      <c r="C24" s="82"/>
      <c r="D24" s="85"/>
      <c r="E24" s="82"/>
      <c r="G24" s="2"/>
      <c r="H24" s="2"/>
    </row>
    <row r="25" spans="2:8" ht="40" customHeight="1" x14ac:dyDescent="0.25">
      <c r="B25" s="65" t="s">
        <v>1016</v>
      </c>
      <c r="C25" s="82"/>
      <c r="D25" s="85"/>
      <c r="E25" s="82"/>
      <c r="G25" s="2"/>
      <c r="H25" s="2"/>
    </row>
    <row r="26" spans="2:8" ht="23.25" customHeight="1" thickBot="1" x14ac:dyDescent="0.3">
      <c r="B26" s="67" t="s">
        <v>983</v>
      </c>
      <c r="C26" s="83"/>
      <c r="D26" s="70" t="s">
        <v>983</v>
      </c>
      <c r="E26" s="87"/>
      <c r="G26" s="2"/>
      <c r="H26" s="2"/>
    </row>
    <row r="27" spans="2:8" ht="25" customHeight="1" x14ac:dyDescent="0.25">
      <c r="B27" s="58" t="s">
        <v>969</v>
      </c>
      <c r="C27" s="59"/>
      <c r="D27" s="60"/>
      <c r="E27" s="61"/>
      <c r="G27" s="2"/>
      <c r="H27" s="2"/>
    </row>
    <row r="29" spans="2:8" ht="11.5" x14ac:dyDescent="0.25">
      <c r="B29" s="2" t="s">
        <v>970</v>
      </c>
      <c r="C29" s="2"/>
      <c r="D29" s="2"/>
      <c r="G29" s="2"/>
      <c r="H29" s="2"/>
    </row>
    <row r="30" spans="2:8" ht="11.5" x14ac:dyDescent="0.25">
      <c r="B30" s="3" t="s">
        <v>971</v>
      </c>
      <c r="C30" s="2"/>
      <c r="D30" s="2"/>
      <c r="G30" s="2"/>
      <c r="H3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23:C26"/>
    <mergeCell ref="D23:D25"/>
    <mergeCell ref="E23:E26"/>
  </mergeCells>
  <hyperlinks>
    <hyperlink ref="I1" location="'Sheet1'!A1" display="Index" xr:uid="{0791B336-2E30-4C6B-B031-34F64860490A}"/>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50C78-3AE6-4FE6-B8DC-11C7AC664DFF}">
  <dimension ref="B1:P95"/>
  <sheetViews>
    <sheetView workbookViewId="0"/>
  </sheetViews>
  <sheetFormatPr defaultColWidth="9.1796875" defaultRowHeight="15.75" customHeight="1" x14ac:dyDescent="0.25"/>
  <cols>
    <col min="1" max="1" width="3.6328125" style="2" customWidth="1"/>
    <col min="2" max="2" width="50.453125" style="9" customWidth="1"/>
    <col min="3" max="4" width="26.6328125" style="9" customWidth="1"/>
    <col min="5" max="5" width="32.542968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846428</v>
      </c>
      <c r="F7" s="27">
        <v>14252.15</v>
      </c>
      <c r="G7" s="28">
        <v>9.4100000000000003E-2</v>
      </c>
      <c r="H7" s="29"/>
    </row>
    <row r="8" spans="2:9" ht="15.75" customHeight="1" x14ac:dyDescent="0.25">
      <c r="B8" s="25" t="s">
        <v>138</v>
      </c>
      <c r="C8" s="25" t="s">
        <v>139</v>
      </c>
      <c r="D8" s="25" t="s">
        <v>140</v>
      </c>
      <c r="E8" s="26">
        <v>389319</v>
      </c>
      <c r="F8" s="27">
        <v>12188.8</v>
      </c>
      <c r="G8" s="28">
        <v>8.0500000000000002E-2</v>
      </c>
      <c r="H8" s="29"/>
    </row>
    <row r="9" spans="2:9" ht="15.75" customHeight="1" x14ac:dyDescent="0.25">
      <c r="B9" s="25" t="s">
        <v>127</v>
      </c>
      <c r="C9" s="25" t="s">
        <v>128</v>
      </c>
      <c r="D9" s="25" t="s">
        <v>129</v>
      </c>
      <c r="E9" s="26">
        <v>962860</v>
      </c>
      <c r="F9" s="27">
        <v>11550.47</v>
      </c>
      <c r="G9" s="28">
        <v>7.6300000000000007E-2</v>
      </c>
      <c r="H9" s="29"/>
    </row>
    <row r="10" spans="2:9" ht="15.75" customHeight="1" x14ac:dyDescent="0.25">
      <c r="B10" s="25" t="s">
        <v>222</v>
      </c>
      <c r="C10" s="25" t="s">
        <v>223</v>
      </c>
      <c r="D10" s="25" t="s">
        <v>224</v>
      </c>
      <c r="E10" s="26">
        <v>198875</v>
      </c>
      <c r="F10" s="27">
        <v>7056.98</v>
      </c>
      <c r="G10" s="28">
        <v>4.6600000000000003E-2</v>
      </c>
      <c r="H10" s="29"/>
    </row>
    <row r="11" spans="2:9" ht="15.75" customHeight="1" x14ac:dyDescent="0.25">
      <c r="B11" s="25" t="s">
        <v>188</v>
      </c>
      <c r="C11" s="25" t="s">
        <v>189</v>
      </c>
      <c r="D11" s="25" t="s">
        <v>129</v>
      </c>
      <c r="E11" s="26">
        <v>419156</v>
      </c>
      <c r="F11" s="27">
        <v>5303.37</v>
      </c>
      <c r="G11" s="28">
        <v>3.5000000000000003E-2</v>
      </c>
      <c r="H11" s="29"/>
    </row>
    <row r="12" spans="2:9" ht="15.75" customHeight="1" x14ac:dyDescent="0.25">
      <c r="B12" s="25" t="s">
        <v>130</v>
      </c>
      <c r="C12" s="25" t="s">
        <v>131</v>
      </c>
      <c r="D12" s="25" t="s">
        <v>132</v>
      </c>
      <c r="E12" s="26">
        <v>312650</v>
      </c>
      <c r="F12" s="27">
        <v>4898.4399999999996</v>
      </c>
      <c r="G12" s="28">
        <v>3.2300000000000002E-2</v>
      </c>
      <c r="H12" s="29"/>
    </row>
    <row r="13" spans="2:9" ht="15.75" customHeight="1" x14ac:dyDescent="0.25">
      <c r="B13" s="25" t="s">
        <v>426</v>
      </c>
      <c r="C13" s="25" t="s">
        <v>427</v>
      </c>
      <c r="D13" s="25" t="s">
        <v>428</v>
      </c>
      <c r="E13" s="26">
        <v>322865</v>
      </c>
      <c r="F13" s="27">
        <v>4662.33</v>
      </c>
      <c r="G13" s="28">
        <v>3.0800000000000001E-2</v>
      </c>
      <c r="H13" s="29"/>
    </row>
    <row r="14" spans="2:9" ht="15.75" customHeight="1" x14ac:dyDescent="0.25">
      <c r="B14" s="25" t="s">
        <v>210</v>
      </c>
      <c r="C14" s="25" t="s">
        <v>211</v>
      </c>
      <c r="D14" s="25" t="s">
        <v>143</v>
      </c>
      <c r="E14" s="26">
        <v>1032489</v>
      </c>
      <c r="F14" s="27">
        <v>4387.05</v>
      </c>
      <c r="G14" s="28">
        <v>2.9000000000000001E-2</v>
      </c>
      <c r="H14" s="29"/>
    </row>
    <row r="15" spans="2:9" ht="15.75" customHeight="1" x14ac:dyDescent="0.25">
      <c r="B15" s="25" t="s">
        <v>220</v>
      </c>
      <c r="C15" s="25" t="s">
        <v>221</v>
      </c>
      <c r="D15" s="25" t="s">
        <v>129</v>
      </c>
      <c r="E15" s="26">
        <v>489087</v>
      </c>
      <c r="F15" s="27">
        <v>4152.1000000000004</v>
      </c>
      <c r="G15" s="28">
        <v>2.7400000000000001E-2</v>
      </c>
      <c r="H15" s="29"/>
    </row>
    <row r="16" spans="2:9" ht="15.75" customHeight="1" x14ac:dyDescent="0.25">
      <c r="B16" s="25" t="s">
        <v>272</v>
      </c>
      <c r="C16" s="25" t="s">
        <v>273</v>
      </c>
      <c r="D16" s="25" t="s">
        <v>132</v>
      </c>
      <c r="E16" s="26">
        <v>90915</v>
      </c>
      <c r="F16" s="27">
        <v>3549.46</v>
      </c>
      <c r="G16" s="28">
        <v>2.3400000000000001E-2</v>
      </c>
      <c r="H16" s="29"/>
    </row>
    <row r="17" spans="2:8" ht="15.75" customHeight="1" x14ac:dyDescent="0.25">
      <c r="B17" s="25" t="s">
        <v>365</v>
      </c>
      <c r="C17" s="25" t="s">
        <v>366</v>
      </c>
      <c r="D17" s="25" t="s">
        <v>227</v>
      </c>
      <c r="E17" s="26">
        <v>640673</v>
      </c>
      <c r="F17" s="27">
        <v>3107.9</v>
      </c>
      <c r="G17" s="28">
        <v>2.0500000000000001E-2</v>
      </c>
      <c r="H17" s="29"/>
    </row>
    <row r="18" spans="2:8" ht="15.75" customHeight="1" x14ac:dyDescent="0.25">
      <c r="B18" s="25" t="s">
        <v>215</v>
      </c>
      <c r="C18" s="25" t="s">
        <v>216</v>
      </c>
      <c r="D18" s="25" t="s">
        <v>129</v>
      </c>
      <c r="E18" s="26">
        <v>168738</v>
      </c>
      <c r="F18" s="27">
        <v>3041.5</v>
      </c>
      <c r="G18" s="28">
        <v>2.01E-2</v>
      </c>
      <c r="H18" s="29"/>
    </row>
    <row r="19" spans="2:8" ht="15.75" customHeight="1" x14ac:dyDescent="0.25">
      <c r="B19" s="25" t="s">
        <v>335</v>
      </c>
      <c r="C19" s="25" t="s">
        <v>336</v>
      </c>
      <c r="D19" s="25" t="s">
        <v>337</v>
      </c>
      <c r="E19" s="26">
        <v>82747</v>
      </c>
      <c r="F19" s="27">
        <v>3032.43</v>
      </c>
      <c r="G19" s="28">
        <v>0.02</v>
      </c>
      <c r="H19" s="29"/>
    </row>
    <row r="20" spans="2:8" ht="15.75" customHeight="1" x14ac:dyDescent="0.25">
      <c r="B20" s="25" t="s">
        <v>133</v>
      </c>
      <c r="C20" s="25" t="s">
        <v>134</v>
      </c>
      <c r="D20" s="25" t="s">
        <v>135</v>
      </c>
      <c r="E20" s="26">
        <v>100243</v>
      </c>
      <c r="F20" s="27">
        <v>2873.62</v>
      </c>
      <c r="G20" s="28">
        <v>1.9E-2</v>
      </c>
      <c r="H20" s="29"/>
    </row>
    <row r="21" spans="2:8" ht="15.75" customHeight="1" x14ac:dyDescent="0.25">
      <c r="B21" s="25" t="s">
        <v>338</v>
      </c>
      <c r="C21" s="25" t="s">
        <v>339</v>
      </c>
      <c r="D21" s="25" t="s">
        <v>202</v>
      </c>
      <c r="E21" s="26">
        <v>751813</v>
      </c>
      <c r="F21" s="27">
        <v>2844.48</v>
      </c>
      <c r="G21" s="28">
        <v>1.8800000000000001E-2</v>
      </c>
      <c r="H21" s="29"/>
    </row>
    <row r="22" spans="2:8" ht="15.75" customHeight="1" x14ac:dyDescent="0.25">
      <c r="B22" s="25" t="s">
        <v>354</v>
      </c>
      <c r="C22" s="25" t="s">
        <v>355</v>
      </c>
      <c r="D22" s="25" t="s">
        <v>135</v>
      </c>
      <c r="E22" s="26">
        <v>23203</v>
      </c>
      <c r="F22" s="27">
        <v>2792.21</v>
      </c>
      <c r="G22" s="28">
        <v>1.84E-2</v>
      </c>
      <c r="H22" s="29"/>
    </row>
    <row r="23" spans="2:8" ht="15.75" customHeight="1" x14ac:dyDescent="0.25">
      <c r="B23" s="25" t="s">
        <v>164</v>
      </c>
      <c r="C23" s="25" t="s">
        <v>165</v>
      </c>
      <c r="D23" s="25" t="s">
        <v>166</v>
      </c>
      <c r="E23" s="26">
        <v>896598</v>
      </c>
      <c r="F23" s="27">
        <v>2742.69</v>
      </c>
      <c r="G23" s="28">
        <v>1.8100000000000002E-2</v>
      </c>
      <c r="H23" s="29"/>
    </row>
    <row r="24" spans="2:8" ht="15.75" customHeight="1" x14ac:dyDescent="0.25">
      <c r="B24" s="25" t="s">
        <v>340</v>
      </c>
      <c r="C24" s="25" t="s">
        <v>341</v>
      </c>
      <c r="D24" s="25" t="s">
        <v>276</v>
      </c>
      <c r="E24" s="26">
        <v>99469</v>
      </c>
      <c r="F24" s="27">
        <v>2656.27</v>
      </c>
      <c r="G24" s="28">
        <v>1.7500000000000002E-2</v>
      </c>
      <c r="H24" s="29"/>
    </row>
    <row r="25" spans="2:8" ht="15.75" customHeight="1" x14ac:dyDescent="0.25">
      <c r="B25" s="25" t="s">
        <v>270</v>
      </c>
      <c r="C25" s="25" t="s">
        <v>271</v>
      </c>
      <c r="D25" s="25" t="s">
        <v>194</v>
      </c>
      <c r="E25" s="26">
        <v>76243</v>
      </c>
      <c r="F25" s="27">
        <v>2595.46</v>
      </c>
      <c r="G25" s="28">
        <v>1.7100000000000001E-2</v>
      </c>
      <c r="H25" s="29"/>
    </row>
    <row r="26" spans="2:8" ht="15.75" customHeight="1" x14ac:dyDescent="0.25">
      <c r="B26" s="25" t="s">
        <v>141</v>
      </c>
      <c r="C26" s="25" t="s">
        <v>142</v>
      </c>
      <c r="D26" s="25" t="s">
        <v>143</v>
      </c>
      <c r="E26" s="26">
        <v>98685</v>
      </c>
      <c r="F26" s="27">
        <v>2440.5300000000002</v>
      </c>
      <c r="G26" s="28">
        <v>1.61E-2</v>
      </c>
      <c r="H26" s="29"/>
    </row>
    <row r="27" spans="2:8" ht="15.75" customHeight="1" x14ac:dyDescent="0.25">
      <c r="B27" s="25" t="s">
        <v>291</v>
      </c>
      <c r="C27" s="25" t="s">
        <v>292</v>
      </c>
      <c r="D27" s="25" t="s">
        <v>135</v>
      </c>
      <c r="E27" s="26">
        <v>186772</v>
      </c>
      <c r="F27" s="27">
        <v>1848.58</v>
      </c>
      <c r="G27" s="28">
        <v>1.2200000000000001E-2</v>
      </c>
      <c r="H27" s="29"/>
    </row>
    <row r="28" spans="2:8" ht="15.75" customHeight="1" x14ac:dyDescent="0.25">
      <c r="B28" s="25" t="s">
        <v>342</v>
      </c>
      <c r="C28" s="25" t="s">
        <v>343</v>
      </c>
      <c r="D28" s="25" t="s">
        <v>135</v>
      </c>
      <c r="E28" s="26">
        <v>31423</v>
      </c>
      <c r="F28" s="27">
        <v>1753.28</v>
      </c>
      <c r="G28" s="28">
        <v>1.1599999999999999E-2</v>
      </c>
      <c r="H28" s="29"/>
    </row>
    <row r="29" spans="2:8" ht="15.75" customHeight="1" x14ac:dyDescent="0.25">
      <c r="B29" s="25" t="s">
        <v>225</v>
      </c>
      <c r="C29" s="25" t="s">
        <v>226</v>
      </c>
      <c r="D29" s="25" t="s">
        <v>227</v>
      </c>
      <c r="E29" s="26">
        <v>24252</v>
      </c>
      <c r="F29" s="27">
        <v>1725.66</v>
      </c>
      <c r="G29" s="28">
        <v>1.14E-2</v>
      </c>
      <c r="H29" s="29"/>
    </row>
    <row r="30" spans="2:8" ht="15.75" customHeight="1" x14ac:dyDescent="0.25">
      <c r="B30" s="25" t="s">
        <v>410</v>
      </c>
      <c r="C30" s="25" t="s">
        <v>411</v>
      </c>
      <c r="D30" s="25" t="s">
        <v>254</v>
      </c>
      <c r="E30" s="26">
        <v>808168</v>
      </c>
      <c r="F30" s="27">
        <v>1620.86</v>
      </c>
      <c r="G30" s="28">
        <v>1.0699999999999999E-2</v>
      </c>
      <c r="H30" s="29"/>
    </row>
    <row r="31" spans="2:8" ht="15.75" customHeight="1" x14ac:dyDescent="0.25">
      <c r="B31" s="25" t="s">
        <v>448</v>
      </c>
      <c r="C31" s="25" t="s">
        <v>449</v>
      </c>
      <c r="D31" s="25" t="s">
        <v>169</v>
      </c>
      <c r="E31" s="26">
        <v>105333</v>
      </c>
      <c r="F31" s="27">
        <v>1601.96</v>
      </c>
      <c r="G31" s="28">
        <v>1.06E-2</v>
      </c>
      <c r="H31" s="29"/>
    </row>
    <row r="32" spans="2:8" ht="15.75" customHeight="1" x14ac:dyDescent="0.25">
      <c r="B32" s="25" t="s">
        <v>416</v>
      </c>
      <c r="C32" s="25" t="s">
        <v>417</v>
      </c>
      <c r="D32" s="25" t="s">
        <v>251</v>
      </c>
      <c r="E32" s="26">
        <v>840628</v>
      </c>
      <c r="F32" s="27">
        <v>1599.8</v>
      </c>
      <c r="G32" s="28">
        <v>1.06E-2</v>
      </c>
      <c r="H32" s="29"/>
    </row>
    <row r="33" spans="2:8" ht="15.75" customHeight="1" x14ac:dyDescent="0.25">
      <c r="B33" s="25" t="s">
        <v>492</v>
      </c>
      <c r="C33" s="25" t="s">
        <v>493</v>
      </c>
      <c r="D33" s="25" t="s">
        <v>227</v>
      </c>
      <c r="E33" s="26">
        <v>378355</v>
      </c>
      <c r="F33" s="27">
        <v>1546.53</v>
      </c>
      <c r="G33" s="28">
        <v>1.0200000000000001E-2</v>
      </c>
      <c r="H33" s="29"/>
    </row>
    <row r="34" spans="2:8" ht="15.75" customHeight="1" x14ac:dyDescent="0.25">
      <c r="B34" s="25" t="s">
        <v>404</v>
      </c>
      <c r="C34" s="25" t="s">
        <v>405</v>
      </c>
      <c r="D34" s="25" t="s">
        <v>254</v>
      </c>
      <c r="E34" s="26">
        <v>28111</v>
      </c>
      <c r="F34" s="27">
        <v>1540.44</v>
      </c>
      <c r="G34" s="28">
        <v>1.0200000000000001E-2</v>
      </c>
      <c r="H34" s="29"/>
    </row>
    <row r="35" spans="2:8" ht="15.75" customHeight="1" x14ac:dyDescent="0.25">
      <c r="B35" s="25" t="s">
        <v>347</v>
      </c>
      <c r="C35" s="25" t="s">
        <v>348</v>
      </c>
      <c r="D35" s="25" t="s">
        <v>132</v>
      </c>
      <c r="E35" s="26">
        <v>105035</v>
      </c>
      <c r="F35" s="27">
        <v>1533.09</v>
      </c>
      <c r="G35" s="28">
        <v>1.01E-2</v>
      </c>
      <c r="H35" s="29"/>
    </row>
    <row r="36" spans="2:8" ht="15.75" customHeight="1" x14ac:dyDescent="0.25">
      <c r="B36" s="25" t="s">
        <v>170</v>
      </c>
      <c r="C36" s="25" t="s">
        <v>171</v>
      </c>
      <c r="D36" s="25" t="s">
        <v>129</v>
      </c>
      <c r="E36" s="26">
        <v>104473</v>
      </c>
      <c r="F36" s="27">
        <v>1530.01</v>
      </c>
      <c r="G36" s="28">
        <v>1.01E-2</v>
      </c>
      <c r="H36" s="29"/>
    </row>
    <row r="37" spans="2:8" ht="15.75" customHeight="1" x14ac:dyDescent="0.25">
      <c r="B37" s="25" t="s">
        <v>383</v>
      </c>
      <c r="C37" s="25" t="s">
        <v>384</v>
      </c>
      <c r="D37" s="25" t="s">
        <v>227</v>
      </c>
      <c r="E37" s="26">
        <v>289791</v>
      </c>
      <c r="F37" s="27">
        <v>1522.56</v>
      </c>
      <c r="G37" s="28">
        <v>1.01E-2</v>
      </c>
      <c r="H37" s="29"/>
    </row>
    <row r="38" spans="2:8" ht="15.75" customHeight="1" x14ac:dyDescent="0.25">
      <c r="B38" s="25" t="s">
        <v>312</v>
      </c>
      <c r="C38" s="25" t="s">
        <v>313</v>
      </c>
      <c r="D38" s="25" t="s">
        <v>214</v>
      </c>
      <c r="E38" s="26">
        <v>210985</v>
      </c>
      <c r="F38" s="27">
        <v>1463.29</v>
      </c>
      <c r="G38" s="28">
        <v>9.7000000000000003E-3</v>
      </c>
      <c r="H38" s="29"/>
    </row>
    <row r="39" spans="2:8" ht="15.75" customHeight="1" x14ac:dyDescent="0.25">
      <c r="B39" s="25" t="s">
        <v>743</v>
      </c>
      <c r="C39" s="25" t="s">
        <v>744</v>
      </c>
      <c r="D39" s="25" t="s">
        <v>566</v>
      </c>
      <c r="E39" s="26">
        <v>132807</v>
      </c>
      <c r="F39" s="27">
        <v>1457.49</v>
      </c>
      <c r="G39" s="28">
        <v>9.5999999999999992E-3</v>
      </c>
      <c r="H39" s="29"/>
    </row>
    <row r="40" spans="2:8" ht="15.75" customHeight="1" x14ac:dyDescent="0.25">
      <c r="B40" s="25" t="s">
        <v>264</v>
      </c>
      <c r="C40" s="25" t="s">
        <v>265</v>
      </c>
      <c r="D40" s="25" t="s">
        <v>266</v>
      </c>
      <c r="E40" s="26">
        <v>305281</v>
      </c>
      <c r="F40" s="27">
        <v>1444.44</v>
      </c>
      <c r="G40" s="28">
        <v>9.4999999999999998E-3</v>
      </c>
      <c r="H40" s="29"/>
    </row>
    <row r="41" spans="2:8" ht="15.75" customHeight="1" x14ac:dyDescent="0.25">
      <c r="B41" s="25" t="s">
        <v>418</v>
      </c>
      <c r="C41" s="25" t="s">
        <v>419</v>
      </c>
      <c r="D41" s="25" t="s">
        <v>316</v>
      </c>
      <c r="E41" s="26">
        <v>83414</v>
      </c>
      <c r="F41" s="27">
        <v>1359.23</v>
      </c>
      <c r="G41" s="28">
        <v>8.9999999999999993E-3</v>
      </c>
      <c r="H41" s="29"/>
    </row>
    <row r="42" spans="2:8" ht="15.75" customHeight="1" x14ac:dyDescent="0.25">
      <c r="B42" s="25" t="s">
        <v>644</v>
      </c>
      <c r="C42" s="25" t="s">
        <v>645</v>
      </c>
      <c r="D42" s="25" t="s">
        <v>454</v>
      </c>
      <c r="E42" s="26">
        <v>483809</v>
      </c>
      <c r="F42" s="27">
        <v>1326.6</v>
      </c>
      <c r="G42" s="28">
        <v>8.8000000000000005E-3</v>
      </c>
      <c r="H42" s="29"/>
    </row>
    <row r="43" spans="2:8" ht="15.75" customHeight="1" x14ac:dyDescent="0.25">
      <c r="B43" s="25" t="s">
        <v>206</v>
      </c>
      <c r="C43" s="25" t="s">
        <v>207</v>
      </c>
      <c r="D43" s="25" t="s">
        <v>202</v>
      </c>
      <c r="E43" s="26">
        <v>394783</v>
      </c>
      <c r="F43" s="27">
        <v>1306.53</v>
      </c>
      <c r="G43" s="28">
        <v>8.6E-3</v>
      </c>
      <c r="H43" s="29"/>
    </row>
    <row r="44" spans="2:8" ht="15.75" customHeight="1" x14ac:dyDescent="0.25">
      <c r="B44" s="25" t="s">
        <v>344</v>
      </c>
      <c r="C44" s="25" t="s">
        <v>345</v>
      </c>
      <c r="D44" s="25" t="s">
        <v>346</v>
      </c>
      <c r="E44" s="26">
        <v>487335</v>
      </c>
      <c r="F44" s="27">
        <v>1210.54</v>
      </c>
      <c r="G44" s="28">
        <v>8.0000000000000002E-3</v>
      </c>
      <c r="H44" s="29"/>
    </row>
    <row r="45" spans="2:8" ht="15.75" customHeight="1" x14ac:dyDescent="0.25">
      <c r="B45" s="25" t="s">
        <v>300</v>
      </c>
      <c r="C45" s="25" t="s">
        <v>301</v>
      </c>
      <c r="D45" s="25" t="s">
        <v>146</v>
      </c>
      <c r="E45" s="26">
        <v>21300</v>
      </c>
      <c r="F45" s="27">
        <v>1166.29</v>
      </c>
      <c r="G45" s="28">
        <v>7.7000000000000002E-3</v>
      </c>
      <c r="H45" s="29"/>
    </row>
    <row r="46" spans="2:8" ht="15.75" customHeight="1" x14ac:dyDescent="0.25">
      <c r="B46" s="25" t="s">
        <v>195</v>
      </c>
      <c r="C46" s="25" t="s">
        <v>196</v>
      </c>
      <c r="D46" s="25" t="s">
        <v>129</v>
      </c>
      <c r="E46" s="26">
        <v>418435</v>
      </c>
      <c r="F46" s="27">
        <v>1152.3699999999999</v>
      </c>
      <c r="G46" s="28">
        <v>7.6E-3</v>
      </c>
      <c r="H46" s="29"/>
    </row>
    <row r="47" spans="2:8" ht="15.75" customHeight="1" x14ac:dyDescent="0.25">
      <c r="B47" s="25" t="s">
        <v>244</v>
      </c>
      <c r="C47" s="25" t="s">
        <v>245</v>
      </c>
      <c r="D47" s="25" t="s">
        <v>246</v>
      </c>
      <c r="E47" s="26">
        <v>82372</v>
      </c>
      <c r="F47" s="27">
        <v>1133.32</v>
      </c>
      <c r="G47" s="28">
        <v>7.4999999999999997E-3</v>
      </c>
      <c r="H47" s="29"/>
    </row>
    <row r="48" spans="2:8" ht="15.75" customHeight="1" x14ac:dyDescent="0.25">
      <c r="B48" s="25" t="s">
        <v>543</v>
      </c>
      <c r="C48" s="25" t="s">
        <v>544</v>
      </c>
      <c r="D48" s="25" t="s">
        <v>362</v>
      </c>
      <c r="E48" s="26">
        <v>17769</v>
      </c>
      <c r="F48" s="27">
        <v>1099.1400000000001</v>
      </c>
      <c r="G48" s="28">
        <v>7.3000000000000001E-3</v>
      </c>
      <c r="H48" s="29"/>
    </row>
    <row r="49" spans="2:8" ht="15.75" customHeight="1" x14ac:dyDescent="0.25">
      <c r="B49" s="25" t="s">
        <v>296</v>
      </c>
      <c r="C49" s="25" t="s">
        <v>297</v>
      </c>
      <c r="D49" s="25" t="s">
        <v>285</v>
      </c>
      <c r="E49" s="26">
        <v>72900</v>
      </c>
      <c r="F49" s="27">
        <v>1087.6300000000001</v>
      </c>
      <c r="G49" s="28">
        <v>7.1999999999999998E-3</v>
      </c>
      <c r="H49" s="29"/>
    </row>
    <row r="50" spans="2:8" ht="15.75" customHeight="1" x14ac:dyDescent="0.25">
      <c r="B50" s="25" t="s">
        <v>261</v>
      </c>
      <c r="C50" s="25" t="s">
        <v>262</v>
      </c>
      <c r="D50" s="25" t="s">
        <v>263</v>
      </c>
      <c r="E50" s="26">
        <v>109105</v>
      </c>
      <c r="F50" s="27">
        <v>1079.32</v>
      </c>
      <c r="G50" s="28">
        <v>7.1000000000000004E-3</v>
      </c>
      <c r="H50" s="29"/>
    </row>
    <row r="51" spans="2:8" ht="15.75" customHeight="1" x14ac:dyDescent="0.25">
      <c r="B51" s="25" t="s">
        <v>356</v>
      </c>
      <c r="C51" s="25" t="s">
        <v>357</v>
      </c>
      <c r="D51" s="25" t="s">
        <v>169</v>
      </c>
      <c r="E51" s="26">
        <v>47222</v>
      </c>
      <c r="F51" s="27">
        <v>1005.45</v>
      </c>
      <c r="G51" s="28">
        <v>6.6E-3</v>
      </c>
      <c r="H51" s="29"/>
    </row>
    <row r="52" spans="2:8" ht="15.75" customHeight="1" x14ac:dyDescent="0.25">
      <c r="B52" s="25" t="s">
        <v>379</v>
      </c>
      <c r="C52" s="25" t="s">
        <v>380</v>
      </c>
      <c r="D52" s="25" t="s">
        <v>129</v>
      </c>
      <c r="E52" s="26">
        <v>827015</v>
      </c>
      <c r="F52" s="27">
        <v>996.64</v>
      </c>
      <c r="G52" s="28">
        <v>6.6E-3</v>
      </c>
      <c r="H52" s="29"/>
    </row>
    <row r="53" spans="2:8" ht="15.75" customHeight="1" x14ac:dyDescent="0.25">
      <c r="B53" s="25" t="s">
        <v>228</v>
      </c>
      <c r="C53" s="25" t="s">
        <v>229</v>
      </c>
      <c r="D53" s="25" t="s">
        <v>129</v>
      </c>
      <c r="E53" s="26">
        <v>809633</v>
      </c>
      <c r="F53" s="27">
        <v>967.27</v>
      </c>
      <c r="G53" s="28">
        <v>6.4000000000000003E-3</v>
      </c>
      <c r="H53" s="29"/>
    </row>
    <row r="54" spans="2:8" ht="15.75" customHeight="1" x14ac:dyDescent="0.25">
      <c r="B54" s="25" t="s">
        <v>208</v>
      </c>
      <c r="C54" s="25" t="s">
        <v>209</v>
      </c>
      <c r="D54" s="25" t="s">
        <v>132</v>
      </c>
      <c r="E54" s="26">
        <v>64088</v>
      </c>
      <c r="F54" s="27">
        <v>916.68</v>
      </c>
      <c r="G54" s="28">
        <v>6.1000000000000004E-3</v>
      </c>
      <c r="H54" s="29"/>
    </row>
    <row r="55" spans="2:8" ht="15.75" customHeight="1" x14ac:dyDescent="0.25">
      <c r="B55" s="25" t="s">
        <v>599</v>
      </c>
      <c r="C55" s="25" t="s">
        <v>600</v>
      </c>
      <c r="D55" s="25" t="s">
        <v>601</v>
      </c>
      <c r="E55" s="26">
        <v>2334</v>
      </c>
      <c r="F55" s="27">
        <v>859.01</v>
      </c>
      <c r="G55" s="28">
        <v>5.7000000000000002E-3</v>
      </c>
      <c r="H55" s="29"/>
    </row>
    <row r="56" spans="2:8" ht="15.75" customHeight="1" x14ac:dyDescent="0.25">
      <c r="B56" s="25" t="s">
        <v>200</v>
      </c>
      <c r="C56" s="25" t="s">
        <v>201</v>
      </c>
      <c r="D56" s="25" t="s">
        <v>202</v>
      </c>
      <c r="E56" s="26">
        <v>194613</v>
      </c>
      <c r="F56" s="27">
        <v>857.46</v>
      </c>
      <c r="G56" s="28">
        <v>5.7000000000000002E-3</v>
      </c>
      <c r="H56" s="29"/>
    </row>
    <row r="57" spans="2:8" ht="15.75" customHeight="1" x14ac:dyDescent="0.25">
      <c r="B57" s="25" t="s">
        <v>745</v>
      </c>
      <c r="C57" s="25" t="s">
        <v>746</v>
      </c>
      <c r="D57" s="25" t="s">
        <v>269</v>
      </c>
      <c r="E57" s="26">
        <v>26827</v>
      </c>
      <c r="F57" s="27">
        <v>847.45</v>
      </c>
      <c r="G57" s="28">
        <v>5.5999999999999999E-3</v>
      </c>
      <c r="H57" s="29"/>
    </row>
    <row r="58" spans="2:8" ht="15.75" customHeight="1" x14ac:dyDescent="0.25">
      <c r="B58" s="25" t="s">
        <v>147</v>
      </c>
      <c r="C58" s="25" t="s">
        <v>148</v>
      </c>
      <c r="D58" s="25" t="s">
        <v>132</v>
      </c>
      <c r="E58" s="26">
        <v>14170</v>
      </c>
      <c r="F58" s="27">
        <v>763.06</v>
      </c>
      <c r="G58" s="28">
        <v>5.0000000000000001E-3</v>
      </c>
      <c r="H58" s="29"/>
    </row>
    <row r="59" spans="2:8" ht="15.75" customHeight="1" x14ac:dyDescent="0.25">
      <c r="B59" s="25" t="s">
        <v>375</v>
      </c>
      <c r="C59" s="25" t="s">
        <v>376</v>
      </c>
      <c r="D59" s="25" t="s">
        <v>194</v>
      </c>
      <c r="E59" s="26">
        <v>26061</v>
      </c>
      <c r="F59" s="27">
        <v>760.21</v>
      </c>
      <c r="G59" s="28">
        <v>5.0000000000000001E-3</v>
      </c>
      <c r="H59" s="29"/>
    </row>
    <row r="60" spans="2:8" ht="15.75" customHeight="1" x14ac:dyDescent="0.25">
      <c r="B60" s="25" t="s">
        <v>747</v>
      </c>
      <c r="C60" s="25" t="s">
        <v>748</v>
      </c>
      <c r="D60" s="25" t="s">
        <v>285</v>
      </c>
      <c r="E60" s="26">
        <v>42364</v>
      </c>
      <c r="F60" s="27">
        <v>758.12</v>
      </c>
      <c r="G60" s="28">
        <v>5.0000000000000001E-3</v>
      </c>
      <c r="H60" s="29"/>
    </row>
    <row r="61" spans="2:8" ht="15.75" customHeight="1" x14ac:dyDescent="0.25">
      <c r="B61" s="25" t="s">
        <v>286</v>
      </c>
      <c r="C61" s="25" t="s">
        <v>287</v>
      </c>
      <c r="D61" s="25" t="s">
        <v>227</v>
      </c>
      <c r="E61" s="26">
        <v>416778</v>
      </c>
      <c r="F61" s="27">
        <v>755.08</v>
      </c>
      <c r="G61" s="28">
        <v>5.0000000000000001E-3</v>
      </c>
      <c r="H61" s="29"/>
    </row>
    <row r="62" spans="2:8" ht="15.75" customHeight="1" x14ac:dyDescent="0.25">
      <c r="B62" s="25" t="s">
        <v>749</v>
      </c>
      <c r="C62" s="25" t="s">
        <v>750</v>
      </c>
      <c r="D62" s="25" t="s">
        <v>254</v>
      </c>
      <c r="E62" s="26">
        <v>15303</v>
      </c>
      <c r="F62" s="27">
        <v>721.8</v>
      </c>
      <c r="G62" s="28">
        <v>4.7999999999999996E-3</v>
      </c>
      <c r="H62" s="29"/>
    </row>
    <row r="63" spans="2:8" ht="15.75" customHeight="1" x14ac:dyDescent="0.25">
      <c r="B63" s="25" t="s">
        <v>144</v>
      </c>
      <c r="C63" s="25" t="s">
        <v>145</v>
      </c>
      <c r="D63" s="25" t="s">
        <v>146</v>
      </c>
      <c r="E63" s="26">
        <v>27797</v>
      </c>
      <c r="F63" s="27">
        <v>709.28</v>
      </c>
      <c r="G63" s="28">
        <v>4.7000000000000002E-3</v>
      </c>
      <c r="H63" s="29"/>
    </row>
    <row r="64" spans="2:8" ht="15.75" customHeight="1" x14ac:dyDescent="0.25">
      <c r="B64" s="25" t="s">
        <v>502</v>
      </c>
      <c r="C64" s="25" t="s">
        <v>503</v>
      </c>
      <c r="D64" s="25" t="s">
        <v>276</v>
      </c>
      <c r="E64" s="26">
        <v>6043</v>
      </c>
      <c r="F64" s="27">
        <v>705.09</v>
      </c>
      <c r="G64" s="28">
        <v>4.7000000000000002E-3</v>
      </c>
      <c r="H64" s="29"/>
    </row>
    <row r="65" spans="2:16" ht="15.75" customHeight="1" x14ac:dyDescent="0.25">
      <c r="B65" s="25" t="s">
        <v>317</v>
      </c>
      <c r="C65" s="25" t="s">
        <v>318</v>
      </c>
      <c r="D65" s="25" t="s">
        <v>166</v>
      </c>
      <c r="E65" s="26">
        <v>10246</v>
      </c>
      <c r="F65" s="27">
        <v>539.38</v>
      </c>
      <c r="G65" s="28">
        <v>3.5999999999999999E-3</v>
      </c>
      <c r="H65" s="29"/>
    </row>
    <row r="66" spans="2:16" ht="15.75" customHeight="1" x14ac:dyDescent="0.25">
      <c r="B66" s="25" t="s">
        <v>192</v>
      </c>
      <c r="C66" s="25" t="s">
        <v>193</v>
      </c>
      <c r="D66" s="25" t="s">
        <v>194</v>
      </c>
      <c r="E66" s="26">
        <v>28769</v>
      </c>
      <c r="F66" s="27">
        <v>524.29</v>
      </c>
      <c r="G66" s="28">
        <v>3.5000000000000001E-3</v>
      </c>
      <c r="H66" s="29"/>
    </row>
    <row r="67" spans="2:16" ht="15.75" customHeight="1" x14ac:dyDescent="0.25">
      <c r="B67" s="25" t="s">
        <v>277</v>
      </c>
      <c r="C67" s="25" t="s">
        <v>278</v>
      </c>
      <c r="D67" s="25" t="s">
        <v>214</v>
      </c>
      <c r="E67" s="26">
        <v>277084</v>
      </c>
      <c r="F67" s="27">
        <v>518.45000000000005</v>
      </c>
      <c r="G67" s="28">
        <v>3.3999999999999998E-3</v>
      </c>
      <c r="H67" s="29"/>
    </row>
    <row r="68" spans="2:16" ht="15.75" customHeight="1" x14ac:dyDescent="0.25">
      <c r="B68" s="25" t="s">
        <v>363</v>
      </c>
      <c r="C68" s="25" t="s">
        <v>364</v>
      </c>
      <c r="D68" s="25" t="s">
        <v>269</v>
      </c>
      <c r="E68" s="26">
        <v>20998</v>
      </c>
      <c r="F68" s="27">
        <v>511.52</v>
      </c>
      <c r="G68" s="28">
        <v>3.3999999999999998E-3</v>
      </c>
      <c r="H68" s="29"/>
      <c r="L68" s="3"/>
    </row>
    <row r="69" spans="2:16" ht="15.75" customHeight="1" x14ac:dyDescent="0.25">
      <c r="B69" s="25" t="s">
        <v>369</v>
      </c>
      <c r="C69" s="25" t="s">
        <v>370</v>
      </c>
      <c r="D69" s="25" t="s">
        <v>337</v>
      </c>
      <c r="E69" s="26">
        <v>29505</v>
      </c>
      <c r="F69" s="27">
        <v>458.89</v>
      </c>
      <c r="G69" s="28">
        <v>3.0000000000000001E-3</v>
      </c>
      <c r="H69" s="29"/>
    </row>
    <row r="70" spans="2:16" ht="15.75" customHeight="1" x14ac:dyDescent="0.25">
      <c r="B70" s="25" t="s">
        <v>554</v>
      </c>
      <c r="C70" s="25" t="s">
        <v>555</v>
      </c>
      <c r="D70" s="25" t="s">
        <v>135</v>
      </c>
      <c r="E70" s="26">
        <v>4360</v>
      </c>
      <c r="F70" s="27">
        <v>414.27</v>
      </c>
      <c r="G70" s="28">
        <v>2.7000000000000001E-3</v>
      </c>
      <c r="H70" s="29"/>
      <c r="L70" s="3"/>
    </row>
    <row r="71" spans="2:16" ht="15.75" customHeight="1" x14ac:dyDescent="0.25">
      <c r="B71" s="25" t="s">
        <v>640</v>
      </c>
      <c r="C71" s="25" t="s">
        <v>641</v>
      </c>
      <c r="D71" s="25" t="s">
        <v>166</v>
      </c>
      <c r="E71" s="26">
        <v>22985</v>
      </c>
      <c r="F71" s="27">
        <v>366.98</v>
      </c>
      <c r="G71" s="28">
        <v>2.3999999999999998E-3</v>
      </c>
      <c r="H71" s="29"/>
      <c r="L71" s="3"/>
    </row>
    <row r="72" spans="2:16" ht="15.75" customHeight="1" x14ac:dyDescent="0.25">
      <c r="B72" s="24" t="s">
        <v>102</v>
      </c>
      <c r="C72" s="24"/>
      <c r="D72" s="24"/>
      <c r="E72" s="30"/>
      <c r="F72" s="31">
        <v>149193.57999999999</v>
      </c>
      <c r="G72" s="32">
        <v>0.98499999999999999</v>
      </c>
      <c r="H72" s="33"/>
      <c r="L72" s="3"/>
    </row>
    <row r="73" spans="2:16" ht="15.75" customHeight="1" x14ac:dyDescent="0.25">
      <c r="B73" s="24" t="s">
        <v>149</v>
      </c>
      <c r="C73" s="25"/>
      <c r="D73" s="25"/>
      <c r="E73" s="26"/>
      <c r="F73" s="27"/>
      <c r="G73" s="28"/>
      <c r="H73" s="29"/>
      <c r="L73" s="3"/>
    </row>
    <row r="74" spans="2:16" ht="15.75" customHeight="1" x14ac:dyDescent="0.25">
      <c r="B74" s="24" t="s">
        <v>102</v>
      </c>
      <c r="C74" s="25"/>
      <c r="D74" s="25"/>
      <c r="E74" s="26"/>
      <c r="F74" s="34" t="s">
        <v>104</v>
      </c>
      <c r="G74" s="35" t="s">
        <v>104</v>
      </c>
      <c r="H74" s="29"/>
      <c r="L74" s="3"/>
    </row>
    <row r="75" spans="2:16" ht="15.75" customHeight="1" x14ac:dyDescent="0.25">
      <c r="B75" s="25"/>
      <c r="C75" s="25"/>
      <c r="D75" s="25"/>
      <c r="E75" s="26"/>
      <c r="F75" s="27"/>
      <c r="G75" s="28"/>
      <c r="H75" s="29"/>
      <c r="L75" s="5"/>
      <c r="M75" s="5"/>
      <c r="N75" s="6"/>
      <c r="O75" s="6"/>
      <c r="P75" s="5"/>
    </row>
    <row r="76" spans="2:16" ht="15.75" customHeight="1" x14ac:dyDescent="0.25">
      <c r="B76" s="36" t="s">
        <v>106</v>
      </c>
      <c r="C76" s="36"/>
      <c r="D76" s="36"/>
      <c r="E76" s="37"/>
      <c r="F76" s="31">
        <v>149193.57999999999</v>
      </c>
      <c r="G76" s="32">
        <v>0.98499999999999999</v>
      </c>
      <c r="H76" s="33"/>
    </row>
    <row r="77" spans="2:16" ht="15.75" customHeight="1" x14ac:dyDescent="0.25">
      <c r="B77" s="25"/>
      <c r="C77" s="25"/>
      <c r="D77" s="25"/>
      <c r="E77" s="26"/>
      <c r="F77" s="27"/>
      <c r="G77" s="28"/>
      <c r="H77" s="29"/>
    </row>
    <row r="78" spans="2:16" ht="15.75" customHeight="1" x14ac:dyDescent="0.25">
      <c r="B78" s="25"/>
      <c r="C78" s="25"/>
      <c r="D78" s="25"/>
      <c r="E78" s="26"/>
      <c r="F78" s="27"/>
      <c r="G78" s="28"/>
      <c r="H78" s="29"/>
      <c r="L78" s="7"/>
      <c r="M78" s="7"/>
      <c r="N78" s="7"/>
      <c r="O78" s="7"/>
      <c r="P78" s="7"/>
    </row>
    <row r="79" spans="2:16" ht="15.75" customHeight="1" x14ac:dyDescent="0.25">
      <c r="B79" s="24" t="s">
        <v>109</v>
      </c>
      <c r="C79" s="25"/>
      <c r="D79" s="25"/>
      <c r="E79" s="26"/>
      <c r="F79" s="27"/>
      <c r="G79" s="28"/>
      <c r="H79" s="29"/>
      <c r="L79" s="7"/>
      <c r="M79" s="7"/>
      <c r="N79" s="7"/>
      <c r="O79" s="7"/>
      <c r="P79" s="7"/>
    </row>
    <row r="80" spans="2:16" ht="15.75" customHeight="1" x14ac:dyDescent="0.25">
      <c r="B80" s="25" t="s">
        <v>110</v>
      </c>
      <c r="C80" s="25"/>
      <c r="D80" s="25"/>
      <c r="E80" s="26"/>
      <c r="F80" s="27">
        <v>3260.3</v>
      </c>
      <c r="G80" s="28">
        <v>2.1499999999999998E-2</v>
      </c>
      <c r="H80" s="29"/>
      <c r="L80" s="7"/>
      <c r="M80" s="7"/>
      <c r="N80" s="7"/>
      <c r="O80" s="7"/>
      <c r="P80" s="7"/>
    </row>
    <row r="81" spans="2:16" ht="15.75" customHeight="1" x14ac:dyDescent="0.25">
      <c r="B81" s="24" t="s">
        <v>102</v>
      </c>
      <c r="C81" s="24"/>
      <c r="D81" s="24"/>
      <c r="E81" s="30"/>
      <c r="F81" s="31">
        <v>3260.3</v>
      </c>
      <c r="G81" s="32">
        <v>2.1499999999999998E-2</v>
      </c>
      <c r="H81" s="33"/>
      <c r="L81" s="7"/>
      <c r="M81" s="7"/>
      <c r="N81" s="7"/>
      <c r="O81" s="7"/>
      <c r="P81" s="7"/>
    </row>
    <row r="82" spans="2:16" ht="15.75" customHeight="1" x14ac:dyDescent="0.25">
      <c r="B82" s="25"/>
      <c r="C82" s="25"/>
      <c r="D82" s="25"/>
      <c r="E82" s="26"/>
      <c r="F82" s="27"/>
      <c r="G82" s="28"/>
      <c r="H82" s="29"/>
      <c r="L82" s="7"/>
      <c r="M82" s="7"/>
      <c r="N82" s="7"/>
      <c r="O82" s="7"/>
      <c r="P82" s="7"/>
    </row>
    <row r="83" spans="2:16" ht="15.75" customHeight="1" x14ac:dyDescent="0.25">
      <c r="B83" s="36" t="s">
        <v>106</v>
      </c>
      <c r="C83" s="36"/>
      <c r="D83" s="36"/>
      <c r="E83" s="37"/>
      <c r="F83" s="31">
        <v>3260.3</v>
      </c>
      <c r="G83" s="32">
        <v>2.1499999999999998E-2</v>
      </c>
      <c r="H83" s="33"/>
      <c r="L83" s="7"/>
      <c r="M83" s="7"/>
      <c r="N83" s="7"/>
      <c r="O83" s="7"/>
      <c r="P83" s="7"/>
    </row>
    <row r="84" spans="2:16" ht="15.75" customHeight="1" x14ac:dyDescent="0.25">
      <c r="B84" s="25" t="s">
        <v>111</v>
      </c>
      <c r="C84" s="25"/>
      <c r="D84" s="25"/>
      <c r="E84" s="26"/>
      <c r="F84" s="38">
        <v>-986.76</v>
      </c>
      <c r="G84" s="39">
        <v>-6.4999999999999503E-3</v>
      </c>
      <c r="H84" s="29"/>
      <c r="L84" s="7"/>
      <c r="M84" s="7"/>
      <c r="N84" s="7"/>
      <c r="O84" s="7"/>
      <c r="P84" s="7"/>
    </row>
    <row r="85" spans="2:16" ht="15.75" customHeight="1" x14ac:dyDescent="0.25">
      <c r="B85" s="40" t="s">
        <v>112</v>
      </c>
      <c r="C85" s="40"/>
      <c r="D85" s="40"/>
      <c r="E85" s="41"/>
      <c r="F85" s="42">
        <v>151467.12</v>
      </c>
      <c r="G85" s="43">
        <v>1</v>
      </c>
      <c r="H85" s="44"/>
    </row>
    <row r="86" spans="2:16" ht="15.75" customHeight="1" thickBot="1" x14ac:dyDescent="0.3">
      <c r="B86" s="2"/>
      <c r="L86" s="3"/>
    </row>
    <row r="87" spans="2:16" ht="27" customHeight="1" thickBot="1" x14ac:dyDescent="0.3">
      <c r="B87" s="56" t="s">
        <v>964</v>
      </c>
      <c r="C87" s="57" t="s">
        <v>965</v>
      </c>
      <c r="D87" s="57" t="s">
        <v>966</v>
      </c>
      <c r="E87" s="62" t="s">
        <v>967</v>
      </c>
      <c r="G87" s="2"/>
      <c r="H87" s="2"/>
    </row>
    <row r="88" spans="2:16" ht="27.75" customHeight="1" x14ac:dyDescent="0.25">
      <c r="B88" s="63" t="s">
        <v>58</v>
      </c>
      <c r="C88" s="81"/>
      <c r="D88" s="84" t="s">
        <v>1017</v>
      </c>
      <c r="E88" s="86"/>
      <c r="G88" s="2"/>
      <c r="H88" s="2"/>
    </row>
    <row r="89" spans="2:16" ht="40" customHeight="1" x14ac:dyDescent="0.25">
      <c r="B89" s="65" t="s">
        <v>1018</v>
      </c>
      <c r="C89" s="82"/>
      <c r="D89" s="85"/>
      <c r="E89" s="82"/>
      <c r="G89" s="2"/>
      <c r="H89" s="2"/>
    </row>
    <row r="90" spans="2:16" ht="40" customHeight="1" x14ac:dyDescent="0.25">
      <c r="B90" s="65" t="s">
        <v>1019</v>
      </c>
      <c r="C90" s="82"/>
      <c r="D90" s="85"/>
      <c r="E90" s="82"/>
      <c r="G90" s="2"/>
      <c r="H90" s="2"/>
    </row>
    <row r="91" spans="2:16" ht="27.75" customHeight="1" thickBot="1" x14ac:dyDescent="0.3">
      <c r="B91" s="67" t="s">
        <v>991</v>
      </c>
      <c r="C91" s="83"/>
      <c r="D91" s="70" t="s">
        <v>991</v>
      </c>
      <c r="E91" s="87"/>
      <c r="G91" s="2"/>
      <c r="H91" s="2"/>
    </row>
    <row r="92" spans="2:16" ht="25" customHeight="1" x14ac:dyDescent="0.25">
      <c r="B92" s="58" t="s">
        <v>969</v>
      </c>
      <c r="C92" s="59"/>
      <c r="D92" s="60"/>
      <c r="E92" s="61"/>
      <c r="G92" s="2"/>
      <c r="H92" s="2"/>
    </row>
    <row r="94" spans="2:16" ht="11.5" x14ac:dyDescent="0.25">
      <c r="B94" s="2" t="s">
        <v>970</v>
      </c>
      <c r="C94" s="2"/>
      <c r="D94" s="2"/>
      <c r="G94" s="2"/>
      <c r="H94" s="2"/>
    </row>
    <row r="95" spans="2:16" ht="11.5" x14ac:dyDescent="0.25">
      <c r="B95" s="3" t="s">
        <v>971</v>
      </c>
      <c r="C95" s="2"/>
      <c r="D95" s="2"/>
      <c r="G95" s="2"/>
      <c r="H95" s="2"/>
    </row>
  </sheetData>
  <mergeCells count="3">
    <mergeCell ref="C88:C91"/>
    <mergeCell ref="D88:D90"/>
    <mergeCell ref="E88:E91"/>
  </mergeCells>
  <hyperlinks>
    <hyperlink ref="I1" location="'Sheet1'!A1" display="Index" xr:uid="{4AF24559-4C67-4962-8FFE-46EB8A45040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FA64A-3EDC-45FB-B091-4F0BCB461061}">
  <dimension ref="B1:P93"/>
  <sheetViews>
    <sheetView workbookViewId="0"/>
  </sheetViews>
  <sheetFormatPr defaultColWidth="9.1796875" defaultRowHeight="15.75" customHeight="1" x14ac:dyDescent="0.25"/>
  <cols>
    <col min="1" max="1" width="3.6328125" style="2" customWidth="1"/>
    <col min="2" max="2" width="50.453125" style="9" customWidth="1"/>
    <col min="3" max="3" width="26.453125" style="9" customWidth="1"/>
    <col min="4" max="4" width="26.6328125" style="9" customWidth="1"/>
    <col min="5" max="5" width="30.90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21</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751</v>
      </c>
      <c r="C7" s="25" t="s">
        <v>752</v>
      </c>
      <c r="D7" s="25" t="s">
        <v>178</v>
      </c>
      <c r="E7" s="26">
        <v>201633</v>
      </c>
      <c r="F7" s="27">
        <v>1744.73</v>
      </c>
      <c r="G7" s="28">
        <v>4.0599999999999997E-2</v>
      </c>
      <c r="H7" s="29"/>
    </row>
    <row r="8" spans="2:9" ht="15.75" customHeight="1" x14ac:dyDescent="0.25">
      <c r="B8" s="25" t="s">
        <v>527</v>
      </c>
      <c r="C8" s="25" t="s">
        <v>528</v>
      </c>
      <c r="D8" s="25" t="s">
        <v>178</v>
      </c>
      <c r="E8" s="26">
        <v>37266</v>
      </c>
      <c r="F8" s="27">
        <v>1733.78</v>
      </c>
      <c r="G8" s="28">
        <v>4.0300000000000002E-2</v>
      </c>
      <c r="H8" s="29"/>
    </row>
    <row r="9" spans="2:9" ht="15.75" customHeight="1" x14ac:dyDescent="0.25">
      <c r="B9" s="25" t="s">
        <v>352</v>
      </c>
      <c r="C9" s="25" t="s">
        <v>353</v>
      </c>
      <c r="D9" s="25" t="s">
        <v>337</v>
      </c>
      <c r="E9" s="26">
        <v>72151</v>
      </c>
      <c r="F9" s="27">
        <v>1700.17</v>
      </c>
      <c r="G9" s="28">
        <v>3.95E-2</v>
      </c>
      <c r="H9" s="29"/>
    </row>
    <row r="10" spans="2:9" ht="15.75" customHeight="1" x14ac:dyDescent="0.25">
      <c r="B10" s="25" t="s">
        <v>335</v>
      </c>
      <c r="C10" s="25" t="s">
        <v>336</v>
      </c>
      <c r="D10" s="25" t="s">
        <v>337</v>
      </c>
      <c r="E10" s="26">
        <v>41374</v>
      </c>
      <c r="F10" s="27">
        <v>1516.23</v>
      </c>
      <c r="G10" s="28">
        <v>3.5200000000000002E-2</v>
      </c>
      <c r="H10" s="29"/>
    </row>
    <row r="11" spans="2:9" ht="15.75" customHeight="1" x14ac:dyDescent="0.25">
      <c r="B11" s="25" t="s">
        <v>344</v>
      </c>
      <c r="C11" s="25" t="s">
        <v>345</v>
      </c>
      <c r="D11" s="25" t="s">
        <v>346</v>
      </c>
      <c r="E11" s="26">
        <v>597104</v>
      </c>
      <c r="F11" s="27">
        <v>1483.21</v>
      </c>
      <c r="G11" s="28">
        <v>3.4500000000000003E-2</v>
      </c>
      <c r="H11" s="29"/>
    </row>
    <row r="12" spans="2:9" ht="15.75" customHeight="1" x14ac:dyDescent="0.25">
      <c r="B12" s="25" t="s">
        <v>385</v>
      </c>
      <c r="C12" s="25" t="s">
        <v>386</v>
      </c>
      <c r="D12" s="25" t="s">
        <v>241</v>
      </c>
      <c r="E12" s="26">
        <v>475703</v>
      </c>
      <c r="F12" s="27">
        <v>1410.7</v>
      </c>
      <c r="G12" s="28">
        <v>3.2800000000000003E-2</v>
      </c>
      <c r="H12" s="29"/>
    </row>
    <row r="13" spans="2:9" ht="15.75" customHeight="1" x14ac:dyDescent="0.25">
      <c r="B13" s="25" t="s">
        <v>642</v>
      </c>
      <c r="C13" s="25" t="s">
        <v>643</v>
      </c>
      <c r="D13" s="25" t="s">
        <v>337</v>
      </c>
      <c r="E13" s="26">
        <v>33813</v>
      </c>
      <c r="F13" s="27">
        <v>1341.31</v>
      </c>
      <c r="G13" s="28">
        <v>3.1199999999999999E-2</v>
      </c>
      <c r="H13" s="29"/>
    </row>
    <row r="14" spans="2:9" ht="15.75" customHeight="1" x14ac:dyDescent="0.25">
      <c r="B14" s="25" t="s">
        <v>408</v>
      </c>
      <c r="C14" s="25" t="s">
        <v>409</v>
      </c>
      <c r="D14" s="25" t="s">
        <v>178</v>
      </c>
      <c r="E14" s="26">
        <v>86036</v>
      </c>
      <c r="F14" s="27">
        <v>1283.4000000000001</v>
      </c>
      <c r="G14" s="28">
        <v>2.98E-2</v>
      </c>
      <c r="H14" s="29"/>
    </row>
    <row r="15" spans="2:9" ht="15.75" customHeight="1" x14ac:dyDescent="0.25">
      <c r="B15" s="25" t="s">
        <v>624</v>
      </c>
      <c r="C15" s="25" t="s">
        <v>625</v>
      </c>
      <c r="D15" s="25" t="s">
        <v>337</v>
      </c>
      <c r="E15" s="26">
        <v>72593</v>
      </c>
      <c r="F15" s="27">
        <v>1011.4</v>
      </c>
      <c r="G15" s="28">
        <v>2.35E-2</v>
      </c>
      <c r="H15" s="29"/>
    </row>
    <row r="16" spans="2:9" ht="15.75" customHeight="1" x14ac:dyDescent="0.25">
      <c r="B16" s="25" t="s">
        <v>383</v>
      </c>
      <c r="C16" s="25" t="s">
        <v>384</v>
      </c>
      <c r="D16" s="25" t="s">
        <v>227</v>
      </c>
      <c r="E16" s="26">
        <v>187819</v>
      </c>
      <c r="F16" s="27">
        <v>986.8</v>
      </c>
      <c r="G16" s="28">
        <v>2.29E-2</v>
      </c>
      <c r="H16" s="29"/>
    </row>
    <row r="17" spans="2:8" ht="15.75" customHeight="1" x14ac:dyDescent="0.25">
      <c r="B17" s="25" t="s">
        <v>517</v>
      </c>
      <c r="C17" s="25" t="s">
        <v>518</v>
      </c>
      <c r="D17" s="25" t="s">
        <v>346</v>
      </c>
      <c r="E17" s="26">
        <v>29601</v>
      </c>
      <c r="F17" s="27">
        <v>977.07</v>
      </c>
      <c r="G17" s="28">
        <v>2.2700000000000001E-2</v>
      </c>
      <c r="H17" s="29"/>
    </row>
    <row r="18" spans="2:8" ht="15.75" customHeight="1" x14ac:dyDescent="0.25">
      <c r="B18" s="25" t="s">
        <v>444</v>
      </c>
      <c r="C18" s="25" t="s">
        <v>445</v>
      </c>
      <c r="D18" s="25" t="s">
        <v>232</v>
      </c>
      <c r="E18" s="26">
        <v>103822</v>
      </c>
      <c r="F18" s="27">
        <v>938.6</v>
      </c>
      <c r="G18" s="28">
        <v>2.18E-2</v>
      </c>
      <c r="H18" s="29"/>
    </row>
    <row r="19" spans="2:8" ht="15.75" customHeight="1" x14ac:dyDescent="0.25">
      <c r="B19" s="25" t="s">
        <v>502</v>
      </c>
      <c r="C19" s="25" t="s">
        <v>503</v>
      </c>
      <c r="D19" s="25" t="s">
        <v>276</v>
      </c>
      <c r="E19" s="26">
        <v>7756</v>
      </c>
      <c r="F19" s="27">
        <v>904.96</v>
      </c>
      <c r="G19" s="28">
        <v>2.1000000000000001E-2</v>
      </c>
      <c r="H19" s="29"/>
    </row>
    <row r="20" spans="2:8" ht="15.75" customHeight="1" x14ac:dyDescent="0.25">
      <c r="B20" s="25" t="s">
        <v>440</v>
      </c>
      <c r="C20" s="25" t="s">
        <v>441</v>
      </c>
      <c r="D20" s="25" t="s">
        <v>346</v>
      </c>
      <c r="E20" s="26">
        <v>268992</v>
      </c>
      <c r="F20" s="27">
        <v>870.11</v>
      </c>
      <c r="G20" s="28">
        <v>2.0199999999999999E-2</v>
      </c>
      <c r="H20" s="29"/>
    </row>
    <row r="21" spans="2:8" ht="15.75" customHeight="1" x14ac:dyDescent="0.25">
      <c r="B21" s="25" t="s">
        <v>422</v>
      </c>
      <c r="C21" s="25" t="s">
        <v>423</v>
      </c>
      <c r="D21" s="25" t="s">
        <v>178</v>
      </c>
      <c r="E21" s="26">
        <v>234351</v>
      </c>
      <c r="F21" s="27">
        <v>833.12</v>
      </c>
      <c r="G21" s="28">
        <v>1.9400000000000001E-2</v>
      </c>
      <c r="H21" s="29"/>
    </row>
    <row r="22" spans="2:8" ht="15.75" customHeight="1" x14ac:dyDescent="0.25">
      <c r="B22" s="25" t="s">
        <v>697</v>
      </c>
      <c r="C22" s="25" t="s">
        <v>698</v>
      </c>
      <c r="D22" s="25" t="s">
        <v>178</v>
      </c>
      <c r="E22" s="26">
        <v>6323</v>
      </c>
      <c r="F22" s="27">
        <v>816.4</v>
      </c>
      <c r="G22" s="28">
        <v>1.9E-2</v>
      </c>
      <c r="H22" s="29"/>
    </row>
    <row r="23" spans="2:8" ht="15.75" customHeight="1" x14ac:dyDescent="0.25">
      <c r="B23" s="25" t="s">
        <v>657</v>
      </c>
      <c r="C23" s="25" t="s">
        <v>658</v>
      </c>
      <c r="D23" s="25" t="s">
        <v>219</v>
      </c>
      <c r="E23" s="26">
        <v>130230</v>
      </c>
      <c r="F23" s="27">
        <v>777.02</v>
      </c>
      <c r="G23" s="28">
        <v>1.8100000000000002E-2</v>
      </c>
      <c r="H23" s="29"/>
    </row>
    <row r="24" spans="2:8" ht="15.75" customHeight="1" x14ac:dyDescent="0.25">
      <c r="B24" s="25" t="s">
        <v>686</v>
      </c>
      <c r="C24" s="25" t="s">
        <v>687</v>
      </c>
      <c r="D24" s="25" t="s">
        <v>337</v>
      </c>
      <c r="E24" s="26">
        <v>16026</v>
      </c>
      <c r="F24" s="27">
        <v>752.69</v>
      </c>
      <c r="G24" s="28">
        <v>1.7500000000000002E-2</v>
      </c>
      <c r="H24" s="29"/>
    </row>
    <row r="25" spans="2:8" ht="15.75" customHeight="1" x14ac:dyDescent="0.25">
      <c r="B25" s="25" t="s">
        <v>753</v>
      </c>
      <c r="C25" s="25" t="s">
        <v>754</v>
      </c>
      <c r="D25" s="25" t="s">
        <v>202</v>
      </c>
      <c r="E25" s="26">
        <v>309687</v>
      </c>
      <c r="F25" s="27">
        <v>743.71</v>
      </c>
      <c r="G25" s="28">
        <v>1.7299999999999999E-2</v>
      </c>
      <c r="H25" s="29"/>
    </row>
    <row r="26" spans="2:8" ht="15.75" customHeight="1" x14ac:dyDescent="0.25">
      <c r="B26" s="25" t="s">
        <v>535</v>
      </c>
      <c r="C26" s="25" t="s">
        <v>536</v>
      </c>
      <c r="D26" s="25" t="s">
        <v>224</v>
      </c>
      <c r="E26" s="26">
        <v>108074</v>
      </c>
      <c r="F26" s="27">
        <v>741.06</v>
      </c>
      <c r="G26" s="28">
        <v>1.72E-2</v>
      </c>
      <c r="H26" s="29"/>
    </row>
    <row r="27" spans="2:8" ht="15.75" customHeight="1" x14ac:dyDescent="0.25">
      <c r="B27" s="25" t="s">
        <v>529</v>
      </c>
      <c r="C27" s="25" t="s">
        <v>530</v>
      </c>
      <c r="D27" s="25" t="s">
        <v>224</v>
      </c>
      <c r="E27" s="26">
        <v>47240</v>
      </c>
      <c r="F27" s="27">
        <v>733.78</v>
      </c>
      <c r="G27" s="28">
        <v>1.7100000000000001E-2</v>
      </c>
      <c r="H27" s="29"/>
    </row>
    <row r="28" spans="2:8" ht="15.75" customHeight="1" x14ac:dyDescent="0.25">
      <c r="B28" s="25" t="s">
        <v>133</v>
      </c>
      <c r="C28" s="25" t="s">
        <v>134</v>
      </c>
      <c r="D28" s="25" t="s">
        <v>135</v>
      </c>
      <c r="E28" s="26">
        <v>25527</v>
      </c>
      <c r="F28" s="27">
        <v>731.77</v>
      </c>
      <c r="G28" s="28">
        <v>1.7000000000000001E-2</v>
      </c>
      <c r="H28" s="29"/>
    </row>
    <row r="29" spans="2:8" ht="15.75" customHeight="1" x14ac:dyDescent="0.25">
      <c r="B29" s="25" t="s">
        <v>249</v>
      </c>
      <c r="C29" s="25" t="s">
        <v>250</v>
      </c>
      <c r="D29" s="25" t="s">
        <v>251</v>
      </c>
      <c r="E29" s="26">
        <v>43585</v>
      </c>
      <c r="F29" s="27">
        <v>728.02</v>
      </c>
      <c r="G29" s="28">
        <v>1.6899999999999998E-2</v>
      </c>
      <c r="H29" s="29"/>
    </row>
    <row r="30" spans="2:8" ht="15.75" customHeight="1" x14ac:dyDescent="0.25">
      <c r="B30" s="25" t="s">
        <v>725</v>
      </c>
      <c r="C30" s="25" t="s">
        <v>726</v>
      </c>
      <c r="D30" s="25" t="s">
        <v>346</v>
      </c>
      <c r="E30" s="26">
        <v>85922</v>
      </c>
      <c r="F30" s="27">
        <v>712.12</v>
      </c>
      <c r="G30" s="28">
        <v>1.66E-2</v>
      </c>
      <c r="H30" s="29"/>
    </row>
    <row r="31" spans="2:8" ht="15.75" customHeight="1" x14ac:dyDescent="0.25">
      <c r="B31" s="25" t="s">
        <v>365</v>
      </c>
      <c r="C31" s="25" t="s">
        <v>366</v>
      </c>
      <c r="D31" s="25" t="s">
        <v>227</v>
      </c>
      <c r="E31" s="26">
        <v>145090</v>
      </c>
      <c r="F31" s="27">
        <v>703.83</v>
      </c>
      <c r="G31" s="28">
        <v>1.6400000000000001E-2</v>
      </c>
      <c r="H31" s="29"/>
    </row>
    <row r="32" spans="2:8" ht="15.75" customHeight="1" x14ac:dyDescent="0.25">
      <c r="B32" s="25" t="s">
        <v>164</v>
      </c>
      <c r="C32" s="25" t="s">
        <v>165</v>
      </c>
      <c r="D32" s="25" t="s">
        <v>166</v>
      </c>
      <c r="E32" s="26">
        <v>211418</v>
      </c>
      <c r="F32" s="27">
        <v>646.73</v>
      </c>
      <c r="G32" s="28">
        <v>1.4999999999999999E-2</v>
      </c>
      <c r="H32" s="29"/>
    </row>
    <row r="33" spans="2:8" ht="15.75" customHeight="1" x14ac:dyDescent="0.25">
      <c r="B33" s="25" t="s">
        <v>666</v>
      </c>
      <c r="C33" s="25" t="s">
        <v>667</v>
      </c>
      <c r="D33" s="25" t="s">
        <v>337</v>
      </c>
      <c r="E33" s="26">
        <v>45428</v>
      </c>
      <c r="F33" s="27">
        <v>641.33000000000004</v>
      </c>
      <c r="G33" s="28">
        <v>1.49E-2</v>
      </c>
      <c r="H33" s="29"/>
    </row>
    <row r="34" spans="2:8" ht="15.75" customHeight="1" x14ac:dyDescent="0.25">
      <c r="B34" s="25" t="s">
        <v>628</v>
      </c>
      <c r="C34" s="25" t="s">
        <v>629</v>
      </c>
      <c r="D34" s="25" t="s">
        <v>601</v>
      </c>
      <c r="E34" s="26">
        <v>109216</v>
      </c>
      <c r="F34" s="27">
        <v>640.99</v>
      </c>
      <c r="G34" s="28">
        <v>1.49E-2</v>
      </c>
      <c r="H34" s="29"/>
    </row>
    <row r="35" spans="2:8" ht="15.75" customHeight="1" x14ac:dyDescent="0.25">
      <c r="B35" s="25" t="s">
        <v>612</v>
      </c>
      <c r="C35" s="25" t="s">
        <v>613</v>
      </c>
      <c r="D35" s="25" t="s">
        <v>346</v>
      </c>
      <c r="E35" s="26">
        <v>1099</v>
      </c>
      <c r="F35" s="27">
        <v>623.26</v>
      </c>
      <c r="G35" s="28">
        <v>1.4500000000000001E-2</v>
      </c>
      <c r="H35" s="29"/>
    </row>
    <row r="36" spans="2:8" ht="15.75" customHeight="1" x14ac:dyDescent="0.25">
      <c r="B36" s="25" t="s">
        <v>338</v>
      </c>
      <c r="C36" s="25" t="s">
        <v>339</v>
      </c>
      <c r="D36" s="25" t="s">
        <v>202</v>
      </c>
      <c r="E36" s="26">
        <v>140752</v>
      </c>
      <c r="F36" s="27">
        <v>532.54</v>
      </c>
      <c r="G36" s="28">
        <v>1.24E-2</v>
      </c>
      <c r="H36" s="29"/>
    </row>
    <row r="37" spans="2:8" ht="15.75" customHeight="1" x14ac:dyDescent="0.25">
      <c r="B37" s="25" t="s">
        <v>593</v>
      </c>
      <c r="C37" s="25" t="s">
        <v>594</v>
      </c>
      <c r="D37" s="25" t="s">
        <v>251</v>
      </c>
      <c r="E37" s="26">
        <v>3415</v>
      </c>
      <c r="F37" s="27">
        <v>531.07000000000005</v>
      </c>
      <c r="G37" s="28">
        <v>1.23E-2</v>
      </c>
      <c r="H37" s="29"/>
    </row>
    <row r="38" spans="2:8" ht="15.75" customHeight="1" x14ac:dyDescent="0.25">
      <c r="B38" s="25" t="s">
        <v>455</v>
      </c>
      <c r="C38" s="25" t="s">
        <v>456</v>
      </c>
      <c r="D38" s="25" t="s">
        <v>337</v>
      </c>
      <c r="E38" s="26">
        <v>41064</v>
      </c>
      <c r="F38" s="27">
        <v>508.25</v>
      </c>
      <c r="G38" s="28">
        <v>1.18E-2</v>
      </c>
      <c r="H38" s="29"/>
    </row>
    <row r="39" spans="2:8" ht="15.75" customHeight="1" x14ac:dyDescent="0.25">
      <c r="B39" s="25" t="s">
        <v>672</v>
      </c>
      <c r="C39" s="25" t="s">
        <v>673</v>
      </c>
      <c r="D39" s="25" t="s">
        <v>202</v>
      </c>
      <c r="E39" s="26">
        <v>306820</v>
      </c>
      <c r="F39" s="27">
        <v>498.89</v>
      </c>
      <c r="G39" s="28">
        <v>1.1599999999999999E-2</v>
      </c>
      <c r="H39" s="29"/>
    </row>
    <row r="40" spans="2:8" ht="15.75" customHeight="1" x14ac:dyDescent="0.25">
      <c r="B40" s="25" t="s">
        <v>302</v>
      </c>
      <c r="C40" s="25" t="s">
        <v>303</v>
      </c>
      <c r="D40" s="25" t="s">
        <v>232</v>
      </c>
      <c r="E40" s="26">
        <v>45755</v>
      </c>
      <c r="F40" s="27">
        <v>476.95</v>
      </c>
      <c r="G40" s="28">
        <v>1.11E-2</v>
      </c>
      <c r="H40" s="29"/>
    </row>
    <row r="41" spans="2:8" ht="15.75" customHeight="1" x14ac:dyDescent="0.25">
      <c r="B41" s="25" t="s">
        <v>755</v>
      </c>
      <c r="C41" s="25" t="s">
        <v>756</v>
      </c>
      <c r="D41" s="25" t="s">
        <v>227</v>
      </c>
      <c r="E41" s="26">
        <v>169351</v>
      </c>
      <c r="F41" s="27">
        <v>476.22</v>
      </c>
      <c r="G41" s="28">
        <v>1.11E-2</v>
      </c>
      <c r="H41" s="29"/>
    </row>
    <row r="42" spans="2:8" ht="15.75" customHeight="1" x14ac:dyDescent="0.25">
      <c r="B42" s="25" t="s">
        <v>222</v>
      </c>
      <c r="C42" s="25" t="s">
        <v>223</v>
      </c>
      <c r="D42" s="25" t="s">
        <v>224</v>
      </c>
      <c r="E42" s="26">
        <v>13092</v>
      </c>
      <c r="F42" s="27">
        <v>464.56</v>
      </c>
      <c r="G42" s="28">
        <v>1.0800000000000001E-2</v>
      </c>
      <c r="H42" s="29"/>
    </row>
    <row r="43" spans="2:8" ht="15.75" customHeight="1" x14ac:dyDescent="0.25">
      <c r="B43" s="25" t="s">
        <v>176</v>
      </c>
      <c r="C43" s="25" t="s">
        <v>177</v>
      </c>
      <c r="D43" s="25" t="s">
        <v>178</v>
      </c>
      <c r="E43" s="26">
        <v>147097</v>
      </c>
      <c r="F43" s="27">
        <v>442.54</v>
      </c>
      <c r="G43" s="28">
        <v>1.03E-2</v>
      </c>
      <c r="H43" s="29"/>
    </row>
    <row r="44" spans="2:8" ht="15.75" customHeight="1" x14ac:dyDescent="0.25">
      <c r="B44" s="25" t="s">
        <v>692</v>
      </c>
      <c r="C44" s="25" t="s">
        <v>693</v>
      </c>
      <c r="D44" s="25" t="s">
        <v>178</v>
      </c>
      <c r="E44" s="26">
        <v>78411</v>
      </c>
      <c r="F44" s="27">
        <v>424.2</v>
      </c>
      <c r="G44" s="28">
        <v>9.9000000000000008E-3</v>
      </c>
      <c r="H44" s="29"/>
    </row>
    <row r="45" spans="2:8" ht="15.75" customHeight="1" x14ac:dyDescent="0.25">
      <c r="B45" s="25" t="s">
        <v>709</v>
      </c>
      <c r="C45" s="25" t="s">
        <v>710</v>
      </c>
      <c r="D45" s="25" t="s">
        <v>337</v>
      </c>
      <c r="E45" s="26">
        <v>30902</v>
      </c>
      <c r="F45" s="27">
        <v>416.56</v>
      </c>
      <c r="G45" s="28">
        <v>9.7000000000000003E-3</v>
      </c>
      <c r="H45" s="29"/>
    </row>
    <row r="46" spans="2:8" ht="15.75" customHeight="1" x14ac:dyDescent="0.25">
      <c r="B46" s="25" t="s">
        <v>757</v>
      </c>
      <c r="C46" s="25" t="s">
        <v>758</v>
      </c>
      <c r="D46" s="25" t="s">
        <v>224</v>
      </c>
      <c r="E46" s="26">
        <v>184817</v>
      </c>
      <c r="F46" s="27">
        <v>415.03</v>
      </c>
      <c r="G46" s="28">
        <v>9.5999999999999992E-3</v>
      </c>
      <c r="H46" s="29"/>
    </row>
    <row r="47" spans="2:8" ht="15.75" customHeight="1" x14ac:dyDescent="0.25">
      <c r="B47" s="25" t="s">
        <v>640</v>
      </c>
      <c r="C47" s="25" t="s">
        <v>641</v>
      </c>
      <c r="D47" s="25" t="s">
        <v>166</v>
      </c>
      <c r="E47" s="26">
        <v>25746</v>
      </c>
      <c r="F47" s="27">
        <v>411.06</v>
      </c>
      <c r="G47" s="28">
        <v>9.5999999999999992E-3</v>
      </c>
      <c r="H47" s="29"/>
    </row>
    <row r="48" spans="2:8" ht="15.75" customHeight="1" x14ac:dyDescent="0.25">
      <c r="B48" s="25" t="s">
        <v>200</v>
      </c>
      <c r="C48" s="25" t="s">
        <v>201</v>
      </c>
      <c r="D48" s="25" t="s">
        <v>202</v>
      </c>
      <c r="E48" s="26">
        <v>92077</v>
      </c>
      <c r="F48" s="27">
        <v>405.69</v>
      </c>
      <c r="G48" s="28">
        <v>9.4000000000000004E-3</v>
      </c>
      <c r="H48" s="29"/>
    </row>
    <row r="49" spans="2:8" ht="15.75" customHeight="1" x14ac:dyDescent="0.25">
      <c r="B49" s="25" t="s">
        <v>261</v>
      </c>
      <c r="C49" s="25" t="s">
        <v>262</v>
      </c>
      <c r="D49" s="25" t="s">
        <v>263</v>
      </c>
      <c r="E49" s="26">
        <v>39914</v>
      </c>
      <c r="F49" s="27">
        <v>394.85</v>
      </c>
      <c r="G49" s="28">
        <v>9.1999999999999998E-3</v>
      </c>
      <c r="H49" s="29"/>
    </row>
    <row r="50" spans="2:8" ht="15.75" customHeight="1" x14ac:dyDescent="0.25">
      <c r="B50" s="25" t="s">
        <v>759</v>
      </c>
      <c r="C50" s="25" t="s">
        <v>760</v>
      </c>
      <c r="D50" s="25" t="s">
        <v>232</v>
      </c>
      <c r="E50" s="26">
        <v>4814</v>
      </c>
      <c r="F50" s="27">
        <v>383.75</v>
      </c>
      <c r="G50" s="28">
        <v>8.8999999999999999E-3</v>
      </c>
      <c r="H50" s="29"/>
    </row>
    <row r="51" spans="2:8" ht="15.75" customHeight="1" x14ac:dyDescent="0.25">
      <c r="B51" s="25" t="s">
        <v>761</v>
      </c>
      <c r="C51" s="25" t="s">
        <v>762</v>
      </c>
      <c r="D51" s="25" t="s">
        <v>362</v>
      </c>
      <c r="E51" s="26">
        <v>87857</v>
      </c>
      <c r="F51" s="27">
        <v>365.88</v>
      </c>
      <c r="G51" s="28">
        <v>8.5000000000000006E-3</v>
      </c>
      <c r="H51" s="29"/>
    </row>
    <row r="52" spans="2:8" ht="15.75" customHeight="1" x14ac:dyDescent="0.25">
      <c r="B52" s="25" t="s">
        <v>312</v>
      </c>
      <c r="C52" s="25" t="s">
        <v>313</v>
      </c>
      <c r="D52" s="25" t="s">
        <v>214</v>
      </c>
      <c r="E52" s="26">
        <v>51768</v>
      </c>
      <c r="F52" s="27">
        <v>359.04</v>
      </c>
      <c r="G52" s="28">
        <v>8.3000000000000001E-3</v>
      </c>
      <c r="H52" s="29"/>
    </row>
    <row r="53" spans="2:8" ht="15.75" customHeight="1" x14ac:dyDescent="0.25">
      <c r="B53" s="25" t="s">
        <v>424</v>
      </c>
      <c r="C53" s="25" t="s">
        <v>425</v>
      </c>
      <c r="D53" s="25" t="s">
        <v>337</v>
      </c>
      <c r="E53" s="26">
        <v>8100</v>
      </c>
      <c r="F53" s="27">
        <v>358.01</v>
      </c>
      <c r="G53" s="28">
        <v>8.3000000000000001E-3</v>
      </c>
      <c r="H53" s="29"/>
    </row>
    <row r="54" spans="2:8" ht="15.75" customHeight="1" x14ac:dyDescent="0.25">
      <c r="B54" s="25" t="s">
        <v>711</v>
      </c>
      <c r="C54" s="25" t="s">
        <v>712</v>
      </c>
      <c r="D54" s="25" t="s">
        <v>346</v>
      </c>
      <c r="E54" s="26">
        <v>26846</v>
      </c>
      <c r="F54" s="27">
        <v>354.22</v>
      </c>
      <c r="G54" s="28">
        <v>8.2000000000000007E-3</v>
      </c>
      <c r="H54" s="29"/>
    </row>
    <row r="55" spans="2:8" ht="15.75" customHeight="1" x14ac:dyDescent="0.25">
      <c r="B55" s="25" t="s">
        <v>583</v>
      </c>
      <c r="C55" s="25" t="s">
        <v>584</v>
      </c>
      <c r="D55" s="25" t="s">
        <v>251</v>
      </c>
      <c r="E55" s="26">
        <v>7465</v>
      </c>
      <c r="F55" s="27">
        <v>353.88</v>
      </c>
      <c r="G55" s="28">
        <v>8.2000000000000007E-3</v>
      </c>
      <c r="H55" s="29"/>
    </row>
    <row r="56" spans="2:8" ht="15.75" customHeight="1" x14ac:dyDescent="0.25">
      <c r="B56" s="25" t="s">
        <v>230</v>
      </c>
      <c r="C56" s="25" t="s">
        <v>231</v>
      </c>
      <c r="D56" s="25" t="s">
        <v>232</v>
      </c>
      <c r="E56" s="26">
        <v>7811</v>
      </c>
      <c r="F56" s="27">
        <v>330.27</v>
      </c>
      <c r="G56" s="28">
        <v>7.7000000000000002E-3</v>
      </c>
      <c r="H56" s="29"/>
    </row>
    <row r="57" spans="2:8" ht="15.75" customHeight="1" x14ac:dyDescent="0.25">
      <c r="B57" s="25" t="s">
        <v>735</v>
      </c>
      <c r="C57" s="25" t="s">
        <v>736</v>
      </c>
      <c r="D57" s="25" t="s">
        <v>269</v>
      </c>
      <c r="E57" s="26">
        <v>7433</v>
      </c>
      <c r="F57" s="27">
        <v>312.48</v>
      </c>
      <c r="G57" s="28">
        <v>7.3000000000000001E-3</v>
      </c>
      <c r="H57" s="29"/>
    </row>
    <row r="58" spans="2:8" ht="15.75" customHeight="1" x14ac:dyDescent="0.25">
      <c r="B58" s="25" t="s">
        <v>515</v>
      </c>
      <c r="C58" s="25" t="s">
        <v>516</v>
      </c>
      <c r="D58" s="25" t="s">
        <v>140</v>
      </c>
      <c r="E58" s="26">
        <v>54164</v>
      </c>
      <c r="F58" s="27">
        <v>302.02</v>
      </c>
      <c r="G58" s="28">
        <v>7.0000000000000001E-3</v>
      </c>
      <c r="H58" s="29"/>
    </row>
    <row r="59" spans="2:8" ht="15.75" customHeight="1" x14ac:dyDescent="0.25">
      <c r="B59" s="25" t="s">
        <v>426</v>
      </c>
      <c r="C59" s="25" t="s">
        <v>427</v>
      </c>
      <c r="D59" s="25" t="s">
        <v>428</v>
      </c>
      <c r="E59" s="26">
        <v>19331</v>
      </c>
      <c r="F59" s="27">
        <v>279.14999999999998</v>
      </c>
      <c r="G59" s="28">
        <v>6.4999999999999997E-3</v>
      </c>
      <c r="H59" s="29"/>
    </row>
    <row r="60" spans="2:8" ht="15.75" customHeight="1" x14ac:dyDescent="0.25">
      <c r="B60" s="25" t="s">
        <v>317</v>
      </c>
      <c r="C60" s="25" t="s">
        <v>318</v>
      </c>
      <c r="D60" s="25" t="s">
        <v>166</v>
      </c>
      <c r="E60" s="26">
        <v>5179</v>
      </c>
      <c r="F60" s="27">
        <v>272.64</v>
      </c>
      <c r="G60" s="28">
        <v>6.3E-3</v>
      </c>
      <c r="H60" s="29"/>
    </row>
    <row r="61" spans="2:8" ht="15.75" customHeight="1" x14ac:dyDescent="0.25">
      <c r="B61" s="25" t="s">
        <v>737</v>
      </c>
      <c r="C61" s="25" t="s">
        <v>738</v>
      </c>
      <c r="D61" s="25" t="s">
        <v>337</v>
      </c>
      <c r="E61" s="26">
        <v>28007</v>
      </c>
      <c r="F61" s="27">
        <v>260.87</v>
      </c>
      <c r="G61" s="28">
        <v>6.1000000000000004E-3</v>
      </c>
      <c r="H61" s="29"/>
    </row>
    <row r="62" spans="2:8" ht="15.75" customHeight="1" x14ac:dyDescent="0.25">
      <c r="B62" s="25" t="s">
        <v>498</v>
      </c>
      <c r="C62" s="25" t="s">
        <v>499</v>
      </c>
      <c r="D62" s="25" t="s">
        <v>219</v>
      </c>
      <c r="E62" s="26">
        <v>116182</v>
      </c>
      <c r="F62" s="27">
        <v>221.8</v>
      </c>
      <c r="G62" s="28">
        <v>5.1999999999999998E-3</v>
      </c>
      <c r="H62" s="29"/>
    </row>
    <row r="63" spans="2:8" ht="15.75" customHeight="1" x14ac:dyDescent="0.25">
      <c r="B63" s="25" t="s">
        <v>763</v>
      </c>
      <c r="C63" s="25" t="s">
        <v>764</v>
      </c>
      <c r="D63" s="25" t="s">
        <v>346</v>
      </c>
      <c r="E63" s="26">
        <v>20972</v>
      </c>
      <c r="F63" s="27">
        <v>208.54</v>
      </c>
      <c r="G63" s="28">
        <v>4.7999999999999996E-3</v>
      </c>
      <c r="H63" s="29"/>
    </row>
    <row r="64" spans="2:8" ht="15.75" customHeight="1" x14ac:dyDescent="0.25">
      <c r="B64" s="25" t="s">
        <v>765</v>
      </c>
      <c r="C64" s="25" t="s">
        <v>766</v>
      </c>
      <c r="D64" s="25" t="s">
        <v>269</v>
      </c>
      <c r="E64" s="26">
        <v>16200</v>
      </c>
      <c r="F64" s="27">
        <v>178.7</v>
      </c>
      <c r="G64" s="28">
        <v>4.1999999999999997E-3</v>
      </c>
      <c r="H64" s="29"/>
    </row>
    <row r="65" spans="2:16" ht="15.75" customHeight="1" x14ac:dyDescent="0.25">
      <c r="B65" s="25" t="s">
        <v>767</v>
      </c>
      <c r="C65" s="25" t="s">
        <v>768</v>
      </c>
      <c r="D65" s="25" t="s">
        <v>290</v>
      </c>
      <c r="E65" s="26">
        <v>48564</v>
      </c>
      <c r="F65" s="27">
        <v>159.47999999999999</v>
      </c>
      <c r="G65" s="28">
        <v>3.7000000000000002E-3</v>
      </c>
      <c r="H65" s="29"/>
    </row>
    <row r="66" spans="2:16" ht="15.75" customHeight="1" x14ac:dyDescent="0.25">
      <c r="B66" s="25" t="s">
        <v>729</v>
      </c>
      <c r="C66" s="25" t="s">
        <v>730</v>
      </c>
      <c r="D66" s="25" t="s">
        <v>251</v>
      </c>
      <c r="E66" s="26">
        <v>14145</v>
      </c>
      <c r="F66" s="27">
        <v>94</v>
      </c>
      <c r="G66" s="28">
        <v>2.2000000000000001E-3</v>
      </c>
      <c r="H66" s="29"/>
    </row>
    <row r="67" spans="2:16" ht="15.75" customHeight="1" x14ac:dyDescent="0.25">
      <c r="B67" s="25" t="s">
        <v>674</v>
      </c>
      <c r="C67" s="25" t="s">
        <v>675</v>
      </c>
      <c r="D67" s="25" t="s">
        <v>346</v>
      </c>
      <c r="E67" s="26">
        <v>583</v>
      </c>
      <c r="F67" s="27">
        <v>90.31</v>
      </c>
      <c r="G67" s="28">
        <v>2.0999999999999999E-3</v>
      </c>
      <c r="H67" s="29"/>
    </row>
    <row r="68" spans="2:16" ht="15.75" customHeight="1" x14ac:dyDescent="0.25">
      <c r="B68" s="25" t="s">
        <v>550</v>
      </c>
      <c r="C68" s="25" t="s">
        <v>551</v>
      </c>
      <c r="D68" s="25" t="s">
        <v>224</v>
      </c>
      <c r="E68" s="26">
        <v>114750</v>
      </c>
      <c r="F68" s="27">
        <v>82.96</v>
      </c>
      <c r="G68" s="28">
        <v>1.9E-3</v>
      </c>
      <c r="H68" s="29"/>
      <c r="L68" s="3"/>
    </row>
    <row r="69" spans="2:16" ht="15.75" customHeight="1" x14ac:dyDescent="0.25">
      <c r="B69" s="25" t="s">
        <v>769</v>
      </c>
      <c r="C69" s="25" t="s">
        <v>770</v>
      </c>
      <c r="D69" s="25" t="s">
        <v>337</v>
      </c>
      <c r="E69" s="26">
        <v>1303</v>
      </c>
      <c r="F69" s="27">
        <v>78.2</v>
      </c>
      <c r="G69" s="28">
        <v>1.8E-3</v>
      </c>
      <c r="H69" s="29"/>
    </row>
    <row r="70" spans="2:16" ht="15.75" customHeight="1" x14ac:dyDescent="0.25">
      <c r="B70" s="24" t="s">
        <v>102</v>
      </c>
      <c r="C70" s="24"/>
      <c r="D70" s="24"/>
      <c r="E70" s="30"/>
      <c r="F70" s="31">
        <v>40172.910000000003</v>
      </c>
      <c r="G70" s="32">
        <v>0.93379999999999996</v>
      </c>
      <c r="H70" s="33"/>
      <c r="L70" s="3"/>
    </row>
    <row r="71" spans="2:16" ht="15.75" customHeight="1" x14ac:dyDescent="0.25">
      <c r="B71" s="24" t="s">
        <v>149</v>
      </c>
      <c r="C71" s="25"/>
      <c r="D71" s="25"/>
      <c r="E71" s="26"/>
      <c r="F71" s="27"/>
      <c r="G71" s="28"/>
      <c r="H71" s="29"/>
      <c r="L71" s="3"/>
    </row>
    <row r="72" spans="2:16" ht="15.75" customHeight="1" x14ac:dyDescent="0.25">
      <c r="B72" s="24" t="s">
        <v>102</v>
      </c>
      <c r="C72" s="25"/>
      <c r="D72" s="25"/>
      <c r="E72" s="26"/>
      <c r="F72" s="34" t="s">
        <v>104</v>
      </c>
      <c r="G72" s="35" t="s">
        <v>104</v>
      </c>
      <c r="H72" s="29"/>
      <c r="L72" s="3"/>
    </row>
    <row r="73" spans="2:16" ht="15.75" customHeight="1" x14ac:dyDescent="0.25">
      <c r="B73" s="25"/>
      <c r="C73" s="25"/>
      <c r="D73" s="25"/>
      <c r="E73" s="26"/>
      <c r="F73" s="27"/>
      <c r="G73" s="28"/>
      <c r="H73" s="29"/>
      <c r="L73" s="3"/>
    </row>
    <row r="74" spans="2:16" ht="15.75" customHeight="1" x14ac:dyDescent="0.25">
      <c r="B74" s="36" t="s">
        <v>106</v>
      </c>
      <c r="C74" s="36"/>
      <c r="D74" s="36"/>
      <c r="E74" s="37"/>
      <c r="F74" s="31">
        <v>40172.910000000003</v>
      </c>
      <c r="G74" s="32">
        <v>0.93379999999999996</v>
      </c>
      <c r="H74" s="33"/>
      <c r="L74" s="3"/>
    </row>
    <row r="75" spans="2:16" ht="15.75" customHeight="1" x14ac:dyDescent="0.25">
      <c r="B75" s="25"/>
      <c r="C75" s="25"/>
      <c r="D75" s="25"/>
      <c r="E75" s="26"/>
      <c r="F75" s="27"/>
      <c r="G75" s="28"/>
      <c r="H75" s="29"/>
      <c r="L75" s="5"/>
      <c r="M75" s="5"/>
      <c r="N75" s="6"/>
      <c r="O75" s="6"/>
      <c r="P75" s="5"/>
    </row>
    <row r="76" spans="2:16" ht="15.75" customHeight="1" x14ac:dyDescent="0.25">
      <c r="B76" s="25"/>
      <c r="C76" s="25"/>
      <c r="D76" s="25"/>
      <c r="E76" s="26"/>
      <c r="F76" s="27"/>
      <c r="G76" s="28"/>
      <c r="H76" s="29"/>
    </row>
    <row r="77" spans="2:16" ht="15.75" customHeight="1" x14ac:dyDescent="0.25">
      <c r="B77" s="24" t="s">
        <v>109</v>
      </c>
      <c r="C77" s="25"/>
      <c r="D77" s="25"/>
      <c r="E77" s="26"/>
      <c r="F77" s="27"/>
      <c r="G77" s="28"/>
      <c r="H77" s="29"/>
    </row>
    <row r="78" spans="2:16" ht="15.75" customHeight="1" x14ac:dyDescent="0.25">
      <c r="B78" s="25" t="s">
        <v>110</v>
      </c>
      <c r="C78" s="25"/>
      <c r="D78" s="25"/>
      <c r="E78" s="26"/>
      <c r="F78" s="27">
        <v>3732.08</v>
      </c>
      <c r="G78" s="28">
        <v>8.6699999999999999E-2</v>
      </c>
      <c r="H78" s="29"/>
      <c r="L78" s="7"/>
      <c r="M78" s="7"/>
      <c r="N78" s="7"/>
      <c r="O78" s="7"/>
      <c r="P78" s="7"/>
    </row>
    <row r="79" spans="2:16" ht="15.75" customHeight="1" x14ac:dyDescent="0.25">
      <c r="B79" s="24" t="s">
        <v>102</v>
      </c>
      <c r="C79" s="24"/>
      <c r="D79" s="24"/>
      <c r="E79" s="30"/>
      <c r="F79" s="31">
        <v>3732.08</v>
      </c>
      <c r="G79" s="32">
        <v>8.6699999999999999E-2</v>
      </c>
      <c r="H79" s="33"/>
      <c r="L79" s="7"/>
      <c r="M79" s="7"/>
      <c r="N79" s="7"/>
      <c r="O79" s="7"/>
      <c r="P79" s="7"/>
    </row>
    <row r="80" spans="2:16" ht="15.75" customHeight="1" x14ac:dyDescent="0.25">
      <c r="B80" s="25"/>
      <c r="C80" s="25"/>
      <c r="D80" s="25"/>
      <c r="E80" s="26"/>
      <c r="F80" s="27"/>
      <c r="G80" s="28"/>
      <c r="H80" s="29"/>
      <c r="L80" s="7"/>
      <c r="M80" s="7"/>
      <c r="N80" s="7"/>
      <c r="O80" s="7"/>
      <c r="P80" s="7"/>
    </row>
    <row r="81" spans="2:16" ht="15.75" customHeight="1" x14ac:dyDescent="0.25">
      <c r="B81" s="36" t="s">
        <v>106</v>
      </c>
      <c r="C81" s="36"/>
      <c r="D81" s="36"/>
      <c r="E81" s="37"/>
      <c r="F81" s="31">
        <v>3732.08</v>
      </c>
      <c r="G81" s="32">
        <v>8.6699999999999999E-2</v>
      </c>
      <c r="H81" s="33"/>
      <c r="L81" s="7"/>
      <c r="M81" s="7"/>
      <c r="N81" s="7"/>
      <c r="O81" s="7"/>
      <c r="P81" s="7"/>
    </row>
    <row r="82" spans="2:16" ht="15.75" customHeight="1" x14ac:dyDescent="0.25">
      <c r="B82" s="25" t="s">
        <v>111</v>
      </c>
      <c r="C82" s="25"/>
      <c r="D82" s="25"/>
      <c r="E82" s="26"/>
      <c r="F82" s="38">
        <v>-883.77</v>
      </c>
      <c r="G82" s="39">
        <v>-2.0499999999999963E-2</v>
      </c>
      <c r="H82" s="29"/>
      <c r="L82" s="7"/>
      <c r="M82" s="7"/>
      <c r="N82" s="7"/>
      <c r="O82" s="7"/>
      <c r="P82" s="7"/>
    </row>
    <row r="83" spans="2:16" ht="15.75" customHeight="1" x14ac:dyDescent="0.25">
      <c r="B83" s="40" t="s">
        <v>112</v>
      </c>
      <c r="C83" s="40"/>
      <c r="D83" s="40"/>
      <c r="E83" s="41"/>
      <c r="F83" s="42">
        <v>43021.22</v>
      </c>
      <c r="G83" s="43">
        <v>1</v>
      </c>
      <c r="H83" s="44"/>
      <c r="L83" s="7"/>
      <c r="M83" s="7"/>
      <c r="N83" s="7"/>
      <c r="O83" s="7"/>
      <c r="P83" s="7"/>
    </row>
    <row r="84" spans="2:16" ht="15.75" customHeight="1" thickBot="1" x14ac:dyDescent="0.3">
      <c r="B84" s="2"/>
      <c r="L84" s="7"/>
      <c r="M84" s="7"/>
      <c r="N84" s="7"/>
      <c r="O84" s="7"/>
      <c r="P84" s="7"/>
    </row>
    <row r="85" spans="2:16" ht="27" customHeight="1" thickBot="1" x14ac:dyDescent="0.3">
      <c r="B85" s="56" t="s">
        <v>964</v>
      </c>
      <c r="C85" s="57" t="s">
        <v>965</v>
      </c>
      <c r="D85" s="57" t="s">
        <v>966</v>
      </c>
      <c r="E85" s="62" t="s">
        <v>967</v>
      </c>
      <c r="G85" s="2"/>
      <c r="H85" s="2"/>
    </row>
    <row r="86" spans="2:16" ht="21.75" customHeight="1" x14ac:dyDescent="0.25">
      <c r="B86" s="69" t="s">
        <v>60</v>
      </c>
      <c r="C86" s="81"/>
      <c r="D86" s="84" t="s">
        <v>1020</v>
      </c>
      <c r="E86" s="86"/>
      <c r="G86" s="2"/>
      <c r="H86" s="2"/>
    </row>
    <row r="87" spans="2:16" ht="27.75" customHeight="1" x14ac:dyDescent="0.25">
      <c r="B87" s="65" t="s">
        <v>1021</v>
      </c>
      <c r="C87" s="82"/>
      <c r="D87" s="85"/>
      <c r="E87" s="82"/>
      <c r="G87" s="2"/>
      <c r="H87" s="2"/>
    </row>
    <row r="88" spans="2:16" ht="46.5" customHeight="1" x14ac:dyDescent="0.25">
      <c r="B88" s="65" t="s">
        <v>1022</v>
      </c>
      <c r="C88" s="82"/>
      <c r="D88" s="85"/>
      <c r="E88" s="82"/>
      <c r="G88" s="2"/>
      <c r="H88" s="2"/>
    </row>
    <row r="89" spans="2:16" ht="30.75" customHeight="1" thickBot="1" x14ac:dyDescent="0.3">
      <c r="B89" s="67" t="s">
        <v>991</v>
      </c>
      <c r="C89" s="83"/>
      <c r="D89" s="70" t="s">
        <v>991</v>
      </c>
      <c r="E89" s="87"/>
      <c r="G89" s="2"/>
      <c r="H89" s="2"/>
    </row>
    <row r="90" spans="2:16" ht="25" customHeight="1" x14ac:dyDescent="0.25">
      <c r="B90" s="58" t="s">
        <v>969</v>
      </c>
      <c r="C90" s="59"/>
      <c r="D90" s="60"/>
      <c r="E90" s="61"/>
      <c r="G90" s="2"/>
      <c r="H90" s="2"/>
    </row>
    <row r="92" spans="2:16" ht="11.5" x14ac:dyDescent="0.25">
      <c r="B92" s="2" t="s">
        <v>970</v>
      </c>
      <c r="C92" s="2"/>
      <c r="D92" s="2"/>
      <c r="G92" s="2"/>
      <c r="H92" s="2"/>
    </row>
    <row r="93" spans="2:16" ht="11.5" x14ac:dyDescent="0.25">
      <c r="B93" s="3" t="s">
        <v>971</v>
      </c>
      <c r="C93" s="2"/>
      <c r="D93" s="2"/>
      <c r="G93" s="2"/>
      <c r="H93" s="2"/>
    </row>
  </sheetData>
  <mergeCells count="3">
    <mergeCell ref="C86:C89"/>
    <mergeCell ref="D86:D88"/>
    <mergeCell ref="E86:E89"/>
  </mergeCells>
  <hyperlinks>
    <hyperlink ref="I1" location="'Sheet1'!A1" display="Index" xr:uid="{51297686-BC39-4AF1-9383-D290A9A752C4}"/>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BE5926-76E9-4894-8865-9A52F795595B}">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8.1796875" style="9" customWidth="1"/>
    <col min="4" max="4" width="26.6328125" style="9" customWidth="1"/>
    <col min="5" max="5" width="31.81640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223686</v>
      </c>
      <c r="F7" s="27">
        <v>3766.42</v>
      </c>
      <c r="G7" s="28">
        <v>0.1193</v>
      </c>
      <c r="H7" s="29"/>
    </row>
    <row r="8" spans="2:9" ht="15.75" customHeight="1" x14ac:dyDescent="0.25">
      <c r="B8" s="25" t="s">
        <v>138</v>
      </c>
      <c r="C8" s="25" t="s">
        <v>139</v>
      </c>
      <c r="D8" s="25" t="s">
        <v>140</v>
      </c>
      <c r="E8" s="26">
        <v>98725</v>
      </c>
      <c r="F8" s="27">
        <v>3090.88</v>
      </c>
      <c r="G8" s="28">
        <v>9.7900000000000001E-2</v>
      </c>
      <c r="H8" s="29"/>
    </row>
    <row r="9" spans="2:9" ht="15.75" customHeight="1" x14ac:dyDescent="0.25">
      <c r="B9" s="25" t="s">
        <v>127</v>
      </c>
      <c r="C9" s="25" t="s">
        <v>128</v>
      </c>
      <c r="D9" s="25" t="s">
        <v>129</v>
      </c>
      <c r="E9" s="26">
        <v>210376</v>
      </c>
      <c r="F9" s="27">
        <v>2523.67</v>
      </c>
      <c r="G9" s="28">
        <v>7.9899999999999999E-2</v>
      </c>
      <c r="H9" s="29"/>
    </row>
    <row r="10" spans="2:9" ht="15.75" customHeight="1" x14ac:dyDescent="0.25">
      <c r="B10" s="25" t="s">
        <v>130</v>
      </c>
      <c r="C10" s="25" t="s">
        <v>131</v>
      </c>
      <c r="D10" s="25" t="s">
        <v>132</v>
      </c>
      <c r="E10" s="26">
        <v>107121</v>
      </c>
      <c r="F10" s="27">
        <v>1678.32</v>
      </c>
      <c r="G10" s="28">
        <v>5.3100000000000001E-2</v>
      </c>
      <c r="H10" s="29"/>
    </row>
    <row r="11" spans="2:9" ht="15.75" customHeight="1" x14ac:dyDescent="0.25">
      <c r="B11" s="25" t="s">
        <v>222</v>
      </c>
      <c r="C11" s="25" t="s">
        <v>223</v>
      </c>
      <c r="D11" s="25" t="s">
        <v>224</v>
      </c>
      <c r="E11" s="26">
        <v>34787</v>
      </c>
      <c r="F11" s="27">
        <v>1234.4000000000001</v>
      </c>
      <c r="G11" s="28">
        <v>3.9100000000000003E-2</v>
      </c>
      <c r="H11" s="29"/>
    </row>
    <row r="12" spans="2:9" ht="15.75" customHeight="1" x14ac:dyDescent="0.25">
      <c r="B12" s="25" t="s">
        <v>272</v>
      </c>
      <c r="C12" s="25" t="s">
        <v>273</v>
      </c>
      <c r="D12" s="25" t="s">
        <v>132</v>
      </c>
      <c r="E12" s="26">
        <v>30090</v>
      </c>
      <c r="F12" s="27">
        <v>1174.76</v>
      </c>
      <c r="G12" s="28">
        <v>3.7199999999999997E-2</v>
      </c>
      <c r="H12" s="29"/>
    </row>
    <row r="13" spans="2:9" ht="15.75" customHeight="1" x14ac:dyDescent="0.25">
      <c r="B13" s="25" t="s">
        <v>210</v>
      </c>
      <c r="C13" s="25" t="s">
        <v>211</v>
      </c>
      <c r="D13" s="25" t="s">
        <v>143</v>
      </c>
      <c r="E13" s="26">
        <v>274492</v>
      </c>
      <c r="F13" s="27">
        <v>1166.32</v>
      </c>
      <c r="G13" s="28">
        <v>3.6900000000000002E-2</v>
      </c>
      <c r="H13" s="29"/>
    </row>
    <row r="14" spans="2:9" ht="15.75" customHeight="1" x14ac:dyDescent="0.25">
      <c r="B14" s="25" t="s">
        <v>426</v>
      </c>
      <c r="C14" s="25" t="s">
        <v>427</v>
      </c>
      <c r="D14" s="25" t="s">
        <v>428</v>
      </c>
      <c r="E14" s="26">
        <v>80270</v>
      </c>
      <c r="F14" s="27">
        <v>1159.1400000000001</v>
      </c>
      <c r="G14" s="28">
        <v>3.6700000000000003E-2</v>
      </c>
      <c r="H14" s="29"/>
    </row>
    <row r="15" spans="2:9" ht="15.75" customHeight="1" x14ac:dyDescent="0.25">
      <c r="B15" s="25" t="s">
        <v>188</v>
      </c>
      <c r="C15" s="25" t="s">
        <v>189</v>
      </c>
      <c r="D15" s="25" t="s">
        <v>129</v>
      </c>
      <c r="E15" s="26">
        <v>85098</v>
      </c>
      <c r="F15" s="27">
        <v>1076.7</v>
      </c>
      <c r="G15" s="28">
        <v>3.4099999999999998E-2</v>
      </c>
      <c r="H15" s="29"/>
    </row>
    <row r="16" spans="2:9" ht="15.75" customHeight="1" x14ac:dyDescent="0.25">
      <c r="B16" s="25" t="s">
        <v>220</v>
      </c>
      <c r="C16" s="25" t="s">
        <v>221</v>
      </c>
      <c r="D16" s="25" t="s">
        <v>129</v>
      </c>
      <c r="E16" s="26">
        <v>111919</v>
      </c>
      <c r="F16" s="27">
        <v>950.14</v>
      </c>
      <c r="G16" s="28">
        <v>3.0099999999999998E-2</v>
      </c>
      <c r="H16" s="29"/>
    </row>
    <row r="17" spans="2:8" ht="15.75" customHeight="1" x14ac:dyDescent="0.25">
      <c r="B17" s="25" t="s">
        <v>133</v>
      </c>
      <c r="C17" s="25" t="s">
        <v>134</v>
      </c>
      <c r="D17" s="25" t="s">
        <v>135</v>
      </c>
      <c r="E17" s="26">
        <v>29067</v>
      </c>
      <c r="F17" s="27">
        <v>833.25</v>
      </c>
      <c r="G17" s="28">
        <v>2.64E-2</v>
      </c>
      <c r="H17" s="29"/>
    </row>
    <row r="18" spans="2:8" ht="15.75" customHeight="1" x14ac:dyDescent="0.25">
      <c r="B18" s="25" t="s">
        <v>215</v>
      </c>
      <c r="C18" s="25" t="s">
        <v>216</v>
      </c>
      <c r="D18" s="25" t="s">
        <v>129</v>
      </c>
      <c r="E18" s="26">
        <v>44003</v>
      </c>
      <c r="F18" s="27">
        <v>793.15</v>
      </c>
      <c r="G18" s="28">
        <v>2.5100000000000001E-2</v>
      </c>
      <c r="H18" s="29"/>
    </row>
    <row r="19" spans="2:8" ht="15.75" customHeight="1" x14ac:dyDescent="0.25">
      <c r="B19" s="25" t="s">
        <v>141</v>
      </c>
      <c r="C19" s="25" t="s">
        <v>142</v>
      </c>
      <c r="D19" s="25" t="s">
        <v>143</v>
      </c>
      <c r="E19" s="26">
        <v>26338</v>
      </c>
      <c r="F19" s="27">
        <v>651.35</v>
      </c>
      <c r="G19" s="28">
        <v>2.06E-2</v>
      </c>
      <c r="H19" s="29"/>
    </row>
    <row r="20" spans="2:8" ht="15.75" customHeight="1" x14ac:dyDescent="0.25">
      <c r="B20" s="25" t="s">
        <v>225</v>
      </c>
      <c r="C20" s="25" t="s">
        <v>226</v>
      </c>
      <c r="D20" s="25" t="s">
        <v>227</v>
      </c>
      <c r="E20" s="26">
        <v>8258</v>
      </c>
      <c r="F20" s="27">
        <v>587.6</v>
      </c>
      <c r="G20" s="28">
        <v>1.8599999999999998E-2</v>
      </c>
      <c r="H20" s="29"/>
    </row>
    <row r="21" spans="2:8" ht="15.75" customHeight="1" x14ac:dyDescent="0.25">
      <c r="B21" s="25" t="s">
        <v>338</v>
      </c>
      <c r="C21" s="25" t="s">
        <v>339</v>
      </c>
      <c r="D21" s="25" t="s">
        <v>202</v>
      </c>
      <c r="E21" s="26">
        <v>138834</v>
      </c>
      <c r="F21" s="27">
        <v>525.28</v>
      </c>
      <c r="G21" s="28">
        <v>1.66E-2</v>
      </c>
      <c r="H21" s="29"/>
    </row>
    <row r="22" spans="2:8" ht="15.75" customHeight="1" x14ac:dyDescent="0.25">
      <c r="B22" s="25" t="s">
        <v>291</v>
      </c>
      <c r="C22" s="25" t="s">
        <v>292</v>
      </c>
      <c r="D22" s="25" t="s">
        <v>135</v>
      </c>
      <c r="E22" s="26">
        <v>51422</v>
      </c>
      <c r="F22" s="27">
        <v>508.95</v>
      </c>
      <c r="G22" s="28">
        <v>1.61E-2</v>
      </c>
      <c r="H22" s="29"/>
    </row>
    <row r="23" spans="2:8" ht="15.75" customHeight="1" x14ac:dyDescent="0.25">
      <c r="B23" s="25" t="s">
        <v>448</v>
      </c>
      <c r="C23" s="25" t="s">
        <v>449</v>
      </c>
      <c r="D23" s="25" t="s">
        <v>169</v>
      </c>
      <c r="E23" s="26">
        <v>31917</v>
      </c>
      <c r="F23" s="27">
        <v>485.41</v>
      </c>
      <c r="G23" s="28">
        <v>1.54E-2</v>
      </c>
      <c r="H23" s="29"/>
    </row>
    <row r="24" spans="2:8" ht="15.75" customHeight="1" x14ac:dyDescent="0.25">
      <c r="B24" s="25" t="s">
        <v>354</v>
      </c>
      <c r="C24" s="25" t="s">
        <v>355</v>
      </c>
      <c r="D24" s="25" t="s">
        <v>135</v>
      </c>
      <c r="E24" s="26">
        <v>3942</v>
      </c>
      <c r="F24" s="27">
        <v>474.37</v>
      </c>
      <c r="G24" s="28">
        <v>1.4999999999999999E-2</v>
      </c>
      <c r="H24" s="29"/>
    </row>
    <row r="25" spans="2:8" ht="15.75" customHeight="1" x14ac:dyDescent="0.25">
      <c r="B25" s="25" t="s">
        <v>347</v>
      </c>
      <c r="C25" s="25" t="s">
        <v>348</v>
      </c>
      <c r="D25" s="25" t="s">
        <v>132</v>
      </c>
      <c r="E25" s="26">
        <v>31705</v>
      </c>
      <c r="F25" s="27">
        <v>462.77</v>
      </c>
      <c r="G25" s="28">
        <v>1.47E-2</v>
      </c>
      <c r="H25" s="29"/>
    </row>
    <row r="26" spans="2:8" ht="15.75" customHeight="1" x14ac:dyDescent="0.25">
      <c r="B26" s="25" t="s">
        <v>206</v>
      </c>
      <c r="C26" s="25" t="s">
        <v>207</v>
      </c>
      <c r="D26" s="25" t="s">
        <v>202</v>
      </c>
      <c r="E26" s="26">
        <v>133831</v>
      </c>
      <c r="F26" s="27">
        <v>442.91</v>
      </c>
      <c r="G26" s="28">
        <v>1.4E-2</v>
      </c>
      <c r="H26" s="29"/>
    </row>
    <row r="27" spans="2:8" ht="15.75" customHeight="1" x14ac:dyDescent="0.25">
      <c r="B27" s="25" t="s">
        <v>179</v>
      </c>
      <c r="C27" s="25" t="s">
        <v>180</v>
      </c>
      <c r="D27" s="25" t="s">
        <v>181</v>
      </c>
      <c r="E27" s="26">
        <v>242148</v>
      </c>
      <c r="F27" s="27">
        <v>421.36</v>
      </c>
      <c r="G27" s="28">
        <v>1.3299999999999999E-2</v>
      </c>
      <c r="H27" s="29"/>
    </row>
    <row r="28" spans="2:8" ht="15.75" customHeight="1" x14ac:dyDescent="0.25">
      <c r="B28" s="25" t="s">
        <v>270</v>
      </c>
      <c r="C28" s="25" t="s">
        <v>271</v>
      </c>
      <c r="D28" s="25" t="s">
        <v>194</v>
      </c>
      <c r="E28" s="26">
        <v>12301</v>
      </c>
      <c r="F28" s="27">
        <v>418.75</v>
      </c>
      <c r="G28" s="28">
        <v>1.3299999999999999E-2</v>
      </c>
      <c r="H28" s="29"/>
    </row>
    <row r="29" spans="2:8" ht="15.75" customHeight="1" x14ac:dyDescent="0.25">
      <c r="B29" s="25" t="s">
        <v>502</v>
      </c>
      <c r="C29" s="25" t="s">
        <v>503</v>
      </c>
      <c r="D29" s="25" t="s">
        <v>276</v>
      </c>
      <c r="E29" s="26">
        <v>3452</v>
      </c>
      <c r="F29" s="27">
        <v>402.78</v>
      </c>
      <c r="G29" s="28">
        <v>1.2800000000000001E-2</v>
      </c>
      <c r="H29" s="29"/>
    </row>
    <row r="30" spans="2:8" ht="15.75" customHeight="1" x14ac:dyDescent="0.25">
      <c r="B30" s="25" t="s">
        <v>375</v>
      </c>
      <c r="C30" s="25" t="s">
        <v>376</v>
      </c>
      <c r="D30" s="25" t="s">
        <v>194</v>
      </c>
      <c r="E30" s="26">
        <v>13235</v>
      </c>
      <c r="F30" s="27">
        <v>386.07</v>
      </c>
      <c r="G30" s="28">
        <v>1.2200000000000001E-2</v>
      </c>
      <c r="H30" s="29"/>
    </row>
    <row r="31" spans="2:8" ht="15.75" customHeight="1" x14ac:dyDescent="0.25">
      <c r="B31" s="25" t="s">
        <v>771</v>
      </c>
      <c r="C31" s="25" t="s">
        <v>772</v>
      </c>
      <c r="D31" s="25" t="s">
        <v>290</v>
      </c>
      <c r="E31" s="26">
        <v>21920</v>
      </c>
      <c r="F31" s="27">
        <v>324</v>
      </c>
      <c r="G31" s="28">
        <v>1.03E-2</v>
      </c>
      <c r="H31" s="29"/>
    </row>
    <row r="32" spans="2:8" ht="15.75" customHeight="1" x14ac:dyDescent="0.25">
      <c r="B32" s="25" t="s">
        <v>264</v>
      </c>
      <c r="C32" s="25" t="s">
        <v>265</v>
      </c>
      <c r="D32" s="25" t="s">
        <v>266</v>
      </c>
      <c r="E32" s="26">
        <v>66910</v>
      </c>
      <c r="F32" s="27">
        <v>316.58</v>
      </c>
      <c r="G32" s="28">
        <v>0.01</v>
      </c>
      <c r="H32" s="29"/>
    </row>
    <row r="33" spans="2:8" ht="15.75" customHeight="1" x14ac:dyDescent="0.25">
      <c r="B33" s="25" t="s">
        <v>554</v>
      </c>
      <c r="C33" s="25" t="s">
        <v>555</v>
      </c>
      <c r="D33" s="25" t="s">
        <v>135</v>
      </c>
      <c r="E33" s="26">
        <v>3304</v>
      </c>
      <c r="F33" s="27">
        <v>313.93</v>
      </c>
      <c r="G33" s="28">
        <v>9.9000000000000008E-3</v>
      </c>
      <c r="H33" s="29"/>
    </row>
    <row r="34" spans="2:8" ht="15.75" customHeight="1" x14ac:dyDescent="0.25">
      <c r="B34" s="25" t="s">
        <v>644</v>
      </c>
      <c r="C34" s="25" t="s">
        <v>645</v>
      </c>
      <c r="D34" s="25" t="s">
        <v>454</v>
      </c>
      <c r="E34" s="26">
        <v>112871</v>
      </c>
      <c r="F34" s="27">
        <v>309.49</v>
      </c>
      <c r="G34" s="28">
        <v>9.7999999999999997E-3</v>
      </c>
      <c r="H34" s="29"/>
    </row>
    <row r="35" spans="2:8" ht="15.75" customHeight="1" x14ac:dyDescent="0.25">
      <c r="B35" s="25" t="s">
        <v>312</v>
      </c>
      <c r="C35" s="25" t="s">
        <v>313</v>
      </c>
      <c r="D35" s="25" t="s">
        <v>214</v>
      </c>
      <c r="E35" s="26">
        <v>42888</v>
      </c>
      <c r="F35" s="27">
        <v>297.45</v>
      </c>
      <c r="G35" s="28">
        <v>9.4000000000000004E-3</v>
      </c>
      <c r="H35" s="29"/>
    </row>
    <row r="36" spans="2:8" ht="15.75" customHeight="1" x14ac:dyDescent="0.25">
      <c r="B36" s="25" t="s">
        <v>340</v>
      </c>
      <c r="C36" s="25" t="s">
        <v>341</v>
      </c>
      <c r="D36" s="25" t="s">
        <v>276</v>
      </c>
      <c r="E36" s="26">
        <v>11013</v>
      </c>
      <c r="F36" s="27">
        <v>294.10000000000002</v>
      </c>
      <c r="G36" s="28">
        <v>9.2999999999999992E-3</v>
      </c>
      <c r="H36" s="29"/>
    </row>
    <row r="37" spans="2:8" ht="15.75" customHeight="1" x14ac:dyDescent="0.25">
      <c r="B37" s="25" t="s">
        <v>170</v>
      </c>
      <c r="C37" s="25" t="s">
        <v>171</v>
      </c>
      <c r="D37" s="25" t="s">
        <v>129</v>
      </c>
      <c r="E37" s="26">
        <v>19951</v>
      </c>
      <c r="F37" s="27">
        <v>292.18</v>
      </c>
      <c r="G37" s="28">
        <v>9.2999999999999992E-3</v>
      </c>
      <c r="H37" s="29"/>
    </row>
    <row r="38" spans="2:8" ht="15.75" customHeight="1" x14ac:dyDescent="0.25">
      <c r="B38" s="25" t="s">
        <v>208</v>
      </c>
      <c r="C38" s="25" t="s">
        <v>209</v>
      </c>
      <c r="D38" s="25" t="s">
        <v>132</v>
      </c>
      <c r="E38" s="26">
        <v>18853</v>
      </c>
      <c r="F38" s="27">
        <v>269.66000000000003</v>
      </c>
      <c r="G38" s="28">
        <v>8.5000000000000006E-3</v>
      </c>
      <c r="H38" s="29"/>
    </row>
    <row r="39" spans="2:8" ht="15.75" customHeight="1" x14ac:dyDescent="0.25">
      <c r="B39" s="25" t="s">
        <v>144</v>
      </c>
      <c r="C39" s="25" t="s">
        <v>145</v>
      </c>
      <c r="D39" s="25" t="s">
        <v>146</v>
      </c>
      <c r="E39" s="26">
        <v>10471</v>
      </c>
      <c r="F39" s="27">
        <v>267.18</v>
      </c>
      <c r="G39" s="28">
        <v>8.5000000000000006E-3</v>
      </c>
      <c r="H39" s="29"/>
    </row>
    <row r="40" spans="2:8" ht="15.75" customHeight="1" x14ac:dyDescent="0.25">
      <c r="B40" s="25" t="s">
        <v>279</v>
      </c>
      <c r="C40" s="25" t="s">
        <v>280</v>
      </c>
      <c r="D40" s="25" t="s">
        <v>181</v>
      </c>
      <c r="E40" s="26">
        <v>28431</v>
      </c>
      <c r="F40" s="27">
        <v>264.83</v>
      </c>
      <c r="G40" s="28">
        <v>8.3999999999999995E-3</v>
      </c>
      <c r="H40" s="29"/>
    </row>
    <row r="41" spans="2:8" ht="15.75" customHeight="1" x14ac:dyDescent="0.25">
      <c r="B41" s="25" t="s">
        <v>323</v>
      </c>
      <c r="C41" s="25" t="s">
        <v>324</v>
      </c>
      <c r="D41" s="25" t="s">
        <v>227</v>
      </c>
      <c r="E41" s="26">
        <v>16078</v>
      </c>
      <c r="F41" s="27">
        <v>255.34</v>
      </c>
      <c r="G41" s="28">
        <v>8.0999999999999996E-3</v>
      </c>
      <c r="H41" s="29"/>
    </row>
    <row r="42" spans="2:8" ht="15.75" customHeight="1" x14ac:dyDescent="0.25">
      <c r="B42" s="25" t="s">
        <v>773</v>
      </c>
      <c r="C42" s="25" t="s">
        <v>774</v>
      </c>
      <c r="D42" s="25" t="s">
        <v>775</v>
      </c>
      <c r="E42" s="26">
        <v>7778</v>
      </c>
      <c r="F42" s="27">
        <v>247.12</v>
      </c>
      <c r="G42" s="28">
        <v>7.7999999999999996E-3</v>
      </c>
      <c r="H42" s="29"/>
    </row>
    <row r="43" spans="2:8" ht="15.75" customHeight="1" x14ac:dyDescent="0.25">
      <c r="B43" s="25" t="s">
        <v>298</v>
      </c>
      <c r="C43" s="25" t="s">
        <v>299</v>
      </c>
      <c r="D43" s="25" t="s">
        <v>227</v>
      </c>
      <c r="E43" s="26">
        <v>8299</v>
      </c>
      <c r="F43" s="27">
        <v>241.63</v>
      </c>
      <c r="G43" s="28">
        <v>7.7000000000000002E-3</v>
      </c>
      <c r="H43" s="29"/>
    </row>
    <row r="44" spans="2:8" ht="15.75" customHeight="1" x14ac:dyDescent="0.25">
      <c r="B44" s="25" t="s">
        <v>569</v>
      </c>
      <c r="C44" s="25" t="s">
        <v>570</v>
      </c>
      <c r="D44" s="25" t="s">
        <v>169</v>
      </c>
      <c r="E44" s="26">
        <v>15597</v>
      </c>
      <c r="F44" s="27">
        <v>230.96</v>
      </c>
      <c r="G44" s="28">
        <v>7.3000000000000001E-3</v>
      </c>
      <c r="H44" s="29"/>
    </row>
    <row r="45" spans="2:8" ht="15.75" customHeight="1" x14ac:dyDescent="0.25">
      <c r="B45" s="25" t="s">
        <v>391</v>
      </c>
      <c r="C45" s="25" t="s">
        <v>392</v>
      </c>
      <c r="D45" s="25" t="s">
        <v>169</v>
      </c>
      <c r="E45" s="26">
        <v>3530</v>
      </c>
      <c r="F45" s="27">
        <v>226</v>
      </c>
      <c r="G45" s="28">
        <v>7.1999999999999998E-3</v>
      </c>
      <c r="H45" s="29"/>
    </row>
    <row r="46" spans="2:8" ht="15.75" customHeight="1" x14ac:dyDescent="0.25">
      <c r="B46" s="25" t="s">
        <v>776</v>
      </c>
      <c r="C46" s="25" t="s">
        <v>777</v>
      </c>
      <c r="D46" s="25" t="s">
        <v>132</v>
      </c>
      <c r="E46" s="26">
        <v>42008</v>
      </c>
      <c r="F46" s="27">
        <v>216.28</v>
      </c>
      <c r="G46" s="28">
        <v>6.7999999999999996E-3</v>
      </c>
      <c r="H46" s="29"/>
    </row>
    <row r="47" spans="2:8" ht="15.75" customHeight="1" x14ac:dyDescent="0.25">
      <c r="B47" s="25" t="s">
        <v>342</v>
      </c>
      <c r="C47" s="25" t="s">
        <v>343</v>
      </c>
      <c r="D47" s="25" t="s">
        <v>135</v>
      </c>
      <c r="E47" s="26">
        <v>3814</v>
      </c>
      <c r="F47" s="27">
        <v>212.81</v>
      </c>
      <c r="G47" s="28">
        <v>6.7000000000000002E-3</v>
      </c>
      <c r="H47" s="29"/>
    </row>
    <row r="48" spans="2:8" ht="15.75" customHeight="1" x14ac:dyDescent="0.25">
      <c r="B48" s="25" t="s">
        <v>743</v>
      </c>
      <c r="C48" s="25" t="s">
        <v>744</v>
      </c>
      <c r="D48" s="25" t="s">
        <v>566</v>
      </c>
      <c r="E48" s="26">
        <v>18603</v>
      </c>
      <c r="F48" s="27">
        <v>204.16</v>
      </c>
      <c r="G48" s="28">
        <v>6.4999999999999997E-3</v>
      </c>
      <c r="H48" s="29"/>
    </row>
    <row r="49" spans="2:8" ht="15.75" customHeight="1" x14ac:dyDescent="0.25">
      <c r="B49" s="25" t="s">
        <v>296</v>
      </c>
      <c r="C49" s="25" t="s">
        <v>297</v>
      </c>
      <c r="D49" s="25" t="s">
        <v>285</v>
      </c>
      <c r="E49" s="26">
        <v>13211</v>
      </c>
      <c r="F49" s="27">
        <v>197.1</v>
      </c>
      <c r="G49" s="28">
        <v>6.1999999999999998E-3</v>
      </c>
      <c r="H49" s="29"/>
    </row>
    <row r="50" spans="2:8" ht="15.75" customHeight="1" x14ac:dyDescent="0.25">
      <c r="B50" s="25" t="s">
        <v>300</v>
      </c>
      <c r="C50" s="25" t="s">
        <v>301</v>
      </c>
      <c r="D50" s="25" t="s">
        <v>146</v>
      </c>
      <c r="E50" s="26">
        <v>3497</v>
      </c>
      <c r="F50" s="27">
        <v>191.48</v>
      </c>
      <c r="G50" s="28">
        <v>6.1000000000000004E-3</v>
      </c>
      <c r="H50" s="29"/>
    </row>
    <row r="51" spans="2:8" ht="15.75" customHeight="1" x14ac:dyDescent="0.25">
      <c r="B51" s="25" t="s">
        <v>778</v>
      </c>
      <c r="C51" s="25" t="s">
        <v>779</v>
      </c>
      <c r="D51" s="25" t="s">
        <v>135</v>
      </c>
      <c r="E51" s="26">
        <v>4087</v>
      </c>
      <c r="F51" s="27">
        <v>190.98</v>
      </c>
      <c r="G51" s="28">
        <v>6.0000000000000001E-3</v>
      </c>
      <c r="H51" s="29"/>
    </row>
    <row r="52" spans="2:8" ht="15.75" customHeight="1" x14ac:dyDescent="0.25">
      <c r="B52" s="25" t="s">
        <v>321</v>
      </c>
      <c r="C52" s="25" t="s">
        <v>322</v>
      </c>
      <c r="D52" s="25" t="s">
        <v>285</v>
      </c>
      <c r="E52" s="26">
        <v>31143</v>
      </c>
      <c r="F52" s="27">
        <v>185.32</v>
      </c>
      <c r="G52" s="28">
        <v>5.8999999999999999E-3</v>
      </c>
      <c r="H52" s="29"/>
    </row>
    <row r="53" spans="2:8" ht="15.75" customHeight="1" x14ac:dyDescent="0.25">
      <c r="B53" s="25" t="s">
        <v>543</v>
      </c>
      <c r="C53" s="25" t="s">
        <v>544</v>
      </c>
      <c r="D53" s="25" t="s">
        <v>362</v>
      </c>
      <c r="E53" s="26">
        <v>2984</v>
      </c>
      <c r="F53" s="27">
        <v>184.58</v>
      </c>
      <c r="G53" s="28">
        <v>5.7999999999999996E-3</v>
      </c>
      <c r="H53" s="29"/>
    </row>
    <row r="54" spans="2:8" ht="15.75" customHeight="1" x14ac:dyDescent="0.25">
      <c r="B54" s="25" t="s">
        <v>281</v>
      </c>
      <c r="C54" s="25" t="s">
        <v>282</v>
      </c>
      <c r="D54" s="25" t="s">
        <v>140</v>
      </c>
      <c r="E54" s="26">
        <v>58162</v>
      </c>
      <c r="F54" s="27">
        <v>176.78</v>
      </c>
      <c r="G54" s="28">
        <v>5.5999999999999999E-3</v>
      </c>
      <c r="H54" s="29"/>
    </row>
    <row r="55" spans="2:8" ht="15.75" customHeight="1" x14ac:dyDescent="0.25">
      <c r="B55" s="25" t="s">
        <v>571</v>
      </c>
      <c r="C55" s="25" t="s">
        <v>572</v>
      </c>
      <c r="D55" s="25" t="s">
        <v>169</v>
      </c>
      <c r="E55" s="26">
        <v>3727</v>
      </c>
      <c r="F55" s="27">
        <v>171.31</v>
      </c>
      <c r="G55" s="28">
        <v>5.4000000000000003E-3</v>
      </c>
      <c r="H55" s="29"/>
    </row>
    <row r="56" spans="2:8" ht="15.75" customHeight="1" x14ac:dyDescent="0.25">
      <c r="B56" s="25" t="s">
        <v>147</v>
      </c>
      <c r="C56" s="25" t="s">
        <v>148</v>
      </c>
      <c r="D56" s="25" t="s">
        <v>132</v>
      </c>
      <c r="E56" s="26">
        <v>2717</v>
      </c>
      <c r="F56" s="27">
        <v>146.31</v>
      </c>
      <c r="G56" s="28">
        <v>4.5999999999999999E-3</v>
      </c>
      <c r="H56" s="29"/>
    </row>
    <row r="57" spans="2:8" ht="15.75" customHeight="1" x14ac:dyDescent="0.25">
      <c r="B57" s="24" t="s">
        <v>102</v>
      </c>
      <c r="C57" s="24"/>
      <c r="D57" s="24"/>
      <c r="E57" s="30"/>
      <c r="F57" s="31">
        <v>31442.31</v>
      </c>
      <c r="G57" s="32">
        <v>0.99550000000000005</v>
      </c>
      <c r="H57" s="33"/>
    </row>
    <row r="58" spans="2:8" ht="15.75" customHeight="1" x14ac:dyDescent="0.25">
      <c r="B58" s="24" t="s">
        <v>149</v>
      </c>
      <c r="C58" s="25"/>
      <c r="D58" s="25"/>
      <c r="E58" s="26"/>
      <c r="F58" s="27"/>
      <c r="G58" s="28"/>
      <c r="H58" s="29"/>
    </row>
    <row r="59" spans="2:8" ht="15.75" customHeight="1" x14ac:dyDescent="0.25">
      <c r="B59" s="24" t="s">
        <v>102</v>
      </c>
      <c r="C59" s="25"/>
      <c r="D59" s="25"/>
      <c r="E59" s="26"/>
      <c r="F59" s="34" t="s">
        <v>104</v>
      </c>
      <c r="G59" s="35" t="s">
        <v>104</v>
      </c>
      <c r="H59" s="29"/>
    </row>
    <row r="60" spans="2:8" ht="15.75" customHeight="1" x14ac:dyDescent="0.25">
      <c r="B60" s="25"/>
      <c r="C60" s="25"/>
      <c r="D60" s="25"/>
      <c r="E60" s="26"/>
      <c r="F60" s="27"/>
      <c r="G60" s="28"/>
      <c r="H60" s="29"/>
    </row>
    <row r="61" spans="2:8" ht="15.75" customHeight="1" x14ac:dyDescent="0.25">
      <c r="B61" s="36" t="s">
        <v>106</v>
      </c>
      <c r="C61" s="36"/>
      <c r="D61" s="36"/>
      <c r="E61" s="37"/>
      <c r="F61" s="31">
        <v>31442.31</v>
      </c>
      <c r="G61" s="32">
        <v>0.99550000000000005</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109</v>
      </c>
      <c r="C64" s="25"/>
      <c r="D64" s="25"/>
      <c r="E64" s="26"/>
      <c r="F64" s="27"/>
      <c r="G64" s="28"/>
      <c r="H64" s="29"/>
    </row>
    <row r="65" spans="2:16" ht="15.75" customHeight="1" x14ac:dyDescent="0.25">
      <c r="B65" s="25" t="s">
        <v>110</v>
      </c>
      <c r="C65" s="25"/>
      <c r="D65" s="25"/>
      <c r="E65" s="26"/>
      <c r="F65" s="27">
        <v>41.06</v>
      </c>
      <c r="G65" s="28">
        <v>1.2999999999999999E-3</v>
      </c>
      <c r="H65" s="29"/>
    </row>
    <row r="66" spans="2:16" ht="15.75" customHeight="1" x14ac:dyDescent="0.25">
      <c r="B66" s="24" t="s">
        <v>102</v>
      </c>
      <c r="C66" s="24"/>
      <c r="D66" s="24"/>
      <c r="E66" s="30"/>
      <c r="F66" s="31">
        <v>41.06</v>
      </c>
      <c r="G66" s="32">
        <v>1.2999999999999999E-3</v>
      </c>
      <c r="H66" s="33"/>
    </row>
    <row r="67" spans="2:16" ht="15.75" customHeight="1" x14ac:dyDescent="0.25">
      <c r="B67" s="25"/>
      <c r="C67" s="25"/>
      <c r="D67" s="25"/>
      <c r="E67" s="26"/>
      <c r="F67" s="27"/>
      <c r="G67" s="28"/>
      <c r="H67" s="29"/>
    </row>
    <row r="68" spans="2:16" ht="15.75" customHeight="1" x14ac:dyDescent="0.25">
      <c r="B68" s="36" t="s">
        <v>106</v>
      </c>
      <c r="C68" s="36"/>
      <c r="D68" s="36"/>
      <c r="E68" s="37"/>
      <c r="F68" s="31">
        <v>41.06</v>
      </c>
      <c r="G68" s="32">
        <v>1.2999999999999999E-3</v>
      </c>
      <c r="H68" s="33"/>
      <c r="L68" s="3"/>
    </row>
    <row r="69" spans="2:16" ht="15.75" customHeight="1" x14ac:dyDescent="0.25">
      <c r="B69" s="25" t="s">
        <v>111</v>
      </c>
      <c r="C69" s="25"/>
      <c r="D69" s="25"/>
      <c r="E69" s="26"/>
      <c r="F69" s="27">
        <v>98.86</v>
      </c>
      <c r="G69" s="28">
        <v>3.1999999999999806E-3</v>
      </c>
      <c r="H69" s="29"/>
    </row>
    <row r="70" spans="2:16" ht="15.75" customHeight="1" x14ac:dyDescent="0.25">
      <c r="B70" s="40" t="s">
        <v>112</v>
      </c>
      <c r="C70" s="40"/>
      <c r="D70" s="40"/>
      <c r="E70" s="41"/>
      <c r="F70" s="42">
        <v>31582.23</v>
      </c>
      <c r="G70" s="43">
        <v>1</v>
      </c>
      <c r="H70" s="44"/>
      <c r="L70" s="3"/>
    </row>
    <row r="71" spans="2:16" ht="15.75" customHeight="1" thickBot="1" x14ac:dyDescent="0.3">
      <c r="B71" s="2"/>
      <c r="L71" s="3"/>
    </row>
    <row r="72" spans="2:16" ht="27" customHeight="1" thickBot="1" x14ac:dyDescent="0.3">
      <c r="B72" s="56" t="s">
        <v>964</v>
      </c>
      <c r="C72" s="57" t="s">
        <v>965</v>
      </c>
      <c r="D72" s="57" t="s">
        <v>966</v>
      </c>
      <c r="E72" s="62" t="s">
        <v>967</v>
      </c>
      <c r="G72" s="2"/>
      <c r="H72" s="2"/>
    </row>
    <row r="73" spans="2:16" ht="27.75" customHeight="1" x14ac:dyDescent="0.25">
      <c r="B73" s="69" t="s">
        <v>62</v>
      </c>
      <c r="C73" s="81"/>
      <c r="D73" s="84" t="s">
        <v>1023</v>
      </c>
      <c r="E73" s="86"/>
      <c r="G73" s="2"/>
      <c r="H73" s="2"/>
    </row>
    <row r="74" spans="2:16" ht="31.5" customHeight="1" x14ac:dyDescent="0.25">
      <c r="B74" s="65" t="s">
        <v>1024</v>
      </c>
      <c r="C74" s="82"/>
      <c r="D74" s="85"/>
      <c r="E74" s="82"/>
      <c r="G74" s="2"/>
      <c r="H74" s="2"/>
    </row>
    <row r="75" spans="2:16" ht="40" customHeight="1" x14ac:dyDescent="0.25">
      <c r="B75" s="65" t="s">
        <v>1025</v>
      </c>
      <c r="C75" s="82"/>
      <c r="D75" s="85"/>
      <c r="E75" s="82"/>
      <c r="G75" s="2"/>
      <c r="H75" s="2"/>
    </row>
    <row r="76" spans="2:16" ht="22.5" customHeight="1" thickBot="1" x14ac:dyDescent="0.3">
      <c r="B76" s="67" t="s">
        <v>982</v>
      </c>
      <c r="C76" s="83"/>
      <c r="D76" s="70" t="s">
        <v>982</v>
      </c>
      <c r="E76" s="87"/>
      <c r="G76" s="2"/>
      <c r="H76" s="2"/>
    </row>
    <row r="77" spans="2:16" ht="25" customHeight="1" x14ac:dyDescent="0.25">
      <c r="B77" s="58" t="s">
        <v>969</v>
      </c>
      <c r="C77" s="59"/>
      <c r="D77" s="60"/>
      <c r="E77" s="61"/>
      <c r="G77" s="2"/>
      <c r="H77" s="2"/>
    </row>
    <row r="78" spans="2:16" ht="15.75" customHeight="1" x14ac:dyDescent="0.25">
      <c r="L78" s="7"/>
      <c r="M78" s="7"/>
      <c r="N78" s="7"/>
      <c r="O78" s="7"/>
      <c r="P78" s="7"/>
    </row>
    <row r="79" spans="2:16" ht="11.5" x14ac:dyDescent="0.25">
      <c r="B79" s="2" t="s">
        <v>970</v>
      </c>
      <c r="C79" s="2"/>
      <c r="D79" s="2"/>
      <c r="G79" s="2"/>
      <c r="H79" s="2"/>
    </row>
    <row r="80" spans="2:16" ht="11.5" x14ac:dyDescent="0.25">
      <c r="B80" s="3" t="s">
        <v>971</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121A250D-430C-4309-BBB5-CCA51D63C80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0D46B-59B2-4AB9-978D-2C4FB60EF8FE}">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5.90625" style="9" customWidth="1"/>
    <col min="4" max="4" width="26.6328125" style="9" customWidth="1"/>
    <col min="5" max="5" width="27.7265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1052</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69016</v>
      </c>
      <c r="F7" s="27">
        <v>1161.92</v>
      </c>
      <c r="G7" s="28">
        <v>0.13930000000000001</v>
      </c>
      <c r="H7" s="29"/>
    </row>
    <row r="8" spans="2:9" ht="15.75" customHeight="1" x14ac:dyDescent="0.25">
      <c r="B8" s="25" t="s">
        <v>138</v>
      </c>
      <c r="C8" s="25" t="s">
        <v>139</v>
      </c>
      <c r="D8" s="25" t="s">
        <v>140</v>
      </c>
      <c r="E8" s="26">
        <v>31095</v>
      </c>
      <c r="F8" s="27">
        <v>973.85</v>
      </c>
      <c r="G8" s="28">
        <v>0.1167</v>
      </c>
      <c r="H8" s="29"/>
    </row>
    <row r="9" spans="2:9" ht="15.75" customHeight="1" x14ac:dyDescent="0.25">
      <c r="B9" s="25" t="s">
        <v>127</v>
      </c>
      <c r="C9" s="25" t="s">
        <v>128</v>
      </c>
      <c r="D9" s="25" t="s">
        <v>129</v>
      </c>
      <c r="E9" s="26">
        <v>64429</v>
      </c>
      <c r="F9" s="27">
        <v>773.02</v>
      </c>
      <c r="G9" s="28">
        <v>9.2700000000000005E-2</v>
      </c>
      <c r="H9" s="29"/>
    </row>
    <row r="10" spans="2:9" ht="15.75" customHeight="1" x14ac:dyDescent="0.25">
      <c r="B10" s="25" t="s">
        <v>130</v>
      </c>
      <c r="C10" s="25" t="s">
        <v>131</v>
      </c>
      <c r="D10" s="25" t="s">
        <v>132</v>
      </c>
      <c r="E10" s="26">
        <v>33110</v>
      </c>
      <c r="F10" s="27">
        <v>518.82000000000005</v>
      </c>
      <c r="G10" s="28">
        <v>6.2199999999999998E-2</v>
      </c>
      <c r="H10" s="29"/>
    </row>
    <row r="11" spans="2:9" ht="15.75" customHeight="1" x14ac:dyDescent="0.25">
      <c r="B11" s="25" t="s">
        <v>222</v>
      </c>
      <c r="C11" s="25" t="s">
        <v>223</v>
      </c>
      <c r="D11" s="25" t="s">
        <v>224</v>
      </c>
      <c r="E11" s="26">
        <v>10717</v>
      </c>
      <c r="F11" s="27">
        <v>380.39</v>
      </c>
      <c r="G11" s="28">
        <v>4.5600000000000002E-2</v>
      </c>
      <c r="H11" s="29"/>
    </row>
    <row r="12" spans="2:9" ht="15.75" customHeight="1" x14ac:dyDescent="0.25">
      <c r="B12" s="25" t="s">
        <v>272</v>
      </c>
      <c r="C12" s="25" t="s">
        <v>273</v>
      </c>
      <c r="D12" s="25" t="s">
        <v>132</v>
      </c>
      <c r="E12" s="26">
        <v>9291</v>
      </c>
      <c r="F12" s="27">
        <v>362.81</v>
      </c>
      <c r="G12" s="28">
        <v>4.3499999999999997E-2</v>
      </c>
      <c r="H12" s="29"/>
    </row>
    <row r="13" spans="2:9" ht="15.75" customHeight="1" x14ac:dyDescent="0.25">
      <c r="B13" s="25" t="s">
        <v>210</v>
      </c>
      <c r="C13" s="25" t="s">
        <v>211</v>
      </c>
      <c r="D13" s="25" t="s">
        <v>143</v>
      </c>
      <c r="E13" s="26">
        <v>84918</v>
      </c>
      <c r="F13" s="27">
        <v>360.82</v>
      </c>
      <c r="G13" s="28">
        <v>4.3200000000000002E-2</v>
      </c>
      <c r="H13" s="29"/>
    </row>
    <row r="14" spans="2:9" ht="15.75" customHeight="1" x14ac:dyDescent="0.25">
      <c r="B14" s="25" t="s">
        <v>426</v>
      </c>
      <c r="C14" s="25" t="s">
        <v>427</v>
      </c>
      <c r="D14" s="25" t="s">
        <v>428</v>
      </c>
      <c r="E14" s="26">
        <v>24317</v>
      </c>
      <c r="F14" s="27">
        <v>351.47</v>
      </c>
      <c r="G14" s="28">
        <v>4.2099999999999999E-2</v>
      </c>
      <c r="H14" s="29"/>
    </row>
    <row r="15" spans="2:9" ht="15.75" customHeight="1" x14ac:dyDescent="0.25">
      <c r="B15" s="25" t="s">
        <v>188</v>
      </c>
      <c r="C15" s="25" t="s">
        <v>189</v>
      </c>
      <c r="D15" s="25" t="s">
        <v>129</v>
      </c>
      <c r="E15" s="26">
        <v>25871</v>
      </c>
      <c r="F15" s="27">
        <v>327.45</v>
      </c>
      <c r="G15" s="28">
        <v>3.9300000000000002E-2</v>
      </c>
      <c r="H15" s="29"/>
    </row>
    <row r="16" spans="2:9" ht="15.75" customHeight="1" x14ac:dyDescent="0.25">
      <c r="B16" s="25" t="s">
        <v>220</v>
      </c>
      <c r="C16" s="25" t="s">
        <v>221</v>
      </c>
      <c r="D16" s="25" t="s">
        <v>129</v>
      </c>
      <c r="E16" s="26">
        <v>35214</v>
      </c>
      <c r="F16" s="27">
        <v>298.91000000000003</v>
      </c>
      <c r="G16" s="28">
        <v>3.5799999999999998E-2</v>
      </c>
      <c r="H16" s="29"/>
    </row>
    <row r="17" spans="2:8" ht="15.75" customHeight="1" x14ac:dyDescent="0.25">
      <c r="B17" s="25" t="s">
        <v>215</v>
      </c>
      <c r="C17" s="25" t="s">
        <v>216</v>
      </c>
      <c r="D17" s="25" t="s">
        <v>129</v>
      </c>
      <c r="E17" s="26">
        <v>13501</v>
      </c>
      <c r="F17" s="27">
        <v>243.42</v>
      </c>
      <c r="G17" s="28">
        <v>2.92E-2</v>
      </c>
      <c r="H17" s="29"/>
    </row>
    <row r="18" spans="2:8" ht="15.75" customHeight="1" x14ac:dyDescent="0.25">
      <c r="B18" s="25" t="s">
        <v>133</v>
      </c>
      <c r="C18" s="25" t="s">
        <v>134</v>
      </c>
      <c r="D18" s="25" t="s">
        <v>135</v>
      </c>
      <c r="E18" s="26">
        <v>8076</v>
      </c>
      <c r="F18" s="27">
        <v>231.64</v>
      </c>
      <c r="G18" s="28">
        <v>2.7799999999999998E-2</v>
      </c>
      <c r="H18" s="29"/>
    </row>
    <row r="19" spans="2:8" ht="15.75" customHeight="1" x14ac:dyDescent="0.25">
      <c r="B19" s="25" t="s">
        <v>141</v>
      </c>
      <c r="C19" s="25" t="s">
        <v>142</v>
      </c>
      <c r="D19" s="25" t="s">
        <v>143</v>
      </c>
      <c r="E19" s="26">
        <v>8243</v>
      </c>
      <c r="F19" s="27">
        <v>204.03</v>
      </c>
      <c r="G19" s="28">
        <v>2.4500000000000001E-2</v>
      </c>
      <c r="H19" s="29"/>
    </row>
    <row r="20" spans="2:8" ht="15.75" customHeight="1" x14ac:dyDescent="0.25">
      <c r="B20" s="25" t="s">
        <v>225</v>
      </c>
      <c r="C20" s="25" t="s">
        <v>226</v>
      </c>
      <c r="D20" s="25" t="s">
        <v>227</v>
      </c>
      <c r="E20" s="26">
        <v>2565</v>
      </c>
      <c r="F20" s="27">
        <v>182.52</v>
      </c>
      <c r="G20" s="28">
        <v>2.1899999999999999E-2</v>
      </c>
      <c r="H20" s="29"/>
    </row>
    <row r="21" spans="2:8" ht="15.75" customHeight="1" x14ac:dyDescent="0.25">
      <c r="B21" s="25" t="s">
        <v>338</v>
      </c>
      <c r="C21" s="25" t="s">
        <v>339</v>
      </c>
      <c r="D21" s="25" t="s">
        <v>202</v>
      </c>
      <c r="E21" s="26">
        <v>43485</v>
      </c>
      <c r="F21" s="27">
        <v>164.53</v>
      </c>
      <c r="G21" s="28">
        <v>1.9699999999999999E-2</v>
      </c>
      <c r="H21" s="29"/>
    </row>
    <row r="22" spans="2:8" ht="15.75" customHeight="1" x14ac:dyDescent="0.25">
      <c r="B22" s="25" t="s">
        <v>291</v>
      </c>
      <c r="C22" s="25" t="s">
        <v>292</v>
      </c>
      <c r="D22" s="25" t="s">
        <v>135</v>
      </c>
      <c r="E22" s="26">
        <v>16185</v>
      </c>
      <c r="F22" s="27">
        <v>160.25</v>
      </c>
      <c r="G22" s="28">
        <v>1.9199999999999998E-2</v>
      </c>
      <c r="H22" s="29"/>
    </row>
    <row r="23" spans="2:8" ht="15.75" customHeight="1" x14ac:dyDescent="0.25">
      <c r="B23" s="25" t="s">
        <v>448</v>
      </c>
      <c r="C23" s="25" t="s">
        <v>449</v>
      </c>
      <c r="D23" s="25" t="s">
        <v>169</v>
      </c>
      <c r="E23" s="26">
        <v>9908</v>
      </c>
      <c r="F23" s="27">
        <v>150.84</v>
      </c>
      <c r="G23" s="28">
        <v>1.8100000000000002E-2</v>
      </c>
      <c r="H23" s="29"/>
    </row>
    <row r="24" spans="2:8" ht="15.75" customHeight="1" x14ac:dyDescent="0.25">
      <c r="B24" s="25" t="s">
        <v>354</v>
      </c>
      <c r="C24" s="25" t="s">
        <v>355</v>
      </c>
      <c r="D24" s="25" t="s">
        <v>135</v>
      </c>
      <c r="E24" s="26">
        <v>1215</v>
      </c>
      <c r="F24" s="27">
        <v>146.25</v>
      </c>
      <c r="G24" s="28">
        <v>1.7500000000000002E-2</v>
      </c>
      <c r="H24" s="29"/>
    </row>
    <row r="25" spans="2:8" ht="15.75" customHeight="1" x14ac:dyDescent="0.25">
      <c r="B25" s="25" t="s">
        <v>347</v>
      </c>
      <c r="C25" s="25" t="s">
        <v>348</v>
      </c>
      <c r="D25" s="25" t="s">
        <v>132</v>
      </c>
      <c r="E25" s="26">
        <v>9712</v>
      </c>
      <c r="F25" s="27">
        <v>141.76</v>
      </c>
      <c r="G25" s="28">
        <v>1.7000000000000001E-2</v>
      </c>
      <c r="H25" s="29"/>
    </row>
    <row r="26" spans="2:8" ht="15.75" customHeight="1" x14ac:dyDescent="0.25">
      <c r="B26" s="25" t="s">
        <v>206</v>
      </c>
      <c r="C26" s="25" t="s">
        <v>207</v>
      </c>
      <c r="D26" s="25" t="s">
        <v>202</v>
      </c>
      <c r="E26" s="26">
        <v>41647</v>
      </c>
      <c r="F26" s="27">
        <v>137.77000000000001</v>
      </c>
      <c r="G26" s="28">
        <v>1.6500000000000001E-2</v>
      </c>
      <c r="H26" s="29"/>
    </row>
    <row r="27" spans="2:8" ht="15.75" customHeight="1" x14ac:dyDescent="0.25">
      <c r="B27" s="25" t="s">
        <v>179</v>
      </c>
      <c r="C27" s="25" t="s">
        <v>180</v>
      </c>
      <c r="D27" s="25" t="s">
        <v>181</v>
      </c>
      <c r="E27" s="26">
        <v>76262</v>
      </c>
      <c r="F27" s="27">
        <v>132.69999999999999</v>
      </c>
      <c r="G27" s="28">
        <v>1.5900000000000001E-2</v>
      </c>
      <c r="H27" s="29"/>
    </row>
    <row r="28" spans="2:8" ht="15.75" customHeight="1" x14ac:dyDescent="0.25">
      <c r="B28" s="25" t="s">
        <v>270</v>
      </c>
      <c r="C28" s="25" t="s">
        <v>271</v>
      </c>
      <c r="D28" s="25" t="s">
        <v>194</v>
      </c>
      <c r="E28" s="26">
        <v>3828</v>
      </c>
      <c r="F28" s="27">
        <v>130.38999999999999</v>
      </c>
      <c r="G28" s="28">
        <v>1.5599999999999999E-2</v>
      </c>
      <c r="H28" s="29"/>
    </row>
    <row r="29" spans="2:8" ht="15.75" customHeight="1" x14ac:dyDescent="0.25">
      <c r="B29" s="25" t="s">
        <v>502</v>
      </c>
      <c r="C29" s="25" t="s">
        <v>503</v>
      </c>
      <c r="D29" s="25" t="s">
        <v>276</v>
      </c>
      <c r="E29" s="26">
        <v>1057</v>
      </c>
      <c r="F29" s="27">
        <v>123.26</v>
      </c>
      <c r="G29" s="28">
        <v>1.4800000000000001E-2</v>
      </c>
      <c r="H29" s="29"/>
    </row>
    <row r="30" spans="2:8" ht="15.75" customHeight="1" x14ac:dyDescent="0.25">
      <c r="B30" s="25" t="s">
        <v>375</v>
      </c>
      <c r="C30" s="25" t="s">
        <v>376</v>
      </c>
      <c r="D30" s="25" t="s">
        <v>194</v>
      </c>
      <c r="E30" s="26">
        <v>4157</v>
      </c>
      <c r="F30" s="27">
        <v>121.27</v>
      </c>
      <c r="G30" s="28">
        <v>1.4500000000000001E-2</v>
      </c>
      <c r="H30" s="29"/>
    </row>
    <row r="31" spans="2:8" ht="15.75" customHeight="1" x14ac:dyDescent="0.25">
      <c r="B31" s="25" t="s">
        <v>771</v>
      </c>
      <c r="C31" s="25" t="s">
        <v>772</v>
      </c>
      <c r="D31" s="25" t="s">
        <v>290</v>
      </c>
      <c r="E31" s="26">
        <v>6726</v>
      </c>
      <c r="F31" s="27">
        <v>99.37</v>
      </c>
      <c r="G31" s="28">
        <v>1.1900000000000001E-2</v>
      </c>
      <c r="H31" s="29"/>
    </row>
    <row r="32" spans="2:8" ht="15.75" customHeight="1" x14ac:dyDescent="0.25">
      <c r="B32" s="25" t="s">
        <v>170</v>
      </c>
      <c r="C32" s="25" t="s">
        <v>171</v>
      </c>
      <c r="D32" s="25" t="s">
        <v>129</v>
      </c>
      <c r="E32" s="26">
        <v>6075</v>
      </c>
      <c r="F32" s="27">
        <v>88.93</v>
      </c>
      <c r="G32" s="28">
        <v>1.0699999999999999E-2</v>
      </c>
      <c r="H32" s="29"/>
    </row>
    <row r="33" spans="2:8" ht="15.75" customHeight="1" x14ac:dyDescent="0.25">
      <c r="B33" s="25" t="s">
        <v>144</v>
      </c>
      <c r="C33" s="25" t="s">
        <v>145</v>
      </c>
      <c r="D33" s="25" t="s">
        <v>146</v>
      </c>
      <c r="E33" s="26">
        <v>3281</v>
      </c>
      <c r="F33" s="27">
        <v>83.75</v>
      </c>
      <c r="G33" s="28">
        <v>0.01</v>
      </c>
      <c r="H33" s="29"/>
    </row>
    <row r="34" spans="2:8" ht="15.75" customHeight="1" x14ac:dyDescent="0.25">
      <c r="B34" s="25" t="s">
        <v>208</v>
      </c>
      <c r="C34" s="25" t="s">
        <v>209</v>
      </c>
      <c r="D34" s="25" t="s">
        <v>132</v>
      </c>
      <c r="E34" s="26">
        <v>5814</v>
      </c>
      <c r="F34" s="27">
        <v>83.15</v>
      </c>
      <c r="G34" s="28">
        <v>0.01</v>
      </c>
      <c r="H34" s="29"/>
    </row>
    <row r="35" spans="2:8" ht="15.75" customHeight="1" x14ac:dyDescent="0.25">
      <c r="B35" s="25" t="s">
        <v>279</v>
      </c>
      <c r="C35" s="25" t="s">
        <v>280</v>
      </c>
      <c r="D35" s="25" t="s">
        <v>181</v>
      </c>
      <c r="E35" s="26">
        <v>8753</v>
      </c>
      <c r="F35" s="27">
        <v>81.53</v>
      </c>
      <c r="G35" s="28">
        <v>9.7999999999999997E-3</v>
      </c>
      <c r="H35" s="29"/>
    </row>
    <row r="36" spans="2:8" ht="15.75" customHeight="1" x14ac:dyDescent="0.25">
      <c r="B36" s="25" t="s">
        <v>323</v>
      </c>
      <c r="C36" s="25" t="s">
        <v>324</v>
      </c>
      <c r="D36" s="25" t="s">
        <v>227</v>
      </c>
      <c r="E36" s="26">
        <v>4392</v>
      </c>
      <c r="F36" s="27">
        <v>69.739999999999995</v>
      </c>
      <c r="G36" s="28">
        <v>8.3999999999999995E-3</v>
      </c>
      <c r="H36" s="29"/>
    </row>
    <row r="37" spans="2:8" ht="15.75" customHeight="1" x14ac:dyDescent="0.25">
      <c r="B37" s="24" t="s">
        <v>102</v>
      </c>
      <c r="C37" s="24"/>
      <c r="D37" s="24"/>
      <c r="E37" s="30"/>
      <c r="F37" s="31">
        <v>8286.56</v>
      </c>
      <c r="G37" s="32">
        <v>0.99329999999999996</v>
      </c>
      <c r="H37" s="33"/>
    </row>
    <row r="38" spans="2:8" ht="15.75" customHeight="1" x14ac:dyDescent="0.25">
      <c r="B38" s="24" t="s">
        <v>149</v>
      </c>
      <c r="C38" s="25"/>
      <c r="D38" s="25"/>
      <c r="E38" s="26"/>
      <c r="F38" s="27"/>
      <c r="G38" s="28"/>
      <c r="H38" s="29"/>
    </row>
    <row r="39" spans="2:8" ht="15.75" customHeight="1" x14ac:dyDescent="0.25">
      <c r="B39" s="24" t="s">
        <v>102</v>
      </c>
      <c r="C39" s="25"/>
      <c r="D39" s="25"/>
      <c r="E39" s="26"/>
      <c r="F39" s="34" t="s">
        <v>104</v>
      </c>
      <c r="G39" s="35" t="s">
        <v>104</v>
      </c>
      <c r="H39" s="29"/>
    </row>
    <row r="40" spans="2:8" ht="15.75" customHeight="1" x14ac:dyDescent="0.25">
      <c r="B40" s="25"/>
      <c r="C40" s="25"/>
      <c r="D40" s="25"/>
      <c r="E40" s="26"/>
      <c r="F40" s="27"/>
      <c r="G40" s="28"/>
      <c r="H40" s="29"/>
    </row>
    <row r="41" spans="2:8" ht="15.75" customHeight="1" x14ac:dyDescent="0.25">
      <c r="B41" s="36" t="s">
        <v>106</v>
      </c>
      <c r="C41" s="36"/>
      <c r="D41" s="36"/>
      <c r="E41" s="37"/>
      <c r="F41" s="31">
        <v>8286.56</v>
      </c>
      <c r="G41" s="32">
        <v>0.99329999999999996</v>
      </c>
      <c r="H41" s="33"/>
    </row>
    <row r="42" spans="2:8" ht="15.75" customHeight="1" x14ac:dyDescent="0.25">
      <c r="B42" s="25"/>
      <c r="C42" s="25"/>
      <c r="D42" s="25"/>
      <c r="E42" s="26"/>
      <c r="F42" s="27"/>
      <c r="G42" s="28"/>
      <c r="H42" s="29"/>
    </row>
    <row r="43" spans="2:8" ht="15.75" customHeight="1" x14ac:dyDescent="0.25">
      <c r="B43" s="25"/>
      <c r="C43" s="25"/>
      <c r="D43" s="25"/>
      <c r="E43" s="26"/>
      <c r="F43" s="27"/>
      <c r="G43" s="28"/>
      <c r="H43" s="29"/>
    </row>
    <row r="44" spans="2:8" ht="15.75" customHeight="1" x14ac:dyDescent="0.25">
      <c r="B44" s="24" t="s">
        <v>109</v>
      </c>
      <c r="C44" s="25"/>
      <c r="D44" s="25"/>
      <c r="E44" s="26"/>
      <c r="F44" s="27"/>
      <c r="G44" s="28"/>
      <c r="H44" s="29"/>
    </row>
    <row r="45" spans="2:8" ht="15.75" customHeight="1" x14ac:dyDescent="0.25">
      <c r="B45" s="25" t="s">
        <v>110</v>
      </c>
      <c r="C45" s="25"/>
      <c r="D45" s="25"/>
      <c r="E45" s="26"/>
      <c r="F45" s="27">
        <v>22.95</v>
      </c>
      <c r="G45" s="28">
        <v>2.8E-3</v>
      </c>
      <c r="H45" s="29"/>
    </row>
    <row r="46" spans="2:8" ht="15.75" customHeight="1" x14ac:dyDescent="0.25">
      <c r="B46" s="24" t="s">
        <v>102</v>
      </c>
      <c r="C46" s="24"/>
      <c r="D46" s="24"/>
      <c r="E46" s="30"/>
      <c r="F46" s="31">
        <v>22.95</v>
      </c>
      <c r="G46" s="32">
        <v>2.8E-3</v>
      </c>
      <c r="H46" s="33"/>
    </row>
    <row r="47" spans="2:8" ht="15.75" customHeight="1" x14ac:dyDescent="0.25">
      <c r="B47" s="25"/>
      <c r="C47" s="25"/>
      <c r="D47" s="25"/>
      <c r="E47" s="26"/>
      <c r="F47" s="27"/>
      <c r="G47" s="28"/>
      <c r="H47" s="29"/>
    </row>
    <row r="48" spans="2:8" ht="15.75" customHeight="1" x14ac:dyDescent="0.25">
      <c r="B48" s="36" t="s">
        <v>106</v>
      </c>
      <c r="C48" s="36"/>
      <c r="D48" s="36"/>
      <c r="E48" s="37"/>
      <c r="F48" s="31">
        <v>22.95</v>
      </c>
      <c r="G48" s="32">
        <v>2.8E-3</v>
      </c>
      <c r="H48" s="33"/>
    </row>
    <row r="49" spans="2:8" ht="15.75" customHeight="1" x14ac:dyDescent="0.25">
      <c r="B49" s="25" t="s">
        <v>111</v>
      </c>
      <c r="C49" s="25"/>
      <c r="D49" s="25"/>
      <c r="E49" s="26"/>
      <c r="F49" s="27">
        <v>33.1</v>
      </c>
      <c r="G49" s="28">
        <v>3.9000000000000146E-3</v>
      </c>
      <c r="H49" s="29"/>
    </row>
    <row r="50" spans="2:8" ht="15.75" customHeight="1" x14ac:dyDescent="0.25">
      <c r="B50" s="40" t="s">
        <v>112</v>
      </c>
      <c r="C50" s="40"/>
      <c r="D50" s="40"/>
      <c r="E50" s="41"/>
      <c r="F50" s="42">
        <v>8342.61</v>
      </c>
      <c r="G50" s="43">
        <v>1</v>
      </c>
      <c r="H50" s="44"/>
    </row>
    <row r="51" spans="2:8" ht="15.75" customHeight="1" thickBot="1" x14ac:dyDescent="0.3">
      <c r="B51" s="2"/>
    </row>
    <row r="52" spans="2:8" ht="27" customHeight="1" thickBot="1" x14ac:dyDescent="0.3">
      <c r="B52" s="56" t="s">
        <v>964</v>
      </c>
      <c r="C52" s="57" t="s">
        <v>965</v>
      </c>
      <c r="D52" s="57" t="s">
        <v>966</v>
      </c>
      <c r="E52" s="62" t="s">
        <v>967</v>
      </c>
      <c r="G52" s="2"/>
      <c r="H52" s="2"/>
    </row>
    <row r="53" spans="2:8" ht="22.5" customHeight="1" x14ac:dyDescent="0.25">
      <c r="B53" s="69" t="s">
        <v>64</v>
      </c>
      <c r="C53" s="81"/>
      <c r="D53" s="84" t="s">
        <v>1026</v>
      </c>
      <c r="E53" s="86"/>
      <c r="G53" s="2"/>
      <c r="H53" s="2"/>
    </row>
    <row r="54" spans="2:8" ht="26.25" customHeight="1" x14ac:dyDescent="0.25">
      <c r="B54" s="65" t="s">
        <v>1024</v>
      </c>
      <c r="C54" s="82"/>
      <c r="D54" s="85"/>
      <c r="E54" s="82"/>
      <c r="G54" s="2"/>
      <c r="H54" s="2"/>
    </row>
    <row r="55" spans="2:8" ht="40" customHeight="1" x14ac:dyDescent="0.25">
      <c r="B55" s="65" t="s">
        <v>1048</v>
      </c>
      <c r="C55" s="82"/>
      <c r="D55" s="85"/>
      <c r="E55" s="82"/>
      <c r="G55" s="2"/>
      <c r="H55" s="2"/>
    </row>
    <row r="56" spans="2:8" ht="27.75" customHeight="1" thickBot="1" x14ac:dyDescent="0.3">
      <c r="B56" s="67" t="s">
        <v>982</v>
      </c>
      <c r="C56" s="83"/>
      <c r="D56" s="70" t="s">
        <v>982</v>
      </c>
      <c r="E56" s="87"/>
      <c r="G56" s="2"/>
      <c r="H56" s="2"/>
    </row>
    <row r="57" spans="2:8" ht="25" customHeight="1" x14ac:dyDescent="0.25">
      <c r="B57" s="58" t="s">
        <v>969</v>
      </c>
      <c r="C57" s="59"/>
      <c r="D57" s="60"/>
      <c r="E57" s="61"/>
      <c r="G57" s="2"/>
      <c r="H57" s="2"/>
    </row>
    <row r="59" spans="2:8" ht="11.5" x14ac:dyDescent="0.25">
      <c r="B59" s="2" t="s">
        <v>970</v>
      </c>
      <c r="C59" s="2"/>
      <c r="D59" s="2"/>
      <c r="G59" s="2"/>
      <c r="H59" s="2"/>
    </row>
    <row r="60" spans="2:8" ht="11.5" x14ac:dyDescent="0.25">
      <c r="B60" s="3" t="s">
        <v>971</v>
      </c>
      <c r="C60" s="2"/>
      <c r="D60" s="2"/>
      <c r="G60" s="2"/>
      <c r="H6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3:C56"/>
    <mergeCell ref="D53:D55"/>
    <mergeCell ref="E53:E56"/>
  </mergeCells>
  <hyperlinks>
    <hyperlink ref="I1" location="'Sheet1'!A1" display="Index" xr:uid="{55A6596D-A371-46C2-8118-1052A6D6F3F1}"/>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853A9-48D6-41C3-81FA-A803D8F93370}">
  <dimension ref="B1:P86"/>
  <sheetViews>
    <sheetView workbookViewId="0"/>
  </sheetViews>
  <sheetFormatPr defaultColWidth="9.1796875" defaultRowHeight="15.75" customHeight="1" x14ac:dyDescent="0.25"/>
  <cols>
    <col min="1" max="1" width="3.6328125" style="2" customWidth="1"/>
    <col min="2" max="2" width="50.453125" style="9" customWidth="1"/>
    <col min="3" max="4" width="26.6328125" style="9" customWidth="1"/>
    <col min="5" max="5" width="29.089843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1053</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138</v>
      </c>
      <c r="C7" s="25" t="s">
        <v>139</v>
      </c>
      <c r="D7" s="25" t="s">
        <v>140</v>
      </c>
      <c r="E7" s="26">
        <v>22152</v>
      </c>
      <c r="F7" s="27">
        <v>693.53</v>
      </c>
      <c r="G7" s="28">
        <v>5.8200000000000002E-2</v>
      </c>
      <c r="H7" s="29"/>
    </row>
    <row r="8" spans="2:9" ht="15.75" customHeight="1" x14ac:dyDescent="0.25">
      <c r="B8" s="25" t="s">
        <v>136</v>
      </c>
      <c r="C8" s="25" t="s">
        <v>137</v>
      </c>
      <c r="D8" s="25" t="s">
        <v>129</v>
      </c>
      <c r="E8" s="26">
        <v>36835</v>
      </c>
      <c r="F8" s="27">
        <v>620.23</v>
      </c>
      <c r="G8" s="28">
        <v>5.21E-2</v>
      </c>
      <c r="H8" s="29"/>
    </row>
    <row r="9" spans="2:9" ht="15.75" customHeight="1" x14ac:dyDescent="0.25">
      <c r="B9" s="25" t="s">
        <v>220</v>
      </c>
      <c r="C9" s="25" t="s">
        <v>221</v>
      </c>
      <c r="D9" s="25" t="s">
        <v>129</v>
      </c>
      <c r="E9" s="26">
        <v>69334</v>
      </c>
      <c r="F9" s="27">
        <v>588.61</v>
      </c>
      <c r="G9" s="28">
        <v>4.9399999999999999E-2</v>
      </c>
      <c r="H9" s="29"/>
    </row>
    <row r="10" spans="2:9" ht="15.75" customHeight="1" x14ac:dyDescent="0.25">
      <c r="B10" s="25" t="s">
        <v>215</v>
      </c>
      <c r="C10" s="25" t="s">
        <v>216</v>
      </c>
      <c r="D10" s="25" t="s">
        <v>129</v>
      </c>
      <c r="E10" s="26">
        <v>21423</v>
      </c>
      <c r="F10" s="27">
        <v>386.15</v>
      </c>
      <c r="G10" s="28">
        <v>3.2399999999999998E-2</v>
      </c>
      <c r="H10" s="29"/>
    </row>
    <row r="11" spans="2:9" ht="15.75" customHeight="1" x14ac:dyDescent="0.25">
      <c r="B11" s="25" t="s">
        <v>127</v>
      </c>
      <c r="C11" s="25" t="s">
        <v>128</v>
      </c>
      <c r="D11" s="25" t="s">
        <v>129</v>
      </c>
      <c r="E11" s="26">
        <v>30914</v>
      </c>
      <c r="F11" s="27">
        <v>370.84</v>
      </c>
      <c r="G11" s="28">
        <v>3.1099999999999999E-2</v>
      </c>
      <c r="H11" s="29"/>
    </row>
    <row r="12" spans="2:9" ht="15.75" customHeight="1" x14ac:dyDescent="0.25">
      <c r="B12" s="25" t="s">
        <v>416</v>
      </c>
      <c r="C12" s="25" t="s">
        <v>417</v>
      </c>
      <c r="D12" s="25" t="s">
        <v>251</v>
      </c>
      <c r="E12" s="26">
        <v>188293</v>
      </c>
      <c r="F12" s="27">
        <v>358.34</v>
      </c>
      <c r="G12" s="28">
        <v>3.0099999999999998E-2</v>
      </c>
      <c r="H12" s="29"/>
    </row>
    <row r="13" spans="2:9" ht="15.75" customHeight="1" x14ac:dyDescent="0.25">
      <c r="B13" s="25" t="s">
        <v>459</v>
      </c>
      <c r="C13" s="25" t="s">
        <v>460</v>
      </c>
      <c r="D13" s="25" t="s">
        <v>224</v>
      </c>
      <c r="E13" s="26">
        <v>112747</v>
      </c>
      <c r="F13" s="27">
        <v>356.79</v>
      </c>
      <c r="G13" s="28">
        <v>0.03</v>
      </c>
      <c r="H13" s="29"/>
    </row>
    <row r="14" spans="2:9" ht="15.75" customHeight="1" x14ac:dyDescent="0.25">
      <c r="B14" s="25" t="s">
        <v>188</v>
      </c>
      <c r="C14" s="25" t="s">
        <v>189</v>
      </c>
      <c r="D14" s="25" t="s">
        <v>129</v>
      </c>
      <c r="E14" s="26">
        <v>27370</v>
      </c>
      <c r="F14" s="27">
        <v>346.3</v>
      </c>
      <c r="G14" s="28">
        <v>2.9100000000000001E-2</v>
      </c>
      <c r="H14" s="29"/>
    </row>
    <row r="15" spans="2:9" ht="15.75" customHeight="1" x14ac:dyDescent="0.25">
      <c r="B15" s="25" t="s">
        <v>130</v>
      </c>
      <c r="C15" s="25" t="s">
        <v>131</v>
      </c>
      <c r="D15" s="25" t="s">
        <v>132</v>
      </c>
      <c r="E15" s="26">
        <v>21962</v>
      </c>
      <c r="F15" s="27">
        <v>344.09</v>
      </c>
      <c r="G15" s="28">
        <v>2.8899999999999999E-2</v>
      </c>
      <c r="H15" s="29"/>
    </row>
    <row r="16" spans="2:9" ht="15.75" customHeight="1" x14ac:dyDescent="0.25">
      <c r="B16" s="25" t="s">
        <v>210</v>
      </c>
      <c r="C16" s="25" t="s">
        <v>211</v>
      </c>
      <c r="D16" s="25" t="s">
        <v>143</v>
      </c>
      <c r="E16" s="26">
        <v>79716</v>
      </c>
      <c r="F16" s="27">
        <v>338.71</v>
      </c>
      <c r="G16" s="28">
        <v>2.8400000000000002E-2</v>
      </c>
      <c r="H16" s="29"/>
    </row>
    <row r="17" spans="2:8" ht="15.75" customHeight="1" x14ac:dyDescent="0.25">
      <c r="B17" s="25" t="s">
        <v>249</v>
      </c>
      <c r="C17" s="25" t="s">
        <v>250</v>
      </c>
      <c r="D17" s="25" t="s">
        <v>251</v>
      </c>
      <c r="E17" s="26">
        <v>19587</v>
      </c>
      <c r="F17" s="27">
        <v>327.17</v>
      </c>
      <c r="G17" s="28">
        <v>2.75E-2</v>
      </c>
      <c r="H17" s="29"/>
    </row>
    <row r="18" spans="2:8" ht="15.75" customHeight="1" x14ac:dyDescent="0.25">
      <c r="B18" s="25" t="s">
        <v>170</v>
      </c>
      <c r="C18" s="25" t="s">
        <v>171</v>
      </c>
      <c r="D18" s="25" t="s">
        <v>129</v>
      </c>
      <c r="E18" s="26">
        <v>21853</v>
      </c>
      <c r="F18" s="27">
        <v>320.04000000000002</v>
      </c>
      <c r="G18" s="28">
        <v>2.69E-2</v>
      </c>
      <c r="H18" s="29"/>
    </row>
    <row r="19" spans="2:8" ht="15.75" customHeight="1" x14ac:dyDescent="0.25">
      <c r="B19" s="25" t="s">
        <v>408</v>
      </c>
      <c r="C19" s="25" t="s">
        <v>409</v>
      </c>
      <c r="D19" s="25" t="s">
        <v>178</v>
      </c>
      <c r="E19" s="26">
        <v>20402</v>
      </c>
      <c r="F19" s="27">
        <v>304.33999999999997</v>
      </c>
      <c r="G19" s="28">
        <v>2.5600000000000001E-2</v>
      </c>
      <c r="H19" s="29"/>
    </row>
    <row r="20" spans="2:8" ht="15.75" customHeight="1" x14ac:dyDescent="0.25">
      <c r="B20" s="25" t="s">
        <v>352</v>
      </c>
      <c r="C20" s="25" t="s">
        <v>353</v>
      </c>
      <c r="D20" s="25" t="s">
        <v>337</v>
      </c>
      <c r="E20" s="26">
        <v>11833</v>
      </c>
      <c r="F20" s="27">
        <v>278.83</v>
      </c>
      <c r="G20" s="28">
        <v>2.3400000000000001E-2</v>
      </c>
      <c r="H20" s="29"/>
    </row>
    <row r="21" spans="2:8" ht="15.75" customHeight="1" x14ac:dyDescent="0.25">
      <c r="B21" s="25" t="s">
        <v>418</v>
      </c>
      <c r="C21" s="25" t="s">
        <v>419</v>
      </c>
      <c r="D21" s="25" t="s">
        <v>316</v>
      </c>
      <c r="E21" s="26">
        <v>16471</v>
      </c>
      <c r="F21" s="27">
        <v>268.39</v>
      </c>
      <c r="G21" s="28">
        <v>2.2499999999999999E-2</v>
      </c>
      <c r="H21" s="29"/>
    </row>
    <row r="22" spans="2:8" ht="15.75" customHeight="1" x14ac:dyDescent="0.25">
      <c r="B22" s="25" t="s">
        <v>498</v>
      </c>
      <c r="C22" s="25" t="s">
        <v>499</v>
      </c>
      <c r="D22" s="25" t="s">
        <v>219</v>
      </c>
      <c r="E22" s="26">
        <v>138220</v>
      </c>
      <c r="F22" s="27">
        <v>263.88</v>
      </c>
      <c r="G22" s="28">
        <v>2.2200000000000001E-2</v>
      </c>
      <c r="H22" s="29"/>
    </row>
    <row r="23" spans="2:8" ht="15.75" customHeight="1" x14ac:dyDescent="0.25">
      <c r="B23" s="25" t="s">
        <v>257</v>
      </c>
      <c r="C23" s="25" t="s">
        <v>258</v>
      </c>
      <c r="D23" s="25" t="s">
        <v>254</v>
      </c>
      <c r="E23" s="26">
        <v>78044</v>
      </c>
      <c r="F23" s="27">
        <v>243.61</v>
      </c>
      <c r="G23" s="28">
        <v>2.0500000000000001E-2</v>
      </c>
      <c r="H23" s="29"/>
    </row>
    <row r="24" spans="2:8" ht="15.75" customHeight="1" x14ac:dyDescent="0.25">
      <c r="B24" s="25" t="s">
        <v>426</v>
      </c>
      <c r="C24" s="25" t="s">
        <v>427</v>
      </c>
      <c r="D24" s="25" t="s">
        <v>428</v>
      </c>
      <c r="E24" s="26">
        <v>16800</v>
      </c>
      <c r="F24" s="27">
        <v>242.6</v>
      </c>
      <c r="G24" s="28">
        <v>2.0400000000000001E-2</v>
      </c>
      <c r="H24" s="29"/>
    </row>
    <row r="25" spans="2:8" ht="15.75" customHeight="1" x14ac:dyDescent="0.25">
      <c r="B25" s="25" t="s">
        <v>502</v>
      </c>
      <c r="C25" s="25" t="s">
        <v>503</v>
      </c>
      <c r="D25" s="25" t="s">
        <v>276</v>
      </c>
      <c r="E25" s="26">
        <v>2000</v>
      </c>
      <c r="F25" s="27">
        <v>233.36</v>
      </c>
      <c r="G25" s="28">
        <v>1.9599999999999999E-2</v>
      </c>
      <c r="H25" s="29"/>
    </row>
    <row r="26" spans="2:8" ht="15.75" customHeight="1" x14ac:dyDescent="0.25">
      <c r="B26" s="25" t="s">
        <v>414</v>
      </c>
      <c r="C26" s="25" t="s">
        <v>415</v>
      </c>
      <c r="D26" s="25" t="s">
        <v>169</v>
      </c>
      <c r="E26" s="26">
        <v>147109</v>
      </c>
      <c r="F26" s="27">
        <v>231.31</v>
      </c>
      <c r="G26" s="28">
        <v>1.9400000000000001E-2</v>
      </c>
      <c r="H26" s="29"/>
    </row>
    <row r="27" spans="2:8" ht="15.75" customHeight="1" x14ac:dyDescent="0.25">
      <c r="B27" s="25" t="s">
        <v>560</v>
      </c>
      <c r="C27" s="25" t="s">
        <v>561</v>
      </c>
      <c r="D27" s="25" t="s">
        <v>269</v>
      </c>
      <c r="E27" s="26">
        <v>87976</v>
      </c>
      <c r="F27" s="27">
        <v>225.4</v>
      </c>
      <c r="G27" s="28">
        <v>1.89E-2</v>
      </c>
      <c r="H27" s="29"/>
    </row>
    <row r="28" spans="2:8" ht="15.75" customHeight="1" x14ac:dyDescent="0.25">
      <c r="B28" s="25" t="s">
        <v>365</v>
      </c>
      <c r="C28" s="25" t="s">
        <v>366</v>
      </c>
      <c r="D28" s="25" t="s">
        <v>227</v>
      </c>
      <c r="E28" s="26">
        <v>46098</v>
      </c>
      <c r="F28" s="27">
        <v>223.62</v>
      </c>
      <c r="G28" s="28">
        <v>1.8800000000000001E-2</v>
      </c>
      <c r="H28" s="29"/>
    </row>
    <row r="29" spans="2:8" ht="15.75" customHeight="1" x14ac:dyDescent="0.25">
      <c r="B29" s="25" t="s">
        <v>780</v>
      </c>
      <c r="C29" s="25" t="s">
        <v>781</v>
      </c>
      <c r="D29" s="25" t="s">
        <v>132</v>
      </c>
      <c r="E29" s="26">
        <v>4966</v>
      </c>
      <c r="F29" s="27">
        <v>210.63</v>
      </c>
      <c r="G29" s="28">
        <v>1.77E-2</v>
      </c>
      <c r="H29" s="29"/>
    </row>
    <row r="30" spans="2:8" ht="15.75" customHeight="1" x14ac:dyDescent="0.25">
      <c r="B30" s="25" t="s">
        <v>420</v>
      </c>
      <c r="C30" s="25" t="s">
        <v>421</v>
      </c>
      <c r="D30" s="25" t="s">
        <v>129</v>
      </c>
      <c r="E30" s="26">
        <v>209733</v>
      </c>
      <c r="F30" s="27">
        <v>203.78</v>
      </c>
      <c r="G30" s="28">
        <v>1.7100000000000001E-2</v>
      </c>
      <c r="H30" s="29"/>
    </row>
    <row r="31" spans="2:8" ht="15.75" customHeight="1" x14ac:dyDescent="0.25">
      <c r="B31" s="25" t="s">
        <v>354</v>
      </c>
      <c r="C31" s="25" t="s">
        <v>355</v>
      </c>
      <c r="D31" s="25" t="s">
        <v>135</v>
      </c>
      <c r="E31" s="26">
        <v>1551</v>
      </c>
      <c r="F31" s="27">
        <v>186.65</v>
      </c>
      <c r="G31" s="28">
        <v>1.5699999999999999E-2</v>
      </c>
      <c r="H31" s="29"/>
    </row>
    <row r="32" spans="2:8" ht="15.75" customHeight="1" x14ac:dyDescent="0.25">
      <c r="B32" s="25" t="s">
        <v>349</v>
      </c>
      <c r="C32" s="25" t="s">
        <v>350</v>
      </c>
      <c r="D32" s="25" t="s">
        <v>351</v>
      </c>
      <c r="E32" s="26">
        <v>69450</v>
      </c>
      <c r="F32" s="27">
        <v>186.13</v>
      </c>
      <c r="G32" s="28">
        <v>1.5599999999999999E-2</v>
      </c>
      <c r="H32" s="29"/>
    </row>
    <row r="33" spans="2:8" ht="15.75" customHeight="1" x14ac:dyDescent="0.25">
      <c r="B33" s="25" t="s">
        <v>782</v>
      </c>
      <c r="C33" s="25" t="s">
        <v>783</v>
      </c>
      <c r="D33" s="25" t="s">
        <v>246</v>
      </c>
      <c r="E33" s="26">
        <v>26702</v>
      </c>
      <c r="F33" s="27">
        <v>184.06</v>
      </c>
      <c r="G33" s="28">
        <v>1.55E-2</v>
      </c>
      <c r="H33" s="29"/>
    </row>
    <row r="34" spans="2:8" ht="15.75" customHeight="1" x14ac:dyDescent="0.25">
      <c r="B34" s="25" t="s">
        <v>515</v>
      </c>
      <c r="C34" s="25" t="s">
        <v>516</v>
      </c>
      <c r="D34" s="25" t="s">
        <v>140</v>
      </c>
      <c r="E34" s="26">
        <v>32634</v>
      </c>
      <c r="F34" s="27">
        <v>181.97</v>
      </c>
      <c r="G34" s="28">
        <v>1.5299999999999999E-2</v>
      </c>
      <c r="H34" s="29"/>
    </row>
    <row r="35" spans="2:8" ht="15.75" customHeight="1" x14ac:dyDescent="0.25">
      <c r="B35" s="25" t="s">
        <v>446</v>
      </c>
      <c r="C35" s="25" t="s">
        <v>447</v>
      </c>
      <c r="D35" s="25" t="s">
        <v>254</v>
      </c>
      <c r="E35" s="26">
        <v>33417</v>
      </c>
      <c r="F35" s="27">
        <v>172.26</v>
      </c>
      <c r="G35" s="28">
        <v>1.4500000000000001E-2</v>
      </c>
      <c r="H35" s="29"/>
    </row>
    <row r="36" spans="2:8" ht="15.75" customHeight="1" x14ac:dyDescent="0.25">
      <c r="B36" s="25" t="s">
        <v>312</v>
      </c>
      <c r="C36" s="25" t="s">
        <v>313</v>
      </c>
      <c r="D36" s="25" t="s">
        <v>214</v>
      </c>
      <c r="E36" s="26">
        <v>23867</v>
      </c>
      <c r="F36" s="27">
        <v>165.53</v>
      </c>
      <c r="G36" s="28">
        <v>1.3899999999999999E-2</v>
      </c>
      <c r="H36" s="29"/>
    </row>
    <row r="37" spans="2:8" ht="15.75" customHeight="1" x14ac:dyDescent="0.25">
      <c r="B37" s="25" t="s">
        <v>356</v>
      </c>
      <c r="C37" s="25" t="s">
        <v>357</v>
      </c>
      <c r="D37" s="25" t="s">
        <v>169</v>
      </c>
      <c r="E37" s="26">
        <v>7595</v>
      </c>
      <c r="F37" s="27">
        <v>161.71</v>
      </c>
      <c r="G37" s="28">
        <v>1.3599999999999999E-2</v>
      </c>
      <c r="H37" s="29"/>
    </row>
    <row r="38" spans="2:8" ht="15.75" customHeight="1" x14ac:dyDescent="0.25">
      <c r="B38" s="25" t="s">
        <v>606</v>
      </c>
      <c r="C38" s="25" t="s">
        <v>607</v>
      </c>
      <c r="D38" s="25" t="s">
        <v>295</v>
      </c>
      <c r="E38" s="26">
        <v>4125</v>
      </c>
      <c r="F38" s="27">
        <v>156.69999999999999</v>
      </c>
      <c r="G38" s="28">
        <v>1.32E-2</v>
      </c>
      <c r="H38" s="29"/>
    </row>
    <row r="39" spans="2:8" ht="15.75" customHeight="1" x14ac:dyDescent="0.25">
      <c r="B39" s="25" t="s">
        <v>531</v>
      </c>
      <c r="C39" s="25" t="s">
        <v>532</v>
      </c>
      <c r="D39" s="25" t="s">
        <v>269</v>
      </c>
      <c r="E39" s="26">
        <v>16669</v>
      </c>
      <c r="F39" s="27">
        <v>150.21</v>
      </c>
      <c r="G39" s="28">
        <v>1.26E-2</v>
      </c>
      <c r="H39" s="29"/>
    </row>
    <row r="40" spans="2:8" ht="15.75" customHeight="1" x14ac:dyDescent="0.25">
      <c r="B40" s="25" t="s">
        <v>347</v>
      </c>
      <c r="C40" s="25" t="s">
        <v>348</v>
      </c>
      <c r="D40" s="25" t="s">
        <v>132</v>
      </c>
      <c r="E40" s="26">
        <v>10278</v>
      </c>
      <c r="F40" s="27">
        <v>150.02000000000001</v>
      </c>
      <c r="G40" s="28">
        <v>1.26E-2</v>
      </c>
      <c r="H40" s="29"/>
    </row>
    <row r="41" spans="2:8" ht="15.75" customHeight="1" x14ac:dyDescent="0.25">
      <c r="B41" s="25" t="s">
        <v>707</v>
      </c>
      <c r="C41" s="25" t="s">
        <v>708</v>
      </c>
      <c r="D41" s="25" t="s">
        <v>194</v>
      </c>
      <c r="E41" s="26">
        <v>36900</v>
      </c>
      <c r="F41" s="27">
        <v>149.56</v>
      </c>
      <c r="G41" s="28">
        <v>1.26E-2</v>
      </c>
      <c r="H41" s="29"/>
    </row>
    <row r="42" spans="2:8" ht="15.75" customHeight="1" x14ac:dyDescent="0.25">
      <c r="B42" s="25" t="s">
        <v>133</v>
      </c>
      <c r="C42" s="25" t="s">
        <v>134</v>
      </c>
      <c r="D42" s="25" t="s">
        <v>135</v>
      </c>
      <c r="E42" s="26">
        <v>5172</v>
      </c>
      <c r="F42" s="27">
        <v>148.26</v>
      </c>
      <c r="G42" s="28">
        <v>1.24E-2</v>
      </c>
      <c r="H42" s="29"/>
    </row>
    <row r="43" spans="2:8" ht="15.75" customHeight="1" x14ac:dyDescent="0.25">
      <c r="B43" s="25" t="s">
        <v>525</v>
      </c>
      <c r="C43" s="25" t="s">
        <v>526</v>
      </c>
      <c r="D43" s="25" t="s">
        <v>437</v>
      </c>
      <c r="E43" s="26">
        <v>7831</v>
      </c>
      <c r="F43" s="27">
        <v>143.86000000000001</v>
      </c>
      <c r="G43" s="28">
        <v>1.21E-2</v>
      </c>
      <c r="H43" s="29"/>
    </row>
    <row r="44" spans="2:8" ht="15.75" customHeight="1" x14ac:dyDescent="0.25">
      <c r="B44" s="25" t="s">
        <v>244</v>
      </c>
      <c r="C44" s="25" t="s">
        <v>245</v>
      </c>
      <c r="D44" s="25" t="s">
        <v>246</v>
      </c>
      <c r="E44" s="26">
        <v>10286</v>
      </c>
      <c r="F44" s="27">
        <v>141.52000000000001</v>
      </c>
      <c r="G44" s="28">
        <v>1.1900000000000001E-2</v>
      </c>
      <c r="H44" s="29"/>
    </row>
    <row r="45" spans="2:8" ht="15.75" customHeight="1" x14ac:dyDescent="0.25">
      <c r="B45" s="25" t="s">
        <v>784</v>
      </c>
      <c r="C45" s="25" t="s">
        <v>785</v>
      </c>
      <c r="D45" s="25" t="s">
        <v>219</v>
      </c>
      <c r="E45" s="26">
        <v>10378</v>
      </c>
      <c r="F45" s="27">
        <v>139.94</v>
      </c>
      <c r="G45" s="28">
        <v>1.17E-2</v>
      </c>
      <c r="H45" s="29"/>
    </row>
    <row r="46" spans="2:8" ht="15.75" customHeight="1" x14ac:dyDescent="0.25">
      <c r="B46" s="25" t="s">
        <v>751</v>
      </c>
      <c r="C46" s="25" t="s">
        <v>752</v>
      </c>
      <c r="D46" s="25" t="s">
        <v>178</v>
      </c>
      <c r="E46" s="26">
        <v>15736</v>
      </c>
      <c r="F46" s="27">
        <v>136.16</v>
      </c>
      <c r="G46" s="28">
        <v>1.14E-2</v>
      </c>
      <c r="H46" s="29"/>
    </row>
    <row r="47" spans="2:8" ht="15.75" customHeight="1" x14ac:dyDescent="0.25">
      <c r="B47" s="25" t="s">
        <v>548</v>
      </c>
      <c r="C47" s="25" t="s">
        <v>549</v>
      </c>
      <c r="D47" s="25" t="s">
        <v>362</v>
      </c>
      <c r="E47" s="26">
        <v>76393</v>
      </c>
      <c r="F47" s="27">
        <v>135.54</v>
      </c>
      <c r="G47" s="28">
        <v>1.14E-2</v>
      </c>
      <c r="H47" s="29"/>
    </row>
    <row r="48" spans="2:8" ht="15.75" customHeight="1" x14ac:dyDescent="0.25">
      <c r="B48" s="25" t="s">
        <v>786</v>
      </c>
      <c r="C48" s="25" t="s">
        <v>787</v>
      </c>
      <c r="D48" s="25" t="s">
        <v>788</v>
      </c>
      <c r="E48" s="26">
        <v>3195</v>
      </c>
      <c r="F48" s="27">
        <v>131.78</v>
      </c>
      <c r="G48" s="28">
        <v>1.11E-2</v>
      </c>
      <c r="H48" s="29"/>
    </row>
    <row r="49" spans="2:8" ht="15.75" customHeight="1" x14ac:dyDescent="0.25">
      <c r="B49" s="25" t="s">
        <v>259</v>
      </c>
      <c r="C49" s="25" t="s">
        <v>260</v>
      </c>
      <c r="D49" s="25" t="s">
        <v>227</v>
      </c>
      <c r="E49" s="26">
        <v>13508</v>
      </c>
      <c r="F49" s="27">
        <v>125.22</v>
      </c>
      <c r="G49" s="28">
        <v>1.0500000000000001E-2</v>
      </c>
      <c r="H49" s="29"/>
    </row>
    <row r="50" spans="2:8" ht="15.75" customHeight="1" x14ac:dyDescent="0.25">
      <c r="B50" s="25" t="s">
        <v>721</v>
      </c>
      <c r="C50" s="25" t="s">
        <v>722</v>
      </c>
      <c r="D50" s="25" t="s">
        <v>508</v>
      </c>
      <c r="E50" s="26">
        <v>16188</v>
      </c>
      <c r="F50" s="27">
        <v>118.25</v>
      </c>
      <c r="G50" s="28">
        <v>9.9000000000000008E-3</v>
      </c>
      <c r="H50" s="29"/>
    </row>
    <row r="51" spans="2:8" ht="15.75" customHeight="1" x14ac:dyDescent="0.25">
      <c r="B51" s="25" t="s">
        <v>387</v>
      </c>
      <c r="C51" s="25" t="s">
        <v>388</v>
      </c>
      <c r="D51" s="25" t="s">
        <v>132</v>
      </c>
      <c r="E51" s="26">
        <v>19382</v>
      </c>
      <c r="F51" s="27">
        <v>114.83</v>
      </c>
      <c r="G51" s="28">
        <v>9.5999999999999992E-3</v>
      </c>
      <c r="H51" s="29"/>
    </row>
    <row r="52" spans="2:8" ht="15.75" customHeight="1" x14ac:dyDescent="0.25">
      <c r="B52" s="25" t="s">
        <v>455</v>
      </c>
      <c r="C52" s="25" t="s">
        <v>456</v>
      </c>
      <c r="D52" s="25" t="s">
        <v>337</v>
      </c>
      <c r="E52" s="26">
        <v>9142</v>
      </c>
      <c r="F52" s="27">
        <v>113.15</v>
      </c>
      <c r="G52" s="28">
        <v>9.4999999999999998E-3</v>
      </c>
      <c r="H52" s="29"/>
    </row>
    <row r="53" spans="2:8" ht="15.75" customHeight="1" x14ac:dyDescent="0.25">
      <c r="B53" s="25" t="s">
        <v>622</v>
      </c>
      <c r="C53" s="25" t="s">
        <v>623</v>
      </c>
      <c r="D53" s="25" t="s">
        <v>132</v>
      </c>
      <c r="E53" s="26">
        <v>1980</v>
      </c>
      <c r="F53" s="27">
        <v>108.08</v>
      </c>
      <c r="G53" s="28">
        <v>9.1000000000000004E-3</v>
      </c>
      <c r="H53" s="29"/>
    </row>
    <row r="54" spans="2:8" ht="15.75" customHeight="1" x14ac:dyDescent="0.25">
      <c r="B54" s="25" t="s">
        <v>448</v>
      </c>
      <c r="C54" s="25" t="s">
        <v>449</v>
      </c>
      <c r="D54" s="25" t="s">
        <v>169</v>
      </c>
      <c r="E54" s="26">
        <v>6914</v>
      </c>
      <c r="F54" s="27">
        <v>105.15</v>
      </c>
      <c r="G54" s="28">
        <v>8.8000000000000005E-3</v>
      </c>
      <c r="H54" s="29"/>
    </row>
    <row r="55" spans="2:8" ht="15.75" customHeight="1" x14ac:dyDescent="0.25">
      <c r="B55" s="25" t="s">
        <v>636</v>
      </c>
      <c r="C55" s="25" t="s">
        <v>637</v>
      </c>
      <c r="D55" s="25" t="s">
        <v>219</v>
      </c>
      <c r="E55" s="26">
        <v>5521</v>
      </c>
      <c r="F55" s="27">
        <v>97.49</v>
      </c>
      <c r="G55" s="28">
        <v>8.2000000000000007E-3</v>
      </c>
      <c r="H55" s="29"/>
    </row>
    <row r="56" spans="2:8" ht="15.75" customHeight="1" x14ac:dyDescent="0.25">
      <c r="B56" s="25" t="s">
        <v>488</v>
      </c>
      <c r="C56" s="25" t="s">
        <v>489</v>
      </c>
      <c r="D56" s="25" t="s">
        <v>227</v>
      </c>
      <c r="E56" s="26">
        <v>11484</v>
      </c>
      <c r="F56" s="27">
        <v>81.12</v>
      </c>
      <c r="G56" s="28">
        <v>6.7999999999999996E-3</v>
      </c>
      <c r="H56" s="29"/>
    </row>
    <row r="57" spans="2:8" ht="15.75" customHeight="1" x14ac:dyDescent="0.25">
      <c r="B57" s="25" t="s">
        <v>494</v>
      </c>
      <c r="C57" s="25" t="s">
        <v>495</v>
      </c>
      <c r="D57" s="25" t="s">
        <v>184</v>
      </c>
      <c r="E57" s="26">
        <v>9634</v>
      </c>
      <c r="F57" s="27">
        <v>72.98</v>
      </c>
      <c r="G57" s="28">
        <v>6.1000000000000004E-3</v>
      </c>
      <c r="H57" s="29"/>
    </row>
    <row r="58" spans="2:8" ht="15.75" customHeight="1" x14ac:dyDescent="0.25">
      <c r="B58" s="24" t="s">
        <v>102</v>
      </c>
      <c r="C58" s="24"/>
      <c r="D58" s="24"/>
      <c r="E58" s="30"/>
      <c r="F58" s="31">
        <v>11738.68</v>
      </c>
      <c r="G58" s="32">
        <v>0.98550000000000004</v>
      </c>
      <c r="H58" s="33"/>
    </row>
    <row r="59" spans="2:8" ht="15.75" customHeight="1" x14ac:dyDescent="0.25">
      <c r="B59" s="24" t="s">
        <v>149</v>
      </c>
      <c r="C59" s="25"/>
      <c r="D59" s="25"/>
      <c r="E59" s="26"/>
      <c r="F59" s="27"/>
      <c r="G59" s="28"/>
      <c r="H59" s="29"/>
    </row>
    <row r="60" spans="2:8" ht="15.75" customHeight="1" x14ac:dyDescent="0.25">
      <c r="B60" s="24" t="s">
        <v>102</v>
      </c>
      <c r="C60" s="25"/>
      <c r="D60" s="25"/>
      <c r="E60" s="26"/>
      <c r="F60" s="34" t="s">
        <v>104</v>
      </c>
      <c r="G60" s="35" t="s">
        <v>104</v>
      </c>
      <c r="H60" s="29"/>
    </row>
    <row r="61" spans="2:8" ht="15.75" customHeight="1" x14ac:dyDescent="0.25">
      <c r="B61" s="25"/>
      <c r="C61" s="25"/>
      <c r="D61" s="25"/>
      <c r="E61" s="26"/>
      <c r="F61" s="27"/>
      <c r="G61" s="28"/>
      <c r="H61" s="29"/>
    </row>
    <row r="62" spans="2:8" ht="15.75" customHeight="1" x14ac:dyDescent="0.25">
      <c r="B62" s="36" t="s">
        <v>106</v>
      </c>
      <c r="C62" s="36"/>
      <c r="D62" s="36"/>
      <c r="E62" s="37"/>
      <c r="F62" s="31">
        <v>11738.68</v>
      </c>
      <c r="G62" s="32">
        <v>0.98550000000000004</v>
      </c>
      <c r="H62" s="33"/>
    </row>
    <row r="63" spans="2:8" ht="15.75" customHeight="1" x14ac:dyDescent="0.25">
      <c r="B63" s="25"/>
      <c r="C63" s="25"/>
      <c r="D63" s="25"/>
      <c r="E63" s="26"/>
      <c r="F63" s="27"/>
      <c r="G63" s="28"/>
      <c r="H63" s="29"/>
    </row>
    <row r="64" spans="2:8" ht="15.75" customHeight="1" x14ac:dyDescent="0.25">
      <c r="B64" s="25"/>
      <c r="C64" s="25"/>
      <c r="D64" s="25"/>
      <c r="E64" s="26"/>
      <c r="F64" s="27"/>
      <c r="G64" s="28"/>
      <c r="H64" s="29"/>
    </row>
    <row r="65" spans="2:12" ht="15.75" customHeight="1" x14ac:dyDescent="0.25">
      <c r="B65" s="24" t="s">
        <v>109</v>
      </c>
      <c r="C65" s="25"/>
      <c r="D65" s="25"/>
      <c r="E65" s="26"/>
      <c r="F65" s="27"/>
      <c r="G65" s="28"/>
      <c r="H65" s="29"/>
    </row>
    <row r="66" spans="2:12" ht="15.75" customHeight="1" x14ac:dyDescent="0.25">
      <c r="B66" s="25" t="s">
        <v>110</v>
      </c>
      <c r="C66" s="25"/>
      <c r="D66" s="25"/>
      <c r="E66" s="26"/>
      <c r="F66" s="27">
        <v>175.35</v>
      </c>
      <c r="G66" s="28">
        <v>1.47E-2</v>
      </c>
      <c r="H66" s="29"/>
    </row>
    <row r="67" spans="2:12" ht="15.75" customHeight="1" x14ac:dyDescent="0.25">
      <c r="B67" s="24" t="s">
        <v>102</v>
      </c>
      <c r="C67" s="24"/>
      <c r="D67" s="24"/>
      <c r="E67" s="30"/>
      <c r="F67" s="31">
        <v>175.35</v>
      </c>
      <c r="G67" s="32">
        <v>1.47E-2</v>
      </c>
      <c r="H67" s="33"/>
    </row>
    <row r="68" spans="2:12" ht="15.75" customHeight="1" x14ac:dyDescent="0.25">
      <c r="B68" s="25"/>
      <c r="C68" s="25"/>
      <c r="D68" s="25"/>
      <c r="E68" s="26"/>
      <c r="F68" s="27"/>
      <c r="G68" s="28"/>
      <c r="H68" s="29"/>
      <c r="L68" s="3"/>
    </row>
    <row r="69" spans="2:12" ht="15.75" customHeight="1" x14ac:dyDescent="0.25">
      <c r="B69" s="36" t="s">
        <v>106</v>
      </c>
      <c r="C69" s="36"/>
      <c r="D69" s="36"/>
      <c r="E69" s="37"/>
      <c r="F69" s="31">
        <v>175.35</v>
      </c>
      <c r="G69" s="32">
        <v>1.47E-2</v>
      </c>
      <c r="H69" s="33"/>
    </row>
    <row r="70" spans="2:12" ht="15.75" customHeight="1" x14ac:dyDescent="0.25">
      <c r="B70" s="25" t="s">
        <v>111</v>
      </c>
      <c r="C70" s="25"/>
      <c r="D70" s="25"/>
      <c r="E70" s="26"/>
      <c r="F70" s="38">
        <v>-2.68</v>
      </c>
      <c r="G70" s="39">
        <v>-1.9999999999997797E-4</v>
      </c>
      <c r="H70" s="29"/>
      <c r="L70" s="3"/>
    </row>
    <row r="71" spans="2:12" ht="15.75" customHeight="1" x14ac:dyDescent="0.25">
      <c r="B71" s="40" t="s">
        <v>112</v>
      </c>
      <c r="C71" s="40"/>
      <c r="D71" s="40"/>
      <c r="E71" s="41"/>
      <c r="F71" s="42">
        <v>11911.35</v>
      </c>
      <c r="G71" s="43">
        <v>1</v>
      </c>
      <c r="H71" s="44"/>
      <c r="L71" s="3"/>
    </row>
    <row r="72" spans="2:12" ht="15.75" customHeight="1" thickBot="1" x14ac:dyDescent="0.3">
      <c r="B72" s="2"/>
      <c r="L72" s="3"/>
    </row>
    <row r="73" spans="2:12" ht="27" customHeight="1" thickBot="1" x14ac:dyDescent="0.3">
      <c r="B73" s="56" t="s">
        <v>964</v>
      </c>
      <c r="C73" s="57" t="s">
        <v>965</v>
      </c>
      <c r="D73" s="57" t="s">
        <v>966</v>
      </c>
      <c r="E73" s="62" t="s">
        <v>967</v>
      </c>
      <c r="G73" s="2"/>
      <c r="H73" s="2"/>
    </row>
    <row r="74" spans="2:12" ht="29.25" customHeight="1" x14ac:dyDescent="0.25">
      <c r="B74" s="63" t="s">
        <v>66</v>
      </c>
      <c r="C74" s="81"/>
      <c r="D74" s="84" t="s">
        <v>1012</v>
      </c>
      <c r="E74" s="86"/>
      <c r="G74" s="2"/>
      <c r="H74" s="2"/>
    </row>
    <row r="75" spans="2:12" ht="40" customHeight="1" x14ac:dyDescent="0.25">
      <c r="B75" s="65" t="s">
        <v>1049</v>
      </c>
      <c r="C75" s="82"/>
      <c r="D75" s="85"/>
      <c r="E75" s="82"/>
      <c r="G75" s="2"/>
      <c r="H75" s="2"/>
    </row>
    <row r="76" spans="2:12" ht="40" customHeight="1" x14ac:dyDescent="0.25">
      <c r="B76" s="65" t="s">
        <v>1027</v>
      </c>
      <c r="C76" s="82"/>
      <c r="D76" s="85"/>
      <c r="E76" s="82"/>
      <c r="G76" s="2"/>
      <c r="H76" s="2"/>
    </row>
    <row r="77" spans="2:12" ht="23.25" customHeight="1" thickBot="1" x14ac:dyDescent="0.3">
      <c r="B77" s="67" t="s">
        <v>982</v>
      </c>
      <c r="C77" s="83"/>
      <c r="D77" s="70" t="s">
        <v>982</v>
      </c>
      <c r="E77" s="87"/>
      <c r="G77" s="2"/>
      <c r="H77" s="2"/>
    </row>
    <row r="78" spans="2:12" ht="25" customHeight="1" x14ac:dyDescent="0.25">
      <c r="B78" s="58" t="s">
        <v>969</v>
      </c>
      <c r="C78" s="59"/>
      <c r="D78" s="60"/>
      <c r="E78" s="61"/>
      <c r="G78" s="2"/>
      <c r="H78" s="2"/>
    </row>
    <row r="80" spans="2:12" ht="11.5" x14ac:dyDescent="0.25">
      <c r="B80" s="2" t="s">
        <v>970</v>
      </c>
      <c r="C80" s="2"/>
      <c r="D80" s="2"/>
      <c r="G80" s="2"/>
      <c r="H80" s="2"/>
    </row>
    <row r="81" spans="2:16" ht="11.5" x14ac:dyDescent="0.25">
      <c r="B81" s="3" t="s">
        <v>971</v>
      </c>
      <c r="C81" s="2"/>
      <c r="D81" s="2"/>
      <c r="G81" s="2"/>
      <c r="H81" s="2"/>
    </row>
    <row r="82" spans="2:16" ht="15.75" customHeight="1" x14ac:dyDescent="0.25">
      <c r="L82" s="7"/>
      <c r="M82" s="7"/>
      <c r="N82" s="7"/>
      <c r="O82" s="7"/>
      <c r="P82" s="7"/>
    </row>
    <row r="83" spans="2:16" ht="15.75" customHeight="1" x14ac:dyDescent="0.25">
      <c r="L83" s="7"/>
      <c r="M83" s="7"/>
      <c r="N83" s="7"/>
      <c r="O83" s="7"/>
      <c r="P83" s="7"/>
    </row>
    <row r="84" spans="2:16" ht="15.75" customHeight="1" x14ac:dyDescent="0.25">
      <c r="L84" s="7"/>
      <c r="M84" s="7"/>
      <c r="N84" s="7"/>
      <c r="O84" s="7"/>
      <c r="P84" s="7"/>
    </row>
    <row r="86" spans="2:16" ht="15.75" customHeight="1" x14ac:dyDescent="0.25">
      <c r="L86" s="3"/>
    </row>
  </sheetData>
  <mergeCells count="3">
    <mergeCell ref="C74:C77"/>
    <mergeCell ref="D74:D76"/>
    <mergeCell ref="E74:E77"/>
  </mergeCells>
  <hyperlinks>
    <hyperlink ref="I1" location="'Sheet1'!A1" display="Index" xr:uid="{51659DD9-0571-43B2-A92F-339ABF99C020}"/>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C8D5C-13EE-494C-A9B7-5696DA1EA474}">
  <dimension ref="B1:P130"/>
  <sheetViews>
    <sheetView workbookViewId="0"/>
  </sheetViews>
  <sheetFormatPr defaultColWidth="9.1796875" defaultRowHeight="15.75" customHeight="1" x14ac:dyDescent="0.25"/>
  <cols>
    <col min="1" max="1" width="3.6328125" style="2" customWidth="1"/>
    <col min="2" max="2" width="50.453125" style="9" customWidth="1"/>
    <col min="3" max="3" width="27.7265625" style="9" customWidth="1"/>
    <col min="4" max="4" width="26.6328125" style="9" customWidth="1"/>
    <col min="5" max="5" width="29.72656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23</v>
      </c>
      <c r="C1" s="1" t="s">
        <v>954</v>
      </c>
      <c r="D1" s="1" t="s">
        <v>955</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523</v>
      </c>
      <c r="C7" s="25" t="s">
        <v>524</v>
      </c>
      <c r="D7" s="25" t="s">
        <v>362</v>
      </c>
      <c r="E7" s="26">
        <v>172616</v>
      </c>
      <c r="F7" s="27">
        <v>1623.71</v>
      </c>
      <c r="G7" s="28">
        <v>2.7199999999999998E-2</v>
      </c>
      <c r="H7" s="29"/>
    </row>
    <row r="8" spans="2:9" ht="15.75" customHeight="1" x14ac:dyDescent="0.25">
      <c r="B8" s="25" t="s">
        <v>789</v>
      </c>
      <c r="C8" s="25" t="s">
        <v>790</v>
      </c>
      <c r="D8" s="25" t="s">
        <v>178</v>
      </c>
      <c r="E8" s="26">
        <v>2497104</v>
      </c>
      <c r="F8" s="27">
        <v>1319.97</v>
      </c>
      <c r="G8" s="28">
        <v>2.2100000000000002E-2</v>
      </c>
      <c r="H8" s="29"/>
    </row>
    <row r="9" spans="2:9" ht="15.75" customHeight="1" x14ac:dyDescent="0.25">
      <c r="B9" s="25" t="s">
        <v>642</v>
      </c>
      <c r="C9" s="25" t="s">
        <v>643</v>
      </c>
      <c r="D9" s="25" t="s">
        <v>337</v>
      </c>
      <c r="E9" s="26">
        <v>32733</v>
      </c>
      <c r="F9" s="27">
        <v>1298.47</v>
      </c>
      <c r="G9" s="28">
        <v>2.1700000000000001E-2</v>
      </c>
      <c r="H9" s="29"/>
    </row>
    <row r="10" spans="2:9" ht="15.75" customHeight="1" x14ac:dyDescent="0.25">
      <c r="B10" s="25" t="s">
        <v>589</v>
      </c>
      <c r="C10" s="25" t="s">
        <v>590</v>
      </c>
      <c r="D10" s="25" t="s">
        <v>263</v>
      </c>
      <c r="E10" s="26">
        <v>206426</v>
      </c>
      <c r="F10" s="27">
        <v>1290.27</v>
      </c>
      <c r="G10" s="28">
        <v>2.1600000000000001E-2</v>
      </c>
      <c r="H10" s="29"/>
    </row>
    <row r="11" spans="2:9" ht="15.75" customHeight="1" x14ac:dyDescent="0.25">
      <c r="B11" s="25" t="s">
        <v>791</v>
      </c>
      <c r="C11" s="25" t="s">
        <v>792</v>
      </c>
      <c r="D11" s="25" t="s">
        <v>251</v>
      </c>
      <c r="E11" s="26">
        <v>25177</v>
      </c>
      <c r="F11" s="27">
        <v>1072.3499999999999</v>
      </c>
      <c r="G11" s="28">
        <v>1.7899999999999999E-2</v>
      </c>
      <c r="H11" s="29"/>
    </row>
    <row r="12" spans="2:9" ht="15.75" customHeight="1" x14ac:dyDescent="0.25">
      <c r="B12" s="25" t="s">
        <v>793</v>
      </c>
      <c r="C12" s="25" t="s">
        <v>794</v>
      </c>
      <c r="D12" s="25" t="s">
        <v>178</v>
      </c>
      <c r="E12" s="26">
        <v>151382</v>
      </c>
      <c r="F12" s="27">
        <v>1066.79</v>
      </c>
      <c r="G12" s="28">
        <v>1.78E-2</v>
      </c>
      <c r="H12" s="29"/>
    </row>
    <row r="13" spans="2:9" ht="15.75" customHeight="1" x14ac:dyDescent="0.25">
      <c r="B13" s="25" t="s">
        <v>795</v>
      </c>
      <c r="C13" s="25" t="s">
        <v>796</v>
      </c>
      <c r="D13" s="25" t="s">
        <v>194</v>
      </c>
      <c r="E13" s="26">
        <v>8883</v>
      </c>
      <c r="F13" s="27">
        <v>1063.4100000000001</v>
      </c>
      <c r="G13" s="28">
        <v>1.78E-2</v>
      </c>
      <c r="H13" s="29"/>
    </row>
    <row r="14" spans="2:9" ht="15.75" customHeight="1" x14ac:dyDescent="0.25">
      <c r="B14" s="25" t="s">
        <v>780</v>
      </c>
      <c r="C14" s="25" t="s">
        <v>781</v>
      </c>
      <c r="D14" s="25" t="s">
        <v>132</v>
      </c>
      <c r="E14" s="26">
        <v>24559</v>
      </c>
      <c r="F14" s="27">
        <v>1041.6600000000001</v>
      </c>
      <c r="G14" s="28">
        <v>1.7399999999999999E-2</v>
      </c>
      <c r="H14" s="29"/>
    </row>
    <row r="15" spans="2:9" ht="15.75" customHeight="1" x14ac:dyDescent="0.25">
      <c r="B15" s="25" t="s">
        <v>249</v>
      </c>
      <c r="C15" s="25" t="s">
        <v>250</v>
      </c>
      <c r="D15" s="25" t="s">
        <v>251</v>
      </c>
      <c r="E15" s="26">
        <v>60760</v>
      </c>
      <c r="F15" s="27">
        <v>1014.9</v>
      </c>
      <c r="G15" s="28">
        <v>1.7000000000000001E-2</v>
      </c>
      <c r="H15" s="29"/>
    </row>
    <row r="16" spans="2:9" ht="15.75" customHeight="1" x14ac:dyDescent="0.25">
      <c r="B16" s="25" t="s">
        <v>797</v>
      </c>
      <c r="C16" s="25" t="s">
        <v>798</v>
      </c>
      <c r="D16" s="25" t="s">
        <v>129</v>
      </c>
      <c r="E16" s="26">
        <v>4224839</v>
      </c>
      <c r="F16" s="27">
        <v>1000.86</v>
      </c>
      <c r="G16" s="28">
        <v>1.67E-2</v>
      </c>
      <c r="H16" s="29"/>
    </row>
    <row r="17" spans="2:8" ht="15.75" customHeight="1" x14ac:dyDescent="0.25">
      <c r="B17" s="25" t="s">
        <v>433</v>
      </c>
      <c r="C17" s="25" t="s">
        <v>434</v>
      </c>
      <c r="D17" s="25" t="s">
        <v>219</v>
      </c>
      <c r="E17" s="26">
        <v>66255</v>
      </c>
      <c r="F17" s="27">
        <v>996.18</v>
      </c>
      <c r="G17" s="28">
        <v>1.67E-2</v>
      </c>
      <c r="H17" s="29"/>
    </row>
    <row r="18" spans="2:8" ht="15.75" customHeight="1" x14ac:dyDescent="0.25">
      <c r="B18" s="25" t="s">
        <v>482</v>
      </c>
      <c r="C18" s="25" t="s">
        <v>483</v>
      </c>
      <c r="D18" s="25" t="s">
        <v>129</v>
      </c>
      <c r="E18" s="26">
        <v>556604</v>
      </c>
      <c r="F18" s="27">
        <v>986.58</v>
      </c>
      <c r="G18" s="28">
        <v>1.6500000000000001E-2</v>
      </c>
      <c r="H18" s="29"/>
    </row>
    <row r="19" spans="2:8" ht="15.75" customHeight="1" x14ac:dyDescent="0.25">
      <c r="B19" s="25" t="s">
        <v>182</v>
      </c>
      <c r="C19" s="25" t="s">
        <v>183</v>
      </c>
      <c r="D19" s="25" t="s">
        <v>184</v>
      </c>
      <c r="E19" s="26">
        <v>23824</v>
      </c>
      <c r="F19" s="27">
        <v>951.36</v>
      </c>
      <c r="G19" s="28">
        <v>1.5900000000000001E-2</v>
      </c>
      <c r="H19" s="29"/>
    </row>
    <row r="20" spans="2:8" ht="15.75" customHeight="1" x14ac:dyDescent="0.25">
      <c r="B20" s="25" t="s">
        <v>799</v>
      </c>
      <c r="C20" s="25" t="s">
        <v>800</v>
      </c>
      <c r="D20" s="25" t="s">
        <v>801</v>
      </c>
      <c r="E20" s="26">
        <v>68054</v>
      </c>
      <c r="F20" s="27">
        <v>950.88</v>
      </c>
      <c r="G20" s="28">
        <v>1.5900000000000001E-2</v>
      </c>
      <c r="H20" s="29"/>
    </row>
    <row r="21" spans="2:8" ht="15.75" customHeight="1" x14ac:dyDescent="0.25">
      <c r="B21" s="25" t="s">
        <v>802</v>
      </c>
      <c r="C21" s="25" t="s">
        <v>803</v>
      </c>
      <c r="D21" s="25" t="s">
        <v>202</v>
      </c>
      <c r="E21" s="26">
        <v>123737</v>
      </c>
      <c r="F21" s="27">
        <v>908.85</v>
      </c>
      <c r="G21" s="28">
        <v>1.52E-2</v>
      </c>
      <c r="H21" s="29"/>
    </row>
    <row r="22" spans="2:8" ht="15.75" customHeight="1" x14ac:dyDescent="0.25">
      <c r="B22" s="25" t="s">
        <v>804</v>
      </c>
      <c r="C22" s="25" t="s">
        <v>805</v>
      </c>
      <c r="D22" s="25" t="s">
        <v>169</v>
      </c>
      <c r="E22" s="26">
        <v>55941</v>
      </c>
      <c r="F22" s="27">
        <v>907</v>
      </c>
      <c r="G22" s="28">
        <v>1.52E-2</v>
      </c>
      <c r="H22" s="29"/>
    </row>
    <row r="23" spans="2:8" ht="15.75" customHeight="1" x14ac:dyDescent="0.25">
      <c r="B23" s="25" t="s">
        <v>806</v>
      </c>
      <c r="C23" s="25" t="s">
        <v>807</v>
      </c>
      <c r="D23" s="25" t="s">
        <v>428</v>
      </c>
      <c r="E23" s="26">
        <v>5052378</v>
      </c>
      <c r="F23" s="27">
        <v>903.87</v>
      </c>
      <c r="G23" s="28">
        <v>1.5100000000000001E-2</v>
      </c>
      <c r="H23" s="29"/>
    </row>
    <row r="24" spans="2:8" ht="15.75" customHeight="1" x14ac:dyDescent="0.25">
      <c r="B24" s="25" t="s">
        <v>604</v>
      </c>
      <c r="C24" s="25" t="s">
        <v>605</v>
      </c>
      <c r="D24" s="25" t="s">
        <v>337</v>
      </c>
      <c r="E24" s="26">
        <v>15114</v>
      </c>
      <c r="F24" s="27">
        <v>900.17</v>
      </c>
      <c r="G24" s="28">
        <v>1.5100000000000001E-2</v>
      </c>
      <c r="H24" s="29"/>
    </row>
    <row r="25" spans="2:8" ht="15.75" customHeight="1" x14ac:dyDescent="0.25">
      <c r="B25" s="25" t="s">
        <v>176</v>
      </c>
      <c r="C25" s="25" t="s">
        <v>177</v>
      </c>
      <c r="D25" s="25" t="s">
        <v>178</v>
      </c>
      <c r="E25" s="26">
        <v>298254</v>
      </c>
      <c r="F25" s="27">
        <v>897.3</v>
      </c>
      <c r="G25" s="28">
        <v>1.4999999999999999E-2</v>
      </c>
      <c r="H25" s="29"/>
    </row>
    <row r="26" spans="2:8" ht="15.75" customHeight="1" x14ac:dyDescent="0.25">
      <c r="B26" s="25" t="s">
        <v>808</v>
      </c>
      <c r="C26" s="25" t="s">
        <v>809</v>
      </c>
      <c r="D26" s="25" t="s">
        <v>129</v>
      </c>
      <c r="E26" s="26">
        <v>130571</v>
      </c>
      <c r="F26" s="27">
        <v>877.5</v>
      </c>
      <c r="G26" s="28">
        <v>1.47E-2</v>
      </c>
      <c r="H26" s="29"/>
    </row>
    <row r="27" spans="2:8" ht="15.75" customHeight="1" x14ac:dyDescent="0.25">
      <c r="B27" s="25" t="s">
        <v>622</v>
      </c>
      <c r="C27" s="25" t="s">
        <v>623</v>
      </c>
      <c r="D27" s="25" t="s">
        <v>132</v>
      </c>
      <c r="E27" s="26">
        <v>15668</v>
      </c>
      <c r="F27" s="27">
        <v>855.28</v>
      </c>
      <c r="G27" s="28">
        <v>1.43E-2</v>
      </c>
      <c r="H27" s="29"/>
    </row>
    <row r="28" spans="2:8" ht="15.75" customHeight="1" x14ac:dyDescent="0.25">
      <c r="B28" s="25" t="s">
        <v>810</v>
      </c>
      <c r="C28" s="25" t="s">
        <v>811</v>
      </c>
      <c r="D28" s="25" t="s">
        <v>219</v>
      </c>
      <c r="E28" s="26">
        <v>26509</v>
      </c>
      <c r="F28" s="27">
        <v>850.38</v>
      </c>
      <c r="G28" s="28">
        <v>1.4200000000000001E-2</v>
      </c>
      <c r="H28" s="29"/>
    </row>
    <row r="29" spans="2:8" ht="15.75" customHeight="1" x14ac:dyDescent="0.25">
      <c r="B29" s="25" t="s">
        <v>185</v>
      </c>
      <c r="C29" s="25" t="s">
        <v>186</v>
      </c>
      <c r="D29" s="25" t="s">
        <v>187</v>
      </c>
      <c r="E29" s="26">
        <v>339808</v>
      </c>
      <c r="F29" s="27">
        <v>821.96</v>
      </c>
      <c r="G29" s="28">
        <v>1.37E-2</v>
      </c>
      <c r="H29" s="29"/>
    </row>
    <row r="30" spans="2:8" ht="15.75" customHeight="1" x14ac:dyDescent="0.25">
      <c r="B30" s="25" t="s">
        <v>680</v>
      </c>
      <c r="C30" s="25" t="s">
        <v>681</v>
      </c>
      <c r="D30" s="25" t="s">
        <v>184</v>
      </c>
      <c r="E30" s="26">
        <v>31372</v>
      </c>
      <c r="F30" s="27">
        <v>810.2</v>
      </c>
      <c r="G30" s="28">
        <v>1.3599999999999999E-2</v>
      </c>
      <c r="H30" s="29"/>
    </row>
    <row r="31" spans="2:8" ht="15.75" customHeight="1" x14ac:dyDescent="0.25">
      <c r="B31" s="25" t="s">
        <v>597</v>
      </c>
      <c r="C31" s="25" t="s">
        <v>598</v>
      </c>
      <c r="D31" s="25" t="s">
        <v>194</v>
      </c>
      <c r="E31" s="26">
        <v>54640</v>
      </c>
      <c r="F31" s="27">
        <v>804.41</v>
      </c>
      <c r="G31" s="28">
        <v>1.35E-2</v>
      </c>
      <c r="H31" s="29"/>
    </row>
    <row r="32" spans="2:8" ht="15.75" customHeight="1" x14ac:dyDescent="0.25">
      <c r="B32" s="25" t="s">
        <v>247</v>
      </c>
      <c r="C32" s="25" t="s">
        <v>248</v>
      </c>
      <c r="D32" s="25" t="s">
        <v>169</v>
      </c>
      <c r="E32" s="26">
        <v>65480</v>
      </c>
      <c r="F32" s="27">
        <v>790.74</v>
      </c>
      <c r="G32" s="28">
        <v>1.32E-2</v>
      </c>
      <c r="H32" s="29"/>
    </row>
    <row r="33" spans="2:8" ht="15.75" customHeight="1" x14ac:dyDescent="0.25">
      <c r="B33" s="25" t="s">
        <v>812</v>
      </c>
      <c r="C33" s="25" t="s">
        <v>813</v>
      </c>
      <c r="D33" s="25" t="s">
        <v>337</v>
      </c>
      <c r="E33" s="26">
        <v>11380</v>
      </c>
      <c r="F33" s="27">
        <v>766.96</v>
      </c>
      <c r="G33" s="28">
        <v>1.2800000000000001E-2</v>
      </c>
      <c r="H33" s="29"/>
    </row>
    <row r="34" spans="2:8" ht="15.75" customHeight="1" x14ac:dyDescent="0.25">
      <c r="B34" s="25" t="s">
        <v>237</v>
      </c>
      <c r="C34" s="25" t="s">
        <v>238</v>
      </c>
      <c r="D34" s="25" t="s">
        <v>129</v>
      </c>
      <c r="E34" s="26">
        <v>929737</v>
      </c>
      <c r="F34" s="27">
        <v>763.87</v>
      </c>
      <c r="G34" s="28">
        <v>1.2800000000000001E-2</v>
      </c>
      <c r="H34" s="29"/>
    </row>
    <row r="35" spans="2:8" ht="15.75" customHeight="1" x14ac:dyDescent="0.25">
      <c r="B35" s="25" t="s">
        <v>255</v>
      </c>
      <c r="C35" s="25" t="s">
        <v>256</v>
      </c>
      <c r="D35" s="25" t="s">
        <v>140</v>
      </c>
      <c r="E35" s="26">
        <v>224762</v>
      </c>
      <c r="F35" s="27">
        <v>746.43</v>
      </c>
      <c r="G35" s="28">
        <v>1.2500000000000001E-2</v>
      </c>
      <c r="H35" s="29"/>
    </row>
    <row r="36" spans="2:8" ht="15.75" customHeight="1" x14ac:dyDescent="0.25">
      <c r="B36" s="25" t="s">
        <v>814</v>
      </c>
      <c r="C36" s="25" t="s">
        <v>815</v>
      </c>
      <c r="D36" s="25" t="s">
        <v>428</v>
      </c>
      <c r="E36" s="26">
        <v>192593</v>
      </c>
      <c r="F36" s="27">
        <v>722.8</v>
      </c>
      <c r="G36" s="28">
        <v>1.21E-2</v>
      </c>
      <c r="H36" s="29"/>
    </row>
    <row r="37" spans="2:8" ht="15.75" customHeight="1" x14ac:dyDescent="0.25">
      <c r="B37" s="25" t="s">
        <v>816</v>
      </c>
      <c r="C37" s="25" t="s">
        <v>817</v>
      </c>
      <c r="D37" s="25" t="s">
        <v>202</v>
      </c>
      <c r="E37" s="26">
        <v>716875</v>
      </c>
      <c r="F37" s="27">
        <v>721.89</v>
      </c>
      <c r="G37" s="28">
        <v>1.21E-2</v>
      </c>
      <c r="H37" s="29"/>
    </row>
    <row r="38" spans="2:8" ht="15.75" customHeight="1" x14ac:dyDescent="0.25">
      <c r="B38" s="25" t="s">
        <v>606</v>
      </c>
      <c r="C38" s="25" t="s">
        <v>607</v>
      </c>
      <c r="D38" s="25" t="s">
        <v>295</v>
      </c>
      <c r="E38" s="26">
        <v>18938</v>
      </c>
      <c r="F38" s="27">
        <v>719.41</v>
      </c>
      <c r="G38" s="28">
        <v>1.2E-2</v>
      </c>
      <c r="H38" s="29"/>
    </row>
    <row r="39" spans="2:8" ht="15.75" customHeight="1" x14ac:dyDescent="0.25">
      <c r="B39" s="25" t="s">
        <v>602</v>
      </c>
      <c r="C39" s="25" t="s">
        <v>603</v>
      </c>
      <c r="D39" s="25" t="s">
        <v>337</v>
      </c>
      <c r="E39" s="26">
        <v>29534</v>
      </c>
      <c r="F39" s="27">
        <v>703.15</v>
      </c>
      <c r="G39" s="28">
        <v>1.18E-2</v>
      </c>
      <c r="H39" s="29"/>
    </row>
    <row r="40" spans="2:8" ht="15.75" customHeight="1" x14ac:dyDescent="0.25">
      <c r="B40" s="25" t="s">
        <v>302</v>
      </c>
      <c r="C40" s="25" t="s">
        <v>303</v>
      </c>
      <c r="D40" s="25" t="s">
        <v>232</v>
      </c>
      <c r="E40" s="26">
        <v>64884</v>
      </c>
      <c r="F40" s="27">
        <v>676.35</v>
      </c>
      <c r="G40" s="28">
        <v>1.1299999999999999E-2</v>
      </c>
      <c r="H40" s="29"/>
    </row>
    <row r="41" spans="2:8" ht="15.75" customHeight="1" x14ac:dyDescent="0.25">
      <c r="B41" s="25" t="s">
        <v>293</v>
      </c>
      <c r="C41" s="25" t="s">
        <v>294</v>
      </c>
      <c r="D41" s="25" t="s">
        <v>295</v>
      </c>
      <c r="E41" s="26">
        <v>118450</v>
      </c>
      <c r="F41" s="27">
        <v>676.17</v>
      </c>
      <c r="G41" s="28">
        <v>1.1299999999999999E-2</v>
      </c>
      <c r="H41" s="29"/>
    </row>
    <row r="42" spans="2:8" ht="15.75" customHeight="1" x14ac:dyDescent="0.25">
      <c r="B42" s="25" t="s">
        <v>203</v>
      </c>
      <c r="C42" s="25" t="s">
        <v>204</v>
      </c>
      <c r="D42" s="25" t="s">
        <v>205</v>
      </c>
      <c r="E42" s="26">
        <v>267311</v>
      </c>
      <c r="F42" s="27">
        <v>657.72</v>
      </c>
      <c r="G42" s="28">
        <v>1.0999999999999999E-2</v>
      </c>
      <c r="H42" s="29"/>
    </row>
    <row r="43" spans="2:8" ht="15.75" customHeight="1" x14ac:dyDescent="0.25">
      <c r="B43" s="25" t="s">
        <v>369</v>
      </c>
      <c r="C43" s="25" t="s">
        <v>370</v>
      </c>
      <c r="D43" s="25" t="s">
        <v>337</v>
      </c>
      <c r="E43" s="26">
        <v>41878</v>
      </c>
      <c r="F43" s="27">
        <v>651.33000000000004</v>
      </c>
      <c r="G43" s="28">
        <v>1.09E-2</v>
      </c>
      <c r="H43" s="29"/>
    </row>
    <row r="44" spans="2:8" ht="15.75" customHeight="1" x14ac:dyDescent="0.25">
      <c r="B44" s="25" t="s">
        <v>450</v>
      </c>
      <c r="C44" s="25" t="s">
        <v>451</v>
      </c>
      <c r="D44" s="25" t="s">
        <v>251</v>
      </c>
      <c r="E44" s="26">
        <v>97733</v>
      </c>
      <c r="F44" s="27">
        <v>626.47</v>
      </c>
      <c r="G44" s="28">
        <v>1.0500000000000001E-2</v>
      </c>
      <c r="H44" s="29"/>
    </row>
    <row r="45" spans="2:8" ht="15.75" customHeight="1" x14ac:dyDescent="0.25">
      <c r="B45" s="25" t="s">
        <v>626</v>
      </c>
      <c r="C45" s="25" t="s">
        <v>627</v>
      </c>
      <c r="D45" s="25" t="s">
        <v>219</v>
      </c>
      <c r="E45" s="26">
        <v>32944</v>
      </c>
      <c r="F45" s="27">
        <v>623.5</v>
      </c>
      <c r="G45" s="28">
        <v>1.04E-2</v>
      </c>
      <c r="H45" s="29"/>
    </row>
    <row r="46" spans="2:8" ht="15.75" customHeight="1" x14ac:dyDescent="0.25">
      <c r="B46" s="25" t="s">
        <v>818</v>
      </c>
      <c r="C46" s="25" t="s">
        <v>819</v>
      </c>
      <c r="D46" s="25" t="s">
        <v>129</v>
      </c>
      <c r="E46" s="26">
        <v>448718</v>
      </c>
      <c r="F46" s="27">
        <v>613.35</v>
      </c>
      <c r="G46" s="28">
        <v>1.03E-2</v>
      </c>
      <c r="H46" s="29"/>
    </row>
    <row r="47" spans="2:8" ht="15.75" customHeight="1" x14ac:dyDescent="0.25">
      <c r="B47" s="25" t="s">
        <v>820</v>
      </c>
      <c r="C47" s="25" t="s">
        <v>821</v>
      </c>
      <c r="D47" s="25" t="s">
        <v>251</v>
      </c>
      <c r="E47" s="26">
        <v>473</v>
      </c>
      <c r="F47" s="27">
        <v>612.34</v>
      </c>
      <c r="G47" s="28">
        <v>1.0200000000000001E-2</v>
      </c>
      <c r="H47" s="29"/>
    </row>
    <row r="48" spans="2:8" ht="15.75" customHeight="1" x14ac:dyDescent="0.25">
      <c r="B48" s="25" t="s">
        <v>585</v>
      </c>
      <c r="C48" s="25" t="s">
        <v>586</v>
      </c>
      <c r="D48" s="25" t="s">
        <v>251</v>
      </c>
      <c r="E48" s="26">
        <v>18645</v>
      </c>
      <c r="F48" s="27">
        <v>602.04999999999995</v>
      </c>
      <c r="G48" s="28">
        <v>1.01E-2</v>
      </c>
      <c r="H48" s="29"/>
    </row>
    <row r="49" spans="2:8" ht="15.75" customHeight="1" x14ac:dyDescent="0.25">
      <c r="B49" s="25" t="s">
        <v>822</v>
      </c>
      <c r="C49" s="25" t="s">
        <v>823</v>
      </c>
      <c r="D49" s="25" t="s">
        <v>132</v>
      </c>
      <c r="E49" s="26">
        <v>36805</v>
      </c>
      <c r="F49" s="27">
        <v>601.66999999999996</v>
      </c>
      <c r="G49" s="28">
        <v>1.01E-2</v>
      </c>
      <c r="H49" s="29"/>
    </row>
    <row r="50" spans="2:8" ht="15.75" customHeight="1" x14ac:dyDescent="0.25">
      <c r="B50" s="25" t="s">
        <v>587</v>
      </c>
      <c r="C50" s="25" t="s">
        <v>588</v>
      </c>
      <c r="D50" s="25" t="s">
        <v>202</v>
      </c>
      <c r="E50" s="26">
        <v>40125</v>
      </c>
      <c r="F50" s="27">
        <v>601.23</v>
      </c>
      <c r="G50" s="28">
        <v>1.01E-2</v>
      </c>
      <c r="H50" s="29"/>
    </row>
    <row r="51" spans="2:8" ht="15.75" customHeight="1" x14ac:dyDescent="0.25">
      <c r="B51" s="25" t="s">
        <v>381</v>
      </c>
      <c r="C51" s="25" t="s">
        <v>382</v>
      </c>
      <c r="D51" s="25" t="s">
        <v>169</v>
      </c>
      <c r="E51" s="26">
        <v>11760</v>
      </c>
      <c r="F51" s="27">
        <v>586.98</v>
      </c>
      <c r="G51" s="28">
        <v>9.7999999999999997E-3</v>
      </c>
      <c r="H51" s="29"/>
    </row>
    <row r="52" spans="2:8" ht="15.75" customHeight="1" x14ac:dyDescent="0.25">
      <c r="B52" s="25" t="s">
        <v>452</v>
      </c>
      <c r="C52" s="25" t="s">
        <v>453</v>
      </c>
      <c r="D52" s="25" t="s">
        <v>454</v>
      </c>
      <c r="E52" s="26">
        <v>80988</v>
      </c>
      <c r="F52" s="27">
        <v>585.58000000000004</v>
      </c>
      <c r="G52" s="28">
        <v>9.7999999999999997E-3</v>
      </c>
      <c r="H52" s="29"/>
    </row>
    <row r="53" spans="2:8" ht="15.75" customHeight="1" x14ac:dyDescent="0.25">
      <c r="B53" s="25" t="s">
        <v>824</v>
      </c>
      <c r="C53" s="25" t="s">
        <v>825</v>
      </c>
      <c r="D53" s="25" t="s">
        <v>362</v>
      </c>
      <c r="E53" s="26">
        <v>123190</v>
      </c>
      <c r="F53" s="27">
        <v>585.58000000000004</v>
      </c>
      <c r="G53" s="28">
        <v>9.7999999999999997E-3</v>
      </c>
      <c r="H53" s="29"/>
    </row>
    <row r="54" spans="2:8" ht="15.75" customHeight="1" x14ac:dyDescent="0.25">
      <c r="B54" s="25" t="s">
        <v>288</v>
      </c>
      <c r="C54" s="25" t="s">
        <v>289</v>
      </c>
      <c r="D54" s="25" t="s">
        <v>290</v>
      </c>
      <c r="E54" s="26">
        <v>598871</v>
      </c>
      <c r="F54" s="27">
        <v>578.33000000000004</v>
      </c>
      <c r="G54" s="28">
        <v>9.7000000000000003E-3</v>
      </c>
      <c r="H54" s="29"/>
    </row>
    <row r="55" spans="2:8" ht="15.75" customHeight="1" x14ac:dyDescent="0.25">
      <c r="B55" s="25" t="s">
        <v>614</v>
      </c>
      <c r="C55" s="25" t="s">
        <v>615</v>
      </c>
      <c r="D55" s="25" t="s">
        <v>132</v>
      </c>
      <c r="E55" s="26">
        <v>8224</v>
      </c>
      <c r="F55" s="27">
        <v>575.79999999999995</v>
      </c>
      <c r="G55" s="28">
        <v>9.5999999999999992E-3</v>
      </c>
      <c r="H55" s="29"/>
    </row>
    <row r="56" spans="2:8" ht="15.75" customHeight="1" x14ac:dyDescent="0.25">
      <c r="B56" s="25" t="s">
        <v>826</v>
      </c>
      <c r="C56" s="25" t="s">
        <v>827</v>
      </c>
      <c r="D56" s="25" t="s">
        <v>241</v>
      </c>
      <c r="E56" s="26">
        <v>173581</v>
      </c>
      <c r="F56" s="27">
        <v>573.25</v>
      </c>
      <c r="G56" s="28">
        <v>9.5999999999999992E-3</v>
      </c>
      <c r="H56" s="29"/>
    </row>
    <row r="57" spans="2:8" ht="15.75" customHeight="1" x14ac:dyDescent="0.25">
      <c r="B57" s="25" t="s">
        <v>552</v>
      </c>
      <c r="C57" s="25" t="s">
        <v>553</v>
      </c>
      <c r="D57" s="25" t="s">
        <v>508</v>
      </c>
      <c r="E57" s="26">
        <v>1459</v>
      </c>
      <c r="F57" s="27">
        <v>570.46</v>
      </c>
      <c r="G57" s="28">
        <v>9.4999999999999998E-3</v>
      </c>
      <c r="H57" s="29"/>
    </row>
    <row r="58" spans="2:8" ht="15.75" customHeight="1" x14ac:dyDescent="0.25">
      <c r="B58" s="25" t="s">
        <v>828</v>
      </c>
      <c r="C58" s="25" t="s">
        <v>829</v>
      </c>
      <c r="D58" s="25" t="s">
        <v>227</v>
      </c>
      <c r="E58" s="26">
        <v>71432</v>
      </c>
      <c r="F58" s="27">
        <v>569.16999999999996</v>
      </c>
      <c r="G58" s="28">
        <v>9.4999999999999998E-3</v>
      </c>
      <c r="H58" s="29"/>
    </row>
    <row r="59" spans="2:8" ht="15.75" customHeight="1" x14ac:dyDescent="0.25">
      <c r="B59" s="25" t="s">
        <v>830</v>
      </c>
      <c r="C59" s="25" t="s">
        <v>831</v>
      </c>
      <c r="D59" s="25" t="s">
        <v>285</v>
      </c>
      <c r="E59" s="26">
        <v>57747</v>
      </c>
      <c r="F59" s="27">
        <v>561.13</v>
      </c>
      <c r="G59" s="28">
        <v>9.4000000000000004E-3</v>
      </c>
      <c r="H59" s="29"/>
    </row>
    <row r="60" spans="2:8" ht="15.75" customHeight="1" x14ac:dyDescent="0.25">
      <c r="B60" s="25" t="s">
        <v>832</v>
      </c>
      <c r="C60" s="25" t="s">
        <v>833</v>
      </c>
      <c r="D60" s="25" t="s">
        <v>254</v>
      </c>
      <c r="E60" s="26">
        <v>316667</v>
      </c>
      <c r="F60" s="27">
        <v>558.73</v>
      </c>
      <c r="G60" s="28">
        <v>9.2999999999999992E-3</v>
      </c>
      <c r="H60" s="29"/>
    </row>
    <row r="61" spans="2:8" ht="15.75" customHeight="1" x14ac:dyDescent="0.25">
      <c r="B61" s="25" t="s">
        <v>834</v>
      </c>
      <c r="C61" s="25" t="s">
        <v>835</v>
      </c>
      <c r="D61" s="25" t="s">
        <v>224</v>
      </c>
      <c r="E61" s="26">
        <v>133059</v>
      </c>
      <c r="F61" s="27">
        <v>554.32000000000005</v>
      </c>
      <c r="G61" s="28">
        <v>9.2999999999999992E-3</v>
      </c>
      <c r="H61" s="29"/>
    </row>
    <row r="62" spans="2:8" ht="15.75" customHeight="1" x14ac:dyDescent="0.25">
      <c r="B62" s="25" t="s">
        <v>836</v>
      </c>
      <c r="C62" s="25" t="s">
        <v>837</v>
      </c>
      <c r="D62" s="25" t="s">
        <v>132</v>
      </c>
      <c r="E62" s="26">
        <v>5590</v>
      </c>
      <c r="F62" s="27">
        <v>552.41999999999996</v>
      </c>
      <c r="G62" s="28">
        <v>9.1999999999999998E-3</v>
      </c>
      <c r="H62" s="29"/>
    </row>
    <row r="63" spans="2:8" ht="15.75" customHeight="1" x14ac:dyDescent="0.25">
      <c r="B63" s="25" t="s">
        <v>632</v>
      </c>
      <c r="C63" s="25" t="s">
        <v>633</v>
      </c>
      <c r="D63" s="25" t="s">
        <v>428</v>
      </c>
      <c r="E63" s="26">
        <v>27477</v>
      </c>
      <c r="F63" s="27">
        <v>509.55</v>
      </c>
      <c r="G63" s="28">
        <v>8.5000000000000006E-3</v>
      </c>
      <c r="H63" s="29"/>
    </row>
    <row r="64" spans="2:8" ht="15.75" customHeight="1" x14ac:dyDescent="0.25">
      <c r="B64" s="25" t="s">
        <v>630</v>
      </c>
      <c r="C64" s="25" t="s">
        <v>631</v>
      </c>
      <c r="D64" s="25" t="s">
        <v>263</v>
      </c>
      <c r="E64" s="26">
        <v>89024</v>
      </c>
      <c r="F64" s="27">
        <v>501.43</v>
      </c>
      <c r="G64" s="28">
        <v>8.3999999999999995E-3</v>
      </c>
      <c r="H64" s="29"/>
    </row>
    <row r="65" spans="2:16" ht="15.75" customHeight="1" x14ac:dyDescent="0.25">
      <c r="B65" s="25" t="s">
        <v>838</v>
      </c>
      <c r="C65" s="25" t="s">
        <v>839</v>
      </c>
      <c r="D65" s="25" t="s">
        <v>181</v>
      </c>
      <c r="E65" s="26">
        <v>327158</v>
      </c>
      <c r="F65" s="27">
        <v>486.32</v>
      </c>
      <c r="G65" s="28">
        <v>8.0999999999999996E-3</v>
      </c>
      <c r="H65" s="29"/>
    </row>
    <row r="66" spans="2:16" ht="15.75" customHeight="1" x14ac:dyDescent="0.25">
      <c r="B66" s="25" t="s">
        <v>310</v>
      </c>
      <c r="C66" s="25" t="s">
        <v>311</v>
      </c>
      <c r="D66" s="25" t="s">
        <v>132</v>
      </c>
      <c r="E66" s="26">
        <v>19632</v>
      </c>
      <c r="F66" s="27">
        <v>482.27</v>
      </c>
      <c r="G66" s="28">
        <v>8.0999999999999996E-3</v>
      </c>
      <c r="H66" s="29"/>
    </row>
    <row r="67" spans="2:16" ht="15.75" customHeight="1" x14ac:dyDescent="0.25">
      <c r="B67" s="25" t="s">
        <v>636</v>
      </c>
      <c r="C67" s="25" t="s">
        <v>637</v>
      </c>
      <c r="D67" s="25" t="s">
        <v>219</v>
      </c>
      <c r="E67" s="26">
        <v>27234</v>
      </c>
      <c r="F67" s="27">
        <v>480.88</v>
      </c>
      <c r="G67" s="28">
        <v>8.0000000000000002E-3</v>
      </c>
      <c r="H67" s="29"/>
    </row>
    <row r="68" spans="2:16" ht="15.75" customHeight="1" x14ac:dyDescent="0.25">
      <c r="B68" s="25" t="s">
        <v>356</v>
      </c>
      <c r="C68" s="25" t="s">
        <v>357</v>
      </c>
      <c r="D68" s="25" t="s">
        <v>169</v>
      </c>
      <c r="E68" s="26">
        <v>21821</v>
      </c>
      <c r="F68" s="27">
        <v>464.61</v>
      </c>
      <c r="G68" s="28">
        <v>7.7999999999999996E-3</v>
      </c>
      <c r="H68" s="29"/>
      <c r="L68" s="3"/>
    </row>
    <row r="69" spans="2:16" ht="15.75" customHeight="1" x14ac:dyDescent="0.25">
      <c r="B69" s="25" t="s">
        <v>840</v>
      </c>
      <c r="C69" s="25" t="s">
        <v>841</v>
      </c>
      <c r="D69" s="25" t="s">
        <v>129</v>
      </c>
      <c r="E69" s="26">
        <v>81004</v>
      </c>
      <c r="F69" s="27">
        <v>441.88</v>
      </c>
      <c r="G69" s="28">
        <v>7.4000000000000003E-3</v>
      </c>
      <c r="H69" s="29"/>
    </row>
    <row r="70" spans="2:16" ht="15.75" customHeight="1" x14ac:dyDescent="0.25">
      <c r="B70" s="25" t="s">
        <v>842</v>
      </c>
      <c r="C70" s="25" t="s">
        <v>843</v>
      </c>
      <c r="D70" s="25" t="s">
        <v>251</v>
      </c>
      <c r="E70" s="26">
        <v>77524</v>
      </c>
      <c r="F70" s="27">
        <v>420.1</v>
      </c>
      <c r="G70" s="28">
        <v>7.0000000000000001E-3</v>
      </c>
      <c r="H70" s="29"/>
      <c r="L70" s="3"/>
    </row>
    <row r="71" spans="2:16" ht="15.75" customHeight="1" x14ac:dyDescent="0.25">
      <c r="B71" s="25" t="s">
        <v>634</v>
      </c>
      <c r="C71" s="25" t="s">
        <v>635</v>
      </c>
      <c r="D71" s="25" t="s">
        <v>276</v>
      </c>
      <c r="E71" s="26">
        <v>15967</v>
      </c>
      <c r="F71" s="27">
        <v>418.18</v>
      </c>
      <c r="G71" s="28">
        <v>7.0000000000000001E-3</v>
      </c>
      <c r="H71" s="29"/>
      <c r="L71" s="3"/>
    </row>
    <row r="72" spans="2:16" ht="15.75" customHeight="1" x14ac:dyDescent="0.25">
      <c r="B72" s="25" t="s">
        <v>358</v>
      </c>
      <c r="C72" s="25" t="s">
        <v>359</v>
      </c>
      <c r="D72" s="25" t="s">
        <v>227</v>
      </c>
      <c r="E72" s="26">
        <v>138431</v>
      </c>
      <c r="F72" s="27">
        <v>416.12</v>
      </c>
      <c r="G72" s="28">
        <v>7.0000000000000001E-3</v>
      </c>
      <c r="H72" s="29"/>
      <c r="L72" s="3"/>
    </row>
    <row r="73" spans="2:16" ht="15.75" customHeight="1" x14ac:dyDescent="0.25">
      <c r="B73" s="25" t="s">
        <v>844</v>
      </c>
      <c r="C73" s="25" t="s">
        <v>845</v>
      </c>
      <c r="D73" s="25" t="s">
        <v>232</v>
      </c>
      <c r="E73" s="26">
        <v>101362</v>
      </c>
      <c r="F73" s="27">
        <v>405.6</v>
      </c>
      <c r="G73" s="28">
        <v>6.7999999999999996E-3</v>
      </c>
      <c r="H73" s="29"/>
      <c r="L73" s="3"/>
    </row>
    <row r="74" spans="2:16" ht="15.75" customHeight="1" x14ac:dyDescent="0.25">
      <c r="B74" s="25" t="s">
        <v>765</v>
      </c>
      <c r="C74" s="25" t="s">
        <v>766</v>
      </c>
      <c r="D74" s="25" t="s">
        <v>269</v>
      </c>
      <c r="E74" s="26">
        <v>36692</v>
      </c>
      <c r="F74" s="27">
        <v>404.75</v>
      </c>
      <c r="G74" s="28">
        <v>6.7999999999999996E-3</v>
      </c>
      <c r="H74" s="29"/>
      <c r="L74" s="3"/>
    </row>
    <row r="75" spans="2:16" ht="15.75" customHeight="1" x14ac:dyDescent="0.25">
      <c r="B75" s="25" t="s">
        <v>319</v>
      </c>
      <c r="C75" s="25" t="s">
        <v>320</v>
      </c>
      <c r="D75" s="25" t="s">
        <v>269</v>
      </c>
      <c r="E75" s="26">
        <v>16049</v>
      </c>
      <c r="F75" s="27">
        <v>401.54</v>
      </c>
      <c r="G75" s="28">
        <v>6.7000000000000002E-3</v>
      </c>
      <c r="H75" s="29"/>
      <c r="L75" s="5"/>
      <c r="M75" s="5"/>
      <c r="N75" s="6"/>
      <c r="O75" s="6"/>
      <c r="P75" s="5"/>
    </row>
    <row r="76" spans="2:16" ht="15.75" customHeight="1" x14ac:dyDescent="0.25">
      <c r="B76" s="25" t="s">
        <v>846</v>
      </c>
      <c r="C76" s="25" t="s">
        <v>847</v>
      </c>
      <c r="D76" s="25" t="s">
        <v>241</v>
      </c>
      <c r="E76" s="26">
        <v>79338</v>
      </c>
      <c r="F76" s="27">
        <v>399.63</v>
      </c>
      <c r="G76" s="28">
        <v>6.7000000000000002E-3</v>
      </c>
      <c r="H76" s="29"/>
    </row>
    <row r="77" spans="2:16" ht="15.75" customHeight="1" x14ac:dyDescent="0.25">
      <c r="B77" s="25" t="s">
        <v>575</v>
      </c>
      <c r="C77" s="25" t="s">
        <v>576</v>
      </c>
      <c r="D77" s="25" t="s">
        <v>169</v>
      </c>
      <c r="E77" s="26">
        <v>92193</v>
      </c>
      <c r="F77" s="27">
        <v>391.41</v>
      </c>
      <c r="G77" s="28">
        <v>6.4999999999999997E-3</v>
      </c>
      <c r="H77" s="29"/>
    </row>
    <row r="78" spans="2:16" ht="15.75" customHeight="1" x14ac:dyDescent="0.25">
      <c r="B78" s="25" t="s">
        <v>172</v>
      </c>
      <c r="C78" s="25" t="s">
        <v>173</v>
      </c>
      <c r="D78" s="25" t="s">
        <v>129</v>
      </c>
      <c r="E78" s="26">
        <v>189587</v>
      </c>
      <c r="F78" s="27">
        <v>386.34</v>
      </c>
      <c r="G78" s="28">
        <v>6.4999999999999997E-3</v>
      </c>
      <c r="H78" s="29"/>
      <c r="L78" s="7"/>
      <c r="M78" s="7"/>
      <c r="N78" s="7"/>
      <c r="O78" s="7"/>
      <c r="P78" s="7"/>
    </row>
    <row r="79" spans="2:16" ht="15.75" customHeight="1" x14ac:dyDescent="0.25">
      <c r="B79" s="25" t="s">
        <v>233</v>
      </c>
      <c r="C79" s="25" t="s">
        <v>234</v>
      </c>
      <c r="D79" s="25" t="s">
        <v>227</v>
      </c>
      <c r="E79" s="26">
        <v>161362</v>
      </c>
      <c r="F79" s="27">
        <v>385.19</v>
      </c>
      <c r="G79" s="28">
        <v>6.4000000000000003E-3</v>
      </c>
      <c r="H79" s="29"/>
      <c r="L79" s="7"/>
      <c r="M79" s="7"/>
      <c r="N79" s="7"/>
      <c r="O79" s="7"/>
      <c r="P79" s="7"/>
    </row>
    <row r="80" spans="2:16" ht="15.75" customHeight="1" x14ac:dyDescent="0.25">
      <c r="B80" s="25" t="s">
        <v>174</v>
      </c>
      <c r="C80" s="25" t="s">
        <v>175</v>
      </c>
      <c r="D80" s="25" t="s">
        <v>169</v>
      </c>
      <c r="E80" s="26">
        <v>104480</v>
      </c>
      <c r="F80" s="27">
        <v>366.83</v>
      </c>
      <c r="G80" s="28">
        <v>6.1000000000000004E-3</v>
      </c>
      <c r="H80" s="29"/>
      <c r="L80" s="7"/>
      <c r="M80" s="7"/>
      <c r="N80" s="7"/>
      <c r="O80" s="7"/>
      <c r="P80" s="7"/>
    </row>
    <row r="81" spans="2:16" ht="15.75" customHeight="1" x14ac:dyDescent="0.25">
      <c r="B81" s="25" t="s">
        <v>848</v>
      </c>
      <c r="C81" s="25" t="s">
        <v>849</v>
      </c>
      <c r="D81" s="25" t="s">
        <v>194</v>
      </c>
      <c r="E81" s="26">
        <v>70466</v>
      </c>
      <c r="F81" s="27">
        <v>353.14</v>
      </c>
      <c r="G81" s="28">
        <v>5.8999999999999999E-3</v>
      </c>
      <c r="H81" s="29"/>
      <c r="L81" s="7"/>
      <c r="M81" s="7"/>
      <c r="N81" s="7"/>
      <c r="O81" s="7"/>
      <c r="P81" s="7"/>
    </row>
    <row r="82" spans="2:16" ht="15.75" customHeight="1" x14ac:dyDescent="0.25">
      <c r="B82" s="25" t="s">
        <v>640</v>
      </c>
      <c r="C82" s="25" t="s">
        <v>641</v>
      </c>
      <c r="D82" s="25" t="s">
        <v>166</v>
      </c>
      <c r="E82" s="26">
        <v>21713</v>
      </c>
      <c r="F82" s="27">
        <v>346.67</v>
      </c>
      <c r="G82" s="28">
        <v>5.7999999999999996E-3</v>
      </c>
      <c r="H82" s="29"/>
      <c r="L82" s="7"/>
      <c r="M82" s="7"/>
      <c r="N82" s="7"/>
      <c r="O82" s="7"/>
      <c r="P82" s="7"/>
    </row>
    <row r="83" spans="2:16" ht="15.75" customHeight="1" x14ac:dyDescent="0.25">
      <c r="B83" s="25" t="s">
        <v>573</v>
      </c>
      <c r="C83" s="25" t="s">
        <v>574</v>
      </c>
      <c r="D83" s="25" t="s">
        <v>169</v>
      </c>
      <c r="E83" s="26">
        <v>30677</v>
      </c>
      <c r="F83" s="27">
        <v>346.56</v>
      </c>
      <c r="G83" s="28">
        <v>5.7999999999999996E-3</v>
      </c>
      <c r="H83" s="29"/>
      <c r="L83" s="7"/>
      <c r="M83" s="7"/>
      <c r="N83" s="7"/>
      <c r="O83" s="7"/>
      <c r="P83" s="7"/>
    </row>
    <row r="84" spans="2:16" ht="15.75" customHeight="1" x14ac:dyDescent="0.25">
      <c r="B84" s="25" t="s">
        <v>379</v>
      </c>
      <c r="C84" s="25" t="s">
        <v>380</v>
      </c>
      <c r="D84" s="25" t="s">
        <v>129</v>
      </c>
      <c r="E84" s="26">
        <v>286427</v>
      </c>
      <c r="F84" s="27">
        <v>345.17</v>
      </c>
      <c r="G84" s="28">
        <v>5.7999999999999996E-3</v>
      </c>
      <c r="H84" s="29"/>
      <c r="L84" s="7"/>
      <c r="M84" s="7"/>
      <c r="N84" s="7"/>
      <c r="O84" s="7"/>
      <c r="P84" s="7"/>
    </row>
    <row r="85" spans="2:16" ht="15.75" customHeight="1" x14ac:dyDescent="0.25">
      <c r="B85" s="25" t="s">
        <v>850</v>
      </c>
      <c r="C85" s="25" t="s">
        <v>851</v>
      </c>
      <c r="D85" s="25" t="s">
        <v>566</v>
      </c>
      <c r="E85" s="26">
        <v>21679</v>
      </c>
      <c r="F85" s="27">
        <v>345</v>
      </c>
      <c r="G85" s="28">
        <v>5.7999999999999996E-3</v>
      </c>
      <c r="H85" s="29"/>
    </row>
    <row r="86" spans="2:16" ht="15.75" customHeight="1" x14ac:dyDescent="0.25">
      <c r="B86" s="25" t="s">
        <v>274</v>
      </c>
      <c r="C86" s="25" t="s">
        <v>275</v>
      </c>
      <c r="D86" s="25" t="s">
        <v>276</v>
      </c>
      <c r="E86" s="26">
        <v>18569</v>
      </c>
      <c r="F86" s="27">
        <v>336.74</v>
      </c>
      <c r="G86" s="28">
        <v>5.5999999999999999E-3</v>
      </c>
      <c r="H86" s="29"/>
      <c r="L86" s="3"/>
    </row>
    <row r="87" spans="2:16" ht="15.75" customHeight="1" x14ac:dyDescent="0.25">
      <c r="B87" s="25" t="s">
        <v>286</v>
      </c>
      <c r="C87" s="25" t="s">
        <v>287</v>
      </c>
      <c r="D87" s="25" t="s">
        <v>227</v>
      </c>
      <c r="E87" s="26">
        <v>185371</v>
      </c>
      <c r="F87" s="27">
        <v>335.84</v>
      </c>
      <c r="G87" s="28">
        <v>5.5999999999999999E-3</v>
      </c>
      <c r="H87" s="29"/>
    </row>
    <row r="88" spans="2:16" ht="15.75" customHeight="1" x14ac:dyDescent="0.25">
      <c r="B88" s="25" t="s">
        <v>852</v>
      </c>
      <c r="C88" s="25" t="s">
        <v>853</v>
      </c>
      <c r="D88" s="25" t="s">
        <v>696</v>
      </c>
      <c r="E88" s="26">
        <v>215280</v>
      </c>
      <c r="F88" s="27">
        <v>326.77</v>
      </c>
      <c r="G88" s="28">
        <v>5.4999999999999997E-3</v>
      </c>
      <c r="H88" s="29"/>
    </row>
    <row r="89" spans="2:16" ht="15.75" customHeight="1" x14ac:dyDescent="0.25">
      <c r="B89" s="25" t="s">
        <v>610</v>
      </c>
      <c r="C89" s="25" t="s">
        <v>611</v>
      </c>
      <c r="D89" s="25" t="s">
        <v>187</v>
      </c>
      <c r="E89" s="26">
        <v>7705</v>
      </c>
      <c r="F89" s="27">
        <v>319.49</v>
      </c>
      <c r="G89" s="28">
        <v>5.3E-3</v>
      </c>
      <c r="H89" s="29"/>
    </row>
    <row r="90" spans="2:16" ht="15.75" customHeight="1" x14ac:dyDescent="0.25">
      <c r="B90" s="25" t="s">
        <v>854</v>
      </c>
      <c r="C90" s="25" t="s">
        <v>855</v>
      </c>
      <c r="D90" s="25" t="s">
        <v>437</v>
      </c>
      <c r="E90" s="26">
        <v>6426</v>
      </c>
      <c r="F90" s="27">
        <v>315.45999999999998</v>
      </c>
      <c r="G90" s="28">
        <v>5.3E-3</v>
      </c>
      <c r="H90" s="29"/>
    </row>
    <row r="91" spans="2:16" ht="15.75" customHeight="1" x14ac:dyDescent="0.25">
      <c r="B91" s="25" t="s">
        <v>856</v>
      </c>
      <c r="C91" s="25" t="s">
        <v>857</v>
      </c>
      <c r="D91" s="25" t="s">
        <v>346</v>
      </c>
      <c r="E91" s="26">
        <v>7262</v>
      </c>
      <c r="F91" s="27">
        <v>310.92</v>
      </c>
      <c r="G91" s="28">
        <v>5.1999999999999998E-3</v>
      </c>
      <c r="H91" s="29"/>
    </row>
    <row r="92" spans="2:16" ht="15.75" customHeight="1" x14ac:dyDescent="0.25">
      <c r="B92" s="25" t="s">
        <v>858</v>
      </c>
      <c r="C92" s="25" t="s">
        <v>859</v>
      </c>
      <c r="D92" s="25" t="s">
        <v>801</v>
      </c>
      <c r="E92" s="26">
        <v>76779</v>
      </c>
      <c r="F92" s="27">
        <v>308.45999999999998</v>
      </c>
      <c r="G92" s="28">
        <v>5.1999999999999998E-3</v>
      </c>
      <c r="H92" s="29"/>
    </row>
    <row r="93" spans="2:16" ht="15.75" customHeight="1" x14ac:dyDescent="0.25">
      <c r="B93" s="25" t="s">
        <v>360</v>
      </c>
      <c r="C93" s="25" t="s">
        <v>361</v>
      </c>
      <c r="D93" s="25" t="s">
        <v>362</v>
      </c>
      <c r="E93" s="26">
        <v>42526</v>
      </c>
      <c r="F93" s="27">
        <v>301.93</v>
      </c>
      <c r="G93" s="28">
        <v>5.1000000000000004E-3</v>
      </c>
      <c r="H93" s="29"/>
    </row>
    <row r="94" spans="2:16" ht="15.75" customHeight="1" x14ac:dyDescent="0.25">
      <c r="B94" s="25" t="s">
        <v>860</v>
      </c>
      <c r="C94" s="25" t="s">
        <v>861</v>
      </c>
      <c r="D94" s="25" t="s">
        <v>169</v>
      </c>
      <c r="E94" s="26">
        <v>16365</v>
      </c>
      <c r="F94" s="27">
        <v>298.64</v>
      </c>
      <c r="G94" s="28">
        <v>5.0000000000000001E-3</v>
      </c>
      <c r="H94" s="29"/>
    </row>
    <row r="95" spans="2:16" ht="15.75" customHeight="1" x14ac:dyDescent="0.25">
      <c r="B95" s="25" t="s">
        <v>862</v>
      </c>
      <c r="C95" s="25" t="s">
        <v>863</v>
      </c>
      <c r="D95" s="25" t="s">
        <v>227</v>
      </c>
      <c r="E95" s="26">
        <v>64464</v>
      </c>
      <c r="F95" s="27">
        <v>263.72000000000003</v>
      </c>
      <c r="G95" s="28">
        <v>4.4000000000000003E-3</v>
      </c>
      <c r="H95" s="29"/>
    </row>
    <row r="96" spans="2:16" ht="15.75" customHeight="1" x14ac:dyDescent="0.25">
      <c r="B96" s="25" t="s">
        <v>259</v>
      </c>
      <c r="C96" s="25" t="s">
        <v>260</v>
      </c>
      <c r="D96" s="25" t="s">
        <v>227</v>
      </c>
      <c r="E96" s="26">
        <v>27900</v>
      </c>
      <c r="F96" s="27">
        <v>258.63</v>
      </c>
      <c r="G96" s="28">
        <v>4.3E-3</v>
      </c>
      <c r="H96" s="29"/>
    </row>
    <row r="97" spans="2:8" ht="15.75" customHeight="1" x14ac:dyDescent="0.25">
      <c r="B97" s="25" t="s">
        <v>864</v>
      </c>
      <c r="C97" s="25" t="s">
        <v>865</v>
      </c>
      <c r="D97" s="25" t="s">
        <v>241</v>
      </c>
      <c r="E97" s="26">
        <v>40472</v>
      </c>
      <c r="F97" s="27">
        <v>254.35</v>
      </c>
      <c r="G97" s="28">
        <v>4.3E-3</v>
      </c>
      <c r="H97" s="29"/>
    </row>
    <row r="98" spans="2:8" ht="15.75" customHeight="1" x14ac:dyDescent="0.25">
      <c r="B98" s="25" t="s">
        <v>257</v>
      </c>
      <c r="C98" s="25" t="s">
        <v>258</v>
      </c>
      <c r="D98" s="25" t="s">
        <v>254</v>
      </c>
      <c r="E98" s="26">
        <v>78675</v>
      </c>
      <c r="F98" s="27">
        <v>245.58</v>
      </c>
      <c r="G98" s="28">
        <v>4.1000000000000003E-3</v>
      </c>
      <c r="H98" s="29"/>
    </row>
    <row r="99" spans="2:8" ht="15.75" customHeight="1" x14ac:dyDescent="0.25">
      <c r="B99" s="25" t="s">
        <v>866</v>
      </c>
      <c r="C99" s="25" t="s">
        <v>867</v>
      </c>
      <c r="D99" s="25" t="s">
        <v>362</v>
      </c>
      <c r="E99" s="26">
        <v>8501</v>
      </c>
      <c r="F99" s="27">
        <v>236.39</v>
      </c>
      <c r="G99" s="28">
        <v>4.0000000000000001E-3</v>
      </c>
      <c r="H99" s="29"/>
    </row>
    <row r="100" spans="2:8" ht="15.75" customHeight="1" x14ac:dyDescent="0.25">
      <c r="B100" s="25" t="s">
        <v>868</v>
      </c>
      <c r="C100" s="25" t="s">
        <v>869</v>
      </c>
      <c r="D100" s="25" t="s">
        <v>202</v>
      </c>
      <c r="E100" s="26">
        <v>167927</v>
      </c>
      <c r="F100" s="27">
        <v>221.04</v>
      </c>
      <c r="G100" s="28">
        <v>3.7000000000000002E-3</v>
      </c>
      <c r="H100" s="29"/>
    </row>
    <row r="101" spans="2:8" ht="15.75" customHeight="1" x14ac:dyDescent="0.25">
      <c r="B101" s="25" t="s">
        <v>767</v>
      </c>
      <c r="C101" s="25" t="s">
        <v>768</v>
      </c>
      <c r="D101" s="25" t="s">
        <v>290</v>
      </c>
      <c r="E101" s="26">
        <v>57542</v>
      </c>
      <c r="F101" s="27">
        <v>188.97</v>
      </c>
      <c r="G101" s="28">
        <v>3.2000000000000002E-3</v>
      </c>
      <c r="H101" s="29"/>
    </row>
    <row r="102" spans="2:8" ht="15.75" customHeight="1" x14ac:dyDescent="0.25">
      <c r="B102" s="25" t="s">
        <v>870</v>
      </c>
      <c r="C102" s="25" t="s">
        <v>871</v>
      </c>
      <c r="D102" s="25" t="s">
        <v>437</v>
      </c>
      <c r="E102" s="26">
        <v>17167</v>
      </c>
      <c r="F102" s="27">
        <v>175.44</v>
      </c>
      <c r="G102" s="28">
        <v>2.8999999999999998E-3</v>
      </c>
      <c r="H102" s="29"/>
    </row>
    <row r="103" spans="2:8" ht="15.75" customHeight="1" x14ac:dyDescent="0.25">
      <c r="B103" s="25" t="s">
        <v>872</v>
      </c>
      <c r="C103" s="25" t="s">
        <v>873</v>
      </c>
      <c r="D103" s="25" t="s">
        <v>129</v>
      </c>
      <c r="E103" s="26">
        <v>233321</v>
      </c>
      <c r="F103" s="27">
        <v>151.22</v>
      </c>
      <c r="G103" s="28">
        <v>2.5000000000000001E-3</v>
      </c>
      <c r="H103" s="29"/>
    </row>
    <row r="104" spans="2:8" ht="15.75" customHeight="1" x14ac:dyDescent="0.25">
      <c r="B104" s="25" t="s">
        <v>874</v>
      </c>
      <c r="C104" s="25" t="s">
        <v>875</v>
      </c>
      <c r="D104" s="25" t="s">
        <v>295</v>
      </c>
      <c r="E104" s="26">
        <v>15142</v>
      </c>
      <c r="F104" s="27">
        <v>149.41</v>
      </c>
      <c r="G104" s="28">
        <v>2.5000000000000001E-3</v>
      </c>
      <c r="H104" s="29"/>
    </row>
    <row r="105" spans="2:8" ht="15.75" customHeight="1" x14ac:dyDescent="0.25">
      <c r="B105" s="25" t="s">
        <v>876</v>
      </c>
      <c r="C105" s="25" t="s">
        <v>877</v>
      </c>
      <c r="D105" s="25" t="s">
        <v>696</v>
      </c>
      <c r="E105" s="26">
        <v>19503</v>
      </c>
      <c r="F105" s="27">
        <v>146.69999999999999</v>
      </c>
      <c r="G105" s="28">
        <v>2.5000000000000001E-3</v>
      </c>
      <c r="H105" s="29"/>
    </row>
    <row r="106" spans="2:8" ht="15.75" customHeight="1" x14ac:dyDescent="0.25">
      <c r="B106" s="25" t="s">
        <v>878</v>
      </c>
      <c r="C106" s="25" t="s">
        <v>879</v>
      </c>
      <c r="D106" s="25" t="s">
        <v>129</v>
      </c>
      <c r="E106" s="26">
        <v>125293</v>
      </c>
      <c r="F106" s="27">
        <v>105.21</v>
      </c>
      <c r="G106" s="28">
        <v>1.8E-3</v>
      </c>
      <c r="H106" s="29"/>
    </row>
    <row r="107" spans="2:8" ht="15.75" customHeight="1" x14ac:dyDescent="0.25">
      <c r="B107" s="24" t="s">
        <v>102</v>
      </c>
      <c r="C107" s="24"/>
      <c r="D107" s="24"/>
      <c r="E107" s="30"/>
      <c r="F107" s="31">
        <v>59693.57</v>
      </c>
      <c r="G107" s="32">
        <v>0.99839999999999995</v>
      </c>
      <c r="H107" s="33"/>
    </row>
    <row r="108" spans="2:8" ht="15.75" customHeight="1" x14ac:dyDescent="0.25">
      <c r="B108" s="24" t="s">
        <v>149</v>
      </c>
      <c r="C108" s="25"/>
      <c r="D108" s="25"/>
      <c r="E108" s="26"/>
      <c r="F108" s="27"/>
      <c r="G108" s="28"/>
      <c r="H108" s="29"/>
    </row>
    <row r="109" spans="2:8" ht="15.75" customHeight="1" x14ac:dyDescent="0.25">
      <c r="B109" s="24" t="s">
        <v>102</v>
      </c>
      <c r="C109" s="25"/>
      <c r="D109" s="25"/>
      <c r="E109" s="26"/>
      <c r="F109" s="34" t="s">
        <v>104</v>
      </c>
      <c r="G109" s="35" t="s">
        <v>104</v>
      </c>
      <c r="H109" s="29"/>
    </row>
    <row r="110" spans="2:8" ht="15.75" customHeight="1" x14ac:dyDescent="0.25">
      <c r="B110" s="25"/>
      <c r="C110" s="25"/>
      <c r="D110" s="25"/>
      <c r="E110" s="26"/>
      <c r="F110" s="27"/>
      <c r="G110" s="28"/>
      <c r="H110" s="29"/>
    </row>
    <row r="111" spans="2:8" ht="15.75" customHeight="1" x14ac:dyDescent="0.25">
      <c r="B111" s="36" t="s">
        <v>106</v>
      </c>
      <c r="C111" s="36"/>
      <c r="D111" s="36"/>
      <c r="E111" s="37"/>
      <c r="F111" s="31">
        <v>59693.57</v>
      </c>
      <c r="G111" s="32">
        <v>0.99839999999999995</v>
      </c>
      <c r="H111" s="33"/>
    </row>
    <row r="112" spans="2:8" ht="15.75" customHeight="1" x14ac:dyDescent="0.25">
      <c r="B112" s="25"/>
      <c r="C112" s="25"/>
      <c r="D112" s="25"/>
      <c r="E112" s="26"/>
      <c r="F112" s="27"/>
      <c r="G112" s="28"/>
      <c r="H112" s="29"/>
    </row>
    <row r="113" spans="2:8" ht="15.75" customHeight="1" x14ac:dyDescent="0.25">
      <c r="B113" s="25"/>
      <c r="C113" s="25"/>
      <c r="D113" s="25"/>
      <c r="E113" s="26"/>
      <c r="F113" s="27"/>
      <c r="G113" s="28"/>
      <c r="H113" s="29"/>
    </row>
    <row r="114" spans="2:8" ht="15.75" customHeight="1" x14ac:dyDescent="0.25">
      <c r="B114" s="24" t="s">
        <v>109</v>
      </c>
      <c r="C114" s="25"/>
      <c r="D114" s="25"/>
      <c r="E114" s="26"/>
      <c r="F114" s="27"/>
      <c r="G114" s="28"/>
      <c r="H114" s="29"/>
    </row>
    <row r="115" spans="2:8" ht="15.75" customHeight="1" x14ac:dyDescent="0.25">
      <c r="B115" s="25" t="s">
        <v>110</v>
      </c>
      <c r="C115" s="25"/>
      <c r="D115" s="25"/>
      <c r="E115" s="26"/>
      <c r="F115" s="27">
        <v>44.64</v>
      </c>
      <c r="G115" s="28">
        <v>6.9999999999999999E-4</v>
      </c>
      <c r="H115" s="29"/>
    </row>
    <row r="116" spans="2:8" ht="15.75" customHeight="1" x14ac:dyDescent="0.25">
      <c r="B116" s="24" t="s">
        <v>102</v>
      </c>
      <c r="C116" s="24"/>
      <c r="D116" s="24"/>
      <c r="E116" s="30"/>
      <c r="F116" s="31">
        <v>44.64</v>
      </c>
      <c r="G116" s="32">
        <v>6.9999999999999999E-4</v>
      </c>
      <c r="H116" s="33"/>
    </row>
    <row r="117" spans="2:8" ht="15.75" customHeight="1" x14ac:dyDescent="0.25">
      <c r="B117" s="25"/>
      <c r="C117" s="25"/>
      <c r="D117" s="25"/>
      <c r="E117" s="26"/>
      <c r="F117" s="27"/>
      <c r="G117" s="28"/>
      <c r="H117" s="29"/>
    </row>
    <row r="118" spans="2:8" ht="15.75" customHeight="1" x14ac:dyDescent="0.25">
      <c r="B118" s="36" t="s">
        <v>106</v>
      </c>
      <c r="C118" s="36"/>
      <c r="D118" s="36"/>
      <c r="E118" s="37"/>
      <c r="F118" s="31">
        <v>44.64</v>
      </c>
      <c r="G118" s="32">
        <v>6.9999999999999999E-4</v>
      </c>
      <c r="H118" s="33"/>
    </row>
    <row r="119" spans="2:8" ht="15.75" customHeight="1" x14ac:dyDescent="0.25">
      <c r="B119" s="25" t="s">
        <v>111</v>
      </c>
      <c r="C119" s="25"/>
      <c r="D119" s="25"/>
      <c r="E119" s="26"/>
      <c r="F119" s="27">
        <v>45.87</v>
      </c>
      <c r="G119" s="28">
        <v>9.000000000000119E-4</v>
      </c>
      <c r="H119" s="29"/>
    </row>
    <row r="120" spans="2:8" ht="15.75" customHeight="1" x14ac:dyDescent="0.25">
      <c r="B120" s="40" t="s">
        <v>112</v>
      </c>
      <c r="C120" s="40"/>
      <c r="D120" s="40"/>
      <c r="E120" s="41"/>
      <c r="F120" s="42">
        <v>59784.08</v>
      </c>
      <c r="G120" s="43">
        <v>1</v>
      </c>
      <c r="H120" s="44"/>
    </row>
    <row r="121" spans="2:8" ht="15.75" customHeight="1" thickBot="1" x14ac:dyDescent="0.3">
      <c r="B121" s="2"/>
    </row>
    <row r="122" spans="2:8" ht="27" customHeight="1" thickBot="1" x14ac:dyDescent="0.3">
      <c r="B122" s="56" t="s">
        <v>964</v>
      </c>
      <c r="C122" s="57" t="s">
        <v>965</v>
      </c>
      <c r="D122" s="57" t="s">
        <v>966</v>
      </c>
      <c r="E122" s="62" t="s">
        <v>967</v>
      </c>
      <c r="G122" s="2"/>
      <c r="H122" s="2"/>
    </row>
    <row r="123" spans="2:8" ht="29.25" customHeight="1" x14ac:dyDescent="0.25">
      <c r="B123" s="63" t="s">
        <v>68</v>
      </c>
      <c r="C123" s="81"/>
      <c r="D123" s="84" t="s">
        <v>1028</v>
      </c>
      <c r="E123" s="86"/>
      <c r="G123" s="2"/>
      <c r="H123" s="2"/>
    </row>
    <row r="124" spans="2:8" ht="40" customHeight="1" x14ac:dyDescent="0.25">
      <c r="B124" s="65" t="s">
        <v>1029</v>
      </c>
      <c r="C124" s="82"/>
      <c r="D124" s="85"/>
      <c r="E124" s="82"/>
      <c r="G124" s="2"/>
      <c r="H124" s="2"/>
    </row>
    <row r="125" spans="2:8" ht="40" customHeight="1" x14ac:dyDescent="0.25">
      <c r="B125" s="65" t="s">
        <v>1030</v>
      </c>
      <c r="C125" s="82"/>
      <c r="D125" s="85"/>
      <c r="E125" s="82"/>
      <c r="G125" s="2"/>
      <c r="H125" s="2"/>
    </row>
    <row r="126" spans="2:8" ht="23.25" customHeight="1" thickBot="1" x14ac:dyDescent="0.3">
      <c r="B126" s="67" t="s">
        <v>982</v>
      </c>
      <c r="C126" s="83"/>
      <c r="D126" s="70" t="s">
        <v>982</v>
      </c>
      <c r="E126" s="87"/>
      <c r="G126" s="2"/>
      <c r="H126" s="2"/>
    </row>
    <row r="127" spans="2:8" ht="25" customHeight="1" x14ac:dyDescent="0.25">
      <c r="B127" s="58" t="s">
        <v>969</v>
      </c>
      <c r="C127" s="59"/>
      <c r="D127" s="60"/>
      <c r="E127" s="61"/>
      <c r="G127" s="2"/>
      <c r="H127" s="2"/>
    </row>
    <row r="129" spans="2:8" ht="11.5" x14ac:dyDescent="0.25">
      <c r="B129" s="2" t="s">
        <v>970</v>
      </c>
      <c r="C129" s="2"/>
      <c r="D129" s="2"/>
      <c r="G129" s="2"/>
      <c r="H129" s="2"/>
    </row>
    <row r="130" spans="2:8" ht="11.5" x14ac:dyDescent="0.25">
      <c r="B130" s="3" t="s">
        <v>971</v>
      </c>
      <c r="C130" s="2"/>
      <c r="D130" s="2"/>
      <c r="G130" s="2"/>
      <c r="H130" s="2"/>
    </row>
  </sheetData>
  <mergeCells count="3">
    <mergeCell ref="C123:C126"/>
    <mergeCell ref="D123:D125"/>
    <mergeCell ref="E123:E126"/>
  </mergeCells>
  <hyperlinks>
    <hyperlink ref="I1" location="'Sheet1'!A1" display="Index" xr:uid="{24F4B873-A4EC-4A25-97DC-C853D652688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0DB1E-AFFF-439E-ABCF-591C868D9CDD}">
  <dimension ref="B1:P105"/>
  <sheetViews>
    <sheetView workbookViewId="0"/>
  </sheetViews>
  <sheetFormatPr defaultColWidth="9.1796875" defaultRowHeight="15.75" customHeight="1" x14ac:dyDescent="0.25"/>
  <cols>
    <col min="1" max="1" width="3.6328125" style="2" customWidth="1"/>
    <col min="2" max="2" width="50.453125" style="9" customWidth="1"/>
    <col min="3" max="3" width="28.7265625" style="9" customWidth="1"/>
    <col min="4" max="4" width="26.6328125" style="9" customWidth="1"/>
    <col min="5" max="5" width="28"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24</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845123</v>
      </c>
      <c r="F7" s="27">
        <v>14230.18</v>
      </c>
      <c r="G7" s="28">
        <v>4.7399999999999998E-2</v>
      </c>
      <c r="H7" s="29"/>
    </row>
    <row r="8" spans="2:9" ht="15.75" customHeight="1" x14ac:dyDescent="0.25">
      <c r="B8" s="25" t="s">
        <v>127</v>
      </c>
      <c r="C8" s="25" t="s">
        <v>128</v>
      </c>
      <c r="D8" s="25" t="s">
        <v>129</v>
      </c>
      <c r="E8" s="26">
        <v>1146090</v>
      </c>
      <c r="F8" s="27">
        <v>13748.5</v>
      </c>
      <c r="G8" s="28">
        <v>4.58E-2</v>
      </c>
      <c r="H8" s="29"/>
    </row>
    <row r="9" spans="2:9" ht="15.75" customHeight="1" x14ac:dyDescent="0.25">
      <c r="B9" s="25" t="s">
        <v>335</v>
      </c>
      <c r="C9" s="25" t="s">
        <v>336</v>
      </c>
      <c r="D9" s="25" t="s">
        <v>337</v>
      </c>
      <c r="E9" s="26">
        <v>286989</v>
      </c>
      <c r="F9" s="27">
        <v>10517.29</v>
      </c>
      <c r="G9" s="28">
        <v>3.5000000000000003E-2</v>
      </c>
      <c r="H9" s="29"/>
    </row>
    <row r="10" spans="2:9" ht="15.75" customHeight="1" x14ac:dyDescent="0.25">
      <c r="B10" s="25" t="s">
        <v>404</v>
      </c>
      <c r="C10" s="25" t="s">
        <v>405</v>
      </c>
      <c r="D10" s="25" t="s">
        <v>254</v>
      </c>
      <c r="E10" s="26">
        <v>162102</v>
      </c>
      <c r="F10" s="27">
        <v>8882.9500000000007</v>
      </c>
      <c r="G10" s="28">
        <v>2.9600000000000001E-2</v>
      </c>
      <c r="H10" s="29"/>
    </row>
    <row r="11" spans="2:9" ht="15.75" customHeight="1" x14ac:dyDescent="0.25">
      <c r="B11" s="25" t="s">
        <v>383</v>
      </c>
      <c r="C11" s="25" t="s">
        <v>384</v>
      </c>
      <c r="D11" s="25" t="s">
        <v>227</v>
      </c>
      <c r="E11" s="26">
        <v>1500835</v>
      </c>
      <c r="F11" s="27">
        <v>7885.39</v>
      </c>
      <c r="G11" s="28">
        <v>2.63E-2</v>
      </c>
      <c r="H11" s="29"/>
    </row>
    <row r="12" spans="2:9" ht="15.75" customHeight="1" x14ac:dyDescent="0.25">
      <c r="B12" s="25" t="s">
        <v>138</v>
      </c>
      <c r="C12" s="25" t="s">
        <v>139</v>
      </c>
      <c r="D12" s="25" t="s">
        <v>140</v>
      </c>
      <c r="E12" s="26">
        <v>215328</v>
      </c>
      <c r="F12" s="27">
        <v>6741.49</v>
      </c>
      <c r="G12" s="28">
        <v>2.2499999999999999E-2</v>
      </c>
      <c r="H12" s="29"/>
    </row>
    <row r="13" spans="2:9" ht="15.75" customHeight="1" x14ac:dyDescent="0.25">
      <c r="B13" s="25" t="s">
        <v>298</v>
      </c>
      <c r="C13" s="25" t="s">
        <v>299</v>
      </c>
      <c r="D13" s="25" t="s">
        <v>227</v>
      </c>
      <c r="E13" s="26">
        <v>207557</v>
      </c>
      <c r="F13" s="27">
        <v>6043.02</v>
      </c>
      <c r="G13" s="28">
        <v>2.01E-2</v>
      </c>
      <c r="H13" s="29"/>
    </row>
    <row r="14" spans="2:9" ht="15.75" customHeight="1" x14ac:dyDescent="0.25">
      <c r="B14" s="25" t="s">
        <v>612</v>
      </c>
      <c r="C14" s="25" t="s">
        <v>613</v>
      </c>
      <c r="D14" s="25" t="s">
        <v>346</v>
      </c>
      <c r="E14" s="26">
        <v>10622</v>
      </c>
      <c r="F14" s="27">
        <v>6023.86</v>
      </c>
      <c r="G14" s="28">
        <v>2.01E-2</v>
      </c>
      <c r="H14" s="29"/>
    </row>
    <row r="15" spans="2:9" ht="15.75" customHeight="1" x14ac:dyDescent="0.25">
      <c r="B15" s="25" t="s">
        <v>527</v>
      </c>
      <c r="C15" s="25" t="s">
        <v>528</v>
      </c>
      <c r="D15" s="25" t="s">
        <v>178</v>
      </c>
      <c r="E15" s="26">
        <v>128950</v>
      </c>
      <c r="F15" s="27">
        <v>5999.33</v>
      </c>
      <c r="G15" s="28">
        <v>0.02</v>
      </c>
      <c r="H15" s="29"/>
    </row>
    <row r="16" spans="2:9" ht="15.75" customHeight="1" x14ac:dyDescent="0.25">
      <c r="B16" s="25" t="s">
        <v>593</v>
      </c>
      <c r="C16" s="25" t="s">
        <v>594</v>
      </c>
      <c r="D16" s="25" t="s">
        <v>251</v>
      </c>
      <c r="E16" s="26">
        <v>37865</v>
      </c>
      <c r="F16" s="27">
        <v>5888.46</v>
      </c>
      <c r="G16" s="28">
        <v>1.9599999999999999E-2</v>
      </c>
      <c r="H16" s="29"/>
    </row>
    <row r="17" spans="2:8" ht="15.75" customHeight="1" x14ac:dyDescent="0.25">
      <c r="B17" s="25" t="s">
        <v>215</v>
      </c>
      <c r="C17" s="25" t="s">
        <v>216</v>
      </c>
      <c r="D17" s="25" t="s">
        <v>129</v>
      </c>
      <c r="E17" s="26">
        <v>325930</v>
      </c>
      <c r="F17" s="27">
        <v>5874.89</v>
      </c>
      <c r="G17" s="28">
        <v>1.9599999999999999E-2</v>
      </c>
      <c r="H17" s="29"/>
    </row>
    <row r="18" spans="2:8" ht="15.75" customHeight="1" x14ac:dyDescent="0.25">
      <c r="B18" s="25" t="s">
        <v>589</v>
      </c>
      <c r="C18" s="25" t="s">
        <v>590</v>
      </c>
      <c r="D18" s="25" t="s">
        <v>263</v>
      </c>
      <c r="E18" s="26">
        <v>938700</v>
      </c>
      <c r="F18" s="27">
        <v>5867.34</v>
      </c>
      <c r="G18" s="28">
        <v>1.9599999999999999E-2</v>
      </c>
      <c r="H18" s="29"/>
    </row>
    <row r="19" spans="2:8" ht="15.75" customHeight="1" x14ac:dyDescent="0.25">
      <c r="B19" s="25" t="s">
        <v>164</v>
      </c>
      <c r="C19" s="25" t="s">
        <v>165</v>
      </c>
      <c r="D19" s="25" t="s">
        <v>166</v>
      </c>
      <c r="E19" s="26">
        <v>1801233</v>
      </c>
      <c r="F19" s="27">
        <v>5509.97</v>
      </c>
      <c r="G19" s="28">
        <v>1.84E-2</v>
      </c>
      <c r="H19" s="29"/>
    </row>
    <row r="20" spans="2:8" ht="15.75" customHeight="1" x14ac:dyDescent="0.25">
      <c r="B20" s="25" t="s">
        <v>272</v>
      </c>
      <c r="C20" s="25" t="s">
        <v>273</v>
      </c>
      <c r="D20" s="25" t="s">
        <v>132</v>
      </c>
      <c r="E20" s="26">
        <v>140325</v>
      </c>
      <c r="F20" s="27">
        <v>5478.5</v>
      </c>
      <c r="G20" s="28">
        <v>1.83E-2</v>
      </c>
      <c r="H20" s="29"/>
    </row>
    <row r="21" spans="2:8" ht="15.75" customHeight="1" x14ac:dyDescent="0.25">
      <c r="B21" s="25" t="s">
        <v>249</v>
      </c>
      <c r="C21" s="25" t="s">
        <v>250</v>
      </c>
      <c r="D21" s="25" t="s">
        <v>251</v>
      </c>
      <c r="E21" s="26">
        <v>327439</v>
      </c>
      <c r="F21" s="27">
        <v>5469.38</v>
      </c>
      <c r="G21" s="28">
        <v>1.8200000000000001E-2</v>
      </c>
      <c r="H21" s="29"/>
    </row>
    <row r="22" spans="2:8" ht="15.75" customHeight="1" x14ac:dyDescent="0.25">
      <c r="B22" s="25" t="s">
        <v>365</v>
      </c>
      <c r="C22" s="25" t="s">
        <v>366</v>
      </c>
      <c r="D22" s="25" t="s">
        <v>227</v>
      </c>
      <c r="E22" s="26">
        <v>1120673</v>
      </c>
      <c r="F22" s="27">
        <v>5436.38</v>
      </c>
      <c r="G22" s="28">
        <v>1.8100000000000002E-2</v>
      </c>
      <c r="H22" s="29"/>
    </row>
    <row r="23" spans="2:8" ht="15.75" customHeight="1" x14ac:dyDescent="0.25">
      <c r="B23" s="25" t="s">
        <v>504</v>
      </c>
      <c r="C23" s="25" t="s">
        <v>505</v>
      </c>
      <c r="D23" s="25" t="s">
        <v>295</v>
      </c>
      <c r="E23" s="26">
        <v>329910</v>
      </c>
      <c r="F23" s="27">
        <v>5281.36</v>
      </c>
      <c r="G23" s="28">
        <v>1.7600000000000001E-2</v>
      </c>
      <c r="H23" s="29"/>
    </row>
    <row r="24" spans="2:8" ht="15.75" customHeight="1" x14ac:dyDescent="0.25">
      <c r="B24" s="25" t="s">
        <v>642</v>
      </c>
      <c r="C24" s="25" t="s">
        <v>643</v>
      </c>
      <c r="D24" s="25" t="s">
        <v>337</v>
      </c>
      <c r="E24" s="26">
        <v>129703</v>
      </c>
      <c r="F24" s="27">
        <v>5145.12</v>
      </c>
      <c r="G24" s="28">
        <v>1.7100000000000001E-2</v>
      </c>
      <c r="H24" s="29"/>
    </row>
    <row r="25" spans="2:8" ht="15.75" customHeight="1" x14ac:dyDescent="0.25">
      <c r="B25" s="25" t="s">
        <v>352</v>
      </c>
      <c r="C25" s="25" t="s">
        <v>353</v>
      </c>
      <c r="D25" s="25" t="s">
        <v>337</v>
      </c>
      <c r="E25" s="26">
        <v>201312</v>
      </c>
      <c r="F25" s="27">
        <v>4743.72</v>
      </c>
      <c r="G25" s="28">
        <v>1.5800000000000002E-2</v>
      </c>
      <c r="H25" s="29"/>
    </row>
    <row r="26" spans="2:8" ht="15.75" customHeight="1" x14ac:dyDescent="0.25">
      <c r="B26" s="25" t="s">
        <v>389</v>
      </c>
      <c r="C26" s="25" t="s">
        <v>390</v>
      </c>
      <c r="D26" s="25" t="s">
        <v>169</v>
      </c>
      <c r="E26" s="26">
        <v>16338</v>
      </c>
      <c r="F26" s="27">
        <v>4513.2299999999996</v>
      </c>
      <c r="G26" s="28">
        <v>1.4999999999999999E-2</v>
      </c>
      <c r="H26" s="29"/>
    </row>
    <row r="27" spans="2:8" ht="15.75" customHeight="1" x14ac:dyDescent="0.25">
      <c r="B27" s="25" t="s">
        <v>344</v>
      </c>
      <c r="C27" s="25" t="s">
        <v>345</v>
      </c>
      <c r="D27" s="25" t="s">
        <v>346</v>
      </c>
      <c r="E27" s="26">
        <v>1781201</v>
      </c>
      <c r="F27" s="27">
        <v>4424.5</v>
      </c>
      <c r="G27" s="28">
        <v>1.47E-2</v>
      </c>
      <c r="H27" s="29"/>
    </row>
    <row r="28" spans="2:8" ht="15.75" customHeight="1" x14ac:dyDescent="0.25">
      <c r="B28" s="25" t="s">
        <v>220</v>
      </c>
      <c r="C28" s="25" t="s">
        <v>221</v>
      </c>
      <c r="D28" s="25" t="s">
        <v>129</v>
      </c>
      <c r="E28" s="26">
        <v>520744</v>
      </c>
      <c r="F28" s="27">
        <v>4420.8599999999997</v>
      </c>
      <c r="G28" s="28">
        <v>1.47E-2</v>
      </c>
      <c r="H28" s="29"/>
    </row>
    <row r="29" spans="2:8" ht="15.75" customHeight="1" x14ac:dyDescent="0.25">
      <c r="B29" s="25" t="s">
        <v>583</v>
      </c>
      <c r="C29" s="25" t="s">
        <v>584</v>
      </c>
      <c r="D29" s="25" t="s">
        <v>251</v>
      </c>
      <c r="E29" s="26">
        <v>92600</v>
      </c>
      <c r="F29" s="27">
        <v>4389.7</v>
      </c>
      <c r="G29" s="28">
        <v>1.46E-2</v>
      </c>
      <c r="H29" s="29"/>
    </row>
    <row r="30" spans="2:8" ht="15.75" customHeight="1" x14ac:dyDescent="0.25">
      <c r="B30" s="25" t="s">
        <v>130</v>
      </c>
      <c r="C30" s="25" t="s">
        <v>131</v>
      </c>
      <c r="D30" s="25" t="s">
        <v>132</v>
      </c>
      <c r="E30" s="26">
        <v>278331</v>
      </c>
      <c r="F30" s="27">
        <v>4360.75</v>
      </c>
      <c r="G30" s="28">
        <v>1.4500000000000001E-2</v>
      </c>
      <c r="H30" s="29"/>
    </row>
    <row r="31" spans="2:8" ht="15.75" customHeight="1" x14ac:dyDescent="0.25">
      <c r="B31" s="25" t="s">
        <v>513</v>
      </c>
      <c r="C31" s="25" t="s">
        <v>514</v>
      </c>
      <c r="D31" s="25" t="s">
        <v>251</v>
      </c>
      <c r="E31" s="26">
        <v>5646320</v>
      </c>
      <c r="F31" s="27">
        <v>4252.24</v>
      </c>
      <c r="G31" s="28">
        <v>1.4200000000000001E-2</v>
      </c>
      <c r="H31" s="29"/>
    </row>
    <row r="32" spans="2:8" ht="15.75" customHeight="1" x14ac:dyDescent="0.25">
      <c r="B32" s="25" t="s">
        <v>342</v>
      </c>
      <c r="C32" s="25" t="s">
        <v>343</v>
      </c>
      <c r="D32" s="25" t="s">
        <v>135</v>
      </c>
      <c r="E32" s="26">
        <v>74229</v>
      </c>
      <c r="F32" s="27">
        <v>4141.68</v>
      </c>
      <c r="G32" s="28">
        <v>1.38E-2</v>
      </c>
      <c r="H32" s="29"/>
    </row>
    <row r="33" spans="2:8" ht="15.75" customHeight="1" x14ac:dyDescent="0.25">
      <c r="B33" s="25" t="s">
        <v>340</v>
      </c>
      <c r="C33" s="25" t="s">
        <v>341</v>
      </c>
      <c r="D33" s="25" t="s">
        <v>276</v>
      </c>
      <c r="E33" s="26">
        <v>152132</v>
      </c>
      <c r="F33" s="27">
        <v>4062.61</v>
      </c>
      <c r="G33" s="28">
        <v>1.35E-2</v>
      </c>
      <c r="H33" s="29"/>
    </row>
    <row r="34" spans="2:8" ht="15.75" customHeight="1" x14ac:dyDescent="0.25">
      <c r="B34" s="25" t="s">
        <v>599</v>
      </c>
      <c r="C34" s="25" t="s">
        <v>600</v>
      </c>
      <c r="D34" s="25" t="s">
        <v>601</v>
      </c>
      <c r="E34" s="26">
        <v>10048</v>
      </c>
      <c r="F34" s="27">
        <v>3698.1</v>
      </c>
      <c r="G34" s="28">
        <v>1.23E-2</v>
      </c>
      <c r="H34" s="29"/>
    </row>
    <row r="35" spans="2:8" ht="15.75" customHeight="1" x14ac:dyDescent="0.25">
      <c r="B35" s="25" t="s">
        <v>517</v>
      </c>
      <c r="C35" s="25" t="s">
        <v>518</v>
      </c>
      <c r="D35" s="25" t="s">
        <v>346</v>
      </c>
      <c r="E35" s="26">
        <v>111820</v>
      </c>
      <c r="F35" s="27">
        <v>3690.95</v>
      </c>
      <c r="G35" s="28">
        <v>1.23E-2</v>
      </c>
      <c r="H35" s="29"/>
    </row>
    <row r="36" spans="2:8" ht="15.75" customHeight="1" x14ac:dyDescent="0.25">
      <c r="B36" s="25" t="s">
        <v>257</v>
      </c>
      <c r="C36" s="25" t="s">
        <v>258</v>
      </c>
      <c r="D36" s="25" t="s">
        <v>254</v>
      </c>
      <c r="E36" s="26">
        <v>1150008</v>
      </c>
      <c r="F36" s="27">
        <v>3589.75</v>
      </c>
      <c r="G36" s="28">
        <v>1.2E-2</v>
      </c>
      <c r="H36" s="29"/>
    </row>
    <row r="37" spans="2:8" ht="15.75" customHeight="1" x14ac:dyDescent="0.25">
      <c r="B37" s="25" t="s">
        <v>751</v>
      </c>
      <c r="C37" s="25" t="s">
        <v>752</v>
      </c>
      <c r="D37" s="25" t="s">
        <v>178</v>
      </c>
      <c r="E37" s="26">
        <v>409284</v>
      </c>
      <c r="F37" s="27">
        <v>3541.53</v>
      </c>
      <c r="G37" s="28">
        <v>1.18E-2</v>
      </c>
      <c r="H37" s="29"/>
    </row>
    <row r="38" spans="2:8" ht="15.75" customHeight="1" x14ac:dyDescent="0.25">
      <c r="B38" s="25" t="s">
        <v>830</v>
      </c>
      <c r="C38" s="25" t="s">
        <v>831</v>
      </c>
      <c r="D38" s="25" t="s">
        <v>285</v>
      </c>
      <c r="E38" s="26">
        <v>358153</v>
      </c>
      <c r="F38" s="27">
        <v>3480.17</v>
      </c>
      <c r="G38" s="28">
        <v>1.1599999999999999E-2</v>
      </c>
      <c r="H38" s="29"/>
    </row>
    <row r="39" spans="2:8" ht="15.75" customHeight="1" x14ac:dyDescent="0.25">
      <c r="B39" s="25" t="s">
        <v>188</v>
      </c>
      <c r="C39" s="25" t="s">
        <v>189</v>
      </c>
      <c r="D39" s="25" t="s">
        <v>129</v>
      </c>
      <c r="E39" s="26">
        <v>267145</v>
      </c>
      <c r="F39" s="27">
        <v>3380.05</v>
      </c>
      <c r="G39" s="28">
        <v>1.1299999999999999E-2</v>
      </c>
      <c r="H39" s="29"/>
    </row>
    <row r="40" spans="2:8" ht="15.75" customHeight="1" x14ac:dyDescent="0.25">
      <c r="B40" s="25" t="s">
        <v>369</v>
      </c>
      <c r="C40" s="25" t="s">
        <v>370</v>
      </c>
      <c r="D40" s="25" t="s">
        <v>337</v>
      </c>
      <c r="E40" s="26">
        <v>215275</v>
      </c>
      <c r="F40" s="27">
        <v>3348.17</v>
      </c>
      <c r="G40" s="28">
        <v>1.12E-2</v>
      </c>
      <c r="H40" s="29"/>
    </row>
    <row r="41" spans="2:8" ht="15.75" customHeight="1" x14ac:dyDescent="0.25">
      <c r="B41" s="25" t="s">
        <v>270</v>
      </c>
      <c r="C41" s="25" t="s">
        <v>271</v>
      </c>
      <c r="D41" s="25" t="s">
        <v>194</v>
      </c>
      <c r="E41" s="26">
        <v>96571</v>
      </c>
      <c r="F41" s="27">
        <v>3287.47</v>
      </c>
      <c r="G41" s="28">
        <v>1.0999999999999999E-2</v>
      </c>
      <c r="H41" s="29"/>
    </row>
    <row r="42" spans="2:8" ht="15.75" customHeight="1" x14ac:dyDescent="0.25">
      <c r="B42" s="25" t="s">
        <v>360</v>
      </c>
      <c r="C42" s="25" t="s">
        <v>361</v>
      </c>
      <c r="D42" s="25" t="s">
        <v>362</v>
      </c>
      <c r="E42" s="26">
        <v>448824</v>
      </c>
      <c r="F42" s="27">
        <v>3186.65</v>
      </c>
      <c r="G42" s="28">
        <v>1.06E-2</v>
      </c>
      <c r="H42" s="29"/>
    </row>
    <row r="43" spans="2:8" ht="15.75" customHeight="1" x14ac:dyDescent="0.25">
      <c r="B43" s="25" t="s">
        <v>358</v>
      </c>
      <c r="C43" s="25" t="s">
        <v>359</v>
      </c>
      <c r="D43" s="25" t="s">
        <v>227</v>
      </c>
      <c r="E43" s="26">
        <v>1056972</v>
      </c>
      <c r="F43" s="27">
        <v>3177.26</v>
      </c>
      <c r="G43" s="28">
        <v>1.06E-2</v>
      </c>
      <c r="H43" s="29"/>
    </row>
    <row r="44" spans="2:8" ht="15.75" customHeight="1" x14ac:dyDescent="0.25">
      <c r="B44" s="25" t="s">
        <v>418</v>
      </c>
      <c r="C44" s="25" t="s">
        <v>419</v>
      </c>
      <c r="D44" s="25" t="s">
        <v>316</v>
      </c>
      <c r="E44" s="26">
        <v>192846</v>
      </c>
      <c r="F44" s="27">
        <v>3142.43</v>
      </c>
      <c r="G44" s="28">
        <v>1.0500000000000001E-2</v>
      </c>
      <c r="H44" s="29"/>
    </row>
    <row r="45" spans="2:8" ht="15.75" customHeight="1" x14ac:dyDescent="0.25">
      <c r="B45" s="25" t="s">
        <v>261</v>
      </c>
      <c r="C45" s="25" t="s">
        <v>262</v>
      </c>
      <c r="D45" s="25" t="s">
        <v>263</v>
      </c>
      <c r="E45" s="26">
        <v>310766</v>
      </c>
      <c r="F45" s="27">
        <v>3074.25</v>
      </c>
      <c r="G45" s="28">
        <v>1.0200000000000001E-2</v>
      </c>
      <c r="H45" s="29"/>
    </row>
    <row r="46" spans="2:8" ht="15.75" customHeight="1" x14ac:dyDescent="0.25">
      <c r="B46" s="25" t="s">
        <v>597</v>
      </c>
      <c r="C46" s="25" t="s">
        <v>598</v>
      </c>
      <c r="D46" s="25" t="s">
        <v>194</v>
      </c>
      <c r="E46" s="26">
        <v>206627</v>
      </c>
      <c r="F46" s="27">
        <v>3041.96</v>
      </c>
      <c r="G46" s="28">
        <v>1.01E-2</v>
      </c>
      <c r="H46" s="29"/>
    </row>
    <row r="47" spans="2:8" ht="15.75" customHeight="1" x14ac:dyDescent="0.25">
      <c r="B47" s="25" t="s">
        <v>381</v>
      </c>
      <c r="C47" s="25" t="s">
        <v>382</v>
      </c>
      <c r="D47" s="25" t="s">
        <v>169</v>
      </c>
      <c r="E47" s="26">
        <v>60826</v>
      </c>
      <c r="F47" s="27">
        <v>3036.04</v>
      </c>
      <c r="G47" s="28">
        <v>1.01E-2</v>
      </c>
      <c r="H47" s="29"/>
    </row>
    <row r="48" spans="2:8" ht="15.75" customHeight="1" x14ac:dyDescent="0.25">
      <c r="B48" s="25" t="s">
        <v>147</v>
      </c>
      <c r="C48" s="25" t="s">
        <v>148</v>
      </c>
      <c r="D48" s="25" t="s">
        <v>132</v>
      </c>
      <c r="E48" s="26">
        <v>56178</v>
      </c>
      <c r="F48" s="27">
        <v>3025.21</v>
      </c>
      <c r="G48" s="28">
        <v>1.01E-2</v>
      </c>
      <c r="H48" s="29"/>
    </row>
    <row r="49" spans="2:8" ht="15.75" customHeight="1" x14ac:dyDescent="0.25">
      <c r="B49" s="25" t="s">
        <v>422</v>
      </c>
      <c r="C49" s="25" t="s">
        <v>423</v>
      </c>
      <c r="D49" s="25" t="s">
        <v>178</v>
      </c>
      <c r="E49" s="26">
        <v>845202</v>
      </c>
      <c r="F49" s="27">
        <v>3004.69</v>
      </c>
      <c r="G49" s="28">
        <v>0.01</v>
      </c>
      <c r="H49" s="29"/>
    </row>
    <row r="50" spans="2:8" ht="15.75" customHeight="1" x14ac:dyDescent="0.25">
      <c r="B50" s="25" t="s">
        <v>141</v>
      </c>
      <c r="C50" s="25" t="s">
        <v>142</v>
      </c>
      <c r="D50" s="25" t="s">
        <v>143</v>
      </c>
      <c r="E50" s="26">
        <v>120069</v>
      </c>
      <c r="F50" s="27">
        <v>2969.37</v>
      </c>
      <c r="G50" s="28">
        <v>9.9000000000000008E-3</v>
      </c>
      <c r="H50" s="29"/>
    </row>
    <row r="51" spans="2:8" ht="15.75" customHeight="1" x14ac:dyDescent="0.25">
      <c r="B51" s="25" t="s">
        <v>319</v>
      </c>
      <c r="C51" s="25" t="s">
        <v>320</v>
      </c>
      <c r="D51" s="25" t="s">
        <v>269</v>
      </c>
      <c r="E51" s="26">
        <v>116323</v>
      </c>
      <c r="F51" s="27">
        <v>2910.34</v>
      </c>
      <c r="G51" s="28">
        <v>9.7000000000000003E-3</v>
      </c>
      <c r="H51" s="29"/>
    </row>
    <row r="52" spans="2:8" ht="15.75" customHeight="1" x14ac:dyDescent="0.25">
      <c r="B52" s="25" t="s">
        <v>880</v>
      </c>
      <c r="C52" s="25" t="s">
        <v>881</v>
      </c>
      <c r="D52" s="25" t="s">
        <v>428</v>
      </c>
      <c r="E52" s="26">
        <v>257657</v>
      </c>
      <c r="F52" s="27">
        <v>2877.64</v>
      </c>
      <c r="G52" s="28">
        <v>9.5999999999999992E-3</v>
      </c>
      <c r="H52" s="29"/>
    </row>
    <row r="53" spans="2:8" ht="15.75" customHeight="1" x14ac:dyDescent="0.25">
      <c r="B53" s="25" t="s">
        <v>210</v>
      </c>
      <c r="C53" s="25" t="s">
        <v>211</v>
      </c>
      <c r="D53" s="25" t="s">
        <v>143</v>
      </c>
      <c r="E53" s="26">
        <v>672927</v>
      </c>
      <c r="F53" s="27">
        <v>2859.27</v>
      </c>
      <c r="G53" s="28">
        <v>9.4999999999999998E-3</v>
      </c>
      <c r="H53" s="29"/>
    </row>
    <row r="54" spans="2:8" ht="15.75" customHeight="1" x14ac:dyDescent="0.25">
      <c r="B54" s="25" t="s">
        <v>705</v>
      </c>
      <c r="C54" s="25" t="s">
        <v>706</v>
      </c>
      <c r="D54" s="25" t="s">
        <v>269</v>
      </c>
      <c r="E54" s="26">
        <v>78865</v>
      </c>
      <c r="F54" s="27">
        <v>2818.83</v>
      </c>
      <c r="G54" s="28">
        <v>9.4000000000000004E-3</v>
      </c>
      <c r="H54" s="29"/>
    </row>
    <row r="55" spans="2:8" ht="15.75" customHeight="1" x14ac:dyDescent="0.25">
      <c r="B55" s="25" t="s">
        <v>482</v>
      </c>
      <c r="C55" s="25" t="s">
        <v>483</v>
      </c>
      <c r="D55" s="25" t="s">
        <v>129</v>
      </c>
      <c r="E55" s="26">
        <v>1588736</v>
      </c>
      <c r="F55" s="27">
        <v>2816.03</v>
      </c>
      <c r="G55" s="28">
        <v>9.4000000000000004E-3</v>
      </c>
      <c r="H55" s="29"/>
    </row>
    <row r="56" spans="2:8" ht="15.75" customHeight="1" x14ac:dyDescent="0.25">
      <c r="B56" s="25" t="s">
        <v>379</v>
      </c>
      <c r="C56" s="25" t="s">
        <v>380</v>
      </c>
      <c r="D56" s="25" t="s">
        <v>129</v>
      </c>
      <c r="E56" s="26">
        <v>2314573</v>
      </c>
      <c r="F56" s="27">
        <v>2789.29</v>
      </c>
      <c r="G56" s="28">
        <v>9.2999999999999992E-3</v>
      </c>
      <c r="H56" s="29"/>
    </row>
    <row r="57" spans="2:8" ht="15.75" customHeight="1" x14ac:dyDescent="0.25">
      <c r="B57" s="25" t="s">
        <v>354</v>
      </c>
      <c r="C57" s="25" t="s">
        <v>355</v>
      </c>
      <c r="D57" s="25" t="s">
        <v>135</v>
      </c>
      <c r="E57" s="26">
        <v>23061</v>
      </c>
      <c r="F57" s="27">
        <v>2775.13</v>
      </c>
      <c r="G57" s="28">
        <v>9.1999999999999998E-3</v>
      </c>
      <c r="H57" s="29"/>
    </row>
    <row r="58" spans="2:8" ht="15.75" customHeight="1" x14ac:dyDescent="0.25">
      <c r="B58" s="25" t="s">
        <v>385</v>
      </c>
      <c r="C58" s="25" t="s">
        <v>386</v>
      </c>
      <c r="D58" s="25" t="s">
        <v>241</v>
      </c>
      <c r="E58" s="26">
        <v>917572</v>
      </c>
      <c r="F58" s="27">
        <v>2721.06</v>
      </c>
      <c r="G58" s="28">
        <v>9.1000000000000004E-3</v>
      </c>
      <c r="H58" s="29"/>
    </row>
    <row r="59" spans="2:8" ht="15.75" customHeight="1" x14ac:dyDescent="0.25">
      <c r="B59" s="25" t="s">
        <v>444</v>
      </c>
      <c r="C59" s="25" t="s">
        <v>445</v>
      </c>
      <c r="D59" s="25" t="s">
        <v>232</v>
      </c>
      <c r="E59" s="26">
        <v>296369</v>
      </c>
      <c r="F59" s="27">
        <v>2679.32</v>
      </c>
      <c r="G59" s="28">
        <v>8.8999999999999999E-3</v>
      </c>
      <c r="H59" s="29"/>
    </row>
    <row r="60" spans="2:8" ht="15.75" customHeight="1" x14ac:dyDescent="0.25">
      <c r="B60" s="25" t="s">
        <v>882</v>
      </c>
      <c r="C60" s="25" t="s">
        <v>883</v>
      </c>
      <c r="D60" s="25" t="s">
        <v>285</v>
      </c>
      <c r="E60" s="26">
        <v>474909</v>
      </c>
      <c r="F60" s="27">
        <v>2653.08</v>
      </c>
      <c r="G60" s="28">
        <v>8.8000000000000005E-3</v>
      </c>
      <c r="H60" s="29"/>
    </row>
    <row r="61" spans="2:8" ht="15.75" customHeight="1" x14ac:dyDescent="0.25">
      <c r="B61" s="25" t="s">
        <v>630</v>
      </c>
      <c r="C61" s="25" t="s">
        <v>631</v>
      </c>
      <c r="D61" s="25" t="s">
        <v>263</v>
      </c>
      <c r="E61" s="26">
        <v>465191</v>
      </c>
      <c r="F61" s="27">
        <v>2620.19</v>
      </c>
      <c r="G61" s="28">
        <v>8.6999999999999994E-3</v>
      </c>
      <c r="H61" s="29"/>
    </row>
    <row r="62" spans="2:8" ht="15.75" customHeight="1" x14ac:dyDescent="0.25">
      <c r="B62" s="25" t="s">
        <v>446</v>
      </c>
      <c r="C62" s="25" t="s">
        <v>447</v>
      </c>
      <c r="D62" s="25" t="s">
        <v>254</v>
      </c>
      <c r="E62" s="26">
        <v>502646</v>
      </c>
      <c r="F62" s="27">
        <v>2591.14</v>
      </c>
      <c r="G62" s="28">
        <v>8.6E-3</v>
      </c>
      <c r="H62" s="29"/>
    </row>
    <row r="63" spans="2:8" ht="15.75" customHeight="1" x14ac:dyDescent="0.25">
      <c r="B63" s="25" t="s">
        <v>581</v>
      </c>
      <c r="C63" s="25" t="s">
        <v>582</v>
      </c>
      <c r="D63" s="25" t="s">
        <v>251</v>
      </c>
      <c r="E63" s="26">
        <v>233700</v>
      </c>
      <c r="F63" s="27">
        <v>2552.12</v>
      </c>
      <c r="G63" s="28">
        <v>8.5000000000000006E-3</v>
      </c>
      <c r="H63" s="29"/>
    </row>
    <row r="64" spans="2:8" ht="15.75" customHeight="1" x14ac:dyDescent="0.25">
      <c r="B64" s="25" t="s">
        <v>767</v>
      </c>
      <c r="C64" s="25" t="s">
        <v>768</v>
      </c>
      <c r="D64" s="25" t="s">
        <v>290</v>
      </c>
      <c r="E64" s="26">
        <v>744358</v>
      </c>
      <c r="F64" s="27">
        <v>2444.4699999999998</v>
      </c>
      <c r="G64" s="28">
        <v>8.0999999999999996E-3</v>
      </c>
      <c r="H64" s="29"/>
    </row>
    <row r="65" spans="2:16" ht="15.75" customHeight="1" x14ac:dyDescent="0.25">
      <c r="B65" s="25" t="s">
        <v>699</v>
      </c>
      <c r="C65" s="25" t="s">
        <v>700</v>
      </c>
      <c r="D65" s="25" t="s">
        <v>295</v>
      </c>
      <c r="E65" s="26">
        <v>290511</v>
      </c>
      <c r="F65" s="27">
        <v>2218.7800000000002</v>
      </c>
      <c r="G65" s="28">
        <v>7.4000000000000003E-3</v>
      </c>
      <c r="H65" s="29"/>
    </row>
    <row r="66" spans="2:16" ht="15.75" customHeight="1" x14ac:dyDescent="0.25">
      <c r="B66" s="25" t="s">
        <v>743</v>
      </c>
      <c r="C66" s="25" t="s">
        <v>744</v>
      </c>
      <c r="D66" s="25" t="s">
        <v>566</v>
      </c>
      <c r="E66" s="26">
        <v>197810</v>
      </c>
      <c r="F66" s="27">
        <v>2170.87</v>
      </c>
      <c r="G66" s="28">
        <v>7.1999999999999998E-3</v>
      </c>
      <c r="H66" s="29"/>
    </row>
    <row r="67" spans="2:16" ht="15.75" customHeight="1" x14ac:dyDescent="0.25">
      <c r="B67" s="25" t="s">
        <v>552</v>
      </c>
      <c r="C67" s="25" t="s">
        <v>553</v>
      </c>
      <c r="D67" s="25" t="s">
        <v>508</v>
      </c>
      <c r="E67" s="26">
        <v>5484</v>
      </c>
      <c r="F67" s="27">
        <v>2144.21</v>
      </c>
      <c r="G67" s="28">
        <v>7.1000000000000004E-3</v>
      </c>
      <c r="H67" s="29"/>
    </row>
    <row r="68" spans="2:16" ht="15.75" customHeight="1" x14ac:dyDescent="0.25">
      <c r="B68" s="25" t="s">
        <v>725</v>
      </c>
      <c r="C68" s="25" t="s">
        <v>726</v>
      </c>
      <c r="D68" s="25" t="s">
        <v>346</v>
      </c>
      <c r="E68" s="26">
        <v>257553</v>
      </c>
      <c r="F68" s="27">
        <v>2134.6</v>
      </c>
      <c r="G68" s="28">
        <v>7.1000000000000004E-3</v>
      </c>
      <c r="H68" s="29"/>
      <c r="L68" s="3"/>
    </row>
    <row r="69" spans="2:16" ht="15.75" customHeight="1" x14ac:dyDescent="0.25">
      <c r="B69" s="25" t="s">
        <v>377</v>
      </c>
      <c r="C69" s="25" t="s">
        <v>378</v>
      </c>
      <c r="D69" s="25" t="s">
        <v>227</v>
      </c>
      <c r="E69" s="26">
        <v>155079</v>
      </c>
      <c r="F69" s="27">
        <v>2050.3000000000002</v>
      </c>
      <c r="G69" s="28">
        <v>6.7999999999999996E-3</v>
      </c>
      <c r="H69" s="29"/>
    </row>
    <row r="70" spans="2:16" ht="15.75" customHeight="1" x14ac:dyDescent="0.25">
      <c r="B70" s="25" t="s">
        <v>416</v>
      </c>
      <c r="C70" s="25" t="s">
        <v>417</v>
      </c>
      <c r="D70" s="25" t="s">
        <v>251</v>
      </c>
      <c r="E70" s="26">
        <v>1050564</v>
      </c>
      <c r="F70" s="27">
        <v>1999.33</v>
      </c>
      <c r="G70" s="28">
        <v>6.7000000000000002E-3</v>
      </c>
      <c r="H70" s="29"/>
      <c r="L70" s="3"/>
    </row>
    <row r="71" spans="2:16" ht="15.75" customHeight="1" x14ac:dyDescent="0.25">
      <c r="B71" s="25" t="s">
        <v>628</v>
      </c>
      <c r="C71" s="25" t="s">
        <v>629</v>
      </c>
      <c r="D71" s="25" t="s">
        <v>601</v>
      </c>
      <c r="E71" s="26">
        <v>307039</v>
      </c>
      <c r="F71" s="27">
        <v>1802.01</v>
      </c>
      <c r="G71" s="28">
        <v>6.0000000000000001E-3</v>
      </c>
      <c r="H71" s="29"/>
      <c r="L71" s="3"/>
    </row>
    <row r="72" spans="2:16" ht="15.75" customHeight="1" x14ac:dyDescent="0.25">
      <c r="B72" s="25" t="s">
        <v>424</v>
      </c>
      <c r="C72" s="25" t="s">
        <v>425</v>
      </c>
      <c r="D72" s="25" t="s">
        <v>337</v>
      </c>
      <c r="E72" s="26">
        <v>40057</v>
      </c>
      <c r="F72" s="27">
        <v>1770.48</v>
      </c>
      <c r="G72" s="28">
        <v>5.8999999999999999E-3</v>
      </c>
      <c r="H72" s="29"/>
      <c r="L72" s="3"/>
    </row>
    <row r="73" spans="2:16" ht="15.75" customHeight="1" x14ac:dyDescent="0.25">
      <c r="B73" s="25" t="s">
        <v>440</v>
      </c>
      <c r="C73" s="25" t="s">
        <v>441</v>
      </c>
      <c r="D73" s="25" t="s">
        <v>346</v>
      </c>
      <c r="E73" s="26">
        <v>488377</v>
      </c>
      <c r="F73" s="27">
        <v>1579.75</v>
      </c>
      <c r="G73" s="28">
        <v>5.3E-3</v>
      </c>
      <c r="H73" s="29"/>
      <c r="L73" s="3"/>
    </row>
    <row r="74" spans="2:16" ht="15.75" customHeight="1" x14ac:dyDescent="0.25">
      <c r="B74" s="25" t="s">
        <v>626</v>
      </c>
      <c r="C74" s="25" t="s">
        <v>627</v>
      </c>
      <c r="D74" s="25" t="s">
        <v>219</v>
      </c>
      <c r="E74" s="26">
        <v>83333</v>
      </c>
      <c r="F74" s="27">
        <v>1577.16</v>
      </c>
      <c r="G74" s="28">
        <v>5.3E-3</v>
      </c>
      <c r="H74" s="29"/>
      <c r="L74" s="3"/>
    </row>
    <row r="75" spans="2:16" ht="15.75" customHeight="1" x14ac:dyDescent="0.25">
      <c r="B75" s="25" t="s">
        <v>753</v>
      </c>
      <c r="C75" s="25" t="s">
        <v>754</v>
      </c>
      <c r="D75" s="25" t="s">
        <v>202</v>
      </c>
      <c r="E75" s="26">
        <v>602362</v>
      </c>
      <c r="F75" s="27">
        <v>1446.57</v>
      </c>
      <c r="G75" s="28">
        <v>4.7999999999999996E-3</v>
      </c>
      <c r="H75" s="29"/>
      <c r="L75" s="5"/>
      <c r="M75" s="5"/>
      <c r="N75" s="6"/>
      <c r="O75" s="6"/>
      <c r="P75" s="5"/>
    </row>
    <row r="76" spans="2:16" ht="15.75" customHeight="1" x14ac:dyDescent="0.25">
      <c r="B76" s="25" t="s">
        <v>230</v>
      </c>
      <c r="C76" s="25" t="s">
        <v>231</v>
      </c>
      <c r="D76" s="25" t="s">
        <v>232</v>
      </c>
      <c r="E76" s="26">
        <v>32349</v>
      </c>
      <c r="F76" s="27">
        <v>1367.8</v>
      </c>
      <c r="G76" s="28">
        <v>4.5999999999999999E-3</v>
      </c>
      <c r="H76" s="29"/>
    </row>
    <row r="77" spans="2:16" ht="15.75" customHeight="1" x14ac:dyDescent="0.25">
      <c r="B77" s="25" t="s">
        <v>363</v>
      </c>
      <c r="C77" s="25" t="s">
        <v>364</v>
      </c>
      <c r="D77" s="25" t="s">
        <v>269</v>
      </c>
      <c r="E77" s="26">
        <v>53552</v>
      </c>
      <c r="F77" s="27">
        <v>1304.55</v>
      </c>
      <c r="G77" s="28">
        <v>4.3E-3</v>
      </c>
      <c r="H77" s="29"/>
    </row>
    <row r="78" spans="2:16" ht="15.75" customHeight="1" x14ac:dyDescent="0.25">
      <c r="B78" s="25" t="s">
        <v>680</v>
      </c>
      <c r="C78" s="25" t="s">
        <v>681</v>
      </c>
      <c r="D78" s="25" t="s">
        <v>184</v>
      </c>
      <c r="E78" s="26">
        <v>36687</v>
      </c>
      <c r="F78" s="27">
        <v>947.46</v>
      </c>
      <c r="G78" s="28">
        <v>3.2000000000000002E-3</v>
      </c>
      <c r="H78" s="29"/>
      <c r="L78" s="7"/>
      <c r="M78" s="7"/>
      <c r="N78" s="7"/>
      <c r="O78" s="7"/>
      <c r="P78" s="7"/>
    </row>
    <row r="79" spans="2:16" ht="15.75" customHeight="1" x14ac:dyDescent="0.25">
      <c r="B79" s="25" t="s">
        <v>480</v>
      </c>
      <c r="C79" s="25" t="s">
        <v>481</v>
      </c>
      <c r="D79" s="25" t="s">
        <v>129</v>
      </c>
      <c r="E79" s="26">
        <v>652234</v>
      </c>
      <c r="F79" s="27">
        <v>900.08</v>
      </c>
      <c r="G79" s="28">
        <v>3.0000000000000001E-3</v>
      </c>
      <c r="H79" s="29"/>
      <c r="L79" s="7"/>
      <c r="M79" s="7"/>
      <c r="N79" s="7"/>
      <c r="O79" s="7"/>
      <c r="P79" s="7"/>
    </row>
    <row r="80" spans="2:16" ht="15.75" customHeight="1" x14ac:dyDescent="0.25">
      <c r="B80" s="25" t="s">
        <v>729</v>
      </c>
      <c r="C80" s="25" t="s">
        <v>730</v>
      </c>
      <c r="D80" s="25" t="s">
        <v>251</v>
      </c>
      <c r="E80" s="26">
        <v>114136</v>
      </c>
      <c r="F80" s="27">
        <v>758.49</v>
      </c>
      <c r="G80" s="28">
        <v>2.5000000000000001E-3</v>
      </c>
      <c r="H80" s="29"/>
      <c r="L80" s="7"/>
      <c r="M80" s="7"/>
      <c r="N80" s="7"/>
      <c r="O80" s="7"/>
      <c r="P80" s="7"/>
    </row>
    <row r="81" spans="2:16" ht="15.75" customHeight="1" x14ac:dyDescent="0.25">
      <c r="B81" s="25" t="s">
        <v>457</v>
      </c>
      <c r="C81" s="25" t="s">
        <v>458</v>
      </c>
      <c r="D81" s="25" t="s">
        <v>362</v>
      </c>
      <c r="E81" s="26">
        <v>34001</v>
      </c>
      <c r="F81" s="27">
        <v>444.84</v>
      </c>
      <c r="G81" s="28">
        <v>1.5E-3</v>
      </c>
      <c r="H81" s="29"/>
      <c r="L81" s="7"/>
      <c r="M81" s="7"/>
      <c r="N81" s="7"/>
      <c r="O81" s="7"/>
      <c r="P81" s="7"/>
    </row>
    <row r="82" spans="2:16" ht="15.75" customHeight="1" x14ac:dyDescent="0.25">
      <c r="B82" s="24" t="s">
        <v>102</v>
      </c>
      <c r="C82" s="24"/>
      <c r="D82" s="24"/>
      <c r="E82" s="30"/>
      <c r="F82" s="31">
        <v>289731.94</v>
      </c>
      <c r="G82" s="32">
        <v>0.96540000000000004</v>
      </c>
      <c r="H82" s="33"/>
      <c r="L82" s="7"/>
      <c r="M82" s="7"/>
      <c r="N82" s="7"/>
      <c r="O82" s="7"/>
      <c r="P82" s="7"/>
    </row>
    <row r="83" spans="2:16" ht="15.75" customHeight="1" x14ac:dyDescent="0.25">
      <c r="B83" s="24" t="s">
        <v>149</v>
      </c>
      <c r="C83" s="25"/>
      <c r="D83" s="25"/>
      <c r="E83" s="26"/>
      <c r="F83" s="27"/>
      <c r="G83" s="28"/>
      <c r="H83" s="29"/>
      <c r="L83" s="7"/>
      <c r="M83" s="7"/>
      <c r="N83" s="7"/>
      <c r="O83" s="7"/>
      <c r="P83" s="7"/>
    </row>
    <row r="84" spans="2:16" ht="15.75" customHeight="1" x14ac:dyDescent="0.25">
      <c r="B84" s="24" t="s">
        <v>102</v>
      </c>
      <c r="C84" s="25"/>
      <c r="D84" s="25"/>
      <c r="E84" s="26"/>
      <c r="F84" s="34" t="s">
        <v>104</v>
      </c>
      <c r="G84" s="35" t="s">
        <v>104</v>
      </c>
      <c r="H84" s="29"/>
      <c r="L84" s="7"/>
      <c r="M84" s="7"/>
      <c r="N84" s="7"/>
      <c r="O84" s="7"/>
      <c r="P84" s="7"/>
    </row>
    <row r="85" spans="2:16" ht="15.75" customHeight="1" x14ac:dyDescent="0.25">
      <c r="B85" s="25"/>
      <c r="C85" s="25"/>
      <c r="D85" s="25"/>
      <c r="E85" s="26"/>
      <c r="F85" s="27"/>
      <c r="G85" s="28"/>
      <c r="H85" s="29"/>
    </row>
    <row r="86" spans="2:16" ht="15.75" customHeight="1" x14ac:dyDescent="0.25">
      <c r="B86" s="36" t="s">
        <v>106</v>
      </c>
      <c r="C86" s="36"/>
      <c r="D86" s="36"/>
      <c r="E86" s="37"/>
      <c r="F86" s="31">
        <v>289731.94</v>
      </c>
      <c r="G86" s="32">
        <v>0.96540000000000004</v>
      </c>
      <c r="H86" s="33"/>
      <c r="L86" s="3"/>
    </row>
    <row r="87" spans="2:16" ht="15.75" customHeight="1" x14ac:dyDescent="0.25">
      <c r="B87" s="25"/>
      <c r="C87" s="25"/>
      <c r="D87" s="25"/>
      <c r="E87" s="26"/>
      <c r="F87" s="27"/>
      <c r="G87" s="28"/>
      <c r="H87" s="29"/>
    </row>
    <row r="88" spans="2:16" ht="15.75" customHeight="1" x14ac:dyDescent="0.25">
      <c r="B88" s="25"/>
      <c r="C88" s="25"/>
      <c r="D88" s="25"/>
      <c r="E88" s="26"/>
      <c r="F88" s="27"/>
      <c r="G88" s="28"/>
      <c r="H88" s="29"/>
    </row>
    <row r="89" spans="2:16" ht="15.75" customHeight="1" x14ac:dyDescent="0.25">
      <c r="B89" s="24" t="s">
        <v>109</v>
      </c>
      <c r="C89" s="25"/>
      <c r="D89" s="25"/>
      <c r="E89" s="26"/>
      <c r="F89" s="27"/>
      <c r="G89" s="28"/>
      <c r="H89" s="29"/>
    </row>
    <row r="90" spans="2:16" ht="15.75" customHeight="1" x14ac:dyDescent="0.25">
      <c r="B90" s="25" t="s">
        <v>110</v>
      </c>
      <c r="C90" s="25"/>
      <c r="D90" s="25"/>
      <c r="E90" s="26"/>
      <c r="F90" s="27">
        <v>10742.67</v>
      </c>
      <c r="G90" s="28">
        <v>3.5799999999999998E-2</v>
      </c>
      <c r="H90" s="29"/>
    </row>
    <row r="91" spans="2:16" ht="15.75" customHeight="1" x14ac:dyDescent="0.25">
      <c r="B91" s="24" t="s">
        <v>102</v>
      </c>
      <c r="C91" s="24"/>
      <c r="D91" s="24"/>
      <c r="E91" s="30"/>
      <c r="F91" s="31">
        <v>10742.67</v>
      </c>
      <c r="G91" s="32">
        <v>3.5799999999999998E-2</v>
      </c>
      <c r="H91" s="33"/>
    </row>
    <row r="92" spans="2:16" ht="15.75" customHeight="1" x14ac:dyDescent="0.25">
      <c r="B92" s="25"/>
      <c r="C92" s="25"/>
      <c r="D92" s="25"/>
      <c r="E92" s="26"/>
      <c r="F92" s="27"/>
      <c r="G92" s="28"/>
      <c r="H92" s="29"/>
    </row>
    <row r="93" spans="2:16" ht="15.75" customHeight="1" x14ac:dyDescent="0.25">
      <c r="B93" s="36" t="s">
        <v>106</v>
      </c>
      <c r="C93" s="36"/>
      <c r="D93" s="36"/>
      <c r="E93" s="37"/>
      <c r="F93" s="31">
        <v>10742.67</v>
      </c>
      <c r="G93" s="32">
        <v>3.5799999999999998E-2</v>
      </c>
      <c r="H93" s="33"/>
    </row>
    <row r="94" spans="2:16" ht="15.75" customHeight="1" x14ac:dyDescent="0.25">
      <c r="B94" s="25" t="s">
        <v>111</v>
      </c>
      <c r="C94" s="25"/>
      <c r="D94" s="25"/>
      <c r="E94" s="26"/>
      <c r="F94" s="38">
        <v>-376.52</v>
      </c>
      <c r="G94" s="39">
        <v>-1.2000000000000899E-3</v>
      </c>
      <c r="H94" s="29"/>
    </row>
    <row r="95" spans="2:16" ht="15.75" customHeight="1" x14ac:dyDescent="0.25">
      <c r="B95" s="40" t="s">
        <v>112</v>
      </c>
      <c r="C95" s="40"/>
      <c r="D95" s="40"/>
      <c r="E95" s="41"/>
      <c r="F95" s="42">
        <v>300098.09000000003</v>
      </c>
      <c r="G95" s="43">
        <v>1</v>
      </c>
      <c r="H95" s="44"/>
    </row>
    <row r="96" spans="2:16" ht="15.75" customHeight="1" thickBot="1" x14ac:dyDescent="0.3">
      <c r="B96" s="2"/>
    </row>
    <row r="97" spans="2:8" ht="27" customHeight="1" thickBot="1" x14ac:dyDescent="0.3">
      <c r="B97" s="56" t="s">
        <v>964</v>
      </c>
      <c r="C97" s="57" t="s">
        <v>965</v>
      </c>
      <c r="D97" s="57" t="s">
        <v>966</v>
      </c>
      <c r="E97" s="62" t="s">
        <v>967</v>
      </c>
      <c r="G97" s="2"/>
      <c r="H97" s="2"/>
    </row>
    <row r="98" spans="2:8" ht="27.75" customHeight="1" x14ac:dyDescent="0.25">
      <c r="B98" s="69" t="s">
        <v>70</v>
      </c>
      <c r="C98" s="81"/>
      <c r="D98" s="84" t="s">
        <v>1031</v>
      </c>
      <c r="E98" s="86"/>
      <c r="G98" s="2"/>
      <c r="H98" s="2"/>
    </row>
    <row r="99" spans="2:8" ht="31.5" customHeight="1" x14ac:dyDescent="0.25">
      <c r="B99" s="65" t="s">
        <v>1032</v>
      </c>
      <c r="C99" s="82"/>
      <c r="D99" s="85"/>
      <c r="E99" s="82"/>
      <c r="G99" s="2"/>
      <c r="H99" s="2"/>
    </row>
    <row r="100" spans="2:8" ht="40" customHeight="1" x14ac:dyDescent="0.25">
      <c r="B100" s="65" t="s">
        <v>1033</v>
      </c>
      <c r="C100" s="82"/>
      <c r="D100" s="85"/>
      <c r="E100" s="82"/>
      <c r="G100" s="2"/>
      <c r="H100" s="2"/>
    </row>
    <row r="101" spans="2:8" ht="21.75" customHeight="1" thickBot="1" x14ac:dyDescent="0.3">
      <c r="B101" s="67" t="s">
        <v>991</v>
      </c>
      <c r="C101" s="83"/>
      <c r="D101" s="70" t="s">
        <v>991</v>
      </c>
      <c r="E101" s="87"/>
      <c r="G101" s="2"/>
      <c r="H101" s="2"/>
    </row>
    <row r="102" spans="2:8" ht="25" customHeight="1" x14ac:dyDescent="0.25">
      <c r="B102" s="58" t="s">
        <v>969</v>
      </c>
      <c r="C102" s="59"/>
      <c r="D102" s="60"/>
      <c r="E102" s="61"/>
      <c r="G102" s="2"/>
      <c r="H102" s="2"/>
    </row>
    <row r="104" spans="2:8" ht="11.5" x14ac:dyDescent="0.25">
      <c r="B104" s="2" t="s">
        <v>970</v>
      </c>
      <c r="C104" s="2"/>
      <c r="D104" s="2"/>
      <c r="G104" s="2"/>
      <c r="H104" s="2"/>
    </row>
    <row r="105" spans="2:8" ht="11.5" x14ac:dyDescent="0.25">
      <c r="B105" s="3" t="s">
        <v>971</v>
      </c>
      <c r="C105" s="2"/>
      <c r="D105" s="2"/>
      <c r="G105" s="2"/>
      <c r="H105" s="2"/>
    </row>
  </sheetData>
  <mergeCells count="3">
    <mergeCell ref="C98:C101"/>
    <mergeCell ref="D98:D100"/>
    <mergeCell ref="E98:E101"/>
  </mergeCells>
  <hyperlinks>
    <hyperlink ref="I1" location="'Sheet1'!A1" display="Index" xr:uid="{0D9698CE-2960-4DE1-88CA-67482DC814CD}"/>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C5BCE-1346-45AA-AD41-1AB61B17A9D3}">
  <dimension ref="B1:P109"/>
  <sheetViews>
    <sheetView workbookViewId="0"/>
  </sheetViews>
  <sheetFormatPr defaultColWidth="9.1796875" defaultRowHeight="15.75" customHeight="1" x14ac:dyDescent="0.25"/>
  <cols>
    <col min="1" max="1" width="3.6328125" style="2" customWidth="1"/>
    <col min="2" max="2" width="50.453125" style="9" customWidth="1"/>
    <col min="3" max="3" width="25.54296875" style="9" customWidth="1"/>
    <col min="4" max="4" width="26.6328125" style="9" customWidth="1"/>
    <col min="5" max="5" width="29.26953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25</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335</v>
      </c>
      <c r="C7" s="25" t="s">
        <v>336</v>
      </c>
      <c r="D7" s="25" t="s">
        <v>337</v>
      </c>
      <c r="E7" s="26">
        <v>124121</v>
      </c>
      <c r="F7" s="27">
        <v>4548.66</v>
      </c>
      <c r="G7" s="28">
        <v>3.8399999999999997E-2</v>
      </c>
      <c r="H7" s="29"/>
    </row>
    <row r="8" spans="2:9" ht="15.75" customHeight="1" x14ac:dyDescent="0.25">
      <c r="B8" s="25" t="s">
        <v>127</v>
      </c>
      <c r="C8" s="25" t="s">
        <v>128</v>
      </c>
      <c r="D8" s="25" t="s">
        <v>129</v>
      </c>
      <c r="E8" s="26">
        <v>305293</v>
      </c>
      <c r="F8" s="27">
        <v>3662.29</v>
      </c>
      <c r="G8" s="28">
        <v>3.09E-2</v>
      </c>
      <c r="H8" s="29"/>
    </row>
    <row r="9" spans="2:9" ht="15.75" customHeight="1" x14ac:dyDescent="0.25">
      <c r="B9" s="25" t="s">
        <v>136</v>
      </c>
      <c r="C9" s="25" t="s">
        <v>137</v>
      </c>
      <c r="D9" s="25" t="s">
        <v>129</v>
      </c>
      <c r="E9" s="26">
        <v>210896</v>
      </c>
      <c r="F9" s="27">
        <v>3551.07</v>
      </c>
      <c r="G9" s="28">
        <v>0.03</v>
      </c>
      <c r="H9" s="29"/>
    </row>
    <row r="10" spans="2:9" ht="15.75" customHeight="1" x14ac:dyDescent="0.25">
      <c r="B10" s="25" t="s">
        <v>365</v>
      </c>
      <c r="C10" s="25" t="s">
        <v>366</v>
      </c>
      <c r="D10" s="25" t="s">
        <v>227</v>
      </c>
      <c r="E10" s="26">
        <v>615742</v>
      </c>
      <c r="F10" s="27">
        <v>2986.96</v>
      </c>
      <c r="G10" s="28">
        <v>2.52E-2</v>
      </c>
      <c r="H10" s="29"/>
    </row>
    <row r="11" spans="2:9" ht="15.75" customHeight="1" x14ac:dyDescent="0.25">
      <c r="B11" s="25" t="s">
        <v>352</v>
      </c>
      <c r="C11" s="25" t="s">
        <v>353</v>
      </c>
      <c r="D11" s="25" t="s">
        <v>337</v>
      </c>
      <c r="E11" s="26">
        <v>115234</v>
      </c>
      <c r="F11" s="27">
        <v>2715.37</v>
      </c>
      <c r="G11" s="28">
        <v>2.29E-2</v>
      </c>
      <c r="H11" s="29"/>
    </row>
    <row r="12" spans="2:9" ht="15.75" customHeight="1" x14ac:dyDescent="0.25">
      <c r="B12" s="25" t="s">
        <v>220</v>
      </c>
      <c r="C12" s="25" t="s">
        <v>221</v>
      </c>
      <c r="D12" s="25" t="s">
        <v>129</v>
      </c>
      <c r="E12" s="26">
        <v>277477</v>
      </c>
      <c r="F12" s="27">
        <v>2355.64</v>
      </c>
      <c r="G12" s="28">
        <v>1.9900000000000001E-2</v>
      </c>
      <c r="H12" s="29"/>
    </row>
    <row r="13" spans="2:9" ht="15.75" customHeight="1" x14ac:dyDescent="0.25">
      <c r="B13" s="25" t="s">
        <v>340</v>
      </c>
      <c r="C13" s="25" t="s">
        <v>341</v>
      </c>
      <c r="D13" s="25" t="s">
        <v>276</v>
      </c>
      <c r="E13" s="26">
        <v>85585</v>
      </c>
      <c r="F13" s="27">
        <v>2285.5</v>
      </c>
      <c r="G13" s="28">
        <v>1.9300000000000001E-2</v>
      </c>
      <c r="H13" s="29"/>
    </row>
    <row r="14" spans="2:9" ht="15.75" customHeight="1" x14ac:dyDescent="0.25">
      <c r="B14" s="25" t="s">
        <v>344</v>
      </c>
      <c r="C14" s="25" t="s">
        <v>345</v>
      </c>
      <c r="D14" s="25" t="s">
        <v>346</v>
      </c>
      <c r="E14" s="26">
        <v>912802</v>
      </c>
      <c r="F14" s="27">
        <v>2267.4</v>
      </c>
      <c r="G14" s="28">
        <v>1.9099999999999999E-2</v>
      </c>
      <c r="H14" s="29"/>
    </row>
    <row r="15" spans="2:9" ht="15.75" customHeight="1" x14ac:dyDescent="0.25">
      <c r="B15" s="25" t="s">
        <v>527</v>
      </c>
      <c r="C15" s="25" t="s">
        <v>528</v>
      </c>
      <c r="D15" s="25" t="s">
        <v>178</v>
      </c>
      <c r="E15" s="26">
        <v>47057</v>
      </c>
      <c r="F15" s="27">
        <v>2189.3000000000002</v>
      </c>
      <c r="G15" s="28">
        <v>1.8499999999999999E-2</v>
      </c>
      <c r="H15" s="29"/>
    </row>
    <row r="16" spans="2:9" ht="15.75" customHeight="1" x14ac:dyDescent="0.25">
      <c r="B16" s="25" t="s">
        <v>133</v>
      </c>
      <c r="C16" s="25" t="s">
        <v>134</v>
      </c>
      <c r="D16" s="25" t="s">
        <v>135</v>
      </c>
      <c r="E16" s="26">
        <v>75530</v>
      </c>
      <c r="F16" s="27">
        <v>2165.1799999999998</v>
      </c>
      <c r="G16" s="28">
        <v>1.83E-2</v>
      </c>
      <c r="H16" s="29"/>
    </row>
    <row r="17" spans="2:8" ht="15.75" customHeight="1" x14ac:dyDescent="0.25">
      <c r="B17" s="25" t="s">
        <v>408</v>
      </c>
      <c r="C17" s="25" t="s">
        <v>409</v>
      </c>
      <c r="D17" s="25" t="s">
        <v>178</v>
      </c>
      <c r="E17" s="26">
        <v>138266</v>
      </c>
      <c r="F17" s="27">
        <v>2062.5100000000002</v>
      </c>
      <c r="G17" s="28">
        <v>1.7399999999999999E-2</v>
      </c>
      <c r="H17" s="29"/>
    </row>
    <row r="18" spans="2:8" ht="15.75" customHeight="1" x14ac:dyDescent="0.25">
      <c r="B18" s="25" t="s">
        <v>583</v>
      </c>
      <c r="C18" s="25" t="s">
        <v>584</v>
      </c>
      <c r="D18" s="25" t="s">
        <v>251</v>
      </c>
      <c r="E18" s="26">
        <v>42566</v>
      </c>
      <c r="F18" s="27">
        <v>2017.84</v>
      </c>
      <c r="G18" s="28">
        <v>1.7000000000000001E-2</v>
      </c>
      <c r="H18" s="29"/>
    </row>
    <row r="19" spans="2:8" ht="15.75" customHeight="1" x14ac:dyDescent="0.25">
      <c r="B19" s="25" t="s">
        <v>138</v>
      </c>
      <c r="C19" s="25" t="s">
        <v>139</v>
      </c>
      <c r="D19" s="25" t="s">
        <v>140</v>
      </c>
      <c r="E19" s="26">
        <v>63641</v>
      </c>
      <c r="F19" s="27">
        <v>1992.47</v>
      </c>
      <c r="G19" s="28">
        <v>1.6799999999999999E-2</v>
      </c>
      <c r="H19" s="29"/>
    </row>
    <row r="20" spans="2:8" ht="15.75" customHeight="1" x14ac:dyDescent="0.25">
      <c r="B20" s="25" t="s">
        <v>537</v>
      </c>
      <c r="C20" s="25" t="s">
        <v>538</v>
      </c>
      <c r="D20" s="25" t="s">
        <v>263</v>
      </c>
      <c r="E20" s="26">
        <v>461524</v>
      </c>
      <c r="F20" s="27">
        <v>1981.32</v>
      </c>
      <c r="G20" s="28">
        <v>1.67E-2</v>
      </c>
      <c r="H20" s="29"/>
    </row>
    <row r="21" spans="2:8" ht="15.75" customHeight="1" x14ac:dyDescent="0.25">
      <c r="B21" s="25" t="s">
        <v>381</v>
      </c>
      <c r="C21" s="25" t="s">
        <v>382</v>
      </c>
      <c r="D21" s="25" t="s">
        <v>169</v>
      </c>
      <c r="E21" s="26">
        <v>39391</v>
      </c>
      <c r="F21" s="27">
        <v>1966.14</v>
      </c>
      <c r="G21" s="28">
        <v>1.66E-2</v>
      </c>
      <c r="H21" s="29"/>
    </row>
    <row r="22" spans="2:8" ht="15.75" customHeight="1" x14ac:dyDescent="0.25">
      <c r="B22" s="25" t="s">
        <v>249</v>
      </c>
      <c r="C22" s="25" t="s">
        <v>250</v>
      </c>
      <c r="D22" s="25" t="s">
        <v>251</v>
      </c>
      <c r="E22" s="26">
        <v>109811</v>
      </c>
      <c r="F22" s="27">
        <v>1834.23</v>
      </c>
      <c r="G22" s="28">
        <v>1.55E-2</v>
      </c>
      <c r="H22" s="29"/>
    </row>
    <row r="23" spans="2:8" ht="15.75" customHeight="1" x14ac:dyDescent="0.25">
      <c r="B23" s="25" t="s">
        <v>694</v>
      </c>
      <c r="C23" s="25" t="s">
        <v>695</v>
      </c>
      <c r="D23" s="25" t="s">
        <v>696</v>
      </c>
      <c r="E23" s="26">
        <v>328027</v>
      </c>
      <c r="F23" s="27">
        <v>1822.03</v>
      </c>
      <c r="G23" s="28">
        <v>1.54E-2</v>
      </c>
      <c r="H23" s="29"/>
    </row>
    <row r="24" spans="2:8" ht="15.75" customHeight="1" x14ac:dyDescent="0.25">
      <c r="B24" s="25" t="s">
        <v>581</v>
      </c>
      <c r="C24" s="25" t="s">
        <v>582</v>
      </c>
      <c r="D24" s="25" t="s">
        <v>251</v>
      </c>
      <c r="E24" s="26">
        <v>165956</v>
      </c>
      <c r="F24" s="27">
        <v>1812.32</v>
      </c>
      <c r="G24" s="28">
        <v>1.5299999999999999E-2</v>
      </c>
      <c r="H24" s="29"/>
    </row>
    <row r="25" spans="2:8" ht="15.75" customHeight="1" x14ac:dyDescent="0.25">
      <c r="B25" s="25" t="s">
        <v>416</v>
      </c>
      <c r="C25" s="25" t="s">
        <v>417</v>
      </c>
      <c r="D25" s="25" t="s">
        <v>251</v>
      </c>
      <c r="E25" s="26">
        <v>935753</v>
      </c>
      <c r="F25" s="27">
        <v>1780.83</v>
      </c>
      <c r="G25" s="28">
        <v>1.4999999999999999E-2</v>
      </c>
      <c r="H25" s="29"/>
    </row>
    <row r="26" spans="2:8" ht="15.75" customHeight="1" x14ac:dyDescent="0.25">
      <c r="B26" s="25" t="s">
        <v>517</v>
      </c>
      <c r="C26" s="25" t="s">
        <v>518</v>
      </c>
      <c r="D26" s="25" t="s">
        <v>346</v>
      </c>
      <c r="E26" s="26">
        <v>53593</v>
      </c>
      <c r="F26" s="27">
        <v>1769</v>
      </c>
      <c r="G26" s="28">
        <v>1.49E-2</v>
      </c>
      <c r="H26" s="29"/>
    </row>
    <row r="27" spans="2:8" ht="15.75" customHeight="1" x14ac:dyDescent="0.25">
      <c r="B27" s="25" t="s">
        <v>782</v>
      </c>
      <c r="C27" s="25" t="s">
        <v>783</v>
      </c>
      <c r="D27" s="25" t="s">
        <v>246</v>
      </c>
      <c r="E27" s="26">
        <v>247379</v>
      </c>
      <c r="F27" s="27">
        <v>1705.18</v>
      </c>
      <c r="G27" s="28">
        <v>1.44E-2</v>
      </c>
      <c r="H27" s="29"/>
    </row>
    <row r="28" spans="2:8" ht="15.75" customHeight="1" x14ac:dyDescent="0.25">
      <c r="B28" s="25" t="s">
        <v>504</v>
      </c>
      <c r="C28" s="25" t="s">
        <v>505</v>
      </c>
      <c r="D28" s="25" t="s">
        <v>295</v>
      </c>
      <c r="E28" s="26">
        <v>103290</v>
      </c>
      <c r="F28" s="27">
        <v>1653.52</v>
      </c>
      <c r="G28" s="28">
        <v>1.3899999999999999E-2</v>
      </c>
      <c r="H28" s="29"/>
    </row>
    <row r="29" spans="2:8" ht="15.75" customHeight="1" x14ac:dyDescent="0.25">
      <c r="B29" s="25" t="s">
        <v>535</v>
      </c>
      <c r="C29" s="25" t="s">
        <v>536</v>
      </c>
      <c r="D29" s="25" t="s">
        <v>224</v>
      </c>
      <c r="E29" s="26">
        <v>239069</v>
      </c>
      <c r="F29" s="27">
        <v>1639.3</v>
      </c>
      <c r="G29" s="28">
        <v>1.38E-2</v>
      </c>
      <c r="H29" s="29"/>
    </row>
    <row r="30" spans="2:8" ht="15.75" customHeight="1" x14ac:dyDescent="0.25">
      <c r="B30" s="25" t="s">
        <v>431</v>
      </c>
      <c r="C30" s="25" t="s">
        <v>432</v>
      </c>
      <c r="D30" s="25" t="s">
        <v>146</v>
      </c>
      <c r="E30" s="26">
        <v>225616</v>
      </c>
      <c r="F30" s="27">
        <v>1614.51</v>
      </c>
      <c r="G30" s="28">
        <v>1.3599999999999999E-2</v>
      </c>
      <c r="H30" s="29"/>
    </row>
    <row r="31" spans="2:8" ht="15.75" customHeight="1" x14ac:dyDescent="0.25">
      <c r="B31" s="25" t="s">
        <v>215</v>
      </c>
      <c r="C31" s="25" t="s">
        <v>216</v>
      </c>
      <c r="D31" s="25" t="s">
        <v>129</v>
      </c>
      <c r="E31" s="26">
        <v>89154</v>
      </c>
      <c r="F31" s="27">
        <v>1607</v>
      </c>
      <c r="G31" s="28">
        <v>1.3599999999999999E-2</v>
      </c>
      <c r="H31" s="29"/>
    </row>
    <row r="32" spans="2:8" ht="15.75" customHeight="1" x14ac:dyDescent="0.25">
      <c r="B32" s="25" t="s">
        <v>595</v>
      </c>
      <c r="C32" s="25" t="s">
        <v>596</v>
      </c>
      <c r="D32" s="25" t="s">
        <v>508</v>
      </c>
      <c r="E32" s="26">
        <v>179760</v>
      </c>
      <c r="F32" s="27">
        <v>1585.75</v>
      </c>
      <c r="G32" s="28">
        <v>1.34E-2</v>
      </c>
      <c r="H32" s="29"/>
    </row>
    <row r="33" spans="2:8" ht="15.75" customHeight="1" x14ac:dyDescent="0.25">
      <c r="B33" s="25" t="s">
        <v>130</v>
      </c>
      <c r="C33" s="25" t="s">
        <v>131</v>
      </c>
      <c r="D33" s="25" t="s">
        <v>132</v>
      </c>
      <c r="E33" s="26">
        <v>100403</v>
      </c>
      <c r="F33" s="27">
        <v>1573.06</v>
      </c>
      <c r="G33" s="28">
        <v>1.3299999999999999E-2</v>
      </c>
      <c r="H33" s="29"/>
    </row>
    <row r="34" spans="2:8" ht="15.75" customHeight="1" x14ac:dyDescent="0.25">
      <c r="B34" s="25" t="s">
        <v>410</v>
      </c>
      <c r="C34" s="25" t="s">
        <v>411</v>
      </c>
      <c r="D34" s="25" t="s">
        <v>254</v>
      </c>
      <c r="E34" s="26">
        <v>780873</v>
      </c>
      <c r="F34" s="27">
        <v>1566.12</v>
      </c>
      <c r="G34" s="28">
        <v>1.32E-2</v>
      </c>
      <c r="H34" s="29"/>
    </row>
    <row r="35" spans="2:8" ht="15.75" customHeight="1" x14ac:dyDescent="0.25">
      <c r="B35" s="25" t="s">
        <v>257</v>
      </c>
      <c r="C35" s="25" t="s">
        <v>258</v>
      </c>
      <c r="D35" s="25" t="s">
        <v>254</v>
      </c>
      <c r="E35" s="26">
        <v>498229</v>
      </c>
      <c r="F35" s="27">
        <v>1555.22</v>
      </c>
      <c r="G35" s="28">
        <v>1.3100000000000001E-2</v>
      </c>
      <c r="H35" s="29"/>
    </row>
    <row r="36" spans="2:8" ht="15.75" customHeight="1" x14ac:dyDescent="0.25">
      <c r="B36" s="25" t="s">
        <v>342</v>
      </c>
      <c r="C36" s="25" t="s">
        <v>343</v>
      </c>
      <c r="D36" s="25" t="s">
        <v>135</v>
      </c>
      <c r="E36" s="26">
        <v>27516</v>
      </c>
      <c r="F36" s="27">
        <v>1535.28</v>
      </c>
      <c r="G36" s="28">
        <v>1.2999999999999999E-2</v>
      </c>
      <c r="H36" s="29"/>
    </row>
    <row r="37" spans="2:8" ht="15.75" customHeight="1" x14ac:dyDescent="0.25">
      <c r="B37" s="25" t="s">
        <v>424</v>
      </c>
      <c r="C37" s="25" t="s">
        <v>425</v>
      </c>
      <c r="D37" s="25" t="s">
        <v>337</v>
      </c>
      <c r="E37" s="26">
        <v>34612</v>
      </c>
      <c r="F37" s="27">
        <v>1529.82</v>
      </c>
      <c r="G37" s="28">
        <v>1.29E-2</v>
      </c>
      <c r="H37" s="29"/>
    </row>
    <row r="38" spans="2:8" ht="15.75" customHeight="1" x14ac:dyDescent="0.25">
      <c r="B38" s="25" t="s">
        <v>272</v>
      </c>
      <c r="C38" s="25" t="s">
        <v>273</v>
      </c>
      <c r="D38" s="25" t="s">
        <v>132</v>
      </c>
      <c r="E38" s="26">
        <v>38418</v>
      </c>
      <c r="F38" s="27">
        <v>1499.9</v>
      </c>
      <c r="G38" s="28">
        <v>1.2699999999999999E-2</v>
      </c>
      <c r="H38" s="29"/>
    </row>
    <row r="39" spans="2:8" ht="15.75" customHeight="1" x14ac:dyDescent="0.25">
      <c r="B39" s="25" t="s">
        <v>354</v>
      </c>
      <c r="C39" s="25" t="s">
        <v>355</v>
      </c>
      <c r="D39" s="25" t="s">
        <v>135</v>
      </c>
      <c r="E39" s="26">
        <v>12385</v>
      </c>
      <c r="F39" s="27">
        <v>1490.39</v>
      </c>
      <c r="G39" s="28">
        <v>1.26E-2</v>
      </c>
      <c r="H39" s="29"/>
    </row>
    <row r="40" spans="2:8" ht="15.75" customHeight="1" x14ac:dyDescent="0.25">
      <c r="B40" s="25" t="s">
        <v>626</v>
      </c>
      <c r="C40" s="25" t="s">
        <v>627</v>
      </c>
      <c r="D40" s="25" t="s">
        <v>219</v>
      </c>
      <c r="E40" s="26">
        <v>73548</v>
      </c>
      <c r="F40" s="27">
        <v>1391.97</v>
      </c>
      <c r="G40" s="28">
        <v>1.17E-2</v>
      </c>
      <c r="H40" s="29"/>
    </row>
    <row r="41" spans="2:8" ht="15.75" customHeight="1" x14ac:dyDescent="0.25">
      <c r="B41" s="25" t="s">
        <v>406</v>
      </c>
      <c r="C41" s="25" t="s">
        <v>407</v>
      </c>
      <c r="D41" s="25" t="s">
        <v>178</v>
      </c>
      <c r="E41" s="26">
        <v>71097</v>
      </c>
      <c r="F41" s="27">
        <v>1349.46</v>
      </c>
      <c r="G41" s="28">
        <v>1.14E-2</v>
      </c>
      <c r="H41" s="29"/>
    </row>
    <row r="42" spans="2:8" ht="15.75" customHeight="1" x14ac:dyDescent="0.25">
      <c r="B42" s="25" t="s">
        <v>560</v>
      </c>
      <c r="C42" s="25" t="s">
        <v>561</v>
      </c>
      <c r="D42" s="25" t="s">
        <v>269</v>
      </c>
      <c r="E42" s="26">
        <v>518284</v>
      </c>
      <c r="F42" s="27">
        <v>1327.9</v>
      </c>
      <c r="G42" s="28">
        <v>1.12E-2</v>
      </c>
      <c r="H42" s="29"/>
    </row>
    <row r="43" spans="2:8" ht="15.75" customHeight="1" x14ac:dyDescent="0.25">
      <c r="B43" s="25" t="s">
        <v>414</v>
      </c>
      <c r="C43" s="25" t="s">
        <v>415</v>
      </c>
      <c r="D43" s="25" t="s">
        <v>169</v>
      </c>
      <c r="E43" s="26">
        <v>842083</v>
      </c>
      <c r="F43" s="27">
        <v>1324.09</v>
      </c>
      <c r="G43" s="28">
        <v>1.12E-2</v>
      </c>
      <c r="H43" s="29"/>
    </row>
    <row r="44" spans="2:8" ht="15.75" customHeight="1" x14ac:dyDescent="0.25">
      <c r="B44" s="25" t="s">
        <v>358</v>
      </c>
      <c r="C44" s="25" t="s">
        <v>359</v>
      </c>
      <c r="D44" s="25" t="s">
        <v>227</v>
      </c>
      <c r="E44" s="26">
        <v>436970</v>
      </c>
      <c r="F44" s="27">
        <v>1313.53</v>
      </c>
      <c r="G44" s="28">
        <v>1.11E-2</v>
      </c>
      <c r="H44" s="29"/>
    </row>
    <row r="45" spans="2:8" ht="15.75" customHeight="1" x14ac:dyDescent="0.25">
      <c r="B45" s="25" t="s">
        <v>699</v>
      </c>
      <c r="C45" s="25" t="s">
        <v>700</v>
      </c>
      <c r="D45" s="25" t="s">
        <v>295</v>
      </c>
      <c r="E45" s="26">
        <v>170272</v>
      </c>
      <c r="F45" s="27">
        <v>1300.45</v>
      </c>
      <c r="G45" s="28">
        <v>1.0999999999999999E-2</v>
      </c>
      <c r="H45" s="29"/>
    </row>
    <row r="46" spans="2:8" ht="15.75" customHeight="1" x14ac:dyDescent="0.25">
      <c r="B46" s="25" t="s">
        <v>147</v>
      </c>
      <c r="C46" s="25" t="s">
        <v>148</v>
      </c>
      <c r="D46" s="25" t="s">
        <v>132</v>
      </c>
      <c r="E46" s="26">
        <v>23409</v>
      </c>
      <c r="F46" s="27">
        <v>1260.5899999999999</v>
      </c>
      <c r="G46" s="28">
        <v>1.06E-2</v>
      </c>
      <c r="H46" s="29"/>
    </row>
    <row r="47" spans="2:8" ht="15.75" customHeight="1" x14ac:dyDescent="0.25">
      <c r="B47" s="25" t="s">
        <v>533</v>
      </c>
      <c r="C47" s="25" t="s">
        <v>534</v>
      </c>
      <c r="D47" s="25" t="s">
        <v>337</v>
      </c>
      <c r="E47" s="26">
        <v>200785</v>
      </c>
      <c r="F47" s="27">
        <v>1254.0999999999999</v>
      </c>
      <c r="G47" s="28">
        <v>1.06E-2</v>
      </c>
      <c r="H47" s="29"/>
    </row>
    <row r="48" spans="2:8" ht="15.75" customHeight="1" x14ac:dyDescent="0.25">
      <c r="B48" s="25" t="s">
        <v>360</v>
      </c>
      <c r="C48" s="25" t="s">
        <v>361</v>
      </c>
      <c r="D48" s="25" t="s">
        <v>362</v>
      </c>
      <c r="E48" s="26">
        <v>175404</v>
      </c>
      <c r="F48" s="27">
        <v>1245.3699999999999</v>
      </c>
      <c r="G48" s="28">
        <v>1.0500000000000001E-2</v>
      </c>
      <c r="H48" s="29"/>
    </row>
    <row r="49" spans="2:8" ht="15.75" customHeight="1" x14ac:dyDescent="0.25">
      <c r="B49" s="25" t="s">
        <v>482</v>
      </c>
      <c r="C49" s="25" t="s">
        <v>483</v>
      </c>
      <c r="D49" s="25" t="s">
        <v>129</v>
      </c>
      <c r="E49" s="26">
        <v>696412</v>
      </c>
      <c r="F49" s="27">
        <v>1234.3900000000001</v>
      </c>
      <c r="G49" s="28">
        <v>1.04E-2</v>
      </c>
      <c r="H49" s="29"/>
    </row>
    <row r="50" spans="2:8" ht="15.75" customHeight="1" x14ac:dyDescent="0.25">
      <c r="B50" s="25" t="s">
        <v>188</v>
      </c>
      <c r="C50" s="25" t="s">
        <v>189</v>
      </c>
      <c r="D50" s="25" t="s">
        <v>129</v>
      </c>
      <c r="E50" s="26">
        <v>97555</v>
      </c>
      <c r="F50" s="27">
        <v>1234.31</v>
      </c>
      <c r="G50" s="28">
        <v>1.04E-2</v>
      </c>
      <c r="H50" s="29"/>
    </row>
    <row r="51" spans="2:8" ht="15.75" customHeight="1" x14ac:dyDescent="0.25">
      <c r="B51" s="25" t="s">
        <v>452</v>
      </c>
      <c r="C51" s="25" t="s">
        <v>453</v>
      </c>
      <c r="D51" s="25" t="s">
        <v>454</v>
      </c>
      <c r="E51" s="26">
        <v>169023</v>
      </c>
      <c r="F51" s="27">
        <v>1222.1199999999999</v>
      </c>
      <c r="G51" s="28">
        <v>1.03E-2</v>
      </c>
      <c r="H51" s="29"/>
    </row>
    <row r="52" spans="2:8" ht="15.75" customHeight="1" x14ac:dyDescent="0.25">
      <c r="B52" s="25" t="s">
        <v>884</v>
      </c>
      <c r="C52" s="25" t="s">
        <v>885</v>
      </c>
      <c r="D52" s="25" t="s">
        <v>194</v>
      </c>
      <c r="E52" s="26">
        <v>135344</v>
      </c>
      <c r="F52" s="27">
        <v>1191.6400000000001</v>
      </c>
      <c r="G52" s="28">
        <v>1.01E-2</v>
      </c>
      <c r="H52" s="29"/>
    </row>
    <row r="53" spans="2:8" ht="15.75" customHeight="1" x14ac:dyDescent="0.25">
      <c r="B53" s="25" t="s">
        <v>585</v>
      </c>
      <c r="C53" s="25" t="s">
        <v>586</v>
      </c>
      <c r="D53" s="25" t="s">
        <v>251</v>
      </c>
      <c r="E53" s="26">
        <v>36036</v>
      </c>
      <c r="F53" s="27">
        <v>1163.5999999999999</v>
      </c>
      <c r="G53" s="28">
        <v>9.7999999999999997E-3</v>
      </c>
      <c r="H53" s="29"/>
    </row>
    <row r="54" spans="2:8" ht="15.75" customHeight="1" x14ac:dyDescent="0.25">
      <c r="B54" s="25" t="s">
        <v>422</v>
      </c>
      <c r="C54" s="25" t="s">
        <v>423</v>
      </c>
      <c r="D54" s="25" t="s">
        <v>178</v>
      </c>
      <c r="E54" s="26">
        <v>325594</v>
      </c>
      <c r="F54" s="27">
        <v>1157.49</v>
      </c>
      <c r="G54" s="28">
        <v>9.7999999999999997E-3</v>
      </c>
      <c r="H54" s="29"/>
    </row>
    <row r="55" spans="2:8" ht="15.75" customHeight="1" x14ac:dyDescent="0.25">
      <c r="B55" s="25" t="s">
        <v>864</v>
      </c>
      <c r="C55" s="25" t="s">
        <v>865</v>
      </c>
      <c r="D55" s="25" t="s">
        <v>241</v>
      </c>
      <c r="E55" s="26">
        <v>183275</v>
      </c>
      <c r="F55" s="27">
        <v>1151.79</v>
      </c>
      <c r="G55" s="28">
        <v>9.7000000000000003E-3</v>
      </c>
      <c r="H55" s="29"/>
    </row>
    <row r="56" spans="2:8" ht="15.75" customHeight="1" x14ac:dyDescent="0.25">
      <c r="B56" s="25" t="s">
        <v>367</v>
      </c>
      <c r="C56" s="25" t="s">
        <v>368</v>
      </c>
      <c r="D56" s="25" t="s">
        <v>169</v>
      </c>
      <c r="E56" s="26">
        <v>39476</v>
      </c>
      <c r="F56" s="27">
        <v>1101.8900000000001</v>
      </c>
      <c r="G56" s="28">
        <v>9.2999999999999992E-3</v>
      </c>
      <c r="H56" s="29"/>
    </row>
    <row r="57" spans="2:8" ht="15.75" customHeight="1" x14ac:dyDescent="0.25">
      <c r="B57" s="25" t="s">
        <v>692</v>
      </c>
      <c r="C57" s="25" t="s">
        <v>693</v>
      </c>
      <c r="D57" s="25" t="s">
        <v>178</v>
      </c>
      <c r="E57" s="26">
        <v>203118</v>
      </c>
      <c r="F57" s="27">
        <v>1098.8699999999999</v>
      </c>
      <c r="G57" s="28">
        <v>9.2999999999999992E-3</v>
      </c>
      <c r="H57" s="29"/>
    </row>
    <row r="58" spans="2:8" ht="15.75" customHeight="1" x14ac:dyDescent="0.25">
      <c r="B58" s="25" t="s">
        <v>444</v>
      </c>
      <c r="C58" s="25" t="s">
        <v>445</v>
      </c>
      <c r="D58" s="25" t="s">
        <v>232</v>
      </c>
      <c r="E58" s="26">
        <v>121393</v>
      </c>
      <c r="F58" s="27">
        <v>1097.45</v>
      </c>
      <c r="G58" s="28">
        <v>9.2999999999999992E-3</v>
      </c>
      <c r="H58" s="29"/>
    </row>
    <row r="59" spans="2:8" ht="15.75" customHeight="1" x14ac:dyDescent="0.25">
      <c r="B59" s="25" t="s">
        <v>529</v>
      </c>
      <c r="C59" s="25" t="s">
        <v>530</v>
      </c>
      <c r="D59" s="25" t="s">
        <v>224</v>
      </c>
      <c r="E59" s="26">
        <v>70096</v>
      </c>
      <c r="F59" s="27">
        <v>1088.8</v>
      </c>
      <c r="G59" s="28">
        <v>9.1999999999999998E-3</v>
      </c>
      <c r="H59" s="29"/>
    </row>
    <row r="60" spans="2:8" ht="15.75" customHeight="1" x14ac:dyDescent="0.25">
      <c r="B60" s="25" t="s">
        <v>882</v>
      </c>
      <c r="C60" s="25" t="s">
        <v>883</v>
      </c>
      <c r="D60" s="25" t="s">
        <v>285</v>
      </c>
      <c r="E60" s="26">
        <v>193353</v>
      </c>
      <c r="F60" s="27">
        <v>1080.17</v>
      </c>
      <c r="G60" s="28">
        <v>9.1000000000000004E-3</v>
      </c>
      <c r="H60" s="29"/>
    </row>
    <row r="61" spans="2:8" ht="15.75" customHeight="1" x14ac:dyDescent="0.25">
      <c r="B61" s="25" t="s">
        <v>480</v>
      </c>
      <c r="C61" s="25" t="s">
        <v>481</v>
      </c>
      <c r="D61" s="25" t="s">
        <v>129</v>
      </c>
      <c r="E61" s="26">
        <v>782184</v>
      </c>
      <c r="F61" s="27">
        <v>1079.4100000000001</v>
      </c>
      <c r="G61" s="28">
        <v>9.1000000000000004E-3</v>
      </c>
      <c r="H61" s="29"/>
    </row>
    <row r="62" spans="2:8" ht="15.75" customHeight="1" x14ac:dyDescent="0.25">
      <c r="B62" s="25" t="s">
        <v>606</v>
      </c>
      <c r="C62" s="25" t="s">
        <v>607</v>
      </c>
      <c r="D62" s="25" t="s">
        <v>295</v>
      </c>
      <c r="E62" s="26">
        <v>28367</v>
      </c>
      <c r="F62" s="27">
        <v>1077.5899999999999</v>
      </c>
      <c r="G62" s="28">
        <v>9.1000000000000004E-3</v>
      </c>
      <c r="H62" s="29"/>
    </row>
    <row r="63" spans="2:8" ht="15.75" customHeight="1" x14ac:dyDescent="0.25">
      <c r="B63" s="25" t="s">
        <v>622</v>
      </c>
      <c r="C63" s="25" t="s">
        <v>623</v>
      </c>
      <c r="D63" s="25" t="s">
        <v>132</v>
      </c>
      <c r="E63" s="26">
        <v>19717</v>
      </c>
      <c r="F63" s="27">
        <v>1076.31</v>
      </c>
      <c r="G63" s="28">
        <v>9.1000000000000004E-3</v>
      </c>
      <c r="H63" s="29"/>
    </row>
    <row r="64" spans="2:8" ht="15.75" customHeight="1" x14ac:dyDescent="0.25">
      <c r="B64" s="25" t="s">
        <v>666</v>
      </c>
      <c r="C64" s="25" t="s">
        <v>667</v>
      </c>
      <c r="D64" s="25" t="s">
        <v>337</v>
      </c>
      <c r="E64" s="26">
        <v>74748</v>
      </c>
      <c r="F64" s="27">
        <v>1055.25</v>
      </c>
      <c r="G64" s="28">
        <v>8.8999999999999999E-3</v>
      </c>
      <c r="H64" s="29"/>
    </row>
    <row r="65" spans="2:16" ht="15.75" customHeight="1" x14ac:dyDescent="0.25">
      <c r="B65" s="25" t="s">
        <v>440</v>
      </c>
      <c r="C65" s="25" t="s">
        <v>441</v>
      </c>
      <c r="D65" s="25" t="s">
        <v>346</v>
      </c>
      <c r="E65" s="26">
        <v>318936</v>
      </c>
      <c r="F65" s="27">
        <v>1031.6600000000001</v>
      </c>
      <c r="G65" s="28">
        <v>8.6999999999999994E-3</v>
      </c>
      <c r="H65" s="29"/>
    </row>
    <row r="66" spans="2:16" ht="15.75" customHeight="1" x14ac:dyDescent="0.25">
      <c r="B66" s="25" t="s">
        <v>751</v>
      </c>
      <c r="C66" s="25" t="s">
        <v>752</v>
      </c>
      <c r="D66" s="25" t="s">
        <v>178</v>
      </c>
      <c r="E66" s="26">
        <v>115244</v>
      </c>
      <c r="F66" s="27">
        <v>997.21</v>
      </c>
      <c r="G66" s="28">
        <v>8.3999999999999995E-3</v>
      </c>
      <c r="H66" s="29"/>
    </row>
    <row r="67" spans="2:16" ht="15.75" customHeight="1" x14ac:dyDescent="0.25">
      <c r="B67" s="25" t="s">
        <v>385</v>
      </c>
      <c r="C67" s="25" t="s">
        <v>386</v>
      </c>
      <c r="D67" s="25" t="s">
        <v>241</v>
      </c>
      <c r="E67" s="26">
        <v>326665</v>
      </c>
      <c r="F67" s="27">
        <v>968.73</v>
      </c>
      <c r="G67" s="28">
        <v>8.2000000000000007E-3</v>
      </c>
      <c r="H67" s="29"/>
    </row>
    <row r="68" spans="2:16" ht="15.75" customHeight="1" x14ac:dyDescent="0.25">
      <c r="B68" s="25" t="s">
        <v>270</v>
      </c>
      <c r="C68" s="25" t="s">
        <v>271</v>
      </c>
      <c r="D68" s="25" t="s">
        <v>194</v>
      </c>
      <c r="E68" s="26">
        <v>28390</v>
      </c>
      <c r="F68" s="27">
        <v>966.45</v>
      </c>
      <c r="G68" s="28">
        <v>8.2000000000000007E-3</v>
      </c>
      <c r="H68" s="29"/>
      <c r="L68" s="3"/>
    </row>
    <row r="69" spans="2:16" ht="15.75" customHeight="1" x14ac:dyDescent="0.25">
      <c r="B69" s="25" t="s">
        <v>210</v>
      </c>
      <c r="C69" s="25" t="s">
        <v>211</v>
      </c>
      <c r="D69" s="25" t="s">
        <v>143</v>
      </c>
      <c r="E69" s="26">
        <v>215041</v>
      </c>
      <c r="F69" s="27">
        <v>913.71</v>
      </c>
      <c r="G69" s="28">
        <v>7.7000000000000002E-3</v>
      </c>
      <c r="H69" s="29"/>
    </row>
    <row r="70" spans="2:16" ht="15.75" customHeight="1" x14ac:dyDescent="0.25">
      <c r="B70" s="25" t="s">
        <v>363</v>
      </c>
      <c r="C70" s="25" t="s">
        <v>364</v>
      </c>
      <c r="D70" s="25" t="s">
        <v>269</v>
      </c>
      <c r="E70" s="26">
        <v>37025</v>
      </c>
      <c r="F70" s="27">
        <v>901.95</v>
      </c>
      <c r="G70" s="28">
        <v>7.6E-3</v>
      </c>
      <c r="H70" s="29"/>
      <c r="L70" s="3"/>
    </row>
    <row r="71" spans="2:16" ht="15.75" customHeight="1" x14ac:dyDescent="0.25">
      <c r="B71" s="25" t="s">
        <v>705</v>
      </c>
      <c r="C71" s="25" t="s">
        <v>706</v>
      </c>
      <c r="D71" s="25" t="s">
        <v>269</v>
      </c>
      <c r="E71" s="26">
        <v>24985</v>
      </c>
      <c r="F71" s="27">
        <v>893.03</v>
      </c>
      <c r="G71" s="28">
        <v>7.4999999999999997E-3</v>
      </c>
      <c r="H71" s="29"/>
      <c r="L71" s="3"/>
    </row>
    <row r="72" spans="2:16" ht="15.75" customHeight="1" x14ac:dyDescent="0.25">
      <c r="B72" s="25" t="s">
        <v>564</v>
      </c>
      <c r="C72" s="25" t="s">
        <v>565</v>
      </c>
      <c r="D72" s="25" t="s">
        <v>566</v>
      </c>
      <c r="E72" s="26">
        <v>150122</v>
      </c>
      <c r="F72" s="27">
        <v>887.3</v>
      </c>
      <c r="G72" s="28">
        <v>7.4999999999999997E-3</v>
      </c>
      <c r="H72" s="29"/>
      <c r="L72" s="3"/>
    </row>
    <row r="73" spans="2:16" ht="15.75" customHeight="1" x14ac:dyDescent="0.25">
      <c r="B73" s="25" t="s">
        <v>379</v>
      </c>
      <c r="C73" s="25" t="s">
        <v>380</v>
      </c>
      <c r="D73" s="25" t="s">
        <v>129</v>
      </c>
      <c r="E73" s="26">
        <v>723141</v>
      </c>
      <c r="F73" s="27">
        <v>871.46</v>
      </c>
      <c r="G73" s="28">
        <v>7.4000000000000003E-3</v>
      </c>
      <c r="H73" s="29"/>
      <c r="L73" s="3"/>
    </row>
    <row r="74" spans="2:16" ht="15.75" customHeight="1" x14ac:dyDescent="0.25">
      <c r="B74" s="25" t="s">
        <v>723</v>
      </c>
      <c r="C74" s="25" t="s">
        <v>724</v>
      </c>
      <c r="D74" s="25" t="s">
        <v>194</v>
      </c>
      <c r="E74" s="26">
        <v>100001</v>
      </c>
      <c r="F74" s="27">
        <v>841.11</v>
      </c>
      <c r="G74" s="28">
        <v>7.1000000000000004E-3</v>
      </c>
      <c r="H74" s="29"/>
      <c r="L74" s="3"/>
    </row>
    <row r="75" spans="2:16" ht="15.75" customHeight="1" x14ac:dyDescent="0.25">
      <c r="B75" s="25" t="s">
        <v>349</v>
      </c>
      <c r="C75" s="25" t="s">
        <v>350</v>
      </c>
      <c r="D75" s="25" t="s">
        <v>351</v>
      </c>
      <c r="E75" s="26">
        <v>312500</v>
      </c>
      <c r="F75" s="27">
        <v>837.5</v>
      </c>
      <c r="G75" s="28">
        <v>7.1000000000000004E-3</v>
      </c>
      <c r="H75" s="29"/>
      <c r="L75" s="5"/>
      <c r="M75" s="5"/>
      <c r="N75" s="6"/>
      <c r="O75" s="6"/>
      <c r="P75" s="5"/>
    </row>
    <row r="76" spans="2:16" ht="15.75" customHeight="1" x14ac:dyDescent="0.25">
      <c r="B76" s="25" t="s">
        <v>610</v>
      </c>
      <c r="C76" s="25" t="s">
        <v>611</v>
      </c>
      <c r="D76" s="25" t="s">
        <v>187</v>
      </c>
      <c r="E76" s="26">
        <v>20113</v>
      </c>
      <c r="F76" s="27">
        <v>833.99</v>
      </c>
      <c r="G76" s="28">
        <v>7.0000000000000001E-3</v>
      </c>
      <c r="H76" s="29"/>
    </row>
    <row r="77" spans="2:16" ht="15.75" customHeight="1" x14ac:dyDescent="0.25">
      <c r="B77" s="25" t="s">
        <v>446</v>
      </c>
      <c r="C77" s="25" t="s">
        <v>447</v>
      </c>
      <c r="D77" s="25" t="s">
        <v>254</v>
      </c>
      <c r="E77" s="26">
        <v>157755</v>
      </c>
      <c r="F77" s="27">
        <v>813.23</v>
      </c>
      <c r="G77" s="28">
        <v>6.8999999999999999E-3</v>
      </c>
      <c r="H77" s="29"/>
    </row>
    <row r="78" spans="2:16" ht="15.75" customHeight="1" x14ac:dyDescent="0.25">
      <c r="B78" s="25" t="s">
        <v>628</v>
      </c>
      <c r="C78" s="25" t="s">
        <v>629</v>
      </c>
      <c r="D78" s="25" t="s">
        <v>601</v>
      </c>
      <c r="E78" s="26">
        <v>134328</v>
      </c>
      <c r="F78" s="27">
        <v>788.37</v>
      </c>
      <c r="G78" s="28">
        <v>6.7000000000000002E-3</v>
      </c>
      <c r="H78" s="29"/>
      <c r="L78" s="7"/>
      <c r="M78" s="7"/>
      <c r="N78" s="7"/>
      <c r="O78" s="7"/>
      <c r="P78" s="7"/>
    </row>
    <row r="79" spans="2:16" ht="15.75" customHeight="1" x14ac:dyDescent="0.25">
      <c r="B79" s="25" t="s">
        <v>624</v>
      </c>
      <c r="C79" s="25" t="s">
        <v>625</v>
      </c>
      <c r="D79" s="25" t="s">
        <v>337</v>
      </c>
      <c r="E79" s="26">
        <v>52437</v>
      </c>
      <c r="F79" s="27">
        <v>730.58</v>
      </c>
      <c r="G79" s="28">
        <v>6.1999999999999998E-3</v>
      </c>
      <c r="H79" s="29"/>
      <c r="L79" s="7"/>
      <c r="M79" s="7"/>
      <c r="N79" s="7"/>
      <c r="O79" s="7"/>
      <c r="P79" s="7"/>
    </row>
    <row r="80" spans="2:16" ht="15.75" customHeight="1" x14ac:dyDescent="0.25">
      <c r="B80" s="25" t="s">
        <v>521</v>
      </c>
      <c r="C80" s="25" t="s">
        <v>522</v>
      </c>
      <c r="D80" s="25" t="s">
        <v>194</v>
      </c>
      <c r="E80" s="26">
        <v>151550</v>
      </c>
      <c r="F80" s="27">
        <v>670</v>
      </c>
      <c r="G80" s="28">
        <v>5.7000000000000002E-3</v>
      </c>
      <c r="H80" s="29"/>
      <c r="L80" s="7"/>
      <c r="M80" s="7"/>
      <c r="N80" s="7"/>
      <c r="O80" s="7"/>
      <c r="P80" s="7"/>
    </row>
    <row r="81" spans="2:16" ht="15.75" customHeight="1" x14ac:dyDescent="0.25">
      <c r="B81" s="25" t="s">
        <v>515</v>
      </c>
      <c r="C81" s="25" t="s">
        <v>516</v>
      </c>
      <c r="D81" s="25" t="s">
        <v>140</v>
      </c>
      <c r="E81" s="26">
        <v>117139</v>
      </c>
      <c r="F81" s="27">
        <v>653.16999999999996</v>
      </c>
      <c r="G81" s="28">
        <v>5.4999999999999997E-3</v>
      </c>
      <c r="H81" s="29"/>
      <c r="L81" s="7"/>
      <c r="M81" s="7"/>
      <c r="N81" s="7"/>
      <c r="O81" s="7"/>
      <c r="P81" s="7"/>
    </row>
    <row r="82" spans="2:16" ht="15.75" customHeight="1" x14ac:dyDescent="0.25">
      <c r="B82" s="25" t="s">
        <v>729</v>
      </c>
      <c r="C82" s="25" t="s">
        <v>730</v>
      </c>
      <c r="D82" s="25" t="s">
        <v>251</v>
      </c>
      <c r="E82" s="26">
        <v>90082</v>
      </c>
      <c r="F82" s="27">
        <v>598.64</v>
      </c>
      <c r="G82" s="28">
        <v>5.0000000000000001E-3</v>
      </c>
      <c r="H82" s="29"/>
      <c r="L82" s="7"/>
      <c r="M82" s="7"/>
      <c r="N82" s="7"/>
      <c r="O82" s="7"/>
      <c r="P82" s="7"/>
    </row>
    <row r="83" spans="2:16" ht="15.75" customHeight="1" x14ac:dyDescent="0.25">
      <c r="B83" s="25" t="s">
        <v>886</v>
      </c>
      <c r="C83" s="25" t="s">
        <v>887</v>
      </c>
      <c r="D83" s="25" t="s">
        <v>254</v>
      </c>
      <c r="E83" s="26">
        <v>48599</v>
      </c>
      <c r="F83" s="27">
        <v>511.09</v>
      </c>
      <c r="G83" s="28">
        <v>4.3E-3</v>
      </c>
      <c r="H83" s="29"/>
      <c r="L83" s="7"/>
      <c r="M83" s="7"/>
      <c r="N83" s="7"/>
      <c r="O83" s="7"/>
      <c r="P83" s="7"/>
    </row>
    <row r="84" spans="2:16" ht="15.75" customHeight="1" x14ac:dyDescent="0.25">
      <c r="B84" s="25" t="s">
        <v>616</v>
      </c>
      <c r="C84" s="25" t="s">
        <v>617</v>
      </c>
      <c r="D84" s="25" t="s">
        <v>194</v>
      </c>
      <c r="E84" s="26">
        <v>37389</v>
      </c>
      <c r="F84" s="27">
        <v>459.32</v>
      </c>
      <c r="G84" s="28">
        <v>3.8999999999999998E-3</v>
      </c>
      <c r="H84" s="29"/>
      <c r="L84" s="7"/>
      <c r="M84" s="7"/>
      <c r="N84" s="7"/>
      <c r="O84" s="7"/>
      <c r="P84" s="7"/>
    </row>
    <row r="85" spans="2:16" ht="15.75" customHeight="1" x14ac:dyDescent="0.25">
      <c r="B85" s="25" t="s">
        <v>636</v>
      </c>
      <c r="C85" s="25" t="s">
        <v>637</v>
      </c>
      <c r="D85" s="25" t="s">
        <v>219</v>
      </c>
      <c r="E85" s="26">
        <v>12692</v>
      </c>
      <c r="F85" s="27">
        <v>224.11</v>
      </c>
      <c r="G85" s="28">
        <v>1.9E-3</v>
      </c>
      <c r="H85" s="29"/>
    </row>
    <row r="86" spans="2:16" ht="15.75" customHeight="1" x14ac:dyDescent="0.25">
      <c r="B86" s="24" t="s">
        <v>102</v>
      </c>
      <c r="C86" s="24"/>
      <c r="D86" s="24"/>
      <c r="E86" s="30"/>
      <c r="F86" s="31">
        <v>114592.26</v>
      </c>
      <c r="G86" s="32">
        <v>0.96660000000000001</v>
      </c>
      <c r="H86" s="33"/>
      <c r="L86" s="3"/>
    </row>
    <row r="87" spans="2:16" ht="15.75" customHeight="1" x14ac:dyDescent="0.25">
      <c r="B87" s="24" t="s">
        <v>149</v>
      </c>
      <c r="C87" s="25"/>
      <c r="D87" s="25"/>
      <c r="E87" s="26"/>
      <c r="F87" s="27"/>
      <c r="G87" s="28"/>
      <c r="H87" s="29"/>
    </row>
    <row r="88" spans="2:16" ht="15.75" customHeight="1" x14ac:dyDescent="0.25">
      <c r="B88" s="24" t="s">
        <v>102</v>
      </c>
      <c r="C88" s="25"/>
      <c r="D88" s="25"/>
      <c r="E88" s="26"/>
      <c r="F88" s="34" t="s">
        <v>104</v>
      </c>
      <c r="G88" s="35" t="s">
        <v>104</v>
      </c>
      <c r="H88" s="29"/>
    </row>
    <row r="89" spans="2:16" ht="15.75" customHeight="1" x14ac:dyDescent="0.25">
      <c r="B89" s="25"/>
      <c r="C89" s="25"/>
      <c r="D89" s="25"/>
      <c r="E89" s="26"/>
      <c r="F89" s="27"/>
      <c r="G89" s="28"/>
      <c r="H89" s="29"/>
    </row>
    <row r="90" spans="2:16" ht="15.75" customHeight="1" x14ac:dyDescent="0.25">
      <c r="B90" s="36" t="s">
        <v>106</v>
      </c>
      <c r="C90" s="36"/>
      <c r="D90" s="36"/>
      <c r="E90" s="37"/>
      <c r="F90" s="31">
        <v>114592.26</v>
      </c>
      <c r="G90" s="32">
        <v>0.96660000000000001</v>
      </c>
      <c r="H90" s="33"/>
    </row>
    <row r="91" spans="2:16" ht="15.75" customHeight="1" x14ac:dyDescent="0.25">
      <c r="B91" s="25"/>
      <c r="C91" s="25"/>
      <c r="D91" s="25"/>
      <c r="E91" s="26"/>
      <c r="F91" s="27"/>
      <c r="G91" s="28"/>
      <c r="H91" s="29"/>
    </row>
    <row r="92" spans="2:16" ht="15.75" customHeight="1" x14ac:dyDescent="0.25">
      <c r="B92" s="25"/>
      <c r="C92" s="25"/>
      <c r="D92" s="25"/>
      <c r="E92" s="26"/>
      <c r="F92" s="27"/>
      <c r="G92" s="28"/>
      <c r="H92" s="29"/>
    </row>
    <row r="93" spans="2:16" ht="15.75" customHeight="1" x14ac:dyDescent="0.25">
      <c r="B93" s="24" t="s">
        <v>109</v>
      </c>
      <c r="C93" s="25"/>
      <c r="D93" s="25"/>
      <c r="E93" s="26"/>
      <c r="F93" s="27"/>
      <c r="G93" s="28"/>
      <c r="H93" s="29"/>
    </row>
    <row r="94" spans="2:16" ht="15.75" customHeight="1" x14ac:dyDescent="0.25">
      <c r="B94" s="25" t="s">
        <v>110</v>
      </c>
      <c r="C94" s="25"/>
      <c r="D94" s="25"/>
      <c r="E94" s="26"/>
      <c r="F94" s="27">
        <v>4124.49</v>
      </c>
      <c r="G94" s="28">
        <v>3.4799999999999998E-2</v>
      </c>
      <c r="H94" s="29"/>
    </row>
    <row r="95" spans="2:16" ht="15.75" customHeight="1" x14ac:dyDescent="0.25">
      <c r="B95" s="24" t="s">
        <v>102</v>
      </c>
      <c r="C95" s="24"/>
      <c r="D95" s="24"/>
      <c r="E95" s="30"/>
      <c r="F95" s="31">
        <v>4124.49</v>
      </c>
      <c r="G95" s="32">
        <v>3.4799999999999998E-2</v>
      </c>
      <c r="H95" s="33"/>
    </row>
    <row r="96" spans="2:16" ht="15.75" customHeight="1" x14ac:dyDescent="0.25">
      <c r="B96" s="25"/>
      <c r="C96" s="25"/>
      <c r="D96" s="25"/>
      <c r="E96" s="26"/>
      <c r="F96" s="27"/>
      <c r="G96" s="28"/>
      <c r="H96" s="29"/>
    </row>
    <row r="97" spans="2:8" ht="15.75" customHeight="1" x14ac:dyDescent="0.25">
      <c r="B97" s="36" t="s">
        <v>106</v>
      </c>
      <c r="C97" s="36"/>
      <c r="D97" s="36"/>
      <c r="E97" s="37"/>
      <c r="F97" s="31">
        <v>4124.49</v>
      </c>
      <c r="G97" s="32">
        <v>3.4799999999999998E-2</v>
      </c>
      <c r="H97" s="33"/>
    </row>
    <row r="98" spans="2:8" ht="15.75" customHeight="1" x14ac:dyDescent="0.25">
      <c r="B98" s="25" t="s">
        <v>111</v>
      </c>
      <c r="C98" s="25"/>
      <c r="D98" s="25"/>
      <c r="E98" s="26"/>
      <c r="F98" s="38">
        <v>-167.62</v>
      </c>
      <c r="G98" s="39">
        <v>-1.4000000000000679E-3</v>
      </c>
      <c r="H98" s="29"/>
    </row>
    <row r="99" spans="2:8" ht="15.75" customHeight="1" x14ac:dyDescent="0.25">
      <c r="B99" s="40" t="s">
        <v>112</v>
      </c>
      <c r="C99" s="40"/>
      <c r="D99" s="40"/>
      <c r="E99" s="41"/>
      <c r="F99" s="42">
        <v>118549.13</v>
      </c>
      <c r="G99" s="43">
        <v>1</v>
      </c>
      <c r="H99" s="44"/>
    </row>
    <row r="100" spans="2:8" ht="15.75" customHeight="1" thickBot="1" x14ac:dyDescent="0.3">
      <c r="B100" s="2"/>
    </row>
    <row r="101" spans="2:8" ht="27" customHeight="1" thickBot="1" x14ac:dyDescent="0.3">
      <c r="B101" s="56" t="s">
        <v>964</v>
      </c>
      <c r="C101" s="57" t="s">
        <v>965</v>
      </c>
      <c r="D101" s="57" t="s">
        <v>966</v>
      </c>
      <c r="E101" s="62" t="s">
        <v>967</v>
      </c>
      <c r="G101" s="2"/>
      <c r="H101" s="2"/>
    </row>
    <row r="102" spans="2:8" ht="27.75" customHeight="1" x14ac:dyDescent="0.25">
      <c r="B102" s="69" t="s">
        <v>25</v>
      </c>
      <c r="C102" s="81"/>
      <c r="D102" s="84" t="s">
        <v>1034</v>
      </c>
      <c r="E102" s="86"/>
      <c r="G102" s="2"/>
      <c r="H102" s="2"/>
    </row>
    <row r="103" spans="2:8" ht="31.5" customHeight="1" x14ac:dyDescent="0.25">
      <c r="B103" s="65" t="s">
        <v>1032</v>
      </c>
      <c r="C103" s="82"/>
      <c r="D103" s="85"/>
      <c r="E103" s="82"/>
      <c r="G103" s="2"/>
      <c r="H103" s="2"/>
    </row>
    <row r="104" spans="2:8" ht="40" customHeight="1" x14ac:dyDescent="0.25">
      <c r="B104" s="65" t="s">
        <v>1035</v>
      </c>
      <c r="C104" s="82"/>
      <c r="D104" s="85"/>
      <c r="E104" s="82"/>
      <c r="G104" s="2"/>
      <c r="H104" s="2"/>
    </row>
    <row r="105" spans="2:8" ht="21.75" customHeight="1" thickBot="1" x14ac:dyDescent="0.3">
      <c r="B105" s="67" t="s">
        <v>991</v>
      </c>
      <c r="C105" s="83"/>
      <c r="D105" s="70" t="s">
        <v>991</v>
      </c>
      <c r="E105" s="87"/>
      <c r="G105" s="2"/>
      <c r="H105" s="2"/>
    </row>
    <row r="106" spans="2:8" ht="25" customHeight="1" x14ac:dyDescent="0.25">
      <c r="B106" s="58" t="s">
        <v>969</v>
      </c>
      <c r="C106" s="59"/>
      <c r="D106" s="60"/>
      <c r="E106" s="61"/>
      <c r="G106" s="2"/>
      <c r="H106" s="2"/>
    </row>
    <row r="108" spans="2:8" ht="11.5" x14ac:dyDescent="0.25">
      <c r="B108" s="2" t="s">
        <v>970</v>
      </c>
      <c r="C108" s="2"/>
      <c r="D108" s="2"/>
      <c r="G108" s="2"/>
      <c r="H108" s="2"/>
    </row>
    <row r="109" spans="2:8" ht="11.5" x14ac:dyDescent="0.25">
      <c r="B109" s="3" t="s">
        <v>971</v>
      </c>
      <c r="C109" s="2"/>
      <c r="D109" s="2"/>
      <c r="G109" s="2"/>
      <c r="H109" s="2"/>
    </row>
  </sheetData>
  <mergeCells count="3">
    <mergeCell ref="C102:C105"/>
    <mergeCell ref="D102:D104"/>
    <mergeCell ref="E102:E105"/>
  </mergeCells>
  <hyperlinks>
    <hyperlink ref="I1" location="'Sheet1'!A1" display="Index" xr:uid="{06C768F0-4A56-47FD-86FF-A48641216F75}"/>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D77BF-F893-4E88-98F2-297EDBD2F9C9}">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26953125" style="9" customWidth="1"/>
    <col min="4" max="4" width="26.6328125" style="9" customWidth="1"/>
    <col min="5" max="5" width="28.26953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26</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404</v>
      </c>
      <c r="C7" s="25" t="s">
        <v>405</v>
      </c>
      <c r="D7" s="25" t="s">
        <v>254</v>
      </c>
      <c r="E7" s="26">
        <v>8861</v>
      </c>
      <c r="F7" s="27">
        <v>485.57</v>
      </c>
      <c r="G7" s="28">
        <v>5.3800000000000001E-2</v>
      </c>
      <c r="H7" s="29"/>
    </row>
    <row r="8" spans="2:9" ht="15.75" customHeight="1" x14ac:dyDescent="0.25">
      <c r="B8" s="25" t="s">
        <v>164</v>
      </c>
      <c r="C8" s="25" t="s">
        <v>165</v>
      </c>
      <c r="D8" s="25" t="s">
        <v>166</v>
      </c>
      <c r="E8" s="26">
        <v>148660</v>
      </c>
      <c r="F8" s="27">
        <v>454.75</v>
      </c>
      <c r="G8" s="28">
        <v>5.04E-2</v>
      </c>
      <c r="H8" s="29"/>
    </row>
    <row r="9" spans="2:9" ht="15.75" customHeight="1" x14ac:dyDescent="0.25">
      <c r="B9" s="25" t="s">
        <v>317</v>
      </c>
      <c r="C9" s="25" t="s">
        <v>318</v>
      </c>
      <c r="D9" s="25" t="s">
        <v>166</v>
      </c>
      <c r="E9" s="26">
        <v>7757</v>
      </c>
      <c r="F9" s="27">
        <v>408.35</v>
      </c>
      <c r="G9" s="28">
        <v>4.5199999999999997E-2</v>
      </c>
      <c r="H9" s="29"/>
    </row>
    <row r="10" spans="2:9" ht="15.75" customHeight="1" x14ac:dyDescent="0.25">
      <c r="B10" s="25" t="s">
        <v>200</v>
      </c>
      <c r="C10" s="25" t="s">
        <v>201</v>
      </c>
      <c r="D10" s="25" t="s">
        <v>202</v>
      </c>
      <c r="E10" s="26">
        <v>70133</v>
      </c>
      <c r="F10" s="27">
        <v>309.01</v>
      </c>
      <c r="G10" s="28">
        <v>3.4200000000000001E-2</v>
      </c>
      <c r="H10" s="29"/>
    </row>
    <row r="11" spans="2:9" ht="15.75" customHeight="1" x14ac:dyDescent="0.25">
      <c r="B11" s="25" t="s">
        <v>365</v>
      </c>
      <c r="C11" s="25" t="s">
        <v>366</v>
      </c>
      <c r="D11" s="25" t="s">
        <v>227</v>
      </c>
      <c r="E11" s="26">
        <v>59888</v>
      </c>
      <c r="F11" s="27">
        <v>290.52</v>
      </c>
      <c r="G11" s="28">
        <v>3.2199999999999999E-2</v>
      </c>
      <c r="H11" s="29"/>
    </row>
    <row r="12" spans="2:9" ht="15.75" customHeight="1" x14ac:dyDescent="0.25">
      <c r="B12" s="25" t="s">
        <v>230</v>
      </c>
      <c r="C12" s="25" t="s">
        <v>231</v>
      </c>
      <c r="D12" s="25" t="s">
        <v>232</v>
      </c>
      <c r="E12" s="26">
        <v>6840</v>
      </c>
      <c r="F12" s="27">
        <v>289.20999999999998</v>
      </c>
      <c r="G12" s="28">
        <v>3.2000000000000001E-2</v>
      </c>
      <c r="H12" s="29"/>
    </row>
    <row r="13" spans="2:9" ht="15.75" customHeight="1" x14ac:dyDescent="0.25">
      <c r="B13" s="25" t="s">
        <v>412</v>
      </c>
      <c r="C13" s="25" t="s">
        <v>413</v>
      </c>
      <c r="D13" s="25" t="s">
        <v>178</v>
      </c>
      <c r="E13" s="26">
        <v>3744</v>
      </c>
      <c r="F13" s="27">
        <v>288.45999999999998</v>
      </c>
      <c r="G13" s="28">
        <v>3.2000000000000001E-2</v>
      </c>
      <c r="H13" s="29"/>
    </row>
    <row r="14" spans="2:9" ht="15.75" customHeight="1" x14ac:dyDescent="0.25">
      <c r="B14" s="25" t="s">
        <v>383</v>
      </c>
      <c r="C14" s="25" t="s">
        <v>384</v>
      </c>
      <c r="D14" s="25" t="s">
        <v>227</v>
      </c>
      <c r="E14" s="26">
        <v>51037</v>
      </c>
      <c r="F14" s="27">
        <v>268.14999999999998</v>
      </c>
      <c r="G14" s="28">
        <v>2.9700000000000001E-2</v>
      </c>
      <c r="H14" s="29"/>
    </row>
    <row r="15" spans="2:9" ht="15.75" customHeight="1" x14ac:dyDescent="0.25">
      <c r="B15" s="25" t="s">
        <v>197</v>
      </c>
      <c r="C15" s="25" t="s">
        <v>198</v>
      </c>
      <c r="D15" s="25" t="s">
        <v>199</v>
      </c>
      <c r="E15" s="26">
        <v>56843</v>
      </c>
      <c r="F15" s="27">
        <v>258.07</v>
      </c>
      <c r="G15" s="28">
        <v>2.86E-2</v>
      </c>
      <c r="H15" s="29"/>
    </row>
    <row r="16" spans="2:9" ht="15.75" customHeight="1" x14ac:dyDescent="0.25">
      <c r="B16" s="25" t="s">
        <v>608</v>
      </c>
      <c r="C16" s="25" t="s">
        <v>609</v>
      </c>
      <c r="D16" s="25" t="s">
        <v>227</v>
      </c>
      <c r="E16" s="26">
        <v>17615</v>
      </c>
      <c r="F16" s="27">
        <v>250.75</v>
      </c>
      <c r="G16" s="28">
        <v>2.7799999999999998E-2</v>
      </c>
      <c r="H16" s="29"/>
    </row>
    <row r="17" spans="2:8" ht="15.75" customHeight="1" x14ac:dyDescent="0.25">
      <c r="B17" s="25" t="s">
        <v>235</v>
      </c>
      <c r="C17" s="25" t="s">
        <v>236</v>
      </c>
      <c r="D17" s="25" t="s">
        <v>140</v>
      </c>
      <c r="E17" s="26">
        <v>150101</v>
      </c>
      <c r="F17" s="27">
        <v>248.61</v>
      </c>
      <c r="G17" s="28">
        <v>2.75E-2</v>
      </c>
      <c r="H17" s="29"/>
    </row>
    <row r="18" spans="2:8" ht="15.75" customHeight="1" x14ac:dyDescent="0.25">
      <c r="B18" s="25" t="s">
        <v>239</v>
      </c>
      <c r="C18" s="25" t="s">
        <v>240</v>
      </c>
      <c r="D18" s="25" t="s">
        <v>241</v>
      </c>
      <c r="E18" s="26">
        <v>109702</v>
      </c>
      <c r="F18" s="27">
        <v>240.85</v>
      </c>
      <c r="G18" s="28">
        <v>2.6700000000000002E-2</v>
      </c>
      <c r="H18" s="29"/>
    </row>
    <row r="19" spans="2:8" ht="15.75" customHeight="1" x14ac:dyDescent="0.25">
      <c r="B19" s="25" t="s">
        <v>371</v>
      </c>
      <c r="C19" s="25" t="s">
        <v>372</v>
      </c>
      <c r="D19" s="25" t="s">
        <v>135</v>
      </c>
      <c r="E19" s="26">
        <v>9657</v>
      </c>
      <c r="F19" s="27">
        <v>228.37</v>
      </c>
      <c r="G19" s="28">
        <v>2.53E-2</v>
      </c>
      <c r="H19" s="29"/>
    </row>
    <row r="20" spans="2:8" ht="15.75" customHeight="1" x14ac:dyDescent="0.25">
      <c r="B20" s="25" t="s">
        <v>416</v>
      </c>
      <c r="C20" s="25" t="s">
        <v>417</v>
      </c>
      <c r="D20" s="25" t="s">
        <v>251</v>
      </c>
      <c r="E20" s="26">
        <v>115445</v>
      </c>
      <c r="F20" s="27">
        <v>219.7</v>
      </c>
      <c r="G20" s="28">
        <v>2.4299999999999999E-2</v>
      </c>
      <c r="H20" s="29"/>
    </row>
    <row r="21" spans="2:8" ht="15.75" customHeight="1" x14ac:dyDescent="0.25">
      <c r="B21" s="25" t="s">
        <v>217</v>
      </c>
      <c r="C21" s="25" t="s">
        <v>218</v>
      </c>
      <c r="D21" s="25" t="s">
        <v>219</v>
      </c>
      <c r="E21" s="26">
        <v>26421</v>
      </c>
      <c r="F21" s="27">
        <v>217.91</v>
      </c>
      <c r="G21" s="28">
        <v>2.41E-2</v>
      </c>
      <c r="H21" s="29"/>
    </row>
    <row r="22" spans="2:8" ht="15.75" customHeight="1" x14ac:dyDescent="0.25">
      <c r="B22" s="25" t="s">
        <v>252</v>
      </c>
      <c r="C22" s="25" t="s">
        <v>253</v>
      </c>
      <c r="D22" s="25" t="s">
        <v>254</v>
      </c>
      <c r="E22" s="26">
        <v>3195</v>
      </c>
      <c r="F22" s="27">
        <v>216.81</v>
      </c>
      <c r="G22" s="28">
        <v>2.4E-2</v>
      </c>
      <c r="H22" s="29"/>
    </row>
    <row r="23" spans="2:8" ht="15.75" customHeight="1" x14ac:dyDescent="0.25">
      <c r="B23" s="25" t="s">
        <v>195</v>
      </c>
      <c r="C23" s="25" t="s">
        <v>196</v>
      </c>
      <c r="D23" s="25" t="s">
        <v>129</v>
      </c>
      <c r="E23" s="26">
        <v>78060</v>
      </c>
      <c r="F23" s="27">
        <v>214.98</v>
      </c>
      <c r="G23" s="28">
        <v>2.3800000000000002E-2</v>
      </c>
      <c r="H23" s="29"/>
    </row>
    <row r="24" spans="2:8" ht="15.75" customHeight="1" x14ac:dyDescent="0.25">
      <c r="B24" s="25" t="s">
        <v>244</v>
      </c>
      <c r="C24" s="25" t="s">
        <v>245</v>
      </c>
      <c r="D24" s="25" t="s">
        <v>246</v>
      </c>
      <c r="E24" s="26">
        <v>15514</v>
      </c>
      <c r="F24" s="27">
        <v>213.45</v>
      </c>
      <c r="G24" s="28">
        <v>2.3599999999999999E-2</v>
      </c>
      <c r="H24" s="29"/>
    </row>
    <row r="25" spans="2:8" ht="15.75" customHeight="1" x14ac:dyDescent="0.25">
      <c r="B25" s="25" t="s">
        <v>745</v>
      </c>
      <c r="C25" s="25" t="s">
        <v>746</v>
      </c>
      <c r="D25" s="25" t="s">
        <v>269</v>
      </c>
      <c r="E25" s="26">
        <v>6282</v>
      </c>
      <c r="F25" s="27">
        <v>198.45</v>
      </c>
      <c r="G25" s="28">
        <v>2.1999999999999999E-2</v>
      </c>
      <c r="H25" s="29"/>
    </row>
    <row r="26" spans="2:8" ht="15.75" customHeight="1" x14ac:dyDescent="0.25">
      <c r="B26" s="25" t="s">
        <v>192</v>
      </c>
      <c r="C26" s="25" t="s">
        <v>193</v>
      </c>
      <c r="D26" s="25" t="s">
        <v>194</v>
      </c>
      <c r="E26" s="26">
        <v>10356</v>
      </c>
      <c r="F26" s="27">
        <v>188.73</v>
      </c>
      <c r="G26" s="28">
        <v>2.0899999999999998E-2</v>
      </c>
      <c r="H26" s="29"/>
    </row>
    <row r="27" spans="2:8" ht="15.75" customHeight="1" x14ac:dyDescent="0.25">
      <c r="B27" s="25" t="s">
        <v>888</v>
      </c>
      <c r="C27" s="25" t="s">
        <v>889</v>
      </c>
      <c r="D27" s="25" t="s">
        <v>178</v>
      </c>
      <c r="E27" s="26">
        <v>2221</v>
      </c>
      <c r="F27" s="27">
        <v>188.58</v>
      </c>
      <c r="G27" s="28">
        <v>2.0899999999999998E-2</v>
      </c>
      <c r="H27" s="29"/>
    </row>
    <row r="28" spans="2:8" ht="15.75" customHeight="1" x14ac:dyDescent="0.25">
      <c r="B28" s="25" t="s">
        <v>747</v>
      </c>
      <c r="C28" s="25" t="s">
        <v>748</v>
      </c>
      <c r="D28" s="25" t="s">
        <v>285</v>
      </c>
      <c r="E28" s="26">
        <v>10007</v>
      </c>
      <c r="F28" s="27">
        <v>179.08</v>
      </c>
      <c r="G28" s="28">
        <v>1.9800000000000002E-2</v>
      </c>
      <c r="H28" s="29"/>
    </row>
    <row r="29" spans="2:8" ht="15.75" customHeight="1" x14ac:dyDescent="0.25">
      <c r="B29" s="25" t="s">
        <v>410</v>
      </c>
      <c r="C29" s="25" t="s">
        <v>411</v>
      </c>
      <c r="D29" s="25" t="s">
        <v>254</v>
      </c>
      <c r="E29" s="26">
        <v>82306</v>
      </c>
      <c r="F29" s="27">
        <v>165.07</v>
      </c>
      <c r="G29" s="28">
        <v>1.83E-2</v>
      </c>
      <c r="H29" s="29"/>
    </row>
    <row r="30" spans="2:8" ht="15.75" customHeight="1" x14ac:dyDescent="0.25">
      <c r="B30" s="25" t="s">
        <v>890</v>
      </c>
      <c r="C30" s="25" t="s">
        <v>891</v>
      </c>
      <c r="D30" s="25" t="s">
        <v>276</v>
      </c>
      <c r="E30" s="26">
        <v>24332</v>
      </c>
      <c r="F30" s="27">
        <v>163.09</v>
      </c>
      <c r="G30" s="28">
        <v>1.8100000000000002E-2</v>
      </c>
      <c r="H30" s="29"/>
    </row>
    <row r="31" spans="2:8" ht="15.75" customHeight="1" x14ac:dyDescent="0.25">
      <c r="B31" s="25" t="s">
        <v>228</v>
      </c>
      <c r="C31" s="25" t="s">
        <v>229</v>
      </c>
      <c r="D31" s="25" t="s">
        <v>129</v>
      </c>
      <c r="E31" s="26">
        <v>136070</v>
      </c>
      <c r="F31" s="27">
        <v>162.56</v>
      </c>
      <c r="G31" s="28">
        <v>1.7999999999999999E-2</v>
      </c>
      <c r="H31" s="29"/>
    </row>
    <row r="32" spans="2:8" ht="15.75" customHeight="1" x14ac:dyDescent="0.25">
      <c r="B32" s="25" t="s">
        <v>892</v>
      </c>
      <c r="C32" s="25" t="s">
        <v>893</v>
      </c>
      <c r="D32" s="25" t="s">
        <v>181</v>
      </c>
      <c r="E32" s="26">
        <v>15184</v>
      </c>
      <c r="F32" s="27">
        <v>158.58000000000001</v>
      </c>
      <c r="G32" s="28">
        <v>1.7600000000000001E-2</v>
      </c>
      <c r="H32" s="29"/>
    </row>
    <row r="33" spans="2:8" ht="15.75" customHeight="1" x14ac:dyDescent="0.25">
      <c r="B33" s="25" t="s">
        <v>894</v>
      </c>
      <c r="C33" s="25" t="s">
        <v>895</v>
      </c>
      <c r="D33" s="25" t="s">
        <v>227</v>
      </c>
      <c r="E33" s="26">
        <v>43971</v>
      </c>
      <c r="F33" s="27">
        <v>157.47999999999999</v>
      </c>
      <c r="G33" s="28">
        <v>1.7399999999999999E-2</v>
      </c>
      <c r="H33" s="29"/>
    </row>
    <row r="34" spans="2:8" ht="15.75" customHeight="1" x14ac:dyDescent="0.25">
      <c r="B34" s="25" t="s">
        <v>896</v>
      </c>
      <c r="C34" s="25" t="s">
        <v>897</v>
      </c>
      <c r="D34" s="25" t="s">
        <v>246</v>
      </c>
      <c r="E34" s="26">
        <v>5531</v>
      </c>
      <c r="F34" s="27">
        <v>157.25</v>
      </c>
      <c r="G34" s="28">
        <v>1.7399999999999999E-2</v>
      </c>
      <c r="H34" s="29"/>
    </row>
    <row r="35" spans="2:8" ht="15.75" customHeight="1" x14ac:dyDescent="0.25">
      <c r="B35" s="25" t="s">
        <v>898</v>
      </c>
      <c r="C35" s="25" t="s">
        <v>899</v>
      </c>
      <c r="D35" s="25" t="s">
        <v>276</v>
      </c>
      <c r="E35" s="26">
        <v>554</v>
      </c>
      <c r="F35" s="27">
        <v>154.4</v>
      </c>
      <c r="G35" s="28">
        <v>1.7100000000000001E-2</v>
      </c>
      <c r="H35" s="29"/>
    </row>
    <row r="36" spans="2:8" ht="15.75" customHeight="1" x14ac:dyDescent="0.25">
      <c r="B36" s="25" t="s">
        <v>314</v>
      </c>
      <c r="C36" s="25" t="s">
        <v>315</v>
      </c>
      <c r="D36" s="25" t="s">
        <v>316</v>
      </c>
      <c r="E36" s="26">
        <v>12063</v>
      </c>
      <c r="F36" s="27">
        <v>153.97999999999999</v>
      </c>
      <c r="G36" s="28">
        <v>1.7100000000000001E-2</v>
      </c>
      <c r="H36" s="29"/>
    </row>
    <row r="37" spans="2:8" ht="15.75" customHeight="1" x14ac:dyDescent="0.25">
      <c r="B37" s="25" t="s">
        <v>363</v>
      </c>
      <c r="C37" s="25" t="s">
        <v>364</v>
      </c>
      <c r="D37" s="25" t="s">
        <v>269</v>
      </c>
      <c r="E37" s="26">
        <v>6086</v>
      </c>
      <c r="F37" s="27">
        <v>148.26</v>
      </c>
      <c r="G37" s="28">
        <v>1.6400000000000001E-2</v>
      </c>
      <c r="H37" s="29"/>
    </row>
    <row r="38" spans="2:8" ht="15.75" customHeight="1" x14ac:dyDescent="0.25">
      <c r="B38" s="25" t="s">
        <v>242</v>
      </c>
      <c r="C38" s="25" t="s">
        <v>243</v>
      </c>
      <c r="D38" s="25" t="s">
        <v>129</v>
      </c>
      <c r="E38" s="26">
        <v>118498</v>
      </c>
      <c r="F38" s="27">
        <v>146.06</v>
      </c>
      <c r="G38" s="28">
        <v>1.6199999999999999E-2</v>
      </c>
      <c r="H38" s="29"/>
    </row>
    <row r="39" spans="2:8" ht="15.75" customHeight="1" x14ac:dyDescent="0.25">
      <c r="B39" s="25" t="s">
        <v>900</v>
      </c>
      <c r="C39" s="25" t="s">
        <v>901</v>
      </c>
      <c r="D39" s="25" t="s">
        <v>246</v>
      </c>
      <c r="E39" s="26">
        <v>24078</v>
      </c>
      <c r="F39" s="27">
        <v>144.63999999999999</v>
      </c>
      <c r="G39" s="28">
        <v>1.6E-2</v>
      </c>
      <c r="H39" s="29"/>
    </row>
    <row r="40" spans="2:8" ht="15.75" customHeight="1" x14ac:dyDescent="0.25">
      <c r="B40" s="25" t="s">
        <v>902</v>
      </c>
      <c r="C40" s="25" t="s">
        <v>903</v>
      </c>
      <c r="D40" s="25" t="s">
        <v>566</v>
      </c>
      <c r="E40" s="26">
        <v>21395</v>
      </c>
      <c r="F40" s="27">
        <v>131.15</v>
      </c>
      <c r="G40" s="28">
        <v>1.4500000000000001E-2</v>
      </c>
      <c r="H40" s="29"/>
    </row>
    <row r="41" spans="2:8" ht="15.75" customHeight="1" x14ac:dyDescent="0.25">
      <c r="B41" s="25" t="s">
        <v>261</v>
      </c>
      <c r="C41" s="25" t="s">
        <v>262</v>
      </c>
      <c r="D41" s="25" t="s">
        <v>263</v>
      </c>
      <c r="E41" s="26">
        <v>12472</v>
      </c>
      <c r="F41" s="27">
        <v>123.38</v>
      </c>
      <c r="G41" s="28">
        <v>1.37E-2</v>
      </c>
      <c r="H41" s="29"/>
    </row>
    <row r="42" spans="2:8" ht="15.75" customHeight="1" x14ac:dyDescent="0.25">
      <c r="B42" s="25" t="s">
        <v>904</v>
      </c>
      <c r="C42" s="25" t="s">
        <v>905</v>
      </c>
      <c r="D42" s="25" t="s">
        <v>251</v>
      </c>
      <c r="E42" s="26">
        <v>359</v>
      </c>
      <c r="F42" s="27">
        <v>122.36</v>
      </c>
      <c r="G42" s="28">
        <v>1.3599999999999999E-2</v>
      </c>
      <c r="H42" s="29"/>
    </row>
    <row r="43" spans="2:8" ht="15.75" customHeight="1" x14ac:dyDescent="0.25">
      <c r="B43" s="25" t="s">
        <v>167</v>
      </c>
      <c r="C43" s="25" t="s">
        <v>168</v>
      </c>
      <c r="D43" s="25" t="s">
        <v>169</v>
      </c>
      <c r="E43" s="26">
        <v>10259</v>
      </c>
      <c r="F43" s="27">
        <v>110.18</v>
      </c>
      <c r="G43" s="28">
        <v>1.2200000000000001E-2</v>
      </c>
      <c r="H43" s="29"/>
    </row>
    <row r="44" spans="2:8" ht="15.75" customHeight="1" x14ac:dyDescent="0.25">
      <c r="B44" s="25" t="s">
        <v>418</v>
      </c>
      <c r="C44" s="25" t="s">
        <v>419</v>
      </c>
      <c r="D44" s="25" t="s">
        <v>316</v>
      </c>
      <c r="E44" s="26">
        <v>6494</v>
      </c>
      <c r="F44" s="27">
        <v>105.82</v>
      </c>
      <c r="G44" s="28">
        <v>1.17E-2</v>
      </c>
      <c r="H44" s="29"/>
    </row>
    <row r="45" spans="2:8" ht="15.75" customHeight="1" x14ac:dyDescent="0.25">
      <c r="B45" s="25" t="s">
        <v>367</v>
      </c>
      <c r="C45" s="25" t="s">
        <v>368</v>
      </c>
      <c r="D45" s="25" t="s">
        <v>169</v>
      </c>
      <c r="E45" s="26">
        <v>3745</v>
      </c>
      <c r="F45" s="27">
        <v>104.53</v>
      </c>
      <c r="G45" s="28">
        <v>1.1599999999999999E-2</v>
      </c>
      <c r="H45" s="29"/>
    </row>
    <row r="46" spans="2:8" ht="15.75" customHeight="1" x14ac:dyDescent="0.25">
      <c r="B46" s="25" t="s">
        <v>283</v>
      </c>
      <c r="C46" s="25" t="s">
        <v>284</v>
      </c>
      <c r="D46" s="25" t="s">
        <v>285</v>
      </c>
      <c r="E46" s="26">
        <v>15966</v>
      </c>
      <c r="F46" s="27">
        <v>96.71</v>
      </c>
      <c r="G46" s="28">
        <v>1.0699999999999999E-2</v>
      </c>
      <c r="H46" s="29"/>
    </row>
    <row r="47" spans="2:8" ht="15.75" customHeight="1" x14ac:dyDescent="0.25">
      <c r="B47" s="25" t="s">
        <v>749</v>
      </c>
      <c r="C47" s="25" t="s">
        <v>750</v>
      </c>
      <c r="D47" s="25" t="s">
        <v>254</v>
      </c>
      <c r="E47" s="26">
        <v>2035</v>
      </c>
      <c r="F47" s="27">
        <v>95.99</v>
      </c>
      <c r="G47" s="28">
        <v>1.06E-2</v>
      </c>
      <c r="H47" s="29"/>
    </row>
    <row r="48" spans="2:8" ht="15.75" customHeight="1" x14ac:dyDescent="0.25">
      <c r="B48" s="25" t="s">
        <v>906</v>
      </c>
      <c r="C48" s="25" t="s">
        <v>907</v>
      </c>
      <c r="D48" s="25" t="s">
        <v>202</v>
      </c>
      <c r="E48" s="26">
        <v>12367</v>
      </c>
      <c r="F48" s="27">
        <v>88.87</v>
      </c>
      <c r="G48" s="28">
        <v>9.7999999999999997E-3</v>
      </c>
      <c r="H48" s="29"/>
    </row>
    <row r="49" spans="2:8" ht="15.75" customHeight="1" x14ac:dyDescent="0.25">
      <c r="B49" s="25" t="s">
        <v>908</v>
      </c>
      <c r="C49" s="25" t="s">
        <v>909</v>
      </c>
      <c r="D49" s="25" t="s">
        <v>227</v>
      </c>
      <c r="E49" s="26">
        <v>12233</v>
      </c>
      <c r="F49" s="27">
        <v>88.64</v>
      </c>
      <c r="G49" s="28">
        <v>9.7999999999999997E-3</v>
      </c>
      <c r="H49" s="29"/>
    </row>
    <row r="50" spans="2:8" ht="15.75" customHeight="1" x14ac:dyDescent="0.25">
      <c r="B50" s="25" t="s">
        <v>910</v>
      </c>
      <c r="C50" s="25" t="s">
        <v>911</v>
      </c>
      <c r="D50" s="25" t="s">
        <v>202</v>
      </c>
      <c r="E50" s="26">
        <v>4944</v>
      </c>
      <c r="F50" s="27">
        <v>88.44</v>
      </c>
      <c r="G50" s="28">
        <v>9.7999999999999997E-3</v>
      </c>
      <c r="H50" s="29"/>
    </row>
    <row r="51" spans="2:8" ht="15.75" customHeight="1" x14ac:dyDescent="0.25">
      <c r="B51" s="25" t="s">
        <v>912</v>
      </c>
      <c r="C51" s="25" t="s">
        <v>913</v>
      </c>
      <c r="D51" s="25" t="s">
        <v>194</v>
      </c>
      <c r="E51" s="26">
        <v>11590</v>
      </c>
      <c r="F51" s="27">
        <v>58.44</v>
      </c>
      <c r="G51" s="28">
        <v>6.4999999999999997E-3</v>
      </c>
      <c r="H51" s="29"/>
    </row>
    <row r="52" spans="2:8" ht="15.75" customHeight="1" x14ac:dyDescent="0.25">
      <c r="B52" s="25" t="s">
        <v>914</v>
      </c>
      <c r="C52" s="25" t="s">
        <v>915</v>
      </c>
      <c r="D52" s="25" t="s">
        <v>227</v>
      </c>
      <c r="E52" s="26">
        <v>575</v>
      </c>
      <c r="F52" s="27">
        <v>49.08</v>
      </c>
      <c r="G52" s="28">
        <v>5.4000000000000003E-3</v>
      </c>
      <c r="H52" s="29"/>
    </row>
    <row r="53" spans="2:8" ht="15.75" customHeight="1" x14ac:dyDescent="0.25">
      <c r="B53" s="25" t="s">
        <v>916</v>
      </c>
      <c r="C53" s="25" t="s">
        <v>917</v>
      </c>
      <c r="D53" s="25" t="s">
        <v>227</v>
      </c>
      <c r="E53" s="26">
        <v>24557</v>
      </c>
      <c r="F53" s="27">
        <v>42.68</v>
      </c>
      <c r="G53" s="28">
        <v>4.7000000000000002E-3</v>
      </c>
      <c r="H53" s="29"/>
    </row>
    <row r="54" spans="2:8" ht="15.75" customHeight="1" x14ac:dyDescent="0.25">
      <c r="B54" s="25" t="s">
        <v>918</v>
      </c>
      <c r="C54" s="25" t="s">
        <v>919</v>
      </c>
      <c r="D54" s="25" t="s">
        <v>202</v>
      </c>
      <c r="E54" s="26">
        <v>4071</v>
      </c>
      <c r="F54" s="27">
        <v>40.6</v>
      </c>
      <c r="G54" s="28">
        <v>4.4999999999999997E-3</v>
      </c>
      <c r="H54" s="29"/>
    </row>
    <row r="55" spans="2:8" ht="15.75" customHeight="1" x14ac:dyDescent="0.25">
      <c r="B55" s="25" t="s">
        <v>920</v>
      </c>
      <c r="C55" s="25" t="s">
        <v>921</v>
      </c>
      <c r="D55" s="25" t="s">
        <v>241</v>
      </c>
      <c r="E55" s="26">
        <v>3722</v>
      </c>
      <c r="F55" s="27">
        <v>33.35</v>
      </c>
      <c r="G55" s="28">
        <v>3.7000000000000002E-3</v>
      </c>
      <c r="H55" s="29"/>
    </row>
    <row r="56" spans="2:8" ht="15.75" customHeight="1" x14ac:dyDescent="0.25">
      <c r="B56" s="25" t="s">
        <v>922</v>
      </c>
      <c r="C56" s="25" t="s">
        <v>923</v>
      </c>
      <c r="D56" s="25" t="s">
        <v>285</v>
      </c>
      <c r="E56" s="26">
        <v>2532</v>
      </c>
      <c r="F56" s="27">
        <v>25.04</v>
      </c>
      <c r="G56" s="28">
        <v>2.8E-3</v>
      </c>
      <c r="H56" s="29"/>
    </row>
    <row r="57" spans="2:8" ht="15.75" customHeight="1" x14ac:dyDescent="0.25">
      <c r="B57" s="24" t="s">
        <v>102</v>
      </c>
      <c r="C57" s="24"/>
      <c r="D57" s="24"/>
      <c r="E57" s="30"/>
      <c r="F57" s="31">
        <v>8974.99</v>
      </c>
      <c r="G57" s="32">
        <v>0.99439999999999995</v>
      </c>
      <c r="H57" s="33"/>
    </row>
    <row r="58" spans="2:8" ht="15.75" customHeight="1" x14ac:dyDescent="0.25">
      <c r="B58" s="24" t="s">
        <v>149</v>
      </c>
      <c r="C58" s="25"/>
      <c r="D58" s="25"/>
      <c r="E58" s="26"/>
      <c r="F58" s="27"/>
      <c r="G58" s="28"/>
      <c r="H58" s="29"/>
    </row>
    <row r="59" spans="2:8" ht="15.75" customHeight="1" x14ac:dyDescent="0.25">
      <c r="B59" s="24" t="s">
        <v>102</v>
      </c>
      <c r="C59" s="25"/>
      <c r="D59" s="25"/>
      <c r="E59" s="26"/>
      <c r="F59" s="34" t="s">
        <v>104</v>
      </c>
      <c r="G59" s="35" t="s">
        <v>104</v>
      </c>
      <c r="H59" s="29"/>
    </row>
    <row r="60" spans="2:8" ht="15.75" customHeight="1" x14ac:dyDescent="0.25">
      <c r="B60" s="25"/>
      <c r="C60" s="25"/>
      <c r="D60" s="25"/>
      <c r="E60" s="26"/>
      <c r="F60" s="27"/>
      <c r="G60" s="28"/>
      <c r="H60" s="29"/>
    </row>
    <row r="61" spans="2:8" ht="15.75" customHeight="1" x14ac:dyDescent="0.25">
      <c r="B61" s="36" t="s">
        <v>106</v>
      </c>
      <c r="C61" s="36"/>
      <c r="D61" s="36"/>
      <c r="E61" s="37"/>
      <c r="F61" s="31">
        <v>8974.99</v>
      </c>
      <c r="G61" s="32">
        <v>0.99439999999999995</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109</v>
      </c>
      <c r="C64" s="25"/>
      <c r="D64" s="25"/>
      <c r="E64" s="26"/>
      <c r="F64" s="27"/>
      <c r="G64" s="28"/>
      <c r="H64" s="29"/>
    </row>
    <row r="65" spans="2:12" ht="15.75" customHeight="1" x14ac:dyDescent="0.25">
      <c r="B65" s="25" t="s">
        <v>110</v>
      </c>
      <c r="C65" s="25"/>
      <c r="D65" s="25"/>
      <c r="E65" s="26"/>
      <c r="F65" s="27">
        <v>36.93</v>
      </c>
      <c r="G65" s="28">
        <v>4.1000000000000003E-3</v>
      </c>
      <c r="H65" s="29"/>
    </row>
    <row r="66" spans="2:12" ht="15.75" customHeight="1" x14ac:dyDescent="0.25">
      <c r="B66" s="24" t="s">
        <v>102</v>
      </c>
      <c r="C66" s="24"/>
      <c r="D66" s="24"/>
      <c r="E66" s="30"/>
      <c r="F66" s="31">
        <v>36.93</v>
      </c>
      <c r="G66" s="32">
        <v>4.1000000000000003E-3</v>
      </c>
      <c r="H66" s="33"/>
    </row>
    <row r="67" spans="2:12" ht="15.75" customHeight="1" x14ac:dyDescent="0.25">
      <c r="B67" s="25"/>
      <c r="C67" s="25"/>
      <c r="D67" s="25"/>
      <c r="E67" s="26"/>
      <c r="F67" s="27"/>
      <c r="G67" s="28"/>
      <c r="H67" s="29"/>
    </row>
    <row r="68" spans="2:12" ht="15.75" customHeight="1" x14ac:dyDescent="0.25">
      <c r="B68" s="36" t="s">
        <v>106</v>
      </c>
      <c r="C68" s="36"/>
      <c r="D68" s="36"/>
      <c r="E68" s="37"/>
      <c r="F68" s="31">
        <v>36.93</v>
      </c>
      <c r="G68" s="32">
        <v>4.1000000000000003E-3</v>
      </c>
      <c r="H68" s="33"/>
      <c r="L68" s="3"/>
    </row>
    <row r="69" spans="2:12" ht="15.75" customHeight="1" x14ac:dyDescent="0.25">
      <c r="B69" s="25" t="s">
        <v>111</v>
      </c>
      <c r="C69" s="25"/>
      <c r="D69" s="25"/>
      <c r="E69" s="26"/>
      <c r="F69" s="27">
        <v>13.51</v>
      </c>
      <c r="G69" s="28">
        <v>1.5000000000000568E-3</v>
      </c>
      <c r="H69" s="29"/>
    </row>
    <row r="70" spans="2:12" ht="15.75" customHeight="1" x14ac:dyDescent="0.25">
      <c r="B70" s="40" t="s">
        <v>112</v>
      </c>
      <c r="C70" s="40"/>
      <c r="D70" s="40"/>
      <c r="E70" s="41"/>
      <c r="F70" s="42">
        <v>9025.43</v>
      </c>
      <c r="G70" s="43">
        <v>1</v>
      </c>
      <c r="H70" s="44"/>
      <c r="L70" s="3"/>
    </row>
    <row r="71" spans="2:12" ht="15.75" customHeight="1" thickBot="1" x14ac:dyDescent="0.3">
      <c r="B71" s="2"/>
      <c r="L71" s="3"/>
    </row>
    <row r="72" spans="2:12" ht="27" customHeight="1" thickBot="1" x14ac:dyDescent="0.3">
      <c r="B72" s="56" t="s">
        <v>964</v>
      </c>
      <c r="C72" s="57" t="s">
        <v>965</v>
      </c>
      <c r="D72" s="57" t="s">
        <v>966</v>
      </c>
      <c r="E72" s="62" t="s">
        <v>967</v>
      </c>
      <c r="G72" s="2"/>
      <c r="H72" s="2"/>
    </row>
    <row r="73" spans="2:12" ht="29.25" customHeight="1" x14ac:dyDescent="0.25">
      <c r="B73" s="63" t="s">
        <v>26</v>
      </c>
      <c r="C73" s="81"/>
      <c r="D73" s="84" t="s">
        <v>1036</v>
      </c>
      <c r="E73" s="86"/>
      <c r="G73" s="2"/>
      <c r="H73" s="2"/>
    </row>
    <row r="74" spans="2:12" ht="40" customHeight="1" x14ac:dyDescent="0.25">
      <c r="B74" s="65" t="s">
        <v>1037</v>
      </c>
      <c r="C74" s="82"/>
      <c r="D74" s="85"/>
      <c r="E74" s="82"/>
      <c r="G74" s="2"/>
      <c r="H74" s="2"/>
    </row>
    <row r="75" spans="2:12" ht="45" customHeight="1" x14ac:dyDescent="0.25">
      <c r="B75" s="65" t="s">
        <v>1038</v>
      </c>
      <c r="C75" s="82"/>
      <c r="D75" s="85"/>
      <c r="E75" s="82"/>
      <c r="G75" s="2"/>
      <c r="H75" s="2"/>
    </row>
    <row r="76" spans="2:12" ht="23.25" customHeight="1" thickBot="1" x14ac:dyDescent="0.3">
      <c r="B76" s="67" t="s">
        <v>982</v>
      </c>
      <c r="C76" s="83"/>
      <c r="D76" s="70" t="s">
        <v>982</v>
      </c>
      <c r="E76" s="87"/>
      <c r="G76" s="2"/>
      <c r="H76" s="2"/>
    </row>
    <row r="77" spans="2:12" ht="25" customHeight="1" x14ac:dyDescent="0.25">
      <c r="B77" s="58" t="s">
        <v>969</v>
      </c>
      <c r="C77" s="59"/>
      <c r="D77" s="60"/>
      <c r="E77" s="61"/>
      <c r="G77" s="2"/>
      <c r="H77" s="2"/>
    </row>
    <row r="79" spans="2:12" ht="11.5" x14ac:dyDescent="0.25">
      <c r="B79" s="2" t="s">
        <v>970</v>
      </c>
      <c r="C79" s="2"/>
      <c r="D79" s="2"/>
      <c r="G79" s="2"/>
      <c r="H79" s="2"/>
    </row>
    <row r="80" spans="2:12" ht="11.5" x14ac:dyDescent="0.25">
      <c r="B80" s="3" t="s">
        <v>971</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1C4203D8-3342-439B-A997-CA0A41FBC79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0B0DD7-3A0D-41B0-BD81-77C9F408E2A8}">
  <dimension ref="B1:P131"/>
  <sheetViews>
    <sheetView workbookViewId="0"/>
  </sheetViews>
  <sheetFormatPr defaultColWidth="9.1796875" defaultRowHeight="15.75" customHeight="1" x14ac:dyDescent="0.25"/>
  <cols>
    <col min="1" max="1" width="3.6328125" style="2" customWidth="1"/>
    <col min="2" max="2" width="50.453125" style="9" customWidth="1"/>
    <col min="3" max="3" width="26.81640625" style="9" customWidth="1"/>
    <col min="4" max="4" width="26.6328125" style="9" customWidth="1"/>
    <col min="5" max="5" width="27.089843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27</v>
      </c>
      <c r="C1" s="1" t="s">
        <v>956</v>
      </c>
      <c r="D1" s="1" t="s">
        <v>957</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406433</v>
      </c>
      <c r="F7" s="27">
        <v>6843.52</v>
      </c>
      <c r="G7" s="28">
        <v>9.5399999999999999E-2</v>
      </c>
      <c r="H7" s="29"/>
    </row>
    <row r="8" spans="2:9" ht="15.75" customHeight="1" x14ac:dyDescent="0.25">
      <c r="B8" s="25" t="s">
        <v>138</v>
      </c>
      <c r="C8" s="25" t="s">
        <v>139</v>
      </c>
      <c r="D8" s="25" t="s">
        <v>140</v>
      </c>
      <c r="E8" s="26">
        <v>179368</v>
      </c>
      <c r="F8" s="27">
        <v>5615.65</v>
      </c>
      <c r="G8" s="28">
        <v>7.8299999999999995E-2</v>
      </c>
      <c r="H8" s="29"/>
    </row>
    <row r="9" spans="2:9" ht="15.75" customHeight="1" x14ac:dyDescent="0.25">
      <c r="B9" s="25" t="s">
        <v>127</v>
      </c>
      <c r="C9" s="25" t="s">
        <v>128</v>
      </c>
      <c r="D9" s="25" t="s">
        <v>129</v>
      </c>
      <c r="E9" s="26">
        <v>381976</v>
      </c>
      <c r="F9" s="27">
        <v>4582.18</v>
      </c>
      <c r="G9" s="28">
        <v>6.3899999999999998E-2</v>
      </c>
      <c r="H9" s="29"/>
    </row>
    <row r="10" spans="2:9" ht="15.75" customHeight="1" x14ac:dyDescent="0.25">
      <c r="B10" s="25" t="s">
        <v>130</v>
      </c>
      <c r="C10" s="25" t="s">
        <v>131</v>
      </c>
      <c r="D10" s="25" t="s">
        <v>132</v>
      </c>
      <c r="E10" s="26">
        <v>194778</v>
      </c>
      <c r="F10" s="27">
        <v>3051.68</v>
      </c>
      <c r="G10" s="28">
        <v>4.2500000000000003E-2</v>
      </c>
      <c r="H10" s="29"/>
    </row>
    <row r="11" spans="2:9" ht="15.75" customHeight="1" x14ac:dyDescent="0.25">
      <c r="B11" s="25" t="s">
        <v>222</v>
      </c>
      <c r="C11" s="25" t="s">
        <v>223</v>
      </c>
      <c r="D11" s="25" t="s">
        <v>224</v>
      </c>
      <c r="E11" s="26">
        <v>63198</v>
      </c>
      <c r="F11" s="27">
        <v>2242.5500000000002</v>
      </c>
      <c r="G11" s="28">
        <v>3.1300000000000001E-2</v>
      </c>
      <c r="H11" s="29"/>
    </row>
    <row r="12" spans="2:9" ht="15.75" customHeight="1" x14ac:dyDescent="0.25">
      <c r="B12" s="25" t="s">
        <v>272</v>
      </c>
      <c r="C12" s="25" t="s">
        <v>273</v>
      </c>
      <c r="D12" s="25" t="s">
        <v>132</v>
      </c>
      <c r="E12" s="26">
        <v>54806</v>
      </c>
      <c r="F12" s="27">
        <v>2139.71</v>
      </c>
      <c r="G12" s="28">
        <v>2.98E-2</v>
      </c>
      <c r="H12" s="29"/>
    </row>
    <row r="13" spans="2:9" ht="15.75" customHeight="1" x14ac:dyDescent="0.25">
      <c r="B13" s="25" t="s">
        <v>210</v>
      </c>
      <c r="C13" s="25" t="s">
        <v>211</v>
      </c>
      <c r="D13" s="25" t="s">
        <v>143</v>
      </c>
      <c r="E13" s="26">
        <v>498528</v>
      </c>
      <c r="F13" s="27">
        <v>2118.25</v>
      </c>
      <c r="G13" s="28">
        <v>2.9499999999999998E-2</v>
      </c>
      <c r="H13" s="29"/>
    </row>
    <row r="14" spans="2:9" ht="15.75" customHeight="1" x14ac:dyDescent="0.25">
      <c r="B14" s="25" t="s">
        <v>426</v>
      </c>
      <c r="C14" s="25" t="s">
        <v>427</v>
      </c>
      <c r="D14" s="25" t="s">
        <v>428</v>
      </c>
      <c r="E14" s="26">
        <v>146184</v>
      </c>
      <c r="F14" s="27">
        <v>2110.9699999999998</v>
      </c>
      <c r="G14" s="28">
        <v>2.9399999999999999E-2</v>
      </c>
      <c r="H14" s="29"/>
    </row>
    <row r="15" spans="2:9" ht="15.75" customHeight="1" x14ac:dyDescent="0.25">
      <c r="B15" s="25" t="s">
        <v>188</v>
      </c>
      <c r="C15" s="25" t="s">
        <v>189</v>
      </c>
      <c r="D15" s="25" t="s">
        <v>129</v>
      </c>
      <c r="E15" s="26">
        <v>154620</v>
      </c>
      <c r="F15" s="27">
        <v>1956.33</v>
      </c>
      <c r="G15" s="28">
        <v>2.7300000000000001E-2</v>
      </c>
      <c r="H15" s="29"/>
    </row>
    <row r="16" spans="2:9" ht="15.75" customHeight="1" x14ac:dyDescent="0.25">
      <c r="B16" s="25" t="s">
        <v>220</v>
      </c>
      <c r="C16" s="25" t="s">
        <v>221</v>
      </c>
      <c r="D16" s="25" t="s">
        <v>129</v>
      </c>
      <c r="E16" s="26">
        <v>203350</v>
      </c>
      <c r="F16" s="27">
        <v>1726.34</v>
      </c>
      <c r="G16" s="28">
        <v>2.41E-2</v>
      </c>
      <c r="H16" s="29"/>
    </row>
    <row r="17" spans="2:8" ht="15.75" customHeight="1" x14ac:dyDescent="0.25">
      <c r="B17" s="25" t="s">
        <v>133</v>
      </c>
      <c r="C17" s="25" t="s">
        <v>134</v>
      </c>
      <c r="D17" s="25" t="s">
        <v>135</v>
      </c>
      <c r="E17" s="26">
        <v>52875</v>
      </c>
      <c r="F17" s="27">
        <v>1515.74</v>
      </c>
      <c r="G17" s="28">
        <v>2.1100000000000001E-2</v>
      </c>
      <c r="H17" s="29"/>
    </row>
    <row r="18" spans="2:8" ht="15.75" customHeight="1" x14ac:dyDescent="0.25">
      <c r="B18" s="25" t="s">
        <v>215</v>
      </c>
      <c r="C18" s="25" t="s">
        <v>216</v>
      </c>
      <c r="D18" s="25" t="s">
        <v>129</v>
      </c>
      <c r="E18" s="26">
        <v>79969</v>
      </c>
      <c r="F18" s="27">
        <v>1441.44</v>
      </c>
      <c r="G18" s="28">
        <v>2.01E-2</v>
      </c>
      <c r="H18" s="29"/>
    </row>
    <row r="19" spans="2:8" ht="15.75" customHeight="1" x14ac:dyDescent="0.25">
      <c r="B19" s="25" t="s">
        <v>141</v>
      </c>
      <c r="C19" s="25" t="s">
        <v>142</v>
      </c>
      <c r="D19" s="25" t="s">
        <v>143</v>
      </c>
      <c r="E19" s="26">
        <v>47845</v>
      </c>
      <c r="F19" s="27">
        <v>1183.23</v>
      </c>
      <c r="G19" s="28">
        <v>1.6500000000000001E-2</v>
      </c>
      <c r="H19" s="29"/>
    </row>
    <row r="20" spans="2:8" ht="15.75" customHeight="1" x14ac:dyDescent="0.25">
      <c r="B20" s="25" t="s">
        <v>225</v>
      </c>
      <c r="C20" s="25" t="s">
        <v>226</v>
      </c>
      <c r="D20" s="25" t="s">
        <v>227</v>
      </c>
      <c r="E20" s="26">
        <v>15032</v>
      </c>
      <c r="F20" s="27">
        <v>1069.6099999999999</v>
      </c>
      <c r="G20" s="28">
        <v>1.49E-2</v>
      </c>
      <c r="H20" s="29"/>
    </row>
    <row r="21" spans="2:8" ht="15.75" customHeight="1" x14ac:dyDescent="0.25">
      <c r="B21" s="25" t="s">
        <v>338</v>
      </c>
      <c r="C21" s="25" t="s">
        <v>339</v>
      </c>
      <c r="D21" s="25" t="s">
        <v>202</v>
      </c>
      <c r="E21" s="26">
        <v>253066</v>
      </c>
      <c r="F21" s="27">
        <v>957.48</v>
      </c>
      <c r="G21" s="28">
        <v>1.3299999999999999E-2</v>
      </c>
      <c r="H21" s="29"/>
    </row>
    <row r="22" spans="2:8" ht="15.75" customHeight="1" x14ac:dyDescent="0.25">
      <c r="B22" s="25" t="s">
        <v>291</v>
      </c>
      <c r="C22" s="25" t="s">
        <v>292</v>
      </c>
      <c r="D22" s="25" t="s">
        <v>135</v>
      </c>
      <c r="E22" s="26">
        <v>93494</v>
      </c>
      <c r="F22" s="27">
        <v>925.36</v>
      </c>
      <c r="G22" s="28">
        <v>1.29E-2</v>
      </c>
      <c r="H22" s="29"/>
    </row>
    <row r="23" spans="2:8" ht="15.75" customHeight="1" x14ac:dyDescent="0.25">
      <c r="B23" s="25" t="s">
        <v>448</v>
      </c>
      <c r="C23" s="25" t="s">
        <v>449</v>
      </c>
      <c r="D23" s="25" t="s">
        <v>169</v>
      </c>
      <c r="E23" s="26">
        <v>57956</v>
      </c>
      <c r="F23" s="27">
        <v>881.42</v>
      </c>
      <c r="G23" s="28">
        <v>1.23E-2</v>
      </c>
      <c r="H23" s="29"/>
    </row>
    <row r="24" spans="2:8" ht="15.75" customHeight="1" x14ac:dyDescent="0.25">
      <c r="B24" s="25" t="s">
        <v>354</v>
      </c>
      <c r="C24" s="25" t="s">
        <v>355</v>
      </c>
      <c r="D24" s="25" t="s">
        <v>135</v>
      </c>
      <c r="E24" s="26">
        <v>7166</v>
      </c>
      <c r="F24" s="27">
        <v>862.35</v>
      </c>
      <c r="G24" s="28">
        <v>1.2E-2</v>
      </c>
      <c r="H24" s="29"/>
    </row>
    <row r="25" spans="2:8" ht="15.75" customHeight="1" x14ac:dyDescent="0.25">
      <c r="B25" s="25" t="s">
        <v>347</v>
      </c>
      <c r="C25" s="25" t="s">
        <v>348</v>
      </c>
      <c r="D25" s="25" t="s">
        <v>132</v>
      </c>
      <c r="E25" s="26">
        <v>57708</v>
      </c>
      <c r="F25" s="27">
        <v>842.31</v>
      </c>
      <c r="G25" s="28">
        <v>1.17E-2</v>
      </c>
      <c r="H25" s="29"/>
    </row>
    <row r="26" spans="2:8" ht="15.75" customHeight="1" x14ac:dyDescent="0.25">
      <c r="B26" s="25" t="s">
        <v>206</v>
      </c>
      <c r="C26" s="25" t="s">
        <v>207</v>
      </c>
      <c r="D26" s="25" t="s">
        <v>202</v>
      </c>
      <c r="E26" s="26">
        <v>243774</v>
      </c>
      <c r="F26" s="27">
        <v>806.77</v>
      </c>
      <c r="G26" s="28">
        <v>1.12E-2</v>
      </c>
      <c r="H26" s="29"/>
    </row>
    <row r="27" spans="2:8" ht="15.75" customHeight="1" x14ac:dyDescent="0.25">
      <c r="B27" s="25" t="s">
        <v>179</v>
      </c>
      <c r="C27" s="25" t="s">
        <v>180</v>
      </c>
      <c r="D27" s="25" t="s">
        <v>181</v>
      </c>
      <c r="E27" s="26">
        <v>440227</v>
      </c>
      <c r="F27" s="27">
        <v>766.04</v>
      </c>
      <c r="G27" s="28">
        <v>1.0699999999999999E-2</v>
      </c>
      <c r="H27" s="29"/>
    </row>
    <row r="28" spans="2:8" ht="15.75" customHeight="1" x14ac:dyDescent="0.25">
      <c r="B28" s="25" t="s">
        <v>270</v>
      </c>
      <c r="C28" s="25" t="s">
        <v>271</v>
      </c>
      <c r="D28" s="25" t="s">
        <v>194</v>
      </c>
      <c r="E28" s="26">
        <v>22356</v>
      </c>
      <c r="F28" s="27">
        <v>761.04</v>
      </c>
      <c r="G28" s="28">
        <v>1.06E-2</v>
      </c>
      <c r="H28" s="29"/>
    </row>
    <row r="29" spans="2:8" ht="15.75" customHeight="1" x14ac:dyDescent="0.25">
      <c r="B29" s="25" t="s">
        <v>502</v>
      </c>
      <c r="C29" s="25" t="s">
        <v>503</v>
      </c>
      <c r="D29" s="25" t="s">
        <v>276</v>
      </c>
      <c r="E29" s="26">
        <v>6269</v>
      </c>
      <c r="F29" s="27">
        <v>731.46</v>
      </c>
      <c r="G29" s="28">
        <v>1.0200000000000001E-2</v>
      </c>
      <c r="H29" s="29"/>
    </row>
    <row r="30" spans="2:8" ht="15.75" customHeight="1" x14ac:dyDescent="0.25">
      <c r="B30" s="25" t="s">
        <v>375</v>
      </c>
      <c r="C30" s="25" t="s">
        <v>376</v>
      </c>
      <c r="D30" s="25" t="s">
        <v>194</v>
      </c>
      <c r="E30" s="26">
        <v>24049</v>
      </c>
      <c r="F30" s="27">
        <v>701.52</v>
      </c>
      <c r="G30" s="28">
        <v>9.7999999999999997E-3</v>
      </c>
      <c r="H30" s="29"/>
    </row>
    <row r="31" spans="2:8" ht="15.75" customHeight="1" x14ac:dyDescent="0.25">
      <c r="B31" s="25" t="s">
        <v>410</v>
      </c>
      <c r="C31" s="25" t="s">
        <v>411</v>
      </c>
      <c r="D31" s="25" t="s">
        <v>254</v>
      </c>
      <c r="E31" s="26">
        <v>329639</v>
      </c>
      <c r="F31" s="27">
        <v>661.12</v>
      </c>
      <c r="G31" s="28">
        <v>9.1999999999999998E-3</v>
      </c>
      <c r="H31" s="29"/>
    </row>
    <row r="32" spans="2:8" ht="15.75" customHeight="1" x14ac:dyDescent="0.25">
      <c r="B32" s="25" t="s">
        <v>404</v>
      </c>
      <c r="C32" s="25" t="s">
        <v>405</v>
      </c>
      <c r="D32" s="25" t="s">
        <v>254</v>
      </c>
      <c r="E32" s="26">
        <v>11566</v>
      </c>
      <c r="F32" s="27">
        <v>633.79999999999995</v>
      </c>
      <c r="G32" s="28">
        <v>8.8000000000000005E-3</v>
      </c>
      <c r="H32" s="29"/>
    </row>
    <row r="33" spans="2:8" ht="15.75" customHeight="1" x14ac:dyDescent="0.25">
      <c r="B33" s="25" t="s">
        <v>894</v>
      </c>
      <c r="C33" s="25" t="s">
        <v>895</v>
      </c>
      <c r="D33" s="25" t="s">
        <v>227</v>
      </c>
      <c r="E33" s="26">
        <v>176419</v>
      </c>
      <c r="F33" s="27">
        <v>631.84</v>
      </c>
      <c r="G33" s="28">
        <v>8.8000000000000005E-3</v>
      </c>
      <c r="H33" s="29"/>
    </row>
    <row r="34" spans="2:8" ht="15.75" customHeight="1" x14ac:dyDescent="0.25">
      <c r="B34" s="25" t="s">
        <v>164</v>
      </c>
      <c r="C34" s="25" t="s">
        <v>165</v>
      </c>
      <c r="D34" s="25" t="s">
        <v>166</v>
      </c>
      <c r="E34" s="26">
        <v>194241</v>
      </c>
      <c r="F34" s="27">
        <v>594.17999999999995</v>
      </c>
      <c r="G34" s="28">
        <v>8.3000000000000001E-3</v>
      </c>
      <c r="H34" s="29"/>
    </row>
    <row r="35" spans="2:8" ht="15.75" customHeight="1" x14ac:dyDescent="0.25">
      <c r="B35" s="25" t="s">
        <v>771</v>
      </c>
      <c r="C35" s="25" t="s">
        <v>772</v>
      </c>
      <c r="D35" s="25" t="s">
        <v>290</v>
      </c>
      <c r="E35" s="26">
        <v>39815</v>
      </c>
      <c r="F35" s="27">
        <v>588.51</v>
      </c>
      <c r="G35" s="28">
        <v>8.2000000000000007E-3</v>
      </c>
      <c r="H35" s="29"/>
    </row>
    <row r="36" spans="2:8" ht="15.75" customHeight="1" x14ac:dyDescent="0.25">
      <c r="B36" s="25" t="s">
        <v>264</v>
      </c>
      <c r="C36" s="25" t="s">
        <v>265</v>
      </c>
      <c r="D36" s="25" t="s">
        <v>266</v>
      </c>
      <c r="E36" s="26">
        <v>121858</v>
      </c>
      <c r="F36" s="27">
        <v>576.57000000000005</v>
      </c>
      <c r="G36" s="28">
        <v>8.0000000000000002E-3</v>
      </c>
      <c r="H36" s="29"/>
    </row>
    <row r="37" spans="2:8" ht="15.75" customHeight="1" x14ac:dyDescent="0.25">
      <c r="B37" s="25" t="s">
        <v>554</v>
      </c>
      <c r="C37" s="25" t="s">
        <v>555</v>
      </c>
      <c r="D37" s="25" t="s">
        <v>135</v>
      </c>
      <c r="E37" s="26">
        <v>6007</v>
      </c>
      <c r="F37" s="27">
        <v>570.76</v>
      </c>
      <c r="G37" s="28">
        <v>8.0000000000000002E-3</v>
      </c>
      <c r="H37" s="29"/>
    </row>
    <row r="38" spans="2:8" ht="15.75" customHeight="1" x14ac:dyDescent="0.25">
      <c r="B38" s="25" t="s">
        <v>644</v>
      </c>
      <c r="C38" s="25" t="s">
        <v>645</v>
      </c>
      <c r="D38" s="25" t="s">
        <v>454</v>
      </c>
      <c r="E38" s="26">
        <v>205408</v>
      </c>
      <c r="F38" s="27">
        <v>563.23</v>
      </c>
      <c r="G38" s="28">
        <v>7.9000000000000008E-3</v>
      </c>
      <c r="H38" s="29"/>
    </row>
    <row r="39" spans="2:8" ht="15.75" customHeight="1" x14ac:dyDescent="0.25">
      <c r="B39" s="25" t="s">
        <v>312</v>
      </c>
      <c r="C39" s="25" t="s">
        <v>313</v>
      </c>
      <c r="D39" s="25" t="s">
        <v>214</v>
      </c>
      <c r="E39" s="26">
        <v>78038</v>
      </c>
      <c r="F39" s="27">
        <v>541.23</v>
      </c>
      <c r="G39" s="28">
        <v>7.4999999999999997E-3</v>
      </c>
      <c r="H39" s="29"/>
    </row>
    <row r="40" spans="2:8" ht="15.75" customHeight="1" x14ac:dyDescent="0.25">
      <c r="B40" s="25" t="s">
        <v>340</v>
      </c>
      <c r="C40" s="25" t="s">
        <v>341</v>
      </c>
      <c r="D40" s="25" t="s">
        <v>276</v>
      </c>
      <c r="E40" s="26">
        <v>20050</v>
      </c>
      <c r="F40" s="27">
        <v>535.42999999999995</v>
      </c>
      <c r="G40" s="28">
        <v>7.4999999999999997E-3</v>
      </c>
      <c r="H40" s="29"/>
    </row>
    <row r="41" spans="2:8" ht="15.75" customHeight="1" x14ac:dyDescent="0.25">
      <c r="B41" s="25" t="s">
        <v>317</v>
      </c>
      <c r="C41" s="25" t="s">
        <v>318</v>
      </c>
      <c r="D41" s="25" t="s">
        <v>166</v>
      </c>
      <c r="E41" s="26">
        <v>10116</v>
      </c>
      <c r="F41" s="27">
        <v>532.53</v>
      </c>
      <c r="G41" s="28">
        <v>7.4000000000000003E-3</v>
      </c>
      <c r="H41" s="29"/>
    </row>
    <row r="42" spans="2:8" ht="15.75" customHeight="1" x14ac:dyDescent="0.25">
      <c r="B42" s="25" t="s">
        <v>170</v>
      </c>
      <c r="C42" s="25" t="s">
        <v>171</v>
      </c>
      <c r="D42" s="25" t="s">
        <v>129</v>
      </c>
      <c r="E42" s="26">
        <v>36279</v>
      </c>
      <c r="F42" s="27">
        <v>531.30999999999995</v>
      </c>
      <c r="G42" s="28">
        <v>7.4000000000000003E-3</v>
      </c>
      <c r="H42" s="29"/>
    </row>
    <row r="43" spans="2:8" ht="15.75" customHeight="1" x14ac:dyDescent="0.25">
      <c r="B43" s="25" t="s">
        <v>208</v>
      </c>
      <c r="C43" s="25" t="s">
        <v>209</v>
      </c>
      <c r="D43" s="25" t="s">
        <v>132</v>
      </c>
      <c r="E43" s="26">
        <v>34336</v>
      </c>
      <c r="F43" s="27">
        <v>491.12</v>
      </c>
      <c r="G43" s="28">
        <v>6.7999999999999996E-3</v>
      </c>
      <c r="H43" s="29"/>
    </row>
    <row r="44" spans="2:8" ht="15.75" customHeight="1" x14ac:dyDescent="0.25">
      <c r="B44" s="25" t="s">
        <v>144</v>
      </c>
      <c r="C44" s="25" t="s">
        <v>145</v>
      </c>
      <c r="D44" s="25" t="s">
        <v>146</v>
      </c>
      <c r="E44" s="26">
        <v>19033</v>
      </c>
      <c r="F44" s="27">
        <v>485.66</v>
      </c>
      <c r="G44" s="28">
        <v>6.7999999999999996E-3</v>
      </c>
      <c r="H44" s="29"/>
    </row>
    <row r="45" spans="2:8" ht="15.75" customHeight="1" x14ac:dyDescent="0.25">
      <c r="B45" s="25" t="s">
        <v>279</v>
      </c>
      <c r="C45" s="25" t="s">
        <v>280</v>
      </c>
      <c r="D45" s="25" t="s">
        <v>181</v>
      </c>
      <c r="E45" s="26">
        <v>51700</v>
      </c>
      <c r="F45" s="27">
        <v>481.59</v>
      </c>
      <c r="G45" s="28">
        <v>6.7000000000000002E-3</v>
      </c>
      <c r="H45" s="29"/>
    </row>
    <row r="46" spans="2:8" ht="15.75" customHeight="1" x14ac:dyDescent="0.25">
      <c r="B46" s="25" t="s">
        <v>323</v>
      </c>
      <c r="C46" s="25" t="s">
        <v>324</v>
      </c>
      <c r="D46" s="25" t="s">
        <v>227</v>
      </c>
      <c r="E46" s="26">
        <v>29232</v>
      </c>
      <c r="F46" s="27">
        <v>464.25</v>
      </c>
      <c r="G46" s="28">
        <v>6.4999999999999997E-3</v>
      </c>
      <c r="H46" s="29"/>
    </row>
    <row r="47" spans="2:8" ht="15.75" customHeight="1" x14ac:dyDescent="0.25">
      <c r="B47" s="25" t="s">
        <v>773</v>
      </c>
      <c r="C47" s="25" t="s">
        <v>774</v>
      </c>
      <c r="D47" s="25" t="s">
        <v>775</v>
      </c>
      <c r="E47" s="26">
        <v>14132</v>
      </c>
      <c r="F47" s="27">
        <v>448.99</v>
      </c>
      <c r="G47" s="28">
        <v>6.3E-3</v>
      </c>
      <c r="H47" s="29"/>
    </row>
    <row r="48" spans="2:8" ht="15.75" customHeight="1" x14ac:dyDescent="0.25">
      <c r="B48" s="25" t="s">
        <v>298</v>
      </c>
      <c r="C48" s="25" t="s">
        <v>299</v>
      </c>
      <c r="D48" s="25" t="s">
        <v>227</v>
      </c>
      <c r="E48" s="26">
        <v>15082</v>
      </c>
      <c r="F48" s="27">
        <v>439.11</v>
      </c>
      <c r="G48" s="28">
        <v>6.1000000000000004E-3</v>
      </c>
      <c r="H48" s="29"/>
    </row>
    <row r="49" spans="2:8" ht="15.75" customHeight="1" x14ac:dyDescent="0.25">
      <c r="B49" s="25" t="s">
        <v>418</v>
      </c>
      <c r="C49" s="25" t="s">
        <v>419</v>
      </c>
      <c r="D49" s="25" t="s">
        <v>316</v>
      </c>
      <c r="E49" s="26">
        <v>25995</v>
      </c>
      <c r="F49" s="27">
        <v>423.59</v>
      </c>
      <c r="G49" s="28">
        <v>5.8999999999999999E-3</v>
      </c>
      <c r="H49" s="29"/>
    </row>
    <row r="50" spans="2:8" ht="15.75" customHeight="1" x14ac:dyDescent="0.25">
      <c r="B50" s="25" t="s">
        <v>569</v>
      </c>
      <c r="C50" s="25" t="s">
        <v>570</v>
      </c>
      <c r="D50" s="25" t="s">
        <v>169</v>
      </c>
      <c r="E50" s="26">
        <v>28379</v>
      </c>
      <c r="F50" s="27">
        <v>420.24</v>
      </c>
      <c r="G50" s="28">
        <v>5.8999999999999999E-3</v>
      </c>
      <c r="H50" s="29"/>
    </row>
    <row r="51" spans="2:8" ht="15.75" customHeight="1" x14ac:dyDescent="0.25">
      <c r="B51" s="25" t="s">
        <v>391</v>
      </c>
      <c r="C51" s="25" t="s">
        <v>392</v>
      </c>
      <c r="D51" s="25" t="s">
        <v>169</v>
      </c>
      <c r="E51" s="26">
        <v>6420</v>
      </c>
      <c r="F51" s="27">
        <v>411.03</v>
      </c>
      <c r="G51" s="28">
        <v>5.7000000000000002E-3</v>
      </c>
      <c r="H51" s="29"/>
    </row>
    <row r="52" spans="2:8" ht="15.75" customHeight="1" x14ac:dyDescent="0.25">
      <c r="B52" s="25" t="s">
        <v>200</v>
      </c>
      <c r="C52" s="25" t="s">
        <v>201</v>
      </c>
      <c r="D52" s="25" t="s">
        <v>202</v>
      </c>
      <c r="E52" s="26">
        <v>91402</v>
      </c>
      <c r="F52" s="27">
        <v>402.72</v>
      </c>
      <c r="G52" s="28">
        <v>5.5999999999999999E-3</v>
      </c>
      <c r="H52" s="29"/>
    </row>
    <row r="53" spans="2:8" ht="15.75" customHeight="1" x14ac:dyDescent="0.25">
      <c r="B53" s="25" t="s">
        <v>776</v>
      </c>
      <c r="C53" s="25" t="s">
        <v>777</v>
      </c>
      <c r="D53" s="25" t="s">
        <v>132</v>
      </c>
      <c r="E53" s="26">
        <v>76458</v>
      </c>
      <c r="F53" s="27">
        <v>393.64</v>
      </c>
      <c r="G53" s="28">
        <v>5.4999999999999997E-3</v>
      </c>
      <c r="H53" s="29"/>
    </row>
    <row r="54" spans="2:8" ht="15.75" customHeight="1" x14ac:dyDescent="0.25">
      <c r="B54" s="25" t="s">
        <v>342</v>
      </c>
      <c r="C54" s="25" t="s">
        <v>343</v>
      </c>
      <c r="D54" s="25" t="s">
        <v>135</v>
      </c>
      <c r="E54" s="26">
        <v>6925</v>
      </c>
      <c r="F54" s="27">
        <v>386.39</v>
      </c>
      <c r="G54" s="28">
        <v>5.4000000000000003E-3</v>
      </c>
      <c r="H54" s="29"/>
    </row>
    <row r="55" spans="2:8" ht="15.75" customHeight="1" x14ac:dyDescent="0.25">
      <c r="B55" s="25" t="s">
        <v>749</v>
      </c>
      <c r="C55" s="25" t="s">
        <v>750</v>
      </c>
      <c r="D55" s="25" t="s">
        <v>254</v>
      </c>
      <c r="E55" s="26">
        <v>8136</v>
      </c>
      <c r="F55" s="27">
        <v>383.75</v>
      </c>
      <c r="G55" s="28">
        <v>5.4000000000000003E-3</v>
      </c>
      <c r="H55" s="29"/>
    </row>
    <row r="56" spans="2:8" ht="15.75" customHeight="1" x14ac:dyDescent="0.25">
      <c r="B56" s="25" t="s">
        <v>365</v>
      </c>
      <c r="C56" s="25" t="s">
        <v>366</v>
      </c>
      <c r="D56" s="25" t="s">
        <v>227</v>
      </c>
      <c r="E56" s="26">
        <v>78164</v>
      </c>
      <c r="F56" s="27">
        <v>379.17</v>
      </c>
      <c r="G56" s="28">
        <v>5.3E-3</v>
      </c>
      <c r="H56" s="29"/>
    </row>
    <row r="57" spans="2:8" ht="15.75" customHeight="1" x14ac:dyDescent="0.25">
      <c r="B57" s="25" t="s">
        <v>230</v>
      </c>
      <c r="C57" s="25" t="s">
        <v>231</v>
      </c>
      <c r="D57" s="25" t="s">
        <v>232</v>
      </c>
      <c r="E57" s="26">
        <v>8912</v>
      </c>
      <c r="F57" s="27">
        <v>376.82</v>
      </c>
      <c r="G57" s="28">
        <v>5.3E-3</v>
      </c>
      <c r="H57" s="29"/>
    </row>
    <row r="58" spans="2:8" ht="15.75" customHeight="1" x14ac:dyDescent="0.25">
      <c r="B58" s="25" t="s">
        <v>412</v>
      </c>
      <c r="C58" s="25" t="s">
        <v>413</v>
      </c>
      <c r="D58" s="25" t="s">
        <v>178</v>
      </c>
      <c r="E58" s="26">
        <v>4889</v>
      </c>
      <c r="F58" s="27">
        <v>376.67</v>
      </c>
      <c r="G58" s="28">
        <v>5.3E-3</v>
      </c>
      <c r="H58" s="29"/>
    </row>
    <row r="59" spans="2:8" ht="15.75" customHeight="1" x14ac:dyDescent="0.25">
      <c r="B59" s="25" t="s">
        <v>743</v>
      </c>
      <c r="C59" s="25" t="s">
        <v>744</v>
      </c>
      <c r="D59" s="25" t="s">
        <v>566</v>
      </c>
      <c r="E59" s="26">
        <v>33794</v>
      </c>
      <c r="F59" s="27">
        <v>370.87</v>
      </c>
      <c r="G59" s="28">
        <v>5.1999999999999998E-3</v>
      </c>
      <c r="H59" s="29"/>
    </row>
    <row r="60" spans="2:8" ht="15.75" customHeight="1" x14ac:dyDescent="0.25">
      <c r="B60" s="25" t="s">
        <v>296</v>
      </c>
      <c r="C60" s="25" t="s">
        <v>297</v>
      </c>
      <c r="D60" s="25" t="s">
        <v>285</v>
      </c>
      <c r="E60" s="26">
        <v>24011</v>
      </c>
      <c r="F60" s="27">
        <v>358.23</v>
      </c>
      <c r="G60" s="28">
        <v>5.0000000000000001E-3</v>
      </c>
      <c r="H60" s="29"/>
    </row>
    <row r="61" spans="2:8" ht="15.75" customHeight="1" x14ac:dyDescent="0.25">
      <c r="B61" s="25" t="s">
        <v>906</v>
      </c>
      <c r="C61" s="25" t="s">
        <v>907</v>
      </c>
      <c r="D61" s="25" t="s">
        <v>202</v>
      </c>
      <c r="E61" s="26">
        <v>49620</v>
      </c>
      <c r="F61" s="27">
        <v>356.57</v>
      </c>
      <c r="G61" s="28">
        <v>5.0000000000000001E-3</v>
      </c>
      <c r="H61" s="29"/>
    </row>
    <row r="62" spans="2:8" ht="15.75" customHeight="1" x14ac:dyDescent="0.25">
      <c r="B62" s="25" t="s">
        <v>910</v>
      </c>
      <c r="C62" s="25" t="s">
        <v>911</v>
      </c>
      <c r="D62" s="25" t="s">
        <v>202</v>
      </c>
      <c r="E62" s="26">
        <v>19788</v>
      </c>
      <c r="F62" s="27">
        <v>353.97</v>
      </c>
      <c r="G62" s="28">
        <v>4.8999999999999998E-3</v>
      </c>
      <c r="H62" s="29"/>
    </row>
    <row r="63" spans="2:8" ht="15.75" customHeight="1" x14ac:dyDescent="0.25">
      <c r="B63" s="25" t="s">
        <v>383</v>
      </c>
      <c r="C63" s="25" t="s">
        <v>384</v>
      </c>
      <c r="D63" s="25" t="s">
        <v>227</v>
      </c>
      <c r="E63" s="26">
        <v>66699</v>
      </c>
      <c r="F63" s="27">
        <v>350.44</v>
      </c>
      <c r="G63" s="28">
        <v>4.8999999999999998E-3</v>
      </c>
      <c r="H63" s="29"/>
    </row>
    <row r="64" spans="2:8" ht="15.75" customHeight="1" x14ac:dyDescent="0.25">
      <c r="B64" s="25" t="s">
        <v>300</v>
      </c>
      <c r="C64" s="25" t="s">
        <v>301</v>
      </c>
      <c r="D64" s="25" t="s">
        <v>146</v>
      </c>
      <c r="E64" s="26">
        <v>6366</v>
      </c>
      <c r="F64" s="27">
        <v>348.57</v>
      </c>
      <c r="G64" s="28">
        <v>4.8999999999999998E-3</v>
      </c>
      <c r="H64" s="29"/>
    </row>
    <row r="65" spans="2:16" ht="15.75" customHeight="1" x14ac:dyDescent="0.25">
      <c r="B65" s="25" t="s">
        <v>778</v>
      </c>
      <c r="C65" s="25" t="s">
        <v>779</v>
      </c>
      <c r="D65" s="25" t="s">
        <v>135</v>
      </c>
      <c r="E65" s="26">
        <v>7441</v>
      </c>
      <c r="F65" s="27">
        <v>347.71</v>
      </c>
      <c r="G65" s="28">
        <v>4.7999999999999996E-3</v>
      </c>
      <c r="H65" s="29"/>
    </row>
    <row r="66" spans="2:16" ht="15.75" customHeight="1" x14ac:dyDescent="0.25">
      <c r="B66" s="25" t="s">
        <v>321</v>
      </c>
      <c r="C66" s="25" t="s">
        <v>322</v>
      </c>
      <c r="D66" s="25" t="s">
        <v>285</v>
      </c>
      <c r="E66" s="26">
        <v>56587</v>
      </c>
      <c r="F66" s="27">
        <v>336.72</v>
      </c>
      <c r="G66" s="28">
        <v>4.7000000000000002E-3</v>
      </c>
      <c r="H66" s="29"/>
    </row>
    <row r="67" spans="2:16" ht="15.75" customHeight="1" x14ac:dyDescent="0.25">
      <c r="B67" s="25" t="s">
        <v>197</v>
      </c>
      <c r="C67" s="25" t="s">
        <v>198</v>
      </c>
      <c r="D67" s="25" t="s">
        <v>199</v>
      </c>
      <c r="E67" s="26">
        <v>74102</v>
      </c>
      <c r="F67" s="27">
        <v>336.42</v>
      </c>
      <c r="G67" s="28">
        <v>4.7000000000000002E-3</v>
      </c>
      <c r="H67" s="29"/>
    </row>
    <row r="68" spans="2:16" ht="15.75" customHeight="1" x14ac:dyDescent="0.25">
      <c r="B68" s="25" t="s">
        <v>543</v>
      </c>
      <c r="C68" s="25" t="s">
        <v>544</v>
      </c>
      <c r="D68" s="25" t="s">
        <v>362</v>
      </c>
      <c r="E68" s="26">
        <v>5423</v>
      </c>
      <c r="F68" s="27">
        <v>335.45</v>
      </c>
      <c r="G68" s="28">
        <v>4.7000000000000002E-3</v>
      </c>
      <c r="H68" s="29"/>
      <c r="L68" s="3"/>
    </row>
    <row r="69" spans="2:16" ht="15.75" customHeight="1" x14ac:dyDescent="0.25">
      <c r="B69" s="25" t="s">
        <v>608</v>
      </c>
      <c r="C69" s="25" t="s">
        <v>609</v>
      </c>
      <c r="D69" s="25" t="s">
        <v>227</v>
      </c>
      <c r="E69" s="26">
        <v>22931</v>
      </c>
      <c r="F69" s="27">
        <v>326.42</v>
      </c>
      <c r="G69" s="28">
        <v>4.5999999999999999E-3</v>
      </c>
      <c r="H69" s="29"/>
    </row>
    <row r="70" spans="2:16" ht="15.75" customHeight="1" x14ac:dyDescent="0.25">
      <c r="B70" s="25" t="s">
        <v>235</v>
      </c>
      <c r="C70" s="25" t="s">
        <v>236</v>
      </c>
      <c r="D70" s="25" t="s">
        <v>140</v>
      </c>
      <c r="E70" s="26">
        <v>195784</v>
      </c>
      <c r="F70" s="27">
        <v>324.27999999999997</v>
      </c>
      <c r="G70" s="28">
        <v>4.4999999999999997E-3</v>
      </c>
      <c r="H70" s="29"/>
      <c r="L70" s="3"/>
    </row>
    <row r="71" spans="2:16" ht="15.75" customHeight="1" x14ac:dyDescent="0.25">
      <c r="B71" s="25" t="s">
        <v>281</v>
      </c>
      <c r="C71" s="25" t="s">
        <v>282</v>
      </c>
      <c r="D71" s="25" t="s">
        <v>140</v>
      </c>
      <c r="E71" s="26">
        <v>105787</v>
      </c>
      <c r="F71" s="27">
        <v>321.54000000000002</v>
      </c>
      <c r="G71" s="28">
        <v>4.4999999999999997E-3</v>
      </c>
      <c r="H71" s="29"/>
      <c r="L71" s="3"/>
    </row>
    <row r="72" spans="2:16" ht="15.75" customHeight="1" x14ac:dyDescent="0.25">
      <c r="B72" s="25" t="s">
        <v>239</v>
      </c>
      <c r="C72" s="25" t="s">
        <v>240</v>
      </c>
      <c r="D72" s="25" t="s">
        <v>241</v>
      </c>
      <c r="E72" s="26">
        <v>143473</v>
      </c>
      <c r="F72" s="27">
        <v>314.99</v>
      </c>
      <c r="G72" s="28">
        <v>4.4000000000000003E-3</v>
      </c>
      <c r="H72" s="29"/>
      <c r="L72" s="3"/>
    </row>
    <row r="73" spans="2:16" ht="15.75" customHeight="1" x14ac:dyDescent="0.25">
      <c r="B73" s="25" t="s">
        <v>571</v>
      </c>
      <c r="C73" s="25" t="s">
        <v>572</v>
      </c>
      <c r="D73" s="25" t="s">
        <v>169</v>
      </c>
      <c r="E73" s="26">
        <v>6780</v>
      </c>
      <c r="F73" s="27">
        <v>311.64</v>
      </c>
      <c r="G73" s="28">
        <v>4.3E-3</v>
      </c>
      <c r="H73" s="29"/>
      <c r="L73" s="3"/>
    </row>
    <row r="74" spans="2:16" ht="15.75" customHeight="1" x14ac:dyDescent="0.25">
      <c r="B74" s="25" t="s">
        <v>371</v>
      </c>
      <c r="C74" s="25" t="s">
        <v>372</v>
      </c>
      <c r="D74" s="25" t="s">
        <v>135</v>
      </c>
      <c r="E74" s="26">
        <v>12572</v>
      </c>
      <c r="F74" s="27">
        <v>297.31</v>
      </c>
      <c r="G74" s="28">
        <v>4.1000000000000003E-3</v>
      </c>
      <c r="H74" s="29"/>
      <c r="L74" s="3"/>
    </row>
    <row r="75" spans="2:16" ht="15.75" customHeight="1" x14ac:dyDescent="0.25">
      <c r="B75" s="25" t="s">
        <v>416</v>
      </c>
      <c r="C75" s="25" t="s">
        <v>417</v>
      </c>
      <c r="D75" s="25" t="s">
        <v>251</v>
      </c>
      <c r="E75" s="26">
        <v>151004</v>
      </c>
      <c r="F75" s="27">
        <v>287.38</v>
      </c>
      <c r="G75" s="28">
        <v>4.0000000000000001E-3</v>
      </c>
      <c r="H75" s="29"/>
      <c r="L75" s="5"/>
      <c r="M75" s="5"/>
      <c r="N75" s="6"/>
      <c r="O75" s="6"/>
      <c r="P75" s="5"/>
    </row>
    <row r="76" spans="2:16" ht="15.75" customHeight="1" x14ac:dyDescent="0.25">
      <c r="B76" s="25" t="s">
        <v>217</v>
      </c>
      <c r="C76" s="25" t="s">
        <v>218</v>
      </c>
      <c r="D76" s="25" t="s">
        <v>219</v>
      </c>
      <c r="E76" s="26">
        <v>34348</v>
      </c>
      <c r="F76" s="27">
        <v>283.29000000000002</v>
      </c>
      <c r="G76" s="28">
        <v>3.8999999999999998E-3</v>
      </c>
      <c r="H76" s="29"/>
    </row>
    <row r="77" spans="2:16" ht="15.75" customHeight="1" x14ac:dyDescent="0.25">
      <c r="B77" s="25" t="s">
        <v>252</v>
      </c>
      <c r="C77" s="25" t="s">
        <v>253</v>
      </c>
      <c r="D77" s="25" t="s">
        <v>254</v>
      </c>
      <c r="E77" s="26">
        <v>4162</v>
      </c>
      <c r="F77" s="27">
        <v>282.43</v>
      </c>
      <c r="G77" s="28">
        <v>3.8999999999999998E-3</v>
      </c>
      <c r="H77" s="29"/>
    </row>
    <row r="78" spans="2:16" ht="15.75" customHeight="1" x14ac:dyDescent="0.25">
      <c r="B78" s="25" t="s">
        <v>195</v>
      </c>
      <c r="C78" s="25" t="s">
        <v>196</v>
      </c>
      <c r="D78" s="25" t="s">
        <v>129</v>
      </c>
      <c r="E78" s="26">
        <v>101638</v>
      </c>
      <c r="F78" s="27">
        <v>279.91000000000003</v>
      </c>
      <c r="G78" s="28">
        <v>3.8999999999999998E-3</v>
      </c>
      <c r="H78" s="29"/>
      <c r="L78" s="7"/>
      <c r="M78" s="7"/>
      <c r="N78" s="7"/>
      <c r="O78" s="7"/>
      <c r="P78" s="7"/>
    </row>
    <row r="79" spans="2:16" ht="15.75" customHeight="1" x14ac:dyDescent="0.25">
      <c r="B79" s="25" t="s">
        <v>244</v>
      </c>
      <c r="C79" s="25" t="s">
        <v>245</v>
      </c>
      <c r="D79" s="25" t="s">
        <v>246</v>
      </c>
      <c r="E79" s="26">
        <v>20240</v>
      </c>
      <c r="F79" s="27">
        <v>278.47000000000003</v>
      </c>
      <c r="G79" s="28">
        <v>3.8999999999999998E-3</v>
      </c>
      <c r="H79" s="29"/>
      <c r="L79" s="7"/>
      <c r="M79" s="7"/>
      <c r="N79" s="7"/>
      <c r="O79" s="7"/>
      <c r="P79" s="7"/>
    </row>
    <row r="80" spans="2:16" ht="15.75" customHeight="1" x14ac:dyDescent="0.25">
      <c r="B80" s="25" t="s">
        <v>147</v>
      </c>
      <c r="C80" s="25" t="s">
        <v>148</v>
      </c>
      <c r="D80" s="25" t="s">
        <v>132</v>
      </c>
      <c r="E80" s="26">
        <v>4942</v>
      </c>
      <c r="F80" s="27">
        <v>266.13</v>
      </c>
      <c r="G80" s="28">
        <v>3.7000000000000002E-3</v>
      </c>
      <c r="H80" s="29"/>
      <c r="L80" s="7"/>
      <c r="M80" s="7"/>
      <c r="N80" s="7"/>
      <c r="O80" s="7"/>
      <c r="P80" s="7"/>
    </row>
    <row r="81" spans="2:16" ht="15.75" customHeight="1" x14ac:dyDescent="0.25">
      <c r="B81" s="25" t="s">
        <v>745</v>
      </c>
      <c r="C81" s="25" t="s">
        <v>746</v>
      </c>
      <c r="D81" s="25" t="s">
        <v>269</v>
      </c>
      <c r="E81" s="26">
        <v>8186</v>
      </c>
      <c r="F81" s="27">
        <v>258.58999999999997</v>
      </c>
      <c r="G81" s="28">
        <v>3.5999999999999999E-3</v>
      </c>
      <c r="H81" s="29"/>
      <c r="L81" s="7"/>
      <c r="M81" s="7"/>
      <c r="N81" s="7"/>
      <c r="O81" s="7"/>
      <c r="P81" s="7"/>
    </row>
    <row r="82" spans="2:16" ht="15.75" customHeight="1" x14ac:dyDescent="0.25">
      <c r="B82" s="25" t="s">
        <v>192</v>
      </c>
      <c r="C82" s="25" t="s">
        <v>193</v>
      </c>
      <c r="D82" s="25" t="s">
        <v>194</v>
      </c>
      <c r="E82" s="26">
        <v>13511</v>
      </c>
      <c r="F82" s="27">
        <v>246.22</v>
      </c>
      <c r="G82" s="28">
        <v>3.3999999999999998E-3</v>
      </c>
      <c r="H82" s="29"/>
      <c r="L82" s="7"/>
      <c r="M82" s="7"/>
      <c r="N82" s="7"/>
      <c r="O82" s="7"/>
      <c r="P82" s="7"/>
    </row>
    <row r="83" spans="2:16" ht="15.75" customHeight="1" x14ac:dyDescent="0.25">
      <c r="B83" s="25" t="s">
        <v>888</v>
      </c>
      <c r="C83" s="25" t="s">
        <v>889</v>
      </c>
      <c r="D83" s="25" t="s">
        <v>178</v>
      </c>
      <c r="E83" s="26">
        <v>2897</v>
      </c>
      <c r="F83" s="27">
        <v>245.98</v>
      </c>
      <c r="G83" s="28">
        <v>3.3999999999999998E-3</v>
      </c>
      <c r="H83" s="29"/>
      <c r="L83" s="7"/>
      <c r="M83" s="7"/>
      <c r="N83" s="7"/>
      <c r="O83" s="7"/>
      <c r="P83" s="7"/>
    </row>
    <row r="84" spans="2:16" ht="15.75" customHeight="1" x14ac:dyDescent="0.25">
      <c r="B84" s="25" t="s">
        <v>747</v>
      </c>
      <c r="C84" s="25" t="s">
        <v>748</v>
      </c>
      <c r="D84" s="25" t="s">
        <v>285</v>
      </c>
      <c r="E84" s="26">
        <v>13078</v>
      </c>
      <c r="F84" s="27">
        <v>234.04</v>
      </c>
      <c r="G84" s="28">
        <v>3.3E-3</v>
      </c>
      <c r="H84" s="29"/>
      <c r="L84" s="7"/>
      <c r="M84" s="7"/>
      <c r="N84" s="7"/>
      <c r="O84" s="7"/>
      <c r="P84" s="7"/>
    </row>
    <row r="85" spans="2:16" ht="15.75" customHeight="1" x14ac:dyDescent="0.25">
      <c r="B85" s="25" t="s">
        <v>890</v>
      </c>
      <c r="C85" s="25" t="s">
        <v>891</v>
      </c>
      <c r="D85" s="25" t="s">
        <v>276</v>
      </c>
      <c r="E85" s="26">
        <v>31741</v>
      </c>
      <c r="F85" s="27">
        <v>212.74</v>
      </c>
      <c r="G85" s="28">
        <v>3.0000000000000001E-3</v>
      </c>
      <c r="H85" s="29"/>
    </row>
    <row r="86" spans="2:16" ht="15.75" customHeight="1" x14ac:dyDescent="0.25">
      <c r="B86" s="25" t="s">
        <v>228</v>
      </c>
      <c r="C86" s="25" t="s">
        <v>229</v>
      </c>
      <c r="D86" s="25" t="s">
        <v>129</v>
      </c>
      <c r="E86" s="26">
        <v>177191</v>
      </c>
      <c r="F86" s="27">
        <v>211.69</v>
      </c>
      <c r="G86" s="28">
        <v>3.0000000000000001E-3</v>
      </c>
      <c r="H86" s="29"/>
      <c r="L86" s="3"/>
    </row>
    <row r="87" spans="2:16" ht="15.75" customHeight="1" x14ac:dyDescent="0.25">
      <c r="B87" s="25" t="s">
        <v>892</v>
      </c>
      <c r="C87" s="25" t="s">
        <v>893</v>
      </c>
      <c r="D87" s="25" t="s">
        <v>181</v>
      </c>
      <c r="E87" s="26">
        <v>19813</v>
      </c>
      <c r="F87" s="27">
        <v>206.93</v>
      </c>
      <c r="G87" s="28">
        <v>2.8999999999999998E-3</v>
      </c>
      <c r="H87" s="29"/>
    </row>
    <row r="88" spans="2:16" ht="15.75" customHeight="1" x14ac:dyDescent="0.25">
      <c r="B88" s="25" t="s">
        <v>896</v>
      </c>
      <c r="C88" s="25" t="s">
        <v>897</v>
      </c>
      <c r="D88" s="25" t="s">
        <v>246</v>
      </c>
      <c r="E88" s="26">
        <v>7197</v>
      </c>
      <c r="F88" s="27">
        <v>204.62</v>
      </c>
      <c r="G88" s="28">
        <v>2.8999999999999998E-3</v>
      </c>
      <c r="H88" s="29"/>
    </row>
    <row r="89" spans="2:16" ht="15.75" customHeight="1" x14ac:dyDescent="0.25">
      <c r="B89" s="25" t="s">
        <v>898</v>
      </c>
      <c r="C89" s="25" t="s">
        <v>899</v>
      </c>
      <c r="D89" s="25" t="s">
        <v>276</v>
      </c>
      <c r="E89" s="26">
        <v>721</v>
      </c>
      <c r="F89" s="27">
        <v>200.95</v>
      </c>
      <c r="G89" s="28">
        <v>2.8E-3</v>
      </c>
      <c r="H89" s="29"/>
    </row>
    <row r="90" spans="2:16" ht="15.75" customHeight="1" x14ac:dyDescent="0.25">
      <c r="B90" s="25" t="s">
        <v>314</v>
      </c>
      <c r="C90" s="25" t="s">
        <v>315</v>
      </c>
      <c r="D90" s="25" t="s">
        <v>316</v>
      </c>
      <c r="E90" s="26">
        <v>15698</v>
      </c>
      <c r="F90" s="27">
        <v>200.38</v>
      </c>
      <c r="G90" s="28">
        <v>2.8E-3</v>
      </c>
      <c r="H90" s="29"/>
    </row>
    <row r="91" spans="2:16" ht="15.75" customHeight="1" x14ac:dyDescent="0.25">
      <c r="B91" s="25" t="s">
        <v>914</v>
      </c>
      <c r="C91" s="25" t="s">
        <v>915</v>
      </c>
      <c r="D91" s="25" t="s">
        <v>227</v>
      </c>
      <c r="E91" s="26">
        <v>2308</v>
      </c>
      <c r="F91" s="27">
        <v>197.02</v>
      </c>
      <c r="G91" s="28">
        <v>2.7000000000000001E-3</v>
      </c>
      <c r="H91" s="29"/>
    </row>
    <row r="92" spans="2:16" ht="15.75" customHeight="1" x14ac:dyDescent="0.25">
      <c r="B92" s="25" t="s">
        <v>363</v>
      </c>
      <c r="C92" s="25" t="s">
        <v>364</v>
      </c>
      <c r="D92" s="25" t="s">
        <v>269</v>
      </c>
      <c r="E92" s="26">
        <v>7927</v>
      </c>
      <c r="F92" s="27">
        <v>193.11</v>
      </c>
      <c r="G92" s="28">
        <v>2.7000000000000001E-3</v>
      </c>
      <c r="H92" s="29"/>
    </row>
    <row r="93" spans="2:16" ht="15.75" customHeight="1" x14ac:dyDescent="0.25">
      <c r="B93" s="25" t="s">
        <v>242</v>
      </c>
      <c r="C93" s="25" t="s">
        <v>243</v>
      </c>
      <c r="D93" s="25" t="s">
        <v>129</v>
      </c>
      <c r="E93" s="26">
        <v>154590</v>
      </c>
      <c r="F93" s="27">
        <v>190.55</v>
      </c>
      <c r="G93" s="28">
        <v>2.7000000000000001E-3</v>
      </c>
      <c r="H93" s="29"/>
    </row>
    <row r="94" spans="2:16" ht="15.75" customHeight="1" x14ac:dyDescent="0.25">
      <c r="B94" s="25" t="s">
        <v>900</v>
      </c>
      <c r="C94" s="25" t="s">
        <v>901</v>
      </c>
      <c r="D94" s="25" t="s">
        <v>246</v>
      </c>
      <c r="E94" s="26">
        <v>31414</v>
      </c>
      <c r="F94" s="27">
        <v>188.7</v>
      </c>
      <c r="G94" s="28">
        <v>2.5999999999999999E-3</v>
      </c>
      <c r="H94" s="29"/>
    </row>
    <row r="95" spans="2:16" ht="15.75" customHeight="1" x14ac:dyDescent="0.25">
      <c r="B95" s="25" t="s">
        <v>916</v>
      </c>
      <c r="C95" s="25" t="s">
        <v>917</v>
      </c>
      <c r="D95" s="25" t="s">
        <v>227</v>
      </c>
      <c r="E95" s="26">
        <v>98481</v>
      </c>
      <c r="F95" s="27">
        <v>171.17</v>
      </c>
      <c r="G95" s="28">
        <v>2.3999999999999998E-3</v>
      </c>
      <c r="H95" s="29"/>
    </row>
    <row r="96" spans="2:16" ht="15.75" customHeight="1" x14ac:dyDescent="0.25">
      <c r="B96" s="25" t="s">
        <v>902</v>
      </c>
      <c r="C96" s="25" t="s">
        <v>903</v>
      </c>
      <c r="D96" s="25" t="s">
        <v>566</v>
      </c>
      <c r="E96" s="26">
        <v>27864</v>
      </c>
      <c r="F96" s="27">
        <v>170.81</v>
      </c>
      <c r="G96" s="28">
        <v>2.3999999999999998E-3</v>
      </c>
      <c r="H96" s="29"/>
    </row>
    <row r="97" spans="2:8" ht="15.75" customHeight="1" x14ac:dyDescent="0.25">
      <c r="B97" s="25" t="s">
        <v>924</v>
      </c>
      <c r="C97" s="25" t="s">
        <v>925</v>
      </c>
      <c r="D97" s="25" t="s">
        <v>135</v>
      </c>
      <c r="E97" s="26">
        <v>24905</v>
      </c>
      <c r="F97" s="27">
        <v>165.77</v>
      </c>
      <c r="G97" s="28">
        <v>2.3E-3</v>
      </c>
      <c r="H97" s="29"/>
    </row>
    <row r="98" spans="2:8" ht="15.75" customHeight="1" x14ac:dyDescent="0.25">
      <c r="B98" s="25" t="s">
        <v>918</v>
      </c>
      <c r="C98" s="25" t="s">
        <v>919</v>
      </c>
      <c r="D98" s="25" t="s">
        <v>202</v>
      </c>
      <c r="E98" s="26">
        <v>16329</v>
      </c>
      <c r="F98" s="27">
        <v>162.86000000000001</v>
      </c>
      <c r="G98" s="28">
        <v>2.3E-3</v>
      </c>
      <c r="H98" s="29"/>
    </row>
    <row r="99" spans="2:8" ht="15.75" customHeight="1" x14ac:dyDescent="0.25">
      <c r="B99" s="25" t="s">
        <v>261</v>
      </c>
      <c r="C99" s="25" t="s">
        <v>262</v>
      </c>
      <c r="D99" s="25" t="s">
        <v>263</v>
      </c>
      <c r="E99" s="26">
        <v>16223</v>
      </c>
      <c r="F99" s="27">
        <v>160.49</v>
      </c>
      <c r="G99" s="28">
        <v>2.2000000000000001E-3</v>
      </c>
      <c r="H99" s="29"/>
    </row>
    <row r="100" spans="2:8" ht="15.75" customHeight="1" x14ac:dyDescent="0.25">
      <c r="B100" s="25" t="s">
        <v>904</v>
      </c>
      <c r="C100" s="25" t="s">
        <v>905</v>
      </c>
      <c r="D100" s="25" t="s">
        <v>251</v>
      </c>
      <c r="E100" s="26">
        <v>468</v>
      </c>
      <c r="F100" s="27">
        <v>159.51</v>
      </c>
      <c r="G100" s="28">
        <v>2.2000000000000001E-3</v>
      </c>
      <c r="H100" s="29"/>
    </row>
    <row r="101" spans="2:8" ht="15.75" customHeight="1" x14ac:dyDescent="0.25">
      <c r="B101" s="25" t="s">
        <v>167</v>
      </c>
      <c r="C101" s="25" t="s">
        <v>168</v>
      </c>
      <c r="D101" s="25" t="s">
        <v>169</v>
      </c>
      <c r="E101" s="26">
        <v>13391</v>
      </c>
      <c r="F101" s="27">
        <v>143.81</v>
      </c>
      <c r="G101" s="28">
        <v>2E-3</v>
      </c>
      <c r="H101" s="29"/>
    </row>
    <row r="102" spans="2:8" ht="15.75" customHeight="1" x14ac:dyDescent="0.25">
      <c r="B102" s="25" t="s">
        <v>367</v>
      </c>
      <c r="C102" s="25" t="s">
        <v>368</v>
      </c>
      <c r="D102" s="25" t="s">
        <v>169</v>
      </c>
      <c r="E102" s="26">
        <v>4880</v>
      </c>
      <c r="F102" s="27">
        <v>136.22</v>
      </c>
      <c r="G102" s="28">
        <v>1.9E-3</v>
      </c>
      <c r="H102" s="29"/>
    </row>
    <row r="103" spans="2:8" ht="15.75" customHeight="1" x14ac:dyDescent="0.25">
      <c r="B103" s="25" t="s">
        <v>920</v>
      </c>
      <c r="C103" s="25" t="s">
        <v>921</v>
      </c>
      <c r="D103" s="25" t="s">
        <v>241</v>
      </c>
      <c r="E103" s="26">
        <v>14939</v>
      </c>
      <c r="F103" s="27">
        <v>133.85</v>
      </c>
      <c r="G103" s="28">
        <v>1.9E-3</v>
      </c>
      <c r="H103" s="29"/>
    </row>
    <row r="104" spans="2:8" ht="15.75" customHeight="1" x14ac:dyDescent="0.25">
      <c r="B104" s="25" t="s">
        <v>283</v>
      </c>
      <c r="C104" s="25" t="s">
        <v>284</v>
      </c>
      <c r="D104" s="25" t="s">
        <v>285</v>
      </c>
      <c r="E104" s="26">
        <v>20836</v>
      </c>
      <c r="F104" s="27">
        <v>126.2</v>
      </c>
      <c r="G104" s="28">
        <v>1.8E-3</v>
      </c>
      <c r="H104" s="29"/>
    </row>
    <row r="105" spans="2:8" ht="15.75" customHeight="1" x14ac:dyDescent="0.25">
      <c r="B105" s="25" t="s">
        <v>908</v>
      </c>
      <c r="C105" s="25" t="s">
        <v>909</v>
      </c>
      <c r="D105" s="25" t="s">
        <v>227</v>
      </c>
      <c r="E105" s="26">
        <v>15921</v>
      </c>
      <c r="F105" s="27">
        <v>115.36</v>
      </c>
      <c r="G105" s="28">
        <v>1.6000000000000001E-3</v>
      </c>
      <c r="H105" s="29"/>
    </row>
    <row r="106" spans="2:8" ht="15.75" customHeight="1" x14ac:dyDescent="0.25">
      <c r="B106" s="25" t="s">
        <v>922</v>
      </c>
      <c r="C106" s="25" t="s">
        <v>923</v>
      </c>
      <c r="D106" s="25" t="s">
        <v>285</v>
      </c>
      <c r="E106" s="26">
        <v>10157</v>
      </c>
      <c r="F106" s="27">
        <v>100.43</v>
      </c>
      <c r="G106" s="28">
        <v>1.4E-3</v>
      </c>
      <c r="H106" s="29"/>
    </row>
    <row r="107" spans="2:8" ht="15.75" customHeight="1" x14ac:dyDescent="0.25">
      <c r="B107" s="25" t="s">
        <v>912</v>
      </c>
      <c r="C107" s="25" t="s">
        <v>913</v>
      </c>
      <c r="D107" s="25" t="s">
        <v>194</v>
      </c>
      <c r="E107" s="26">
        <v>15101</v>
      </c>
      <c r="F107" s="27">
        <v>76.14</v>
      </c>
      <c r="G107" s="28">
        <v>1.1000000000000001E-3</v>
      </c>
      <c r="H107" s="29"/>
    </row>
    <row r="108" spans="2:8" ht="15.75" customHeight="1" x14ac:dyDescent="0.25">
      <c r="B108" s="24" t="s">
        <v>102</v>
      </c>
      <c r="C108" s="24"/>
      <c r="D108" s="24"/>
      <c r="E108" s="30"/>
      <c r="F108" s="31">
        <v>71441.08</v>
      </c>
      <c r="G108" s="32">
        <v>0.996</v>
      </c>
      <c r="H108" s="33"/>
    </row>
    <row r="109" spans="2:8" ht="15.75" customHeight="1" x14ac:dyDescent="0.25">
      <c r="B109" s="24" t="s">
        <v>149</v>
      </c>
      <c r="C109" s="25"/>
      <c r="D109" s="25"/>
      <c r="E109" s="26"/>
      <c r="F109" s="27"/>
      <c r="G109" s="28"/>
      <c r="H109" s="29"/>
    </row>
    <row r="110" spans="2:8" ht="15.75" customHeight="1" x14ac:dyDescent="0.25">
      <c r="B110" s="24" t="s">
        <v>102</v>
      </c>
      <c r="C110" s="25"/>
      <c r="D110" s="25"/>
      <c r="E110" s="26"/>
      <c r="F110" s="34" t="s">
        <v>104</v>
      </c>
      <c r="G110" s="35" t="s">
        <v>104</v>
      </c>
      <c r="H110" s="29"/>
    </row>
    <row r="111" spans="2:8" ht="15.75" customHeight="1" x14ac:dyDescent="0.25">
      <c r="B111" s="25"/>
      <c r="C111" s="25"/>
      <c r="D111" s="25"/>
      <c r="E111" s="26"/>
      <c r="F111" s="27"/>
      <c r="G111" s="28"/>
      <c r="H111" s="29"/>
    </row>
    <row r="112" spans="2:8" ht="15.75" customHeight="1" x14ac:dyDescent="0.25">
      <c r="B112" s="36" t="s">
        <v>106</v>
      </c>
      <c r="C112" s="36"/>
      <c r="D112" s="36"/>
      <c r="E112" s="37"/>
      <c r="F112" s="31">
        <v>71441.08</v>
      </c>
      <c r="G112" s="32">
        <v>0.996</v>
      </c>
      <c r="H112" s="33"/>
    </row>
    <row r="113" spans="2:8" ht="15.75" customHeight="1" x14ac:dyDescent="0.25">
      <c r="B113" s="25"/>
      <c r="C113" s="25"/>
      <c r="D113" s="25"/>
      <c r="E113" s="26"/>
      <c r="F113" s="27"/>
      <c r="G113" s="28"/>
      <c r="H113" s="29"/>
    </row>
    <row r="114" spans="2:8" ht="15.75" customHeight="1" x14ac:dyDescent="0.25">
      <c r="B114" s="25"/>
      <c r="C114" s="25"/>
      <c r="D114" s="25"/>
      <c r="E114" s="26"/>
      <c r="F114" s="27"/>
      <c r="G114" s="28"/>
      <c r="H114" s="29"/>
    </row>
    <row r="115" spans="2:8" ht="15.75" customHeight="1" x14ac:dyDescent="0.25">
      <c r="B115" s="24" t="s">
        <v>109</v>
      </c>
      <c r="C115" s="25"/>
      <c r="D115" s="25"/>
      <c r="E115" s="26"/>
      <c r="F115" s="27"/>
      <c r="G115" s="28"/>
      <c r="H115" s="29"/>
    </row>
    <row r="116" spans="2:8" ht="15.75" customHeight="1" x14ac:dyDescent="0.25">
      <c r="B116" s="25" t="s">
        <v>110</v>
      </c>
      <c r="C116" s="25"/>
      <c r="D116" s="25"/>
      <c r="E116" s="26"/>
      <c r="F116" s="27">
        <v>45.88</v>
      </c>
      <c r="G116" s="28">
        <v>5.9999999999999995E-4</v>
      </c>
      <c r="H116" s="29"/>
    </row>
    <row r="117" spans="2:8" ht="15.75" customHeight="1" x14ac:dyDescent="0.25">
      <c r="B117" s="24" t="s">
        <v>102</v>
      </c>
      <c r="C117" s="24"/>
      <c r="D117" s="24"/>
      <c r="E117" s="30"/>
      <c r="F117" s="31">
        <v>45.88</v>
      </c>
      <c r="G117" s="32">
        <v>5.9999999999999995E-4</v>
      </c>
      <c r="H117" s="33"/>
    </row>
    <row r="118" spans="2:8" ht="15.75" customHeight="1" x14ac:dyDescent="0.25">
      <c r="B118" s="25"/>
      <c r="C118" s="25"/>
      <c r="D118" s="25"/>
      <c r="E118" s="26"/>
      <c r="F118" s="27"/>
      <c r="G118" s="28"/>
      <c r="H118" s="29"/>
    </row>
    <row r="119" spans="2:8" ht="15.75" customHeight="1" x14ac:dyDescent="0.25">
      <c r="B119" s="36" t="s">
        <v>106</v>
      </c>
      <c r="C119" s="36"/>
      <c r="D119" s="36"/>
      <c r="E119" s="37"/>
      <c r="F119" s="31">
        <v>45.88</v>
      </c>
      <c r="G119" s="32">
        <v>5.9999999999999995E-4</v>
      </c>
      <c r="H119" s="33"/>
    </row>
    <row r="120" spans="2:8" ht="15.75" customHeight="1" x14ac:dyDescent="0.25">
      <c r="B120" s="25" t="s">
        <v>111</v>
      </c>
      <c r="C120" s="25"/>
      <c r="D120" s="25"/>
      <c r="E120" s="26"/>
      <c r="F120" s="27">
        <v>238.56</v>
      </c>
      <c r="G120" s="28">
        <v>3.3999999999999586E-3</v>
      </c>
      <c r="H120" s="29"/>
    </row>
    <row r="121" spans="2:8" ht="15.75" customHeight="1" x14ac:dyDescent="0.25">
      <c r="B121" s="40" t="s">
        <v>112</v>
      </c>
      <c r="C121" s="40"/>
      <c r="D121" s="40"/>
      <c r="E121" s="41"/>
      <c r="F121" s="42">
        <v>71725.52</v>
      </c>
      <c r="G121" s="43">
        <v>1</v>
      </c>
      <c r="H121" s="44"/>
    </row>
    <row r="122" spans="2:8" ht="15.75" customHeight="1" thickBot="1" x14ac:dyDescent="0.3">
      <c r="B122" s="2"/>
    </row>
    <row r="123" spans="2:8" ht="27" customHeight="1" thickBot="1" x14ac:dyDescent="0.3">
      <c r="B123" s="56" t="s">
        <v>964</v>
      </c>
      <c r="C123" s="57" t="s">
        <v>965</v>
      </c>
      <c r="D123" s="57" t="s">
        <v>966</v>
      </c>
      <c r="E123" s="62" t="s">
        <v>967</v>
      </c>
      <c r="G123" s="2"/>
      <c r="H123" s="2"/>
    </row>
    <row r="124" spans="2:8" ht="21.75" customHeight="1" x14ac:dyDescent="0.25">
      <c r="B124" s="69" t="s">
        <v>76</v>
      </c>
      <c r="C124" s="81"/>
      <c r="D124" s="84" t="s">
        <v>1017</v>
      </c>
      <c r="E124" s="86"/>
      <c r="G124" s="2"/>
      <c r="H124" s="2"/>
    </row>
    <row r="125" spans="2:8" ht="31.5" customHeight="1" x14ac:dyDescent="0.25">
      <c r="B125" s="65" t="s">
        <v>1039</v>
      </c>
      <c r="C125" s="82"/>
      <c r="D125" s="85"/>
      <c r="E125" s="82"/>
      <c r="G125" s="2"/>
      <c r="H125" s="2"/>
    </row>
    <row r="126" spans="2:8" ht="48.75" customHeight="1" x14ac:dyDescent="0.25">
      <c r="B126" s="65" t="s">
        <v>1040</v>
      </c>
      <c r="C126" s="82"/>
      <c r="D126" s="85"/>
      <c r="E126" s="82"/>
      <c r="G126" s="2"/>
      <c r="H126" s="2"/>
    </row>
    <row r="127" spans="2:8" ht="28.5" customHeight="1" thickBot="1" x14ac:dyDescent="0.3">
      <c r="B127" s="67" t="s">
        <v>1041</v>
      </c>
      <c r="C127" s="83"/>
      <c r="D127" s="70" t="s">
        <v>1041</v>
      </c>
      <c r="E127" s="87"/>
      <c r="G127" s="2"/>
      <c r="H127" s="2"/>
    </row>
    <row r="128" spans="2:8" ht="25" customHeight="1" x14ac:dyDescent="0.25">
      <c r="B128" s="58" t="s">
        <v>969</v>
      </c>
      <c r="C128" s="59"/>
      <c r="D128" s="60"/>
      <c r="E128" s="61"/>
      <c r="G128" s="2"/>
      <c r="H128" s="2"/>
    </row>
    <row r="130" spans="2:8" ht="11.5" x14ac:dyDescent="0.25">
      <c r="B130" s="2" t="s">
        <v>970</v>
      </c>
      <c r="C130" s="2"/>
      <c r="D130" s="2"/>
      <c r="G130" s="2"/>
      <c r="H130" s="2"/>
    </row>
    <row r="131" spans="2:8" ht="11.5" x14ac:dyDescent="0.25">
      <c r="B131" s="3" t="s">
        <v>971</v>
      </c>
      <c r="C131" s="2"/>
      <c r="D131" s="2"/>
      <c r="G131" s="2"/>
      <c r="H131" s="2"/>
    </row>
  </sheetData>
  <mergeCells count="3">
    <mergeCell ref="C124:C127"/>
    <mergeCell ref="D124:D126"/>
    <mergeCell ref="E124:E127"/>
  </mergeCells>
  <hyperlinks>
    <hyperlink ref="I1" location="'Sheet1'!A1" display="Index" xr:uid="{C2B38839-8281-4844-A640-CE9869192CD8}"/>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ECF5C-3E2B-4384-8F79-7F5D659548D8}">
  <dimension ref="B1:P87"/>
  <sheetViews>
    <sheetView workbookViewId="0"/>
  </sheetViews>
  <sheetFormatPr defaultColWidth="9.1796875" defaultRowHeight="15.75" customHeight="1" x14ac:dyDescent="0.25"/>
  <cols>
    <col min="1" max="1" width="3.6328125" style="2" customWidth="1"/>
    <col min="2" max="2" width="50.453125" style="9" customWidth="1"/>
    <col min="3" max="3" width="25.54296875" style="9" customWidth="1"/>
    <col min="4" max="4" width="26.6328125" style="9" customWidth="1"/>
    <col min="5" max="5" width="30.089843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1054</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127</v>
      </c>
      <c r="C7" s="25" t="s">
        <v>128</v>
      </c>
      <c r="D7" s="25" t="s">
        <v>129</v>
      </c>
      <c r="E7" s="26">
        <v>680968</v>
      </c>
      <c r="F7" s="27">
        <v>8168.89</v>
      </c>
      <c r="G7" s="28">
        <v>7.0900000000000005E-2</v>
      </c>
      <c r="H7" s="29"/>
    </row>
    <row r="8" spans="2:9" ht="15.75" customHeight="1" x14ac:dyDescent="0.25">
      <c r="B8" s="25" t="s">
        <v>136</v>
      </c>
      <c r="C8" s="25" t="s">
        <v>137</v>
      </c>
      <c r="D8" s="25" t="s">
        <v>129</v>
      </c>
      <c r="E8" s="26">
        <v>458211</v>
      </c>
      <c r="F8" s="27">
        <v>7715.36</v>
      </c>
      <c r="G8" s="28">
        <v>6.6900000000000001E-2</v>
      </c>
      <c r="H8" s="29"/>
    </row>
    <row r="9" spans="2:9" ht="15.75" customHeight="1" x14ac:dyDescent="0.25">
      <c r="B9" s="25" t="s">
        <v>335</v>
      </c>
      <c r="C9" s="25" t="s">
        <v>336</v>
      </c>
      <c r="D9" s="25" t="s">
        <v>337</v>
      </c>
      <c r="E9" s="26">
        <v>148944</v>
      </c>
      <c r="F9" s="27">
        <v>5458.35</v>
      </c>
      <c r="G9" s="28">
        <v>4.7399999999999998E-2</v>
      </c>
      <c r="H9" s="29"/>
    </row>
    <row r="10" spans="2:9" ht="15.75" customHeight="1" x14ac:dyDescent="0.25">
      <c r="B10" s="25" t="s">
        <v>404</v>
      </c>
      <c r="C10" s="25" t="s">
        <v>405</v>
      </c>
      <c r="D10" s="25" t="s">
        <v>254</v>
      </c>
      <c r="E10" s="26">
        <v>72136</v>
      </c>
      <c r="F10" s="27">
        <v>3952.94</v>
      </c>
      <c r="G10" s="28">
        <v>3.4299999999999997E-2</v>
      </c>
      <c r="H10" s="29"/>
    </row>
    <row r="11" spans="2:9" ht="15.75" customHeight="1" x14ac:dyDescent="0.25">
      <c r="B11" s="25" t="s">
        <v>220</v>
      </c>
      <c r="C11" s="25" t="s">
        <v>221</v>
      </c>
      <c r="D11" s="25" t="s">
        <v>129</v>
      </c>
      <c r="E11" s="26">
        <v>460575</v>
      </c>
      <c r="F11" s="27">
        <v>3910.05</v>
      </c>
      <c r="G11" s="28">
        <v>3.39E-2</v>
      </c>
      <c r="H11" s="29"/>
    </row>
    <row r="12" spans="2:9" ht="15.75" customHeight="1" x14ac:dyDescent="0.25">
      <c r="B12" s="25" t="s">
        <v>608</v>
      </c>
      <c r="C12" s="25" t="s">
        <v>609</v>
      </c>
      <c r="D12" s="25" t="s">
        <v>227</v>
      </c>
      <c r="E12" s="26">
        <v>245268</v>
      </c>
      <c r="F12" s="27">
        <v>3491.39</v>
      </c>
      <c r="G12" s="28">
        <v>3.0300000000000001E-2</v>
      </c>
      <c r="H12" s="29"/>
    </row>
    <row r="13" spans="2:9" ht="15.75" customHeight="1" x14ac:dyDescent="0.25">
      <c r="B13" s="25" t="s">
        <v>130</v>
      </c>
      <c r="C13" s="25" t="s">
        <v>131</v>
      </c>
      <c r="D13" s="25" t="s">
        <v>132</v>
      </c>
      <c r="E13" s="26">
        <v>205257</v>
      </c>
      <c r="F13" s="27">
        <v>3215.86</v>
      </c>
      <c r="G13" s="28">
        <v>2.7900000000000001E-2</v>
      </c>
      <c r="H13" s="29"/>
    </row>
    <row r="14" spans="2:9" ht="15.75" customHeight="1" x14ac:dyDescent="0.25">
      <c r="B14" s="25" t="s">
        <v>188</v>
      </c>
      <c r="C14" s="25" t="s">
        <v>189</v>
      </c>
      <c r="D14" s="25" t="s">
        <v>129</v>
      </c>
      <c r="E14" s="26">
        <v>250779</v>
      </c>
      <c r="F14" s="27">
        <v>3172.98</v>
      </c>
      <c r="G14" s="28">
        <v>2.75E-2</v>
      </c>
      <c r="H14" s="29"/>
    </row>
    <row r="15" spans="2:9" ht="15.75" customHeight="1" x14ac:dyDescent="0.25">
      <c r="B15" s="25" t="s">
        <v>888</v>
      </c>
      <c r="C15" s="25" t="s">
        <v>889</v>
      </c>
      <c r="D15" s="25" t="s">
        <v>178</v>
      </c>
      <c r="E15" s="26">
        <v>32210</v>
      </c>
      <c r="F15" s="27">
        <v>2734.92</v>
      </c>
      <c r="G15" s="28">
        <v>2.3699999999999999E-2</v>
      </c>
      <c r="H15" s="29"/>
    </row>
    <row r="16" spans="2:9" ht="15.75" customHeight="1" x14ac:dyDescent="0.25">
      <c r="B16" s="25" t="s">
        <v>624</v>
      </c>
      <c r="C16" s="25" t="s">
        <v>625</v>
      </c>
      <c r="D16" s="25" t="s">
        <v>337</v>
      </c>
      <c r="E16" s="26">
        <v>176098</v>
      </c>
      <c r="F16" s="27">
        <v>2453.4899999999998</v>
      </c>
      <c r="G16" s="28">
        <v>2.1299999999999999E-2</v>
      </c>
      <c r="H16" s="29"/>
    </row>
    <row r="17" spans="2:8" ht="15.75" customHeight="1" x14ac:dyDescent="0.25">
      <c r="B17" s="25" t="s">
        <v>222</v>
      </c>
      <c r="C17" s="25" t="s">
        <v>223</v>
      </c>
      <c r="D17" s="25" t="s">
        <v>224</v>
      </c>
      <c r="E17" s="26">
        <v>68942</v>
      </c>
      <c r="F17" s="27">
        <v>2446.37</v>
      </c>
      <c r="G17" s="28">
        <v>2.12E-2</v>
      </c>
      <c r="H17" s="29"/>
    </row>
    <row r="18" spans="2:8" ht="15.75" customHeight="1" x14ac:dyDescent="0.25">
      <c r="B18" s="25" t="s">
        <v>138</v>
      </c>
      <c r="C18" s="25" t="s">
        <v>139</v>
      </c>
      <c r="D18" s="25" t="s">
        <v>140</v>
      </c>
      <c r="E18" s="26">
        <v>77182</v>
      </c>
      <c r="F18" s="27">
        <v>2416.41</v>
      </c>
      <c r="G18" s="28">
        <v>2.1000000000000001E-2</v>
      </c>
      <c r="H18" s="29"/>
    </row>
    <row r="19" spans="2:8" ht="15.75" customHeight="1" x14ac:dyDescent="0.25">
      <c r="B19" s="25" t="s">
        <v>249</v>
      </c>
      <c r="C19" s="25" t="s">
        <v>250</v>
      </c>
      <c r="D19" s="25" t="s">
        <v>251</v>
      </c>
      <c r="E19" s="26">
        <v>133341</v>
      </c>
      <c r="F19" s="27">
        <v>2227.2600000000002</v>
      </c>
      <c r="G19" s="28">
        <v>1.9300000000000001E-2</v>
      </c>
      <c r="H19" s="29"/>
    </row>
    <row r="20" spans="2:8" ht="15.75" customHeight="1" x14ac:dyDescent="0.25">
      <c r="B20" s="25" t="s">
        <v>270</v>
      </c>
      <c r="C20" s="25" t="s">
        <v>271</v>
      </c>
      <c r="D20" s="25" t="s">
        <v>194</v>
      </c>
      <c r="E20" s="26">
        <v>64805</v>
      </c>
      <c r="F20" s="27">
        <v>2206.09</v>
      </c>
      <c r="G20" s="28">
        <v>1.9099999999999999E-2</v>
      </c>
      <c r="H20" s="29"/>
    </row>
    <row r="21" spans="2:8" ht="15.75" customHeight="1" x14ac:dyDescent="0.25">
      <c r="B21" s="25" t="s">
        <v>133</v>
      </c>
      <c r="C21" s="25" t="s">
        <v>134</v>
      </c>
      <c r="D21" s="25" t="s">
        <v>135</v>
      </c>
      <c r="E21" s="26">
        <v>76871</v>
      </c>
      <c r="F21" s="27">
        <v>2203.62</v>
      </c>
      <c r="G21" s="28">
        <v>1.9099999999999999E-2</v>
      </c>
      <c r="H21" s="29"/>
    </row>
    <row r="22" spans="2:8" ht="15.75" customHeight="1" x14ac:dyDescent="0.25">
      <c r="B22" s="25" t="s">
        <v>340</v>
      </c>
      <c r="C22" s="25" t="s">
        <v>341</v>
      </c>
      <c r="D22" s="25" t="s">
        <v>276</v>
      </c>
      <c r="E22" s="26">
        <v>80412</v>
      </c>
      <c r="F22" s="27">
        <v>2147.36</v>
      </c>
      <c r="G22" s="28">
        <v>1.8599999999999998E-2</v>
      </c>
      <c r="H22" s="29"/>
    </row>
    <row r="23" spans="2:8" ht="15.75" customHeight="1" x14ac:dyDescent="0.25">
      <c r="B23" s="25" t="s">
        <v>678</v>
      </c>
      <c r="C23" s="25" t="s">
        <v>679</v>
      </c>
      <c r="D23" s="25" t="s">
        <v>194</v>
      </c>
      <c r="E23" s="26">
        <v>131363</v>
      </c>
      <c r="F23" s="27">
        <v>2147.19</v>
      </c>
      <c r="G23" s="28">
        <v>1.8599999999999998E-2</v>
      </c>
      <c r="H23" s="29"/>
    </row>
    <row r="24" spans="2:8" ht="15.75" customHeight="1" x14ac:dyDescent="0.25">
      <c r="B24" s="25" t="s">
        <v>418</v>
      </c>
      <c r="C24" s="25" t="s">
        <v>419</v>
      </c>
      <c r="D24" s="25" t="s">
        <v>316</v>
      </c>
      <c r="E24" s="26">
        <v>129596</v>
      </c>
      <c r="F24" s="27">
        <v>2111.77</v>
      </c>
      <c r="G24" s="28">
        <v>1.83E-2</v>
      </c>
      <c r="H24" s="29"/>
    </row>
    <row r="25" spans="2:8" ht="15.75" customHeight="1" x14ac:dyDescent="0.25">
      <c r="B25" s="25" t="s">
        <v>365</v>
      </c>
      <c r="C25" s="25" t="s">
        <v>366</v>
      </c>
      <c r="D25" s="25" t="s">
        <v>227</v>
      </c>
      <c r="E25" s="26">
        <v>429086</v>
      </c>
      <c r="F25" s="27">
        <v>2081.5</v>
      </c>
      <c r="G25" s="28">
        <v>1.8100000000000002E-2</v>
      </c>
      <c r="H25" s="29"/>
    </row>
    <row r="26" spans="2:8" ht="15.75" customHeight="1" x14ac:dyDescent="0.25">
      <c r="B26" s="25" t="s">
        <v>606</v>
      </c>
      <c r="C26" s="25" t="s">
        <v>607</v>
      </c>
      <c r="D26" s="25" t="s">
        <v>295</v>
      </c>
      <c r="E26" s="26">
        <v>54004</v>
      </c>
      <c r="F26" s="27">
        <v>2051.48</v>
      </c>
      <c r="G26" s="28">
        <v>1.78E-2</v>
      </c>
      <c r="H26" s="29"/>
    </row>
    <row r="27" spans="2:8" ht="15.75" customHeight="1" x14ac:dyDescent="0.25">
      <c r="B27" s="25" t="s">
        <v>778</v>
      </c>
      <c r="C27" s="25" t="s">
        <v>779</v>
      </c>
      <c r="D27" s="25" t="s">
        <v>135</v>
      </c>
      <c r="E27" s="26">
        <v>42262</v>
      </c>
      <c r="F27" s="27">
        <v>1974.88</v>
      </c>
      <c r="G27" s="28">
        <v>1.7100000000000001E-2</v>
      </c>
      <c r="H27" s="29"/>
    </row>
    <row r="28" spans="2:8" ht="15.75" customHeight="1" x14ac:dyDescent="0.25">
      <c r="B28" s="25" t="s">
        <v>420</v>
      </c>
      <c r="C28" s="25" t="s">
        <v>421</v>
      </c>
      <c r="D28" s="25" t="s">
        <v>129</v>
      </c>
      <c r="E28" s="26">
        <v>1973876</v>
      </c>
      <c r="F28" s="27">
        <v>1917.82</v>
      </c>
      <c r="G28" s="28">
        <v>1.66E-2</v>
      </c>
      <c r="H28" s="29"/>
    </row>
    <row r="29" spans="2:8" ht="15.75" customHeight="1" x14ac:dyDescent="0.25">
      <c r="B29" s="25" t="s">
        <v>363</v>
      </c>
      <c r="C29" s="25" t="s">
        <v>364</v>
      </c>
      <c r="D29" s="25" t="s">
        <v>269</v>
      </c>
      <c r="E29" s="26">
        <v>78642</v>
      </c>
      <c r="F29" s="27">
        <v>1915.76</v>
      </c>
      <c r="G29" s="28">
        <v>1.66E-2</v>
      </c>
      <c r="H29" s="29"/>
    </row>
    <row r="30" spans="2:8" ht="15.75" customHeight="1" x14ac:dyDescent="0.25">
      <c r="B30" s="25" t="s">
        <v>354</v>
      </c>
      <c r="C30" s="25" t="s">
        <v>355</v>
      </c>
      <c r="D30" s="25" t="s">
        <v>135</v>
      </c>
      <c r="E30" s="26">
        <v>15074</v>
      </c>
      <c r="F30" s="27">
        <v>1813.98</v>
      </c>
      <c r="G30" s="28">
        <v>1.5699999999999999E-2</v>
      </c>
      <c r="H30" s="29"/>
    </row>
    <row r="31" spans="2:8" ht="15.75" customHeight="1" x14ac:dyDescent="0.25">
      <c r="B31" s="25" t="s">
        <v>926</v>
      </c>
      <c r="C31" s="25" t="s">
        <v>927</v>
      </c>
      <c r="D31" s="25" t="s">
        <v>178</v>
      </c>
      <c r="E31" s="26">
        <v>33719</v>
      </c>
      <c r="F31" s="27">
        <v>1804.3</v>
      </c>
      <c r="G31" s="28">
        <v>1.5699999999999999E-2</v>
      </c>
      <c r="H31" s="29"/>
    </row>
    <row r="32" spans="2:8" ht="15.75" customHeight="1" x14ac:dyDescent="0.25">
      <c r="B32" s="25" t="s">
        <v>759</v>
      </c>
      <c r="C32" s="25" t="s">
        <v>760</v>
      </c>
      <c r="D32" s="25" t="s">
        <v>232</v>
      </c>
      <c r="E32" s="26">
        <v>21812</v>
      </c>
      <c r="F32" s="27">
        <v>1738.73</v>
      </c>
      <c r="G32" s="28">
        <v>1.5100000000000001E-2</v>
      </c>
      <c r="H32" s="29"/>
    </row>
    <row r="33" spans="2:8" ht="15.75" customHeight="1" x14ac:dyDescent="0.25">
      <c r="B33" s="25" t="s">
        <v>210</v>
      </c>
      <c r="C33" s="25" t="s">
        <v>211</v>
      </c>
      <c r="D33" s="25" t="s">
        <v>143</v>
      </c>
      <c r="E33" s="26">
        <v>408976</v>
      </c>
      <c r="F33" s="27">
        <v>1737.74</v>
      </c>
      <c r="G33" s="28">
        <v>1.5100000000000001E-2</v>
      </c>
      <c r="H33" s="29"/>
    </row>
    <row r="34" spans="2:8" ht="15.75" customHeight="1" x14ac:dyDescent="0.25">
      <c r="B34" s="25" t="s">
        <v>410</v>
      </c>
      <c r="C34" s="25" t="s">
        <v>411</v>
      </c>
      <c r="D34" s="25" t="s">
        <v>254</v>
      </c>
      <c r="E34" s="26">
        <v>844965</v>
      </c>
      <c r="F34" s="27">
        <v>1694.66</v>
      </c>
      <c r="G34" s="28">
        <v>1.47E-2</v>
      </c>
      <c r="H34" s="29"/>
    </row>
    <row r="35" spans="2:8" ht="15.75" customHeight="1" x14ac:dyDescent="0.25">
      <c r="B35" s="25" t="s">
        <v>822</v>
      </c>
      <c r="C35" s="25" t="s">
        <v>823</v>
      </c>
      <c r="D35" s="25" t="s">
        <v>132</v>
      </c>
      <c r="E35" s="26">
        <v>97983</v>
      </c>
      <c r="F35" s="27">
        <v>1601.78</v>
      </c>
      <c r="G35" s="28">
        <v>1.3899999999999999E-2</v>
      </c>
      <c r="H35" s="29"/>
    </row>
    <row r="36" spans="2:8" ht="15.75" customHeight="1" x14ac:dyDescent="0.25">
      <c r="B36" s="25" t="s">
        <v>323</v>
      </c>
      <c r="C36" s="25" t="s">
        <v>324</v>
      </c>
      <c r="D36" s="25" t="s">
        <v>227</v>
      </c>
      <c r="E36" s="26">
        <v>96321</v>
      </c>
      <c r="F36" s="27">
        <v>1529.72</v>
      </c>
      <c r="G36" s="28">
        <v>1.3299999999999999E-2</v>
      </c>
      <c r="H36" s="29"/>
    </row>
    <row r="37" spans="2:8" ht="15.75" customHeight="1" x14ac:dyDescent="0.25">
      <c r="B37" s="25" t="s">
        <v>141</v>
      </c>
      <c r="C37" s="25" t="s">
        <v>142</v>
      </c>
      <c r="D37" s="25" t="s">
        <v>143</v>
      </c>
      <c r="E37" s="26">
        <v>61576</v>
      </c>
      <c r="F37" s="27">
        <v>1522.81</v>
      </c>
      <c r="G37" s="28">
        <v>1.32E-2</v>
      </c>
      <c r="H37" s="29"/>
    </row>
    <row r="38" spans="2:8" ht="15.75" customHeight="1" x14ac:dyDescent="0.25">
      <c r="B38" s="25" t="s">
        <v>347</v>
      </c>
      <c r="C38" s="25" t="s">
        <v>348</v>
      </c>
      <c r="D38" s="25" t="s">
        <v>132</v>
      </c>
      <c r="E38" s="26">
        <v>100139</v>
      </c>
      <c r="F38" s="27">
        <v>1461.63</v>
      </c>
      <c r="G38" s="28">
        <v>1.2699999999999999E-2</v>
      </c>
      <c r="H38" s="29"/>
    </row>
    <row r="39" spans="2:8" ht="15.75" customHeight="1" x14ac:dyDescent="0.25">
      <c r="B39" s="25" t="s">
        <v>167</v>
      </c>
      <c r="C39" s="25" t="s">
        <v>168</v>
      </c>
      <c r="D39" s="25" t="s">
        <v>169</v>
      </c>
      <c r="E39" s="26">
        <v>131952</v>
      </c>
      <c r="F39" s="27">
        <v>1417.1</v>
      </c>
      <c r="G39" s="28">
        <v>1.23E-2</v>
      </c>
      <c r="H39" s="29"/>
    </row>
    <row r="40" spans="2:8" ht="15.75" customHeight="1" x14ac:dyDescent="0.25">
      <c r="B40" s="25" t="s">
        <v>593</v>
      </c>
      <c r="C40" s="25" t="s">
        <v>594</v>
      </c>
      <c r="D40" s="25" t="s">
        <v>251</v>
      </c>
      <c r="E40" s="26">
        <v>8659</v>
      </c>
      <c r="F40" s="27">
        <v>1346.58</v>
      </c>
      <c r="G40" s="28">
        <v>1.17E-2</v>
      </c>
      <c r="H40" s="29"/>
    </row>
    <row r="41" spans="2:8" ht="15.75" customHeight="1" x14ac:dyDescent="0.25">
      <c r="B41" s="25" t="s">
        <v>144</v>
      </c>
      <c r="C41" s="25" t="s">
        <v>145</v>
      </c>
      <c r="D41" s="25" t="s">
        <v>146</v>
      </c>
      <c r="E41" s="26">
        <v>51686</v>
      </c>
      <c r="F41" s="27">
        <v>1318.85</v>
      </c>
      <c r="G41" s="28">
        <v>1.14E-2</v>
      </c>
      <c r="H41" s="29"/>
    </row>
    <row r="42" spans="2:8" ht="15.75" customHeight="1" x14ac:dyDescent="0.25">
      <c r="B42" s="25" t="s">
        <v>616</v>
      </c>
      <c r="C42" s="25" t="s">
        <v>617</v>
      </c>
      <c r="D42" s="25" t="s">
        <v>194</v>
      </c>
      <c r="E42" s="26">
        <v>104713</v>
      </c>
      <c r="F42" s="27">
        <v>1286.4000000000001</v>
      </c>
      <c r="G42" s="28">
        <v>1.12E-2</v>
      </c>
      <c r="H42" s="29"/>
    </row>
    <row r="43" spans="2:8" ht="15.75" customHeight="1" x14ac:dyDescent="0.25">
      <c r="B43" s="25" t="s">
        <v>429</v>
      </c>
      <c r="C43" s="25" t="s">
        <v>430</v>
      </c>
      <c r="D43" s="25" t="s">
        <v>251</v>
      </c>
      <c r="E43" s="26">
        <v>22861</v>
      </c>
      <c r="F43" s="27">
        <v>1266.8499999999999</v>
      </c>
      <c r="G43" s="28">
        <v>1.0999999999999999E-2</v>
      </c>
      <c r="H43" s="29"/>
    </row>
    <row r="44" spans="2:8" ht="15.75" customHeight="1" x14ac:dyDescent="0.25">
      <c r="B44" s="25" t="s">
        <v>583</v>
      </c>
      <c r="C44" s="25" t="s">
        <v>584</v>
      </c>
      <c r="D44" s="25" t="s">
        <v>251</v>
      </c>
      <c r="E44" s="26">
        <v>26709</v>
      </c>
      <c r="F44" s="27">
        <v>1266.1400000000001</v>
      </c>
      <c r="G44" s="28">
        <v>1.0999999999999999E-2</v>
      </c>
      <c r="H44" s="29"/>
    </row>
    <row r="45" spans="2:8" ht="15.75" customHeight="1" x14ac:dyDescent="0.25">
      <c r="B45" s="25" t="s">
        <v>556</v>
      </c>
      <c r="C45" s="25" t="s">
        <v>557</v>
      </c>
      <c r="D45" s="25" t="s">
        <v>146</v>
      </c>
      <c r="E45" s="26">
        <v>89151</v>
      </c>
      <c r="F45" s="27">
        <v>1225.8699999999999</v>
      </c>
      <c r="G45" s="28">
        <v>1.06E-2</v>
      </c>
      <c r="H45" s="29"/>
    </row>
    <row r="46" spans="2:8" ht="15.75" customHeight="1" x14ac:dyDescent="0.25">
      <c r="B46" s="25" t="s">
        <v>589</v>
      </c>
      <c r="C46" s="25" t="s">
        <v>590</v>
      </c>
      <c r="D46" s="25" t="s">
        <v>263</v>
      </c>
      <c r="E46" s="26">
        <v>190252</v>
      </c>
      <c r="F46" s="27">
        <v>1189.17</v>
      </c>
      <c r="G46" s="28">
        <v>1.03E-2</v>
      </c>
      <c r="H46" s="29"/>
    </row>
    <row r="47" spans="2:8" ht="15.75" customHeight="1" x14ac:dyDescent="0.25">
      <c r="B47" s="25" t="s">
        <v>705</v>
      </c>
      <c r="C47" s="25" t="s">
        <v>706</v>
      </c>
      <c r="D47" s="25" t="s">
        <v>269</v>
      </c>
      <c r="E47" s="26">
        <v>33124</v>
      </c>
      <c r="F47" s="27">
        <v>1183.93</v>
      </c>
      <c r="G47" s="28">
        <v>1.03E-2</v>
      </c>
      <c r="H47" s="29"/>
    </row>
    <row r="48" spans="2:8" ht="15.75" customHeight="1" x14ac:dyDescent="0.25">
      <c r="B48" s="25" t="s">
        <v>147</v>
      </c>
      <c r="C48" s="25" t="s">
        <v>148</v>
      </c>
      <c r="D48" s="25" t="s">
        <v>132</v>
      </c>
      <c r="E48" s="26">
        <v>20771</v>
      </c>
      <c r="F48" s="27">
        <v>1118.53</v>
      </c>
      <c r="G48" s="28">
        <v>9.7000000000000003E-3</v>
      </c>
      <c r="H48" s="29"/>
    </row>
    <row r="49" spans="2:8" ht="15.75" customHeight="1" x14ac:dyDescent="0.25">
      <c r="B49" s="25" t="s">
        <v>749</v>
      </c>
      <c r="C49" s="25" t="s">
        <v>750</v>
      </c>
      <c r="D49" s="25" t="s">
        <v>254</v>
      </c>
      <c r="E49" s="26">
        <v>23038</v>
      </c>
      <c r="F49" s="27">
        <v>1086.6400000000001</v>
      </c>
      <c r="G49" s="28">
        <v>9.4000000000000004E-3</v>
      </c>
      <c r="H49" s="29"/>
    </row>
    <row r="50" spans="2:8" ht="15.75" customHeight="1" x14ac:dyDescent="0.25">
      <c r="B50" s="25" t="s">
        <v>928</v>
      </c>
      <c r="C50" s="25" t="s">
        <v>929</v>
      </c>
      <c r="D50" s="25" t="s">
        <v>437</v>
      </c>
      <c r="E50" s="26">
        <v>79966</v>
      </c>
      <c r="F50" s="27">
        <v>1074.5</v>
      </c>
      <c r="G50" s="28">
        <v>9.2999999999999992E-3</v>
      </c>
      <c r="H50" s="29"/>
    </row>
    <row r="51" spans="2:8" ht="15.75" customHeight="1" x14ac:dyDescent="0.25">
      <c r="B51" s="25" t="s">
        <v>564</v>
      </c>
      <c r="C51" s="25" t="s">
        <v>565</v>
      </c>
      <c r="D51" s="25" t="s">
        <v>566</v>
      </c>
      <c r="E51" s="26">
        <v>181585</v>
      </c>
      <c r="F51" s="27">
        <v>1073.26</v>
      </c>
      <c r="G51" s="28">
        <v>9.2999999999999992E-3</v>
      </c>
      <c r="H51" s="29"/>
    </row>
    <row r="52" spans="2:8" ht="15.75" customHeight="1" x14ac:dyDescent="0.25">
      <c r="B52" s="25" t="s">
        <v>504</v>
      </c>
      <c r="C52" s="25" t="s">
        <v>505</v>
      </c>
      <c r="D52" s="25" t="s">
        <v>295</v>
      </c>
      <c r="E52" s="26">
        <v>66588</v>
      </c>
      <c r="F52" s="27">
        <v>1065.97</v>
      </c>
      <c r="G52" s="28">
        <v>9.1999999999999998E-3</v>
      </c>
      <c r="H52" s="29"/>
    </row>
    <row r="53" spans="2:8" ht="15.75" customHeight="1" x14ac:dyDescent="0.25">
      <c r="B53" s="25" t="s">
        <v>930</v>
      </c>
      <c r="C53" s="25" t="s">
        <v>931</v>
      </c>
      <c r="D53" s="25" t="s">
        <v>337</v>
      </c>
      <c r="E53" s="26">
        <v>25416</v>
      </c>
      <c r="F53" s="27">
        <v>1062.02</v>
      </c>
      <c r="G53" s="28">
        <v>9.1999999999999998E-3</v>
      </c>
      <c r="H53" s="29"/>
    </row>
    <row r="54" spans="2:8" ht="15.75" customHeight="1" x14ac:dyDescent="0.25">
      <c r="B54" s="25" t="s">
        <v>932</v>
      </c>
      <c r="C54" s="25" t="s">
        <v>933</v>
      </c>
      <c r="D54" s="25" t="s">
        <v>194</v>
      </c>
      <c r="E54" s="26">
        <v>51243</v>
      </c>
      <c r="F54" s="27">
        <v>1044.49</v>
      </c>
      <c r="G54" s="28">
        <v>9.1000000000000004E-3</v>
      </c>
      <c r="H54" s="29"/>
    </row>
    <row r="55" spans="2:8" ht="15.75" customHeight="1" x14ac:dyDescent="0.25">
      <c r="B55" s="25" t="s">
        <v>356</v>
      </c>
      <c r="C55" s="25" t="s">
        <v>357</v>
      </c>
      <c r="D55" s="25" t="s">
        <v>169</v>
      </c>
      <c r="E55" s="26">
        <v>48195</v>
      </c>
      <c r="F55" s="27">
        <v>1026.17</v>
      </c>
      <c r="G55" s="28">
        <v>8.8999999999999999E-3</v>
      </c>
      <c r="H55" s="29"/>
    </row>
    <row r="56" spans="2:8" ht="15.75" customHeight="1" x14ac:dyDescent="0.25">
      <c r="B56" s="25" t="s">
        <v>622</v>
      </c>
      <c r="C56" s="25" t="s">
        <v>623</v>
      </c>
      <c r="D56" s="25" t="s">
        <v>132</v>
      </c>
      <c r="E56" s="26">
        <v>18189</v>
      </c>
      <c r="F56" s="27">
        <v>992.9</v>
      </c>
      <c r="G56" s="28">
        <v>8.6E-3</v>
      </c>
      <c r="H56" s="29"/>
    </row>
    <row r="57" spans="2:8" ht="15.75" customHeight="1" x14ac:dyDescent="0.25">
      <c r="B57" s="25" t="s">
        <v>502</v>
      </c>
      <c r="C57" s="25" t="s">
        <v>503</v>
      </c>
      <c r="D57" s="25" t="s">
        <v>276</v>
      </c>
      <c r="E57" s="26">
        <v>8145</v>
      </c>
      <c r="F57" s="27">
        <v>950.35</v>
      </c>
      <c r="G57" s="28">
        <v>8.2000000000000007E-3</v>
      </c>
      <c r="H57" s="29"/>
    </row>
    <row r="58" spans="2:8" ht="15.75" customHeight="1" x14ac:dyDescent="0.25">
      <c r="B58" s="25" t="s">
        <v>614</v>
      </c>
      <c r="C58" s="25" t="s">
        <v>615</v>
      </c>
      <c r="D58" s="25" t="s">
        <v>132</v>
      </c>
      <c r="E58" s="26">
        <v>12783</v>
      </c>
      <c r="F58" s="27">
        <v>894.99</v>
      </c>
      <c r="G58" s="28">
        <v>7.7999999999999996E-3</v>
      </c>
      <c r="H58" s="29"/>
    </row>
    <row r="59" spans="2:8" ht="15.75" customHeight="1" x14ac:dyDescent="0.25">
      <c r="B59" s="25" t="s">
        <v>628</v>
      </c>
      <c r="C59" s="25" t="s">
        <v>629</v>
      </c>
      <c r="D59" s="25" t="s">
        <v>601</v>
      </c>
      <c r="E59" s="26">
        <v>147727</v>
      </c>
      <c r="F59" s="27">
        <v>867.01</v>
      </c>
      <c r="G59" s="28">
        <v>7.4999999999999997E-3</v>
      </c>
      <c r="H59" s="29"/>
    </row>
    <row r="60" spans="2:8" ht="15.75" customHeight="1" x14ac:dyDescent="0.25">
      <c r="B60" s="25" t="s">
        <v>389</v>
      </c>
      <c r="C60" s="25" t="s">
        <v>390</v>
      </c>
      <c r="D60" s="25" t="s">
        <v>169</v>
      </c>
      <c r="E60" s="26">
        <v>2974</v>
      </c>
      <c r="F60" s="27">
        <v>821.54</v>
      </c>
      <c r="G60" s="28">
        <v>7.1000000000000004E-3</v>
      </c>
      <c r="H60" s="29"/>
    </row>
    <row r="61" spans="2:8" ht="15.75" customHeight="1" x14ac:dyDescent="0.25">
      <c r="B61" s="25" t="s">
        <v>934</v>
      </c>
      <c r="C61" s="25" t="s">
        <v>935</v>
      </c>
      <c r="D61" s="25" t="s">
        <v>337</v>
      </c>
      <c r="E61" s="26">
        <v>28868</v>
      </c>
      <c r="F61" s="27">
        <v>789.14</v>
      </c>
      <c r="G61" s="28">
        <v>6.7999999999999996E-3</v>
      </c>
      <c r="H61" s="29"/>
    </row>
    <row r="62" spans="2:8" ht="15.75" customHeight="1" x14ac:dyDescent="0.25">
      <c r="B62" s="25" t="s">
        <v>215</v>
      </c>
      <c r="C62" s="25" t="s">
        <v>216</v>
      </c>
      <c r="D62" s="25" t="s">
        <v>129</v>
      </c>
      <c r="E62" s="26">
        <v>43348</v>
      </c>
      <c r="F62" s="27">
        <v>781.35</v>
      </c>
      <c r="G62" s="28">
        <v>6.7999999999999996E-3</v>
      </c>
      <c r="H62" s="29"/>
    </row>
    <row r="63" spans="2:8" ht="15.75" customHeight="1" x14ac:dyDescent="0.25">
      <c r="B63" s="25" t="s">
        <v>537</v>
      </c>
      <c r="C63" s="25" t="s">
        <v>538</v>
      </c>
      <c r="D63" s="25" t="s">
        <v>263</v>
      </c>
      <c r="E63" s="26">
        <v>103338</v>
      </c>
      <c r="F63" s="27">
        <v>443.63</v>
      </c>
      <c r="G63" s="28">
        <v>3.8E-3</v>
      </c>
      <c r="H63" s="29"/>
    </row>
    <row r="64" spans="2:8" ht="15.75" customHeight="1" x14ac:dyDescent="0.25">
      <c r="B64" s="24" t="s">
        <v>102</v>
      </c>
      <c r="C64" s="24"/>
      <c r="D64" s="24"/>
      <c r="E64" s="30"/>
      <c r="F64" s="31">
        <v>113620.47</v>
      </c>
      <c r="G64" s="32">
        <v>0.9859</v>
      </c>
      <c r="H64" s="33"/>
    </row>
    <row r="65" spans="2:16" ht="15.75" customHeight="1" x14ac:dyDescent="0.25">
      <c r="B65" s="24" t="s">
        <v>149</v>
      </c>
      <c r="C65" s="25"/>
      <c r="D65" s="25"/>
      <c r="E65" s="26"/>
      <c r="F65" s="27"/>
      <c r="G65" s="28"/>
      <c r="H65" s="29"/>
    </row>
    <row r="66" spans="2:16" ht="15.75" customHeight="1" x14ac:dyDescent="0.25">
      <c r="B66" s="24" t="s">
        <v>102</v>
      </c>
      <c r="C66" s="25"/>
      <c r="D66" s="25"/>
      <c r="E66" s="26"/>
      <c r="F66" s="34" t="s">
        <v>104</v>
      </c>
      <c r="G66" s="35" t="s">
        <v>104</v>
      </c>
      <c r="H66" s="29"/>
    </row>
    <row r="67" spans="2:16" ht="15.75" customHeight="1" x14ac:dyDescent="0.25">
      <c r="B67" s="25"/>
      <c r="C67" s="25"/>
      <c r="D67" s="25"/>
      <c r="E67" s="26"/>
      <c r="F67" s="27"/>
      <c r="G67" s="28"/>
      <c r="H67" s="29"/>
    </row>
    <row r="68" spans="2:16" ht="15.75" customHeight="1" x14ac:dyDescent="0.25">
      <c r="B68" s="36" t="s">
        <v>106</v>
      </c>
      <c r="C68" s="36"/>
      <c r="D68" s="36"/>
      <c r="E68" s="37"/>
      <c r="F68" s="31">
        <v>113620.47</v>
      </c>
      <c r="G68" s="32">
        <v>0.9859</v>
      </c>
      <c r="H68" s="33"/>
      <c r="L68" s="3"/>
    </row>
    <row r="69" spans="2:16" ht="15.75" customHeight="1" x14ac:dyDescent="0.25">
      <c r="B69" s="25"/>
      <c r="C69" s="25"/>
      <c r="D69" s="25"/>
      <c r="E69" s="26"/>
      <c r="F69" s="27"/>
      <c r="G69" s="28"/>
      <c r="H69" s="29"/>
    </row>
    <row r="70" spans="2:16" ht="15.75" customHeight="1" x14ac:dyDescent="0.25">
      <c r="B70" s="25"/>
      <c r="C70" s="25"/>
      <c r="D70" s="25"/>
      <c r="E70" s="26"/>
      <c r="F70" s="27"/>
      <c r="G70" s="28"/>
      <c r="H70" s="29"/>
      <c r="L70" s="3"/>
    </row>
    <row r="71" spans="2:16" ht="15.75" customHeight="1" x14ac:dyDescent="0.25">
      <c r="B71" s="24" t="s">
        <v>109</v>
      </c>
      <c r="C71" s="25"/>
      <c r="D71" s="25"/>
      <c r="E71" s="26"/>
      <c r="F71" s="27"/>
      <c r="G71" s="28"/>
      <c r="H71" s="29"/>
      <c r="L71" s="3"/>
    </row>
    <row r="72" spans="2:16" ht="15.75" customHeight="1" x14ac:dyDescent="0.25">
      <c r="B72" s="25" t="s">
        <v>110</v>
      </c>
      <c r="C72" s="25"/>
      <c r="D72" s="25"/>
      <c r="E72" s="26"/>
      <c r="F72" s="27">
        <v>1791.21</v>
      </c>
      <c r="G72" s="28">
        <v>1.55E-2</v>
      </c>
      <c r="H72" s="29"/>
      <c r="L72" s="3"/>
    </row>
    <row r="73" spans="2:16" ht="15.75" customHeight="1" x14ac:dyDescent="0.25">
      <c r="B73" s="24" t="s">
        <v>102</v>
      </c>
      <c r="C73" s="24"/>
      <c r="D73" s="24"/>
      <c r="E73" s="30"/>
      <c r="F73" s="31">
        <v>1791.21</v>
      </c>
      <c r="G73" s="32">
        <v>1.55E-2</v>
      </c>
      <c r="H73" s="33"/>
      <c r="L73" s="3"/>
    </row>
    <row r="74" spans="2:16" ht="15.75" customHeight="1" x14ac:dyDescent="0.25">
      <c r="B74" s="25"/>
      <c r="C74" s="25"/>
      <c r="D74" s="25"/>
      <c r="E74" s="26"/>
      <c r="F74" s="27"/>
      <c r="G74" s="28"/>
      <c r="H74" s="29"/>
      <c r="L74" s="3"/>
    </row>
    <row r="75" spans="2:16" ht="15.75" customHeight="1" x14ac:dyDescent="0.25">
      <c r="B75" s="36" t="s">
        <v>106</v>
      </c>
      <c r="C75" s="36"/>
      <c r="D75" s="36"/>
      <c r="E75" s="37"/>
      <c r="F75" s="31">
        <v>1791.21</v>
      </c>
      <c r="G75" s="32">
        <v>1.55E-2</v>
      </c>
      <c r="H75" s="33"/>
      <c r="L75" s="5"/>
      <c r="M75" s="5"/>
      <c r="N75" s="6"/>
      <c r="O75" s="6"/>
      <c r="P75" s="5"/>
    </row>
    <row r="76" spans="2:16" ht="15.75" customHeight="1" x14ac:dyDescent="0.25">
      <c r="B76" s="25" t="s">
        <v>111</v>
      </c>
      <c r="C76" s="25"/>
      <c r="D76" s="25"/>
      <c r="E76" s="26"/>
      <c r="F76" s="38">
        <v>-170.68</v>
      </c>
      <c r="G76" s="39">
        <v>-1.4000000000000679E-3</v>
      </c>
      <c r="H76" s="29"/>
    </row>
    <row r="77" spans="2:16" ht="15.75" customHeight="1" x14ac:dyDescent="0.25">
      <c r="B77" s="40" t="s">
        <v>112</v>
      </c>
      <c r="C77" s="40"/>
      <c r="D77" s="40"/>
      <c r="E77" s="41"/>
      <c r="F77" s="42">
        <v>115241</v>
      </c>
      <c r="G77" s="43">
        <v>1</v>
      </c>
      <c r="H77" s="44"/>
    </row>
    <row r="78" spans="2:16" ht="15.75" customHeight="1" thickBot="1" x14ac:dyDescent="0.3">
      <c r="B78" s="2"/>
      <c r="L78" s="7"/>
      <c r="M78" s="7"/>
      <c r="N78" s="7"/>
      <c r="O78" s="7"/>
      <c r="P78" s="7"/>
    </row>
    <row r="79" spans="2:16" ht="27" customHeight="1" thickBot="1" x14ac:dyDescent="0.3">
      <c r="B79" s="56" t="s">
        <v>964</v>
      </c>
      <c r="C79" s="57" t="s">
        <v>965</v>
      </c>
      <c r="D79" s="57" t="s">
        <v>966</v>
      </c>
      <c r="E79" s="62" t="s">
        <v>967</v>
      </c>
      <c r="G79" s="2"/>
      <c r="H79" s="2"/>
    </row>
    <row r="80" spans="2:16" ht="28.5" customHeight="1" x14ac:dyDescent="0.25">
      <c r="B80" s="69" t="s">
        <v>28</v>
      </c>
      <c r="C80" s="81"/>
      <c r="D80" s="84" t="s">
        <v>1006</v>
      </c>
      <c r="E80" s="86"/>
      <c r="G80" s="2"/>
      <c r="H80" s="2"/>
    </row>
    <row r="81" spans="2:8" ht="30" customHeight="1" x14ac:dyDescent="0.25">
      <c r="B81" s="65" t="s">
        <v>1024</v>
      </c>
      <c r="C81" s="82"/>
      <c r="D81" s="85"/>
      <c r="E81" s="82"/>
      <c r="G81" s="2"/>
      <c r="H81" s="2"/>
    </row>
    <row r="82" spans="2:8" ht="30.75" customHeight="1" x14ac:dyDescent="0.25">
      <c r="B82" s="65" t="s">
        <v>1042</v>
      </c>
      <c r="C82" s="82"/>
      <c r="D82" s="85"/>
      <c r="E82" s="82"/>
      <c r="G82" s="2"/>
      <c r="H82" s="2"/>
    </row>
    <row r="83" spans="2:8" ht="30" customHeight="1" thickBot="1" x14ac:dyDescent="0.3">
      <c r="B83" s="67" t="s">
        <v>982</v>
      </c>
      <c r="C83" s="83"/>
      <c r="D83" s="70" t="s">
        <v>982</v>
      </c>
      <c r="E83" s="87"/>
      <c r="G83" s="2"/>
      <c r="H83" s="2"/>
    </row>
    <row r="84" spans="2:8" ht="25" customHeight="1" x14ac:dyDescent="0.25">
      <c r="B84" s="58" t="s">
        <v>969</v>
      </c>
      <c r="C84" s="59"/>
      <c r="D84" s="60"/>
      <c r="E84" s="61"/>
      <c r="G84" s="2"/>
      <c r="H84" s="2"/>
    </row>
    <row r="86" spans="2:8" ht="11.5" x14ac:dyDescent="0.25">
      <c r="B86" s="2" t="s">
        <v>970</v>
      </c>
      <c r="C86" s="2"/>
      <c r="D86" s="2"/>
      <c r="G86" s="2"/>
      <c r="H86" s="2"/>
    </row>
    <row r="87" spans="2:8" ht="11.5" x14ac:dyDescent="0.25">
      <c r="B87" s="3" t="s">
        <v>971</v>
      </c>
      <c r="C87" s="2"/>
      <c r="D87" s="2"/>
      <c r="G87" s="2"/>
      <c r="H87" s="2"/>
    </row>
  </sheetData>
  <mergeCells count="3">
    <mergeCell ref="C80:C83"/>
    <mergeCell ref="D80:D82"/>
    <mergeCell ref="E80:E83"/>
  </mergeCells>
  <hyperlinks>
    <hyperlink ref="I1" location="'Sheet1'!A1" display="Index" xr:uid="{4AF3094F-D458-4FE5-9D8D-B142FC82283B}"/>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B119D-9938-465F-9331-7BC2E224990E}">
  <dimension ref="B1:P86"/>
  <sheetViews>
    <sheetView workbookViewId="0"/>
  </sheetViews>
  <sheetFormatPr defaultColWidth="9.1796875" defaultRowHeight="15.75" customHeight="1" x14ac:dyDescent="0.25"/>
  <cols>
    <col min="1" max="1" width="3.6328125" style="2" customWidth="1"/>
    <col min="2" max="2" width="50.453125" style="9" customWidth="1"/>
    <col min="3" max="3" width="26.7265625" style="9" customWidth="1"/>
    <col min="4" max="4" width="26.6328125" style="9" customWidth="1"/>
    <col min="5" max="5" width="27.26953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29</v>
      </c>
      <c r="C1" s="1" t="s">
        <v>958</v>
      </c>
      <c r="D1" s="1" t="s">
        <v>959</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580065</v>
      </c>
      <c r="F7" s="27">
        <v>9767.1299999999992</v>
      </c>
      <c r="G7" s="28">
        <v>0.1192</v>
      </c>
      <c r="H7" s="29"/>
    </row>
    <row r="8" spans="2:9" ht="15.75" customHeight="1" x14ac:dyDescent="0.25">
      <c r="B8" s="25" t="s">
        <v>138</v>
      </c>
      <c r="C8" s="25" t="s">
        <v>139</v>
      </c>
      <c r="D8" s="25" t="s">
        <v>140</v>
      </c>
      <c r="E8" s="26">
        <v>256178</v>
      </c>
      <c r="F8" s="27">
        <v>8020.42</v>
      </c>
      <c r="G8" s="28">
        <v>9.7900000000000001E-2</v>
      </c>
      <c r="H8" s="29"/>
    </row>
    <row r="9" spans="2:9" ht="15.75" customHeight="1" x14ac:dyDescent="0.25">
      <c r="B9" s="25" t="s">
        <v>127</v>
      </c>
      <c r="C9" s="25" t="s">
        <v>128</v>
      </c>
      <c r="D9" s="25" t="s">
        <v>129</v>
      </c>
      <c r="E9" s="26">
        <v>545009</v>
      </c>
      <c r="F9" s="27">
        <v>6537.93</v>
      </c>
      <c r="G9" s="28">
        <v>7.9799999999999996E-2</v>
      </c>
      <c r="H9" s="29"/>
    </row>
    <row r="10" spans="2:9" ht="15.75" customHeight="1" x14ac:dyDescent="0.25">
      <c r="B10" s="25" t="s">
        <v>130</v>
      </c>
      <c r="C10" s="25" t="s">
        <v>131</v>
      </c>
      <c r="D10" s="25" t="s">
        <v>132</v>
      </c>
      <c r="E10" s="26">
        <v>278259</v>
      </c>
      <c r="F10" s="27">
        <v>4359.62</v>
      </c>
      <c r="G10" s="28">
        <v>5.3199999999999997E-2</v>
      </c>
      <c r="H10" s="29"/>
    </row>
    <row r="11" spans="2:9" ht="15.75" customHeight="1" x14ac:dyDescent="0.25">
      <c r="B11" s="25" t="s">
        <v>222</v>
      </c>
      <c r="C11" s="25" t="s">
        <v>223</v>
      </c>
      <c r="D11" s="25" t="s">
        <v>224</v>
      </c>
      <c r="E11" s="26">
        <v>90178</v>
      </c>
      <c r="F11" s="27">
        <v>3199.92</v>
      </c>
      <c r="G11" s="28">
        <v>3.9100000000000003E-2</v>
      </c>
      <c r="H11" s="29"/>
    </row>
    <row r="12" spans="2:9" ht="15.75" customHeight="1" x14ac:dyDescent="0.25">
      <c r="B12" s="25" t="s">
        <v>272</v>
      </c>
      <c r="C12" s="25" t="s">
        <v>273</v>
      </c>
      <c r="D12" s="25" t="s">
        <v>132</v>
      </c>
      <c r="E12" s="26">
        <v>78246</v>
      </c>
      <c r="F12" s="27">
        <v>3054.84</v>
      </c>
      <c r="G12" s="28">
        <v>3.73E-2</v>
      </c>
      <c r="H12" s="29"/>
    </row>
    <row r="13" spans="2:9" ht="15.75" customHeight="1" x14ac:dyDescent="0.25">
      <c r="B13" s="25" t="s">
        <v>210</v>
      </c>
      <c r="C13" s="25" t="s">
        <v>211</v>
      </c>
      <c r="D13" s="25" t="s">
        <v>143</v>
      </c>
      <c r="E13" s="26">
        <v>711549</v>
      </c>
      <c r="F13" s="27">
        <v>3023.37</v>
      </c>
      <c r="G13" s="28">
        <v>3.6900000000000002E-2</v>
      </c>
      <c r="H13" s="29"/>
    </row>
    <row r="14" spans="2:9" ht="15.75" customHeight="1" x14ac:dyDescent="0.25">
      <c r="B14" s="25" t="s">
        <v>426</v>
      </c>
      <c r="C14" s="25" t="s">
        <v>427</v>
      </c>
      <c r="D14" s="25" t="s">
        <v>428</v>
      </c>
      <c r="E14" s="26">
        <v>208922</v>
      </c>
      <c r="F14" s="27">
        <v>3016.94</v>
      </c>
      <c r="G14" s="28">
        <v>3.6799999999999999E-2</v>
      </c>
      <c r="H14" s="29"/>
    </row>
    <row r="15" spans="2:9" ht="15.75" customHeight="1" x14ac:dyDescent="0.25">
      <c r="B15" s="25" t="s">
        <v>188</v>
      </c>
      <c r="C15" s="25" t="s">
        <v>189</v>
      </c>
      <c r="D15" s="25" t="s">
        <v>129</v>
      </c>
      <c r="E15" s="26">
        <v>220710</v>
      </c>
      <c r="F15" s="27">
        <v>2792.53</v>
      </c>
      <c r="G15" s="28">
        <v>3.4099999999999998E-2</v>
      </c>
      <c r="H15" s="29"/>
    </row>
    <row r="16" spans="2:9" ht="15.75" customHeight="1" x14ac:dyDescent="0.25">
      <c r="B16" s="25" t="s">
        <v>220</v>
      </c>
      <c r="C16" s="25" t="s">
        <v>221</v>
      </c>
      <c r="D16" s="25" t="s">
        <v>129</v>
      </c>
      <c r="E16" s="26">
        <v>290190</v>
      </c>
      <c r="F16" s="27">
        <v>2463.5700000000002</v>
      </c>
      <c r="G16" s="28">
        <v>3.0099999999999998E-2</v>
      </c>
      <c r="H16" s="29"/>
    </row>
    <row r="17" spans="2:8" ht="15.75" customHeight="1" x14ac:dyDescent="0.25">
      <c r="B17" s="25" t="s">
        <v>133</v>
      </c>
      <c r="C17" s="25" t="s">
        <v>134</v>
      </c>
      <c r="D17" s="25" t="s">
        <v>135</v>
      </c>
      <c r="E17" s="26">
        <v>75440</v>
      </c>
      <c r="F17" s="27">
        <v>2162.6</v>
      </c>
      <c r="G17" s="28">
        <v>2.64E-2</v>
      </c>
      <c r="H17" s="29"/>
    </row>
    <row r="18" spans="2:8" ht="15.75" customHeight="1" x14ac:dyDescent="0.25">
      <c r="B18" s="25" t="s">
        <v>215</v>
      </c>
      <c r="C18" s="25" t="s">
        <v>216</v>
      </c>
      <c r="D18" s="25" t="s">
        <v>129</v>
      </c>
      <c r="E18" s="26">
        <v>114180</v>
      </c>
      <c r="F18" s="27">
        <v>2058.09</v>
      </c>
      <c r="G18" s="28">
        <v>2.5100000000000001E-2</v>
      </c>
      <c r="H18" s="29"/>
    </row>
    <row r="19" spans="2:8" ht="15.75" customHeight="1" x14ac:dyDescent="0.25">
      <c r="B19" s="25" t="s">
        <v>141</v>
      </c>
      <c r="C19" s="25" t="s">
        <v>142</v>
      </c>
      <c r="D19" s="25" t="s">
        <v>143</v>
      </c>
      <c r="E19" s="26">
        <v>68274</v>
      </c>
      <c r="F19" s="27">
        <v>1688.45</v>
      </c>
      <c r="G19" s="28">
        <v>2.06E-2</v>
      </c>
      <c r="H19" s="29"/>
    </row>
    <row r="20" spans="2:8" ht="15.75" customHeight="1" x14ac:dyDescent="0.25">
      <c r="B20" s="25" t="s">
        <v>225</v>
      </c>
      <c r="C20" s="25" t="s">
        <v>226</v>
      </c>
      <c r="D20" s="25" t="s">
        <v>227</v>
      </c>
      <c r="E20" s="26">
        <v>21459</v>
      </c>
      <c r="F20" s="27">
        <v>1526.93</v>
      </c>
      <c r="G20" s="28">
        <v>1.8599999999999998E-2</v>
      </c>
      <c r="H20" s="29"/>
    </row>
    <row r="21" spans="2:8" ht="15.75" customHeight="1" x14ac:dyDescent="0.25">
      <c r="B21" s="25" t="s">
        <v>338</v>
      </c>
      <c r="C21" s="25" t="s">
        <v>339</v>
      </c>
      <c r="D21" s="25" t="s">
        <v>202</v>
      </c>
      <c r="E21" s="26">
        <v>360811</v>
      </c>
      <c r="F21" s="27">
        <v>1365.13</v>
      </c>
      <c r="G21" s="28">
        <v>1.67E-2</v>
      </c>
      <c r="H21" s="29"/>
    </row>
    <row r="22" spans="2:8" ht="15.75" customHeight="1" x14ac:dyDescent="0.25">
      <c r="B22" s="25" t="s">
        <v>291</v>
      </c>
      <c r="C22" s="25" t="s">
        <v>292</v>
      </c>
      <c r="D22" s="25" t="s">
        <v>135</v>
      </c>
      <c r="E22" s="26">
        <v>133397</v>
      </c>
      <c r="F22" s="27">
        <v>1320.3</v>
      </c>
      <c r="G22" s="28">
        <v>1.61E-2</v>
      </c>
      <c r="H22" s="29"/>
    </row>
    <row r="23" spans="2:8" ht="15.75" customHeight="1" x14ac:dyDescent="0.25">
      <c r="B23" s="25" t="s">
        <v>448</v>
      </c>
      <c r="C23" s="25" t="s">
        <v>449</v>
      </c>
      <c r="D23" s="25" t="s">
        <v>169</v>
      </c>
      <c r="E23" s="26">
        <v>82645</v>
      </c>
      <c r="F23" s="27">
        <v>1256.9100000000001</v>
      </c>
      <c r="G23" s="28">
        <v>1.5299999999999999E-2</v>
      </c>
      <c r="H23" s="29"/>
    </row>
    <row r="24" spans="2:8" ht="15.75" customHeight="1" x14ac:dyDescent="0.25">
      <c r="B24" s="25" t="s">
        <v>354</v>
      </c>
      <c r="C24" s="25" t="s">
        <v>355</v>
      </c>
      <c r="D24" s="25" t="s">
        <v>135</v>
      </c>
      <c r="E24" s="26">
        <v>10234</v>
      </c>
      <c r="F24" s="27">
        <v>1231.54</v>
      </c>
      <c r="G24" s="28">
        <v>1.4999999999999999E-2</v>
      </c>
      <c r="H24" s="29"/>
    </row>
    <row r="25" spans="2:8" ht="15.75" customHeight="1" x14ac:dyDescent="0.25">
      <c r="B25" s="25" t="s">
        <v>347</v>
      </c>
      <c r="C25" s="25" t="s">
        <v>348</v>
      </c>
      <c r="D25" s="25" t="s">
        <v>132</v>
      </c>
      <c r="E25" s="26">
        <v>82360</v>
      </c>
      <c r="F25" s="27">
        <v>1202.1300000000001</v>
      </c>
      <c r="G25" s="28">
        <v>1.47E-2</v>
      </c>
      <c r="H25" s="29"/>
    </row>
    <row r="26" spans="2:8" ht="15.75" customHeight="1" x14ac:dyDescent="0.25">
      <c r="B26" s="25" t="s">
        <v>206</v>
      </c>
      <c r="C26" s="25" t="s">
        <v>207</v>
      </c>
      <c r="D26" s="25" t="s">
        <v>202</v>
      </c>
      <c r="E26" s="26">
        <v>347892</v>
      </c>
      <c r="F26" s="27">
        <v>1151.3499999999999</v>
      </c>
      <c r="G26" s="28">
        <v>1.41E-2</v>
      </c>
      <c r="H26" s="29"/>
    </row>
    <row r="27" spans="2:8" ht="15.75" customHeight="1" x14ac:dyDescent="0.25">
      <c r="B27" s="25" t="s">
        <v>179</v>
      </c>
      <c r="C27" s="25" t="s">
        <v>180</v>
      </c>
      <c r="D27" s="25" t="s">
        <v>181</v>
      </c>
      <c r="E27" s="26">
        <v>627976</v>
      </c>
      <c r="F27" s="27">
        <v>1092.74</v>
      </c>
      <c r="G27" s="28">
        <v>1.3299999999999999E-2</v>
      </c>
      <c r="H27" s="29"/>
    </row>
    <row r="28" spans="2:8" ht="15.75" customHeight="1" x14ac:dyDescent="0.25">
      <c r="B28" s="25" t="s">
        <v>270</v>
      </c>
      <c r="C28" s="25" t="s">
        <v>271</v>
      </c>
      <c r="D28" s="25" t="s">
        <v>194</v>
      </c>
      <c r="E28" s="26">
        <v>31855</v>
      </c>
      <c r="F28" s="27">
        <v>1084.4100000000001</v>
      </c>
      <c r="G28" s="28">
        <v>1.32E-2</v>
      </c>
      <c r="H28" s="29"/>
    </row>
    <row r="29" spans="2:8" ht="15.75" customHeight="1" x14ac:dyDescent="0.25">
      <c r="B29" s="25" t="s">
        <v>502</v>
      </c>
      <c r="C29" s="25" t="s">
        <v>503</v>
      </c>
      <c r="D29" s="25" t="s">
        <v>276</v>
      </c>
      <c r="E29" s="26">
        <v>8951</v>
      </c>
      <c r="F29" s="27">
        <v>1044.3900000000001</v>
      </c>
      <c r="G29" s="28">
        <v>1.2699999999999999E-2</v>
      </c>
      <c r="H29" s="29"/>
    </row>
    <row r="30" spans="2:8" ht="15.75" customHeight="1" x14ac:dyDescent="0.25">
      <c r="B30" s="25" t="s">
        <v>375</v>
      </c>
      <c r="C30" s="25" t="s">
        <v>376</v>
      </c>
      <c r="D30" s="25" t="s">
        <v>194</v>
      </c>
      <c r="E30" s="26">
        <v>34272</v>
      </c>
      <c r="F30" s="27">
        <v>999.73</v>
      </c>
      <c r="G30" s="28">
        <v>1.2200000000000001E-2</v>
      </c>
      <c r="H30" s="29"/>
    </row>
    <row r="31" spans="2:8" ht="15.75" customHeight="1" x14ac:dyDescent="0.25">
      <c r="B31" s="25" t="s">
        <v>771</v>
      </c>
      <c r="C31" s="25" t="s">
        <v>772</v>
      </c>
      <c r="D31" s="25" t="s">
        <v>290</v>
      </c>
      <c r="E31" s="26">
        <v>56861</v>
      </c>
      <c r="F31" s="27">
        <v>840.46</v>
      </c>
      <c r="G31" s="28">
        <v>1.03E-2</v>
      </c>
      <c r="H31" s="29"/>
    </row>
    <row r="32" spans="2:8" ht="15.75" customHeight="1" x14ac:dyDescent="0.25">
      <c r="B32" s="25" t="s">
        <v>264</v>
      </c>
      <c r="C32" s="25" t="s">
        <v>265</v>
      </c>
      <c r="D32" s="25" t="s">
        <v>266</v>
      </c>
      <c r="E32" s="26">
        <v>173749</v>
      </c>
      <c r="F32" s="27">
        <v>822.09</v>
      </c>
      <c r="G32" s="28">
        <v>0.01</v>
      </c>
      <c r="H32" s="29"/>
    </row>
    <row r="33" spans="2:8" ht="15.75" customHeight="1" x14ac:dyDescent="0.25">
      <c r="B33" s="25" t="s">
        <v>554</v>
      </c>
      <c r="C33" s="25" t="s">
        <v>555</v>
      </c>
      <c r="D33" s="25" t="s">
        <v>135</v>
      </c>
      <c r="E33" s="26">
        <v>8594</v>
      </c>
      <c r="F33" s="27">
        <v>816.57</v>
      </c>
      <c r="G33" s="28">
        <v>0.01</v>
      </c>
      <c r="H33" s="29"/>
    </row>
    <row r="34" spans="2:8" ht="15.75" customHeight="1" x14ac:dyDescent="0.25">
      <c r="B34" s="25" t="s">
        <v>644</v>
      </c>
      <c r="C34" s="25" t="s">
        <v>645</v>
      </c>
      <c r="D34" s="25" t="s">
        <v>454</v>
      </c>
      <c r="E34" s="26">
        <v>293249</v>
      </c>
      <c r="F34" s="27">
        <v>804.09</v>
      </c>
      <c r="G34" s="28">
        <v>9.7999999999999997E-3</v>
      </c>
      <c r="H34" s="29"/>
    </row>
    <row r="35" spans="2:8" ht="15.75" customHeight="1" x14ac:dyDescent="0.25">
      <c r="B35" s="25" t="s">
        <v>312</v>
      </c>
      <c r="C35" s="25" t="s">
        <v>313</v>
      </c>
      <c r="D35" s="25" t="s">
        <v>214</v>
      </c>
      <c r="E35" s="26">
        <v>111398</v>
      </c>
      <c r="F35" s="27">
        <v>772.6</v>
      </c>
      <c r="G35" s="28">
        <v>9.4000000000000004E-3</v>
      </c>
      <c r="H35" s="29"/>
    </row>
    <row r="36" spans="2:8" ht="15.75" customHeight="1" x14ac:dyDescent="0.25">
      <c r="B36" s="25" t="s">
        <v>340</v>
      </c>
      <c r="C36" s="25" t="s">
        <v>341</v>
      </c>
      <c r="D36" s="25" t="s">
        <v>276</v>
      </c>
      <c r="E36" s="26">
        <v>28574</v>
      </c>
      <c r="F36" s="27">
        <v>763.05</v>
      </c>
      <c r="G36" s="28">
        <v>9.2999999999999992E-3</v>
      </c>
      <c r="H36" s="29"/>
    </row>
    <row r="37" spans="2:8" ht="15.75" customHeight="1" x14ac:dyDescent="0.25">
      <c r="B37" s="25" t="s">
        <v>170</v>
      </c>
      <c r="C37" s="25" t="s">
        <v>171</v>
      </c>
      <c r="D37" s="25" t="s">
        <v>129</v>
      </c>
      <c r="E37" s="26">
        <v>51787</v>
      </c>
      <c r="F37" s="27">
        <v>758.42</v>
      </c>
      <c r="G37" s="28">
        <v>9.2999999999999992E-3</v>
      </c>
      <c r="H37" s="29"/>
    </row>
    <row r="38" spans="2:8" ht="15.75" customHeight="1" x14ac:dyDescent="0.25">
      <c r="B38" s="25" t="s">
        <v>208</v>
      </c>
      <c r="C38" s="25" t="s">
        <v>209</v>
      </c>
      <c r="D38" s="25" t="s">
        <v>132</v>
      </c>
      <c r="E38" s="26">
        <v>48993</v>
      </c>
      <c r="F38" s="27">
        <v>700.77</v>
      </c>
      <c r="G38" s="28">
        <v>8.6E-3</v>
      </c>
      <c r="H38" s="29"/>
    </row>
    <row r="39" spans="2:8" ht="15.75" customHeight="1" x14ac:dyDescent="0.25">
      <c r="B39" s="25" t="s">
        <v>144</v>
      </c>
      <c r="C39" s="25" t="s">
        <v>145</v>
      </c>
      <c r="D39" s="25" t="s">
        <v>146</v>
      </c>
      <c r="E39" s="26">
        <v>27174</v>
      </c>
      <c r="F39" s="27">
        <v>693.39</v>
      </c>
      <c r="G39" s="28">
        <v>8.5000000000000006E-3</v>
      </c>
      <c r="H39" s="29"/>
    </row>
    <row r="40" spans="2:8" ht="15.75" customHeight="1" x14ac:dyDescent="0.25">
      <c r="B40" s="25" t="s">
        <v>279</v>
      </c>
      <c r="C40" s="25" t="s">
        <v>280</v>
      </c>
      <c r="D40" s="25" t="s">
        <v>181</v>
      </c>
      <c r="E40" s="26">
        <v>73776</v>
      </c>
      <c r="F40" s="27">
        <v>687.22</v>
      </c>
      <c r="G40" s="28">
        <v>8.3999999999999995E-3</v>
      </c>
      <c r="H40" s="29"/>
    </row>
    <row r="41" spans="2:8" ht="15.75" customHeight="1" x14ac:dyDescent="0.25">
      <c r="B41" s="25" t="s">
        <v>323</v>
      </c>
      <c r="C41" s="25" t="s">
        <v>324</v>
      </c>
      <c r="D41" s="25" t="s">
        <v>227</v>
      </c>
      <c r="E41" s="26">
        <v>41721</v>
      </c>
      <c r="F41" s="27">
        <v>662.59</v>
      </c>
      <c r="G41" s="28">
        <v>8.0999999999999996E-3</v>
      </c>
      <c r="H41" s="29"/>
    </row>
    <row r="42" spans="2:8" ht="15.75" customHeight="1" x14ac:dyDescent="0.25">
      <c r="B42" s="25" t="s">
        <v>773</v>
      </c>
      <c r="C42" s="25" t="s">
        <v>774</v>
      </c>
      <c r="D42" s="25" t="s">
        <v>775</v>
      </c>
      <c r="E42" s="26">
        <v>20174</v>
      </c>
      <c r="F42" s="27">
        <v>640.96</v>
      </c>
      <c r="G42" s="28">
        <v>7.7999999999999996E-3</v>
      </c>
      <c r="H42" s="29"/>
    </row>
    <row r="43" spans="2:8" ht="15.75" customHeight="1" x14ac:dyDescent="0.25">
      <c r="B43" s="25" t="s">
        <v>298</v>
      </c>
      <c r="C43" s="25" t="s">
        <v>299</v>
      </c>
      <c r="D43" s="25" t="s">
        <v>227</v>
      </c>
      <c r="E43" s="26">
        <v>21544</v>
      </c>
      <c r="F43" s="27">
        <v>627.25</v>
      </c>
      <c r="G43" s="28">
        <v>7.7000000000000002E-3</v>
      </c>
      <c r="H43" s="29"/>
    </row>
    <row r="44" spans="2:8" ht="15.75" customHeight="1" x14ac:dyDescent="0.25">
      <c r="B44" s="25" t="s">
        <v>569</v>
      </c>
      <c r="C44" s="25" t="s">
        <v>570</v>
      </c>
      <c r="D44" s="25" t="s">
        <v>169</v>
      </c>
      <c r="E44" s="26">
        <v>40486</v>
      </c>
      <c r="F44" s="27">
        <v>599.52</v>
      </c>
      <c r="G44" s="28">
        <v>7.3000000000000001E-3</v>
      </c>
      <c r="H44" s="29"/>
    </row>
    <row r="45" spans="2:8" ht="15.75" customHeight="1" x14ac:dyDescent="0.25">
      <c r="B45" s="25" t="s">
        <v>391</v>
      </c>
      <c r="C45" s="25" t="s">
        <v>392</v>
      </c>
      <c r="D45" s="25" t="s">
        <v>169</v>
      </c>
      <c r="E45" s="26">
        <v>9158</v>
      </c>
      <c r="F45" s="27">
        <v>586.33000000000004</v>
      </c>
      <c r="G45" s="28">
        <v>7.1999999999999998E-3</v>
      </c>
      <c r="H45" s="29"/>
    </row>
    <row r="46" spans="2:8" ht="15.75" customHeight="1" x14ac:dyDescent="0.25">
      <c r="B46" s="25" t="s">
        <v>776</v>
      </c>
      <c r="C46" s="25" t="s">
        <v>777</v>
      </c>
      <c r="D46" s="25" t="s">
        <v>132</v>
      </c>
      <c r="E46" s="26">
        <v>109230</v>
      </c>
      <c r="F46" s="27">
        <v>562.37</v>
      </c>
      <c r="G46" s="28">
        <v>6.8999999999999999E-3</v>
      </c>
      <c r="H46" s="29"/>
    </row>
    <row r="47" spans="2:8" ht="15.75" customHeight="1" x14ac:dyDescent="0.25">
      <c r="B47" s="25" t="s">
        <v>342</v>
      </c>
      <c r="C47" s="25" t="s">
        <v>343</v>
      </c>
      <c r="D47" s="25" t="s">
        <v>135</v>
      </c>
      <c r="E47" s="26">
        <v>9890</v>
      </c>
      <c r="F47" s="27">
        <v>551.82000000000005</v>
      </c>
      <c r="G47" s="28">
        <v>6.7000000000000002E-3</v>
      </c>
      <c r="H47" s="29"/>
    </row>
    <row r="48" spans="2:8" ht="15.75" customHeight="1" x14ac:dyDescent="0.25">
      <c r="B48" s="25" t="s">
        <v>743</v>
      </c>
      <c r="C48" s="25" t="s">
        <v>744</v>
      </c>
      <c r="D48" s="25" t="s">
        <v>566</v>
      </c>
      <c r="E48" s="26">
        <v>48231</v>
      </c>
      <c r="F48" s="27">
        <v>529.30999999999995</v>
      </c>
      <c r="G48" s="28">
        <v>6.4999999999999997E-3</v>
      </c>
      <c r="H48" s="29"/>
    </row>
    <row r="49" spans="2:8" ht="15.75" customHeight="1" x14ac:dyDescent="0.25">
      <c r="B49" s="25" t="s">
        <v>296</v>
      </c>
      <c r="C49" s="25" t="s">
        <v>297</v>
      </c>
      <c r="D49" s="25" t="s">
        <v>285</v>
      </c>
      <c r="E49" s="26">
        <v>34265</v>
      </c>
      <c r="F49" s="27">
        <v>511.22</v>
      </c>
      <c r="G49" s="28">
        <v>6.1999999999999998E-3</v>
      </c>
      <c r="H49" s="29"/>
    </row>
    <row r="50" spans="2:8" ht="15.75" customHeight="1" x14ac:dyDescent="0.25">
      <c r="B50" s="25" t="s">
        <v>300</v>
      </c>
      <c r="C50" s="25" t="s">
        <v>301</v>
      </c>
      <c r="D50" s="25" t="s">
        <v>146</v>
      </c>
      <c r="E50" s="26">
        <v>9084</v>
      </c>
      <c r="F50" s="27">
        <v>497.4</v>
      </c>
      <c r="G50" s="28">
        <v>6.1000000000000004E-3</v>
      </c>
      <c r="H50" s="29"/>
    </row>
    <row r="51" spans="2:8" ht="15.75" customHeight="1" x14ac:dyDescent="0.25">
      <c r="B51" s="25" t="s">
        <v>778</v>
      </c>
      <c r="C51" s="25" t="s">
        <v>779</v>
      </c>
      <c r="D51" s="25" t="s">
        <v>135</v>
      </c>
      <c r="E51" s="26">
        <v>10625</v>
      </c>
      <c r="F51" s="27">
        <v>496.5</v>
      </c>
      <c r="G51" s="28">
        <v>6.1000000000000004E-3</v>
      </c>
      <c r="H51" s="29"/>
    </row>
    <row r="52" spans="2:8" ht="15.75" customHeight="1" x14ac:dyDescent="0.25">
      <c r="B52" s="25" t="s">
        <v>321</v>
      </c>
      <c r="C52" s="25" t="s">
        <v>322</v>
      </c>
      <c r="D52" s="25" t="s">
        <v>285</v>
      </c>
      <c r="E52" s="26">
        <v>80792</v>
      </c>
      <c r="F52" s="27">
        <v>480.75</v>
      </c>
      <c r="G52" s="28">
        <v>5.8999999999999999E-3</v>
      </c>
      <c r="H52" s="29"/>
    </row>
    <row r="53" spans="2:8" ht="15.75" customHeight="1" x14ac:dyDescent="0.25">
      <c r="B53" s="25" t="s">
        <v>543</v>
      </c>
      <c r="C53" s="25" t="s">
        <v>544</v>
      </c>
      <c r="D53" s="25" t="s">
        <v>362</v>
      </c>
      <c r="E53" s="26">
        <v>7741</v>
      </c>
      <c r="F53" s="27">
        <v>478.84</v>
      </c>
      <c r="G53" s="28">
        <v>5.7999999999999996E-3</v>
      </c>
      <c r="H53" s="29"/>
    </row>
    <row r="54" spans="2:8" ht="15.75" customHeight="1" x14ac:dyDescent="0.25">
      <c r="B54" s="25" t="s">
        <v>281</v>
      </c>
      <c r="C54" s="25" t="s">
        <v>282</v>
      </c>
      <c r="D54" s="25" t="s">
        <v>140</v>
      </c>
      <c r="E54" s="26">
        <v>150782</v>
      </c>
      <c r="F54" s="27">
        <v>458.3</v>
      </c>
      <c r="G54" s="28">
        <v>5.5999999999999999E-3</v>
      </c>
      <c r="H54" s="29"/>
    </row>
    <row r="55" spans="2:8" ht="15.75" customHeight="1" x14ac:dyDescent="0.25">
      <c r="B55" s="25" t="s">
        <v>571</v>
      </c>
      <c r="C55" s="25" t="s">
        <v>572</v>
      </c>
      <c r="D55" s="25" t="s">
        <v>169</v>
      </c>
      <c r="E55" s="26">
        <v>9668</v>
      </c>
      <c r="F55" s="27">
        <v>444.38</v>
      </c>
      <c r="G55" s="28">
        <v>5.4000000000000003E-3</v>
      </c>
      <c r="H55" s="29"/>
    </row>
    <row r="56" spans="2:8" ht="15.75" customHeight="1" x14ac:dyDescent="0.25">
      <c r="B56" s="25" t="s">
        <v>147</v>
      </c>
      <c r="C56" s="25" t="s">
        <v>148</v>
      </c>
      <c r="D56" s="25" t="s">
        <v>132</v>
      </c>
      <c r="E56" s="26">
        <v>7070</v>
      </c>
      <c r="F56" s="27">
        <v>380.72</v>
      </c>
      <c r="G56" s="28">
        <v>4.5999999999999999E-3</v>
      </c>
      <c r="H56" s="29"/>
    </row>
    <row r="57" spans="2:8" ht="15.75" customHeight="1" x14ac:dyDescent="0.25">
      <c r="B57" s="24" t="s">
        <v>102</v>
      </c>
      <c r="C57" s="24"/>
      <c r="D57" s="24"/>
      <c r="E57" s="30"/>
      <c r="F57" s="31">
        <v>81587.89</v>
      </c>
      <c r="G57" s="32">
        <v>0.99570000000000003</v>
      </c>
      <c r="H57" s="33"/>
    </row>
    <row r="58" spans="2:8" ht="15.75" customHeight="1" x14ac:dyDescent="0.25">
      <c r="B58" s="24" t="s">
        <v>149</v>
      </c>
      <c r="C58" s="25"/>
      <c r="D58" s="25"/>
      <c r="E58" s="26"/>
      <c r="F58" s="27"/>
      <c r="G58" s="28"/>
      <c r="H58" s="29"/>
    </row>
    <row r="59" spans="2:8" ht="15.75" customHeight="1" x14ac:dyDescent="0.25">
      <c r="B59" s="24" t="s">
        <v>102</v>
      </c>
      <c r="C59" s="25"/>
      <c r="D59" s="25"/>
      <c r="E59" s="26"/>
      <c r="F59" s="34" t="s">
        <v>104</v>
      </c>
      <c r="G59" s="35" t="s">
        <v>104</v>
      </c>
      <c r="H59" s="29"/>
    </row>
    <row r="60" spans="2:8" ht="15.75" customHeight="1" x14ac:dyDescent="0.25">
      <c r="B60" s="25"/>
      <c r="C60" s="25"/>
      <c r="D60" s="25"/>
      <c r="E60" s="26"/>
      <c r="F60" s="27"/>
      <c r="G60" s="28"/>
      <c r="H60" s="29"/>
    </row>
    <row r="61" spans="2:8" ht="15.75" customHeight="1" x14ac:dyDescent="0.25">
      <c r="B61" s="36" t="s">
        <v>106</v>
      </c>
      <c r="C61" s="36"/>
      <c r="D61" s="36"/>
      <c r="E61" s="37"/>
      <c r="F61" s="31">
        <v>81587.89</v>
      </c>
      <c r="G61" s="32">
        <v>0.99570000000000003</v>
      </c>
      <c r="H61" s="33"/>
    </row>
    <row r="62" spans="2:8" ht="15.75" customHeight="1" x14ac:dyDescent="0.25">
      <c r="B62" s="25"/>
      <c r="C62" s="25"/>
      <c r="D62" s="25"/>
      <c r="E62" s="26"/>
      <c r="F62" s="27"/>
      <c r="G62" s="28"/>
      <c r="H62" s="29"/>
    </row>
    <row r="63" spans="2:8" ht="15.75" customHeight="1" x14ac:dyDescent="0.25">
      <c r="B63" s="25"/>
      <c r="C63" s="25"/>
      <c r="D63" s="25"/>
      <c r="E63" s="26"/>
      <c r="F63" s="27"/>
      <c r="G63" s="28"/>
      <c r="H63" s="29"/>
    </row>
    <row r="64" spans="2:8" ht="15.75" customHeight="1" x14ac:dyDescent="0.25">
      <c r="B64" s="24" t="s">
        <v>109</v>
      </c>
      <c r="C64" s="25"/>
      <c r="D64" s="25"/>
      <c r="E64" s="26"/>
      <c r="F64" s="27"/>
      <c r="G64" s="28"/>
      <c r="H64" s="29"/>
    </row>
    <row r="65" spans="2:16" ht="15.75" customHeight="1" x14ac:dyDescent="0.25">
      <c r="B65" s="25" t="s">
        <v>110</v>
      </c>
      <c r="C65" s="25"/>
      <c r="D65" s="25"/>
      <c r="E65" s="26"/>
      <c r="F65" s="27">
        <v>20.55</v>
      </c>
      <c r="G65" s="28">
        <v>2.9999999999999997E-4</v>
      </c>
      <c r="H65" s="29"/>
    </row>
    <row r="66" spans="2:16" ht="15.75" customHeight="1" x14ac:dyDescent="0.25">
      <c r="B66" s="24" t="s">
        <v>102</v>
      </c>
      <c r="C66" s="24"/>
      <c r="D66" s="24"/>
      <c r="E66" s="30"/>
      <c r="F66" s="31">
        <v>20.55</v>
      </c>
      <c r="G66" s="32">
        <v>2.9999999999999997E-4</v>
      </c>
      <c r="H66" s="33"/>
    </row>
    <row r="67" spans="2:16" ht="15.75" customHeight="1" x14ac:dyDescent="0.25">
      <c r="B67" s="25"/>
      <c r="C67" s="25"/>
      <c r="D67" s="25"/>
      <c r="E67" s="26"/>
      <c r="F67" s="27"/>
      <c r="G67" s="28"/>
      <c r="H67" s="29"/>
    </row>
    <row r="68" spans="2:16" ht="15.75" customHeight="1" x14ac:dyDescent="0.25">
      <c r="B68" s="36" t="s">
        <v>106</v>
      </c>
      <c r="C68" s="36"/>
      <c r="D68" s="36"/>
      <c r="E68" s="37"/>
      <c r="F68" s="31">
        <v>20.55</v>
      </c>
      <c r="G68" s="32">
        <v>2.9999999999999997E-4</v>
      </c>
      <c r="H68" s="33"/>
      <c r="L68" s="3"/>
    </row>
    <row r="69" spans="2:16" ht="15.75" customHeight="1" x14ac:dyDescent="0.25">
      <c r="B69" s="25" t="s">
        <v>111</v>
      </c>
      <c r="C69" s="25"/>
      <c r="D69" s="25"/>
      <c r="E69" s="26"/>
      <c r="F69" s="27">
        <v>333.4</v>
      </c>
      <c r="G69" s="28">
        <v>4.0000000000000036E-3</v>
      </c>
      <c r="H69" s="29"/>
    </row>
    <row r="70" spans="2:16" ht="15.75" customHeight="1" x14ac:dyDescent="0.25">
      <c r="B70" s="40" t="s">
        <v>112</v>
      </c>
      <c r="C70" s="40"/>
      <c r="D70" s="40"/>
      <c r="E70" s="41"/>
      <c r="F70" s="42">
        <v>81941.84</v>
      </c>
      <c r="G70" s="43">
        <v>1</v>
      </c>
      <c r="H70" s="44"/>
      <c r="L70" s="3"/>
    </row>
    <row r="71" spans="2:16" ht="15.75" customHeight="1" thickBot="1" x14ac:dyDescent="0.3">
      <c r="B71" s="2"/>
      <c r="L71" s="3"/>
    </row>
    <row r="72" spans="2:16" ht="27" customHeight="1" thickBot="1" x14ac:dyDescent="0.3">
      <c r="B72" s="56" t="s">
        <v>964</v>
      </c>
      <c r="C72" s="57" t="s">
        <v>965</v>
      </c>
      <c r="D72" s="57" t="s">
        <v>966</v>
      </c>
      <c r="E72" s="62" t="s">
        <v>967</v>
      </c>
      <c r="G72" s="2"/>
      <c r="H72" s="2"/>
    </row>
    <row r="73" spans="2:16" ht="30" customHeight="1" x14ac:dyDescent="0.25">
      <c r="B73" s="69" t="s">
        <v>80</v>
      </c>
      <c r="C73" s="81"/>
      <c r="D73" s="84" t="s">
        <v>1023</v>
      </c>
      <c r="E73" s="86"/>
      <c r="G73" s="2"/>
      <c r="H73" s="2"/>
    </row>
    <row r="74" spans="2:16" ht="28.5" customHeight="1" x14ac:dyDescent="0.25">
      <c r="B74" s="65" t="s">
        <v>1039</v>
      </c>
      <c r="C74" s="82"/>
      <c r="D74" s="85"/>
      <c r="E74" s="82"/>
      <c r="G74" s="2"/>
      <c r="H74" s="2"/>
    </row>
    <row r="75" spans="2:16" ht="40" customHeight="1" x14ac:dyDescent="0.25">
      <c r="B75" s="65" t="s">
        <v>1043</v>
      </c>
      <c r="C75" s="82"/>
      <c r="D75" s="85"/>
      <c r="E75" s="82"/>
      <c r="G75" s="2"/>
      <c r="H75" s="2"/>
    </row>
    <row r="76" spans="2:16" ht="30" customHeight="1" thickBot="1" x14ac:dyDescent="0.3">
      <c r="B76" s="67" t="s">
        <v>1044</v>
      </c>
      <c r="C76" s="83"/>
      <c r="D76" s="70" t="s">
        <v>1044</v>
      </c>
      <c r="E76" s="87"/>
      <c r="G76" s="2"/>
      <c r="H76" s="2"/>
    </row>
    <row r="77" spans="2:16" ht="25" customHeight="1" x14ac:dyDescent="0.25">
      <c r="B77" s="58" t="s">
        <v>969</v>
      </c>
      <c r="C77" s="59"/>
      <c r="D77" s="60"/>
      <c r="E77" s="61"/>
      <c r="G77" s="2"/>
      <c r="H77" s="2"/>
    </row>
    <row r="78" spans="2:16" ht="15.75" customHeight="1" x14ac:dyDescent="0.25">
      <c r="L78" s="7"/>
      <c r="M78" s="7"/>
      <c r="N78" s="7"/>
      <c r="O78" s="7"/>
      <c r="P78" s="7"/>
    </row>
    <row r="79" spans="2:16" ht="11.5" x14ac:dyDescent="0.25">
      <c r="B79" s="2" t="s">
        <v>970</v>
      </c>
      <c r="C79" s="2"/>
      <c r="D79" s="2"/>
      <c r="G79" s="2"/>
      <c r="H79" s="2"/>
    </row>
    <row r="80" spans="2:16" ht="11.5" x14ac:dyDescent="0.25">
      <c r="B80" s="3" t="s">
        <v>971</v>
      </c>
      <c r="C80" s="2"/>
      <c r="D80" s="2"/>
      <c r="G80" s="2"/>
      <c r="H80" s="2"/>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73:C76"/>
    <mergeCell ref="D73:D75"/>
    <mergeCell ref="E73:E76"/>
  </mergeCells>
  <hyperlinks>
    <hyperlink ref="I1" location="'Sheet1'!A1" display="Index" xr:uid="{004D51A5-AD82-40A7-819C-ABCFA9A4F973}"/>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C7BB2-4A72-42AD-8392-A5832709857D}">
  <dimension ref="B1:P86"/>
  <sheetViews>
    <sheetView workbookViewId="0">
      <selection activeCell="B1" sqref="B1"/>
    </sheetView>
  </sheetViews>
  <sheetFormatPr defaultColWidth="9.1796875" defaultRowHeight="15.75" customHeight="1" x14ac:dyDescent="0.25"/>
  <cols>
    <col min="1" max="1" width="3.6328125" style="2" customWidth="1"/>
    <col min="2" max="2" width="50.453125" style="9" customWidth="1"/>
    <col min="3" max="3" width="26.54296875" style="9" customWidth="1"/>
    <col min="4" max="4" width="19.1796875" style="9" bestFit="1" customWidth="1"/>
    <col min="5" max="5" width="25.0898437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1055</v>
      </c>
      <c r="C1" s="1" t="s">
        <v>960</v>
      </c>
      <c r="D1" s="1" t="s">
        <v>961</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136</v>
      </c>
      <c r="C7" s="25" t="s">
        <v>137</v>
      </c>
      <c r="D7" s="25" t="s">
        <v>129</v>
      </c>
      <c r="E7" s="26">
        <v>678810</v>
      </c>
      <c r="F7" s="27">
        <v>11428.11</v>
      </c>
      <c r="G7" s="28">
        <v>0.1396</v>
      </c>
      <c r="H7" s="29"/>
    </row>
    <row r="8" spans="2:9" ht="15.75" customHeight="1" x14ac:dyDescent="0.25">
      <c r="B8" s="25" t="s">
        <v>138</v>
      </c>
      <c r="C8" s="25" t="s">
        <v>139</v>
      </c>
      <c r="D8" s="25" t="s">
        <v>140</v>
      </c>
      <c r="E8" s="26">
        <v>305043</v>
      </c>
      <c r="F8" s="27">
        <v>9553.49</v>
      </c>
      <c r="G8" s="28">
        <v>0.1167</v>
      </c>
      <c r="H8" s="29"/>
    </row>
    <row r="9" spans="2:9" ht="15.75" customHeight="1" x14ac:dyDescent="0.25">
      <c r="B9" s="25" t="s">
        <v>127</v>
      </c>
      <c r="C9" s="25" t="s">
        <v>128</v>
      </c>
      <c r="D9" s="25" t="s">
        <v>129</v>
      </c>
      <c r="E9" s="26">
        <v>634138</v>
      </c>
      <c r="F9" s="27">
        <v>7608.39</v>
      </c>
      <c r="G9" s="28">
        <v>9.2899999999999996E-2</v>
      </c>
      <c r="H9" s="29"/>
    </row>
    <row r="10" spans="2:9" ht="15.75" customHeight="1" x14ac:dyDescent="0.25">
      <c r="B10" s="25" t="s">
        <v>130</v>
      </c>
      <c r="C10" s="25" t="s">
        <v>131</v>
      </c>
      <c r="D10" s="25" t="s">
        <v>132</v>
      </c>
      <c r="E10" s="26">
        <v>325352</v>
      </c>
      <c r="F10" s="27">
        <v>5098.1000000000004</v>
      </c>
      <c r="G10" s="28">
        <v>6.2300000000000001E-2</v>
      </c>
      <c r="H10" s="29"/>
    </row>
    <row r="11" spans="2:9" ht="15.75" customHeight="1" x14ac:dyDescent="0.25">
      <c r="B11" s="25" t="s">
        <v>222</v>
      </c>
      <c r="C11" s="25" t="s">
        <v>223</v>
      </c>
      <c r="D11" s="25" t="s">
        <v>224</v>
      </c>
      <c r="E11" s="26">
        <v>105476</v>
      </c>
      <c r="F11" s="27">
        <v>3743.77</v>
      </c>
      <c r="G11" s="28">
        <v>4.5699999999999998E-2</v>
      </c>
      <c r="H11" s="29"/>
    </row>
    <row r="12" spans="2:9" ht="15.75" customHeight="1" x14ac:dyDescent="0.25">
      <c r="B12" s="25" t="s">
        <v>272</v>
      </c>
      <c r="C12" s="25" t="s">
        <v>273</v>
      </c>
      <c r="D12" s="25" t="s">
        <v>132</v>
      </c>
      <c r="E12" s="26">
        <v>91348</v>
      </c>
      <c r="F12" s="27">
        <v>3567.09</v>
      </c>
      <c r="G12" s="28">
        <v>4.36E-2</v>
      </c>
      <c r="H12" s="29"/>
    </row>
    <row r="13" spans="2:9" ht="15.75" customHeight="1" x14ac:dyDescent="0.25">
      <c r="B13" s="25" t="s">
        <v>210</v>
      </c>
      <c r="C13" s="25" t="s">
        <v>211</v>
      </c>
      <c r="D13" s="25" t="s">
        <v>143</v>
      </c>
      <c r="E13" s="26">
        <v>833040</v>
      </c>
      <c r="F13" s="27">
        <v>3539.59</v>
      </c>
      <c r="G13" s="28">
        <v>4.3200000000000002E-2</v>
      </c>
      <c r="H13" s="29"/>
    </row>
    <row r="14" spans="2:9" ht="15.75" customHeight="1" x14ac:dyDescent="0.25">
      <c r="B14" s="25" t="s">
        <v>426</v>
      </c>
      <c r="C14" s="25" t="s">
        <v>427</v>
      </c>
      <c r="D14" s="25" t="s">
        <v>428</v>
      </c>
      <c r="E14" s="26">
        <v>239907</v>
      </c>
      <c r="F14" s="27">
        <v>3467.5</v>
      </c>
      <c r="G14" s="28">
        <v>4.24E-2</v>
      </c>
      <c r="H14" s="29"/>
    </row>
    <row r="15" spans="2:9" ht="15.75" customHeight="1" x14ac:dyDescent="0.25">
      <c r="B15" s="25" t="s">
        <v>188</v>
      </c>
      <c r="C15" s="25" t="s">
        <v>189</v>
      </c>
      <c r="D15" s="25" t="s">
        <v>129</v>
      </c>
      <c r="E15" s="26">
        <v>254436</v>
      </c>
      <c r="F15" s="27">
        <v>3220.4</v>
      </c>
      <c r="G15" s="28">
        <v>3.9300000000000002E-2</v>
      </c>
      <c r="H15" s="29"/>
    </row>
    <row r="16" spans="2:9" ht="15.75" customHeight="1" x14ac:dyDescent="0.25">
      <c r="B16" s="25" t="s">
        <v>220</v>
      </c>
      <c r="C16" s="25" t="s">
        <v>221</v>
      </c>
      <c r="D16" s="25" t="s">
        <v>129</v>
      </c>
      <c r="E16" s="26">
        <v>346195</v>
      </c>
      <c r="F16" s="27">
        <v>2938.68</v>
      </c>
      <c r="G16" s="28">
        <v>3.5900000000000001E-2</v>
      </c>
      <c r="H16" s="29"/>
    </row>
    <row r="17" spans="2:8" ht="15.75" customHeight="1" x14ac:dyDescent="0.25">
      <c r="B17" s="25" t="s">
        <v>215</v>
      </c>
      <c r="C17" s="25" t="s">
        <v>216</v>
      </c>
      <c r="D17" s="25" t="s">
        <v>129</v>
      </c>
      <c r="E17" s="26">
        <v>132456</v>
      </c>
      <c r="F17" s="27">
        <v>2388.1799999999998</v>
      </c>
      <c r="G17" s="28">
        <v>2.92E-2</v>
      </c>
      <c r="H17" s="29"/>
    </row>
    <row r="18" spans="2:8" ht="15.75" customHeight="1" x14ac:dyDescent="0.25">
      <c r="B18" s="25" t="s">
        <v>133</v>
      </c>
      <c r="C18" s="25" t="s">
        <v>134</v>
      </c>
      <c r="D18" s="25" t="s">
        <v>135</v>
      </c>
      <c r="E18" s="26">
        <v>79422</v>
      </c>
      <c r="F18" s="27">
        <v>2277.98</v>
      </c>
      <c r="G18" s="28">
        <v>2.7799999999999998E-2</v>
      </c>
      <c r="H18" s="29"/>
    </row>
    <row r="19" spans="2:8" ht="15.75" customHeight="1" x14ac:dyDescent="0.25">
      <c r="B19" s="25" t="s">
        <v>141</v>
      </c>
      <c r="C19" s="25" t="s">
        <v>142</v>
      </c>
      <c r="D19" s="25" t="s">
        <v>143</v>
      </c>
      <c r="E19" s="26">
        <v>80765</v>
      </c>
      <c r="F19" s="27">
        <v>1999.1</v>
      </c>
      <c r="G19" s="28">
        <v>2.4400000000000002E-2</v>
      </c>
      <c r="H19" s="29"/>
    </row>
    <row r="20" spans="2:8" ht="15.75" customHeight="1" x14ac:dyDescent="0.25">
      <c r="B20" s="25" t="s">
        <v>225</v>
      </c>
      <c r="C20" s="25" t="s">
        <v>226</v>
      </c>
      <c r="D20" s="25" t="s">
        <v>227</v>
      </c>
      <c r="E20" s="26">
        <v>25158</v>
      </c>
      <c r="F20" s="27">
        <v>1790.18</v>
      </c>
      <c r="G20" s="28">
        <v>2.1899999999999999E-2</v>
      </c>
      <c r="H20" s="29"/>
    </row>
    <row r="21" spans="2:8" ht="15.75" customHeight="1" x14ac:dyDescent="0.25">
      <c r="B21" s="25" t="s">
        <v>338</v>
      </c>
      <c r="C21" s="25" t="s">
        <v>339</v>
      </c>
      <c r="D21" s="25" t="s">
        <v>202</v>
      </c>
      <c r="E21" s="26">
        <v>427188</v>
      </c>
      <c r="F21" s="27">
        <v>1616.27</v>
      </c>
      <c r="G21" s="28">
        <v>1.9699999999999999E-2</v>
      </c>
      <c r="H21" s="29"/>
    </row>
    <row r="22" spans="2:8" ht="15.75" customHeight="1" x14ac:dyDescent="0.25">
      <c r="B22" s="25" t="s">
        <v>291</v>
      </c>
      <c r="C22" s="25" t="s">
        <v>292</v>
      </c>
      <c r="D22" s="25" t="s">
        <v>135</v>
      </c>
      <c r="E22" s="26">
        <v>159129</v>
      </c>
      <c r="F22" s="27">
        <v>1575.54</v>
      </c>
      <c r="G22" s="28">
        <v>1.9199999999999998E-2</v>
      </c>
      <c r="H22" s="29"/>
    </row>
    <row r="23" spans="2:8" ht="15.75" customHeight="1" x14ac:dyDescent="0.25">
      <c r="B23" s="25" t="s">
        <v>448</v>
      </c>
      <c r="C23" s="25" t="s">
        <v>449</v>
      </c>
      <c r="D23" s="25" t="s">
        <v>169</v>
      </c>
      <c r="E23" s="26">
        <v>97379</v>
      </c>
      <c r="F23" s="27">
        <v>1482.5</v>
      </c>
      <c r="G23" s="28">
        <v>1.8100000000000002E-2</v>
      </c>
      <c r="H23" s="29"/>
    </row>
    <row r="24" spans="2:8" ht="15.75" customHeight="1" x14ac:dyDescent="0.25">
      <c r="B24" s="25" t="s">
        <v>354</v>
      </c>
      <c r="C24" s="25" t="s">
        <v>355</v>
      </c>
      <c r="D24" s="25" t="s">
        <v>135</v>
      </c>
      <c r="E24" s="26">
        <v>11943</v>
      </c>
      <c r="F24" s="27">
        <v>1437.57</v>
      </c>
      <c r="G24" s="28">
        <v>1.7600000000000001E-2</v>
      </c>
      <c r="H24" s="29"/>
    </row>
    <row r="25" spans="2:8" ht="15.75" customHeight="1" x14ac:dyDescent="0.25">
      <c r="B25" s="25" t="s">
        <v>347</v>
      </c>
      <c r="C25" s="25" t="s">
        <v>348</v>
      </c>
      <c r="D25" s="25" t="s">
        <v>132</v>
      </c>
      <c r="E25" s="26">
        <v>95401</v>
      </c>
      <c r="F25" s="27">
        <v>1392.47</v>
      </c>
      <c r="G25" s="28">
        <v>1.7000000000000001E-2</v>
      </c>
      <c r="H25" s="29"/>
    </row>
    <row r="26" spans="2:8" ht="15.75" customHeight="1" x14ac:dyDescent="0.25">
      <c r="B26" s="25" t="s">
        <v>206</v>
      </c>
      <c r="C26" s="25" t="s">
        <v>207</v>
      </c>
      <c r="D26" s="25" t="s">
        <v>202</v>
      </c>
      <c r="E26" s="26">
        <v>409073</v>
      </c>
      <c r="F26" s="27">
        <v>1353.21</v>
      </c>
      <c r="G26" s="28">
        <v>1.6500000000000001E-2</v>
      </c>
      <c r="H26" s="29"/>
    </row>
    <row r="27" spans="2:8" ht="15.75" customHeight="1" x14ac:dyDescent="0.25">
      <c r="B27" s="25" t="s">
        <v>179</v>
      </c>
      <c r="C27" s="25" t="s">
        <v>180</v>
      </c>
      <c r="D27" s="25" t="s">
        <v>181</v>
      </c>
      <c r="E27" s="26">
        <v>747380</v>
      </c>
      <c r="F27" s="27">
        <v>1300.44</v>
      </c>
      <c r="G27" s="28">
        <v>1.5900000000000001E-2</v>
      </c>
      <c r="H27" s="29"/>
    </row>
    <row r="28" spans="2:8" ht="15.75" customHeight="1" x14ac:dyDescent="0.25">
      <c r="B28" s="25" t="s">
        <v>270</v>
      </c>
      <c r="C28" s="25" t="s">
        <v>271</v>
      </c>
      <c r="D28" s="25" t="s">
        <v>194</v>
      </c>
      <c r="E28" s="26">
        <v>37626</v>
      </c>
      <c r="F28" s="27">
        <v>1281.58</v>
      </c>
      <c r="G28" s="28">
        <v>1.5699999999999999E-2</v>
      </c>
      <c r="H28" s="29"/>
    </row>
    <row r="29" spans="2:8" ht="15.75" customHeight="1" x14ac:dyDescent="0.25">
      <c r="B29" s="25" t="s">
        <v>502</v>
      </c>
      <c r="C29" s="25" t="s">
        <v>503</v>
      </c>
      <c r="D29" s="25" t="s">
        <v>276</v>
      </c>
      <c r="E29" s="26">
        <v>10394</v>
      </c>
      <c r="F29" s="27">
        <v>1212.08</v>
      </c>
      <c r="G29" s="28">
        <v>1.4800000000000001E-2</v>
      </c>
      <c r="H29" s="29"/>
    </row>
    <row r="30" spans="2:8" ht="15.75" customHeight="1" x14ac:dyDescent="0.25">
      <c r="B30" s="25" t="s">
        <v>375</v>
      </c>
      <c r="C30" s="25" t="s">
        <v>376</v>
      </c>
      <c r="D30" s="25" t="s">
        <v>194</v>
      </c>
      <c r="E30" s="26">
        <v>40849</v>
      </c>
      <c r="F30" s="27">
        <v>1191.69</v>
      </c>
      <c r="G30" s="28">
        <v>1.46E-2</v>
      </c>
      <c r="H30" s="29"/>
    </row>
    <row r="31" spans="2:8" ht="15.75" customHeight="1" x14ac:dyDescent="0.25">
      <c r="B31" s="25" t="s">
        <v>771</v>
      </c>
      <c r="C31" s="25" t="s">
        <v>772</v>
      </c>
      <c r="D31" s="25" t="s">
        <v>290</v>
      </c>
      <c r="E31" s="26">
        <v>66067</v>
      </c>
      <c r="F31" s="27">
        <v>976.07</v>
      </c>
      <c r="G31" s="28">
        <v>1.1900000000000001E-2</v>
      </c>
      <c r="H31" s="29"/>
    </row>
    <row r="32" spans="2:8" ht="15.75" customHeight="1" x14ac:dyDescent="0.25">
      <c r="B32" s="25" t="s">
        <v>170</v>
      </c>
      <c r="C32" s="25" t="s">
        <v>171</v>
      </c>
      <c r="D32" s="25" t="s">
        <v>129</v>
      </c>
      <c r="E32" s="26">
        <v>59793</v>
      </c>
      <c r="F32" s="27">
        <v>875.25</v>
      </c>
      <c r="G32" s="28">
        <v>1.0699999999999999E-2</v>
      </c>
      <c r="H32" s="29"/>
    </row>
    <row r="33" spans="2:8" ht="15.75" customHeight="1" x14ac:dyDescent="0.25">
      <c r="B33" s="25" t="s">
        <v>144</v>
      </c>
      <c r="C33" s="25" t="s">
        <v>145</v>
      </c>
      <c r="D33" s="25" t="s">
        <v>146</v>
      </c>
      <c r="E33" s="26">
        <v>32188</v>
      </c>
      <c r="F33" s="27">
        <v>821.61</v>
      </c>
      <c r="G33" s="28">
        <v>0.01</v>
      </c>
      <c r="H33" s="29"/>
    </row>
    <row r="34" spans="2:8" ht="15.75" customHeight="1" x14ac:dyDescent="0.25">
      <c r="B34" s="25" t="s">
        <v>208</v>
      </c>
      <c r="C34" s="25" t="s">
        <v>209</v>
      </c>
      <c r="D34" s="25" t="s">
        <v>132</v>
      </c>
      <c r="E34" s="26">
        <v>57192</v>
      </c>
      <c r="F34" s="27">
        <v>817.96</v>
      </c>
      <c r="G34" s="28">
        <v>0.01</v>
      </c>
      <c r="H34" s="29"/>
    </row>
    <row r="35" spans="2:8" ht="15.75" customHeight="1" x14ac:dyDescent="0.25">
      <c r="B35" s="25" t="s">
        <v>279</v>
      </c>
      <c r="C35" s="25" t="s">
        <v>280</v>
      </c>
      <c r="D35" s="25" t="s">
        <v>181</v>
      </c>
      <c r="E35" s="26">
        <v>86000</v>
      </c>
      <c r="F35" s="27">
        <v>801.05</v>
      </c>
      <c r="G35" s="28">
        <v>9.7999999999999997E-3</v>
      </c>
      <c r="H35" s="29"/>
    </row>
    <row r="36" spans="2:8" ht="15.75" customHeight="1" x14ac:dyDescent="0.25">
      <c r="B36" s="25" t="s">
        <v>323</v>
      </c>
      <c r="C36" s="25" t="s">
        <v>324</v>
      </c>
      <c r="D36" s="25" t="s">
        <v>227</v>
      </c>
      <c r="E36" s="26">
        <v>43117</v>
      </c>
      <c r="F36" s="27">
        <v>684.61</v>
      </c>
      <c r="G36" s="28">
        <v>8.3999999999999995E-3</v>
      </c>
      <c r="H36" s="29"/>
    </row>
    <row r="37" spans="2:8" ht="15.75" customHeight="1" x14ac:dyDescent="0.25">
      <c r="B37" s="24" t="s">
        <v>102</v>
      </c>
      <c r="C37" s="24"/>
      <c r="D37" s="24"/>
      <c r="E37" s="30"/>
      <c r="F37" s="31">
        <v>81440.460000000006</v>
      </c>
      <c r="G37" s="32">
        <v>0.99470000000000003</v>
      </c>
      <c r="H37" s="33"/>
    </row>
    <row r="38" spans="2:8" ht="15.75" customHeight="1" x14ac:dyDescent="0.25">
      <c r="B38" s="24" t="s">
        <v>149</v>
      </c>
      <c r="C38" s="25"/>
      <c r="D38" s="25"/>
      <c r="E38" s="26"/>
      <c r="F38" s="27"/>
      <c r="G38" s="28"/>
      <c r="H38" s="29"/>
    </row>
    <row r="39" spans="2:8" ht="15.75" customHeight="1" x14ac:dyDescent="0.25">
      <c r="B39" s="24" t="s">
        <v>102</v>
      </c>
      <c r="C39" s="25"/>
      <c r="D39" s="25"/>
      <c r="E39" s="26"/>
      <c r="F39" s="34" t="s">
        <v>104</v>
      </c>
      <c r="G39" s="35" t="s">
        <v>104</v>
      </c>
      <c r="H39" s="29"/>
    </row>
    <row r="40" spans="2:8" ht="15.75" customHeight="1" x14ac:dyDescent="0.25">
      <c r="B40" s="25"/>
      <c r="C40" s="25"/>
      <c r="D40" s="25"/>
      <c r="E40" s="26"/>
      <c r="F40" s="27"/>
      <c r="G40" s="28"/>
      <c r="H40" s="29"/>
    </row>
    <row r="41" spans="2:8" ht="15.75" customHeight="1" x14ac:dyDescent="0.25">
      <c r="B41" s="36" t="s">
        <v>106</v>
      </c>
      <c r="C41" s="36"/>
      <c r="D41" s="36"/>
      <c r="E41" s="37"/>
      <c r="F41" s="31">
        <v>81440.460000000006</v>
      </c>
      <c r="G41" s="32">
        <v>0.99470000000000003</v>
      </c>
      <c r="H41" s="33"/>
    </row>
    <row r="42" spans="2:8" ht="15.75" customHeight="1" x14ac:dyDescent="0.25">
      <c r="B42" s="25"/>
      <c r="C42" s="25"/>
      <c r="D42" s="25"/>
      <c r="E42" s="26"/>
      <c r="F42" s="27"/>
      <c r="G42" s="28"/>
      <c r="H42" s="29"/>
    </row>
    <row r="43" spans="2:8" ht="15.75" customHeight="1" x14ac:dyDescent="0.25">
      <c r="B43" s="25"/>
      <c r="C43" s="25"/>
      <c r="D43" s="25"/>
      <c r="E43" s="26"/>
      <c r="F43" s="27"/>
      <c r="G43" s="28"/>
      <c r="H43" s="29"/>
    </row>
    <row r="44" spans="2:8" ht="15.75" customHeight="1" x14ac:dyDescent="0.25">
      <c r="B44" s="24" t="s">
        <v>109</v>
      </c>
      <c r="C44" s="25"/>
      <c r="D44" s="25"/>
      <c r="E44" s="26"/>
      <c r="F44" s="27"/>
      <c r="G44" s="28"/>
      <c r="H44" s="29"/>
    </row>
    <row r="45" spans="2:8" ht="15.75" customHeight="1" x14ac:dyDescent="0.25">
      <c r="B45" s="25" t="s">
        <v>110</v>
      </c>
      <c r="C45" s="25"/>
      <c r="D45" s="25"/>
      <c r="E45" s="26"/>
      <c r="F45" s="27">
        <v>77.8</v>
      </c>
      <c r="G45" s="28">
        <v>1E-3</v>
      </c>
      <c r="H45" s="29"/>
    </row>
    <row r="46" spans="2:8" ht="15.75" customHeight="1" x14ac:dyDescent="0.25">
      <c r="B46" s="24" t="s">
        <v>102</v>
      </c>
      <c r="C46" s="24"/>
      <c r="D46" s="24"/>
      <c r="E46" s="30"/>
      <c r="F46" s="31">
        <v>77.8</v>
      </c>
      <c r="G46" s="32">
        <v>1E-3</v>
      </c>
      <c r="H46" s="33"/>
    </row>
    <row r="47" spans="2:8" ht="15.75" customHeight="1" x14ac:dyDescent="0.25">
      <c r="B47" s="25"/>
      <c r="C47" s="25"/>
      <c r="D47" s="25"/>
      <c r="E47" s="26"/>
      <c r="F47" s="27"/>
      <c r="G47" s="28"/>
      <c r="H47" s="29"/>
    </row>
    <row r="48" spans="2:8" ht="15.75" customHeight="1" x14ac:dyDescent="0.25">
      <c r="B48" s="36" t="s">
        <v>106</v>
      </c>
      <c r="C48" s="36"/>
      <c r="D48" s="36"/>
      <c r="E48" s="37"/>
      <c r="F48" s="31">
        <v>77.8</v>
      </c>
      <c r="G48" s="32">
        <v>1E-3</v>
      </c>
      <c r="H48" s="33"/>
    </row>
    <row r="49" spans="2:8" ht="15.75" customHeight="1" x14ac:dyDescent="0.25">
      <c r="B49" s="25" t="s">
        <v>111</v>
      </c>
      <c r="C49" s="25"/>
      <c r="D49" s="25"/>
      <c r="E49" s="26"/>
      <c r="F49" s="27">
        <v>358.48</v>
      </c>
      <c r="G49" s="28">
        <v>4.2999999999999705E-3</v>
      </c>
      <c r="H49" s="29"/>
    </row>
    <row r="50" spans="2:8" ht="15.75" customHeight="1" x14ac:dyDescent="0.25">
      <c r="B50" s="40" t="s">
        <v>112</v>
      </c>
      <c r="C50" s="40"/>
      <c r="D50" s="40"/>
      <c r="E50" s="41"/>
      <c r="F50" s="42">
        <v>81876.740000000005</v>
      </c>
      <c r="G50" s="43">
        <v>1</v>
      </c>
      <c r="H50" s="44"/>
    </row>
    <row r="51" spans="2:8" ht="15.75" customHeight="1" thickBot="1" x14ac:dyDescent="0.3">
      <c r="B51" s="2"/>
    </row>
    <row r="52" spans="2:8" ht="27" customHeight="1" thickBot="1" x14ac:dyDescent="0.3">
      <c r="B52" s="56" t="s">
        <v>964</v>
      </c>
      <c r="C52" s="57" t="s">
        <v>965</v>
      </c>
      <c r="D52" s="57" t="s">
        <v>966</v>
      </c>
      <c r="E52" s="62" t="s">
        <v>967</v>
      </c>
      <c r="G52" s="2"/>
      <c r="H52" s="2"/>
    </row>
    <row r="53" spans="2:8" ht="30" customHeight="1" x14ac:dyDescent="0.25">
      <c r="B53" s="69" t="s">
        <v>82</v>
      </c>
      <c r="C53" s="81"/>
      <c r="D53" s="84" t="s">
        <v>1026</v>
      </c>
      <c r="E53" s="86"/>
      <c r="G53" s="2"/>
      <c r="H53" s="2"/>
    </row>
    <row r="54" spans="2:8" ht="34.5" customHeight="1" x14ac:dyDescent="0.25">
      <c r="B54" s="65" t="s">
        <v>1039</v>
      </c>
      <c r="C54" s="82"/>
      <c r="D54" s="85"/>
      <c r="E54" s="82"/>
      <c r="G54" s="2"/>
      <c r="H54" s="2"/>
    </row>
    <row r="55" spans="2:8" ht="40" customHeight="1" x14ac:dyDescent="0.25">
      <c r="B55" s="65" t="s">
        <v>1047</v>
      </c>
      <c r="C55" s="82"/>
      <c r="D55" s="85"/>
      <c r="E55" s="82"/>
      <c r="G55" s="2"/>
      <c r="H55" s="2"/>
    </row>
    <row r="56" spans="2:8" ht="29.25" customHeight="1" thickBot="1" x14ac:dyDescent="0.3">
      <c r="B56" s="67" t="s">
        <v>1044</v>
      </c>
      <c r="C56" s="83"/>
      <c r="D56" s="70" t="s">
        <v>1044</v>
      </c>
      <c r="E56" s="87"/>
      <c r="G56" s="2"/>
      <c r="H56" s="2"/>
    </row>
    <row r="57" spans="2:8" ht="25" customHeight="1" x14ac:dyDescent="0.25">
      <c r="B57" s="58" t="s">
        <v>969</v>
      </c>
      <c r="C57" s="59"/>
      <c r="D57" s="60"/>
      <c r="E57" s="61"/>
      <c r="G57" s="2"/>
      <c r="H57" s="2"/>
    </row>
    <row r="59" spans="2:8" ht="11.5" x14ac:dyDescent="0.25">
      <c r="B59" s="2" t="s">
        <v>970</v>
      </c>
      <c r="C59" s="2"/>
      <c r="D59" s="2"/>
      <c r="G59" s="2"/>
      <c r="H59" s="2"/>
    </row>
    <row r="60" spans="2:8" ht="11.5" x14ac:dyDescent="0.25">
      <c r="B60" s="3" t="s">
        <v>971</v>
      </c>
      <c r="C60" s="2"/>
      <c r="D60" s="2"/>
      <c r="G60" s="2"/>
      <c r="H60"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53:C56"/>
    <mergeCell ref="D53:D55"/>
    <mergeCell ref="E53:E56"/>
  </mergeCells>
  <hyperlinks>
    <hyperlink ref="I1" location="'Sheet1'!A1" display="Index" xr:uid="{20D9E3E1-3FBD-4435-A4AF-7715A9EA7089}"/>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01409-C717-483E-B960-33A06F2FA326}">
  <dimension ref="B1:P96"/>
  <sheetViews>
    <sheetView workbookViewId="0">
      <selection activeCell="B3" sqref="B3"/>
    </sheetView>
  </sheetViews>
  <sheetFormatPr defaultColWidth="9.1796875" defaultRowHeight="15.75" customHeight="1" x14ac:dyDescent="0.25"/>
  <cols>
    <col min="1" max="1" width="3.6328125" style="2" customWidth="1"/>
    <col min="2" max="2" width="50.453125" style="9" customWidth="1"/>
    <col min="3" max="3" width="24.81640625" style="9" customWidth="1"/>
    <col min="4" max="4" width="26.6328125" style="9" customWidth="1"/>
    <col min="5" max="5" width="28.453125" style="2" customWidth="1"/>
    <col min="6" max="6" width="16.453125" style="2" customWidth="1"/>
    <col min="7" max="7" width="15.26953125" style="8" customWidth="1"/>
    <col min="8" max="8" width="7.363281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30</v>
      </c>
      <c r="C1" s="1"/>
      <c r="D1" s="1"/>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45" t="s">
        <v>125</v>
      </c>
      <c r="C5" s="19"/>
      <c r="D5" s="19"/>
      <c r="E5" s="20"/>
      <c r="F5" s="21"/>
      <c r="G5" s="22"/>
      <c r="H5" s="23"/>
    </row>
    <row r="6" spans="2:9" ht="15.75" customHeight="1" x14ac:dyDescent="0.25">
      <c r="B6" s="24" t="s">
        <v>126</v>
      </c>
      <c r="C6" s="25"/>
      <c r="D6" s="25"/>
      <c r="E6" s="26"/>
      <c r="F6" s="27"/>
      <c r="G6" s="28"/>
      <c r="H6" s="29"/>
    </row>
    <row r="7" spans="2:9" ht="15.75" customHeight="1" x14ac:dyDescent="0.25">
      <c r="B7" s="25" t="s">
        <v>127</v>
      </c>
      <c r="C7" s="25" t="s">
        <v>128</v>
      </c>
      <c r="D7" s="25" t="s">
        <v>129</v>
      </c>
      <c r="E7" s="26">
        <v>306298</v>
      </c>
      <c r="F7" s="27">
        <v>3674.35</v>
      </c>
      <c r="G7" s="28">
        <v>7.22E-2</v>
      </c>
      <c r="H7" s="29"/>
    </row>
    <row r="8" spans="2:9" ht="15.75" customHeight="1" x14ac:dyDescent="0.25">
      <c r="B8" s="25" t="s">
        <v>404</v>
      </c>
      <c r="C8" s="25" t="s">
        <v>405</v>
      </c>
      <c r="D8" s="25" t="s">
        <v>254</v>
      </c>
      <c r="E8" s="26">
        <v>43207</v>
      </c>
      <c r="F8" s="27">
        <v>2367.6799999999998</v>
      </c>
      <c r="G8" s="28">
        <v>4.65E-2</v>
      </c>
      <c r="H8" s="29"/>
    </row>
    <row r="9" spans="2:9" ht="15.75" customHeight="1" x14ac:dyDescent="0.25">
      <c r="B9" s="25" t="s">
        <v>136</v>
      </c>
      <c r="C9" s="25" t="s">
        <v>137</v>
      </c>
      <c r="D9" s="25" t="s">
        <v>129</v>
      </c>
      <c r="E9" s="26">
        <v>137631</v>
      </c>
      <c r="F9" s="27">
        <v>2317.4299999999998</v>
      </c>
      <c r="G9" s="28">
        <v>4.5499999999999999E-2</v>
      </c>
      <c r="H9" s="29"/>
    </row>
    <row r="10" spans="2:9" ht="15.75" customHeight="1" x14ac:dyDescent="0.25">
      <c r="B10" s="25" t="s">
        <v>130</v>
      </c>
      <c r="C10" s="25" t="s">
        <v>131</v>
      </c>
      <c r="D10" s="25" t="s">
        <v>132</v>
      </c>
      <c r="E10" s="26">
        <v>142097</v>
      </c>
      <c r="F10" s="27">
        <v>2226.3000000000002</v>
      </c>
      <c r="G10" s="28">
        <v>4.3700000000000003E-2</v>
      </c>
      <c r="H10" s="29"/>
    </row>
    <row r="11" spans="2:9" ht="15.75" customHeight="1" x14ac:dyDescent="0.25">
      <c r="B11" s="25" t="s">
        <v>628</v>
      </c>
      <c r="C11" s="25" t="s">
        <v>629</v>
      </c>
      <c r="D11" s="25" t="s">
        <v>601</v>
      </c>
      <c r="E11" s="26">
        <v>277626</v>
      </c>
      <c r="F11" s="27">
        <v>1629.39</v>
      </c>
      <c r="G11" s="28">
        <v>3.2000000000000001E-2</v>
      </c>
      <c r="H11" s="29"/>
    </row>
    <row r="12" spans="2:9" ht="15.75" customHeight="1" x14ac:dyDescent="0.25">
      <c r="B12" s="25" t="s">
        <v>686</v>
      </c>
      <c r="C12" s="25" t="s">
        <v>687</v>
      </c>
      <c r="D12" s="25" t="s">
        <v>337</v>
      </c>
      <c r="E12" s="26">
        <v>31419</v>
      </c>
      <c r="F12" s="27">
        <v>1475.66</v>
      </c>
      <c r="G12" s="28">
        <v>2.9000000000000001E-2</v>
      </c>
      <c r="H12" s="29"/>
    </row>
    <row r="13" spans="2:9" ht="15.75" customHeight="1" x14ac:dyDescent="0.25">
      <c r="B13" s="25" t="s">
        <v>272</v>
      </c>
      <c r="C13" s="25" t="s">
        <v>273</v>
      </c>
      <c r="D13" s="25" t="s">
        <v>132</v>
      </c>
      <c r="E13" s="26">
        <v>36613</v>
      </c>
      <c r="F13" s="27">
        <v>1429.43</v>
      </c>
      <c r="G13" s="28">
        <v>2.81E-2</v>
      </c>
      <c r="H13" s="29"/>
    </row>
    <row r="14" spans="2:9" ht="15.75" customHeight="1" x14ac:dyDescent="0.25">
      <c r="B14" s="25" t="s">
        <v>763</v>
      </c>
      <c r="C14" s="25" t="s">
        <v>764</v>
      </c>
      <c r="D14" s="25" t="s">
        <v>346</v>
      </c>
      <c r="E14" s="26">
        <v>143365</v>
      </c>
      <c r="F14" s="27">
        <v>1425.55</v>
      </c>
      <c r="G14" s="28">
        <v>2.8000000000000001E-2</v>
      </c>
      <c r="H14" s="29"/>
    </row>
    <row r="15" spans="2:9" ht="15.75" customHeight="1" x14ac:dyDescent="0.25">
      <c r="B15" s="25" t="s">
        <v>749</v>
      </c>
      <c r="C15" s="25" t="s">
        <v>750</v>
      </c>
      <c r="D15" s="25" t="s">
        <v>254</v>
      </c>
      <c r="E15" s="26">
        <v>25769</v>
      </c>
      <c r="F15" s="27">
        <v>1215.46</v>
      </c>
      <c r="G15" s="28">
        <v>2.3900000000000001E-2</v>
      </c>
      <c r="H15" s="29"/>
    </row>
    <row r="16" spans="2:9" ht="15.75" customHeight="1" x14ac:dyDescent="0.25">
      <c r="B16" s="25" t="s">
        <v>188</v>
      </c>
      <c r="C16" s="25" t="s">
        <v>189</v>
      </c>
      <c r="D16" s="25" t="s">
        <v>129</v>
      </c>
      <c r="E16" s="26">
        <v>95968</v>
      </c>
      <c r="F16" s="27">
        <v>1214.24</v>
      </c>
      <c r="G16" s="28">
        <v>2.3900000000000001E-2</v>
      </c>
      <c r="H16" s="29"/>
    </row>
    <row r="17" spans="2:8" ht="15.75" customHeight="1" x14ac:dyDescent="0.25">
      <c r="B17" s="25" t="s">
        <v>270</v>
      </c>
      <c r="C17" s="25" t="s">
        <v>271</v>
      </c>
      <c r="D17" s="25" t="s">
        <v>194</v>
      </c>
      <c r="E17" s="26">
        <v>32839</v>
      </c>
      <c r="F17" s="27">
        <v>1117.9100000000001</v>
      </c>
      <c r="G17" s="28">
        <v>2.1999999999999999E-2</v>
      </c>
      <c r="H17" s="29"/>
    </row>
    <row r="18" spans="2:8" ht="15.75" customHeight="1" x14ac:dyDescent="0.25">
      <c r="B18" s="25" t="s">
        <v>164</v>
      </c>
      <c r="C18" s="25" t="s">
        <v>165</v>
      </c>
      <c r="D18" s="25" t="s">
        <v>166</v>
      </c>
      <c r="E18" s="26">
        <v>347045</v>
      </c>
      <c r="F18" s="27">
        <v>1061.6099999999999</v>
      </c>
      <c r="G18" s="28">
        <v>2.0899999999999998E-2</v>
      </c>
      <c r="H18" s="29"/>
    </row>
    <row r="19" spans="2:8" ht="15.75" customHeight="1" x14ac:dyDescent="0.25">
      <c r="B19" s="25" t="s">
        <v>936</v>
      </c>
      <c r="C19" s="25" t="s">
        <v>937</v>
      </c>
      <c r="D19" s="25" t="s">
        <v>337</v>
      </c>
      <c r="E19" s="26">
        <v>62108</v>
      </c>
      <c r="F19" s="27">
        <v>1037.05</v>
      </c>
      <c r="G19" s="28">
        <v>2.0400000000000001E-2</v>
      </c>
      <c r="H19" s="29"/>
    </row>
    <row r="20" spans="2:8" ht="15.75" customHeight="1" x14ac:dyDescent="0.25">
      <c r="B20" s="25" t="s">
        <v>225</v>
      </c>
      <c r="C20" s="25" t="s">
        <v>226</v>
      </c>
      <c r="D20" s="25" t="s">
        <v>227</v>
      </c>
      <c r="E20" s="26">
        <v>14235</v>
      </c>
      <c r="F20" s="27">
        <v>1012.9</v>
      </c>
      <c r="G20" s="28">
        <v>1.9900000000000001E-2</v>
      </c>
      <c r="H20" s="29"/>
    </row>
    <row r="21" spans="2:8" ht="15.75" customHeight="1" x14ac:dyDescent="0.25">
      <c r="B21" s="25" t="s">
        <v>363</v>
      </c>
      <c r="C21" s="25" t="s">
        <v>364</v>
      </c>
      <c r="D21" s="25" t="s">
        <v>269</v>
      </c>
      <c r="E21" s="26">
        <v>39376</v>
      </c>
      <c r="F21" s="27">
        <v>959.22</v>
      </c>
      <c r="G21" s="28">
        <v>1.8800000000000001E-2</v>
      </c>
      <c r="H21" s="29"/>
    </row>
    <row r="22" spans="2:8" ht="15.75" customHeight="1" x14ac:dyDescent="0.25">
      <c r="B22" s="25" t="s">
        <v>571</v>
      </c>
      <c r="C22" s="25" t="s">
        <v>572</v>
      </c>
      <c r="D22" s="25" t="s">
        <v>169</v>
      </c>
      <c r="E22" s="26">
        <v>20719</v>
      </c>
      <c r="F22" s="27">
        <v>952.34</v>
      </c>
      <c r="G22" s="28">
        <v>1.8700000000000001E-2</v>
      </c>
      <c r="H22" s="29"/>
    </row>
    <row r="23" spans="2:8" ht="15.75" customHeight="1" x14ac:dyDescent="0.25">
      <c r="B23" s="25" t="s">
        <v>138</v>
      </c>
      <c r="C23" s="25" t="s">
        <v>139</v>
      </c>
      <c r="D23" s="25" t="s">
        <v>140</v>
      </c>
      <c r="E23" s="26">
        <v>27112</v>
      </c>
      <c r="F23" s="27">
        <v>848.82</v>
      </c>
      <c r="G23" s="28">
        <v>1.67E-2</v>
      </c>
      <c r="H23" s="29"/>
    </row>
    <row r="24" spans="2:8" ht="15.75" customHeight="1" x14ac:dyDescent="0.25">
      <c r="B24" s="25" t="s">
        <v>426</v>
      </c>
      <c r="C24" s="25" t="s">
        <v>427</v>
      </c>
      <c r="D24" s="25" t="s">
        <v>428</v>
      </c>
      <c r="E24" s="26">
        <v>56289</v>
      </c>
      <c r="F24" s="27">
        <v>812.84</v>
      </c>
      <c r="G24" s="28">
        <v>1.6E-2</v>
      </c>
      <c r="H24" s="29"/>
    </row>
    <row r="25" spans="2:8" ht="15.75" customHeight="1" x14ac:dyDescent="0.25">
      <c r="B25" s="25" t="s">
        <v>938</v>
      </c>
      <c r="C25" s="25" t="s">
        <v>939</v>
      </c>
      <c r="D25" s="25" t="s">
        <v>194</v>
      </c>
      <c r="E25" s="26">
        <v>7695</v>
      </c>
      <c r="F25" s="27">
        <v>668.18</v>
      </c>
      <c r="G25" s="28">
        <v>1.3100000000000001E-2</v>
      </c>
      <c r="H25" s="29"/>
    </row>
    <row r="26" spans="2:8" ht="15.75" customHeight="1" x14ac:dyDescent="0.25">
      <c r="B26" s="25" t="s">
        <v>743</v>
      </c>
      <c r="C26" s="25" t="s">
        <v>744</v>
      </c>
      <c r="D26" s="25" t="s">
        <v>566</v>
      </c>
      <c r="E26" s="26">
        <v>60706</v>
      </c>
      <c r="F26" s="27">
        <v>666.22</v>
      </c>
      <c r="G26" s="28">
        <v>1.3100000000000001E-2</v>
      </c>
      <c r="H26" s="29"/>
    </row>
    <row r="27" spans="2:8" ht="15.75" customHeight="1" x14ac:dyDescent="0.25">
      <c r="B27" s="25" t="s">
        <v>354</v>
      </c>
      <c r="C27" s="25" t="s">
        <v>355</v>
      </c>
      <c r="D27" s="25" t="s">
        <v>135</v>
      </c>
      <c r="E27" s="26">
        <v>5458</v>
      </c>
      <c r="F27" s="27">
        <v>656.81</v>
      </c>
      <c r="G27" s="28">
        <v>1.29E-2</v>
      </c>
      <c r="H27" s="29"/>
    </row>
    <row r="28" spans="2:8" ht="15.75" customHeight="1" x14ac:dyDescent="0.25">
      <c r="B28" s="25" t="s">
        <v>215</v>
      </c>
      <c r="C28" s="25" t="s">
        <v>216</v>
      </c>
      <c r="D28" s="25" t="s">
        <v>129</v>
      </c>
      <c r="E28" s="26">
        <v>34342</v>
      </c>
      <c r="F28" s="27">
        <v>619.01</v>
      </c>
      <c r="G28" s="28">
        <v>1.2200000000000001E-2</v>
      </c>
      <c r="H28" s="29"/>
    </row>
    <row r="29" spans="2:8" ht="15.75" customHeight="1" x14ac:dyDescent="0.25">
      <c r="B29" s="25" t="s">
        <v>653</v>
      </c>
      <c r="C29" s="25" t="s">
        <v>654</v>
      </c>
      <c r="D29" s="25" t="s">
        <v>269</v>
      </c>
      <c r="E29" s="26">
        <v>31764</v>
      </c>
      <c r="F29" s="27">
        <v>602.85</v>
      </c>
      <c r="G29" s="28">
        <v>1.18E-2</v>
      </c>
      <c r="H29" s="29"/>
    </row>
    <row r="30" spans="2:8" ht="15.75" customHeight="1" x14ac:dyDescent="0.25">
      <c r="B30" s="25" t="s">
        <v>323</v>
      </c>
      <c r="C30" s="25" t="s">
        <v>324</v>
      </c>
      <c r="D30" s="25" t="s">
        <v>227</v>
      </c>
      <c r="E30" s="26">
        <v>37535</v>
      </c>
      <c r="F30" s="27">
        <v>596.11</v>
      </c>
      <c r="G30" s="28">
        <v>1.17E-2</v>
      </c>
      <c r="H30" s="29"/>
    </row>
    <row r="31" spans="2:8" ht="15.75" customHeight="1" x14ac:dyDescent="0.25">
      <c r="B31" s="25" t="s">
        <v>141</v>
      </c>
      <c r="C31" s="25" t="s">
        <v>142</v>
      </c>
      <c r="D31" s="25" t="s">
        <v>143</v>
      </c>
      <c r="E31" s="26">
        <v>23522</v>
      </c>
      <c r="F31" s="27">
        <v>581.71</v>
      </c>
      <c r="G31" s="28">
        <v>1.14E-2</v>
      </c>
      <c r="H31" s="29"/>
    </row>
    <row r="32" spans="2:8" ht="15.75" customHeight="1" x14ac:dyDescent="0.25">
      <c r="B32" s="25" t="s">
        <v>220</v>
      </c>
      <c r="C32" s="25" t="s">
        <v>221</v>
      </c>
      <c r="D32" s="25" t="s">
        <v>129</v>
      </c>
      <c r="E32" s="26">
        <v>67964</v>
      </c>
      <c r="F32" s="27">
        <v>576.98</v>
      </c>
      <c r="G32" s="28">
        <v>1.1299999999999999E-2</v>
      </c>
      <c r="H32" s="29"/>
    </row>
    <row r="33" spans="2:8" ht="15.75" customHeight="1" x14ac:dyDescent="0.25">
      <c r="B33" s="25" t="s">
        <v>381</v>
      </c>
      <c r="C33" s="25" t="s">
        <v>382</v>
      </c>
      <c r="D33" s="25" t="s">
        <v>169</v>
      </c>
      <c r="E33" s="26">
        <v>11320</v>
      </c>
      <c r="F33" s="27">
        <v>565.02</v>
      </c>
      <c r="G33" s="28">
        <v>1.11E-2</v>
      </c>
      <c r="H33" s="29"/>
    </row>
    <row r="34" spans="2:8" ht="15.75" customHeight="1" x14ac:dyDescent="0.25">
      <c r="B34" s="25" t="s">
        <v>257</v>
      </c>
      <c r="C34" s="25" t="s">
        <v>258</v>
      </c>
      <c r="D34" s="25" t="s">
        <v>254</v>
      </c>
      <c r="E34" s="26">
        <v>177756</v>
      </c>
      <c r="F34" s="27">
        <v>554.87</v>
      </c>
      <c r="G34" s="28">
        <v>1.09E-2</v>
      </c>
      <c r="H34" s="29"/>
    </row>
    <row r="35" spans="2:8" ht="15.75" customHeight="1" x14ac:dyDescent="0.25">
      <c r="B35" s="25" t="s">
        <v>940</v>
      </c>
      <c r="C35" s="25" t="s">
        <v>941</v>
      </c>
      <c r="D35" s="25" t="s">
        <v>194</v>
      </c>
      <c r="E35" s="26">
        <v>52308</v>
      </c>
      <c r="F35" s="27">
        <v>552.71</v>
      </c>
      <c r="G35" s="28">
        <v>1.09E-2</v>
      </c>
      <c r="H35" s="29"/>
    </row>
    <row r="36" spans="2:8" ht="15.75" customHeight="1" x14ac:dyDescent="0.25">
      <c r="B36" s="25" t="s">
        <v>942</v>
      </c>
      <c r="C36" s="25" t="s">
        <v>943</v>
      </c>
      <c r="D36" s="25" t="s">
        <v>337</v>
      </c>
      <c r="E36" s="26">
        <v>7905</v>
      </c>
      <c r="F36" s="27">
        <v>511.26</v>
      </c>
      <c r="G36" s="28">
        <v>0.01</v>
      </c>
      <c r="H36" s="29"/>
    </row>
    <row r="37" spans="2:8" ht="15.75" customHeight="1" x14ac:dyDescent="0.25">
      <c r="B37" s="25" t="s">
        <v>286</v>
      </c>
      <c r="C37" s="25" t="s">
        <v>287</v>
      </c>
      <c r="D37" s="25" t="s">
        <v>227</v>
      </c>
      <c r="E37" s="26">
        <v>279543</v>
      </c>
      <c r="F37" s="27">
        <v>506.45</v>
      </c>
      <c r="G37" s="28">
        <v>9.9000000000000008E-3</v>
      </c>
      <c r="H37" s="29"/>
    </row>
    <row r="38" spans="2:8" ht="15.75" customHeight="1" x14ac:dyDescent="0.25">
      <c r="B38" s="25" t="s">
        <v>506</v>
      </c>
      <c r="C38" s="25" t="s">
        <v>507</v>
      </c>
      <c r="D38" s="25" t="s">
        <v>508</v>
      </c>
      <c r="E38" s="26">
        <v>53517</v>
      </c>
      <c r="F38" s="27">
        <v>503.09</v>
      </c>
      <c r="G38" s="28">
        <v>9.9000000000000008E-3</v>
      </c>
      <c r="H38" s="29"/>
    </row>
    <row r="39" spans="2:8" ht="15.75" customHeight="1" x14ac:dyDescent="0.25">
      <c r="B39" s="25" t="s">
        <v>377</v>
      </c>
      <c r="C39" s="25" t="s">
        <v>378</v>
      </c>
      <c r="D39" s="25" t="s">
        <v>227</v>
      </c>
      <c r="E39" s="26">
        <v>35287</v>
      </c>
      <c r="F39" s="27">
        <v>466.53</v>
      </c>
      <c r="G39" s="28">
        <v>9.1999999999999998E-3</v>
      </c>
      <c r="H39" s="29"/>
    </row>
    <row r="40" spans="2:8" ht="15.75" customHeight="1" x14ac:dyDescent="0.25">
      <c r="B40" s="25" t="s">
        <v>745</v>
      </c>
      <c r="C40" s="25" t="s">
        <v>746</v>
      </c>
      <c r="D40" s="25" t="s">
        <v>269</v>
      </c>
      <c r="E40" s="26">
        <v>14376</v>
      </c>
      <c r="F40" s="27">
        <v>454.13</v>
      </c>
      <c r="G40" s="28">
        <v>8.8999999999999999E-3</v>
      </c>
      <c r="H40" s="29"/>
    </row>
    <row r="41" spans="2:8" ht="15.75" customHeight="1" x14ac:dyDescent="0.25">
      <c r="B41" s="25" t="s">
        <v>705</v>
      </c>
      <c r="C41" s="25" t="s">
        <v>706</v>
      </c>
      <c r="D41" s="25" t="s">
        <v>269</v>
      </c>
      <c r="E41" s="26">
        <v>11873</v>
      </c>
      <c r="F41" s="27">
        <v>424.37</v>
      </c>
      <c r="G41" s="28">
        <v>8.3000000000000001E-3</v>
      </c>
      <c r="H41" s="29"/>
    </row>
    <row r="42" spans="2:8" ht="15.75" customHeight="1" x14ac:dyDescent="0.25">
      <c r="B42" s="25" t="s">
        <v>622</v>
      </c>
      <c r="C42" s="25" t="s">
        <v>623</v>
      </c>
      <c r="D42" s="25" t="s">
        <v>132</v>
      </c>
      <c r="E42" s="26">
        <v>6471</v>
      </c>
      <c r="F42" s="27">
        <v>353.24</v>
      </c>
      <c r="G42" s="28">
        <v>6.8999999999999999E-3</v>
      </c>
      <c r="H42" s="29"/>
    </row>
    <row r="43" spans="2:8" ht="15.75" customHeight="1" x14ac:dyDescent="0.25">
      <c r="B43" s="25" t="s">
        <v>944</v>
      </c>
      <c r="C43" s="25" t="s">
        <v>945</v>
      </c>
      <c r="D43" s="25" t="s">
        <v>251</v>
      </c>
      <c r="E43" s="26">
        <v>28133</v>
      </c>
      <c r="F43" s="27">
        <v>348.22</v>
      </c>
      <c r="G43" s="28">
        <v>6.7999999999999996E-3</v>
      </c>
      <c r="H43" s="29"/>
    </row>
    <row r="44" spans="2:8" ht="15.75" customHeight="1" x14ac:dyDescent="0.25">
      <c r="B44" s="25" t="s">
        <v>882</v>
      </c>
      <c r="C44" s="25" t="s">
        <v>883</v>
      </c>
      <c r="D44" s="25" t="s">
        <v>285</v>
      </c>
      <c r="E44" s="26">
        <v>60621</v>
      </c>
      <c r="F44" s="27">
        <v>338.66</v>
      </c>
      <c r="G44" s="28">
        <v>6.7000000000000002E-3</v>
      </c>
      <c r="H44" s="29"/>
    </row>
    <row r="45" spans="2:8" ht="15.75" customHeight="1" x14ac:dyDescent="0.25">
      <c r="B45" s="25" t="s">
        <v>482</v>
      </c>
      <c r="C45" s="25" t="s">
        <v>483</v>
      </c>
      <c r="D45" s="25" t="s">
        <v>129</v>
      </c>
      <c r="E45" s="26">
        <v>188646</v>
      </c>
      <c r="F45" s="27">
        <v>334.38</v>
      </c>
      <c r="G45" s="28">
        <v>6.6E-3</v>
      </c>
      <c r="H45" s="29"/>
    </row>
    <row r="46" spans="2:8" ht="15.75" customHeight="1" x14ac:dyDescent="0.25">
      <c r="B46" s="25" t="s">
        <v>444</v>
      </c>
      <c r="C46" s="25" t="s">
        <v>445</v>
      </c>
      <c r="D46" s="25" t="s">
        <v>232</v>
      </c>
      <c r="E46" s="26">
        <v>30793</v>
      </c>
      <c r="F46" s="27">
        <v>278.38</v>
      </c>
      <c r="G46" s="28">
        <v>5.4999999999999997E-3</v>
      </c>
      <c r="H46" s="29"/>
    </row>
    <row r="47" spans="2:8" ht="15.75" customHeight="1" x14ac:dyDescent="0.25">
      <c r="B47" s="25" t="s">
        <v>908</v>
      </c>
      <c r="C47" s="25" t="s">
        <v>909</v>
      </c>
      <c r="D47" s="25" t="s">
        <v>227</v>
      </c>
      <c r="E47" s="26">
        <v>36787</v>
      </c>
      <c r="F47" s="27">
        <v>266.56</v>
      </c>
      <c r="G47" s="28">
        <v>5.1999999999999998E-3</v>
      </c>
      <c r="H47" s="29"/>
    </row>
    <row r="48" spans="2:8" ht="15.75" customHeight="1" x14ac:dyDescent="0.25">
      <c r="B48" s="25" t="s">
        <v>946</v>
      </c>
      <c r="C48" s="25" t="s">
        <v>947</v>
      </c>
      <c r="D48" s="25" t="s">
        <v>337</v>
      </c>
      <c r="E48" s="26">
        <v>40312</v>
      </c>
      <c r="F48" s="27">
        <v>256.85000000000002</v>
      </c>
      <c r="G48" s="28">
        <v>5.0000000000000001E-3</v>
      </c>
      <c r="H48" s="29"/>
    </row>
    <row r="49" spans="2:8" ht="15.75" customHeight="1" x14ac:dyDescent="0.25">
      <c r="B49" s="25" t="s">
        <v>442</v>
      </c>
      <c r="C49" s="25" t="s">
        <v>443</v>
      </c>
      <c r="D49" s="25" t="s">
        <v>227</v>
      </c>
      <c r="E49" s="26">
        <v>30425</v>
      </c>
      <c r="F49" s="27">
        <v>241.35</v>
      </c>
      <c r="G49" s="28">
        <v>4.7000000000000002E-3</v>
      </c>
      <c r="H49" s="29"/>
    </row>
    <row r="50" spans="2:8" ht="15.75" customHeight="1" x14ac:dyDescent="0.25">
      <c r="B50" s="25" t="s">
        <v>948</v>
      </c>
      <c r="C50" s="25" t="s">
        <v>949</v>
      </c>
      <c r="D50" s="25" t="s">
        <v>202</v>
      </c>
      <c r="E50" s="26">
        <v>54521</v>
      </c>
      <c r="F50" s="27">
        <v>162.08000000000001</v>
      </c>
      <c r="G50" s="28">
        <v>3.2000000000000002E-3</v>
      </c>
      <c r="H50" s="29"/>
    </row>
    <row r="51" spans="2:8" ht="15.75" customHeight="1" x14ac:dyDescent="0.25">
      <c r="B51" s="25" t="s">
        <v>950</v>
      </c>
      <c r="C51" s="25" t="s">
        <v>951</v>
      </c>
      <c r="D51" s="25" t="s">
        <v>428</v>
      </c>
      <c r="E51" s="26">
        <v>4161</v>
      </c>
      <c r="F51" s="27">
        <v>43.4</v>
      </c>
      <c r="G51" s="28">
        <v>8.9999999999999998E-4</v>
      </c>
      <c r="H51" s="29"/>
    </row>
    <row r="52" spans="2:8" ht="15.75" customHeight="1" x14ac:dyDescent="0.25">
      <c r="B52" s="24" t="s">
        <v>102</v>
      </c>
      <c r="C52" s="24"/>
      <c r="D52" s="24"/>
      <c r="E52" s="30"/>
      <c r="F52" s="31">
        <v>38907.599999999999</v>
      </c>
      <c r="G52" s="32">
        <v>0.76429999999999998</v>
      </c>
      <c r="H52" s="33"/>
    </row>
    <row r="53" spans="2:8" ht="15.75" customHeight="1" x14ac:dyDescent="0.25">
      <c r="B53" s="24" t="s">
        <v>149</v>
      </c>
      <c r="C53" s="25"/>
      <c r="D53" s="25"/>
      <c r="E53" s="26"/>
      <c r="F53" s="27"/>
      <c r="G53" s="28"/>
      <c r="H53" s="29"/>
    </row>
    <row r="54" spans="2:8" ht="15.75" customHeight="1" x14ac:dyDescent="0.25">
      <c r="B54" s="24" t="s">
        <v>102</v>
      </c>
      <c r="C54" s="25"/>
      <c r="D54" s="25"/>
      <c r="E54" s="26"/>
      <c r="F54" s="34" t="s">
        <v>104</v>
      </c>
      <c r="G54" s="35" t="s">
        <v>104</v>
      </c>
      <c r="H54" s="29"/>
    </row>
    <row r="55" spans="2:8" ht="15.75" customHeight="1" x14ac:dyDescent="0.25">
      <c r="B55" s="25"/>
      <c r="C55" s="25"/>
      <c r="D55" s="25"/>
      <c r="E55" s="26"/>
      <c r="F55" s="27"/>
      <c r="G55" s="28"/>
      <c r="H55" s="29"/>
    </row>
    <row r="56" spans="2:8" ht="15.75" customHeight="1" x14ac:dyDescent="0.25">
      <c r="B56" s="36" t="s">
        <v>106</v>
      </c>
      <c r="C56" s="36"/>
      <c r="D56" s="36"/>
      <c r="E56" s="37"/>
      <c r="F56" s="31">
        <v>38907.599999999999</v>
      </c>
      <c r="G56" s="32">
        <v>0.76429999999999998</v>
      </c>
      <c r="H56" s="33"/>
    </row>
    <row r="57" spans="2:8" ht="15.75" customHeight="1" x14ac:dyDescent="0.25">
      <c r="B57" s="25"/>
      <c r="C57" s="25"/>
      <c r="D57" s="25"/>
      <c r="E57" s="26"/>
      <c r="F57" s="27"/>
      <c r="G57" s="28"/>
      <c r="H57" s="29"/>
    </row>
    <row r="58" spans="2:8" ht="15.75" customHeight="1" x14ac:dyDescent="0.25">
      <c r="B58" s="24" t="s">
        <v>89</v>
      </c>
      <c r="C58" s="25"/>
      <c r="D58" s="25"/>
      <c r="E58" s="26"/>
      <c r="F58" s="27"/>
      <c r="G58" s="28"/>
      <c r="H58" s="29"/>
    </row>
    <row r="59" spans="2:8" ht="15.75" customHeight="1" x14ac:dyDescent="0.25">
      <c r="B59" s="24" t="s">
        <v>90</v>
      </c>
      <c r="C59" s="25"/>
      <c r="D59" s="25"/>
      <c r="E59" s="26"/>
      <c r="F59" s="27"/>
      <c r="G59" s="28"/>
      <c r="H59" s="29"/>
    </row>
    <row r="60" spans="2:8" ht="15.75" customHeight="1" x14ac:dyDescent="0.25">
      <c r="B60" s="25" t="s">
        <v>465</v>
      </c>
      <c r="C60" s="25" t="s">
        <v>466</v>
      </c>
      <c r="D60" s="25" t="s">
        <v>92</v>
      </c>
      <c r="E60" s="26">
        <v>2500000</v>
      </c>
      <c r="F60" s="27">
        <v>2636.22</v>
      </c>
      <c r="G60" s="28">
        <v>5.1799999999999999E-2</v>
      </c>
      <c r="H60" s="29">
        <v>7.4718000000000007E-2</v>
      </c>
    </row>
    <row r="61" spans="2:8" ht="15.75" customHeight="1" x14ac:dyDescent="0.25">
      <c r="B61" s="25" t="s">
        <v>93</v>
      </c>
      <c r="C61" s="25" t="s">
        <v>115</v>
      </c>
      <c r="D61" s="25" t="s">
        <v>92</v>
      </c>
      <c r="E61" s="26">
        <v>2500000</v>
      </c>
      <c r="F61" s="27">
        <v>2607.0500000000002</v>
      </c>
      <c r="G61" s="28">
        <v>5.1200000000000002E-2</v>
      </c>
      <c r="H61" s="29">
        <v>7.1669999999999998E-2</v>
      </c>
    </row>
    <row r="62" spans="2:8" ht="15.75" customHeight="1" x14ac:dyDescent="0.25">
      <c r="B62" s="25" t="s">
        <v>461</v>
      </c>
      <c r="C62" s="25" t="s">
        <v>462</v>
      </c>
      <c r="D62" s="25" t="s">
        <v>92</v>
      </c>
      <c r="E62" s="26">
        <v>2500000</v>
      </c>
      <c r="F62" s="27">
        <v>2586.73</v>
      </c>
      <c r="G62" s="28">
        <v>5.0799999999999998E-2</v>
      </c>
      <c r="H62" s="29">
        <v>7.4831999999999996E-2</v>
      </c>
    </row>
    <row r="63" spans="2:8" ht="15.75" customHeight="1" x14ac:dyDescent="0.25">
      <c r="B63" s="25" t="s">
        <v>152</v>
      </c>
      <c r="C63" s="25" t="s">
        <v>153</v>
      </c>
      <c r="D63" s="25" t="s">
        <v>92</v>
      </c>
      <c r="E63" s="26">
        <v>2500000</v>
      </c>
      <c r="F63" s="27">
        <v>2552.0500000000002</v>
      </c>
      <c r="G63" s="28">
        <v>5.0099999999999999E-2</v>
      </c>
      <c r="H63" s="29">
        <v>7.1609999999999993E-2</v>
      </c>
    </row>
    <row r="64" spans="2:8" ht="15.75" customHeight="1" x14ac:dyDescent="0.25">
      <c r="B64" s="25" t="s">
        <v>952</v>
      </c>
      <c r="C64" s="25" t="s">
        <v>953</v>
      </c>
      <c r="D64" s="25" t="s">
        <v>92</v>
      </c>
      <c r="E64" s="26">
        <v>500000</v>
      </c>
      <c r="F64" s="27">
        <v>490.59</v>
      </c>
      <c r="G64" s="28">
        <v>9.5999999999999992E-3</v>
      </c>
      <c r="H64" s="29">
        <v>7.0719000000000004E-2</v>
      </c>
    </row>
    <row r="65" spans="2:16" ht="15.75" customHeight="1" x14ac:dyDescent="0.25">
      <c r="B65" s="25" t="s">
        <v>158</v>
      </c>
      <c r="C65" s="25" t="s">
        <v>159</v>
      </c>
      <c r="D65" s="25" t="s">
        <v>92</v>
      </c>
      <c r="E65" s="26">
        <v>350000</v>
      </c>
      <c r="F65" s="27">
        <v>349.87</v>
      </c>
      <c r="G65" s="28">
        <v>6.8999999999999999E-3</v>
      </c>
      <c r="H65" s="29">
        <v>7.4643000000000001E-2</v>
      </c>
    </row>
    <row r="66" spans="2:16" ht="15.75" customHeight="1" x14ac:dyDescent="0.25">
      <c r="B66" s="25" t="s">
        <v>121</v>
      </c>
      <c r="C66" s="25" t="s">
        <v>122</v>
      </c>
      <c r="D66" s="25" t="s">
        <v>92</v>
      </c>
      <c r="E66" s="26">
        <v>233500</v>
      </c>
      <c r="F66" s="27">
        <v>239.9</v>
      </c>
      <c r="G66" s="28">
        <v>4.7000000000000002E-3</v>
      </c>
      <c r="H66" s="29">
        <v>7.4493000000000004E-2</v>
      </c>
    </row>
    <row r="67" spans="2:16" ht="15.75" customHeight="1" x14ac:dyDescent="0.25">
      <c r="B67" s="25" t="s">
        <v>100</v>
      </c>
      <c r="C67" s="25" t="s">
        <v>101</v>
      </c>
      <c r="D67" s="25" t="s">
        <v>92</v>
      </c>
      <c r="E67" s="26">
        <v>100000</v>
      </c>
      <c r="F67" s="27">
        <v>104.16</v>
      </c>
      <c r="G67" s="28">
        <v>2E-3</v>
      </c>
      <c r="H67" s="29">
        <v>7.1895000000000001E-2</v>
      </c>
    </row>
    <row r="68" spans="2:16" ht="15.75" customHeight="1" x14ac:dyDescent="0.25">
      <c r="B68" s="25" t="s">
        <v>114</v>
      </c>
      <c r="C68" s="25" t="s">
        <v>157</v>
      </c>
      <c r="D68" s="25" t="s">
        <v>92</v>
      </c>
      <c r="E68" s="26">
        <v>50000</v>
      </c>
      <c r="F68" s="27">
        <v>50.87</v>
      </c>
      <c r="G68" s="28">
        <v>1E-3</v>
      </c>
      <c r="H68" s="29">
        <v>7.1453000000000003E-2</v>
      </c>
      <c r="L68" s="3"/>
    </row>
    <row r="69" spans="2:16" ht="15.75" customHeight="1" x14ac:dyDescent="0.25">
      <c r="B69" s="24" t="s">
        <v>102</v>
      </c>
      <c r="C69" s="24"/>
      <c r="D69" s="24"/>
      <c r="E69" s="30"/>
      <c r="F69" s="31">
        <v>11617.44</v>
      </c>
      <c r="G69" s="32">
        <v>0.2281</v>
      </c>
      <c r="H69" s="33"/>
    </row>
    <row r="70" spans="2:16" ht="15.75" customHeight="1" x14ac:dyDescent="0.25">
      <c r="B70" s="25"/>
      <c r="C70" s="25"/>
      <c r="D70" s="25"/>
      <c r="E70" s="26"/>
      <c r="F70" s="27"/>
      <c r="G70" s="28"/>
      <c r="H70" s="29"/>
      <c r="L70" s="3"/>
    </row>
    <row r="71" spans="2:16" ht="15.75" customHeight="1" x14ac:dyDescent="0.25">
      <c r="B71" s="24" t="s">
        <v>103</v>
      </c>
      <c r="C71" s="25"/>
      <c r="D71" s="25"/>
      <c r="E71" s="26"/>
      <c r="F71" s="27"/>
      <c r="G71" s="28"/>
      <c r="H71" s="29"/>
      <c r="L71" s="3"/>
    </row>
    <row r="72" spans="2:16" ht="15.75" customHeight="1" x14ac:dyDescent="0.25">
      <c r="B72" s="24" t="s">
        <v>102</v>
      </c>
      <c r="C72" s="25"/>
      <c r="D72" s="25"/>
      <c r="E72" s="26"/>
      <c r="F72" s="34" t="s">
        <v>104</v>
      </c>
      <c r="G72" s="35" t="s">
        <v>104</v>
      </c>
      <c r="H72" s="29"/>
      <c r="L72" s="3"/>
    </row>
    <row r="73" spans="2:16" ht="15.75" customHeight="1" x14ac:dyDescent="0.25">
      <c r="B73" s="25"/>
      <c r="C73" s="25"/>
      <c r="D73" s="25"/>
      <c r="E73" s="26"/>
      <c r="F73" s="27"/>
      <c r="G73" s="28"/>
      <c r="H73" s="29"/>
      <c r="L73" s="3"/>
    </row>
    <row r="74" spans="2:16" ht="15.75" customHeight="1" x14ac:dyDescent="0.25">
      <c r="B74" s="24" t="s">
        <v>105</v>
      </c>
      <c r="C74" s="25"/>
      <c r="D74" s="25"/>
      <c r="E74" s="26"/>
      <c r="F74" s="27"/>
      <c r="G74" s="28"/>
      <c r="H74" s="29"/>
      <c r="L74" s="3"/>
    </row>
    <row r="75" spans="2:16" ht="15.75" customHeight="1" x14ac:dyDescent="0.25">
      <c r="B75" s="24" t="s">
        <v>102</v>
      </c>
      <c r="C75" s="25"/>
      <c r="D75" s="25"/>
      <c r="E75" s="26"/>
      <c r="F75" s="34" t="s">
        <v>104</v>
      </c>
      <c r="G75" s="35" t="s">
        <v>104</v>
      </c>
      <c r="H75" s="29"/>
      <c r="L75" s="5"/>
      <c r="M75" s="5"/>
      <c r="N75" s="6"/>
      <c r="O75" s="6"/>
      <c r="P75" s="5"/>
    </row>
    <row r="76" spans="2:16" ht="15.75" customHeight="1" x14ac:dyDescent="0.25">
      <c r="B76" s="25"/>
      <c r="C76" s="25"/>
      <c r="D76" s="25"/>
      <c r="E76" s="26"/>
      <c r="F76" s="27"/>
      <c r="G76" s="28"/>
      <c r="H76" s="29"/>
    </row>
    <row r="77" spans="2:16" ht="15.75" customHeight="1" x14ac:dyDescent="0.25">
      <c r="B77" s="36" t="s">
        <v>106</v>
      </c>
      <c r="C77" s="36"/>
      <c r="D77" s="36"/>
      <c r="E77" s="37"/>
      <c r="F77" s="31">
        <v>11617.44</v>
      </c>
      <c r="G77" s="32">
        <v>0.22819999999999999</v>
      </c>
      <c r="H77" s="33"/>
    </row>
    <row r="78" spans="2:16" ht="15.75" customHeight="1" x14ac:dyDescent="0.25">
      <c r="B78" s="25"/>
      <c r="C78" s="25"/>
      <c r="D78" s="25"/>
      <c r="E78" s="26"/>
      <c r="F78" s="27"/>
      <c r="G78" s="28"/>
      <c r="H78" s="29"/>
      <c r="L78" s="7"/>
      <c r="M78" s="7"/>
      <c r="N78" s="7"/>
      <c r="O78" s="7"/>
      <c r="P78" s="7"/>
    </row>
    <row r="79" spans="2:16" ht="15.75" customHeight="1" x14ac:dyDescent="0.25">
      <c r="B79" s="25"/>
      <c r="C79" s="25"/>
      <c r="D79" s="25"/>
      <c r="E79" s="26"/>
      <c r="F79" s="27"/>
      <c r="G79" s="28"/>
      <c r="H79" s="29"/>
      <c r="L79" s="7"/>
      <c r="M79" s="7"/>
      <c r="N79" s="7"/>
      <c r="O79" s="7"/>
      <c r="P79" s="7"/>
    </row>
    <row r="80" spans="2:16" ht="15.75" customHeight="1" x14ac:dyDescent="0.25">
      <c r="B80" s="24" t="s">
        <v>109</v>
      </c>
      <c r="C80" s="25"/>
      <c r="D80" s="25"/>
      <c r="E80" s="26"/>
      <c r="F80" s="27"/>
      <c r="G80" s="28"/>
      <c r="H80" s="29"/>
      <c r="L80" s="7"/>
      <c r="M80" s="7"/>
      <c r="N80" s="7"/>
      <c r="O80" s="7"/>
      <c r="P80" s="7"/>
    </row>
    <row r="81" spans="2:16" ht="15.75" customHeight="1" x14ac:dyDescent="0.25">
      <c r="B81" s="25" t="s">
        <v>110</v>
      </c>
      <c r="C81" s="25"/>
      <c r="D81" s="25"/>
      <c r="E81" s="26"/>
      <c r="F81" s="27">
        <v>603.33000000000004</v>
      </c>
      <c r="G81" s="28">
        <v>1.1900000000000001E-2</v>
      </c>
      <c r="H81" s="29"/>
      <c r="L81" s="7"/>
      <c r="M81" s="7"/>
      <c r="N81" s="7"/>
      <c r="O81" s="7"/>
      <c r="P81" s="7"/>
    </row>
    <row r="82" spans="2:16" ht="15.75" customHeight="1" x14ac:dyDescent="0.25">
      <c r="B82" s="24" t="s">
        <v>102</v>
      </c>
      <c r="C82" s="24"/>
      <c r="D82" s="24"/>
      <c r="E82" s="30"/>
      <c r="F82" s="31">
        <v>603.33000000000004</v>
      </c>
      <c r="G82" s="32">
        <v>1.1900000000000001E-2</v>
      </c>
      <c r="H82" s="33"/>
      <c r="L82" s="7"/>
      <c r="M82" s="7"/>
      <c r="N82" s="7"/>
      <c r="O82" s="7"/>
      <c r="P82" s="7"/>
    </row>
    <row r="83" spans="2:16" ht="15.75" customHeight="1" x14ac:dyDescent="0.25">
      <c r="B83" s="25"/>
      <c r="C83" s="25"/>
      <c r="D83" s="25"/>
      <c r="E83" s="26"/>
      <c r="F83" s="27"/>
      <c r="G83" s="28"/>
      <c r="H83" s="29"/>
      <c r="L83" s="7"/>
      <c r="M83" s="7"/>
      <c r="N83" s="7"/>
      <c r="O83" s="7"/>
      <c r="P83" s="7"/>
    </row>
    <row r="84" spans="2:16" ht="15.75" customHeight="1" x14ac:dyDescent="0.25">
      <c r="B84" s="36" t="s">
        <v>106</v>
      </c>
      <c r="C84" s="36"/>
      <c r="D84" s="36"/>
      <c r="E84" s="37"/>
      <c r="F84" s="31">
        <v>603.33000000000004</v>
      </c>
      <c r="G84" s="32">
        <v>1.1900000000000001E-2</v>
      </c>
      <c r="H84" s="33"/>
      <c r="L84" s="7"/>
      <c r="M84" s="7"/>
      <c r="N84" s="7"/>
      <c r="O84" s="7"/>
      <c r="P84" s="7"/>
    </row>
    <row r="85" spans="2:16" ht="15.75" customHeight="1" x14ac:dyDescent="0.25">
      <c r="B85" s="25" t="s">
        <v>111</v>
      </c>
      <c r="C85" s="25"/>
      <c r="D85" s="25"/>
      <c r="E85" s="26"/>
      <c r="F85" s="38">
        <v>-220.96</v>
      </c>
      <c r="G85" s="39">
        <v>-4.3999999999999595E-3</v>
      </c>
      <c r="H85" s="29"/>
    </row>
    <row r="86" spans="2:16" ht="15.75" customHeight="1" x14ac:dyDescent="0.25">
      <c r="B86" s="40" t="s">
        <v>112</v>
      </c>
      <c r="C86" s="40"/>
      <c r="D86" s="40"/>
      <c r="E86" s="41"/>
      <c r="F86" s="42">
        <v>50907.41</v>
      </c>
      <c r="G86" s="43">
        <v>1</v>
      </c>
      <c r="H86" s="44"/>
      <c r="L86" s="3"/>
    </row>
    <row r="87" spans="2:16" ht="15.75" customHeight="1" thickBot="1" x14ac:dyDescent="0.3">
      <c r="B87" s="2"/>
    </row>
    <row r="88" spans="2:16" ht="27" customHeight="1" thickBot="1" x14ac:dyDescent="0.3">
      <c r="B88" s="56" t="s">
        <v>964</v>
      </c>
      <c r="C88" s="57" t="s">
        <v>965</v>
      </c>
      <c r="D88" s="57" t="s">
        <v>966</v>
      </c>
      <c r="E88" s="62" t="s">
        <v>967</v>
      </c>
      <c r="G88" s="2"/>
      <c r="H88" s="2"/>
    </row>
    <row r="89" spans="2:16" ht="29.25" customHeight="1" x14ac:dyDescent="0.25">
      <c r="B89" s="69" t="s">
        <v>84</v>
      </c>
      <c r="C89" s="81"/>
      <c r="D89" s="84" t="s">
        <v>984</v>
      </c>
      <c r="E89" s="86"/>
      <c r="G89" s="2"/>
      <c r="H89" s="2"/>
    </row>
    <row r="90" spans="2:16" ht="40" customHeight="1" x14ac:dyDescent="0.25">
      <c r="B90" s="65" t="s">
        <v>1045</v>
      </c>
      <c r="C90" s="82"/>
      <c r="D90" s="85"/>
      <c r="E90" s="82"/>
      <c r="G90" s="2"/>
      <c r="H90" s="2"/>
    </row>
    <row r="91" spans="2:16" ht="40" customHeight="1" x14ac:dyDescent="0.25">
      <c r="B91" s="65" t="s">
        <v>1046</v>
      </c>
      <c r="C91" s="82"/>
      <c r="D91" s="85"/>
      <c r="E91" s="82"/>
      <c r="G91" s="2"/>
      <c r="H91" s="2"/>
    </row>
    <row r="92" spans="2:16" ht="23.25" customHeight="1" thickBot="1" x14ac:dyDescent="0.3">
      <c r="B92" s="67" t="s">
        <v>982</v>
      </c>
      <c r="C92" s="83"/>
      <c r="D92" s="70" t="s">
        <v>982</v>
      </c>
      <c r="E92" s="87"/>
      <c r="G92" s="2"/>
      <c r="H92" s="2"/>
    </row>
    <row r="93" spans="2:16" ht="25" customHeight="1" x14ac:dyDescent="0.25">
      <c r="B93" s="58" t="s">
        <v>969</v>
      </c>
      <c r="C93" s="59"/>
      <c r="D93" s="60"/>
      <c r="E93" s="61"/>
      <c r="G93" s="2"/>
      <c r="H93" s="2"/>
    </row>
    <row r="95" spans="2:16" ht="11.5" x14ac:dyDescent="0.25">
      <c r="B95" s="2" t="s">
        <v>970</v>
      </c>
      <c r="C95" s="2"/>
      <c r="D95" s="2"/>
      <c r="G95" s="2"/>
      <c r="H95" s="2"/>
    </row>
    <row r="96" spans="2:16" ht="11.5" x14ac:dyDescent="0.25">
      <c r="B96" s="3" t="s">
        <v>971</v>
      </c>
      <c r="C96" s="2"/>
      <c r="D96" s="2"/>
      <c r="G96" s="2"/>
      <c r="H96" s="2"/>
    </row>
  </sheetData>
  <mergeCells count="3">
    <mergeCell ref="C89:C92"/>
    <mergeCell ref="D89:D91"/>
    <mergeCell ref="E89:E92"/>
  </mergeCells>
  <hyperlinks>
    <hyperlink ref="I1" location="'Sheet1'!A1" display="Index" xr:uid="{1C5400A3-534C-4248-A6F7-32F8D5EA5832}"/>
  </hyperlinks>
  <pageMargins left="0.7" right="0.7" top="0.75" bottom="0.75" header="0.3" footer="0.3"/>
  <pageSetup orientation="portrait" horizontalDpi="300" verticalDpi="300" r:id="rId1"/>
  <headerFooter>
    <oddHeader>&amp;L&amp;"Arial"&amp;9&amp;K317100PUBLIC&amp;1#</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0D943E-31DA-472E-B32E-C974D2762A2E}">
  <dimension ref="B1:P86"/>
  <sheetViews>
    <sheetView workbookViewId="0"/>
  </sheetViews>
  <sheetFormatPr defaultColWidth="9.1796875" defaultRowHeight="15.75" customHeight="1" x14ac:dyDescent="0.25"/>
  <cols>
    <col min="1" max="1" width="3.54296875" style="2" customWidth="1"/>
    <col min="2" max="2" width="50.453125" style="9" customWidth="1"/>
    <col min="3" max="3" width="26.453125" style="9" customWidth="1"/>
    <col min="4" max="4" width="26.54296875" style="9" customWidth="1"/>
    <col min="5" max="5" width="28.453125" style="2" customWidth="1"/>
    <col min="6" max="6" width="16.453125" style="2" customWidth="1"/>
    <col min="7" max="7" width="15.26953125" style="8" customWidth="1"/>
    <col min="8" max="8" width="10.7265625" style="10" customWidth="1"/>
    <col min="9" max="9" width="5.453125" style="2" bestFit="1" customWidth="1"/>
    <col min="10" max="11" width="9.1796875" style="2"/>
    <col min="12" max="12" width="10.7265625" style="2" customWidth="1"/>
    <col min="13" max="13" width="10.453125" style="2" customWidth="1"/>
    <col min="14" max="14" width="14.453125" style="2" customWidth="1"/>
    <col min="15" max="15" width="15.26953125" style="2" customWidth="1"/>
    <col min="16" max="16" width="12.54296875" style="2" customWidth="1"/>
    <col min="17" max="16384" width="9.1796875" style="2"/>
  </cols>
  <sheetData>
    <row r="1" spans="2:9" ht="15.75" customHeight="1" x14ac:dyDescent="0.35">
      <c r="B1" s="4" t="s">
        <v>1065</v>
      </c>
      <c r="C1" s="1" t="s">
        <v>1060</v>
      </c>
      <c r="D1" s="1" t="s">
        <v>1061</v>
      </c>
      <c r="E1" s="1"/>
      <c r="F1" s="1"/>
      <c r="G1" s="1"/>
      <c r="H1" s="2"/>
      <c r="I1" s="11" t="s">
        <v>8</v>
      </c>
    </row>
    <row r="2" spans="2:9" ht="15.75" customHeight="1" x14ac:dyDescent="0.25">
      <c r="B2" s="4"/>
      <c r="C2" s="4"/>
      <c r="D2" s="4"/>
      <c r="E2" s="4"/>
      <c r="F2" s="4"/>
      <c r="G2" s="4"/>
      <c r="H2" s="2"/>
    </row>
    <row r="3" spans="2:9" ht="15.75" customHeight="1" thickBot="1" x14ac:dyDescent="0.3">
      <c r="B3" s="4" t="s">
        <v>7</v>
      </c>
      <c r="C3" s="2"/>
      <c r="D3" s="2"/>
      <c r="G3" s="2"/>
      <c r="H3" s="2"/>
    </row>
    <row r="4" spans="2:9" ht="36.75" customHeight="1" x14ac:dyDescent="0.25">
      <c r="B4" s="14" t="s">
        <v>0</v>
      </c>
      <c r="C4" s="15" t="s">
        <v>1</v>
      </c>
      <c r="D4" s="15" t="s">
        <v>5</v>
      </c>
      <c r="E4" s="16" t="s">
        <v>2</v>
      </c>
      <c r="F4" s="17" t="s">
        <v>3</v>
      </c>
      <c r="G4" s="18" t="s">
        <v>4</v>
      </c>
      <c r="H4" s="18" t="s">
        <v>6</v>
      </c>
    </row>
    <row r="5" spans="2:9" ht="15.75" customHeight="1" x14ac:dyDescent="0.25">
      <c r="B5" s="91"/>
      <c r="C5" s="19"/>
      <c r="D5" s="19"/>
      <c r="E5" s="20"/>
      <c r="F5" s="21"/>
      <c r="G5" s="22"/>
      <c r="H5" s="92"/>
    </row>
    <row r="6" spans="2:9" ht="15.75" customHeight="1" x14ac:dyDescent="0.25">
      <c r="B6" s="93"/>
      <c r="C6" s="46"/>
      <c r="D6" s="46"/>
      <c r="E6" s="94"/>
      <c r="F6" s="95"/>
      <c r="G6" s="96"/>
      <c r="H6" s="97"/>
    </row>
    <row r="7" spans="2:9" ht="15.75" customHeight="1" x14ac:dyDescent="0.25">
      <c r="B7" s="98" t="s">
        <v>107</v>
      </c>
      <c r="C7" s="46"/>
      <c r="D7" s="46"/>
      <c r="E7" s="94"/>
      <c r="F7" s="95"/>
      <c r="G7" s="96"/>
      <c r="H7" s="97"/>
    </row>
    <row r="8" spans="2:9" ht="15.75" customHeight="1" x14ac:dyDescent="0.25">
      <c r="B8" s="98" t="s">
        <v>1062</v>
      </c>
      <c r="C8" s="46"/>
      <c r="D8" s="46"/>
      <c r="E8" s="94"/>
      <c r="F8" s="95"/>
      <c r="G8" s="96"/>
      <c r="H8" s="97"/>
    </row>
    <row r="9" spans="2:9" ht="15.75" customHeight="1" x14ac:dyDescent="0.25">
      <c r="B9" s="93" t="s">
        <v>1062</v>
      </c>
      <c r="C9" s="46"/>
      <c r="D9" s="46" t="s">
        <v>1062</v>
      </c>
      <c r="E9" s="94">
        <v>180</v>
      </c>
      <c r="F9" s="95">
        <v>12886.91</v>
      </c>
      <c r="G9" s="96">
        <v>0.99370000000000003</v>
      </c>
      <c r="H9" s="97"/>
    </row>
    <row r="10" spans="2:9" ht="15.75" customHeight="1" x14ac:dyDescent="0.25">
      <c r="B10" s="98" t="s">
        <v>102</v>
      </c>
      <c r="C10" s="99"/>
      <c r="D10" s="99"/>
      <c r="E10" s="100"/>
      <c r="F10" s="31">
        <f>SUM(F9)</f>
        <v>12886.91</v>
      </c>
      <c r="G10" s="101">
        <f>SUM(G9)</f>
        <v>0.99370000000000003</v>
      </c>
      <c r="H10" s="102"/>
    </row>
    <row r="11" spans="2:9" ht="15.75" customHeight="1" x14ac:dyDescent="0.25">
      <c r="B11" s="93"/>
      <c r="C11" s="46"/>
      <c r="D11" s="46"/>
      <c r="E11" s="94"/>
      <c r="F11" s="95"/>
      <c r="G11" s="96"/>
      <c r="H11" s="97"/>
    </row>
    <row r="12" spans="2:9" ht="15.75" customHeight="1" x14ac:dyDescent="0.25">
      <c r="B12" s="103" t="s">
        <v>106</v>
      </c>
      <c r="C12" s="36"/>
      <c r="D12" s="36"/>
      <c r="E12" s="37"/>
      <c r="F12" s="31">
        <f>+F10</f>
        <v>12886.91</v>
      </c>
      <c r="G12" s="101">
        <f>+G10</f>
        <v>0.99370000000000003</v>
      </c>
      <c r="H12" s="102"/>
    </row>
    <row r="13" spans="2:9" ht="15.75" customHeight="1" x14ac:dyDescent="0.25">
      <c r="B13" s="93"/>
      <c r="C13" s="46"/>
      <c r="D13" s="46"/>
      <c r="E13" s="94"/>
      <c r="F13" s="95"/>
      <c r="G13" s="96"/>
      <c r="H13" s="97"/>
    </row>
    <row r="14" spans="2:9" ht="15.75" customHeight="1" x14ac:dyDescent="0.25">
      <c r="B14" s="98" t="s">
        <v>109</v>
      </c>
      <c r="C14" s="46"/>
      <c r="D14" s="46"/>
      <c r="E14" s="94"/>
      <c r="F14" s="95"/>
      <c r="G14" s="96"/>
      <c r="H14" s="97"/>
    </row>
    <row r="15" spans="2:9" ht="15.75" customHeight="1" x14ac:dyDescent="0.25">
      <c r="B15" s="93" t="s">
        <v>110</v>
      </c>
      <c r="C15" s="46"/>
      <c r="D15" s="46"/>
      <c r="E15" s="94"/>
      <c r="F15" s="95">
        <v>54.73</v>
      </c>
      <c r="G15" s="96">
        <v>4.1999999999999997E-3</v>
      </c>
      <c r="H15" s="97"/>
    </row>
    <row r="16" spans="2:9" ht="15.75" customHeight="1" x14ac:dyDescent="0.25">
      <c r="B16" s="98" t="s">
        <v>102</v>
      </c>
      <c r="C16" s="99"/>
      <c r="D16" s="99"/>
      <c r="E16" s="100"/>
      <c r="F16" s="31">
        <f>SUM(F15)</f>
        <v>54.73</v>
      </c>
      <c r="G16" s="32">
        <f>SUM(G15)</f>
        <v>4.1999999999999997E-3</v>
      </c>
      <c r="H16" s="102"/>
    </row>
    <row r="17" spans="2:8" ht="15.75" customHeight="1" x14ac:dyDescent="0.25">
      <c r="B17" s="93"/>
      <c r="C17" s="46"/>
      <c r="D17" s="46"/>
      <c r="E17" s="94"/>
      <c r="F17" s="95"/>
      <c r="G17" s="96"/>
      <c r="H17" s="97"/>
    </row>
    <row r="18" spans="2:8" ht="15.75" customHeight="1" x14ac:dyDescent="0.25">
      <c r="B18" s="103" t="s">
        <v>106</v>
      </c>
      <c r="C18" s="36"/>
      <c r="D18" s="36"/>
      <c r="E18" s="37"/>
      <c r="F18" s="31">
        <f>+F16</f>
        <v>54.73</v>
      </c>
      <c r="G18" s="32">
        <f>+G16</f>
        <v>4.1999999999999997E-3</v>
      </c>
      <c r="H18" s="102"/>
    </row>
    <row r="19" spans="2:8" ht="15.75" customHeight="1" x14ac:dyDescent="0.25">
      <c r="B19" s="93" t="s">
        <v>111</v>
      </c>
      <c r="C19" s="46"/>
      <c r="D19" s="46"/>
      <c r="E19" s="94"/>
      <c r="F19" s="104">
        <v>27.39</v>
      </c>
      <c r="G19" s="105">
        <v>2.0999999999999999E-3</v>
      </c>
      <c r="H19" s="97"/>
    </row>
    <row r="20" spans="2:8" ht="15.75" customHeight="1" thickBot="1" x14ac:dyDescent="0.3">
      <c r="B20" s="106" t="s">
        <v>112</v>
      </c>
      <c r="C20" s="107"/>
      <c r="D20" s="107"/>
      <c r="E20" s="108"/>
      <c r="F20" s="109">
        <f>+F19+F18+F12</f>
        <v>12969.03</v>
      </c>
      <c r="G20" s="110">
        <f>+G19+G18+G12</f>
        <v>1</v>
      </c>
      <c r="H20" s="111"/>
    </row>
    <row r="21" spans="2:8" ht="15.75" customHeight="1" thickBot="1" x14ac:dyDescent="0.3">
      <c r="B21" s="2"/>
    </row>
    <row r="22" spans="2:8" ht="27" customHeight="1" thickBot="1" x14ac:dyDescent="0.3">
      <c r="B22" s="56" t="s">
        <v>964</v>
      </c>
      <c r="C22" s="57" t="s">
        <v>965</v>
      </c>
      <c r="D22" s="57" t="s">
        <v>966</v>
      </c>
      <c r="E22" s="62" t="s">
        <v>967</v>
      </c>
      <c r="G22" s="2"/>
      <c r="H22" s="2"/>
    </row>
    <row r="23" spans="2:8" ht="29.25" customHeight="1" x14ac:dyDescent="0.25">
      <c r="B23" s="63" t="s">
        <v>1059</v>
      </c>
      <c r="C23" s="81"/>
      <c r="D23" s="84" t="s">
        <v>1014</v>
      </c>
      <c r="E23" s="86"/>
      <c r="G23" s="2"/>
      <c r="H23" s="2"/>
    </row>
    <row r="24" spans="2:8" ht="40" customHeight="1" x14ac:dyDescent="0.25">
      <c r="B24" s="65" t="s">
        <v>1063</v>
      </c>
      <c r="C24" s="82"/>
      <c r="D24" s="85"/>
      <c r="E24" s="82"/>
      <c r="G24" s="2"/>
      <c r="H24" s="2"/>
    </row>
    <row r="25" spans="2:8" ht="40" customHeight="1" x14ac:dyDescent="0.25">
      <c r="B25" s="65" t="s">
        <v>1064</v>
      </c>
      <c r="C25" s="82"/>
      <c r="D25" s="85"/>
      <c r="E25" s="82"/>
      <c r="G25" s="2"/>
      <c r="H25" s="2"/>
    </row>
    <row r="26" spans="2:8" ht="23.25" customHeight="1" thickBot="1" x14ac:dyDescent="0.3">
      <c r="B26" s="67" t="s">
        <v>983</v>
      </c>
      <c r="C26" s="83"/>
      <c r="D26" s="70" t="s">
        <v>983</v>
      </c>
      <c r="E26" s="87"/>
      <c r="G26" s="2"/>
      <c r="H26" s="2"/>
    </row>
    <row r="28" spans="2:8" ht="11.5" x14ac:dyDescent="0.25">
      <c r="B28" s="2" t="s">
        <v>970</v>
      </c>
      <c r="C28" s="2"/>
      <c r="D28" s="2"/>
      <c r="G28" s="2"/>
      <c r="H28" s="2"/>
    </row>
    <row r="29" spans="2:8" ht="11.5" x14ac:dyDescent="0.25">
      <c r="B29" s="3" t="s">
        <v>971</v>
      </c>
      <c r="C29" s="2"/>
      <c r="D29" s="2"/>
      <c r="G29" s="2"/>
      <c r="H29" s="2"/>
    </row>
    <row r="68" spans="12:16" ht="15.75" customHeight="1" x14ac:dyDescent="0.25">
      <c r="L68" s="3"/>
    </row>
    <row r="70" spans="12:16" ht="15.75" customHeight="1" x14ac:dyDescent="0.25">
      <c r="L70" s="3"/>
    </row>
    <row r="71" spans="12:16" ht="15.75" customHeight="1" x14ac:dyDescent="0.25">
      <c r="L71" s="3"/>
    </row>
    <row r="72" spans="12:16" ht="15.75" customHeight="1" x14ac:dyDescent="0.25">
      <c r="L72" s="3"/>
    </row>
    <row r="73" spans="12:16" ht="15.75" customHeight="1" x14ac:dyDescent="0.25">
      <c r="L73" s="3"/>
    </row>
    <row r="74" spans="12:16" ht="15.75" customHeight="1" x14ac:dyDescent="0.25">
      <c r="L74" s="3"/>
    </row>
    <row r="75" spans="12:16" ht="15.75" customHeight="1" x14ac:dyDescent="0.25">
      <c r="L75" s="5"/>
      <c r="M75" s="5"/>
      <c r="N75" s="6"/>
      <c r="O75" s="6"/>
      <c r="P75" s="5"/>
    </row>
    <row r="78" spans="12:16" ht="15.75" customHeight="1" x14ac:dyDescent="0.25">
      <c r="L78" s="7"/>
      <c r="M78" s="7"/>
      <c r="N78" s="7"/>
      <c r="O78" s="7"/>
      <c r="P78" s="7"/>
    </row>
    <row r="79" spans="12:16" ht="15.75" customHeight="1" x14ac:dyDescent="0.25">
      <c r="L79" s="7"/>
      <c r="M79" s="7"/>
      <c r="N79" s="7"/>
      <c r="O79" s="7"/>
      <c r="P79" s="7"/>
    </row>
    <row r="80" spans="12:16" ht="15.75" customHeight="1" x14ac:dyDescent="0.25">
      <c r="L80" s="7"/>
      <c r="M80" s="7"/>
      <c r="N80" s="7"/>
      <c r="O80" s="7"/>
      <c r="P80" s="7"/>
    </row>
    <row r="81" spans="12:16" ht="15.75" customHeight="1" x14ac:dyDescent="0.25">
      <c r="L81" s="7"/>
      <c r="M81" s="7"/>
      <c r="N81" s="7"/>
      <c r="O81" s="7"/>
      <c r="P81" s="7"/>
    </row>
    <row r="82" spans="12:16" ht="15.75" customHeight="1" x14ac:dyDescent="0.25">
      <c r="L82" s="7"/>
      <c r="M82" s="7"/>
      <c r="N82" s="7"/>
      <c r="O82" s="7"/>
      <c r="P82" s="7"/>
    </row>
    <row r="83" spans="12:16" ht="15.75" customHeight="1" x14ac:dyDescent="0.25">
      <c r="L83" s="7"/>
      <c r="M83" s="7"/>
      <c r="N83" s="7"/>
      <c r="O83" s="7"/>
      <c r="P83" s="7"/>
    </row>
    <row r="84" spans="12:16" ht="15.75" customHeight="1" x14ac:dyDescent="0.25">
      <c r="L84" s="7"/>
      <c r="M84" s="7"/>
      <c r="N84" s="7"/>
      <c r="O84" s="7"/>
      <c r="P84" s="7"/>
    </row>
    <row r="86" spans="12:16" ht="15.75" customHeight="1" x14ac:dyDescent="0.25">
      <c r="L86" s="3"/>
    </row>
  </sheetData>
  <mergeCells count="3">
    <mergeCell ref="C23:C26"/>
    <mergeCell ref="D23:D25"/>
    <mergeCell ref="E23:E26"/>
  </mergeCells>
  <hyperlinks>
    <hyperlink ref="I1" location="'Sheet1'!A1" display="Index" xr:uid="{45D38E6A-E7B8-4AEB-B54F-14F8BAB105AC}"/>
  </hyperlinks>
  <pageMargins left="0.7" right="0.7" top="0.75" bottom="0.75" header="0.3" footer="0.3"/>
  <pageSetup orientation="portrait" horizontalDpi="300" verticalDpi="300" r:id="rId1"/>
  <headerFooter>
    <oddHeader>&amp;L&amp;"Arial"&amp;9&amp;K317100PUBLIC&amp;1#</oddHeader>
  </headerFooter>
  <drawing r:id="rId2"/>
</worksheet>
</file>

<file path=docMetadata/LabelInfo.xml><?xml version="1.0" encoding="utf-8"?>
<clbl:labelList xmlns:clbl="http://schemas.microsoft.com/office/2020/mipLabelMetadata">
  <clbl:label id="{35420d87-ebf3-4eb6-a02e-a1364065b55e}" enabled="1" method="Privileged" siteId="{070340cc-c8c5-4e10-bedb-73d22991c7ba}" contentBits="0" removed="0"/>
  <clbl:label id="{ebbfc019-7f88-4fb6-96d6-94ffadd4b772}" enabled="1" method="Privileged" siteId="{b44900f1-2def-4c3b-9ec6-9020d604e19e}"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84</vt:i4>
      </vt:variant>
    </vt:vector>
  </HeadingPairs>
  <TitlesOfParts>
    <vt:vector size="113"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LEGROW</vt:lpstr>
      <vt:lpstr>LEINFA</vt:lpstr>
      <vt:lpstr>LEINNF</vt:lpstr>
      <vt:lpstr>LEINSX</vt:lpstr>
      <vt:lpstr>LELTVF</vt:lpstr>
      <vt:lpstr>LEMETF</vt:lpstr>
      <vt:lpstr>LEMIDF</vt:lpstr>
      <vt:lpstr>LEMUCF</vt:lpstr>
      <vt:lpstr>LENI50</vt:lpstr>
      <vt:lpstr>LET100</vt:lpstr>
      <vt:lpstr>LETAXP</vt:lpstr>
      <vt:lpstr>LETF50</vt:lpstr>
      <vt:lpstr>LETFSX</vt:lpstr>
      <vt:lpstr>LEULIS</vt:lpstr>
      <vt:lpstr>LICMFGOLDETF</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LEMETF!Hedging_Positions_through_Futures_AS_ON_MMMM_DD__YYYY___NIL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LICMFGOLDETF!Hedging_Positions_through_Futures_AS_ON_MMMM_DD__YYYY___NIL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LEGROW!JPM_Footer_disp</vt:lpstr>
      <vt:lpstr>LEINFA!JPM_Footer_disp</vt:lpstr>
      <vt:lpstr>LEINNF!JPM_Footer_disp</vt:lpstr>
      <vt:lpstr>LEINSX!JPM_Footer_disp</vt:lpstr>
      <vt:lpstr>LELTVF!JPM_Footer_disp</vt:lpstr>
      <vt:lpstr>LEMETF!JPM_Footer_disp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LICMFGOLDETF!JPM_Footer_disp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LEGROW!JPM_Footer_disp12</vt:lpstr>
      <vt:lpstr>LEINFA!JPM_Footer_disp12</vt:lpstr>
      <vt:lpstr>LEINNF!JPM_Footer_disp12</vt:lpstr>
      <vt:lpstr>LEINSX!JPM_Footer_disp12</vt:lpstr>
      <vt:lpstr>LELTVF!JPM_Footer_disp12</vt:lpstr>
      <vt:lpstr>LEMETF!JPM_Footer_disp12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lpstr>LICMFGOLDETF!JPM_Footer_disp12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Kadam, Akshay</dc:creator>
  <cp:lastModifiedBy>Vaibhav Jawale/MO-FA/CO</cp:lastModifiedBy>
  <dcterms:created xsi:type="dcterms:W3CDTF">2015-12-17T12:36:10Z</dcterms:created>
  <dcterms:modified xsi:type="dcterms:W3CDTF">2024-07-03T18:47:44Z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