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0 Jan 2024\Portfolio Monthly\"/>
    </mc:Choice>
  </mc:AlternateContent>
  <xr:revisionPtr revIDLastSave="0" documentId="13_ncr:1_{70EB1443-748C-4ADC-887E-98EF4E8F709C}" xr6:coauthVersionLast="47" xr6:coauthVersionMax="47" xr10:uidLastSave="{00000000-0000-0000-0000-000000000000}"/>
  <bookViews>
    <workbookView xWindow="-120" yWindow="-120" windowWidth="20730" windowHeight="11160" xr2:uid="{00000000-000D-0000-FFFF-FFFF00000000}"/>
  </bookViews>
  <sheets>
    <sheet name="Sheet1" sheetId="39"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ICMFGOLDETF" sheetId="40" r:id="rId15"/>
    <sheet name="LEGROW" sheetId="24" r:id="rId16"/>
    <sheet name="LEINFA" sheetId="25" r:id="rId17"/>
    <sheet name="LEINNF" sheetId="26" r:id="rId18"/>
    <sheet name="LEINSX" sheetId="27" r:id="rId19"/>
    <sheet name="LELTVF" sheetId="28" r:id="rId20"/>
    <sheet name="LEMIDF" sheetId="29" r:id="rId21"/>
    <sheet name="LEMUCF" sheetId="30" r:id="rId22"/>
    <sheet name="LENI50" sheetId="31" r:id="rId23"/>
    <sheet name="LET100" sheetId="32" r:id="rId24"/>
    <sheet name="LETAXP" sheetId="33" r:id="rId25"/>
    <sheet name="LETF50" sheetId="34" r:id="rId26"/>
    <sheet name="LETFSX" sheetId="35" r:id="rId27"/>
    <sheet name="LEULIS" sheetId="36" r:id="rId28"/>
  </sheets>
  <definedNames>
    <definedName name="_xlnm._FilterDatabase" localSheetId="1" hidden="1">LEARBF!$B$5:$P$86</definedName>
    <definedName name="_xlnm._FilterDatabase" localSheetId="2" hidden="1">LEBADF!$B$5:$P$96</definedName>
    <definedName name="_xlnm._FilterDatabase" localSheetId="3" hidden="1">LEBALF!$B$5:$P$98</definedName>
    <definedName name="_xlnm._FilterDatabase" localSheetId="4" hidden="1">LEBFSF!$B$5:$P$43</definedName>
    <definedName name="_xlnm._FilterDatabase" localSheetId="5" hidden="1">LECHID!$B$5:$P$78</definedName>
    <definedName name="_xlnm._FilterDatabase" localSheetId="6" hidden="1">LEDDYF!$B$5:$P$58</definedName>
    <definedName name="_xlnm._FilterDatabase" localSheetId="7" hidden="1">LEDHCF!$B$5:$P$38</definedName>
    <definedName name="_xlnm._FilterDatabase" localSheetId="8" hidden="1">LEEMCF!$B$5:$P$74</definedName>
    <definedName name="_xlnm._FilterDatabase" localSheetId="9" hidden="1">LEEQSF!$B$5:$P$75</definedName>
    <definedName name="_xlnm._FilterDatabase" localSheetId="10" hidden="1">LEEQTF!$B$5:$P$85</definedName>
    <definedName name="_xlnm._FilterDatabase" localSheetId="11" hidden="1">LEESCF!$B$5:$P$79</definedName>
    <definedName name="_xlnm._FilterDatabase" localSheetId="12" hidden="1">LEFE30!$B$5:$P$48</definedName>
    <definedName name="_xlnm._FilterDatabase" localSheetId="13" hidden="1">LEGFOF!$B$5:$P$20</definedName>
    <definedName name="_xlnm._FilterDatabase" localSheetId="15" hidden="1">LEGROW!$B$5:$P$81</definedName>
    <definedName name="_xlnm._FilterDatabase" localSheetId="16" hidden="1">LEINFA!$B$5:$P$64</definedName>
    <definedName name="_xlnm._FilterDatabase" localSheetId="17" hidden="1">LEINNF!$B$5:$P$70</definedName>
    <definedName name="_xlnm._FilterDatabase" localSheetId="18" hidden="1">LEINSX!$B$5:$P$50</definedName>
    <definedName name="_xlnm._FilterDatabase" localSheetId="19" hidden="1">LELTVF!$B$5:$P$61</definedName>
    <definedName name="_xlnm._FilterDatabase" localSheetId="20" hidden="1">LEMIDF!$B$5:$P$93</definedName>
    <definedName name="_xlnm._FilterDatabase" localSheetId="21" hidden="1">LEMUCF!$B$5:$P$94</definedName>
    <definedName name="_xlnm._FilterDatabase" localSheetId="22" hidden="1">LENI50!$B$5:$P$70</definedName>
    <definedName name="_xlnm._FilterDatabase" localSheetId="23" hidden="1">'LET100'!$B$5:$P$121</definedName>
    <definedName name="_xlnm._FilterDatabase" localSheetId="24" hidden="1">LETAXP!$B$5:$P$76</definedName>
    <definedName name="_xlnm._FilterDatabase" localSheetId="25" hidden="1">LETF50!$B$5:$P$70</definedName>
    <definedName name="_xlnm._FilterDatabase" localSheetId="26" hidden="1">LETFSX!$B$5:$P$50</definedName>
    <definedName name="_xlnm._FilterDatabase" localSheetId="27" hidden="1">LEULIS!$B$5:$P$84</definedName>
    <definedName name="_xlnm._FilterDatabase" localSheetId="14"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5">LEGROW!$L$68:$P$84</definedName>
    <definedName name="Hedging_Positions_through_Futures_AS_ON_MMMM_DD__YYYY___NIL" localSheetId="16">LEINFA!$L$68:$P$84</definedName>
    <definedName name="Hedging_Positions_through_Futures_AS_ON_MMMM_DD__YYYY___NIL" localSheetId="17">LEINNF!$L$68:$P$84</definedName>
    <definedName name="Hedging_Positions_through_Futures_AS_ON_MMMM_DD__YYYY___NIL" localSheetId="18">LEINSX!$L$68:$P$84</definedName>
    <definedName name="Hedging_Positions_through_Futures_AS_ON_MMMM_DD__YYYY___NIL" localSheetId="19">LELTVF!$L$68:$P$84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14">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5">LEGROW!$L$74:$P$84</definedName>
    <definedName name="JPM_Footer_disp" localSheetId="16">LEINFA!$L$74:$P$84</definedName>
    <definedName name="JPM_Footer_disp" localSheetId="17">LEINNF!$L$74:$P$84</definedName>
    <definedName name="JPM_Footer_disp" localSheetId="18">LEINSX!$L$74:$P$84</definedName>
    <definedName name="JPM_Footer_disp" localSheetId="19">LELTVF!$L$74:$P$84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14">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5">LEGROW!$L$68:$P$86</definedName>
    <definedName name="JPM_Footer_disp12" localSheetId="16">LEINFA!$L$68:$P$86</definedName>
    <definedName name="JPM_Footer_disp12" localSheetId="17">LEINNF!$L$68:$P$86</definedName>
    <definedName name="JPM_Footer_disp12" localSheetId="18">LEINSX!$L$68:$P$86</definedName>
    <definedName name="JPM_Footer_disp12" localSheetId="19">LELTVF!$L$68:$P$86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14">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G18" i="40" s="1"/>
  <c r="F16" i="40"/>
  <c r="F18" i="40" s="1"/>
  <c r="G10" i="40"/>
  <c r="G12" i="40" s="1"/>
  <c r="F10" i="40"/>
  <c r="F12" i="40" s="1"/>
  <c r="F20" i="40" l="1"/>
  <c r="G20" i="40"/>
</calcChain>
</file>

<file path=xl/sharedStrings.xml><?xml version="1.0" encoding="utf-8"?>
<sst xmlns="http://schemas.openxmlformats.org/spreadsheetml/2006/main" count="5017" uniqueCount="937">
  <si>
    <t>Name of the Instrument</t>
  </si>
  <si>
    <t>ISIN</t>
  </si>
  <si>
    <t>Quantity</t>
  </si>
  <si>
    <t>Market/Fair Value (Rounded, Rs. In Lacs)</t>
  </si>
  <si>
    <t>Rounded, % to Net Assets</t>
  </si>
  <si>
    <t>Industry / Rating</t>
  </si>
  <si>
    <t>Yield</t>
  </si>
  <si>
    <t>Monthly Portfolio Statement as on January 31,2024</t>
  </si>
  <si>
    <t>Index</t>
  </si>
  <si>
    <t>LIC MF ARBITRAGE FUND</t>
  </si>
  <si>
    <t>LIC MF BALANCED ADVANTAGE FUND</t>
  </si>
  <si>
    <t>LIC MF AGGRESSIVE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</si>
  <si>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</si>
  <si>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</si>
  <si>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</si>
  <si>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</si>
  <si>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</si>
  <si>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</si>
  <si>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</si>
  <si>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</si>
  <si>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</si>
  <si>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NEXT 50 INDEX FUND</t>
  </si>
  <si>
    <t>LIC MF NIFTY 100 ETF</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</si>
  <si>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</si>
  <si>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</si>
  <si>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</si>
  <si>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</si>
  <si>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</si>
  <si>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</si>
  <si>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</si>
  <si>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</si>
  <si>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</si>
  <si>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</si>
  <si>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</si>
  <si>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</si>
  <si>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</si>
  <si>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</si>
  <si>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</si>
  <si>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</si>
  <si>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</si>
  <si>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</si>
  <si>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</si>
  <si>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</si>
  <si>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</si>
  <si>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</si>
  <si>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</si>
  <si>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</si>
  <si>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</si>
  <si>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</si>
  <si>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</si>
  <si>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</si>
  <si>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</si>
  <si>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</si>
  <si>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</si>
  <si>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</si>
  <si>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</si>
  <si>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</si>
  <si>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</si>
  <si>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</si>
  <si>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</si>
  <si>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</si>
  <si>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</si>
  <si>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</si>
  <si>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</si>
  <si>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</si>
  <si>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</si>
  <si>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</si>
  <si>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</si>
  <si>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</si>
  <si>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</si>
  <si>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</si>
  <si>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</si>
  <si>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</si>
  <si>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</si>
  <si>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</si>
  <si>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</si>
  <si>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</si>
  <si>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</si>
  <si>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INDEX</t>
  </si>
  <si>
    <t>Monthly Portfolio Statement as on January 31, 2024</t>
  </si>
  <si>
    <t>Scheme</t>
  </si>
  <si>
    <t>Scheme Name</t>
  </si>
  <si>
    <t>Debt Instruments</t>
  </si>
  <si>
    <t>(a)Listed / Awaiting listing on stock Exchanges</t>
  </si>
  <si>
    <t>7.7% State Government of Maharashtra</t>
  </si>
  <si>
    <t>SOVEREIGN</t>
  </si>
  <si>
    <t>7.71% State Government of Maharashtra</t>
  </si>
  <si>
    <t>IN2220230139</t>
  </si>
  <si>
    <t>7.26% Government of India</t>
  </si>
  <si>
    <t>IN0020220060</t>
  </si>
  <si>
    <t>8.0% HDFC Bank Ltd. **</t>
  </si>
  <si>
    <t>INE040A08807</t>
  </si>
  <si>
    <t>CRISIL AAA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</si>
  <si>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</si>
  <si>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</si>
  <si>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</si>
  <si>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</si>
  <si>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</si>
  <si>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</si>
  <si>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</si>
  <si>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</si>
  <si>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</si>
  <si>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</si>
  <si>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</si>
  <si>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</si>
  <si>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</si>
  <si>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7.4% National Bk for Agriculture &amp; Rural Dev. **</t>
  </si>
  <si>
    <t>INE261F08DO9</t>
  </si>
  <si>
    <t>7.76% State Government of Maharashtra</t>
  </si>
  <si>
    <t>IN2220220122</t>
  </si>
  <si>
    <t>7.74% Power Finance Corporation Ltd. **</t>
  </si>
  <si>
    <t>INE134E08JI0</t>
  </si>
  <si>
    <t>5.63% Government of India</t>
  </si>
  <si>
    <t>IN0020210012</t>
  </si>
  <si>
    <t>Money Market Instruments</t>
  </si>
  <si>
    <t>Certificate of Deposit</t>
  </si>
  <si>
    <t>CRISIL A1+</t>
  </si>
  <si>
    <t>Kotak Mahindra Bank Ltd. ** #</t>
  </si>
  <si>
    <t>INE237A163T3</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</si>
  <si>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</si>
  <si>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</si>
  <si>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</si>
  <si>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</si>
  <si>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</si>
  <si>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</si>
  <si>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</si>
  <si>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</si>
  <si>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</si>
  <si>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</si>
  <si>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</si>
  <si>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</si>
  <si>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</si>
  <si>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</si>
  <si>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Hindustan Unilever Ltd.</t>
  </si>
  <si>
    <t>INE030A01027</t>
  </si>
  <si>
    <t>Diversified FMCG</t>
  </si>
  <si>
    <t>Nestle India Ltd.</t>
  </si>
  <si>
    <t>INE239A01024</t>
  </si>
  <si>
    <t>Food Products</t>
  </si>
  <si>
    <t>Mahindra &amp; Mahindra Ltd.</t>
  </si>
  <si>
    <t>INE101A01026</t>
  </si>
  <si>
    <t>Automobiles</t>
  </si>
  <si>
    <t>LTIMindtree Ltd.</t>
  </si>
  <si>
    <t>INE214T01019</t>
  </si>
  <si>
    <t>(b) Unlisted</t>
  </si>
  <si>
    <t>7.38% Government of India</t>
  </si>
  <si>
    <t>IN0020220037</t>
  </si>
  <si>
    <t>8.03% State Government of Karnataka</t>
  </si>
  <si>
    <t>IN1920170165</t>
  </si>
  <si>
    <t>7.1% Government of India</t>
  </si>
  <si>
    <t>IN0020220011</t>
  </si>
  <si>
    <t>8.49% NTPC Ltd. **</t>
  </si>
  <si>
    <t>INE733E07JP6</t>
  </si>
  <si>
    <t>7.06% Government of India</t>
  </si>
  <si>
    <t>IN0020230010</t>
  </si>
  <si>
    <t>Commercial Paper</t>
  </si>
  <si>
    <t>Tata Capital Housing Finance Ltd. **</t>
  </si>
  <si>
    <t>INE033L14MN1</t>
  </si>
  <si>
    <t>Bank of Baroda</t>
  </si>
  <si>
    <t>INE028A01039</t>
  </si>
  <si>
    <t>Larsen &amp; Toubro Ltd.</t>
  </si>
  <si>
    <t>INE018A01030</t>
  </si>
  <si>
    <t>Construction</t>
  </si>
  <si>
    <t>Container Corporation Of India Ltd.</t>
  </si>
  <si>
    <t>INE111A01025</t>
  </si>
  <si>
    <t>Transport Services</t>
  </si>
  <si>
    <t>Axis Bank Ltd.</t>
  </si>
  <si>
    <t>INE238A01034</t>
  </si>
  <si>
    <t>Bajaj Finance Ltd.</t>
  </si>
  <si>
    <t>INE296A01024</t>
  </si>
  <si>
    <t>Finance</t>
  </si>
  <si>
    <t>Tata Consultancy Services Ltd.</t>
  </si>
  <si>
    <t>INE467B01029</t>
  </si>
  <si>
    <t>Bharat Petroleum Corporation Ltd.</t>
  </si>
  <si>
    <t>INE029A01011</t>
  </si>
  <si>
    <t>Hindalco Industries Ltd.</t>
  </si>
  <si>
    <t>INE038A01020</t>
  </si>
  <si>
    <t>Non - Ferrous Metals</t>
  </si>
  <si>
    <t>Jindal Steel &amp; Power Ltd.</t>
  </si>
  <si>
    <t>INE749A01030</t>
  </si>
  <si>
    <t>Ferrous Metals</t>
  </si>
  <si>
    <t>RBL Bank Ltd.</t>
  </si>
  <si>
    <t>INE976G01028</t>
  </si>
  <si>
    <t>Maruti Suzuki India Ltd.</t>
  </si>
  <si>
    <t>INE585B01010</t>
  </si>
  <si>
    <t>Bharat Electronics Ltd.</t>
  </si>
  <si>
    <t>INE263A01024</t>
  </si>
  <si>
    <t>Aerospace &amp; Defense</t>
  </si>
  <si>
    <t>State Bank of India</t>
  </si>
  <si>
    <t>INE062A01020</t>
  </si>
  <si>
    <t>ITC Ltd.</t>
  </si>
  <si>
    <t>INE154A01025</t>
  </si>
  <si>
    <t>Kotak Mahindra Bank Ltd.</t>
  </si>
  <si>
    <t>INE237A01028</t>
  </si>
  <si>
    <t>Chambal Fertilizers &amp; Chemicals Ltd.</t>
  </si>
  <si>
    <t>INE085A01013</t>
  </si>
  <si>
    <t>Fertilizers &amp; Agrochemicals</t>
  </si>
  <si>
    <t>Bajaj Finserv Ltd.</t>
  </si>
  <si>
    <t>INE918I01026</t>
  </si>
  <si>
    <t>Vedanta Ltd.</t>
  </si>
  <si>
    <t>INE205A01025</t>
  </si>
  <si>
    <t>Diversified Metals</t>
  </si>
  <si>
    <t>Biocon Ltd.</t>
  </si>
  <si>
    <t>INE376G01013</t>
  </si>
  <si>
    <t>Pharmaceuticals &amp; Biotechnology</t>
  </si>
  <si>
    <t>Trent Ltd.</t>
  </si>
  <si>
    <t>INE849A01020</t>
  </si>
  <si>
    <t>Retailing</t>
  </si>
  <si>
    <t>Aditya Birla Capital Ltd.</t>
  </si>
  <si>
    <t>INE674K01013</t>
  </si>
  <si>
    <t>Asian Paints Ltd.</t>
  </si>
  <si>
    <t>INE021A01026</t>
  </si>
  <si>
    <t>Consumer Durables</t>
  </si>
  <si>
    <t>Pidilite Industries Ltd.</t>
  </si>
  <si>
    <t>INE318A01026</t>
  </si>
  <si>
    <t>Chemicals &amp; Petrochemicals</t>
  </si>
  <si>
    <t>Titan Company Ltd.</t>
  </si>
  <si>
    <t>INE280A01028</t>
  </si>
  <si>
    <t>Aurobindo Pharma Ltd.</t>
  </si>
  <si>
    <t>INE406A01037</t>
  </si>
  <si>
    <t>Hindustan Petroleum Corporation Ltd.</t>
  </si>
  <si>
    <t>INE094A01015</t>
  </si>
  <si>
    <t>Havells India Ltd.</t>
  </si>
  <si>
    <t>INE176B01034</t>
  </si>
  <si>
    <t>Godrej Consumer Products Ltd.</t>
  </si>
  <si>
    <t>INE102D01028</t>
  </si>
  <si>
    <t>Personal Products</t>
  </si>
  <si>
    <t>Tata Power Company Ltd.</t>
  </si>
  <si>
    <t>INE245A01021</t>
  </si>
  <si>
    <t>Power</t>
  </si>
  <si>
    <t>Zydus Lifesciences Ltd.</t>
  </si>
  <si>
    <t>INE010B01027</t>
  </si>
  <si>
    <t>GMR Airports Infrastructure Ltd.</t>
  </si>
  <si>
    <t>INE776C01039</t>
  </si>
  <si>
    <t>Transport Infrastructure</t>
  </si>
  <si>
    <t>Lupin Ltd.</t>
  </si>
  <si>
    <t>INE326A01037</t>
  </si>
  <si>
    <t>Tata Steel Ltd.</t>
  </si>
  <si>
    <t>INE081A01020</t>
  </si>
  <si>
    <t>Indian Energy Exchange Ltd.</t>
  </si>
  <si>
    <t>INE022Q01020</t>
  </si>
  <si>
    <t>Capital Markets</t>
  </si>
  <si>
    <t>Tech Mahindra Ltd.</t>
  </si>
  <si>
    <t>INE669C01036</t>
  </si>
  <si>
    <t>Dr. Reddy's Laboratories Ltd.</t>
  </si>
  <si>
    <t>INE089A01023</t>
  </si>
  <si>
    <t>Aarti Industries Ltd.</t>
  </si>
  <si>
    <t>INE769A01020</t>
  </si>
  <si>
    <t>JSW Steel Ltd.</t>
  </si>
  <si>
    <t>INE019A01038</t>
  </si>
  <si>
    <t>Samvardhana Motherson International Ltd.</t>
  </si>
  <si>
    <t>INE775A01035</t>
  </si>
  <si>
    <t>Auto Components</t>
  </si>
  <si>
    <t>Piramal Enterprises Ltd.</t>
  </si>
  <si>
    <t>INE140A01024</t>
  </si>
  <si>
    <t>Glenmark Pharmaceuticals Ltd.</t>
  </si>
  <si>
    <t>INE935A01035</t>
  </si>
  <si>
    <t>Indus Towers Ltd.</t>
  </si>
  <si>
    <t>INE121J01017</t>
  </si>
  <si>
    <t>Telecom - Services</t>
  </si>
  <si>
    <t>Bajaj Finance Ltd. **</t>
  </si>
  <si>
    <t>INE296A14WW7</t>
  </si>
  <si>
    <t>LIC MF LIQUID FUND-DR PLN-GR</t>
  </si>
  <si>
    <t>INF767K01DN1</t>
  </si>
  <si>
    <t>Disclosure in Devrivtives</t>
  </si>
  <si>
    <t>Rounded,% TO Net Assets)</t>
  </si>
  <si>
    <t>Total</t>
  </si>
  <si>
    <t>Total outstanding position(as at 31 January 2024 ) in Derivative Instruments(Gross National) 7186.32 lacs.</t>
  </si>
  <si>
    <t>Total percentage of existing assets hedge through futures is 68.23%.</t>
  </si>
  <si>
    <t>HCL Technologies Ltd.</t>
  </si>
  <si>
    <t>INE860A01027</t>
  </si>
  <si>
    <t>Cipla Ltd.</t>
  </si>
  <si>
    <t>INE059A01026</t>
  </si>
  <si>
    <t>Sun Pharmaceutical Industries Ltd.</t>
  </si>
  <si>
    <t>INE044A01036</t>
  </si>
  <si>
    <t>Apollo Hospitals Enterprise Ltd.</t>
  </si>
  <si>
    <t>INE437A01024</t>
  </si>
  <si>
    <t>Healthcare Services</t>
  </si>
  <si>
    <t>Torrent Pharmaceuticals Ltd.</t>
  </si>
  <si>
    <t>INE685A01028</t>
  </si>
  <si>
    <t>NTPC Ltd.</t>
  </si>
  <si>
    <t>INE733E01010</t>
  </si>
  <si>
    <t>SRF Ltd.</t>
  </si>
  <si>
    <t>INE647A01010</t>
  </si>
  <si>
    <t>Power Grid Corporation of India Ltd.</t>
  </si>
  <si>
    <t>INE752E01010</t>
  </si>
  <si>
    <t>Hero MotoCorp Ltd.</t>
  </si>
  <si>
    <t>INE158A01026</t>
  </si>
  <si>
    <t>Shriram Finance Ltd.</t>
  </si>
  <si>
    <t>INE721A01013</t>
  </si>
  <si>
    <t>Bank of India</t>
  </si>
  <si>
    <t>INE084A01016</t>
  </si>
  <si>
    <t>Syngene International Ltd.</t>
  </si>
  <si>
    <t>INE398R01022</t>
  </si>
  <si>
    <t>Power Finance Corporation Ltd.</t>
  </si>
  <si>
    <t>INE134E01011</t>
  </si>
  <si>
    <t>Texmaco Rail &amp; Engineering Ltd.</t>
  </si>
  <si>
    <t>INE621L01012</t>
  </si>
  <si>
    <t>Industrial Manufacturing</t>
  </si>
  <si>
    <t>Crompton Greaves Cons Electrical Ltd.</t>
  </si>
  <si>
    <t>INE299U01018</t>
  </si>
  <si>
    <t>APL Apollo Tubes Ltd.</t>
  </si>
  <si>
    <t>INE702C01027</t>
  </si>
  <si>
    <t>Industrial Products</t>
  </si>
  <si>
    <t>IDFC First Bank Ltd.</t>
  </si>
  <si>
    <t>INE092T01019</t>
  </si>
  <si>
    <t>GAIL (India) Ltd.</t>
  </si>
  <si>
    <t>INE129A01019</t>
  </si>
  <si>
    <t>Gas</t>
  </si>
  <si>
    <t>Arvind Fashions Ltd.</t>
  </si>
  <si>
    <t>INE955V01021</t>
  </si>
  <si>
    <t>Grasim Industries Ltd.</t>
  </si>
  <si>
    <t>INE047A01021</t>
  </si>
  <si>
    <t>Cement &amp; Cement Products</t>
  </si>
  <si>
    <t>ICICI Prudential Life Insurance Co Ltd.</t>
  </si>
  <si>
    <t>INE726G01019</t>
  </si>
  <si>
    <t>Insurance</t>
  </si>
  <si>
    <t>City Union Bank Ltd.</t>
  </si>
  <si>
    <t>INE491A01021</t>
  </si>
  <si>
    <t>SBI Life Insurance Company Ltd.</t>
  </si>
  <si>
    <t>INE123W01016</t>
  </si>
  <si>
    <t>Protean eGov Technologies Ltd.</t>
  </si>
  <si>
    <t>INE004A01022</t>
  </si>
  <si>
    <t>IT - Services</t>
  </si>
  <si>
    <t>Mahindra &amp; Mahindra Financial Serv Ltd.</t>
  </si>
  <si>
    <t>INE774D01024</t>
  </si>
  <si>
    <t>Oberoi Realty Ltd.</t>
  </si>
  <si>
    <t>INE093I01010</t>
  </si>
  <si>
    <t>Realty</t>
  </si>
  <si>
    <t>Macrotech Developers Ltd.</t>
  </si>
  <si>
    <t>INE670K01029</t>
  </si>
  <si>
    <t>Ultratech Cement Ltd.</t>
  </si>
  <si>
    <t>INE481G01011</t>
  </si>
  <si>
    <t>Eicher Motors Ltd.</t>
  </si>
  <si>
    <t>INE066A01021</t>
  </si>
  <si>
    <t>Grasim Industries Ltd. PARTLY PAID UP FV 0.5 #</t>
  </si>
  <si>
    <t>IN9047A01011</t>
  </si>
  <si>
    <t>7.68% State Government of Karnataka</t>
  </si>
  <si>
    <t>IN1920230159</t>
  </si>
  <si>
    <t>7.8% State Government of Tamil Nadu</t>
  </si>
  <si>
    <t>IN3120220097</t>
  </si>
  <si>
    <t>IN1920230217</t>
  </si>
  <si>
    <t>7.54% Government of India</t>
  </si>
  <si>
    <t>IN0020220029</t>
  </si>
  <si>
    <t>Total outstanding position(as at 31 January 2024 ) in Derivative Instruments(Gross National) 19256.89 lacs.</t>
  </si>
  <si>
    <t>Total percentage of existing assets hedge through futures is 20.83%.</t>
  </si>
  <si>
    <t>Zomato Ltd.</t>
  </si>
  <si>
    <t>INE758T01015</t>
  </si>
  <si>
    <t>Piramal Pharma Ltd.</t>
  </si>
  <si>
    <t>INE0DK501011</t>
  </si>
  <si>
    <t>Bharti Airtel Ltd.</t>
  </si>
  <si>
    <t>INE397D01024</t>
  </si>
  <si>
    <t>Equitas Small Finance Bank Ltd.</t>
  </si>
  <si>
    <t>INE063P01018</t>
  </si>
  <si>
    <t>AXISCADES Engineering Technologies Ltd.</t>
  </si>
  <si>
    <t>INE555B01013</t>
  </si>
  <si>
    <t>Indian Railway Catering &amp;Tou. Corp. Ltd.</t>
  </si>
  <si>
    <t>INE335Y01020</t>
  </si>
  <si>
    <t>Leisure Services</t>
  </si>
  <si>
    <t>Azad Engineering Ltd.</t>
  </si>
  <si>
    <t>INE02IJ01035</t>
  </si>
  <si>
    <t>Electrical Equipment</t>
  </si>
  <si>
    <t>GE T&amp;D India Ltd.</t>
  </si>
  <si>
    <t>INE200A01026</t>
  </si>
  <si>
    <t>Five Star Business Finance Ltd.</t>
  </si>
  <si>
    <t>INE128S01021</t>
  </si>
  <si>
    <t>TD Power Systems Ltd.</t>
  </si>
  <si>
    <t>INE419M01027</t>
  </si>
  <si>
    <t>KEI Industries Ltd.</t>
  </si>
  <si>
    <t>INE878B01027</t>
  </si>
  <si>
    <t>Bharat Forge Ltd.</t>
  </si>
  <si>
    <t>INE465A01025</t>
  </si>
  <si>
    <t>Birla Corporation Ltd.</t>
  </si>
  <si>
    <t>INE340A01012</t>
  </si>
  <si>
    <t>Transport Corporation Of India Ltd.</t>
  </si>
  <si>
    <t>INE688A01022</t>
  </si>
  <si>
    <t>Latent View Analytics Ltd.</t>
  </si>
  <si>
    <t>INE0I7C01011</t>
  </si>
  <si>
    <t>Siemens Ltd.</t>
  </si>
  <si>
    <t>INE003A01024</t>
  </si>
  <si>
    <t>CIE Automotive India Ltd.</t>
  </si>
  <si>
    <t>INE536H01010</t>
  </si>
  <si>
    <t>Coforge Ltd.</t>
  </si>
  <si>
    <t>INE591G01017</t>
  </si>
  <si>
    <t>Jubilant Foodworks Ltd.</t>
  </si>
  <si>
    <t>INE797F01020</t>
  </si>
  <si>
    <t>Sona BLW Precision Forgings Ltd.</t>
  </si>
  <si>
    <t>INE073K01018</t>
  </si>
  <si>
    <t>The Ramco Cements Ltd.</t>
  </si>
  <si>
    <t>INE331A01037</t>
  </si>
  <si>
    <t>Titagarh Rail Systems Ltd.</t>
  </si>
  <si>
    <t>INE615H01020</t>
  </si>
  <si>
    <t>6.1% Government of India</t>
  </si>
  <si>
    <t>IN0020210095</t>
  </si>
  <si>
    <t>7.73% State Government of Karnataka</t>
  </si>
  <si>
    <t>IN1920230084</t>
  </si>
  <si>
    <t>7.725% Larsen &amp; Toubro Ltd. **</t>
  </si>
  <si>
    <t>INE018A08BE9</t>
  </si>
  <si>
    <t>IN2220230162</t>
  </si>
  <si>
    <t>6.54% Government of India</t>
  </si>
  <si>
    <t>IN0020210244</t>
  </si>
  <si>
    <t>The Federal Bank Ltd.</t>
  </si>
  <si>
    <t>INE171A01029</t>
  </si>
  <si>
    <t>Creditaccess Grameen Ltd.</t>
  </si>
  <si>
    <t>INE741K01010</t>
  </si>
  <si>
    <t>L&amp;T Finance Holdings Ltd.</t>
  </si>
  <si>
    <t>INE498L01015</t>
  </si>
  <si>
    <t>DCB Bank Ltd.</t>
  </si>
  <si>
    <t>INE503A01015</t>
  </si>
  <si>
    <t>CSB Bank Ltd.</t>
  </si>
  <si>
    <t>INE679A01013</t>
  </si>
  <si>
    <t>Aavas Financiers Ltd.</t>
  </si>
  <si>
    <t>INE216P01012</t>
  </si>
  <si>
    <t>MAS Financial Services Ltd.</t>
  </si>
  <si>
    <t>INE348L01012</t>
  </si>
  <si>
    <t>Karur Vysya Bank Ltd.</t>
  </si>
  <si>
    <t>INE036D01028</t>
  </si>
  <si>
    <t>Muthoot Finance Ltd.</t>
  </si>
  <si>
    <t>INE414G01012</t>
  </si>
  <si>
    <t>360 One Wam Ltd.</t>
  </si>
  <si>
    <t>INE466L01038</t>
  </si>
  <si>
    <t>SBI Cards &amp; Payment Services Ltd.</t>
  </si>
  <si>
    <t>INE018E01016</t>
  </si>
  <si>
    <t>IIFL Finance Ltd.</t>
  </si>
  <si>
    <t>INE530B01024</t>
  </si>
  <si>
    <t>Max Financial Services Ltd.</t>
  </si>
  <si>
    <t>INE180A01020</t>
  </si>
  <si>
    <t>Spandana Sphoorty Financial Ltd.</t>
  </si>
  <si>
    <t>INE572J01011</t>
  </si>
  <si>
    <t>Elecon Engineering Company Ltd.</t>
  </si>
  <si>
    <t>INE205B01023</t>
  </si>
  <si>
    <t>Pitti Engineering Ltd.</t>
  </si>
  <si>
    <t>INE450D01021</t>
  </si>
  <si>
    <t>Bikaji Foods International Ltd.</t>
  </si>
  <si>
    <t>INE00E101023</t>
  </si>
  <si>
    <t>Gokaldas Exports Ltd.</t>
  </si>
  <si>
    <t>INE887G01027</t>
  </si>
  <si>
    <t>Textiles &amp; Apparels</t>
  </si>
  <si>
    <t>Divgi Torqtransfer Systems Ltd.</t>
  </si>
  <si>
    <t>INE753U01022</t>
  </si>
  <si>
    <t>Syrma Sgs Technology Ltd.</t>
  </si>
  <si>
    <t>INE0DYJ01015</t>
  </si>
  <si>
    <t>Tata Motors Ltd.</t>
  </si>
  <si>
    <t>INE155A01022</t>
  </si>
  <si>
    <t>Aditya Birla Fashion and Retail Ltd.</t>
  </si>
  <si>
    <t>INE647O01011</t>
  </si>
  <si>
    <t>NCC Ltd.</t>
  </si>
  <si>
    <t>INE868B01028</t>
  </si>
  <si>
    <t>Hindware Home Innovation Ltd.</t>
  </si>
  <si>
    <t>INE05AN01011</t>
  </si>
  <si>
    <t>Coromandel International Ltd.</t>
  </si>
  <si>
    <t>INE169A01031</t>
  </si>
  <si>
    <t>Cyient Ltd.</t>
  </si>
  <si>
    <t>INE136B01020</t>
  </si>
  <si>
    <t>Britannia Industries Ltd.</t>
  </si>
  <si>
    <t>INE216A01030</t>
  </si>
  <si>
    <t>Alkem Laboratories Ltd.</t>
  </si>
  <si>
    <t>INE540L01014</t>
  </si>
  <si>
    <t>Kennametal India Ltd.</t>
  </si>
  <si>
    <t>INE717A01029</t>
  </si>
  <si>
    <t>Triveni Turbine Ltd.</t>
  </si>
  <si>
    <t>INE152M01016</t>
  </si>
  <si>
    <t>P I INDUSTRIES LIMITED</t>
  </si>
  <si>
    <t>INE603J01030</t>
  </si>
  <si>
    <t>Motherson Sumi Wiring India Ltd.</t>
  </si>
  <si>
    <t>INE0FS801015</t>
  </si>
  <si>
    <t>NHPC Ltd.</t>
  </si>
  <si>
    <t>INE848E01016</t>
  </si>
  <si>
    <t>BEML Ltd.</t>
  </si>
  <si>
    <t>INE258A01016</t>
  </si>
  <si>
    <t>Agricultural, Commercial &amp; Construction Vehicles</t>
  </si>
  <si>
    <t>Sanofi India Ltd.</t>
  </si>
  <si>
    <t>INE058A01010</t>
  </si>
  <si>
    <t>Mahanagar Gas Ltd.</t>
  </si>
  <si>
    <t>INE002S01010</t>
  </si>
  <si>
    <t>Akzo Nobel India Ltd.</t>
  </si>
  <si>
    <t>INE133A01011</t>
  </si>
  <si>
    <t>Divi's Laboratories Ltd.</t>
  </si>
  <si>
    <t>INE361B01024</t>
  </si>
  <si>
    <t>Carborundum Universal Ltd.</t>
  </si>
  <si>
    <t>INE120A01034</t>
  </si>
  <si>
    <t>PCBL Ltd.</t>
  </si>
  <si>
    <t>INE602A01031</t>
  </si>
  <si>
    <t>Bharat Bijlee Ltd.</t>
  </si>
  <si>
    <t>INE464A01028</t>
  </si>
  <si>
    <t>Bajaj Auto Ltd.</t>
  </si>
  <si>
    <t>INE917I01010</t>
  </si>
  <si>
    <t>Bajaj Consumer Care Ltd.</t>
  </si>
  <si>
    <t>INE933K01021</t>
  </si>
  <si>
    <t>Hindustan Zinc Ltd.</t>
  </si>
  <si>
    <t>INE267A01025</t>
  </si>
  <si>
    <t>EIH Ltd.</t>
  </si>
  <si>
    <t>INE230A01023</t>
  </si>
  <si>
    <t>Godfrey Phillips India Ltd.</t>
  </si>
  <si>
    <t>INE260B01028</t>
  </si>
  <si>
    <t>Cigarettes &amp; Tobacco Products</t>
  </si>
  <si>
    <t>Laurus Labs Ltd.</t>
  </si>
  <si>
    <t>INE947Q01028</t>
  </si>
  <si>
    <t>CESC Ltd.</t>
  </si>
  <si>
    <t>INE486A01021</t>
  </si>
  <si>
    <t>Sonata Software Ltd.</t>
  </si>
  <si>
    <t>INE269A01021</t>
  </si>
  <si>
    <t>Artemis Medicare Services Ltd.</t>
  </si>
  <si>
    <t>INE025R01021</t>
  </si>
  <si>
    <t>JB Chemicals &amp; Pharmaceuticals Ltd.</t>
  </si>
  <si>
    <t>INE572A01036</t>
  </si>
  <si>
    <t>Abbott India Ltd.</t>
  </si>
  <si>
    <t>INE358A01014</t>
  </si>
  <si>
    <t>IPCA Laboratories Ltd.</t>
  </si>
  <si>
    <t>INE571A01038</t>
  </si>
  <si>
    <t>Global Health Ltd.</t>
  </si>
  <si>
    <t>INE474Q01031</t>
  </si>
  <si>
    <t>Metropolis Healthcare Ltd.</t>
  </si>
  <si>
    <t>INE112L01020</t>
  </si>
  <si>
    <t>UNO Minda Ltd.</t>
  </si>
  <si>
    <t>INE405E01023</t>
  </si>
  <si>
    <t>Dalmia Bharat Ltd.</t>
  </si>
  <si>
    <t>INE00R701025</t>
  </si>
  <si>
    <t>Voltas Ltd.</t>
  </si>
  <si>
    <t>INE226A01021</t>
  </si>
  <si>
    <t>The Indian Hotels Company Ltd.</t>
  </si>
  <si>
    <t>INE053A01029</t>
  </si>
  <si>
    <t>K.P.R. Mill Ltd.</t>
  </si>
  <si>
    <t>INE930H01031</t>
  </si>
  <si>
    <t>TVS Motor Company Ltd.</t>
  </si>
  <si>
    <t>INE494B01023</t>
  </si>
  <si>
    <t>Schaeffler India Ltd.</t>
  </si>
  <si>
    <t>INE513A01022</t>
  </si>
  <si>
    <t>Torrent Power Ltd.</t>
  </si>
  <si>
    <t>INE813H01021</t>
  </si>
  <si>
    <t>Ashok Leyland Ltd.</t>
  </si>
  <si>
    <t>INE208A01029</t>
  </si>
  <si>
    <t>Info Edge (India) Ltd.</t>
  </si>
  <si>
    <t>INE663F01024</t>
  </si>
  <si>
    <t>Astral Ltd.</t>
  </si>
  <si>
    <t>INE006I01046</t>
  </si>
  <si>
    <t>Sumitomo Chemical India Ltd.</t>
  </si>
  <si>
    <t>INE258G01013</t>
  </si>
  <si>
    <t>Cholamandalam Investment &amp; Fin Co Ltd.</t>
  </si>
  <si>
    <t>INE121A01024</t>
  </si>
  <si>
    <t>Balkrishna Industries Ltd.</t>
  </si>
  <si>
    <t>INE787D01026</t>
  </si>
  <si>
    <t>Endurance Technologies Ltd.</t>
  </si>
  <si>
    <t>INE913H01037</t>
  </si>
  <si>
    <t>REC Ltd.</t>
  </si>
  <si>
    <t>INE020B01018</t>
  </si>
  <si>
    <t>3M India Ltd.</t>
  </si>
  <si>
    <t>INE470A01017</t>
  </si>
  <si>
    <t>Diversified</t>
  </si>
  <si>
    <t>Apollo Tyres Ltd.</t>
  </si>
  <si>
    <t>INE438A01022</t>
  </si>
  <si>
    <t>Tata Elxsi Ltd.</t>
  </si>
  <si>
    <t>INE670A01012</t>
  </si>
  <si>
    <t>Supreme Industries Ltd.</t>
  </si>
  <si>
    <t>INE195A01028</t>
  </si>
  <si>
    <t>Honeywell Automation India Ltd.</t>
  </si>
  <si>
    <t>INE671A01010</t>
  </si>
  <si>
    <t>Metro Brands Ltd.</t>
  </si>
  <si>
    <t>INE317I01021</t>
  </si>
  <si>
    <t>ACC Ltd.</t>
  </si>
  <si>
    <t>INE012A01025</t>
  </si>
  <si>
    <t>Escorts Kubota Ltd.</t>
  </si>
  <si>
    <t>INE042A01014</t>
  </si>
  <si>
    <t>Sai Silk (Kalamandir) Ltd.</t>
  </si>
  <si>
    <t>INE438K01021</t>
  </si>
  <si>
    <t>Canara Bank</t>
  </si>
  <si>
    <t>INE476A01014</t>
  </si>
  <si>
    <t>Heidelbergcement India Ltd.</t>
  </si>
  <si>
    <t>INE578A01017</t>
  </si>
  <si>
    <t>Bharat Dynamics Ltd.</t>
  </si>
  <si>
    <t>INE171Z01018</t>
  </si>
  <si>
    <t>Godrej Agrovet Ltd.</t>
  </si>
  <si>
    <t>INE850D01014</t>
  </si>
  <si>
    <t>Campus Activewear Ltd.</t>
  </si>
  <si>
    <t>INE278Y01022</t>
  </si>
  <si>
    <t>Dabur India Ltd.</t>
  </si>
  <si>
    <t>INE016A01026</t>
  </si>
  <si>
    <t>Total outstanding position(as at 31 January 2024 ) in Derivative Instruments(Gross National) 309.96 lacs.</t>
  </si>
  <si>
    <t>Total percentage of existing assets hedge through futures is 26.89%.</t>
  </si>
  <si>
    <t>Oracle Financial Services Software Ltd.</t>
  </si>
  <si>
    <t>INE881D01027</t>
  </si>
  <si>
    <t>Page Industries Ltd.</t>
  </si>
  <si>
    <t>INE761H01022</t>
  </si>
  <si>
    <t>VA Tech Wabag Ltd.</t>
  </si>
  <si>
    <t>INE956G01038</t>
  </si>
  <si>
    <t>Other Utilities</t>
  </si>
  <si>
    <t>L&amp;T Technology Services Ltd.</t>
  </si>
  <si>
    <t>INE010V01017</t>
  </si>
  <si>
    <t>TCI Express Ltd.</t>
  </si>
  <si>
    <t>INE586V01016</t>
  </si>
  <si>
    <t>CCL Products (India) Ltd.</t>
  </si>
  <si>
    <t>INE421D01022</t>
  </si>
  <si>
    <t>Agricultural Food &amp; other Products</t>
  </si>
  <si>
    <t>Apar Industries Ltd.</t>
  </si>
  <si>
    <t>INE372A01015</t>
  </si>
  <si>
    <t>TVS Holdings Ltd.</t>
  </si>
  <si>
    <t>INE105A01035</t>
  </si>
  <si>
    <t>GMM Pfaudler Ltd.</t>
  </si>
  <si>
    <t>INE541A01023</t>
  </si>
  <si>
    <t>Alicon Castalloy Ltd.</t>
  </si>
  <si>
    <t>INE062D01024</t>
  </si>
  <si>
    <t>Vinati Organics Ltd.</t>
  </si>
  <si>
    <t>INE410B01037</t>
  </si>
  <si>
    <t>InterGlobe Aviation Ltd.</t>
  </si>
  <si>
    <t>INE646L01027</t>
  </si>
  <si>
    <t>PVR Inox Ltd.</t>
  </si>
  <si>
    <t>INE191H01014</t>
  </si>
  <si>
    <t>Entertainment</t>
  </si>
  <si>
    <t>Wendt India Ltd.</t>
  </si>
  <si>
    <t>INE274C01019</t>
  </si>
  <si>
    <t>Gabriel India Ltd.</t>
  </si>
  <si>
    <t>INE524A01029</t>
  </si>
  <si>
    <t>Berger Paints (I) Ltd.</t>
  </si>
  <si>
    <t>INE463A01038</t>
  </si>
  <si>
    <t>Sundaram Clayton Ltd.</t>
  </si>
  <si>
    <t>INE0Q3R01026</t>
  </si>
  <si>
    <t>Disa India Ltd.</t>
  </si>
  <si>
    <t>INE131C01011</t>
  </si>
  <si>
    <t>Ador Welding Ltd.</t>
  </si>
  <si>
    <t>INE045A01017</t>
  </si>
  <si>
    <t>Sudarshan Chemical Industries Ltd.</t>
  </si>
  <si>
    <t>INE659A01023</t>
  </si>
  <si>
    <t>5.5% Britannia Industries Ltd. **</t>
  </si>
  <si>
    <t>INE216A08027</t>
  </si>
  <si>
    <t>$0.00%</t>
  </si>
  <si>
    <t>$ Less Than 0.01% of Net Asset Value</t>
  </si>
  <si>
    <t>Garware Hi-Tech Films Ltd.</t>
  </si>
  <si>
    <t>INE291A01017</t>
  </si>
  <si>
    <t>BSE Ltd.</t>
  </si>
  <si>
    <t>INE118H01025</t>
  </si>
  <si>
    <t>Kirloskar Oil Engines Ltd.</t>
  </si>
  <si>
    <t>INE146L01010</t>
  </si>
  <si>
    <t>Lemon Tree Hotels Ltd.</t>
  </si>
  <si>
    <t>INE970X01018</t>
  </si>
  <si>
    <t>Grindwell Norton Ltd.</t>
  </si>
  <si>
    <t>INE536A01023</t>
  </si>
  <si>
    <t>Blue Star Ltd.</t>
  </si>
  <si>
    <t>INE472A01039</t>
  </si>
  <si>
    <t>KSB Ltd.</t>
  </si>
  <si>
    <t>INE999A01015</t>
  </si>
  <si>
    <t>Hitachi Energy India Ltd.</t>
  </si>
  <si>
    <t>INE07Y701011</t>
  </si>
  <si>
    <t>Avalon Technologies Ltd.</t>
  </si>
  <si>
    <t>INE0LCL01028</t>
  </si>
  <si>
    <t>Elgi Equipments Ltd.</t>
  </si>
  <si>
    <t>INE285A01027</t>
  </si>
  <si>
    <t>Century Plyboards (India) Ltd.</t>
  </si>
  <si>
    <t>INE348B01021</t>
  </si>
  <si>
    <t>Birlasoft Ltd.</t>
  </si>
  <si>
    <t>INE836A01035</t>
  </si>
  <si>
    <t>Huhtamaki India Ltd.</t>
  </si>
  <si>
    <t>INE275B01026</t>
  </si>
  <si>
    <t>Greenpanel Industries Ltd.</t>
  </si>
  <si>
    <t>INE08ZM01014</t>
  </si>
  <si>
    <t>EID Parry India Ltd.</t>
  </si>
  <si>
    <t>INE126A01031</t>
  </si>
  <si>
    <t>Ratnamani Metals &amp; Tubes Ltd.</t>
  </si>
  <si>
    <t>INE703B01027</t>
  </si>
  <si>
    <t>Bajaj Electricals Ltd.</t>
  </si>
  <si>
    <t>INE193E01025</t>
  </si>
  <si>
    <t>PNC Infratech Ltd.</t>
  </si>
  <si>
    <t>INE195J01029</t>
  </si>
  <si>
    <t>Carysil Ltd.</t>
  </si>
  <si>
    <t>INE482D01024</t>
  </si>
  <si>
    <t>Timken India Ltd.</t>
  </si>
  <si>
    <t>INE325A01013</t>
  </si>
  <si>
    <t>Navin Fluorine International Ltd.</t>
  </si>
  <si>
    <t>INE048G01026</t>
  </si>
  <si>
    <t>Galaxy Surfactants Ltd.</t>
  </si>
  <si>
    <t>INE600K01018</t>
  </si>
  <si>
    <t>Sheela Foam Ltd.</t>
  </si>
  <si>
    <t>INE916U01025</t>
  </si>
  <si>
    <t>Deepak Nitrite Ltd.</t>
  </si>
  <si>
    <t>INE288B01029</t>
  </si>
  <si>
    <t>Cera Sanitaryware Ltd.</t>
  </si>
  <si>
    <t>INE739E01017</t>
  </si>
  <si>
    <t>SP Apparels Ltd.</t>
  </si>
  <si>
    <t>INE212I01016</t>
  </si>
  <si>
    <t>Inox India Ltd.</t>
  </si>
  <si>
    <t>INE616N01034</t>
  </si>
  <si>
    <t>LIC Mutual Fund</t>
  </si>
  <si>
    <t>INF397L01554</t>
  </si>
  <si>
    <t>Tata Consumer Products Ltd.</t>
  </si>
  <si>
    <t>INE192A01025</t>
  </si>
  <si>
    <t>Avenue Supermarts Ltd.</t>
  </si>
  <si>
    <t>INE192R01011</t>
  </si>
  <si>
    <t>Coal India Ltd.</t>
  </si>
  <si>
    <t>INE522F01014</t>
  </si>
  <si>
    <t>Consumable Fuels</t>
  </si>
  <si>
    <t>IndusInd Bank Ltd.</t>
  </si>
  <si>
    <t>INE095A01012</t>
  </si>
  <si>
    <t>VARUN BEVERAGES LIMITED</t>
  </si>
  <si>
    <t>INE200M01021</t>
  </si>
  <si>
    <t>Beverages</t>
  </si>
  <si>
    <t>Bosch Ltd.</t>
  </si>
  <si>
    <t>INE323A01026</t>
  </si>
  <si>
    <t>Hindustan Aeronautics Ltd.</t>
  </si>
  <si>
    <t>INE066F01020</t>
  </si>
  <si>
    <t>Cummins India Ltd.</t>
  </si>
  <si>
    <t>INE298A01020</t>
  </si>
  <si>
    <t>Ashoka Buildcon Ltd.</t>
  </si>
  <si>
    <t>INE442H01029</t>
  </si>
  <si>
    <t>Schneider Electric Infrastructure Ltd.</t>
  </si>
  <si>
    <t>INE839M01018</t>
  </si>
  <si>
    <t>Blue Dart Express Ltd.</t>
  </si>
  <si>
    <t>INE233B01017</t>
  </si>
  <si>
    <t>Gujarat State Petronet Ltd.</t>
  </si>
  <si>
    <t>INE246F01010</t>
  </si>
  <si>
    <t>PSP Projects Ltd.</t>
  </si>
  <si>
    <t>INE488V01015</t>
  </si>
  <si>
    <t>Foseco India Ltd.</t>
  </si>
  <si>
    <t>INE519A01011</t>
  </si>
  <si>
    <t>Kirloskar Pneumatic Co.Ltd.</t>
  </si>
  <si>
    <t>INE811A01020</t>
  </si>
  <si>
    <t>Vascon Engineers Ltd.</t>
  </si>
  <si>
    <t>INE893I01013</t>
  </si>
  <si>
    <t>Oil &amp; Natural Gas Corporation Ltd.</t>
  </si>
  <si>
    <t>INE213A01029</t>
  </si>
  <si>
    <t>Oil</t>
  </si>
  <si>
    <t>Adani Ports &amp; Special Economic Zone Ltd.</t>
  </si>
  <si>
    <t>INE742F01042</t>
  </si>
  <si>
    <t>Adani Enterprises Ltd.</t>
  </si>
  <si>
    <t>INE423A01024</t>
  </si>
  <si>
    <t>Metals &amp; Minerals Trading</t>
  </si>
  <si>
    <t>Wipro Ltd.</t>
  </si>
  <si>
    <t>INE075A01022</t>
  </si>
  <si>
    <t>HDFC Life Insurance Company Ltd.</t>
  </si>
  <si>
    <t>INE795G01014</t>
  </si>
  <si>
    <t>UPL Ltd.</t>
  </si>
  <si>
    <t>INE628A01036</t>
  </si>
  <si>
    <t>Persistent Systems Ltd.</t>
  </si>
  <si>
    <t>INE262H01013</t>
  </si>
  <si>
    <t>Amber Enterprises India Ltd.</t>
  </si>
  <si>
    <t>INE371P01015</t>
  </si>
  <si>
    <t>Gujarat Gas Ltd.</t>
  </si>
  <si>
    <t>INE844O01030</t>
  </si>
  <si>
    <t>Kansai Nerolac Paints Ltd.</t>
  </si>
  <si>
    <t>INE531A01024</t>
  </si>
  <si>
    <t>Indian Renewable Energy Dev Agency Ltd.</t>
  </si>
  <si>
    <t>INE202E01016</t>
  </si>
  <si>
    <t>Sundram Fasteners Ltd.</t>
  </si>
  <si>
    <t>INE387A01021</t>
  </si>
  <si>
    <t>Star Health &amp; Allied Insurance Co Ltd.</t>
  </si>
  <si>
    <t>INE575P01011</t>
  </si>
  <si>
    <t>JSW Infrastructure Ltd.</t>
  </si>
  <si>
    <t>INE880J01026</t>
  </si>
  <si>
    <t>Sundaram Finance Ltd.</t>
  </si>
  <si>
    <t>INE660A01013</t>
  </si>
  <si>
    <t>Cello World Ltd.</t>
  </si>
  <si>
    <t>INE0LMW01024</t>
  </si>
  <si>
    <t>Emami Ltd.</t>
  </si>
  <si>
    <t>INE548C01032</t>
  </si>
  <si>
    <t>Kajaria Ceramics Ltd.</t>
  </si>
  <si>
    <t>INE217B01036</t>
  </si>
  <si>
    <t>Saregama India Ltd.</t>
  </si>
  <si>
    <t>INE979A01025</t>
  </si>
  <si>
    <t>Whirlpool of India Ltd.</t>
  </si>
  <si>
    <t>INE716A01013</t>
  </si>
  <si>
    <t>MM Forgings Ltd.</t>
  </si>
  <si>
    <t>INE227C01017</t>
  </si>
  <si>
    <t>Vedant Fashions Ltd.</t>
  </si>
  <si>
    <t>INE825V01034</t>
  </si>
  <si>
    <t>Indian Oil Corporation Ltd.</t>
  </si>
  <si>
    <t>INE242A01010</t>
  </si>
  <si>
    <t>DLF Ltd.</t>
  </si>
  <si>
    <t>INE271C01023</t>
  </si>
  <si>
    <t>Ambuja Cements Ltd.</t>
  </si>
  <si>
    <t>INE079A01024</t>
  </si>
  <si>
    <t>ICICI Lombard General Insurance Co. Ltd.</t>
  </si>
  <si>
    <t>INE765G01017</t>
  </si>
  <si>
    <t>Shree Cement Ltd.</t>
  </si>
  <si>
    <t>INE070A01015</t>
  </si>
  <si>
    <t>Colgate Palmolive (India) Ltd.</t>
  </si>
  <si>
    <t>INE259A01022</t>
  </si>
  <si>
    <t>Punjab National Bank</t>
  </si>
  <si>
    <t>INE160A01022</t>
  </si>
  <si>
    <t>United Spirits Ltd.</t>
  </si>
  <si>
    <t>INE854D01024</t>
  </si>
  <si>
    <t>Marico Ltd.</t>
  </si>
  <si>
    <t>INE196A01026</t>
  </si>
  <si>
    <t>Adani Green Energy Ltd.</t>
  </si>
  <si>
    <t>INE364U01010</t>
  </si>
  <si>
    <t>ABB India Ltd.</t>
  </si>
  <si>
    <t>INE117A01022</t>
  </si>
  <si>
    <t>Bajaj Holdings &amp; Investment Ltd.</t>
  </si>
  <si>
    <t>INE118A01012</t>
  </si>
  <si>
    <t>Adani Energy Solutions Ltd.</t>
  </si>
  <si>
    <t>INE931S01010</t>
  </si>
  <si>
    <t>Adani Total Gas Ltd.</t>
  </si>
  <si>
    <t>INE399L01023</t>
  </si>
  <si>
    <t>Life Insurance Corporation of India</t>
  </si>
  <si>
    <t>INE0J1Y01017</t>
  </si>
  <si>
    <t>Procter &amp; Gamble Hygiene&amp;HealthCare Ltd.</t>
  </si>
  <si>
    <t>INE179A01014</t>
  </si>
  <si>
    <t>Adani Wilmar Ltd.</t>
  </si>
  <si>
    <t>INE699H01024</t>
  </si>
  <si>
    <t>Tata Motors Ltd (DVR)</t>
  </si>
  <si>
    <t>IN9155A01020</t>
  </si>
  <si>
    <t>KPIT Technologies Ltd.</t>
  </si>
  <si>
    <t>INE04I401011</t>
  </si>
  <si>
    <t>Thermax Ltd.</t>
  </si>
  <si>
    <t>INE152A01029</t>
  </si>
  <si>
    <t>MRS Bectors Food Specialities Ltd.</t>
  </si>
  <si>
    <t>INE495P01012</t>
  </si>
  <si>
    <t>AIA Engineering Ltd.</t>
  </si>
  <si>
    <t>INE212H01026</t>
  </si>
  <si>
    <t>Safari Industries India Ltd.</t>
  </si>
  <si>
    <t>INE429E01023</t>
  </si>
  <si>
    <t>Craftsman Automation Ltd.</t>
  </si>
  <si>
    <t>INE00LO01017</t>
  </si>
  <si>
    <t>ZF Commercial Vehicle Ctrl Sys Ind Ltd.</t>
  </si>
  <si>
    <t>INE342J01019</t>
  </si>
  <si>
    <t>SKF India Ltd.</t>
  </si>
  <si>
    <t>INE640A01023</t>
  </si>
  <si>
    <t>RHI Magnesita India Ltd.</t>
  </si>
  <si>
    <t>INE743M01012</t>
  </si>
  <si>
    <t>Raymond Ltd.</t>
  </si>
  <si>
    <t>INE301A01014</t>
  </si>
  <si>
    <t>Bajel Projects Ltd.</t>
  </si>
  <si>
    <t>INE0KQN01018</t>
  </si>
  <si>
    <t>Bharti Airtel Ltd. PARTLY PAID UP FV 1.25</t>
  </si>
  <si>
    <t>IN9397D01014</t>
  </si>
  <si>
    <t>5.74% Government of India</t>
  </si>
  <si>
    <t>IN0020210186</t>
  </si>
  <si>
    <t>Riskometer</t>
  </si>
  <si>
    <t>Moderately High</t>
  </si>
  <si>
    <t>Low</t>
  </si>
  <si>
    <t>Very High</t>
  </si>
  <si>
    <t>High</t>
  </si>
  <si>
    <t>The product is suitable for investors who are seeking*</t>
  </si>
  <si>
    <t>Riskometer - Scheme</t>
  </si>
  <si>
    <t>First Tier Benchmark</t>
  </si>
  <si>
    <t>Riskometer - First Tier Benchmark</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</si>
  <si>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</si>
  <si>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</si>
  <si>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</si>
  <si>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LIC MF AGGRESSIVE HYBRID FUND (FORMERLY LIC MF EQUITY HYBRID FUND)</t>
  </si>
  <si>
    <t>LIC MF DIVIDEND YIELD FUND (FORMERLY IDBI DIVIDEND YIELD FUND)</t>
  </si>
  <si>
    <t>LIC MF HEALTHCARE FUND (FORMERLY IDBI HEALTHCARE FUND)</t>
  </si>
  <si>
    <t>LIC MF MID CAP FUND (FORMERLY IDBI MIDCAP FUND)</t>
  </si>
  <si>
    <t>LIC MF EQUITY SAVINGS FUND (FORMERLY IDBI EQUITY SAVINGS FUND)</t>
  </si>
  <si>
    <t>LIC MF SMALL CAP FUND (FORMERLY IDBI SMALL CAP FUND)</t>
  </si>
  <si>
    <t>LIC MF FOCUSED 30 EQUITY FUND (FORMERLY IDBI FOCUSED 30 EQUITY FUND)</t>
  </si>
  <si>
    <t>LIC MF GOLD ETF FUND OF FUND (FORMERLY IDBI GOLD FUND)</t>
  </si>
  <si>
    <t>LIC MF LONG TERM VALUE FUND (FORMERLY IDBI LONG TERM VALUE FUND)</t>
  </si>
  <si>
    <t>LIC MF NIFTY NEXT 50 INDEX FUND (FORMERLY IDBI NIFTY NEXT 50 INDEX FUND)</t>
  </si>
  <si>
    <r>
      <t xml:space="preserve">NSE Symbol: </t>
    </r>
    <r>
      <rPr>
        <b/>
        <sz val="9"/>
        <color theme="1"/>
        <rFont val="Arial"/>
        <family val="2"/>
      </rPr>
      <t>LICNFNHGP</t>
    </r>
  </si>
  <si>
    <r>
      <t xml:space="preserve">BSE Scrip Code: </t>
    </r>
    <r>
      <rPr>
        <b/>
        <sz val="9"/>
        <color theme="1"/>
        <rFont val="Arial"/>
        <family val="2"/>
      </rPr>
      <t>539784</t>
    </r>
  </si>
  <si>
    <t>LIC MF ELSS TAX SAVER ( FORMERLY LIC MF ELSS )</t>
  </si>
  <si>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</si>
  <si>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</si>
  <si>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</si>
  <si>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</si>
  <si>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•Risk - Moderate</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</si>
  <si>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</si>
  <si>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</si>
  <si>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</si>
  <si>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</si>
  <si>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</si>
  <si>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</si>
  <si>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</si>
  <si>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</si>
  <si>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</si>
  <si>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</si>
  <si>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</si>
  <si>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</si>
  <si>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</si>
  <si>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</si>
  <si>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</si>
  <si>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</si>
  <si>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</si>
  <si>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</si>
  <si>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</si>
  <si>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</si>
  <si>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</si>
  <si>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</si>
  <si>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</si>
  <si>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</si>
  <si>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</si>
  <si>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</si>
  <si>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</si>
  <si>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</si>
  <si>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</si>
  <si>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</si>
  <si>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</si>
  <si>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</si>
  <si>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</si>
  <si>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</si>
  <si>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</si>
  <si>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</si>
  <si>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</si>
  <si>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</si>
  <si>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</si>
  <si>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</si>
  <si>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</si>
  <si>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</si>
  <si>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</si>
  <si>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</si>
  <si>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</si>
  <si>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</si>
  <si>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</si>
  <si>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</si>
  <si>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</si>
  <si>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</si>
  <si>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</si>
  <si>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</si>
  <si>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</si>
  <si>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</si>
  <si>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</si>
  <si>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</si>
  <si>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</si>
  <si>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</si>
  <si>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</si>
  <si>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</si>
  <si>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</si>
  <si>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</si>
  <si>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</si>
  <si>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</si>
  <si>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</si>
  <si>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</si>
  <si>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</si>
  <si>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</si>
  <si>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t>
  </si>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</sst>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5" fillId="0" borderId="0" xfId="2" applyFill="1"/>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144</xdr:row>
      <xdr:rowOff>66675</xdr:rowOff>
    </xdr:from>
    <xdr:to>
      <xdr:col>4</xdr:col>
      <xdr:colOff>1882775</xdr:colOff>
      <xdr:row>147</xdr:row>
      <xdr:rowOff>317500</xdr:rowOff>
    </xdr:to>
    <xdr:pic>
      <xdr:nvPicPr>
        <xdr:cNvPr id="2" name="Picture 1">
          <a:extLst>
            <a:ext uri="{FF2B5EF4-FFF2-40B4-BE49-F238E27FC236}">
              <a16:creationId xmlns:a16="http://schemas.microsoft.com/office/drawing/2014/main" id="{981FF66F-2931-4246-AFC9-50D7C56F1733}"/>
            </a:ext>
          </a:extLst>
        </xdr:cNvPr>
        <xdr:cNvPicPr>
          <a:picLocks noChangeAspect="1"/>
        </xdr:cNvPicPr>
      </xdr:nvPicPr>
      <xdr:blipFill>
        <a:blip xmlns:r="http://schemas.openxmlformats.org/officeDocument/2006/relationships" r:embed="rId1"/>
        <a:stretch>
          <a:fillRect/>
        </a:stretch>
      </xdr:blipFill>
      <xdr:spPr>
        <a:xfrm>
          <a:off x="7346950" y="28825825"/>
          <a:ext cx="1844675" cy="1679575"/>
        </a:xfrm>
        <a:prstGeom prst="rect">
          <a:avLst/>
        </a:prstGeom>
      </xdr:spPr>
    </xdr:pic>
    <xdr:clientData/>
  </xdr:twoCellAnchor>
  <xdr:twoCellAnchor editAs="oneCell">
    <xdr:from>
      <xdr:col>2</xdr:col>
      <xdr:colOff>31750</xdr:colOff>
      <xdr:row>144</xdr:row>
      <xdr:rowOff>34925</xdr:rowOff>
    </xdr:from>
    <xdr:to>
      <xdr:col>2</xdr:col>
      <xdr:colOff>1787237</xdr:colOff>
      <xdr:row>147</xdr:row>
      <xdr:rowOff>323850</xdr:rowOff>
    </xdr:to>
    <xdr:pic>
      <xdr:nvPicPr>
        <xdr:cNvPr id="3" name="Picture 2">
          <a:extLst>
            <a:ext uri="{FF2B5EF4-FFF2-40B4-BE49-F238E27FC236}">
              <a16:creationId xmlns:a16="http://schemas.microsoft.com/office/drawing/2014/main" id="{BE72BB2C-2BD4-42DA-8FBC-92998A604D31}"/>
            </a:ext>
          </a:extLst>
        </xdr:cNvPr>
        <xdr:cNvPicPr>
          <a:picLocks noChangeAspect="1"/>
        </xdr:cNvPicPr>
      </xdr:nvPicPr>
      <xdr:blipFill rotWithShape="1">
        <a:blip xmlns:r="http://schemas.openxmlformats.org/officeDocument/2006/relationships" r:embed="rId2"/>
        <a:srcRect l="9293" r="8881"/>
        <a:stretch/>
      </xdr:blipFill>
      <xdr:spPr>
        <a:xfrm>
          <a:off x="3194050" y="28794075"/>
          <a:ext cx="1755487" cy="171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xdr:colOff>
      <xdr:row>125</xdr:row>
      <xdr:rowOff>28575</xdr:rowOff>
    </xdr:from>
    <xdr:to>
      <xdr:col>5</xdr:col>
      <xdr:colOff>0</xdr:colOff>
      <xdr:row>128</xdr:row>
      <xdr:rowOff>247650</xdr:rowOff>
    </xdr:to>
    <xdr:pic>
      <xdr:nvPicPr>
        <xdr:cNvPr id="2" name="Picture 1">
          <a:extLst>
            <a:ext uri="{FF2B5EF4-FFF2-40B4-BE49-F238E27FC236}">
              <a16:creationId xmlns:a16="http://schemas.microsoft.com/office/drawing/2014/main" id="{F9838113-2FF4-47DE-AF1E-348E13226901}"/>
            </a:ext>
          </a:extLst>
        </xdr:cNvPr>
        <xdr:cNvPicPr>
          <a:picLocks noChangeAspect="1"/>
        </xdr:cNvPicPr>
      </xdr:nvPicPr>
      <xdr:blipFill>
        <a:blip xmlns:r="http://schemas.openxmlformats.org/officeDocument/2006/relationships" r:embed="rId1"/>
        <a:stretch>
          <a:fillRect/>
        </a:stretch>
      </xdr:blipFill>
      <xdr:spPr>
        <a:xfrm>
          <a:off x="7404100" y="25047575"/>
          <a:ext cx="2197100" cy="1565275"/>
        </a:xfrm>
        <a:prstGeom prst="rect">
          <a:avLst/>
        </a:prstGeom>
      </xdr:spPr>
    </xdr:pic>
    <xdr:clientData/>
  </xdr:twoCellAnchor>
  <xdr:twoCellAnchor editAs="oneCell">
    <xdr:from>
      <xdr:col>2</xdr:col>
      <xdr:colOff>66675</xdr:colOff>
      <xdr:row>125</xdr:row>
      <xdr:rowOff>314325</xdr:rowOff>
    </xdr:from>
    <xdr:to>
      <xdr:col>2</xdr:col>
      <xdr:colOff>1736114</xdr:colOff>
      <xdr:row>128</xdr:row>
      <xdr:rowOff>142875</xdr:rowOff>
    </xdr:to>
    <xdr:pic>
      <xdr:nvPicPr>
        <xdr:cNvPr id="4" name="Picture 3">
          <a:extLst>
            <a:ext uri="{FF2B5EF4-FFF2-40B4-BE49-F238E27FC236}">
              <a16:creationId xmlns:a16="http://schemas.microsoft.com/office/drawing/2014/main" id="{3A86CE35-77C6-4CB9-9076-4658CF472E63}"/>
            </a:ext>
          </a:extLst>
        </xdr:cNvPr>
        <xdr:cNvPicPr>
          <a:picLocks noChangeAspect="1"/>
        </xdr:cNvPicPr>
      </xdr:nvPicPr>
      <xdr:blipFill rotWithShape="1">
        <a:blip xmlns:r="http://schemas.openxmlformats.org/officeDocument/2006/relationships" r:embed="rId2"/>
        <a:srcRect l="10000" r="8947"/>
        <a:stretch/>
      </xdr:blipFill>
      <xdr:spPr>
        <a:xfrm>
          <a:off x="3076575" y="25727025"/>
          <a:ext cx="1669439" cy="1181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102</xdr:row>
      <xdr:rowOff>34925</xdr:rowOff>
    </xdr:from>
    <xdr:to>
      <xdr:col>4</xdr:col>
      <xdr:colOff>1758950</xdr:colOff>
      <xdr:row>105</xdr:row>
      <xdr:rowOff>222250</xdr:rowOff>
    </xdr:to>
    <xdr:pic>
      <xdr:nvPicPr>
        <xdr:cNvPr id="2" name="Picture 1">
          <a:extLst>
            <a:ext uri="{FF2B5EF4-FFF2-40B4-BE49-F238E27FC236}">
              <a16:creationId xmlns:a16="http://schemas.microsoft.com/office/drawing/2014/main" id="{64E3FE1F-9686-49C5-A9E8-B0711F13A6E3}"/>
            </a:ext>
          </a:extLst>
        </xdr:cNvPr>
        <xdr:cNvPicPr>
          <a:picLocks noChangeAspect="1"/>
        </xdr:cNvPicPr>
      </xdr:nvPicPr>
      <xdr:blipFill>
        <a:blip xmlns:r="http://schemas.openxmlformats.org/officeDocument/2006/relationships" r:embed="rId1"/>
        <a:stretch>
          <a:fillRect/>
        </a:stretch>
      </xdr:blipFill>
      <xdr:spPr>
        <a:xfrm>
          <a:off x="7673975" y="20526375"/>
          <a:ext cx="1704975" cy="1330325"/>
        </a:xfrm>
        <a:prstGeom prst="rect">
          <a:avLst/>
        </a:prstGeom>
      </xdr:spPr>
    </xdr:pic>
    <xdr:clientData/>
  </xdr:twoCellAnchor>
  <xdr:twoCellAnchor editAs="oneCell">
    <xdr:from>
      <xdr:col>2</xdr:col>
      <xdr:colOff>25400</xdr:colOff>
      <xdr:row>102</xdr:row>
      <xdr:rowOff>28575</xdr:rowOff>
    </xdr:from>
    <xdr:to>
      <xdr:col>2</xdr:col>
      <xdr:colOff>1939925</xdr:colOff>
      <xdr:row>105</xdr:row>
      <xdr:rowOff>196850</xdr:rowOff>
    </xdr:to>
    <xdr:pic>
      <xdr:nvPicPr>
        <xdr:cNvPr id="3" name="Picture 2">
          <a:extLst>
            <a:ext uri="{FF2B5EF4-FFF2-40B4-BE49-F238E27FC236}">
              <a16:creationId xmlns:a16="http://schemas.microsoft.com/office/drawing/2014/main" id="{B222F596-E756-413F-8685-9FB8369F5E42}"/>
            </a:ext>
          </a:extLst>
        </xdr:cNvPr>
        <xdr:cNvPicPr>
          <a:picLocks noChangeAspect="1"/>
        </xdr:cNvPicPr>
      </xdr:nvPicPr>
      <xdr:blipFill rotWithShape="1">
        <a:blip xmlns:r="http://schemas.openxmlformats.org/officeDocument/2006/relationships" r:embed="rId2"/>
        <a:srcRect l="10000" r="8947"/>
        <a:stretch/>
      </xdr:blipFill>
      <xdr:spPr>
        <a:xfrm>
          <a:off x="3803650" y="20520025"/>
          <a:ext cx="1914525" cy="1311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45</xdr:row>
      <xdr:rowOff>50800</xdr:rowOff>
    </xdr:from>
    <xdr:to>
      <xdr:col>4</xdr:col>
      <xdr:colOff>2054225</xdr:colOff>
      <xdr:row>48</xdr:row>
      <xdr:rowOff>311150</xdr:rowOff>
    </xdr:to>
    <xdr:pic>
      <xdr:nvPicPr>
        <xdr:cNvPr id="2" name="Picture 1">
          <a:extLst>
            <a:ext uri="{FF2B5EF4-FFF2-40B4-BE49-F238E27FC236}">
              <a16:creationId xmlns:a16="http://schemas.microsoft.com/office/drawing/2014/main" id="{540CDFDD-D6B0-4FFE-9427-ACCB1074C4FC}"/>
            </a:ext>
          </a:extLst>
        </xdr:cNvPr>
        <xdr:cNvPicPr>
          <a:picLocks noChangeAspect="1"/>
        </xdr:cNvPicPr>
      </xdr:nvPicPr>
      <xdr:blipFill>
        <a:blip xmlns:r="http://schemas.openxmlformats.org/officeDocument/2006/relationships" r:embed="rId1"/>
        <a:stretch>
          <a:fillRect/>
        </a:stretch>
      </xdr:blipFill>
      <xdr:spPr>
        <a:xfrm>
          <a:off x="7658100" y="9321800"/>
          <a:ext cx="2016125" cy="1581150"/>
        </a:xfrm>
        <a:prstGeom prst="rect">
          <a:avLst/>
        </a:prstGeom>
      </xdr:spPr>
    </xdr:pic>
    <xdr:clientData/>
  </xdr:twoCellAnchor>
  <xdr:twoCellAnchor editAs="oneCell">
    <xdr:from>
      <xdr:col>2</xdr:col>
      <xdr:colOff>69850</xdr:colOff>
      <xdr:row>45</xdr:row>
      <xdr:rowOff>28575</xdr:rowOff>
    </xdr:from>
    <xdr:to>
      <xdr:col>2</xdr:col>
      <xdr:colOff>1901801</xdr:colOff>
      <xdr:row>48</xdr:row>
      <xdr:rowOff>292100</xdr:rowOff>
    </xdr:to>
    <xdr:pic>
      <xdr:nvPicPr>
        <xdr:cNvPr id="3" name="Picture 2">
          <a:extLst>
            <a:ext uri="{FF2B5EF4-FFF2-40B4-BE49-F238E27FC236}">
              <a16:creationId xmlns:a16="http://schemas.microsoft.com/office/drawing/2014/main" id="{62E10DB4-FEA8-4D46-863D-2A146BCEB1DB}"/>
            </a:ext>
          </a:extLst>
        </xdr:cNvPr>
        <xdr:cNvPicPr>
          <a:picLocks noChangeAspect="1"/>
        </xdr:cNvPicPr>
      </xdr:nvPicPr>
      <xdr:blipFill rotWithShape="1">
        <a:blip xmlns:r="http://schemas.openxmlformats.org/officeDocument/2006/relationships" r:embed="rId2"/>
        <a:srcRect l="10000" r="8947"/>
        <a:stretch/>
      </xdr:blipFill>
      <xdr:spPr>
        <a:xfrm>
          <a:off x="3848100" y="9299575"/>
          <a:ext cx="1831951" cy="15843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80</xdr:row>
      <xdr:rowOff>50801</xdr:rowOff>
    </xdr:from>
    <xdr:to>
      <xdr:col>4</xdr:col>
      <xdr:colOff>1920875</xdr:colOff>
      <xdr:row>83</xdr:row>
      <xdr:rowOff>254000</xdr:rowOff>
    </xdr:to>
    <xdr:pic>
      <xdr:nvPicPr>
        <xdr:cNvPr id="2" name="Picture 1">
          <a:extLst>
            <a:ext uri="{FF2B5EF4-FFF2-40B4-BE49-F238E27FC236}">
              <a16:creationId xmlns:a16="http://schemas.microsoft.com/office/drawing/2014/main" id="{D6AC2430-C505-46BA-9D08-DFCD6C1855B4}"/>
            </a:ext>
          </a:extLst>
        </xdr:cNvPr>
        <xdr:cNvPicPr>
          <a:picLocks noChangeAspect="1"/>
        </xdr:cNvPicPr>
      </xdr:nvPicPr>
      <xdr:blipFill>
        <a:blip xmlns:r="http://schemas.openxmlformats.org/officeDocument/2006/relationships" r:embed="rId1"/>
        <a:stretch>
          <a:fillRect/>
        </a:stretch>
      </xdr:blipFill>
      <xdr:spPr>
        <a:xfrm>
          <a:off x="7543800" y="16211551"/>
          <a:ext cx="1882775" cy="1587499"/>
        </a:xfrm>
        <a:prstGeom prst="rect">
          <a:avLst/>
        </a:prstGeom>
      </xdr:spPr>
    </xdr:pic>
    <xdr:clientData/>
  </xdr:twoCellAnchor>
  <xdr:twoCellAnchor editAs="oneCell">
    <xdr:from>
      <xdr:col>2</xdr:col>
      <xdr:colOff>57150</xdr:colOff>
      <xdr:row>80</xdr:row>
      <xdr:rowOff>31751</xdr:rowOff>
    </xdr:from>
    <xdr:to>
      <xdr:col>2</xdr:col>
      <xdr:colOff>1789439</xdr:colOff>
      <xdr:row>83</xdr:row>
      <xdr:rowOff>247650</xdr:rowOff>
    </xdr:to>
    <xdr:pic>
      <xdr:nvPicPr>
        <xdr:cNvPr id="3" name="Picture 2">
          <a:extLst>
            <a:ext uri="{FF2B5EF4-FFF2-40B4-BE49-F238E27FC236}">
              <a16:creationId xmlns:a16="http://schemas.microsoft.com/office/drawing/2014/main" id="{2C3FD5E8-9A2C-455C-97D9-71F27985D63A}"/>
            </a:ext>
          </a:extLst>
        </xdr:cNvPr>
        <xdr:cNvPicPr>
          <a:picLocks noChangeAspect="1"/>
        </xdr:cNvPicPr>
      </xdr:nvPicPr>
      <xdr:blipFill rotWithShape="1">
        <a:blip xmlns:r="http://schemas.openxmlformats.org/officeDocument/2006/relationships" r:embed="rId2"/>
        <a:srcRect l="10000" r="8947"/>
        <a:stretch/>
      </xdr:blipFill>
      <xdr:spPr>
        <a:xfrm>
          <a:off x="3835400" y="16192501"/>
          <a:ext cx="1732289" cy="16001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44450</xdr:colOff>
      <xdr:row>60</xdr:row>
      <xdr:rowOff>50801</xdr:rowOff>
    </xdr:from>
    <xdr:to>
      <xdr:col>4</xdr:col>
      <xdr:colOff>1854200</xdr:colOff>
      <xdr:row>63</xdr:row>
      <xdr:rowOff>254000</xdr:rowOff>
    </xdr:to>
    <xdr:pic>
      <xdr:nvPicPr>
        <xdr:cNvPr id="2" name="Picture 1">
          <a:extLst>
            <a:ext uri="{FF2B5EF4-FFF2-40B4-BE49-F238E27FC236}">
              <a16:creationId xmlns:a16="http://schemas.microsoft.com/office/drawing/2014/main" id="{0D623666-730B-4908-91AA-EB70E8B7CC5A}"/>
            </a:ext>
          </a:extLst>
        </xdr:cNvPr>
        <xdr:cNvPicPr>
          <a:picLocks noChangeAspect="1"/>
        </xdr:cNvPicPr>
      </xdr:nvPicPr>
      <xdr:blipFill>
        <a:blip xmlns:r="http://schemas.openxmlformats.org/officeDocument/2006/relationships" r:embed="rId1"/>
        <a:stretch>
          <a:fillRect/>
        </a:stretch>
      </xdr:blipFill>
      <xdr:spPr>
        <a:xfrm>
          <a:off x="7493000" y="12274551"/>
          <a:ext cx="1809750" cy="1587499"/>
        </a:xfrm>
        <a:prstGeom prst="rect">
          <a:avLst/>
        </a:prstGeom>
      </xdr:spPr>
    </xdr:pic>
    <xdr:clientData/>
  </xdr:twoCellAnchor>
  <xdr:twoCellAnchor editAs="oneCell">
    <xdr:from>
      <xdr:col>2</xdr:col>
      <xdr:colOff>57150</xdr:colOff>
      <xdr:row>60</xdr:row>
      <xdr:rowOff>31751</xdr:rowOff>
    </xdr:from>
    <xdr:to>
      <xdr:col>2</xdr:col>
      <xdr:colOff>1741814</xdr:colOff>
      <xdr:row>63</xdr:row>
      <xdr:rowOff>241300</xdr:rowOff>
    </xdr:to>
    <xdr:pic>
      <xdr:nvPicPr>
        <xdr:cNvPr id="3" name="Picture 2">
          <a:extLst>
            <a:ext uri="{FF2B5EF4-FFF2-40B4-BE49-F238E27FC236}">
              <a16:creationId xmlns:a16="http://schemas.microsoft.com/office/drawing/2014/main" id="{C109ED5B-B198-40D5-8E0F-AF2AAB383829}"/>
            </a:ext>
          </a:extLst>
        </xdr:cNvPr>
        <xdr:cNvPicPr>
          <a:picLocks noChangeAspect="1"/>
        </xdr:cNvPicPr>
      </xdr:nvPicPr>
      <xdr:blipFill rotWithShape="1">
        <a:blip xmlns:r="http://schemas.openxmlformats.org/officeDocument/2006/relationships" r:embed="rId2"/>
        <a:srcRect l="10000" r="8947"/>
        <a:stretch/>
      </xdr:blipFill>
      <xdr:spPr>
        <a:xfrm>
          <a:off x="3835400" y="12255501"/>
          <a:ext cx="1684664" cy="1593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57150</xdr:colOff>
      <xdr:row>40</xdr:row>
      <xdr:rowOff>50801</xdr:rowOff>
    </xdr:from>
    <xdr:to>
      <xdr:col>4</xdr:col>
      <xdr:colOff>1863725</xdr:colOff>
      <xdr:row>43</xdr:row>
      <xdr:rowOff>241300</xdr:rowOff>
    </xdr:to>
    <xdr:pic>
      <xdr:nvPicPr>
        <xdr:cNvPr id="2" name="Picture 1">
          <a:extLst>
            <a:ext uri="{FF2B5EF4-FFF2-40B4-BE49-F238E27FC236}">
              <a16:creationId xmlns:a16="http://schemas.microsoft.com/office/drawing/2014/main" id="{9E9CD835-E059-479C-B89D-4CB1421C1376}"/>
            </a:ext>
          </a:extLst>
        </xdr:cNvPr>
        <xdr:cNvPicPr>
          <a:picLocks noChangeAspect="1"/>
        </xdr:cNvPicPr>
      </xdr:nvPicPr>
      <xdr:blipFill>
        <a:blip xmlns:r="http://schemas.openxmlformats.org/officeDocument/2006/relationships" r:embed="rId1"/>
        <a:stretch>
          <a:fillRect/>
        </a:stretch>
      </xdr:blipFill>
      <xdr:spPr>
        <a:xfrm>
          <a:off x="7499350" y="8337551"/>
          <a:ext cx="1806575" cy="1574799"/>
        </a:xfrm>
        <a:prstGeom prst="rect">
          <a:avLst/>
        </a:prstGeom>
      </xdr:spPr>
    </xdr:pic>
    <xdr:clientData/>
  </xdr:twoCellAnchor>
  <xdr:twoCellAnchor editAs="oneCell">
    <xdr:from>
      <xdr:col>2</xdr:col>
      <xdr:colOff>57150</xdr:colOff>
      <xdr:row>40</xdr:row>
      <xdr:rowOff>31751</xdr:rowOff>
    </xdr:from>
    <xdr:to>
      <xdr:col>2</xdr:col>
      <xdr:colOff>1741814</xdr:colOff>
      <xdr:row>43</xdr:row>
      <xdr:rowOff>273050</xdr:rowOff>
    </xdr:to>
    <xdr:pic>
      <xdr:nvPicPr>
        <xdr:cNvPr id="3" name="Picture 2">
          <a:extLst>
            <a:ext uri="{FF2B5EF4-FFF2-40B4-BE49-F238E27FC236}">
              <a16:creationId xmlns:a16="http://schemas.microsoft.com/office/drawing/2014/main" id="{8D4FB152-AB9E-4F2F-BF04-E37AAAE44580}"/>
            </a:ext>
          </a:extLst>
        </xdr:cNvPr>
        <xdr:cNvPicPr>
          <a:picLocks noChangeAspect="1"/>
        </xdr:cNvPicPr>
      </xdr:nvPicPr>
      <xdr:blipFill rotWithShape="1">
        <a:blip xmlns:r="http://schemas.openxmlformats.org/officeDocument/2006/relationships" r:embed="rId2"/>
        <a:srcRect l="10000" r="8947"/>
        <a:stretch/>
      </xdr:blipFill>
      <xdr:spPr>
        <a:xfrm>
          <a:off x="3835400" y="8318501"/>
          <a:ext cx="1684664" cy="16255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25400</xdr:colOff>
      <xdr:row>76</xdr:row>
      <xdr:rowOff>50801</xdr:rowOff>
    </xdr:from>
    <xdr:to>
      <xdr:col>4</xdr:col>
      <xdr:colOff>1863725</xdr:colOff>
      <xdr:row>79</xdr:row>
      <xdr:rowOff>254000</xdr:rowOff>
    </xdr:to>
    <xdr:pic>
      <xdr:nvPicPr>
        <xdr:cNvPr id="2" name="Picture 1">
          <a:extLst>
            <a:ext uri="{FF2B5EF4-FFF2-40B4-BE49-F238E27FC236}">
              <a16:creationId xmlns:a16="http://schemas.microsoft.com/office/drawing/2014/main" id="{5BCB1AB2-4E6F-4B1C-B52A-C90299A1542C}"/>
            </a:ext>
          </a:extLst>
        </xdr:cNvPr>
        <xdr:cNvPicPr>
          <a:picLocks noChangeAspect="1"/>
        </xdr:cNvPicPr>
      </xdr:nvPicPr>
      <xdr:blipFill>
        <a:blip xmlns:r="http://schemas.openxmlformats.org/officeDocument/2006/relationships" r:embed="rId1"/>
        <a:stretch>
          <a:fillRect/>
        </a:stretch>
      </xdr:blipFill>
      <xdr:spPr>
        <a:xfrm>
          <a:off x="7499350" y="15424151"/>
          <a:ext cx="1838325" cy="1587499"/>
        </a:xfrm>
        <a:prstGeom prst="rect">
          <a:avLst/>
        </a:prstGeom>
      </xdr:spPr>
    </xdr:pic>
    <xdr:clientData/>
  </xdr:twoCellAnchor>
  <xdr:twoCellAnchor editAs="oneCell">
    <xdr:from>
      <xdr:col>2</xdr:col>
      <xdr:colOff>57150</xdr:colOff>
      <xdr:row>76</xdr:row>
      <xdr:rowOff>31751</xdr:rowOff>
    </xdr:from>
    <xdr:to>
      <xdr:col>2</xdr:col>
      <xdr:colOff>1760864</xdr:colOff>
      <xdr:row>79</xdr:row>
      <xdr:rowOff>241300</xdr:rowOff>
    </xdr:to>
    <xdr:pic>
      <xdr:nvPicPr>
        <xdr:cNvPr id="3" name="Picture 2">
          <a:extLst>
            <a:ext uri="{FF2B5EF4-FFF2-40B4-BE49-F238E27FC236}">
              <a16:creationId xmlns:a16="http://schemas.microsoft.com/office/drawing/2014/main" id="{5487170A-91D3-49FF-B97D-EBBF67D28BE7}"/>
            </a:ext>
          </a:extLst>
        </xdr:cNvPr>
        <xdr:cNvPicPr>
          <a:picLocks noChangeAspect="1"/>
        </xdr:cNvPicPr>
      </xdr:nvPicPr>
      <xdr:blipFill rotWithShape="1">
        <a:blip xmlns:r="http://schemas.openxmlformats.org/officeDocument/2006/relationships" r:embed="rId2"/>
        <a:srcRect l="10000" r="8947"/>
        <a:stretch/>
      </xdr:blipFill>
      <xdr:spPr>
        <a:xfrm>
          <a:off x="3835400" y="15405101"/>
          <a:ext cx="1703714" cy="15938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95</xdr:row>
      <xdr:rowOff>25400</xdr:rowOff>
    </xdr:from>
    <xdr:to>
      <xdr:col>2</xdr:col>
      <xdr:colOff>1885950</xdr:colOff>
      <xdr:row>98</xdr:row>
      <xdr:rowOff>254000</xdr:rowOff>
    </xdr:to>
    <xdr:pic>
      <xdr:nvPicPr>
        <xdr:cNvPr id="2" name="Picture 1">
          <a:extLst>
            <a:ext uri="{FF2B5EF4-FFF2-40B4-BE49-F238E27FC236}">
              <a16:creationId xmlns:a16="http://schemas.microsoft.com/office/drawing/2014/main" id="{ADAF555B-965E-47B1-A83C-A7F564582DFA}"/>
            </a:ext>
          </a:extLst>
        </xdr:cNvPr>
        <xdr:cNvPicPr>
          <a:picLocks noChangeAspect="1"/>
        </xdr:cNvPicPr>
      </xdr:nvPicPr>
      <xdr:blipFill rotWithShape="1">
        <a:blip xmlns:r="http://schemas.openxmlformats.org/officeDocument/2006/relationships" r:embed="rId1"/>
        <a:srcRect l="9732" t="2084" r="9305" b="2765"/>
        <a:stretch/>
      </xdr:blipFill>
      <xdr:spPr>
        <a:xfrm>
          <a:off x="3200400" y="19138900"/>
          <a:ext cx="1847850" cy="1612900"/>
        </a:xfrm>
        <a:prstGeom prst="rect">
          <a:avLst/>
        </a:prstGeom>
      </xdr:spPr>
    </xdr:pic>
    <xdr:clientData/>
  </xdr:twoCellAnchor>
  <xdr:twoCellAnchor editAs="oneCell">
    <xdr:from>
      <xdr:col>4</xdr:col>
      <xdr:colOff>38100</xdr:colOff>
      <xdr:row>95</xdr:row>
      <xdr:rowOff>57150</xdr:rowOff>
    </xdr:from>
    <xdr:to>
      <xdr:col>4</xdr:col>
      <xdr:colOff>1638300</xdr:colOff>
      <xdr:row>98</xdr:row>
      <xdr:rowOff>241300</xdr:rowOff>
    </xdr:to>
    <xdr:pic>
      <xdr:nvPicPr>
        <xdr:cNvPr id="3" name="Picture 2">
          <a:extLst>
            <a:ext uri="{FF2B5EF4-FFF2-40B4-BE49-F238E27FC236}">
              <a16:creationId xmlns:a16="http://schemas.microsoft.com/office/drawing/2014/main" id="{AD047FEA-A77B-4D2E-99FC-78178E16ECFF}"/>
            </a:ext>
          </a:extLst>
        </xdr:cNvPr>
        <xdr:cNvPicPr>
          <a:picLocks noChangeAspect="1"/>
        </xdr:cNvPicPr>
      </xdr:nvPicPr>
      <xdr:blipFill>
        <a:blip xmlns:r="http://schemas.openxmlformats.org/officeDocument/2006/relationships" r:embed="rId2"/>
        <a:stretch>
          <a:fillRect/>
        </a:stretch>
      </xdr:blipFill>
      <xdr:spPr>
        <a:xfrm>
          <a:off x="7505700" y="19170650"/>
          <a:ext cx="1600200" cy="15684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25401</xdr:colOff>
      <xdr:row>90</xdr:row>
      <xdr:rowOff>47627</xdr:rowOff>
    </xdr:from>
    <xdr:to>
      <xdr:col>4</xdr:col>
      <xdr:colOff>1989407</xdr:colOff>
      <xdr:row>93</xdr:row>
      <xdr:rowOff>330200</xdr:rowOff>
    </xdr:to>
    <xdr:pic>
      <xdr:nvPicPr>
        <xdr:cNvPr id="2" name="Picture 1">
          <a:extLst>
            <a:ext uri="{FF2B5EF4-FFF2-40B4-BE49-F238E27FC236}">
              <a16:creationId xmlns:a16="http://schemas.microsoft.com/office/drawing/2014/main" id="{1622F128-94D6-4C8F-A723-2145B99FDBFB}"/>
            </a:ext>
          </a:extLst>
        </xdr:cNvPr>
        <xdr:cNvPicPr>
          <a:picLocks noChangeAspect="1"/>
        </xdr:cNvPicPr>
      </xdr:nvPicPr>
      <xdr:blipFill>
        <a:blip xmlns:r="http://schemas.openxmlformats.org/officeDocument/2006/relationships" r:embed="rId1"/>
        <a:stretch>
          <a:fillRect/>
        </a:stretch>
      </xdr:blipFill>
      <xdr:spPr>
        <a:xfrm>
          <a:off x="7588251" y="18176877"/>
          <a:ext cx="1964006" cy="1590673"/>
        </a:xfrm>
        <a:prstGeom prst="rect">
          <a:avLst/>
        </a:prstGeom>
      </xdr:spPr>
    </xdr:pic>
    <xdr:clientData/>
  </xdr:twoCellAnchor>
  <xdr:twoCellAnchor editAs="oneCell">
    <xdr:from>
      <xdr:col>2</xdr:col>
      <xdr:colOff>25400</xdr:colOff>
      <xdr:row>90</xdr:row>
      <xdr:rowOff>57150</xdr:rowOff>
    </xdr:from>
    <xdr:to>
      <xdr:col>2</xdr:col>
      <xdr:colOff>1882775</xdr:colOff>
      <xdr:row>93</xdr:row>
      <xdr:rowOff>311150</xdr:rowOff>
    </xdr:to>
    <xdr:pic>
      <xdr:nvPicPr>
        <xdr:cNvPr id="3" name="Picture 2">
          <a:extLst>
            <a:ext uri="{FF2B5EF4-FFF2-40B4-BE49-F238E27FC236}">
              <a16:creationId xmlns:a16="http://schemas.microsoft.com/office/drawing/2014/main" id="{5C97EE56-A442-4017-9A3F-9C34487D5BB4}"/>
            </a:ext>
          </a:extLst>
        </xdr:cNvPr>
        <xdr:cNvPicPr>
          <a:picLocks noChangeAspect="1"/>
        </xdr:cNvPicPr>
      </xdr:nvPicPr>
      <xdr:blipFill rotWithShape="1">
        <a:blip xmlns:r="http://schemas.openxmlformats.org/officeDocument/2006/relationships" r:embed="rId2"/>
        <a:srcRect l="10000" r="8947"/>
        <a:stretch/>
      </xdr:blipFill>
      <xdr:spPr>
        <a:xfrm>
          <a:off x="3803650" y="18186400"/>
          <a:ext cx="1857375" cy="15621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44450</xdr:colOff>
      <xdr:row>81</xdr:row>
      <xdr:rowOff>50801</xdr:rowOff>
    </xdr:from>
    <xdr:to>
      <xdr:col>4</xdr:col>
      <xdr:colOff>1873250</xdr:colOff>
      <xdr:row>84</xdr:row>
      <xdr:rowOff>254000</xdr:rowOff>
    </xdr:to>
    <xdr:pic>
      <xdr:nvPicPr>
        <xdr:cNvPr id="2" name="Picture 1">
          <a:extLst>
            <a:ext uri="{FF2B5EF4-FFF2-40B4-BE49-F238E27FC236}">
              <a16:creationId xmlns:a16="http://schemas.microsoft.com/office/drawing/2014/main" id="{20A203A8-5F97-4911-94C6-34A708EE0365}"/>
            </a:ext>
          </a:extLst>
        </xdr:cNvPr>
        <xdr:cNvPicPr>
          <a:picLocks noChangeAspect="1"/>
        </xdr:cNvPicPr>
      </xdr:nvPicPr>
      <xdr:blipFill>
        <a:blip xmlns:r="http://schemas.openxmlformats.org/officeDocument/2006/relationships" r:embed="rId1"/>
        <a:stretch>
          <a:fillRect/>
        </a:stretch>
      </xdr:blipFill>
      <xdr:spPr>
        <a:xfrm>
          <a:off x="7505700" y="16408401"/>
          <a:ext cx="1828800" cy="1587499"/>
        </a:xfrm>
        <a:prstGeom prst="rect">
          <a:avLst/>
        </a:prstGeom>
      </xdr:spPr>
    </xdr:pic>
    <xdr:clientData/>
  </xdr:twoCellAnchor>
  <xdr:twoCellAnchor editAs="oneCell">
    <xdr:from>
      <xdr:col>2</xdr:col>
      <xdr:colOff>57150</xdr:colOff>
      <xdr:row>81</xdr:row>
      <xdr:rowOff>31751</xdr:rowOff>
    </xdr:from>
    <xdr:to>
      <xdr:col>2</xdr:col>
      <xdr:colOff>1741814</xdr:colOff>
      <xdr:row>84</xdr:row>
      <xdr:rowOff>234950</xdr:rowOff>
    </xdr:to>
    <xdr:pic>
      <xdr:nvPicPr>
        <xdr:cNvPr id="3" name="Picture 2">
          <a:extLst>
            <a:ext uri="{FF2B5EF4-FFF2-40B4-BE49-F238E27FC236}">
              <a16:creationId xmlns:a16="http://schemas.microsoft.com/office/drawing/2014/main" id="{F1AE0D68-1F98-4CE7-BAED-F46469874F78}"/>
            </a:ext>
          </a:extLst>
        </xdr:cNvPr>
        <xdr:cNvPicPr>
          <a:picLocks noChangeAspect="1"/>
        </xdr:cNvPicPr>
      </xdr:nvPicPr>
      <xdr:blipFill rotWithShape="1">
        <a:blip xmlns:r="http://schemas.openxmlformats.org/officeDocument/2006/relationships" r:embed="rId2"/>
        <a:srcRect l="10000" r="8947"/>
        <a:stretch/>
      </xdr:blipFill>
      <xdr:spPr>
        <a:xfrm>
          <a:off x="3835400" y="16389351"/>
          <a:ext cx="1684664" cy="15874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31750</xdr:colOff>
      <xdr:row>50</xdr:row>
      <xdr:rowOff>50801</xdr:rowOff>
    </xdr:from>
    <xdr:to>
      <xdr:col>4</xdr:col>
      <xdr:colOff>1873250</xdr:colOff>
      <xdr:row>53</xdr:row>
      <xdr:rowOff>266700</xdr:rowOff>
    </xdr:to>
    <xdr:pic>
      <xdr:nvPicPr>
        <xdr:cNvPr id="2" name="Picture 1">
          <a:extLst>
            <a:ext uri="{FF2B5EF4-FFF2-40B4-BE49-F238E27FC236}">
              <a16:creationId xmlns:a16="http://schemas.microsoft.com/office/drawing/2014/main" id="{F85DCED2-ADDB-4B78-837D-BEC769EA69D2}"/>
            </a:ext>
          </a:extLst>
        </xdr:cNvPr>
        <xdr:cNvPicPr>
          <a:picLocks noChangeAspect="1"/>
        </xdr:cNvPicPr>
      </xdr:nvPicPr>
      <xdr:blipFill>
        <a:blip xmlns:r="http://schemas.openxmlformats.org/officeDocument/2006/relationships" r:embed="rId1"/>
        <a:stretch>
          <a:fillRect/>
        </a:stretch>
      </xdr:blipFill>
      <xdr:spPr>
        <a:xfrm>
          <a:off x="7493000" y="10306051"/>
          <a:ext cx="1841500" cy="1600199"/>
        </a:xfrm>
        <a:prstGeom prst="rect">
          <a:avLst/>
        </a:prstGeom>
      </xdr:spPr>
    </xdr:pic>
    <xdr:clientData/>
  </xdr:twoCellAnchor>
  <xdr:twoCellAnchor editAs="oneCell">
    <xdr:from>
      <xdr:col>2</xdr:col>
      <xdr:colOff>57150</xdr:colOff>
      <xdr:row>50</xdr:row>
      <xdr:rowOff>31751</xdr:rowOff>
    </xdr:from>
    <xdr:to>
      <xdr:col>2</xdr:col>
      <xdr:colOff>1713239</xdr:colOff>
      <xdr:row>53</xdr:row>
      <xdr:rowOff>254000</xdr:rowOff>
    </xdr:to>
    <xdr:pic>
      <xdr:nvPicPr>
        <xdr:cNvPr id="3" name="Picture 2">
          <a:extLst>
            <a:ext uri="{FF2B5EF4-FFF2-40B4-BE49-F238E27FC236}">
              <a16:creationId xmlns:a16="http://schemas.microsoft.com/office/drawing/2014/main" id="{AB797BFC-88F4-4B2F-8D8B-0178A5B8DC57}"/>
            </a:ext>
          </a:extLst>
        </xdr:cNvPr>
        <xdr:cNvPicPr>
          <a:picLocks noChangeAspect="1"/>
        </xdr:cNvPicPr>
      </xdr:nvPicPr>
      <xdr:blipFill rotWithShape="1">
        <a:blip xmlns:r="http://schemas.openxmlformats.org/officeDocument/2006/relationships" r:embed="rId2"/>
        <a:srcRect l="10000" r="8947"/>
        <a:stretch/>
      </xdr:blipFill>
      <xdr:spPr>
        <a:xfrm>
          <a:off x="3835400" y="10287001"/>
          <a:ext cx="1656089" cy="160654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22</xdr:row>
      <xdr:rowOff>38101</xdr:rowOff>
    </xdr:from>
    <xdr:to>
      <xdr:col>2</xdr:col>
      <xdr:colOff>1803400</xdr:colOff>
      <xdr:row>25</xdr:row>
      <xdr:rowOff>260350</xdr:rowOff>
    </xdr:to>
    <xdr:pic>
      <xdr:nvPicPr>
        <xdr:cNvPr id="2" name="Picture 1">
          <a:extLst>
            <a:ext uri="{FF2B5EF4-FFF2-40B4-BE49-F238E27FC236}">
              <a16:creationId xmlns:a16="http://schemas.microsoft.com/office/drawing/2014/main" id="{3A2337BA-E5E3-4B22-9D0C-8EC5D7EDC5B7}"/>
            </a:ext>
          </a:extLst>
        </xdr:cNvPr>
        <xdr:cNvPicPr>
          <a:picLocks noChangeAspect="1"/>
        </xdr:cNvPicPr>
      </xdr:nvPicPr>
      <xdr:blipFill rotWithShape="1">
        <a:blip xmlns:r="http://schemas.openxmlformats.org/officeDocument/2006/relationships" r:embed="rId1"/>
        <a:srcRect l="9939" t="2788" r="8892" b="2091"/>
        <a:stretch/>
      </xdr:blipFill>
      <xdr:spPr>
        <a:xfrm>
          <a:off x="3835400" y="4781551"/>
          <a:ext cx="1746250" cy="1606549"/>
        </a:xfrm>
        <a:prstGeom prst="rect">
          <a:avLst/>
        </a:prstGeom>
      </xdr:spPr>
    </xdr:pic>
    <xdr:clientData/>
  </xdr:twoCellAnchor>
  <xdr:twoCellAnchor editAs="oneCell">
    <xdr:from>
      <xdr:col>4</xdr:col>
      <xdr:colOff>38100</xdr:colOff>
      <xdr:row>22</xdr:row>
      <xdr:rowOff>19050</xdr:rowOff>
    </xdr:from>
    <xdr:to>
      <xdr:col>4</xdr:col>
      <xdr:colOff>1892300</xdr:colOff>
      <xdr:row>25</xdr:row>
      <xdr:rowOff>260350</xdr:rowOff>
    </xdr:to>
    <xdr:pic>
      <xdr:nvPicPr>
        <xdr:cNvPr id="3" name="Picture 2">
          <a:extLst>
            <a:ext uri="{FF2B5EF4-FFF2-40B4-BE49-F238E27FC236}">
              <a16:creationId xmlns:a16="http://schemas.microsoft.com/office/drawing/2014/main" id="{1FA4D4B2-6F69-474E-BE5B-B703BF53A32C}"/>
            </a:ext>
          </a:extLst>
        </xdr:cNvPr>
        <xdr:cNvPicPr>
          <a:picLocks noChangeAspect="1"/>
        </xdr:cNvPicPr>
      </xdr:nvPicPr>
      <xdr:blipFill>
        <a:blip xmlns:r="http://schemas.openxmlformats.org/officeDocument/2006/relationships" r:embed="rId2"/>
        <a:stretch>
          <a:fillRect/>
        </a:stretch>
      </xdr:blipFill>
      <xdr:spPr>
        <a:xfrm>
          <a:off x="7531100" y="4762500"/>
          <a:ext cx="1854200" cy="1625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123826</xdr:colOff>
      <xdr:row>23</xdr:row>
      <xdr:rowOff>94040</xdr:rowOff>
    </xdr:from>
    <xdr:to>
      <xdr:col>4</xdr:col>
      <xdr:colOff>1685926</xdr:colOff>
      <xdr:row>24</xdr:row>
      <xdr:rowOff>485775</xdr:rowOff>
    </xdr:to>
    <xdr:pic>
      <xdr:nvPicPr>
        <xdr:cNvPr id="2" name="Picture 1">
          <a:extLst>
            <a:ext uri="{FF2B5EF4-FFF2-40B4-BE49-F238E27FC236}">
              <a16:creationId xmlns:a16="http://schemas.microsoft.com/office/drawing/2014/main" id="{546C6068-05F9-4B5F-91DB-710F0FEFC886}"/>
            </a:ext>
          </a:extLst>
        </xdr:cNvPr>
        <xdr:cNvPicPr>
          <a:picLocks noChangeAspect="1"/>
        </xdr:cNvPicPr>
      </xdr:nvPicPr>
      <xdr:blipFill>
        <a:blip xmlns:r="http://schemas.openxmlformats.org/officeDocument/2006/relationships" r:embed="rId1"/>
        <a:stretch>
          <a:fillRect/>
        </a:stretch>
      </xdr:blipFill>
      <xdr:spPr>
        <a:xfrm>
          <a:off x="7258051" y="5275640"/>
          <a:ext cx="1562100" cy="896560"/>
        </a:xfrm>
        <a:prstGeom prst="rect">
          <a:avLst/>
        </a:prstGeom>
      </xdr:spPr>
    </xdr:pic>
    <xdr:clientData/>
  </xdr:twoCellAnchor>
  <xdr:twoCellAnchor editAs="oneCell">
    <xdr:from>
      <xdr:col>2</xdr:col>
      <xdr:colOff>47625</xdr:colOff>
      <xdr:row>22</xdr:row>
      <xdr:rowOff>323850</xdr:rowOff>
    </xdr:from>
    <xdr:to>
      <xdr:col>2</xdr:col>
      <xdr:colOff>1709127</xdr:colOff>
      <xdr:row>25</xdr:row>
      <xdr:rowOff>99842</xdr:rowOff>
    </xdr:to>
    <xdr:pic>
      <xdr:nvPicPr>
        <xdr:cNvPr id="3" name="Picture 2">
          <a:extLst>
            <a:ext uri="{FF2B5EF4-FFF2-40B4-BE49-F238E27FC236}">
              <a16:creationId xmlns:a16="http://schemas.microsoft.com/office/drawing/2014/main" id="{EECB4D57-FBC0-485A-8183-67C48F6205A4}"/>
            </a:ext>
          </a:extLst>
        </xdr:cNvPr>
        <xdr:cNvPicPr>
          <a:picLocks noChangeAspect="1"/>
        </xdr:cNvPicPr>
      </xdr:nvPicPr>
      <xdr:blipFill rotWithShape="1">
        <a:blip xmlns:r="http://schemas.openxmlformats.org/officeDocument/2006/relationships" r:embed="rId2"/>
        <a:srcRect l="9939" t="2788" r="8892" b="2091"/>
        <a:stretch/>
      </xdr:blipFill>
      <xdr:spPr>
        <a:xfrm>
          <a:off x="3648075" y="5133975"/>
          <a:ext cx="1661502" cy="115711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44094</xdr:colOff>
      <xdr:row>85</xdr:row>
      <xdr:rowOff>25400</xdr:rowOff>
    </xdr:from>
    <xdr:to>
      <xdr:col>4</xdr:col>
      <xdr:colOff>2432050</xdr:colOff>
      <xdr:row>88</xdr:row>
      <xdr:rowOff>323850</xdr:rowOff>
    </xdr:to>
    <xdr:pic>
      <xdr:nvPicPr>
        <xdr:cNvPr id="2" name="Picture 1">
          <a:extLst>
            <a:ext uri="{FF2B5EF4-FFF2-40B4-BE49-F238E27FC236}">
              <a16:creationId xmlns:a16="http://schemas.microsoft.com/office/drawing/2014/main" id="{796E3DB0-5E06-4E21-888A-7347D35EB072}"/>
            </a:ext>
          </a:extLst>
        </xdr:cNvPr>
        <xdr:cNvPicPr>
          <a:picLocks noChangeAspect="1"/>
        </xdr:cNvPicPr>
      </xdr:nvPicPr>
      <xdr:blipFill>
        <a:blip xmlns:r="http://schemas.openxmlformats.org/officeDocument/2006/relationships" r:embed="rId1"/>
        <a:stretch>
          <a:fillRect/>
        </a:stretch>
      </xdr:blipFill>
      <xdr:spPr>
        <a:xfrm>
          <a:off x="7511694" y="17170400"/>
          <a:ext cx="2387956" cy="1663700"/>
        </a:xfrm>
        <a:prstGeom prst="rect">
          <a:avLst/>
        </a:prstGeom>
      </xdr:spPr>
    </xdr:pic>
    <xdr:clientData/>
  </xdr:twoCellAnchor>
  <xdr:twoCellAnchor editAs="oneCell">
    <xdr:from>
      <xdr:col>2</xdr:col>
      <xdr:colOff>22225</xdr:colOff>
      <xdr:row>85</xdr:row>
      <xdr:rowOff>15875</xdr:rowOff>
    </xdr:from>
    <xdr:to>
      <xdr:col>2</xdr:col>
      <xdr:colOff>1758950</xdr:colOff>
      <xdr:row>88</xdr:row>
      <xdr:rowOff>317500</xdr:rowOff>
    </xdr:to>
    <xdr:pic>
      <xdr:nvPicPr>
        <xdr:cNvPr id="3" name="Picture 2">
          <a:extLst>
            <a:ext uri="{FF2B5EF4-FFF2-40B4-BE49-F238E27FC236}">
              <a16:creationId xmlns:a16="http://schemas.microsoft.com/office/drawing/2014/main" id="{CE72E243-66AB-45E0-815B-2CEF5716A25C}"/>
            </a:ext>
          </a:extLst>
        </xdr:cNvPr>
        <xdr:cNvPicPr>
          <a:picLocks noChangeAspect="1"/>
        </xdr:cNvPicPr>
      </xdr:nvPicPr>
      <xdr:blipFill rotWithShape="1">
        <a:blip xmlns:r="http://schemas.openxmlformats.org/officeDocument/2006/relationships" r:embed="rId2"/>
        <a:srcRect l="10000" r="8947"/>
        <a:stretch/>
      </xdr:blipFill>
      <xdr:spPr>
        <a:xfrm>
          <a:off x="3800475" y="17160875"/>
          <a:ext cx="1736725" cy="16668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47625</xdr:colOff>
      <xdr:row>66</xdr:row>
      <xdr:rowOff>31751</xdr:rowOff>
    </xdr:from>
    <xdr:to>
      <xdr:col>4</xdr:col>
      <xdr:colOff>2082800</xdr:colOff>
      <xdr:row>69</xdr:row>
      <xdr:rowOff>311150</xdr:rowOff>
    </xdr:to>
    <xdr:pic>
      <xdr:nvPicPr>
        <xdr:cNvPr id="2" name="Picture 1">
          <a:extLst>
            <a:ext uri="{FF2B5EF4-FFF2-40B4-BE49-F238E27FC236}">
              <a16:creationId xmlns:a16="http://schemas.microsoft.com/office/drawing/2014/main" id="{5E565003-E6CF-41DD-B41F-34C064CF2648}"/>
            </a:ext>
          </a:extLst>
        </xdr:cNvPr>
        <xdr:cNvPicPr>
          <a:picLocks noChangeAspect="1"/>
        </xdr:cNvPicPr>
      </xdr:nvPicPr>
      <xdr:blipFill>
        <a:blip xmlns:r="http://schemas.openxmlformats.org/officeDocument/2006/relationships" r:embed="rId1"/>
        <a:stretch>
          <a:fillRect/>
        </a:stretch>
      </xdr:blipFill>
      <xdr:spPr>
        <a:xfrm>
          <a:off x="7527925" y="13436601"/>
          <a:ext cx="2035175" cy="1492249"/>
        </a:xfrm>
        <a:prstGeom prst="rect">
          <a:avLst/>
        </a:prstGeom>
      </xdr:spPr>
    </xdr:pic>
    <xdr:clientData/>
  </xdr:twoCellAnchor>
  <xdr:twoCellAnchor editAs="oneCell">
    <xdr:from>
      <xdr:col>2</xdr:col>
      <xdr:colOff>50800</xdr:colOff>
      <xdr:row>66</xdr:row>
      <xdr:rowOff>44451</xdr:rowOff>
    </xdr:from>
    <xdr:to>
      <xdr:col>2</xdr:col>
      <xdr:colOff>1807046</xdr:colOff>
      <xdr:row>69</xdr:row>
      <xdr:rowOff>317500</xdr:rowOff>
    </xdr:to>
    <xdr:pic>
      <xdr:nvPicPr>
        <xdr:cNvPr id="3" name="Picture 2">
          <a:extLst>
            <a:ext uri="{FF2B5EF4-FFF2-40B4-BE49-F238E27FC236}">
              <a16:creationId xmlns:a16="http://schemas.microsoft.com/office/drawing/2014/main" id="{C82903D4-64BD-4265-9BE4-56B143BB9CCC}"/>
            </a:ext>
          </a:extLst>
        </xdr:cNvPr>
        <xdr:cNvPicPr>
          <a:picLocks noChangeAspect="1"/>
        </xdr:cNvPicPr>
      </xdr:nvPicPr>
      <xdr:blipFill rotWithShape="1">
        <a:blip xmlns:r="http://schemas.openxmlformats.org/officeDocument/2006/relationships" r:embed="rId2"/>
        <a:srcRect l="10000" r="8947"/>
        <a:stretch/>
      </xdr:blipFill>
      <xdr:spPr>
        <a:xfrm>
          <a:off x="3829050" y="13449301"/>
          <a:ext cx="1756246" cy="14858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2111375</xdr:colOff>
      <xdr:row>75</xdr:row>
      <xdr:rowOff>222250</xdr:rowOff>
    </xdr:to>
    <xdr:pic>
      <xdr:nvPicPr>
        <xdr:cNvPr id="2" name="Picture 1">
          <a:extLst>
            <a:ext uri="{FF2B5EF4-FFF2-40B4-BE49-F238E27FC236}">
              <a16:creationId xmlns:a16="http://schemas.microsoft.com/office/drawing/2014/main" id="{81DC68DE-CDA1-4C1B-AC59-75D6D1496F03}"/>
            </a:ext>
          </a:extLst>
        </xdr:cNvPr>
        <xdr:cNvPicPr>
          <a:picLocks noChangeAspect="1"/>
        </xdr:cNvPicPr>
      </xdr:nvPicPr>
      <xdr:blipFill>
        <a:blip xmlns:r="http://schemas.openxmlformats.org/officeDocument/2006/relationships" r:embed="rId1"/>
        <a:stretch>
          <a:fillRect/>
        </a:stretch>
      </xdr:blipFill>
      <xdr:spPr>
        <a:xfrm>
          <a:off x="7664450" y="14595475"/>
          <a:ext cx="2060575" cy="147002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260350</xdr:rowOff>
    </xdr:to>
    <xdr:pic>
      <xdr:nvPicPr>
        <xdr:cNvPr id="3" name="Picture 2">
          <a:extLst>
            <a:ext uri="{FF2B5EF4-FFF2-40B4-BE49-F238E27FC236}">
              <a16:creationId xmlns:a16="http://schemas.microsoft.com/office/drawing/2014/main" id="{9D15B1A1-8EDA-461D-86A7-2528C2DCC96C}"/>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827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1854200</xdr:colOff>
      <xdr:row>55</xdr:row>
      <xdr:rowOff>330200</xdr:rowOff>
    </xdr:to>
    <xdr:pic>
      <xdr:nvPicPr>
        <xdr:cNvPr id="2" name="Picture 1">
          <a:extLst>
            <a:ext uri="{FF2B5EF4-FFF2-40B4-BE49-F238E27FC236}">
              <a16:creationId xmlns:a16="http://schemas.microsoft.com/office/drawing/2014/main" id="{50B5779B-1FF9-4958-B145-D7F267C30D13}"/>
            </a:ext>
          </a:extLst>
        </xdr:cNvPr>
        <xdr:cNvPicPr>
          <a:picLocks noChangeAspect="1"/>
        </xdr:cNvPicPr>
      </xdr:nvPicPr>
      <xdr:blipFill>
        <a:blip xmlns:r="http://schemas.openxmlformats.org/officeDocument/2006/relationships" r:embed="rId1"/>
        <a:stretch>
          <a:fillRect/>
        </a:stretch>
      </xdr:blipFill>
      <xdr:spPr>
        <a:xfrm>
          <a:off x="7489826" y="10677525"/>
          <a:ext cx="1787524" cy="1425575"/>
        </a:xfrm>
        <a:prstGeom prst="rect">
          <a:avLst/>
        </a:prstGeom>
      </xdr:spPr>
    </xdr:pic>
    <xdr:clientData/>
  </xdr:twoCellAnchor>
  <xdr:twoCellAnchor editAs="oneCell">
    <xdr:from>
      <xdr:col>2</xdr:col>
      <xdr:colOff>66675</xdr:colOff>
      <xdr:row>52</xdr:row>
      <xdr:rowOff>19051</xdr:rowOff>
    </xdr:from>
    <xdr:to>
      <xdr:col>2</xdr:col>
      <xdr:colOff>1708150</xdr:colOff>
      <xdr:row>55</xdr:row>
      <xdr:rowOff>317500</xdr:rowOff>
    </xdr:to>
    <xdr:pic>
      <xdr:nvPicPr>
        <xdr:cNvPr id="3" name="Picture 2">
          <a:extLst>
            <a:ext uri="{FF2B5EF4-FFF2-40B4-BE49-F238E27FC236}">
              <a16:creationId xmlns:a16="http://schemas.microsoft.com/office/drawing/2014/main" id="{4F3B1080-91E7-4829-9F62-D1655DC75DC1}"/>
            </a:ext>
          </a:extLst>
        </xdr:cNvPr>
        <xdr:cNvPicPr>
          <a:picLocks noChangeAspect="1"/>
        </xdr:cNvPicPr>
      </xdr:nvPicPr>
      <xdr:blipFill rotWithShape="1">
        <a:blip xmlns:r="http://schemas.openxmlformats.org/officeDocument/2006/relationships" r:embed="rId2"/>
        <a:srcRect l="10000" r="8947"/>
        <a:stretch/>
      </xdr:blipFill>
      <xdr:spPr>
        <a:xfrm>
          <a:off x="3844925" y="10668001"/>
          <a:ext cx="1641475" cy="14223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82550</xdr:colOff>
      <xdr:row>63</xdr:row>
      <xdr:rowOff>50801</xdr:rowOff>
    </xdr:from>
    <xdr:to>
      <xdr:col>4</xdr:col>
      <xdr:colOff>1873250</xdr:colOff>
      <xdr:row>66</xdr:row>
      <xdr:rowOff>273050</xdr:rowOff>
    </xdr:to>
    <xdr:pic>
      <xdr:nvPicPr>
        <xdr:cNvPr id="2" name="Picture 1">
          <a:extLst>
            <a:ext uri="{FF2B5EF4-FFF2-40B4-BE49-F238E27FC236}">
              <a16:creationId xmlns:a16="http://schemas.microsoft.com/office/drawing/2014/main" id="{45DF7CBA-A4E2-415E-97EB-FD86F875458C}"/>
            </a:ext>
          </a:extLst>
        </xdr:cNvPr>
        <xdr:cNvPicPr>
          <a:picLocks noChangeAspect="1"/>
        </xdr:cNvPicPr>
      </xdr:nvPicPr>
      <xdr:blipFill>
        <a:blip xmlns:r="http://schemas.openxmlformats.org/officeDocument/2006/relationships" r:embed="rId1"/>
        <a:stretch>
          <a:fillRect/>
        </a:stretch>
      </xdr:blipFill>
      <xdr:spPr>
        <a:xfrm>
          <a:off x="7493000" y="12865101"/>
          <a:ext cx="1790700" cy="1606549"/>
        </a:xfrm>
        <a:prstGeom prst="rect">
          <a:avLst/>
        </a:prstGeom>
      </xdr:spPr>
    </xdr:pic>
    <xdr:clientData/>
  </xdr:twoCellAnchor>
  <xdr:twoCellAnchor editAs="oneCell">
    <xdr:from>
      <xdr:col>2</xdr:col>
      <xdr:colOff>57150</xdr:colOff>
      <xdr:row>63</xdr:row>
      <xdr:rowOff>31751</xdr:rowOff>
    </xdr:from>
    <xdr:to>
      <xdr:col>2</xdr:col>
      <xdr:colOff>1722764</xdr:colOff>
      <xdr:row>66</xdr:row>
      <xdr:rowOff>228600</xdr:rowOff>
    </xdr:to>
    <xdr:pic>
      <xdr:nvPicPr>
        <xdr:cNvPr id="3" name="Picture 2">
          <a:extLst>
            <a:ext uri="{FF2B5EF4-FFF2-40B4-BE49-F238E27FC236}">
              <a16:creationId xmlns:a16="http://schemas.microsoft.com/office/drawing/2014/main" id="{64A8C6FF-8727-4AE5-B59D-F77805A8B1B7}"/>
            </a:ext>
          </a:extLst>
        </xdr:cNvPr>
        <xdr:cNvPicPr>
          <a:picLocks noChangeAspect="1"/>
        </xdr:cNvPicPr>
      </xdr:nvPicPr>
      <xdr:blipFill rotWithShape="1">
        <a:blip xmlns:r="http://schemas.openxmlformats.org/officeDocument/2006/relationships" r:embed="rId2"/>
        <a:srcRect l="10000" r="8947"/>
        <a:stretch/>
      </xdr:blipFill>
      <xdr:spPr>
        <a:xfrm>
          <a:off x="3835400" y="12846051"/>
          <a:ext cx="1665614" cy="158114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81546</xdr:colOff>
      <xdr:row>97</xdr:row>
      <xdr:rowOff>28575</xdr:rowOff>
    </xdr:from>
    <xdr:to>
      <xdr:col>4</xdr:col>
      <xdr:colOff>1883255</xdr:colOff>
      <xdr:row>100</xdr:row>
      <xdr:rowOff>247650</xdr:rowOff>
    </xdr:to>
    <xdr:pic>
      <xdr:nvPicPr>
        <xdr:cNvPr id="2" name="Picture 1">
          <a:extLst>
            <a:ext uri="{FF2B5EF4-FFF2-40B4-BE49-F238E27FC236}">
              <a16:creationId xmlns:a16="http://schemas.microsoft.com/office/drawing/2014/main" id="{92EB42F9-83FB-4718-AA46-B8A551C43288}"/>
            </a:ext>
          </a:extLst>
        </xdr:cNvPr>
        <xdr:cNvPicPr>
          <a:picLocks noChangeAspect="1"/>
        </xdr:cNvPicPr>
      </xdr:nvPicPr>
      <xdr:blipFill>
        <a:blip xmlns:r="http://schemas.openxmlformats.org/officeDocument/2006/relationships" r:embed="rId1"/>
        <a:stretch>
          <a:fillRect/>
        </a:stretch>
      </xdr:blipFill>
      <xdr:spPr>
        <a:xfrm>
          <a:off x="7752346" y="19535775"/>
          <a:ext cx="1801709" cy="1476375"/>
        </a:xfrm>
        <a:prstGeom prst="rect">
          <a:avLst/>
        </a:prstGeom>
      </xdr:spPr>
    </xdr:pic>
    <xdr:clientData/>
  </xdr:twoCellAnchor>
  <xdr:twoCellAnchor editAs="oneCell">
    <xdr:from>
      <xdr:col>2</xdr:col>
      <xdr:colOff>98425</xdr:colOff>
      <xdr:row>97</xdr:row>
      <xdr:rowOff>38101</xdr:rowOff>
    </xdr:from>
    <xdr:to>
      <xdr:col>2</xdr:col>
      <xdr:colOff>1906171</xdr:colOff>
      <xdr:row>100</xdr:row>
      <xdr:rowOff>196850</xdr:rowOff>
    </xdr:to>
    <xdr:pic>
      <xdr:nvPicPr>
        <xdr:cNvPr id="3" name="Picture 2">
          <a:extLst>
            <a:ext uri="{FF2B5EF4-FFF2-40B4-BE49-F238E27FC236}">
              <a16:creationId xmlns:a16="http://schemas.microsoft.com/office/drawing/2014/main" id="{A36C75D0-CC28-4B74-908F-A07C551E1C96}"/>
            </a:ext>
          </a:extLst>
        </xdr:cNvPr>
        <xdr:cNvPicPr>
          <a:picLocks noChangeAspect="1"/>
        </xdr:cNvPicPr>
      </xdr:nvPicPr>
      <xdr:blipFill rotWithShape="1">
        <a:blip xmlns:r="http://schemas.openxmlformats.org/officeDocument/2006/relationships" r:embed="rId2"/>
        <a:srcRect l="10000" r="8947"/>
        <a:stretch/>
      </xdr:blipFill>
      <xdr:spPr>
        <a:xfrm>
          <a:off x="3876675" y="19545301"/>
          <a:ext cx="1807746" cy="141604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62496</xdr:colOff>
      <xdr:row>98</xdr:row>
      <xdr:rowOff>28575</xdr:rowOff>
    </xdr:from>
    <xdr:to>
      <xdr:col>4</xdr:col>
      <xdr:colOff>1949450</xdr:colOff>
      <xdr:row>101</xdr:row>
      <xdr:rowOff>209550</xdr:rowOff>
    </xdr:to>
    <xdr:pic>
      <xdr:nvPicPr>
        <xdr:cNvPr id="2" name="Picture 1">
          <a:extLst>
            <a:ext uri="{FF2B5EF4-FFF2-40B4-BE49-F238E27FC236}">
              <a16:creationId xmlns:a16="http://schemas.microsoft.com/office/drawing/2014/main" id="{BAED8902-F84F-49C2-9A5E-9FEB781605D5}"/>
            </a:ext>
          </a:extLst>
        </xdr:cNvPr>
        <xdr:cNvPicPr>
          <a:picLocks noChangeAspect="1"/>
        </xdr:cNvPicPr>
      </xdr:nvPicPr>
      <xdr:blipFill>
        <a:blip xmlns:r="http://schemas.openxmlformats.org/officeDocument/2006/relationships" r:embed="rId1"/>
        <a:stretch>
          <a:fillRect/>
        </a:stretch>
      </xdr:blipFill>
      <xdr:spPr>
        <a:xfrm>
          <a:off x="7472946" y="19732625"/>
          <a:ext cx="1886954" cy="1438275"/>
        </a:xfrm>
        <a:prstGeom prst="rect">
          <a:avLst/>
        </a:prstGeom>
      </xdr:spPr>
    </xdr:pic>
    <xdr:clientData/>
  </xdr:twoCellAnchor>
  <xdr:twoCellAnchor editAs="oneCell">
    <xdr:from>
      <xdr:col>2</xdr:col>
      <xdr:colOff>47625</xdr:colOff>
      <xdr:row>98</xdr:row>
      <xdr:rowOff>38101</xdr:rowOff>
    </xdr:from>
    <xdr:to>
      <xdr:col>2</xdr:col>
      <xdr:colOff>1722021</xdr:colOff>
      <xdr:row>101</xdr:row>
      <xdr:rowOff>209550</xdr:rowOff>
    </xdr:to>
    <xdr:pic>
      <xdr:nvPicPr>
        <xdr:cNvPr id="3" name="Picture 2">
          <a:extLst>
            <a:ext uri="{FF2B5EF4-FFF2-40B4-BE49-F238E27FC236}">
              <a16:creationId xmlns:a16="http://schemas.microsoft.com/office/drawing/2014/main" id="{E78EC811-5A46-4665-A299-27C2D6C1A1A6}"/>
            </a:ext>
          </a:extLst>
        </xdr:cNvPr>
        <xdr:cNvPicPr>
          <a:picLocks noChangeAspect="1"/>
        </xdr:cNvPicPr>
      </xdr:nvPicPr>
      <xdr:blipFill rotWithShape="1">
        <a:blip xmlns:r="http://schemas.openxmlformats.org/officeDocument/2006/relationships" r:embed="rId2"/>
        <a:srcRect l="10000" r="8947"/>
        <a:stretch/>
      </xdr:blipFill>
      <xdr:spPr>
        <a:xfrm>
          <a:off x="3825875" y="19742151"/>
          <a:ext cx="1674396" cy="142874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82550</xdr:colOff>
      <xdr:row>72</xdr:row>
      <xdr:rowOff>50801</xdr:rowOff>
    </xdr:from>
    <xdr:to>
      <xdr:col>4</xdr:col>
      <xdr:colOff>1854200</xdr:colOff>
      <xdr:row>75</xdr:row>
      <xdr:rowOff>222250</xdr:rowOff>
    </xdr:to>
    <xdr:pic>
      <xdr:nvPicPr>
        <xdr:cNvPr id="2" name="Picture 1">
          <a:extLst>
            <a:ext uri="{FF2B5EF4-FFF2-40B4-BE49-F238E27FC236}">
              <a16:creationId xmlns:a16="http://schemas.microsoft.com/office/drawing/2014/main" id="{CC326F4D-B208-4BF5-BD31-67B9B01906F4}"/>
            </a:ext>
          </a:extLst>
        </xdr:cNvPr>
        <xdr:cNvPicPr>
          <a:picLocks noChangeAspect="1"/>
        </xdr:cNvPicPr>
      </xdr:nvPicPr>
      <xdr:blipFill>
        <a:blip xmlns:r="http://schemas.openxmlformats.org/officeDocument/2006/relationships" r:embed="rId1"/>
        <a:stretch>
          <a:fillRect/>
        </a:stretch>
      </xdr:blipFill>
      <xdr:spPr>
        <a:xfrm>
          <a:off x="7524750" y="14636751"/>
          <a:ext cx="1771650" cy="1619249"/>
        </a:xfrm>
        <a:prstGeom prst="rect">
          <a:avLst/>
        </a:prstGeom>
      </xdr:spPr>
    </xdr:pic>
    <xdr:clientData/>
  </xdr:twoCellAnchor>
  <xdr:twoCellAnchor editAs="oneCell">
    <xdr:from>
      <xdr:col>2</xdr:col>
      <xdr:colOff>57150</xdr:colOff>
      <xdr:row>72</xdr:row>
      <xdr:rowOff>31751</xdr:rowOff>
    </xdr:from>
    <xdr:to>
      <xdr:col>2</xdr:col>
      <xdr:colOff>1741814</xdr:colOff>
      <xdr:row>75</xdr:row>
      <xdr:rowOff>228600</xdr:rowOff>
    </xdr:to>
    <xdr:pic>
      <xdr:nvPicPr>
        <xdr:cNvPr id="3" name="Picture 2">
          <a:extLst>
            <a:ext uri="{FF2B5EF4-FFF2-40B4-BE49-F238E27FC236}">
              <a16:creationId xmlns:a16="http://schemas.microsoft.com/office/drawing/2014/main" id="{2C6D078B-8D2A-4D90-9426-B0B486417DB5}"/>
            </a:ext>
          </a:extLst>
        </xdr:cNvPr>
        <xdr:cNvPicPr>
          <a:picLocks noChangeAspect="1"/>
        </xdr:cNvPicPr>
      </xdr:nvPicPr>
      <xdr:blipFill rotWithShape="1">
        <a:blip xmlns:r="http://schemas.openxmlformats.org/officeDocument/2006/relationships" r:embed="rId2"/>
        <a:srcRect l="10000" r="8947"/>
        <a:stretch/>
      </xdr:blipFill>
      <xdr:spPr>
        <a:xfrm>
          <a:off x="3835400" y="14617701"/>
          <a:ext cx="1684664" cy="164464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38100</xdr:colOff>
      <xdr:row>123</xdr:row>
      <xdr:rowOff>50801</xdr:rowOff>
    </xdr:from>
    <xdr:to>
      <xdr:col>4</xdr:col>
      <xdr:colOff>1806575</xdr:colOff>
      <xdr:row>126</xdr:row>
      <xdr:rowOff>304800</xdr:rowOff>
    </xdr:to>
    <xdr:pic>
      <xdr:nvPicPr>
        <xdr:cNvPr id="2" name="Picture 1">
          <a:extLst>
            <a:ext uri="{FF2B5EF4-FFF2-40B4-BE49-F238E27FC236}">
              <a16:creationId xmlns:a16="http://schemas.microsoft.com/office/drawing/2014/main" id="{B2BB5623-7124-418E-953D-6BE5236B6F82}"/>
            </a:ext>
          </a:extLst>
        </xdr:cNvPr>
        <xdr:cNvPicPr>
          <a:picLocks noChangeAspect="1"/>
        </xdr:cNvPicPr>
      </xdr:nvPicPr>
      <xdr:blipFill>
        <a:blip xmlns:r="http://schemas.openxmlformats.org/officeDocument/2006/relationships" r:embed="rId1"/>
        <a:stretch>
          <a:fillRect/>
        </a:stretch>
      </xdr:blipFill>
      <xdr:spPr>
        <a:xfrm>
          <a:off x="7512050" y="24676101"/>
          <a:ext cx="1768475" cy="1543049"/>
        </a:xfrm>
        <a:prstGeom prst="rect">
          <a:avLst/>
        </a:prstGeom>
      </xdr:spPr>
    </xdr:pic>
    <xdr:clientData/>
  </xdr:twoCellAnchor>
  <xdr:twoCellAnchor editAs="oneCell">
    <xdr:from>
      <xdr:col>2</xdr:col>
      <xdr:colOff>44450</xdr:colOff>
      <xdr:row>123</xdr:row>
      <xdr:rowOff>15875</xdr:rowOff>
    </xdr:from>
    <xdr:to>
      <xdr:col>2</xdr:col>
      <xdr:colOff>1755775</xdr:colOff>
      <xdr:row>126</xdr:row>
      <xdr:rowOff>317500</xdr:rowOff>
    </xdr:to>
    <xdr:pic>
      <xdr:nvPicPr>
        <xdr:cNvPr id="3" name="Picture 2">
          <a:extLst>
            <a:ext uri="{FF2B5EF4-FFF2-40B4-BE49-F238E27FC236}">
              <a16:creationId xmlns:a16="http://schemas.microsoft.com/office/drawing/2014/main" id="{22339D68-D454-42AB-8D55-160700942E0C}"/>
            </a:ext>
          </a:extLst>
        </xdr:cNvPr>
        <xdr:cNvPicPr>
          <a:picLocks noChangeAspect="1"/>
        </xdr:cNvPicPr>
      </xdr:nvPicPr>
      <xdr:blipFill rotWithShape="1">
        <a:blip xmlns:r="http://schemas.openxmlformats.org/officeDocument/2006/relationships" r:embed="rId2"/>
        <a:srcRect l="10000" r="8947"/>
        <a:stretch/>
      </xdr:blipFill>
      <xdr:spPr>
        <a:xfrm>
          <a:off x="3822700" y="24641175"/>
          <a:ext cx="1711325" cy="1590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78012</xdr:colOff>
      <xdr:row>80</xdr:row>
      <xdr:rowOff>50801</xdr:rowOff>
    </xdr:from>
    <xdr:to>
      <xdr:col>4</xdr:col>
      <xdr:colOff>1958974</xdr:colOff>
      <xdr:row>83</xdr:row>
      <xdr:rowOff>349250</xdr:rowOff>
    </xdr:to>
    <xdr:pic>
      <xdr:nvPicPr>
        <xdr:cNvPr id="2" name="Picture 1">
          <a:extLst>
            <a:ext uri="{FF2B5EF4-FFF2-40B4-BE49-F238E27FC236}">
              <a16:creationId xmlns:a16="http://schemas.microsoft.com/office/drawing/2014/main" id="{8DE05A68-6800-4481-9B27-B5F68CD16098}"/>
            </a:ext>
          </a:extLst>
        </xdr:cNvPr>
        <xdr:cNvPicPr>
          <a:picLocks noChangeAspect="1"/>
        </xdr:cNvPicPr>
      </xdr:nvPicPr>
      <xdr:blipFill>
        <a:blip xmlns:r="http://schemas.openxmlformats.org/officeDocument/2006/relationships" r:embed="rId1"/>
        <a:stretch>
          <a:fillRect/>
        </a:stretch>
      </xdr:blipFill>
      <xdr:spPr>
        <a:xfrm>
          <a:off x="7444012" y="16211551"/>
          <a:ext cx="1880962" cy="1428749"/>
        </a:xfrm>
        <a:prstGeom prst="rect">
          <a:avLst/>
        </a:prstGeom>
      </xdr:spPr>
    </xdr:pic>
    <xdr:clientData/>
  </xdr:twoCellAnchor>
  <xdr:twoCellAnchor editAs="oneCell">
    <xdr:from>
      <xdr:col>2</xdr:col>
      <xdr:colOff>22225</xdr:colOff>
      <xdr:row>80</xdr:row>
      <xdr:rowOff>31751</xdr:rowOff>
    </xdr:from>
    <xdr:to>
      <xdr:col>2</xdr:col>
      <xdr:colOff>1673226</xdr:colOff>
      <xdr:row>83</xdr:row>
      <xdr:rowOff>311150</xdr:rowOff>
    </xdr:to>
    <xdr:pic>
      <xdr:nvPicPr>
        <xdr:cNvPr id="3" name="Picture 2">
          <a:extLst>
            <a:ext uri="{FF2B5EF4-FFF2-40B4-BE49-F238E27FC236}">
              <a16:creationId xmlns:a16="http://schemas.microsoft.com/office/drawing/2014/main" id="{E4B958E5-891F-4D91-96DB-03D978B55B3E}"/>
            </a:ext>
          </a:extLst>
        </xdr:cNvPr>
        <xdr:cNvPicPr>
          <a:picLocks noChangeAspect="1"/>
        </xdr:cNvPicPr>
      </xdr:nvPicPr>
      <xdr:blipFill rotWithShape="1">
        <a:blip xmlns:r="http://schemas.openxmlformats.org/officeDocument/2006/relationships" r:embed="rId2"/>
        <a:srcRect l="10000" r="8947"/>
        <a:stretch/>
      </xdr:blipFill>
      <xdr:spPr>
        <a:xfrm>
          <a:off x="3800475" y="16192501"/>
          <a:ext cx="1651001" cy="140969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1695449</xdr:colOff>
      <xdr:row>75</xdr:row>
      <xdr:rowOff>349250</xdr:rowOff>
    </xdr:to>
    <xdr:pic>
      <xdr:nvPicPr>
        <xdr:cNvPr id="2" name="Picture 1">
          <a:extLst>
            <a:ext uri="{FF2B5EF4-FFF2-40B4-BE49-F238E27FC236}">
              <a16:creationId xmlns:a16="http://schemas.microsoft.com/office/drawing/2014/main" id="{31EAA6D5-AFB2-4C9B-91E4-2A6820D06B6E}"/>
            </a:ext>
          </a:extLst>
        </xdr:cNvPr>
        <xdr:cNvPicPr>
          <a:picLocks noChangeAspect="1"/>
        </xdr:cNvPicPr>
      </xdr:nvPicPr>
      <xdr:blipFill>
        <a:blip xmlns:r="http://schemas.openxmlformats.org/officeDocument/2006/relationships" r:embed="rId1"/>
        <a:stretch>
          <a:fillRect/>
        </a:stretch>
      </xdr:blipFill>
      <xdr:spPr>
        <a:xfrm>
          <a:off x="7564526" y="14595479"/>
          <a:ext cx="1617573" cy="159067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292100</xdr:rowOff>
    </xdr:to>
    <xdr:pic>
      <xdr:nvPicPr>
        <xdr:cNvPr id="3" name="Picture 2">
          <a:extLst>
            <a:ext uri="{FF2B5EF4-FFF2-40B4-BE49-F238E27FC236}">
              <a16:creationId xmlns:a16="http://schemas.microsoft.com/office/drawing/2014/main" id="{671B1B94-D2C8-419F-B783-39D81233788D}"/>
            </a:ext>
          </a:extLst>
        </xdr:cNvPr>
        <xdr:cNvPicPr>
          <a:picLocks noChangeAspect="1"/>
        </xdr:cNvPicPr>
      </xdr:nvPicPr>
      <xdr:blipFill rotWithShape="1">
        <a:blip xmlns:r="http://schemas.openxmlformats.org/officeDocument/2006/relationships" r:embed="rId2"/>
        <a:srcRect l="10000" r="8947"/>
        <a:stretch/>
      </xdr:blipFill>
      <xdr:spPr>
        <a:xfrm>
          <a:off x="3863975" y="14601827"/>
          <a:ext cx="1663138" cy="152717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1635124</xdr:colOff>
      <xdr:row>55</xdr:row>
      <xdr:rowOff>292100</xdr:rowOff>
    </xdr:to>
    <xdr:pic>
      <xdr:nvPicPr>
        <xdr:cNvPr id="2" name="Picture 1">
          <a:extLst>
            <a:ext uri="{FF2B5EF4-FFF2-40B4-BE49-F238E27FC236}">
              <a16:creationId xmlns:a16="http://schemas.microsoft.com/office/drawing/2014/main" id="{38E07170-99B1-486C-9BFA-B4A313DDCA46}"/>
            </a:ext>
          </a:extLst>
        </xdr:cNvPr>
        <xdr:cNvPicPr>
          <a:picLocks noChangeAspect="1"/>
        </xdr:cNvPicPr>
      </xdr:nvPicPr>
      <xdr:blipFill>
        <a:blip xmlns:r="http://schemas.openxmlformats.org/officeDocument/2006/relationships" r:embed="rId1"/>
        <a:stretch>
          <a:fillRect/>
        </a:stretch>
      </xdr:blipFill>
      <xdr:spPr>
        <a:xfrm>
          <a:off x="7473950" y="10725150"/>
          <a:ext cx="1597024" cy="1543050"/>
        </a:xfrm>
        <a:prstGeom prst="rect">
          <a:avLst/>
        </a:prstGeom>
      </xdr:spPr>
    </xdr:pic>
    <xdr:clientData/>
  </xdr:twoCellAnchor>
  <xdr:twoCellAnchor editAs="oneCell">
    <xdr:from>
      <xdr:col>2</xdr:col>
      <xdr:colOff>9525</xdr:colOff>
      <xdr:row>52</xdr:row>
      <xdr:rowOff>47627</xdr:rowOff>
    </xdr:from>
    <xdr:to>
      <xdr:col>2</xdr:col>
      <xdr:colOff>1733279</xdr:colOff>
      <xdr:row>55</xdr:row>
      <xdr:rowOff>304800</xdr:rowOff>
    </xdr:to>
    <xdr:pic>
      <xdr:nvPicPr>
        <xdr:cNvPr id="3" name="Picture 2">
          <a:extLst>
            <a:ext uri="{FF2B5EF4-FFF2-40B4-BE49-F238E27FC236}">
              <a16:creationId xmlns:a16="http://schemas.microsoft.com/office/drawing/2014/main" id="{E805C819-DCCB-4DC6-BFA9-D8F452BAA4F2}"/>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723754" cy="15843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60324</xdr:colOff>
      <xdr:row>86</xdr:row>
      <xdr:rowOff>22225</xdr:rowOff>
    </xdr:from>
    <xdr:to>
      <xdr:col>4</xdr:col>
      <xdr:colOff>1930400</xdr:colOff>
      <xdr:row>89</xdr:row>
      <xdr:rowOff>260350</xdr:rowOff>
    </xdr:to>
    <xdr:pic>
      <xdr:nvPicPr>
        <xdr:cNvPr id="2" name="Picture 1">
          <a:extLst>
            <a:ext uri="{FF2B5EF4-FFF2-40B4-BE49-F238E27FC236}">
              <a16:creationId xmlns:a16="http://schemas.microsoft.com/office/drawing/2014/main" id="{2B1949B9-FAAB-4160-A683-B39066C02D62}"/>
            </a:ext>
          </a:extLst>
        </xdr:cNvPr>
        <xdr:cNvPicPr>
          <a:picLocks noChangeAspect="1"/>
        </xdr:cNvPicPr>
      </xdr:nvPicPr>
      <xdr:blipFill>
        <a:blip xmlns:r="http://schemas.openxmlformats.org/officeDocument/2006/relationships" r:embed="rId1"/>
        <a:stretch>
          <a:fillRect/>
        </a:stretch>
      </xdr:blipFill>
      <xdr:spPr>
        <a:xfrm>
          <a:off x="7419974" y="17364075"/>
          <a:ext cx="1870076" cy="1622425"/>
        </a:xfrm>
        <a:prstGeom prst="rect">
          <a:avLst/>
        </a:prstGeom>
      </xdr:spPr>
    </xdr:pic>
    <xdr:clientData/>
  </xdr:twoCellAnchor>
  <xdr:twoCellAnchor editAs="oneCell">
    <xdr:from>
      <xdr:col>2</xdr:col>
      <xdr:colOff>63500</xdr:colOff>
      <xdr:row>86</xdr:row>
      <xdr:rowOff>38101</xdr:rowOff>
    </xdr:from>
    <xdr:to>
      <xdr:col>2</xdr:col>
      <xdr:colOff>1596308</xdr:colOff>
      <xdr:row>89</xdr:row>
      <xdr:rowOff>260350</xdr:rowOff>
    </xdr:to>
    <xdr:pic>
      <xdr:nvPicPr>
        <xdr:cNvPr id="3" name="Picture 2">
          <a:extLst>
            <a:ext uri="{FF2B5EF4-FFF2-40B4-BE49-F238E27FC236}">
              <a16:creationId xmlns:a16="http://schemas.microsoft.com/office/drawing/2014/main" id="{23227055-FEA2-48C0-8123-5AF2DDF3FC6C}"/>
            </a:ext>
          </a:extLst>
        </xdr:cNvPr>
        <xdr:cNvPicPr>
          <a:picLocks noChangeAspect="1"/>
        </xdr:cNvPicPr>
      </xdr:nvPicPr>
      <xdr:blipFill rotWithShape="1">
        <a:blip xmlns:r="http://schemas.openxmlformats.org/officeDocument/2006/relationships" r:embed="rId2"/>
        <a:srcRect l="10000" r="8947"/>
        <a:stretch/>
      </xdr:blipFill>
      <xdr:spPr>
        <a:xfrm>
          <a:off x="3841750" y="17379951"/>
          <a:ext cx="1532808" cy="160654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641A-6EA5-4385-8D7B-824B09E87156}">
  <dimension ref="A1:C30"/>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3" t="s">
        <v>78</v>
      </c>
      <c r="B1" s="73"/>
    </row>
    <row r="2" spans="1:3" x14ac:dyDescent="0.25">
      <c r="A2" s="74" t="s">
        <v>79</v>
      </c>
      <c r="B2" s="74"/>
    </row>
    <row r="3" spans="1:3" x14ac:dyDescent="0.25">
      <c r="A3" s="54" t="s">
        <v>80</v>
      </c>
      <c r="B3" s="54" t="s">
        <v>81</v>
      </c>
      <c r="C3" s="54" t="s">
        <v>824</v>
      </c>
    </row>
    <row r="4" spans="1:3" x14ac:dyDescent="0.25">
      <c r="A4" s="55" t="s">
        <v>26</v>
      </c>
      <c r="B4" s="56" t="s">
        <v>27</v>
      </c>
      <c r="C4" s="56" t="s">
        <v>826</v>
      </c>
    </row>
    <row r="5" spans="1:3" x14ac:dyDescent="0.25">
      <c r="A5" s="55" t="s">
        <v>28</v>
      </c>
      <c r="B5" s="56" t="s">
        <v>29</v>
      </c>
      <c r="C5" s="56" t="s">
        <v>827</v>
      </c>
    </row>
    <row r="6" spans="1:3" x14ac:dyDescent="0.25">
      <c r="A6" s="55" t="s">
        <v>30</v>
      </c>
      <c r="B6" s="56" t="s">
        <v>31</v>
      </c>
      <c r="C6" s="56" t="s">
        <v>827</v>
      </c>
    </row>
    <row r="7" spans="1:3" x14ac:dyDescent="0.25">
      <c r="A7" s="55" t="s">
        <v>32</v>
      </c>
      <c r="B7" s="56" t="s">
        <v>33</v>
      </c>
      <c r="C7" s="56" t="s">
        <v>827</v>
      </c>
    </row>
    <row r="8" spans="1:3" x14ac:dyDescent="0.25">
      <c r="A8" s="55" t="s">
        <v>34</v>
      </c>
      <c r="B8" s="56" t="s">
        <v>35</v>
      </c>
      <c r="C8" s="56" t="s">
        <v>827</v>
      </c>
    </row>
    <row r="9" spans="1:3" x14ac:dyDescent="0.25">
      <c r="A9" s="55" t="s">
        <v>36</v>
      </c>
      <c r="B9" s="56" t="s">
        <v>37</v>
      </c>
      <c r="C9" s="56" t="s">
        <v>827</v>
      </c>
    </row>
    <row r="10" spans="1:3" x14ac:dyDescent="0.25">
      <c r="A10" s="55" t="s">
        <v>38</v>
      </c>
      <c r="B10" s="56" t="s">
        <v>39</v>
      </c>
      <c r="C10" s="56" t="s">
        <v>827</v>
      </c>
    </row>
    <row r="11" spans="1:3" x14ac:dyDescent="0.25">
      <c r="A11" s="55" t="s">
        <v>40</v>
      </c>
      <c r="B11" s="56" t="s">
        <v>41</v>
      </c>
      <c r="C11" s="56" t="s">
        <v>827</v>
      </c>
    </row>
    <row r="12" spans="1:3" x14ac:dyDescent="0.25">
      <c r="A12" s="55" t="s">
        <v>42</v>
      </c>
      <c r="B12" s="56" t="s">
        <v>43</v>
      </c>
      <c r="C12" s="56" t="s">
        <v>825</v>
      </c>
    </row>
    <row r="13" spans="1:3" x14ac:dyDescent="0.25">
      <c r="A13" s="55" t="s">
        <v>44</v>
      </c>
      <c r="B13" s="56" t="s">
        <v>45</v>
      </c>
      <c r="C13" s="56" t="s">
        <v>827</v>
      </c>
    </row>
    <row r="14" spans="1:3" x14ac:dyDescent="0.25">
      <c r="A14" s="55" t="s">
        <v>46</v>
      </c>
      <c r="B14" s="56" t="s">
        <v>47</v>
      </c>
      <c r="C14" s="56" t="s">
        <v>827</v>
      </c>
    </row>
    <row r="15" spans="1:3" x14ac:dyDescent="0.25">
      <c r="A15" s="55" t="s">
        <v>48</v>
      </c>
      <c r="B15" s="56" t="s">
        <v>49</v>
      </c>
      <c r="C15" s="56" t="s">
        <v>827</v>
      </c>
    </row>
    <row r="16" spans="1:3" x14ac:dyDescent="0.25">
      <c r="A16" s="55" t="s">
        <v>50</v>
      </c>
      <c r="B16" s="56" t="s">
        <v>51</v>
      </c>
      <c r="C16" s="56" t="s">
        <v>828</v>
      </c>
    </row>
    <row r="17" spans="1:3" x14ac:dyDescent="0.25">
      <c r="A17" s="55" t="s">
        <v>52</v>
      </c>
      <c r="B17" s="56" t="s">
        <v>53</v>
      </c>
      <c r="C17" s="56" t="s">
        <v>827</v>
      </c>
    </row>
    <row r="18" spans="1:3" x14ac:dyDescent="0.25">
      <c r="A18" s="55" t="s">
        <v>54</v>
      </c>
      <c r="B18" s="56" t="s">
        <v>55</v>
      </c>
      <c r="C18" s="56" t="s">
        <v>827</v>
      </c>
    </row>
    <row r="19" spans="1:3" x14ac:dyDescent="0.25">
      <c r="A19" s="55" t="s">
        <v>56</v>
      </c>
      <c r="B19" s="56" t="s">
        <v>57</v>
      </c>
      <c r="C19" s="56" t="s">
        <v>827</v>
      </c>
    </row>
    <row r="20" spans="1:3" x14ac:dyDescent="0.25">
      <c r="A20" s="55" t="s">
        <v>58</v>
      </c>
      <c r="B20" s="56" t="s">
        <v>59</v>
      </c>
      <c r="C20" s="56" t="s">
        <v>827</v>
      </c>
    </row>
    <row r="21" spans="1:3" x14ac:dyDescent="0.25">
      <c r="A21" s="55" t="s">
        <v>60</v>
      </c>
      <c r="B21" s="56" t="s">
        <v>61</v>
      </c>
      <c r="C21" s="56" t="s">
        <v>827</v>
      </c>
    </row>
    <row r="22" spans="1:3" x14ac:dyDescent="0.25">
      <c r="A22" s="55" t="s">
        <v>62</v>
      </c>
      <c r="B22" s="56" t="s">
        <v>63</v>
      </c>
      <c r="C22" s="56" t="s">
        <v>827</v>
      </c>
    </row>
    <row r="23" spans="1:3" x14ac:dyDescent="0.25">
      <c r="A23" s="55" t="s">
        <v>64</v>
      </c>
      <c r="B23" s="56" t="s">
        <v>65</v>
      </c>
      <c r="C23" s="56" t="s">
        <v>827</v>
      </c>
    </row>
    <row r="24" spans="1:3" x14ac:dyDescent="0.25">
      <c r="A24" s="55" t="s">
        <v>66</v>
      </c>
      <c r="B24" s="56" t="s">
        <v>67</v>
      </c>
      <c r="C24" s="56" t="s">
        <v>827</v>
      </c>
    </row>
    <row r="25" spans="1:3" x14ac:dyDescent="0.25">
      <c r="A25" s="55" t="s">
        <v>68</v>
      </c>
      <c r="B25" s="56" t="s">
        <v>69</v>
      </c>
      <c r="C25" s="56" t="s">
        <v>827</v>
      </c>
    </row>
    <row r="26" spans="1:3" x14ac:dyDescent="0.25">
      <c r="A26" s="55" t="s">
        <v>70</v>
      </c>
      <c r="B26" s="56" t="s">
        <v>71</v>
      </c>
      <c r="C26" s="56" t="s">
        <v>827</v>
      </c>
    </row>
    <row r="27" spans="1:3" x14ac:dyDescent="0.25">
      <c r="A27" s="55" t="s">
        <v>72</v>
      </c>
      <c r="B27" s="56" t="s">
        <v>73</v>
      </c>
      <c r="C27" s="56" t="s">
        <v>827</v>
      </c>
    </row>
    <row r="28" spans="1:3" x14ac:dyDescent="0.25">
      <c r="A28" s="55" t="s">
        <v>74</v>
      </c>
      <c r="B28" s="56" t="s">
        <v>75</v>
      </c>
      <c r="C28" s="56" t="s">
        <v>827</v>
      </c>
    </row>
    <row r="29" spans="1:3" x14ac:dyDescent="0.25">
      <c r="A29" s="55" t="s">
        <v>76</v>
      </c>
      <c r="B29" s="56" t="s">
        <v>77</v>
      </c>
      <c r="C29" s="56" t="s">
        <v>827</v>
      </c>
    </row>
    <row r="30" spans="1:3" x14ac:dyDescent="0.25">
      <c r="A30" s="91" t="s">
        <v>929</v>
      </c>
      <c r="B30" s="56" t="s">
        <v>930</v>
      </c>
      <c r="C30" s="56" t="s">
        <v>828</v>
      </c>
    </row>
  </sheetData>
  <mergeCells count="2">
    <mergeCell ref="A1:B1"/>
    <mergeCell ref="A2:B2"/>
  </mergeCells>
  <hyperlinks>
    <hyperlink ref="A4" location="'LEARBF'!A1" display="LEARBF" xr:uid="{B8A53C8F-508A-4141-BB0C-6817C582798B}"/>
    <hyperlink ref="A5" location="'LEBADF'!A1" display="LEBADF" xr:uid="{838250D3-1A66-4558-B282-ACD0F43F4DC3}"/>
    <hyperlink ref="A6" location="'LEBALF'!A1" display="LEBALF" xr:uid="{D865DB29-6057-4F82-A77B-DBF4324EFC39}"/>
    <hyperlink ref="A7" location="'LEBFSF'!A1" display="LEBFSF" xr:uid="{718A9D11-C001-40A4-A11B-C1F9AC142AC4}"/>
    <hyperlink ref="A8" location="'LECHID'!A1" display="LECHID" xr:uid="{9500236D-07CD-4CE7-88ED-AD8CB5289F34}"/>
    <hyperlink ref="A9" location="'LEDDYF'!A1" display="LEDDYF" xr:uid="{8021018A-661A-496A-8F79-F115EA5B5A16}"/>
    <hyperlink ref="A10" location="'LEDHCF'!A1" display="LEDHCF" xr:uid="{82DAC9CB-FB11-4C0D-B0E0-B1C256EB25D5}"/>
    <hyperlink ref="A11" location="'LEEMCF'!A1" display="LEEMCF" xr:uid="{E6FA98C3-638B-46E9-A2D7-C0A1EC160297}"/>
    <hyperlink ref="A12" location="'LEEQSF'!A1" display="LEEQSF" xr:uid="{9CD670A8-2D6B-465B-A85B-DE3C89F10700}"/>
    <hyperlink ref="A13" location="'LEEQTF'!A1" display="LEEQTF" xr:uid="{17A36324-9592-4DAD-BE91-5D5FE13C11D2}"/>
    <hyperlink ref="A14" location="'LEESCF'!A1" display="LEESCF" xr:uid="{28D74416-6D99-453B-AC1F-B9AA4D5D2391}"/>
    <hyperlink ref="A15" location="'LEFE30'!A1" display="LEFE30" xr:uid="{E272AD16-B775-4D6C-A0A6-66A123811962}"/>
    <hyperlink ref="A16" location="'LEGFOF'!A1" display="LEGFOF" xr:uid="{61A704A4-AB70-4146-86CA-41505454EC0C}"/>
    <hyperlink ref="A17" location="'LEGROW'!A1" display="LEGROW" xr:uid="{C3535C72-4F2A-423A-B2FE-CC200C3FCE2C}"/>
    <hyperlink ref="A18" location="'LEINFA'!A1" display="LEINFA" xr:uid="{A463DC6F-1802-4A32-AB45-DBE3786438EF}"/>
    <hyperlink ref="A19" location="'LEINNF'!A1" display="LEINNF" xr:uid="{FEF3BEF0-5773-4067-8C01-FB2FD99CFA3A}"/>
    <hyperlink ref="A20" location="'LEINSX'!A1" display="LEINSX" xr:uid="{976308A8-E372-4859-96D3-A14FE15E0D1A}"/>
    <hyperlink ref="A21" location="'LELTVF'!A1" display="LELTVF" xr:uid="{A718BC73-2381-457E-AE4E-BE1EB82D1FE2}"/>
    <hyperlink ref="A22" location="'LEMIDF'!A1" display="LEMIDF" xr:uid="{BF9FBA3E-7755-4419-A7A9-B83B9B3551F6}"/>
    <hyperlink ref="A23" location="'LEMUCF'!A1" display="LEMUCF" xr:uid="{CCA0AB5C-A0F2-4601-9A5C-B399EC4F7524}"/>
    <hyperlink ref="A24" location="'LENI50'!A1" display="LENI50" xr:uid="{99F13A3D-59FE-403B-893B-F07DB4CEFA6B}"/>
    <hyperlink ref="A25" location="'LET100'!A1" display="LET100" xr:uid="{A74C5323-AA81-444A-8AB7-8E308B4D23FB}"/>
    <hyperlink ref="A26" location="'LETAXP'!A1" display="LETAXP" xr:uid="{621E14A3-1C74-4323-A5EE-55DC73B899B3}"/>
    <hyperlink ref="A27" location="'LETF50'!A1" display="LETF50" xr:uid="{751147D8-DBBC-4622-9798-5C57F2E14AA9}"/>
    <hyperlink ref="A28" location="'LETFSX'!A1" display="LETFSX" xr:uid="{3C06E3D6-E006-402F-9C5D-2879A392B2E3}"/>
    <hyperlink ref="A29" location="'LEULIS'!A1" display="LEULIS" xr:uid="{EC9008A1-C2C1-4EAB-866C-B2AA7B8FB009}"/>
    <hyperlink ref="A30" location="LICMFGOLDETF!A1" display="LICMFGOLDETF" xr:uid="{80740667-4B55-4E2C-B7E6-7AD3BC862D23}"/>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9E503-4886-4778-AF61-7514273AA48D}">
  <dimension ref="B1:P152"/>
  <sheetViews>
    <sheetView workbookViewId="0"/>
  </sheetViews>
  <sheetFormatPr defaultColWidth="9.140625" defaultRowHeight="15.75" customHeight="1" x14ac:dyDescent="0.2"/>
  <cols>
    <col min="1" max="1" width="3.5703125" style="2" customWidth="1"/>
    <col min="2" max="2" width="41.5703125" style="9" bestFit="1" customWidth="1"/>
    <col min="3" max="3" width="25.85546875" style="9" customWidth="1"/>
    <col min="4" max="4" width="33.42578125" style="9" bestFit="1" customWidth="1"/>
    <col min="5" max="5" width="27.42578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55550</v>
      </c>
      <c r="F7" s="27">
        <v>812.45</v>
      </c>
      <c r="G7" s="28">
        <v>7.7100000000000002E-2</v>
      </c>
      <c r="H7" s="29"/>
    </row>
    <row r="8" spans="2:9" ht="15.75" customHeight="1" x14ac:dyDescent="0.2">
      <c r="B8" s="25" t="s">
        <v>158</v>
      </c>
      <c r="C8" s="25" t="s">
        <v>159</v>
      </c>
      <c r="D8" s="25" t="s">
        <v>124</v>
      </c>
      <c r="E8" s="26">
        <v>239850</v>
      </c>
      <c r="F8" s="27">
        <v>593.87</v>
      </c>
      <c r="G8" s="28">
        <v>5.6399999999999999E-2</v>
      </c>
      <c r="H8" s="29"/>
    </row>
    <row r="9" spans="2:9" ht="15.75" customHeight="1" x14ac:dyDescent="0.2">
      <c r="B9" s="25" t="s">
        <v>160</v>
      </c>
      <c r="C9" s="25" t="s">
        <v>161</v>
      </c>
      <c r="D9" s="25" t="s">
        <v>162</v>
      </c>
      <c r="E9" s="26">
        <v>13500</v>
      </c>
      <c r="F9" s="27">
        <v>469.77</v>
      </c>
      <c r="G9" s="28">
        <v>4.4600000000000001E-2</v>
      </c>
      <c r="H9" s="29"/>
    </row>
    <row r="10" spans="2:9" ht="15.75" customHeight="1" x14ac:dyDescent="0.2">
      <c r="B10" s="25" t="s">
        <v>163</v>
      </c>
      <c r="C10" s="25" t="s">
        <v>164</v>
      </c>
      <c r="D10" s="25" t="s">
        <v>165</v>
      </c>
      <c r="E10" s="26">
        <v>51000</v>
      </c>
      <c r="F10" s="27">
        <v>452.63</v>
      </c>
      <c r="G10" s="28">
        <v>4.2999999999999997E-2</v>
      </c>
      <c r="H10" s="29"/>
    </row>
    <row r="11" spans="2:9" ht="15.75" customHeight="1" x14ac:dyDescent="0.2">
      <c r="B11" s="25" t="s">
        <v>166</v>
      </c>
      <c r="C11" s="25" t="s">
        <v>167</v>
      </c>
      <c r="D11" s="25" t="s">
        <v>124</v>
      </c>
      <c r="E11" s="26">
        <v>37500</v>
      </c>
      <c r="F11" s="27">
        <v>400.41</v>
      </c>
      <c r="G11" s="28">
        <v>3.7999999999999999E-2</v>
      </c>
      <c r="H11" s="29"/>
    </row>
    <row r="12" spans="2:9" ht="15.75" customHeight="1" x14ac:dyDescent="0.2">
      <c r="B12" s="25" t="s">
        <v>168</v>
      </c>
      <c r="C12" s="25" t="s">
        <v>169</v>
      </c>
      <c r="D12" s="25" t="s">
        <v>170</v>
      </c>
      <c r="E12" s="26">
        <v>5625</v>
      </c>
      <c r="F12" s="27">
        <v>386.04</v>
      </c>
      <c r="G12" s="28">
        <v>3.6600000000000001E-2</v>
      </c>
      <c r="H12" s="29"/>
    </row>
    <row r="13" spans="2:9" ht="15.75" customHeight="1" x14ac:dyDescent="0.2">
      <c r="B13" s="25" t="s">
        <v>171</v>
      </c>
      <c r="C13" s="25" t="s">
        <v>172</v>
      </c>
      <c r="D13" s="25" t="s">
        <v>127</v>
      </c>
      <c r="E13" s="26">
        <v>9275</v>
      </c>
      <c r="F13" s="27">
        <v>353.93</v>
      </c>
      <c r="G13" s="28">
        <v>3.3599999999999998E-2</v>
      </c>
      <c r="H13" s="29"/>
    </row>
    <row r="14" spans="2:9" ht="15.75" customHeight="1" x14ac:dyDescent="0.2">
      <c r="B14" s="25" t="s">
        <v>173</v>
      </c>
      <c r="C14" s="25" t="s">
        <v>174</v>
      </c>
      <c r="D14" s="25" t="s">
        <v>132</v>
      </c>
      <c r="E14" s="26">
        <v>59400</v>
      </c>
      <c r="F14" s="27">
        <v>298.39999999999998</v>
      </c>
      <c r="G14" s="28">
        <v>2.8299999999999999E-2</v>
      </c>
      <c r="H14" s="29"/>
    </row>
    <row r="15" spans="2:9" ht="15.75" customHeight="1" x14ac:dyDescent="0.2">
      <c r="B15" s="25" t="s">
        <v>175</v>
      </c>
      <c r="C15" s="25" t="s">
        <v>176</v>
      </c>
      <c r="D15" s="25" t="s">
        <v>177</v>
      </c>
      <c r="E15" s="26">
        <v>49000</v>
      </c>
      <c r="F15" s="27">
        <v>283.88</v>
      </c>
      <c r="G15" s="28">
        <v>2.7E-2</v>
      </c>
      <c r="H15" s="29"/>
    </row>
    <row r="16" spans="2:9" ht="15.75" customHeight="1" x14ac:dyDescent="0.2">
      <c r="B16" s="25" t="s">
        <v>142</v>
      </c>
      <c r="C16" s="25" t="s">
        <v>143</v>
      </c>
      <c r="D16" s="25" t="s">
        <v>127</v>
      </c>
      <c r="E16" s="26">
        <v>4350</v>
      </c>
      <c r="F16" s="27">
        <v>237.01</v>
      </c>
      <c r="G16" s="28">
        <v>2.2499999999999999E-2</v>
      </c>
      <c r="H16" s="29"/>
    </row>
    <row r="17" spans="2:8" ht="15.75" customHeight="1" x14ac:dyDescent="0.2">
      <c r="B17" s="25" t="s">
        <v>178</v>
      </c>
      <c r="C17" s="25" t="s">
        <v>179</v>
      </c>
      <c r="D17" s="25" t="s">
        <v>180</v>
      </c>
      <c r="E17" s="26">
        <v>31250</v>
      </c>
      <c r="F17" s="27">
        <v>236.61</v>
      </c>
      <c r="G17" s="28">
        <v>2.2499999999999999E-2</v>
      </c>
      <c r="H17" s="29"/>
    </row>
    <row r="18" spans="2:8" ht="15.75" customHeight="1" x14ac:dyDescent="0.2">
      <c r="B18" s="25" t="s">
        <v>181</v>
      </c>
      <c r="C18" s="25" t="s">
        <v>182</v>
      </c>
      <c r="D18" s="25" t="s">
        <v>124</v>
      </c>
      <c r="E18" s="26">
        <v>87500</v>
      </c>
      <c r="F18" s="27">
        <v>227.98</v>
      </c>
      <c r="G18" s="28">
        <v>2.1600000000000001E-2</v>
      </c>
      <c r="H18" s="29"/>
    </row>
    <row r="19" spans="2:8" ht="15.75" customHeight="1" x14ac:dyDescent="0.2">
      <c r="B19" s="25" t="s">
        <v>130</v>
      </c>
      <c r="C19" s="25" t="s">
        <v>131</v>
      </c>
      <c r="D19" s="25" t="s">
        <v>132</v>
      </c>
      <c r="E19" s="26">
        <v>7000</v>
      </c>
      <c r="F19" s="27">
        <v>199.73</v>
      </c>
      <c r="G19" s="28">
        <v>1.9E-2</v>
      </c>
      <c r="H19" s="29"/>
    </row>
    <row r="20" spans="2:8" ht="15.75" customHeight="1" x14ac:dyDescent="0.2">
      <c r="B20" s="25" t="s">
        <v>183</v>
      </c>
      <c r="C20" s="25" t="s">
        <v>184</v>
      </c>
      <c r="D20" s="25" t="s">
        <v>141</v>
      </c>
      <c r="E20" s="26">
        <v>1900</v>
      </c>
      <c r="F20" s="27">
        <v>193.55</v>
      </c>
      <c r="G20" s="28">
        <v>1.84E-2</v>
      </c>
      <c r="H20" s="29"/>
    </row>
    <row r="21" spans="2:8" ht="15.75" customHeight="1" x14ac:dyDescent="0.2">
      <c r="B21" s="25" t="s">
        <v>185</v>
      </c>
      <c r="C21" s="25" t="s">
        <v>186</v>
      </c>
      <c r="D21" s="25" t="s">
        <v>187</v>
      </c>
      <c r="E21" s="26">
        <v>102600</v>
      </c>
      <c r="F21" s="27">
        <v>190.73</v>
      </c>
      <c r="G21" s="28">
        <v>1.8100000000000002E-2</v>
      </c>
      <c r="H21" s="29"/>
    </row>
    <row r="22" spans="2:8" ht="15.75" customHeight="1" x14ac:dyDescent="0.2">
      <c r="B22" s="25" t="s">
        <v>188</v>
      </c>
      <c r="C22" s="25" t="s">
        <v>189</v>
      </c>
      <c r="D22" s="25" t="s">
        <v>124</v>
      </c>
      <c r="E22" s="26">
        <v>22500</v>
      </c>
      <c r="F22" s="27">
        <v>144.11000000000001</v>
      </c>
      <c r="G22" s="28">
        <v>1.37E-2</v>
      </c>
      <c r="H22" s="29"/>
    </row>
    <row r="23" spans="2:8" ht="15.75" customHeight="1" x14ac:dyDescent="0.2">
      <c r="B23" s="25" t="s">
        <v>190</v>
      </c>
      <c r="C23" s="25" t="s">
        <v>191</v>
      </c>
      <c r="D23" s="25" t="s">
        <v>135</v>
      </c>
      <c r="E23" s="26">
        <v>24000</v>
      </c>
      <c r="F23" s="27">
        <v>105.97</v>
      </c>
      <c r="G23" s="28">
        <v>1.01E-2</v>
      </c>
      <c r="H23" s="29"/>
    </row>
    <row r="24" spans="2:8" ht="15.75" customHeight="1" x14ac:dyDescent="0.2">
      <c r="B24" s="25" t="s">
        <v>192</v>
      </c>
      <c r="C24" s="25" t="s">
        <v>193</v>
      </c>
      <c r="D24" s="25" t="s">
        <v>124</v>
      </c>
      <c r="E24" s="26">
        <v>5200</v>
      </c>
      <c r="F24" s="27">
        <v>94.91</v>
      </c>
      <c r="G24" s="28">
        <v>8.9999999999999993E-3</v>
      </c>
      <c r="H24" s="29"/>
    </row>
    <row r="25" spans="2:8" ht="15.75" customHeight="1" x14ac:dyDescent="0.2">
      <c r="B25" s="25" t="s">
        <v>194</v>
      </c>
      <c r="C25" s="25" t="s">
        <v>195</v>
      </c>
      <c r="D25" s="25" t="s">
        <v>196</v>
      </c>
      <c r="E25" s="26">
        <v>24700</v>
      </c>
      <c r="F25" s="27">
        <v>90.61</v>
      </c>
      <c r="G25" s="28">
        <v>8.6E-3</v>
      </c>
      <c r="H25" s="29"/>
    </row>
    <row r="26" spans="2:8" ht="15.75" customHeight="1" x14ac:dyDescent="0.2">
      <c r="B26" s="25" t="s">
        <v>197</v>
      </c>
      <c r="C26" s="25" t="s">
        <v>198</v>
      </c>
      <c r="D26" s="25" t="s">
        <v>170</v>
      </c>
      <c r="E26" s="26">
        <v>5500</v>
      </c>
      <c r="F26" s="27">
        <v>89.5</v>
      </c>
      <c r="G26" s="28">
        <v>8.5000000000000006E-3</v>
      </c>
      <c r="H26" s="29"/>
    </row>
    <row r="27" spans="2:8" ht="15.75" customHeight="1" x14ac:dyDescent="0.2">
      <c r="B27" s="25" t="s">
        <v>199</v>
      </c>
      <c r="C27" s="25" t="s">
        <v>200</v>
      </c>
      <c r="D27" s="25" t="s">
        <v>201</v>
      </c>
      <c r="E27" s="26">
        <v>32200</v>
      </c>
      <c r="F27" s="27">
        <v>88.18</v>
      </c>
      <c r="G27" s="28">
        <v>8.3999999999999995E-3</v>
      </c>
      <c r="H27" s="29"/>
    </row>
    <row r="28" spans="2:8" ht="15.75" customHeight="1" x14ac:dyDescent="0.2">
      <c r="B28" s="25" t="s">
        <v>202</v>
      </c>
      <c r="C28" s="25" t="s">
        <v>203</v>
      </c>
      <c r="D28" s="25" t="s">
        <v>204</v>
      </c>
      <c r="E28" s="26">
        <v>32500</v>
      </c>
      <c r="F28" s="27">
        <v>87.23</v>
      </c>
      <c r="G28" s="28">
        <v>8.3000000000000001E-3</v>
      </c>
      <c r="H28" s="29"/>
    </row>
    <row r="29" spans="2:8" ht="15.75" customHeight="1" x14ac:dyDescent="0.2">
      <c r="B29" s="25" t="s">
        <v>205</v>
      </c>
      <c r="C29" s="25" t="s">
        <v>206</v>
      </c>
      <c r="D29" s="25" t="s">
        <v>207</v>
      </c>
      <c r="E29" s="26">
        <v>2800</v>
      </c>
      <c r="F29" s="27">
        <v>86.43</v>
      </c>
      <c r="G29" s="28">
        <v>8.2000000000000007E-3</v>
      </c>
      <c r="H29" s="29"/>
    </row>
    <row r="30" spans="2:8" ht="15.75" customHeight="1" x14ac:dyDescent="0.2">
      <c r="B30" s="25" t="s">
        <v>208</v>
      </c>
      <c r="C30" s="25" t="s">
        <v>209</v>
      </c>
      <c r="D30" s="25" t="s">
        <v>170</v>
      </c>
      <c r="E30" s="26">
        <v>48600</v>
      </c>
      <c r="F30" s="27">
        <v>83.15</v>
      </c>
      <c r="G30" s="28">
        <v>7.9000000000000008E-3</v>
      </c>
      <c r="H30" s="29"/>
    </row>
    <row r="31" spans="2:8" ht="15.75" customHeight="1" x14ac:dyDescent="0.2">
      <c r="B31" s="25" t="s">
        <v>210</v>
      </c>
      <c r="C31" s="25" t="s">
        <v>211</v>
      </c>
      <c r="D31" s="25" t="s">
        <v>212</v>
      </c>
      <c r="E31" s="26">
        <v>2800</v>
      </c>
      <c r="F31" s="27">
        <v>82.82</v>
      </c>
      <c r="G31" s="28">
        <v>7.9000000000000008E-3</v>
      </c>
      <c r="H31" s="29"/>
    </row>
    <row r="32" spans="2:8" ht="15.75" customHeight="1" x14ac:dyDescent="0.2">
      <c r="B32" s="25" t="s">
        <v>213</v>
      </c>
      <c r="C32" s="25" t="s">
        <v>214</v>
      </c>
      <c r="D32" s="25" t="s">
        <v>215</v>
      </c>
      <c r="E32" s="26">
        <v>3000</v>
      </c>
      <c r="F32" s="27">
        <v>75.989999999999995</v>
      </c>
      <c r="G32" s="28">
        <v>7.1999999999999998E-3</v>
      </c>
      <c r="H32" s="29"/>
    </row>
    <row r="33" spans="2:8" ht="15.75" customHeight="1" x14ac:dyDescent="0.2">
      <c r="B33" s="25" t="s">
        <v>216</v>
      </c>
      <c r="C33" s="25" t="s">
        <v>217</v>
      </c>
      <c r="D33" s="25" t="s">
        <v>212</v>
      </c>
      <c r="E33" s="26">
        <v>1750</v>
      </c>
      <c r="F33" s="27">
        <v>64.709999999999994</v>
      </c>
      <c r="G33" s="28">
        <v>6.1000000000000004E-3</v>
      </c>
      <c r="H33" s="29"/>
    </row>
    <row r="34" spans="2:8" ht="15.75" customHeight="1" x14ac:dyDescent="0.2">
      <c r="B34" s="25" t="s">
        <v>218</v>
      </c>
      <c r="C34" s="25" t="s">
        <v>219</v>
      </c>
      <c r="D34" s="25" t="s">
        <v>204</v>
      </c>
      <c r="E34" s="26">
        <v>5500</v>
      </c>
      <c r="F34" s="27">
        <v>63.27</v>
      </c>
      <c r="G34" s="28">
        <v>6.0000000000000001E-3</v>
      </c>
      <c r="H34" s="29"/>
    </row>
    <row r="35" spans="2:8" ht="15.75" customHeight="1" x14ac:dyDescent="0.2">
      <c r="B35" s="25" t="s">
        <v>220</v>
      </c>
      <c r="C35" s="25" t="s">
        <v>221</v>
      </c>
      <c r="D35" s="25" t="s">
        <v>132</v>
      </c>
      <c r="E35" s="26">
        <v>13500</v>
      </c>
      <c r="F35" s="27">
        <v>62.54</v>
      </c>
      <c r="G35" s="28">
        <v>5.8999999999999999E-3</v>
      </c>
      <c r="H35" s="29"/>
    </row>
    <row r="36" spans="2:8" ht="15.75" customHeight="1" x14ac:dyDescent="0.2">
      <c r="B36" s="25" t="s">
        <v>222</v>
      </c>
      <c r="C36" s="25" t="s">
        <v>223</v>
      </c>
      <c r="D36" s="25" t="s">
        <v>212</v>
      </c>
      <c r="E36" s="26">
        <v>4500</v>
      </c>
      <c r="F36" s="27">
        <v>58.25</v>
      </c>
      <c r="G36" s="28">
        <v>5.4999999999999997E-3</v>
      </c>
      <c r="H36" s="29"/>
    </row>
    <row r="37" spans="2:8" ht="15.75" customHeight="1" x14ac:dyDescent="0.2">
      <c r="B37" s="25" t="s">
        <v>224</v>
      </c>
      <c r="C37" s="25" t="s">
        <v>225</v>
      </c>
      <c r="D37" s="25" t="s">
        <v>226</v>
      </c>
      <c r="E37" s="26">
        <v>5000</v>
      </c>
      <c r="F37" s="27">
        <v>58.21</v>
      </c>
      <c r="G37" s="28">
        <v>5.4999999999999997E-3</v>
      </c>
      <c r="H37" s="29"/>
    </row>
    <row r="38" spans="2:8" ht="15.75" customHeight="1" x14ac:dyDescent="0.2">
      <c r="B38" s="25" t="s">
        <v>139</v>
      </c>
      <c r="C38" s="25" t="s">
        <v>140</v>
      </c>
      <c r="D38" s="25" t="s">
        <v>141</v>
      </c>
      <c r="E38" s="26">
        <v>3500</v>
      </c>
      <c r="F38" s="27">
        <v>57.8</v>
      </c>
      <c r="G38" s="28">
        <v>5.4999999999999997E-3</v>
      </c>
      <c r="H38" s="29"/>
    </row>
    <row r="39" spans="2:8" ht="15.75" customHeight="1" x14ac:dyDescent="0.2">
      <c r="B39" s="25" t="s">
        <v>227</v>
      </c>
      <c r="C39" s="25" t="s">
        <v>228</v>
      </c>
      <c r="D39" s="25" t="s">
        <v>229</v>
      </c>
      <c r="E39" s="26">
        <v>13500</v>
      </c>
      <c r="F39" s="27">
        <v>52.62</v>
      </c>
      <c r="G39" s="28">
        <v>5.0000000000000001E-3</v>
      </c>
      <c r="H39" s="29"/>
    </row>
    <row r="40" spans="2:8" ht="15.75" customHeight="1" x14ac:dyDescent="0.2">
      <c r="B40" s="25" t="s">
        <v>230</v>
      </c>
      <c r="C40" s="25" t="s">
        <v>231</v>
      </c>
      <c r="D40" s="25" t="s">
        <v>204</v>
      </c>
      <c r="E40" s="26">
        <v>6300</v>
      </c>
      <c r="F40" s="27">
        <v>47.93</v>
      </c>
      <c r="G40" s="28">
        <v>4.5999999999999999E-3</v>
      </c>
      <c r="H40" s="29"/>
    </row>
    <row r="41" spans="2:8" ht="15.75" customHeight="1" x14ac:dyDescent="0.2">
      <c r="B41" s="25" t="s">
        <v>232</v>
      </c>
      <c r="C41" s="25" t="s">
        <v>233</v>
      </c>
      <c r="D41" s="25" t="s">
        <v>234</v>
      </c>
      <c r="E41" s="26">
        <v>56250</v>
      </c>
      <c r="F41" s="27">
        <v>44.07</v>
      </c>
      <c r="G41" s="28">
        <v>4.1999999999999997E-3</v>
      </c>
      <c r="H41" s="29"/>
    </row>
    <row r="42" spans="2:8" ht="15.75" customHeight="1" x14ac:dyDescent="0.2">
      <c r="B42" s="25" t="s">
        <v>235</v>
      </c>
      <c r="C42" s="25" t="s">
        <v>236</v>
      </c>
      <c r="D42" s="25" t="s">
        <v>204</v>
      </c>
      <c r="E42" s="26">
        <v>2550</v>
      </c>
      <c r="F42" s="27">
        <v>38.39</v>
      </c>
      <c r="G42" s="28">
        <v>3.5999999999999999E-3</v>
      </c>
      <c r="H42" s="29"/>
    </row>
    <row r="43" spans="2:8" ht="15.75" customHeight="1" x14ac:dyDescent="0.2">
      <c r="B43" s="25" t="s">
        <v>237</v>
      </c>
      <c r="C43" s="25" t="s">
        <v>238</v>
      </c>
      <c r="D43" s="25" t="s">
        <v>180</v>
      </c>
      <c r="E43" s="26">
        <v>27500</v>
      </c>
      <c r="F43" s="27">
        <v>37.39</v>
      </c>
      <c r="G43" s="28">
        <v>3.5000000000000001E-3</v>
      </c>
      <c r="H43" s="29"/>
    </row>
    <row r="44" spans="2:8" ht="15.75" customHeight="1" x14ac:dyDescent="0.2">
      <c r="B44" s="25" t="s">
        <v>239</v>
      </c>
      <c r="C44" s="25" t="s">
        <v>240</v>
      </c>
      <c r="D44" s="25" t="s">
        <v>241</v>
      </c>
      <c r="E44" s="26">
        <v>22500</v>
      </c>
      <c r="F44" s="27">
        <v>33.21</v>
      </c>
      <c r="G44" s="28">
        <v>3.2000000000000002E-3</v>
      </c>
      <c r="H44" s="29"/>
    </row>
    <row r="45" spans="2:8" ht="15.75" customHeight="1" x14ac:dyDescent="0.2">
      <c r="B45" s="25" t="s">
        <v>242</v>
      </c>
      <c r="C45" s="25" t="s">
        <v>243</v>
      </c>
      <c r="D45" s="25" t="s">
        <v>127</v>
      </c>
      <c r="E45" s="26">
        <v>1800</v>
      </c>
      <c r="F45" s="27">
        <v>24.01</v>
      </c>
      <c r="G45" s="28">
        <v>2.3E-3</v>
      </c>
      <c r="H45" s="29"/>
    </row>
    <row r="46" spans="2:8" ht="15.75" customHeight="1" x14ac:dyDescent="0.2">
      <c r="B46" s="25" t="s">
        <v>244</v>
      </c>
      <c r="C46" s="25" t="s">
        <v>245</v>
      </c>
      <c r="D46" s="25" t="s">
        <v>204</v>
      </c>
      <c r="E46" s="26">
        <v>375</v>
      </c>
      <c r="F46" s="27">
        <v>22.95</v>
      </c>
      <c r="G46" s="28">
        <v>2.2000000000000001E-3</v>
      </c>
      <c r="H46" s="29"/>
    </row>
    <row r="47" spans="2:8" ht="15.75" customHeight="1" x14ac:dyDescent="0.2">
      <c r="B47" s="25" t="s">
        <v>133</v>
      </c>
      <c r="C47" s="25" t="s">
        <v>134</v>
      </c>
      <c r="D47" s="25" t="s">
        <v>135</v>
      </c>
      <c r="E47" s="26">
        <v>900</v>
      </c>
      <c r="F47" s="27">
        <v>22.33</v>
      </c>
      <c r="G47" s="28">
        <v>2.0999999999999999E-3</v>
      </c>
      <c r="H47" s="29"/>
    </row>
    <row r="48" spans="2:8" ht="15.75" customHeight="1" x14ac:dyDescent="0.2">
      <c r="B48" s="25" t="s">
        <v>246</v>
      </c>
      <c r="C48" s="25" t="s">
        <v>247</v>
      </c>
      <c r="D48" s="25" t="s">
        <v>215</v>
      </c>
      <c r="E48" s="26">
        <v>3000</v>
      </c>
      <c r="F48" s="27">
        <v>19.77</v>
      </c>
      <c r="G48" s="28">
        <v>1.9E-3</v>
      </c>
      <c r="H48" s="29"/>
    </row>
    <row r="49" spans="2:8" ht="15.75" customHeight="1" x14ac:dyDescent="0.2">
      <c r="B49" s="25" t="s">
        <v>248</v>
      </c>
      <c r="C49" s="25" t="s">
        <v>249</v>
      </c>
      <c r="D49" s="25" t="s">
        <v>180</v>
      </c>
      <c r="E49" s="26">
        <v>2025</v>
      </c>
      <c r="F49" s="27">
        <v>16.579999999999998</v>
      </c>
      <c r="G49" s="28">
        <v>1.6000000000000001E-3</v>
      </c>
      <c r="H49" s="29"/>
    </row>
    <row r="50" spans="2:8" ht="15.75" customHeight="1" x14ac:dyDescent="0.2">
      <c r="B50" s="25" t="s">
        <v>250</v>
      </c>
      <c r="C50" s="25" t="s">
        <v>251</v>
      </c>
      <c r="D50" s="25" t="s">
        <v>252</v>
      </c>
      <c r="E50" s="26">
        <v>14200</v>
      </c>
      <c r="F50" s="27">
        <v>16.079999999999998</v>
      </c>
      <c r="G50" s="28">
        <v>1.5E-3</v>
      </c>
      <c r="H50" s="29"/>
    </row>
    <row r="51" spans="2:8" ht="15.75" customHeight="1" x14ac:dyDescent="0.2">
      <c r="B51" s="25" t="s">
        <v>253</v>
      </c>
      <c r="C51" s="25" t="s">
        <v>254</v>
      </c>
      <c r="D51" s="25" t="s">
        <v>170</v>
      </c>
      <c r="E51" s="26">
        <v>1500</v>
      </c>
      <c r="F51" s="27">
        <v>13.74</v>
      </c>
      <c r="G51" s="28">
        <v>1.2999999999999999E-3</v>
      </c>
      <c r="H51" s="29"/>
    </row>
    <row r="52" spans="2:8" ht="15.75" customHeight="1" x14ac:dyDescent="0.2">
      <c r="B52" s="25" t="s">
        <v>255</v>
      </c>
      <c r="C52" s="25" t="s">
        <v>256</v>
      </c>
      <c r="D52" s="25" t="s">
        <v>204</v>
      </c>
      <c r="E52" s="26">
        <v>1450</v>
      </c>
      <c r="F52" s="27">
        <v>13.2</v>
      </c>
      <c r="G52" s="28">
        <v>1.2999999999999999E-3</v>
      </c>
      <c r="H52" s="29"/>
    </row>
    <row r="53" spans="2:8" ht="15.75" customHeight="1" x14ac:dyDescent="0.2">
      <c r="B53" s="25" t="s">
        <v>257</v>
      </c>
      <c r="C53" s="25" t="s">
        <v>258</v>
      </c>
      <c r="D53" s="25" t="s">
        <v>259</v>
      </c>
      <c r="E53" s="26">
        <v>3400</v>
      </c>
      <c r="F53" s="27">
        <v>7.55</v>
      </c>
      <c r="G53" s="28">
        <v>6.9999999999999999E-4</v>
      </c>
      <c r="H53" s="29"/>
    </row>
    <row r="54" spans="2:8" ht="15.75" customHeight="1" x14ac:dyDescent="0.2">
      <c r="B54" s="25" t="s">
        <v>125</v>
      </c>
      <c r="C54" s="25" t="s">
        <v>126</v>
      </c>
      <c r="D54" s="25" t="s">
        <v>127</v>
      </c>
      <c r="E54" s="26">
        <v>400</v>
      </c>
      <c r="F54" s="27">
        <v>6.64</v>
      </c>
      <c r="G54" s="28">
        <v>5.9999999999999995E-4</v>
      </c>
      <c r="H54" s="29"/>
    </row>
    <row r="55" spans="2:8" ht="15.75" customHeight="1" x14ac:dyDescent="0.2">
      <c r="B55" s="24" t="s">
        <v>94</v>
      </c>
      <c r="C55" s="24"/>
      <c r="D55" s="24"/>
      <c r="E55" s="30"/>
      <c r="F55" s="31">
        <v>7147.13</v>
      </c>
      <c r="G55" s="32">
        <v>0.67849999999999999</v>
      </c>
      <c r="H55" s="33"/>
    </row>
    <row r="56" spans="2:8" ht="15.75" customHeight="1" x14ac:dyDescent="0.2">
      <c r="B56" s="24" t="s">
        <v>144</v>
      </c>
      <c r="C56" s="25"/>
      <c r="D56" s="25"/>
      <c r="E56" s="26"/>
      <c r="F56" s="27"/>
      <c r="G56" s="28"/>
      <c r="H56" s="29"/>
    </row>
    <row r="57" spans="2:8" ht="15.75" customHeight="1" x14ac:dyDescent="0.2">
      <c r="B57" s="24" t="s">
        <v>94</v>
      </c>
      <c r="C57" s="25"/>
      <c r="D57" s="25"/>
      <c r="E57" s="26"/>
      <c r="F57" s="34" t="s">
        <v>96</v>
      </c>
      <c r="G57" s="35" t="s">
        <v>96</v>
      </c>
      <c r="H57" s="29"/>
    </row>
    <row r="58" spans="2:8" ht="15.75" customHeight="1" x14ac:dyDescent="0.2">
      <c r="B58" s="25"/>
      <c r="C58" s="25"/>
      <c r="D58" s="25"/>
      <c r="E58" s="26"/>
      <c r="F58" s="27"/>
      <c r="G58" s="28"/>
      <c r="H58" s="29"/>
    </row>
    <row r="59" spans="2:8" ht="15.75" customHeight="1" x14ac:dyDescent="0.2">
      <c r="B59" s="36" t="s">
        <v>98</v>
      </c>
      <c r="C59" s="36"/>
      <c r="D59" s="36"/>
      <c r="E59" s="37"/>
      <c r="F59" s="31">
        <v>7147.13</v>
      </c>
      <c r="G59" s="32">
        <v>0.67849999999999999</v>
      </c>
      <c r="H59" s="33"/>
    </row>
    <row r="60" spans="2:8" ht="15.75" customHeight="1" x14ac:dyDescent="0.2">
      <c r="B60" s="25"/>
      <c r="C60" s="25"/>
      <c r="D60" s="25"/>
      <c r="E60" s="26"/>
      <c r="F60" s="27"/>
      <c r="G60" s="28"/>
      <c r="H60" s="29"/>
    </row>
    <row r="61" spans="2:8" ht="15.75" customHeight="1" x14ac:dyDescent="0.2">
      <c r="B61" s="24" t="s">
        <v>114</v>
      </c>
      <c r="C61" s="25"/>
      <c r="D61" s="25"/>
      <c r="E61" s="26"/>
      <c r="F61" s="27"/>
      <c r="G61" s="28"/>
      <c r="H61" s="29"/>
    </row>
    <row r="62" spans="2:8" ht="15.75" customHeight="1" x14ac:dyDescent="0.2">
      <c r="B62" s="25"/>
      <c r="C62" s="25"/>
      <c r="D62" s="25"/>
      <c r="E62" s="26"/>
      <c r="F62" s="27"/>
      <c r="G62" s="28"/>
      <c r="H62" s="29"/>
    </row>
    <row r="63" spans="2:8" ht="15.75" customHeight="1" x14ac:dyDescent="0.2">
      <c r="B63" s="24" t="s">
        <v>115</v>
      </c>
      <c r="C63" s="25"/>
      <c r="D63" s="25"/>
      <c r="E63" s="26"/>
      <c r="F63" s="27"/>
      <c r="G63" s="28"/>
      <c r="H63" s="29"/>
    </row>
    <row r="64" spans="2:8" ht="15.75" customHeight="1" x14ac:dyDescent="0.2">
      <c r="B64" s="25" t="s">
        <v>117</v>
      </c>
      <c r="C64" s="25" t="s">
        <v>118</v>
      </c>
      <c r="D64" s="25" t="s">
        <v>116</v>
      </c>
      <c r="E64" s="26">
        <v>100</v>
      </c>
      <c r="F64" s="27">
        <v>492.1</v>
      </c>
      <c r="G64" s="28">
        <v>4.6699999999999998E-2</v>
      </c>
      <c r="H64" s="29">
        <v>7.7148999999999995E-2</v>
      </c>
    </row>
    <row r="65" spans="2:16" ht="15.75" customHeight="1" x14ac:dyDescent="0.2">
      <c r="B65" s="24" t="s">
        <v>94</v>
      </c>
      <c r="C65" s="24"/>
      <c r="D65" s="24"/>
      <c r="E65" s="30"/>
      <c r="F65" s="31">
        <v>492.1</v>
      </c>
      <c r="G65" s="32">
        <v>4.6699999999999998E-2</v>
      </c>
      <c r="H65" s="33"/>
    </row>
    <row r="66" spans="2:16" ht="15.75" customHeight="1" x14ac:dyDescent="0.2">
      <c r="B66" s="25"/>
      <c r="C66" s="25"/>
      <c r="D66" s="25"/>
      <c r="E66" s="26"/>
      <c r="F66" s="27"/>
      <c r="G66" s="28"/>
      <c r="H66" s="29"/>
    </row>
    <row r="67" spans="2:16" ht="15.75" customHeight="1" x14ac:dyDescent="0.2">
      <c r="B67" s="24" t="s">
        <v>155</v>
      </c>
      <c r="C67" s="25"/>
      <c r="D67" s="25"/>
      <c r="E67" s="26"/>
      <c r="F67" s="27"/>
      <c r="G67" s="28"/>
      <c r="H67" s="29"/>
    </row>
    <row r="68" spans="2:16" ht="15.75" customHeight="1" x14ac:dyDescent="0.2">
      <c r="B68" s="25" t="s">
        <v>260</v>
      </c>
      <c r="C68" s="25" t="s">
        <v>261</v>
      </c>
      <c r="D68" s="25" t="s">
        <v>116</v>
      </c>
      <c r="E68" s="26">
        <v>100</v>
      </c>
      <c r="F68" s="27">
        <v>491.52</v>
      </c>
      <c r="G68" s="28">
        <v>4.6699999999999998E-2</v>
      </c>
      <c r="H68" s="29">
        <v>8.3998000000000003E-2</v>
      </c>
      <c r="L68" s="3"/>
    </row>
    <row r="69" spans="2:16" ht="15.75" customHeight="1" x14ac:dyDescent="0.2">
      <c r="B69" s="24" t="s">
        <v>94</v>
      </c>
      <c r="C69" s="24"/>
      <c r="D69" s="24"/>
      <c r="E69" s="30"/>
      <c r="F69" s="31">
        <v>491.52</v>
      </c>
      <c r="G69" s="32">
        <v>4.6699999999999998E-2</v>
      </c>
      <c r="H69" s="33"/>
    </row>
    <row r="70" spans="2:16" ht="15.75" customHeight="1" x14ac:dyDescent="0.2">
      <c r="B70" s="25"/>
      <c r="C70" s="25"/>
      <c r="D70" s="25"/>
      <c r="E70" s="26"/>
      <c r="F70" s="27"/>
      <c r="G70" s="28"/>
      <c r="H70" s="29"/>
      <c r="L70" s="3"/>
    </row>
    <row r="71" spans="2:16" ht="15.75" customHeight="1" x14ac:dyDescent="0.2">
      <c r="B71" s="36" t="s">
        <v>98</v>
      </c>
      <c r="C71" s="36"/>
      <c r="D71" s="36"/>
      <c r="E71" s="37"/>
      <c r="F71" s="31">
        <v>983.62</v>
      </c>
      <c r="G71" s="32">
        <v>9.3399999999999997E-2</v>
      </c>
      <c r="H71" s="33"/>
      <c r="L71" s="3"/>
    </row>
    <row r="72" spans="2:16" ht="15.75" customHeight="1" x14ac:dyDescent="0.2">
      <c r="B72" s="25"/>
      <c r="C72" s="25"/>
      <c r="D72" s="25"/>
      <c r="E72" s="26"/>
      <c r="F72" s="27"/>
      <c r="G72" s="28"/>
      <c r="H72" s="29"/>
      <c r="L72" s="3"/>
    </row>
    <row r="73" spans="2:16" ht="15.75" customHeight="1" x14ac:dyDescent="0.2">
      <c r="B73" s="25"/>
      <c r="C73" s="25"/>
      <c r="D73" s="25"/>
      <c r="E73" s="26"/>
      <c r="F73" s="27"/>
      <c r="G73" s="28"/>
      <c r="H73" s="29"/>
      <c r="L73" s="3"/>
    </row>
    <row r="74" spans="2:16" ht="15.75" customHeight="1" x14ac:dyDescent="0.2">
      <c r="B74" s="24" t="s">
        <v>99</v>
      </c>
      <c r="C74" s="25"/>
      <c r="D74" s="25"/>
      <c r="E74" s="26"/>
      <c r="F74" s="27"/>
      <c r="G74" s="28"/>
      <c r="H74" s="29"/>
      <c r="L74" s="3"/>
    </row>
    <row r="75" spans="2:16" ht="15.75" customHeight="1" x14ac:dyDescent="0.2">
      <c r="B75" s="24" t="s">
        <v>100</v>
      </c>
      <c r="C75" s="25"/>
      <c r="D75" s="25"/>
      <c r="E75" s="26"/>
      <c r="F75" s="27"/>
      <c r="G75" s="28"/>
      <c r="H75" s="29"/>
      <c r="L75" s="5"/>
      <c r="M75" s="5"/>
      <c r="N75" s="6"/>
      <c r="O75" s="6"/>
      <c r="P75" s="5"/>
    </row>
    <row r="76" spans="2:16" ht="15.75" customHeight="1" x14ac:dyDescent="0.2">
      <c r="B76" s="25" t="s">
        <v>262</v>
      </c>
      <c r="C76" s="25" t="s">
        <v>263</v>
      </c>
      <c r="D76" s="25"/>
      <c r="E76" s="26">
        <v>48818.877999999997</v>
      </c>
      <c r="F76" s="27">
        <v>2114.27</v>
      </c>
      <c r="G76" s="28">
        <v>0.20069999999999999</v>
      </c>
      <c r="H76" s="29"/>
    </row>
    <row r="77" spans="2:16" ht="15.75" customHeight="1" x14ac:dyDescent="0.2">
      <c r="B77" s="25"/>
      <c r="C77" s="25"/>
      <c r="D77" s="25"/>
      <c r="E77" s="26"/>
      <c r="F77" s="27"/>
      <c r="G77" s="28"/>
      <c r="H77" s="29"/>
    </row>
    <row r="78" spans="2:16" ht="15.75" customHeight="1" x14ac:dyDescent="0.2">
      <c r="B78" s="36" t="s">
        <v>98</v>
      </c>
      <c r="C78" s="36"/>
      <c r="D78" s="36"/>
      <c r="E78" s="37"/>
      <c r="F78" s="31">
        <v>2114.27</v>
      </c>
      <c r="G78" s="32">
        <v>0.20069999999999999</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101</v>
      </c>
      <c r="C80" s="25"/>
      <c r="D80" s="25"/>
      <c r="E80" s="26"/>
      <c r="F80" s="27"/>
      <c r="G80" s="28"/>
      <c r="H80" s="29"/>
      <c r="L80" s="7"/>
      <c r="M80" s="7"/>
      <c r="N80" s="7"/>
      <c r="O80" s="7"/>
      <c r="P80" s="7"/>
    </row>
    <row r="81" spans="2:16" ht="15.75" customHeight="1" x14ac:dyDescent="0.2">
      <c r="B81" s="25" t="s">
        <v>102</v>
      </c>
      <c r="C81" s="25"/>
      <c r="D81" s="25"/>
      <c r="E81" s="26"/>
      <c r="F81" s="27">
        <v>538.59</v>
      </c>
      <c r="G81" s="28">
        <v>5.11E-2</v>
      </c>
      <c r="H81" s="29"/>
      <c r="L81" s="7"/>
      <c r="M81" s="7"/>
      <c r="N81" s="7"/>
      <c r="O81" s="7"/>
      <c r="P81" s="7"/>
    </row>
    <row r="82" spans="2:16" ht="15.75" customHeight="1" x14ac:dyDescent="0.2">
      <c r="B82" s="24" t="s">
        <v>94</v>
      </c>
      <c r="C82" s="24"/>
      <c r="D82" s="24"/>
      <c r="E82" s="30"/>
      <c r="F82" s="31">
        <v>538.59</v>
      </c>
      <c r="G82" s="32">
        <v>5.11E-2</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98</v>
      </c>
      <c r="C84" s="36"/>
      <c r="D84" s="36"/>
      <c r="E84" s="37"/>
      <c r="F84" s="31">
        <v>538.59</v>
      </c>
      <c r="G84" s="32">
        <v>5.11E-2</v>
      </c>
      <c r="H84" s="33"/>
      <c r="L84" s="7"/>
      <c r="M84" s="7"/>
      <c r="N84" s="7"/>
      <c r="O84" s="7"/>
      <c r="P84" s="7"/>
    </row>
    <row r="85" spans="2:16" ht="15.75" customHeight="1" x14ac:dyDescent="0.2">
      <c r="B85" s="25" t="s">
        <v>103</v>
      </c>
      <c r="C85" s="25"/>
      <c r="D85" s="25"/>
      <c r="E85" s="26"/>
      <c r="F85" s="38">
        <v>-250.02</v>
      </c>
      <c r="G85" s="39">
        <v>-2.3700000000000054E-2</v>
      </c>
      <c r="H85" s="29"/>
    </row>
    <row r="86" spans="2:16" ht="15.75" customHeight="1" x14ac:dyDescent="0.2">
      <c r="B86" s="40" t="s">
        <v>104</v>
      </c>
      <c r="C86" s="40"/>
      <c r="D86" s="40"/>
      <c r="E86" s="41"/>
      <c r="F86" s="42">
        <v>10533.59</v>
      </c>
      <c r="G86" s="43">
        <v>1</v>
      </c>
      <c r="H86" s="44"/>
      <c r="L86" s="3"/>
    </row>
    <row r="87" spans="2:16" ht="15.75" customHeight="1" x14ac:dyDescent="0.2">
      <c r="B87" s="2"/>
    </row>
    <row r="88" spans="2:16" ht="15.75" customHeight="1" x14ac:dyDescent="0.2">
      <c r="B88" s="12" t="s">
        <v>119</v>
      </c>
    </row>
    <row r="89" spans="2:16" ht="15.75" customHeight="1" x14ac:dyDescent="0.2">
      <c r="B89" s="12" t="s">
        <v>105</v>
      </c>
    </row>
    <row r="90" spans="2:16" ht="15.75" customHeight="1" x14ac:dyDescent="0.2">
      <c r="B90" s="53"/>
    </row>
    <row r="91" spans="2:16" ht="15.75" customHeight="1" x14ac:dyDescent="0.2">
      <c r="B91" s="9" t="s">
        <v>267</v>
      </c>
    </row>
    <row r="92" spans="2:16" ht="15.75" customHeight="1" x14ac:dyDescent="0.2">
      <c r="B92" s="9" t="s">
        <v>268</v>
      </c>
    </row>
    <row r="93" spans="2:16" ht="15.75" customHeight="1" x14ac:dyDescent="0.2">
      <c r="B93" s="13" t="s">
        <v>264</v>
      </c>
      <c r="C93" s="50" t="s">
        <v>2</v>
      </c>
      <c r="D93" s="51" t="s">
        <v>3</v>
      </c>
      <c r="E93" s="52" t="s">
        <v>265</v>
      </c>
    </row>
    <row r="94" spans="2:16" ht="15.75" customHeight="1" x14ac:dyDescent="0.2">
      <c r="B94" s="46" t="s">
        <v>133</v>
      </c>
      <c r="C94" s="47">
        <v>-900</v>
      </c>
      <c r="D94" s="48">
        <v>-22.43</v>
      </c>
      <c r="E94" s="49">
        <v>-2.0999999999999999E-3</v>
      </c>
    </row>
    <row r="95" spans="2:16" ht="15.75" customHeight="1" x14ac:dyDescent="0.2">
      <c r="B95" s="46" t="s">
        <v>239</v>
      </c>
      <c r="C95" s="47">
        <v>-22500</v>
      </c>
      <c r="D95" s="48">
        <v>-33.19</v>
      </c>
      <c r="E95" s="49">
        <v>-3.2000000000000002E-3</v>
      </c>
    </row>
    <row r="96" spans="2:16" ht="15.75" customHeight="1" x14ac:dyDescent="0.2">
      <c r="B96" s="46" t="s">
        <v>192</v>
      </c>
      <c r="C96" s="47">
        <v>-5200</v>
      </c>
      <c r="D96" s="48">
        <v>-95.38</v>
      </c>
      <c r="E96" s="49">
        <v>-9.1000000000000004E-3</v>
      </c>
    </row>
    <row r="97" spans="2:5" ht="15.75" customHeight="1" x14ac:dyDescent="0.2">
      <c r="B97" s="46" t="s">
        <v>160</v>
      </c>
      <c r="C97" s="47">
        <v>-13500</v>
      </c>
      <c r="D97" s="48">
        <v>-471.9</v>
      </c>
      <c r="E97" s="49">
        <v>-4.48E-2</v>
      </c>
    </row>
    <row r="98" spans="2:5" ht="15.75" customHeight="1" x14ac:dyDescent="0.2">
      <c r="B98" s="46" t="s">
        <v>253</v>
      </c>
      <c r="C98" s="47">
        <v>-1500</v>
      </c>
      <c r="D98" s="48">
        <v>-13.8</v>
      </c>
      <c r="E98" s="49">
        <v>-1.2999999999999999E-3</v>
      </c>
    </row>
    <row r="99" spans="2:5" ht="15.75" customHeight="1" x14ac:dyDescent="0.2">
      <c r="B99" s="46" t="s">
        <v>213</v>
      </c>
      <c r="C99" s="47">
        <v>-3000</v>
      </c>
      <c r="D99" s="48">
        <v>-76.400000000000006</v>
      </c>
      <c r="E99" s="49">
        <v>-7.3000000000000001E-3</v>
      </c>
    </row>
    <row r="100" spans="2:5" ht="15.75" customHeight="1" x14ac:dyDescent="0.2">
      <c r="B100" s="46" t="s">
        <v>242</v>
      </c>
      <c r="C100" s="47">
        <v>-1800</v>
      </c>
      <c r="D100" s="48">
        <v>-24.11</v>
      </c>
      <c r="E100" s="49">
        <v>-2.3E-3</v>
      </c>
    </row>
    <row r="101" spans="2:5" ht="15.75" customHeight="1" x14ac:dyDescent="0.2">
      <c r="B101" s="46" t="s">
        <v>158</v>
      </c>
      <c r="C101" s="47">
        <v>-239850</v>
      </c>
      <c r="D101" s="48">
        <v>-598.79</v>
      </c>
      <c r="E101" s="49">
        <v>-5.6800000000000003E-2</v>
      </c>
    </row>
    <row r="102" spans="2:5" ht="15.75" customHeight="1" x14ac:dyDescent="0.2">
      <c r="B102" s="46" t="s">
        <v>235</v>
      </c>
      <c r="C102" s="47">
        <v>-2550</v>
      </c>
      <c r="D102" s="48">
        <v>-38.54</v>
      </c>
      <c r="E102" s="49">
        <v>-3.7000000000000002E-3</v>
      </c>
    </row>
    <row r="103" spans="2:5" ht="15.75" customHeight="1" x14ac:dyDescent="0.2">
      <c r="B103" s="46" t="s">
        <v>205</v>
      </c>
      <c r="C103" s="47">
        <v>-2800</v>
      </c>
      <c r="D103" s="48">
        <v>-86.87</v>
      </c>
      <c r="E103" s="49">
        <v>-8.2000000000000007E-3</v>
      </c>
    </row>
    <row r="104" spans="2:5" ht="15.75" customHeight="1" x14ac:dyDescent="0.2">
      <c r="B104" s="46" t="s">
        <v>199</v>
      </c>
      <c r="C104" s="47">
        <v>-32200</v>
      </c>
      <c r="D104" s="48">
        <v>-88.87</v>
      </c>
      <c r="E104" s="49">
        <v>-8.3999999999999995E-3</v>
      </c>
    </row>
    <row r="105" spans="2:5" ht="15.75" customHeight="1" x14ac:dyDescent="0.2">
      <c r="B105" s="46" t="s">
        <v>246</v>
      </c>
      <c r="C105" s="47">
        <v>-3000</v>
      </c>
      <c r="D105" s="48">
        <v>-19.87</v>
      </c>
      <c r="E105" s="49">
        <v>-1.9E-3</v>
      </c>
    </row>
    <row r="106" spans="2:5" ht="15.75" customHeight="1" x14ac:dyDescent="0.2">
      <c r="B106" s="46" t="s">
        <v>202</v>
      </c>
      <c r="C106" s="47">
        <v>-32500</v>
      </c>
      <c r="D106" s="48">
        <v>-87.77</v>
      </c>
      <c r="E106" s="49">
        <v>-8.3000000000000001E-3</v>
      </c>
    </row>
    <row r="107" spans="2:5" ht="15.75" customHeight="1" x14ac:dyDescent="0.2">
      <c r="B107" s="46" t="s">
        <v>197</v>
      </c>
      <c r="C107" s="47">
        <v>-5500</v>
      </c>
      <c r="D107" s="48">
        <v>-89.89</v>
      </c>
      <c r="E107" s="49">
        <v>-8.5000000000000006E-3</v>
      </c>
    </row>
    <row r="108" spans="2:5" ht="15.75" customHeight="1" x14ac:dyDescent="0.2">
      <c r="B108" s="46" t="s">
        <v>173</v>
      </c>
      <c r="C108" s="47">
        <v>-59400</v>
      </c>
      <c r="D108" s="48">
        <v>-299.79000000000002</v>
      </c>
      <c r="E108" s="49">
        <v>-2.8500000000000001E-2</v>
      </c>
    </row>
    <row r="109" spans="2:5" ht="15.75" customHeight="1" x14ac:dyDescent="0.2">
      <c r="B109" s="46" t="s">
        <v>257</v>
      </c>
      <c r="C109" s="47">
        <v>-3400</v>
      </c>
      <c r="D109" s="48">
        <v>-7.61</v>
      </c>
      <c r="E109" s="49">
        <v>-6.9999999999999999E-4</v>
      </c>
    </row>
    <row r="110" spans="2:5" ht="15.75" customHeight="1" x14ac:dyDescent="0.2">
      <c r="B110" s="46" t="s">
        <v>220</v>
      </c>
      <c r="C110" s="47">
        <v>-13500</v>
      </c>
      <c r="D110" s="48">
        <v>-62.9</v>
      </c>
      <c r="E110" s="49">
        <v>-6.0000000000000001E-3</v>
      </c>
    </row>
    <row r="111" spans="2:5" ht="15.75" customHeight="1" x14ac:dyDescent="0.2">
      <c r="B111" s="46" t="s">
        <v>125</v>
      </c>
      <c r="C111" s="47">
        <v>-400</v>
      </c>
      <c r="D111" s="48">
        <v>-6.68</v>
      </c>
      <c r="E111" s="49">
        <v>-5.9999999999999995E-4</v>
      </c>
    </row>
    <row r="112" spans="2:5" ht="15.75" customHeight="1" x14ac:dyDescent="0.2">
      <c r="B112" s="46" t="s">
        <v>183</v>
      </c>
      <c r="C112" s="47">
        <v>-1900</v>
      </c>
      <c r="D112" s="48">
        <v>-194.88</v>
      </c>
      <c r="E112" s="49">
        <v>-1.8499999999999999E-2</v>
      </c>
    </row>
    <row r="113" spans="2:5" ht="15.75" customHeight="1" x14ac:dyDescent="0.2">
      <c r="B113" s="46" t="s">
        <v>171</v>
      </c>
      <c r="C113" s="47">
        <v>-9275</v>
      </c>
      <c r="D113" s="48">
        <v>-355.73</v>
      </c>
      <c r="E113" s="49">
        <v>-3.3799999999999997E-2</v>
      </c>
    </row>
    <row r="114" spans="2:5" ht="15.75" customHeight="1" x14ac:dyDescent="0.2">
      <c r="B114" s="46" t="s">
        <v>188</v>
      </c>
      <c r="C114" s="47">
        <v>-22500</v>
      </c>
      <c r="D114" s="48">
        <v>-145.27000000000001</v>
      </c>
      <c r="E114" s="49">
        <v>-1.38E-2</v>
      </c>
    </row>
    <row r="115" spans="2:5" ht="15.75" customHeight="1" x14ac:dyDescent="0.2">
      <c r="B115" s="46" t="s">
        <v>216</v>
      </c>
      <c r="C115" s="47">
        <v>-1750</v>
      </c>
      <c r="D115" s="48">
        <v>-64.900000000000006</v>
      </c>
      <c r="E115" s="49">
        <v>-6.1999999999999998E-3</v>
      </c>
    </row>
    <row r="116" spans="2:5" ht="15.75" customHeight="1" x14ac:dyDescent="0.2">
      <c r="B116" s="46" t="s">
        <v>185</v>
      </c>
      <c r="C116" s="47">
        <v>-102600</v>
      </c>
      <c r="D116" s="48">
        <v>-191.45</v>
      </c>
      <c r="E116" s="49">
        <v>-1.8200000000000001E-2</v>
      </c>
    </row>
    <row r="117" spans="2:5" ht="15.75" customHeight="1" x14ac:dyDescent="0.2">
      <c r="B117" s="46" t="s">
        <v>208</v>
      </c>
      <c r="C117" s="47">
        <v>-48600</v>
      </c>
      <c r="D117" s="48">
        <v>-83.64</v>
      </c>
      <c r="E117" s="49">
        <v>-7.9000000000000008E-3</v>
      </c>
    </row>
    <row r="118" spans="2:5" ht="15.75" customHeight="1" x14ac:dyDescent="0.2">
      <c r="B118" s="46" t="s">
        <v>166</v>
      </c>
      <c r="C118" s="47">
        <v>-37500</v>
      </c>
      <c r="D118" s="48">
        <v>-403.16</v>
      </c>
      <c r="E118" s="49">
        <v>-3.8300000000000001E-2</v>
      </c>
    </row>
    <row r="119" spans="2:5" ht="15.75" customHeight="1" x14ac:dyDescent="0.2">
      <c r="B119" s="46" t="s">
        <v>168</v>
      </c>
      <c r="C119" s="47">
        <v>-5625</v>
      </c>
      <c r="D119" s="48">
        <v>-388.81</v>
      </c>
      <c r="E119" s="49">
        <v>-3.6900000000000002E-2</v>
      </c>
    </row>
    <row r="120" spans="2:5" ht="15.75" customHeight="1" x14ac:dyDescent="0.2">
      <c r="B120" s="46" t="s">
        <v>163</v>
      </c>
      <c r="C120" s="47">
        <v>-51000</v>
      </c>
      <c r="D120" s="48">
        <v>-453.7</v>
      </c>
      <c r="E120" s="49">
        <v>-4.3099999999999999E-2</v>
      </c>
    </row>
    <row r="121" spans="2:5" ht="15.75" customHeight="1" x14ac:dyDescent="0.2">
      <c r="B121" s="46" t="s">
        <v>255</v>
      </c>
      <c r="C121" s="47">
        <v>-1450</v>
      </c>
      <c r="D121" s="48">
        <v>-13.28</v>
      </c>
      <c r="E121" s="49">
        <v>-1.2999999999999999E-3</v>
      </c>
    </row>
    <row r="122" spans="2:5" ht="15.75" customHeight="1" x14ac:dyDescent="0.2">
      <c r="B122" s="46" t="s">
        <v>230</v>
      </c>
      <c r="C122" s="47">
        <v>-6300</v>
      </c>
      <c r="D122" s="48">
        <v>-48.29</v>
      </c>
      <c r="E122" s="49">
        <v>-4.5999999999999999E-3</v>
      </c>
    </row>
    <row r="123" spans="2:5" ht="15.75" customHeight="1" x14ac:dyDescent="0.2">
      <c r="B123" s="46" t="s">
        <v>210</v>
      </c>
      <c r="C123" s="47">
        <v>-2800</v>
      </c>
      <c r="D123" s="48">
        <v>-83.43</v>
      </c>
      <c r="E123" s="49">
        <v>-7.9000000000000008E-3</v>
      </c>
    </row>
    <row r="124" spans="2:5" ht="15.75" customHeight="1" x14ac:dyDescent="0.2">
      <c r="B124" s="46" t="s">
        <v>194</v>
      </c>
      <c r="C124" s="47">
        <v>-24700</v>
      </c>
      <c r="D124" s="48">
        <v>-90.8</v>
      </c>
      <c r="E124" s="49">
        <v>-8.6E-3</v>
      </c>
    </row>
    <row r="125" spans="2:5" ht="15.75" customHeight="1" x14ac:dyDescent="0.2">
      <c r="B125" s="46" t="s">
        <v>244</v>
      </c>
      <c r="C125" s="47">
        <v>-375</v>
      </c>
      <c r="D125" s="48">
        <v>-23.05</v>
      </c>
      <c r="E125" s="49">
        <v>-2.2000000000000001E-3</v>
      </c>
    </row>
    <row r="126" spans="2:5" ht="15.75" customHeight="1" x14ac:dyDescent="0.2">
      <c r="B126" s="46" t="s">
        <v>190</v>
      </c>
      <c r="C126" s="47">
        <v>-24000</v>
      </c>
      <c r="D126" s="48">
        <v>-105.1</v>
      </c>
      <c r="E126" s="49">
        <v>-0.01</v>
      </c>
    </row>
    <row r="127" spans="2:5" ht="15.75" customHeight="1" x14ac:dyDescent="0.2">
      <c r="B127" s="46" t="s">
        <v>248</v>
      </c>
      <c r="C127" s="47">
        <v>-2025</v>
      </c>
      <c r="D127" s="48">
        <v>-16.649999999999999</v>
      </c>
      <c r="E127" s="49">
        <v>-1.6000000000000001E-3</v>
      </c>
    </row>
    <row r="128" spans="2:5" ht="15.75" customHeight="1" x14ac:dyDescent="0.2">
      <c r="B128" s="46" t="s">
        <v>218</v>
      </c>
      <c r="C128" s="47">
        <v>-5500</v>
      </c>
      <c r="D128" s="48">
        <v>-63.4</v>
      </c>
      <c r="E128" s="49">
        <v>-6.0000000000000001E-3</v>
      </c>
    </row>
    <row r="129" spans="2:8" ht="15.75" customHeight="1" x14ac:dyDescent="0.2">
      <c r="B129" s="46" t="s">
        <v>128</v>
      </c>
      <c r="C129" s="47">
        <v>-55550</v>
      </c>
      <c r="D129" s="48">
        <v>-817.86</v>
      </c>
      <c r="E129" s="49">
        <v>-7.7600000000000002E-2</v>
      </c>
    </row>
    <row r="130" spans="2:8" ht="15.75" customHeight="1" x14ac:dyDescent="0.2">
      <c r="B130" s="46" t="s">
        <v>130</v>
      </c>
      <c r="C130" s="47">
        <v>-7000</v>
      </c>
      <c r="D130" s="48">
        <v>-201.08</v>
      </c>
      <c r="E130" s="49">
        <v>-1.9099999999999999E-2</v>
      </c>
    </row>
    <row r="131" spans="2:8" ht="15.75" customHeight="1" x14ac:dyDescent="0.2">
      <c r="B131" s="46" t="s">
        <v>232</v>
      </c>
      <c r="C131" s="47">
        <v>-56250</v>
      </c>
      <c r="D131" s="48">
        <v>-44.21</v>
      </c>
      <c r="E131" s="49">
        <v>-4.1999999999999997E-3</v>
      </c>
    </row>
    <row r="132" spans="2:8" ht="15.75" customHeight="1" x14ac:dyDescent="0.2">
      <c r="B132" s="46" t="s">
        <v>224</v>
      </c>
      <c r="C132" s="47">
        <v>-5000</v>
      </c>
      <c r="D132" s="48">
        <v>-58.53</v>
      </c>
      <c r="E132" s="49">
        <v>-5.5999999999999999E-3</v>
      </c>
    </row>
    <row r="133" spans="2:8" ht="15.75" customHeight="1" x14ac:dyDescent="0.2">
      <c r="B133" s="46" t="s">
        <v>222</v>
      </c>
      <c r="C133" s="47">
        <v>-4500</v>
      </c>
      <c r="D133" s="48">
        <v>-58.5</v>
      </c>
      <c r="E133" s="49">
        <v>-5.5999999999999999E-3</v>
      </c>
    </row>
    <row r="134" spans="2:8" ht="15.75" customHeight="1" x14ac:dyDescent="0.2">
      <c r="B134" s="46" t="s">
        <v>175</v>
      </c>
      <c r="C134" s="47">
        <v>-49000</v>
      </c>
      <c r="D134" s="48">
        <v>-285.23</v>
      </c>
      <c r="E134" s="49">
        <v>-2.7099999999999999E-2</v>
      </c>
    </row>
    <row r="135" spans="2:8" ht="15.75" customHeight="1" x14ac:dyDescent="0.2">
      <c r="B135" s="46" t="s">
        <v>139</v>
      </c>
      <c r="C135" s="47">
        <v>-3500</v>
      </c>
      <c r="D135" s="48">
        <v>-58.16</v>
      </c>
      <c r="E135" s="49">
        <v>-5.4999999999999997E-3</v>
      </c>
    </row>
    <row r="136" spans="2:8" ht="15.75" customHeight="1" x14ac:dyDescent="0.2">
      <c r="B136" s="46" t="s">
        <v>250</v>
      </c>
      <c r="C136" s="47">
        <v>-14200</v>
      </c>
      <c r="D136" s="48">
        <v>-16.21</v>
      </c>
      <c r="E136" s="49">
        <v>-1.5E-3</v>
      </c>
    </row>
    <row r="137" spans="2:8" ht="15.75" customHeight="1" x14ac:dyDescent="0.2">
      <c r="B137" s="46" t="s">
        <v>181</v>
      </c>
      <c r="C137" s="47">
        <v>-87500</v>
      </c>
      <c r="D137" s="48">
        <v>-228.9</v>
      </c>
      <c r="E137" s="49">
        <v>-2.1700000000000001E-2</v>
      </c>
    </row>
    <row r="138" spans="2:8" ht="15.75" customHeight="1" x14ac:dyDescent="0.2">
      <c r="B138" s="46" t="s">
        <v>227</v>
      </c>
      <c r="C138" s="47">
        <v>-13500</v>
      </c>
      <c r="D138" s="48">
        <v>-53.01</v>
      </c>
      <c r="E138" s="49">
        <v>-5.0000000000000001E-3</v>
      </c>
    </row>
    <row r="139" spans="2:8" ht="15.75" customHeight="1" x14ac:dyDescent="0.2">
      <c r="B139" s="46" t="s">
        <v>237</v>
      </c>
      <c r="C139" s="47">
        <v>-27500</v>
      </c>
      <c r="D139" s="48">
        <v>-37.549999999999997</v>
      </c>
      <c r="E139" s="49">
        <v>-3.5999999999999999E-3</v>
      </c>
    </row>
    <row r="140" spans="2:8" ht="15.75" customHeight="1" x14ac:dyDescent="0.2">
      <c r="B140" s="46" t="s">
        <v>178</v>
      </c>
      <c r="C140" s="47">
        <v>-31250</v>
      </c>
      <c r="D140" s="48">
        <v>-238.34</v>
      </c>
      <c r="E140" s="49">
        <v>-2.2599999999999999E-2</v>
      </c>
    </row>
    <row r="141" spans="2:8" ht="15.75" customHeight="1" x14ac:dyDescent="0.2">
      <c r="B141" s="46" t="s">
        <v>142</v>
      </c>
      <c r="C141" s="47">
        <v>-4350</v>
      </c>
      <c r="D141" s="48">
        <v>-238.41</v>
      </c>
      <c r="E141" s="49">
        <v>-2.2599999999999999E-2</v>
      </c>
    </row>
    <row r="142" spans="2:8" ht="15.75" customHeight="1" x14ac:dyDescent="0.2">
      <c r="B142" s="13" t="s">
        <v>266</v>
      </c>
      <c r="C142" s="50">
        <v>-1150500</v>
      </c>
      <c r="D142" s="51">
        <v>-7186.32</v>
      </c>
      <c r="E142" s="52">
        <v>-0.68230000000000002</v>
      </c>
    </row>
    <row r="143" spans="2:8" ht="15.75" customHeight="1" thickBot="1" x14ac:dyDescent="0.25"/>
    <row r="144" spans="2:8" ht="27" customHeight="1" thickBot="1" x14ac:dyDescent="0.25">
      <c r="B144" s="57" t="s">
        <v>829</v>
      </c>
      <c r="C144" s="58" t="s">
        <v>830</v>
      </c>
      <c r="D144" s="58" t="s">
        <v>831</v>
      </c>
      <c r="E144" s="63" t="s">
        <v>832</v>
      </c>
      <c r="G144" s="2"/>
      <c r="H144" s="2"/>
    </row>
    <row r="145" spans="2:8" ht="28.5" customHeight="1" x14ac:dyDescent="0.2">
      <c r="B145" s="67" t="s">
        <v>854</v>
      </c>
      <c r="C145" s="75"/>
      <c r="D145" s="77" t="s">
        <v>855</v>
      </c>
      <c r="E145" s="79"/>
      <c r="G145" s="2"/>
      <c r="H145" s="2"/>
    </row>
    <row r="146" spans="2:8" ht="28.5" customHeight="1" x14ac:dyDescent="0.2">
      <c r="B146" s="66" t="s">
        <v>856</v>
      </c>
      <c r="C146" s="75"/>
      <c r="D146" s="78"/>
      <c r="E146" s="80"/>
      <c r="G146" s="2"/>
      <c r="H146" s="2"/>
    </row>
    <row r="147" spans="2:8" ht="55.5" customHeight="1" x14ac:dyDescent="0.2">
      <c r="B147" s="66" t="s">
        <v>857</v>
      </c>
      <c r="C147" s="75"/>
      <c r="D147" s="78"/>
      <c r="E147" s="80"/>
      <c r="G147" s="2"/>
      <c r="H147" s="2"/>
    </row>
    <row r="148" spans="2:8" ht="28.5" customHeight="1" thickBot="1" x14ac:dyDescent="0.25">
      <c r="B148" s="68" t="s">
        <v>858</v>
      </c>
      <c r="C148" s="76"/>
      <c r="D148" s="69" t="s">
        <v>858</v>
      </c>
      <c r="E148" s="81"/>
      <c r="G148" s="2"/>
      <c r="H148" s="2"/>
    </row>
    <row r="149" spans="2:8" ht="24.95" customHeight="1" x14ac:dyDescent="0.2">
      <c r="B149" s="59" t="s">
        <v>833</v>
      </c>
      <c r="C149" s="60"/>
      <c r="D149" s="61"/>
      <c r="E149" s="62"/>
      <c r="G149" s="2"/>
      <c r="H149" s="2"/>
    </row>
    <row r="151" spans="2:8" ht="12" x14ac:dyDescent="0.2">
      <c r="B151" s="2" t="s">
        <v>834</v>
      </c>
      <c r="C151" s="2"/>
      <c r="D151" s="2"/>
      <c r="G151" s="2"/>
      <c r="H151" s="2"/>
    </row>
    <row r="152" spans="2:8" ht="12" x14ac:dyDescent="0.2">
      <c r="B152" s="3" t="s">
        <v>835</v>
      </c>
      <c r="C152" s="2"/>
      <c r="D152" s="2"/>
      <c r="G152" s="2"/>
      <c r="H152" s="2"/>
    </row>
  </sheetData>
  <mergeCells count="3">
    <mergeCell ref="C145:C148"/>
    <mergeCell ref="D145:D147"/>
    <mergeCell ref="E145:E148"/>
  </mergeCells>
  <hyperlinks>
    <hyperlink ref="I1" location="'Sheet1'!A1" display="Index" xr:uid="{4BB998C1-2FD7-4C42-9790-6C449153A7A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8147-3996-48BD-8FD5-90DB96DFC322}">
  <dimension ref="B1:P133"/>
  <sheetViews>
    <sheetView workbookViewId="0"/>
  </sheetViews>
  <sheetFormatPr defaultColWidth="9.140625" defaultRowHeight="15.75" customHeight="1" x14ac:dyDescent="0.2"/>
  <cols>
    <col min="1" max="1" width="3.5703125" style="2" customWidth="1"/>
    <col min="2" max="2" width="41.5703125" style="9" bestFit="1" customWidth="1"/>
    <col min="3" max="3" width="26.5703125" style="9" customWidth="1"/>
    <col min="4" max="4" width="33.42578125" style="9" bestFit="1" customWidth="1"/>
    <col min="5" max="5" width="32.855468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122</v>
      </c>
      <c r="C7" s="25" t="s">
        <v>123</v>
      </c>
      <c r="D7" s="25" t="s">
        <v>124</v>
      </c>
      <c r="E7" s="26">
        <v>829488</v>
      </c>
      <c r="F7" s="27">
        <v>8528.3799999999992</v>
      </c>
      <c r="G7" s="28">
        <v>9.2200000000000004E-2</v>
      </c>
      <c r="H7" s="29"/>
    </row>
    <row r="8" spans="2:9" ht="15.75" customHeight="1" x14ac:dyDescent="0.2">
      <c r="B8" s="25" t="s">
        <v>128</v>
      </c>
      <c r="C8" s="25" t="s">
        <v>129</v>
      </c>
      <c r="D8" s="25" t="s">
        <v>124</v>
      </c>
      <c r="E8" s="26">
        <v>496574</v>
      </c>
      <c r="F8" s="27">
        <v>7262.64</v>
      </c>
      <c r="G8" s="28">
        <v>7.85E-2</v>
      </c>
      <c r="H8" s="29"/>
    </row>
    <row r="9" spans="2:9" ht="15.75" customHeight="1" x14ac:dyDescent="0.2">
      <c r="B9" s="25" t="s">
        <v>130</v>
      </c>
      <c r="C9" s="25" t="s">
        <v>131</v>
      </c>
      <c r="D9" s="25" t="s">
        <v>132</v>
      </c>
      <c r="E9" s="26">
        <v>217993</v>
      </c>
      <c r="F9" s="27">
        <v>6219.89</v>
      </c>
      <c r="G9" s="28">
        <v>6.7199999999999996E-2</v>
      </c>
      <c r="H9" s="29"/>
    </row>
    <row r="10" spans="2:9" ht="15.75" customHeight="1" x14ac:dyDescent="0.2">
      <c r="B10" s="25" t="s">
        <v>188</v>
      </c>
      <c r="C10" s="25" t="s">
        <v>189</v>
      </c>
      <c r="D10" s="25" t="s">
        <v>124</v>
      </c>
      <c r="E10" s="26">
        <v>816965</v>
      </c>
      <c r="F10" s="27">
        <v>5232.66</v>
      </c>
      <c r="G10" s="28">
        <v>5.6500000000000002E-2</v>
      </c>
      <c r="H10" s="29"/>
    </row>
    <row r="11" spans="2:9" ht="15.75" customHeight="1" x14ac:dyDescent="0.2">
      <c r="B11" s="25" t="s">
        <v>125</v>
      </c>
      <c r="C11" s="25" t="s">
        <v>126</v>
      </c>
      <c r="D11" s="25" t="s">
        <v>127</v>
      </c>
      <c r="E11" s="26">
        <v>267288</v>
      </c>
      <c r="F11" s="27">
        <v>4439.3900000000003</v>
      </c>
      <c r="G11" s="28">
        <v>4.8000000000000001E-2</v>
      </c>
      <c r="H11" s="29"/>
    </row>
    <row r="12" spans="2:9" ht="15.75" customHeight="1" x14ac:dyDescent="0.2">
      <c r="B12" s="25" t="s">
        <v>190</v>
      </c>
      <c r="C12" s="25" t="s">
        <v>191</v>
      </c>
      <c r="D12" s="25" t="s">
        <v>135</v>
      </c>
      <c r="E12" s="26">
        <v>837182</v>
      </c>
      <c r="F12" s="27">
        <v>3696.58</v>
      </c>
      <c r="G12" s="28">
        <v>3.9899999999999998E-2</v>
      </c>
      <c r="H12" s="29"/>
    </row>
    <row r="13" spans="2:9" ht="15.75" customHeight="1" x14ac:dyDescent="0.2">
      <c r="B13" s="25" t="s">
        <v>171</v>
      </c>
      <c r="C13" s="25" t="s">
        <v>172</v>
      </c>
      <c r="D13" s="25" t="s">
        <v>127</v>
      </c>
      <c r="E13" s="26">
        <v>81079</v>
      </c>
      <c r="F13" s="27">
        <v>3093.93</v>
      </c>
      <c r="G13" s="28">
        <v>3.3399999999999999E-2</v>
      </c>
      <c r="H13" s="29"/>
    </row>
    <row r="14" spans="2:9" ht="15.75" customHeight="1" x14ac:dyDescent="0.2">
      <c r="B14" s="25" t="s">
        <v>133</v>
      </c>
      <c r="C14" s="25" t="s">
        <v>134</v>
      </c>
      <c r="D14" s="25" t="s">
        <v>135</v>
      </c>
      <c r="E14" s="26">
        <v>107481</v>
      </c>
      <c r="F14" s="27">
        <v>2667.19</v>
      </c>
      <c r="G14" s="28">
        <v>2.8799999999999999E-2</v>
      </c>
      <c r="H14" s="29"/>
    </row>
    <row r="15" spans="2:9" ht="15.75" customHeight="1" x14ac:dyDescent="0.2">
      <c r="B15" s="25" t="s">
        <v>139</v>
      </c>
      <c r="C15" s="25" t="s">
        <v>140</v>
      </c>
      <c r="D15" s="25" t="s">
        <v>141</v>
      </c>
      <c r="E15" s="26">
        <v>158647</v>
      </c>
      <c r="F15" s="27">
        <v>2620.13</v>
      </c>
      <c r="G15" s="28">
        <v>2.8299999999999999E-2</v>
      </c>
      <c r="H15" s="29"/>
    </row>
    <row r="16" spans="2:9" ht="15.75" customHeight="1" x14ac:dyDescent="0.2">
      <c r="B16" s="25" t="s">
        <v>192</v>
      </c>
      <c r="C16" s="25" t="s">
        <v>193</v>
      </c>
      <c r="D16" s="25" t="s">
        <v>124</v>
      </c>
      <c r="E16" s="26">
        <v>125198</v>
      </c>
      <c r="F16" s="27">
        <v>2285.1799999999998</v>
      </c>
      <c r="G16" s="28">
        <v>2.47E-2</v>
      </c>
      <c r="H16" s="29"/>
    </row>
    <row r="17" spans="2:8" ht="15.75" customHeight="1" x14ac:dyDescent="0.2">
      <c r="B17" s="25" t="s">
        <v>168</v>
      </c>
      <c r="C17" s="25" t="s">
        <v>169</v>
      </c>
      <c r="D17" s="25" t="s">
        <v>170</v>
      </c>
      <c r="E17" s="26">
        <v>29452</v>
      </c>
      <c r="F17" s="27">
        <v>2021.26</v>
      </c>
      <c r="G17" s="28">
        <v>2.18E-2</v>
      </c>
      <c r="H17" s="29"/>
    </row>
    <row r="18" spans="2:8" ht="15.75" customHeight="1" x14ac:dyDescent="0.2">
      <c r="B18" s="25" t="s">
        <v>166</v>
      </c>
      <c r="C18" s="25" t="s">
        <v>167</v>
      </c>
      <c r="D18" s="25" t="s">
        <v>124</v>
      </c>
      <c r="E18" s="26">
        <v>175849</v>
      </c>
      <c r="F18" s="27">
        <v>1877.63</v>
      </c>
      <c r="G18" s="28">
        <v>2.0299999999999999E-2</v>
      </c>
      <c r="H18" s="29"/>
    </row>
    <row r="19" spans="2:8" ht="15.75" customHeight="1" x14ac:dyDescent="0.2">
      <c r="B19" s="25" t="s">
        <v>269</v>
      </c>
      <c r="C19" s="25" t="s">
        <v>270</v>
      </c>
      <c r="D19" s="25" t="s">
        <v>127</v>
      </c>
      <c r="E19" s="26">
        <v>85652</v>
      </c>
      <c r="F19" s="27">
        <v>1349.88</v>
      </c>
      <c r="G19" s="28">
        <v>1.46E-2</v>
      </c>
      <c r="H19" s="29"/>
    </row>
    <row r="20" spans="2:8" ht="15.75" customHeight="1" x14ac:dyDescent="0.2">
      <c r="B20" s="25" t="s">
        <v>271</v>
      </c>
      <c r="C20" s="25" t="s">
        <v>272</v>
      </c>
      <c r="D20" s="25" t="s">
        <v>204</v>
      </c>
      <c r="E20" s="26">
        <v>91908</v>
      </c>
      <c r="F20" s="27">
        <v>1241.68</v>
      </c>
      <c r="G20" s="28">
        <v>1.34E-2</v>
      </c>
      <c r="H20" s="29"/>
    </row>
    <row r="21" spans="2:8" ht="15.75" customHeight="1" x14ac:dyDescent="0.2">
      <c r="B21" s="25" t="s">
        <v>183</v>
      </c>
      <c r="C21" s="25" t="s">
        <v>184</v>
      </c>
      <c r="D21" s="25" t="s">
        <v>141</v>
      </c>
      <c r="E21" s="26">
        <v>12096</v>
      </c>
      <c r="F21" s="27">
        <v>1232.21</v>
      </c>
      <c r="G21" s="28">
        <v>1.3299999999999999E-2</v>
      </c>
      <c r="H21" s="29"/>
    </row>
    <row r="22" spans="2:8" ht="15.75" customHeight="1" x14ac:dyDescent="0.2">
      <c r="B22" s="25" t="s">
        <v>273</v>
      </c>
      <c r="C22" s="25" t="s">
        <v>274</v>
      </c>
      <c r="D22" s="25" t="s">
        <v>204</v>
      </c>
      <c r="E22" s="26">
        <v>81100</v>
      </c>
      <c r="F22" s="27">
        <v>1150.3599999999999</v>
      </c>
      <c r="G22" s="28">
        <v>1.24E-2</v>
      </c>
      <c r="H22" s="29"/>
    </row>
    <row r="23" spans="2:8" ht="15.75" customHeight="1" x14ac:dyDescent="0.2">
      <c r="B23" s="25" t="s">
        <v>275</v>
      </c>
      <c r="C23" s="25" t="s">
        <v>276</v>
      </c>
      <c r="D23" s="25" t="s">
        <v>277</v>
      </c>
      <c r="E23" s="26">
        <v>15469</v>
      </c>
      <c r="F23" s="27">
        <v>982.74</v>
      </c>
      <c r="G23" s="28">
        <v>1.06E-2</v>
      </c>
      <c r="H23" s="29"/>
    </row>
    <row r="24" spans="2:8" ht="15.75" customHeight="1" x14ac:dyDescent="0.2">
      <c r="B24" s="25" t="s">
        <v>278</v>
      </c>
      <c r="C24" s="25" t="s">
        <v>279</v>
      </c>
      <c r="D24" s="25" t="s">
        <v>204</v>
      </c>
      <c r="E24" s="26">
        <v>31542</v>
      </c>
      <c r="F24" s="27">
        <v>798.36</v>
      </c>
      <c r="G24" s="28">
        <v>8.6E-3</v>
      </c>
      <c r="H24" s="29"/>
    </row>
    <row r="25" spans="2:8" ht="15.75" customHeight="1" x14ac:dyDescent="0.2">
      <c r="B25" s="25" t="s">
        <v>280</v>
      </c>
      <c r="C25" s="25" t="s">
        <v>281</v>
      </c>
      <c r="D25" s="25" t="s">
        <v>229</v>
      </c>
      <c r="E25" s="26">
        <v>203406</v>
      </c>
      <c r="F25" s="27">
        <v>645.80999999999995</v>
      </c>
      <c r="G25" s="28">
        <v>7.0000000000000001E-3</v>
      </c>
      <c r="H25" s="29"/>
    </row>
    <row r="26" spans="2:8" ht="15.75" customHeight="1" x14ac:dyDescent="0.2">
      <c r="B26" s="25" t="s">
        <v>282</v>
      </c>
      <c r="C26" s="25" t="s">
        <v>283</v>
      </c>
      <c r="D26" s="25" t="s">
        <v>215</v>
      </c>
      <c r="E26" s="26">
        <v>26304</v>
      </c>
      <c r="F26" s="27">
        <v>611.59</v>
      </c>
      <c r="G26" s="28">
        <v>6.6E-3</v>
      </c>
      <c r="H26" s="29"/>
    </row>
    <row r="27" spans="2:8" ht="15.75" customHeight="1" x14ac:dyDescent="0.2">
      <c r="B27" s="25" t="s">
        <v>250</v>
      </c>
      <c r="C27" s="25" t="s">
        <v>251</v>
      </c>
      <c r="D27" s="25" t="s">
        <v>252</v>
      </c>
      <c r="E27" s="26">
        <v>536931</v>
      </c>
      <c r="F27" s="27">
        <v>608.07000000000005</v>
      </c>
      <c r="G27" s="28">
        <v>6.6E-3</v>
      </c>
      <c r="H27" s="29"/>
    </row>
    <row r="28" spans="2:8" ht="15.75" customHeight="1" x14ac:dyDescent="0.2">
      <c r="B28" s="25" t="s">
        <v>284</v>
      </c>
      <c r="C28" s="25" t="s">
        <v>285</v>
      </c>
      <c r="D28" s="25" t="s">
        <v>229</v>
      </c>
      <c r="E28" s="26">
        <v>229860</v>
      </c>
      <c r="F28" s="27">
        <v>596.03</v>
      </c>
      <c r="G28" s="28">
        <v>6.4000000000000003E-3</v>
      </c>
      <c r="H28" s="29"/>
    </row>
    <row r="29" spans="2:8" ht="15.75" customHeight="1" x14ac:dyDescent="0.2">
      <c r="B29" s="25" t="s">
        <v>286</v>
      </c>
      <c r="C29" s="25" t="s">
        <v>287</v>
      </c>
      <c r="D29" s="25" t="s">
        <v>141</v>
      </c>
      <c r="E29" s="26">
        <v>11475</v>
      </c>
      <c r="F29" s="27">
        <v>530.32000000000005</v>
      </c>
      <c r="G29" s="28">
        <v>5.7000000000000002E-3</v>
      </c>
      <c r="H29" s="29"/>
    </row>
    <row r="30" spans="2:8" ht="15.75" customHeight="1" x14ac:dyDescent="0.2">
      <c r="B30" s="25" t="s">
        <v>288</v>
      </c>
      <c r="C30" s="25" t="s">
        <v>289</v>
      </c>
      <c r="D30" s="25" t="s">
        <v>170</v>
      </c>
      <c r="E30" s="26">
        <v>20603</v>
      </c>
      <c r="F30" s="27">
        <v>508.23</v>
      </c>
      <c r="G30" s="28">
        <v>5.4999999999999997E-3</v>
      </c>
      <c r="H30" s="29"/>
    </row>
    <row r="31" spans="2:8" ht="15.75" customHeight="1" x14ac:dyDescent="0.2">
      <c r="B31" s="25" t="s">
        <v>290</v>
      </c>
      <c r="C31" s="25" t="s">
        <v>291</v>
      </c>
      <c r="D31" s="25" t="s">
        <v>124</v>
      </c>
      <c r="E31" s="26">
        <v>331000</v>
      </c>
      <c r="F31" s="27">
        <v>459.92</v>
      </c>
      <c r="G31" s="28">
        <v>5.0000000000000001E-3</v>
      </c>
      <c r="H31" s="29"/>
    </row>
    <row r="32" spans="2:8" ht="15.75" customHeight="1" x14ac:dyDescent="0.2">
      <c r="B32" s="25" t="s">
        <v>292</v>
      </c>
      <c r="C32" s="25" t="s">
        <v>293</v>
      </c>
      <c r="D32" s="25" t="s">
        <v>277</v>
      </c>
      <c r="E32" s="26">
        <v>60802</v>
      </c>
      <c r="F32" s="27">
        <v>456.32</v>
      </c>
      <c r="G32" s="28">
        <v>4.8999999999999998E-3</v>
      </c>
      <c r="H32" s="29"/>
    </row>
    <row r="33" spans="2:8" ht="15.75" customHeight="1" x14ac:dyDescent="0.2">
      <c r="B33" s="25" t="s">
        <v>253</v>
      </c>
      <c r="C33" s="25" t="s">
        <v>254</v>
      </c>
      <c r="D33" s="25" t="s">
        <v>170</v>
      </c>
      <c r="E33" s="26">
        <v>47352</v>
      </c>
      <c r="F33" s="27">
        <v>433.79</v>
      </c>
      <c r="G33" s="28">
        <v>4.7000000000000002E-3</v>
      </c>
      <c r="H33" s="29"/>
    </row>
    <row r="34" spans="2:8" ht="15.75" customHeight="1" x14ac:dyDescent="0.2">
      <c r="B34" s="25" t="s">
        <v>294</v>
      </c>
      <c r="C34" s="25" t="s">
        <v>295</v>
      </c>
      <c r="D34" s="25" t="s">
        <v>170</v>
      </c>
      <c r="E34" s="26">
        <v>95255</v>
      </c>
      <c r="F34" s="27">
        <v>422.22</v>
      </c>
      <c r="G34" s="28">
        <v>4.5999999999999999E-3</v>
      </c>
      <c r="H34" s="29"/>
    </row>
    <row r="35" spans="2:8" ht="15.75" customHeight="1" x14ac:dyDescent="0.2">
      <c r="B35" s="25" t="s">
        <v>242</v>
      </c>
      <c r="C35" s="25" t="s">
        <v>243</v>
      </c>
      <c r="D35" s="25" t="s">
        <v>127</v>
      </c>
      <c r="E35" s="26">
        <v>28060</v>
      </c>
      <c r="F35" s="27">
        <v>374.22</v>
      </c>
      <c r="G35" s="28">
        <v>4.0000000000000001E-3</v>
      </c>
      <c r="H35" s="29"/>
    </row>
    <row r="36" spans="2:8" ht="15.75" customHeight="1" x14ac:dyDescent="0.2">
      <c r="B36" s="25" t="s">
        <v>296</v>
      </c>
      <c r="C36" s="25" t="s">
        <v>297</v>
      </c>
      <c r="D36" s="25" t="s">
        <v>298</v>
      </c>
      <c r="E36" s="26">
        <v>168909</v>
      </c>
      <c r="F36" s="27">
        <v>370.92</v>
      </c>
      <c r="G36" s="28">
        <v>4.0000000000000001E-3</v>
      </c>
      <c r="H36" s="29"/>
    </row>
    <row r="37" spans="2:8" ht="15.75" customHeight="1" x14ac:dyDescent="0.2">
      <c r="B37" s="25" t="s">
        <v>299</v>
      </c>
      <c r="C37" s="25" t="s">
        <v>300</v>
      </c>
      <c r="D37" s="25" t="s">
        <v>212</v>
      </c>
      <c r="E37" s="26">
        <v>113047</v>
      </c>
      <c r="F37" s="27">
        <v>342.48</v>
      </c>
      <c r="G37" s="28">
        <v>3.7000000000000002E-3</v>
      </c>
      <c r="H37" s="29"/>
    </row>
    <row r="38" spans="2:8" ht="15.75" customHeight="1" x14ac:dyDescent="0.2">
      <c r="B38" s="25" t="s">
        <v>185</v>
      </c>
      <c r="C38" s="25" t="s">
        <v>186</v>
      </c>
      <c r="D38" s="25" t="s">
        <v>187</v>
      </c>
      <c r="E38" s="26">
        <v>164395</v>
      </c>
      <c r="F38" s="27">
        <v>305.61</v>
      </c>
      <c r="G38" s="28">
        <v>3.3E-3</v>
      </c>
      <c r="H38" s="29"/>
    </row>
    <row r="39" spans="2:8" ht="15.75" customHeight="1" x14ac:dyDescent="0.2">
      <c r="B39" s="25" t="s">
        <v>224</v>
      </c>
      <c r="C39" s="25" t="s">
        <v>225</v>
      </c>
      <c r="D39" s="25" t="s">
        <v>226</v>
      </c>
      <c r="E39" s="26">
        <v>25710</v>
      </c>
      <c r="F39" s="27">
        <v>299.32</v>
      </c>
      <c r="G39" s="28">
        <v>3.2000000000000002E-3</v>
      </c>
      <c r="H39" s="29"/>
    </row>
    <row r="40" spans="2:8" ht="15.75" customHeight="1" x14ac:dyDescent="0.2">
      <c r="B40" s="25" t="s">
        <v>301</v>
      </c>
      <c r="C40" s="25" t="s">
        <v>302</v>
      </c>
      <c r="D40" s="25" t="s">
        <v>303</v>
      </c>
      <c r="E40" s="26">
        <v>19539</v>
      </c>
      <c r="F40" s="27">
        <v>293.74</v>
      </c>
      <c r="G40" s="28">
        <v>3.2000000000000002E-3</v>
      </c>
      <c r="H40" s="29"/>
    </row>
    <row r="41" spans="2:8" ht="15.75" customHeight="1" x14ac:dyDescent="0.2">
      <c r="B41" s="25" t="s">
        <v>304</v>
      </c>
      <c r="C41" s="25" t="s">
        <v>305</v>
      </c>
      <c r="D41" s="25" t="s">
        <v>124</v>
      </c>
      <c r="E41" s="26">
        <v>310602</v>
      </c>
      <c r="F41" s="27">
        <v>261.99</v>
      </c>
      <c r="G41" s="28">
        <v>2.8E-3</v>
      </c>
      <c r="H41" s="29"/>
    </row>
    <row r="42" spans="2:8" ht="15.75" customHeight="1" x14ac:dyDescent="0.2">
      <c r="B42" s="25" t="s">
        <v>306</v>
      </c>
      <c r="C42" s="25" t="s">
        <v>307</v>
      </c>
      <c r="D42" s="25" t="s">
        <v>308</v>
      </c>
      <c r="E42" s="26">
        <v>147690</v>
      </c>
      <c r="F42" s="27">
        <v>254.91</v>
      </c>
      <c r="G42" s="28">
        <v>2.8E-3</v>
      </c>
      <c r="H42" s="29"/>
    </row>
    <row r="43" spans="2:8" ht="15.75" customHeight="1" x14ac:dyDescent="0.2">
      <c r="B43" s="25" t="s">
        <v>309</v>
      </c>
      <c r="C43" s="25" t="s">
        <v>310</v>
      </c>
      <c r="D43" s="25" t="s">
        <v>207</v>
      </c>
      <c r="E43" s="26">
        <v>48207</v>
      </c>
      <c r="F43" s="27">
        <v>251.59</v>
      </c>
      <c r="G43" s="28">
        <v>2.7000000000000001E-3</v>
      </c>
      <c r="H43" s="29"/>
    </row>
    <row r="44" spans="2:8" ht="15.75" customHeight="1" x14ac:dyDescent="0.2">
      <c r="B44" s="25" t="s">
        <v>311</v>
      </c>
      <c r="C44" s="25" t="s">
        <v>312</v>
      </c>
      <c r="D44" s="25" t="s">
        <v>313</v>
      </c>
      <c r="E44" s="26">
        <v>11520</v>
      </c>
      <c r="F44" s="27">
        <v>250.56</v>
      </c>
      <c r="G44" s="28">
        <v>2.7000000000000001E-3</v>
      </c>
      <c r="H44" s="29"/>
    </row>
    <row r="45" spans="2:8" ht="15.75" customHeight="1" x14ac:dyDescent="0.2">
      <c r="B45" s="25" t="s">
        <v>314</v>
      </c>
      <c r="C45" s="25" t="s">
        <v>315</v>
      </c>
      <c r="D45" s="25" t="s">
        <v>316</v>
      </c>
      <c r="E45" s="26">
        <v>48123</v>
      </c>
      <c r="F45" s="27">
        <v>242.18</v>
      </c>
      <c r="G45" s="28">
        <v>2.5999999999999999E-3</v>
      </c>
      <c r="H45" s="29"/>
    </row>
    <row r="46" spans="2:8" ht="15.75" customHeight="1" x14ac:dyDescent="0.2">
      <c r="B46" s="25" t="s">
        <v>317</v>
      </c>
      <c r="C46" s="25" t="s">
        <v>318</v>
      </c>
      <c r="D46" s="25" t="s">
        <v>124</v>
      </c>
      <c r="E46" s="26">
        <v>161095</v>
      </c>
      <c r="F46" s="27">
        <v>233.43</v>
      </c>
      <c r="G46" s="28">
        <v>2.5000000000000001E-3</v>
      </c>
      <c r="H46" s="29"/>
    </row>
    <row r="47" spans="2:8" ht="15.75" customHeight="1" x14ac:dyDescent="0.2">
      <c r="B47" s="25" t="s">
        <v>319</v>
      </c>
      <c r="C47" s="25" t="s">
        <v>320</v>
      </c>
      <c r="D47" s="25" t="s">
        <v>316</v>
      </c>
      <c r="E47" s="26">
        <v>16487</v>
      </c>
      <c r="F47" s="27">
        <v>231.01</v>
      </c>
      <c r="G47" s="28">
        <v>2.5000000000000001E-3</v>
      </c>
      <c r="H47" s="29"/>
    </row>
    <row r="48" spans="2:8" ht="15.75" customHeight="1" x14ac:dyDescent="0.2">
      <c r="B48" s="25" t="s">
        <v>321</v>
      </c>
      <c r="C48" s="25" t="s">
        <v>322</v>
      </c>
      <c r="D48" s="25" t="s">
        <v>323</v>
      </c>
      <c r="E48" s="26">
        <v>16572</v>
      </c>
      <c r="F48" s="27">
        <v>214.77</v>
      </c>
      <c r="G48" s="28">
        <v>2.3E-3</v>
      </c>
      <c r="H48" s="29"/>
    </row>
    <row r="49" spans="2:8" ht="15.75" customHeight="1" x14ac:dyDescent="0.2">
      <c r="B49" s="25" t="s">
        <v>324</v>
      </c>
      <c r="C49" s="25" t="s">
        <v>325</v>
      </c>
      <c r="D49" s="25" t="s">
        <v>170</v>
      </c>
      <c r="E49" s="26">
        <v>72592</v>
      </c>
      <c r="F49" s="27">
        <v>209.94</v>
      </c>
      <c r="G49" s="28">
        <v>2.3E-3</v>
      </c>
      <c r="H49" s="29"/>
    </row>
    <row r="50" spans="2:8" ht="15.75" customHeight="1" x14ac:dyDescent="0.2">
      <c r="B50" s="25" t="s">
        <v>202</v>
      </c>
      <c r="C50" s="25" t="s">
        <v>203</v>
      </c>
      <c r="D50" s="25" t="s">
        <v>204</v>
      </c>
      <c r="E50" s="26">
        <v>68822</v>
      </c>
      <c r="F50" s="27">
        <v>184.72</v>
      </c>
      <c r="G50" s="28">
        <v>2E-3</v>
      </c>
      <c r="H50" s="29"/>
    </row>
    <row r="51" spans="2:8" ht="15.75" customHeight="1" x14ac:dyDescent="0.2">
      <c r="B51" s="25" t="s">
        <v>326</v>
      </c>
      <c r="C51" s="25" t="s">
        <v>327</v>
      </c>
      <c r="D51" s="25" t="s">
        <v>328</v>
      </c>
      <c r="E51" s="26">
        <v>6800</v>
      </c>
      <c r="F51" s="27">
        <v>90.01</v>
      </c>
      <c r="G51" s="28">
        <v>1E-3</v>
      </c>
      <c r="H51" s="29"/>
    </row>
    <row r="52" spans="2:8" ht="15.75" customHeight="1" x14ac:dyDescent="0.2">
      <c r="B52" s="25" t="s">
        <v>329</v>
      </c>
      <c r="C52" s="25" t="s">
        <v>330</v>
      </c>
      <c r="D52" s="25" t="s">
        <v>328</v>
      </c>
      <c r="E52" s="26">
        <v>7472</v>
      </c>
      <c r="F52" s="27">
        <v>79.959999999999994</v>
      </c>
      <c r="G52" s="28">
        <v>8.9999999999999998E-4</v>
      </c>
      <c r="H52" s="29"/>
    </row>
    <row r="53" spans="2:8" ht="15.75" customHeight="1" x14ac:dyDescent="0.2">
      <c r="B53" s="25" t="s">
        <v>331</v>
      </c>
      <c r="C53" s="25" t="s">
        <v>332</v>
      </c>
      <c r="D53" s="25" t="s">
        <v>313</v>
      </c>
      <c r="E53" s="26">
        <v>308</v>
      </c>
      <c r="F53" s="27">
        <v>31.32</v>
      </c>
      <c r="G53" s="28">
        <v>2.9999999999999997E-4</v>
      </c>
      <c r="H53" s="29"/>
    </row>
    <row r="54" spans="2:8" ht="15.75" customHeight="1" x14ac:dyDescent="0.2">
      <c r="B54" s="25" t="s">
        <v>333</v>
      </c>
      <c r="C54" s="25" t="s">
        <v>334</v>
      </c>
      <c r="D54" s="25" t="s">
        <v>141</v>
      </c>
      <c r="E54" s="26">
        <v>722</v>
      </c>
      <c r="F54" s="27">
        <v>27.72</v>
      </c>
      <c r="G54" s="28">
        <v>2.9999999999999997E-4</v>
      </c>
      <c r="H54" s="29"/>
    </row>
    <row r="55" spans="2:8" ht="15.75" customHeight="1" x14ac:dyDescent="0.2">
      <c r="B55" s="25" t="s">
        <v>335</v>
      </c>
      <c r="C55" s="25" t="s">
        <v>336</v>
      </c>
      <c r="D55" s="25" t="s">
        <v>313</v>
      </c>
      <c r="E55" s="26">
        <v>594</v>
      </c>
      <c r="F55" s="27">
        <v>4.8499999999999996</v>
      </c>
      <c r="G55" s="28">
        <v>1E-4</v>
      </c>
      <c r="H55" s="29"/>
    </row>
    <row r="56" spans="2:8" ht="15.75" customHeight="1" x14ac:dyDescent="0.2">
      <c r="B56" s="24" t="s">
        <v>94</v>
      </c>
      <c r="C56" s="24"/>
      <c r="D56" s="24"/>
      <c r="E56" s="30"/>
      <c r="F56" s="31">
        <v>66527.64</v>
      </c>
      <c r="G56" s="32">
        <v>0.71889999999999998</v>
      </c>
      <c r="H56" s="33"/>
    </row>
    <row r="57" spans="2:8" ht="15.75" customHeight="1" x14ac:dyDescent="0.2">
      <c r="B57" s="24" t="s">
        <v>144</v>
      </c>
      <c r="C57" s="25"/>
      <c r="D57" s="25"/>
      <c r="E57" s="26"/>
      <c r="F57" s="27"/>
      <c r="G57" s="28"/>
      <c r="H57" s="29"/>
    </row>
    <row r="58" spans="2:8" ht="15.75" customHeight="1" x14ac:dyDescent="0.2">
      <c r="B58" s="24" t="s">
        <v>94</v>
      </c>
      <c r="C58" s="25"/>
      <c r="D58" s="25"/>
      <c r="E58" s="26"/>
      <c r="F58" s="34" t="s">
        <v>96</v>
      </c>
      <c r="G58" s="35" t="s">
        <v>96</v>
      </c>
      <c r="H58" s="29"/>
    </row>
    <row r="59" spans="2:8" ht="15.75" customHeight="1" x14ac:dyDescent="0.2">
      <c r="B59" s="25"/>
      <c r="C59" s="25"/>
      <c r="D59" s="25"/>
      <c r="E59" s="26"/>
      <c r="F59" s="27"/>
      <c r="G59" s="28"/>
      <c r="H59" s="29"/>
    </row>
    <row r="60" spans="2:8" ht="15.75" customHeight="1" x14ac:dyDescent="0.2">
      <c r="B60" s="36" t="s">
        <v>98</v>
      </c>
      <c r="C60" s="36"/>
      <c r="D60" s="36"/>
      <c r="E60" s="37"/>
      <c r="F60" s="31">
        <v>66527.64</v>
      </c>
      <c r="G60" s="32">
        <v>0.71889999999999998</v>
      </c>
      <c r="H60" s="33"/>
    </row>
    <row r="61" spans="2:8" ht="15.75" customHeight="1" x14ac:dyDescent="0.2">
      <c r="B61" s="25"/>
      <c r="C61" s="25"/>
      <c r="D61" s="25"/>
      <c r="E61" s="26"/>
      <c r="F61" s="27"/>
      <c r="G61" s="28"/>
      <c r="H61" s="29"/>
    </row>
    <row r="62" spans="2:8" ht="15.75" customHeight="1" x14ac:dyDescent="0.2">
      <c r="B62" s="24" t="s">
        <v>82</v>
      </c>
      <c r="C62" s="25"/>
      <c r="D62" s="25"/>
      <c r="E62" s="26"/>
      <c r="F62" s="27"/>
      <c r="G62" s="28"/>
      <c r="H62" s="29"/>
    </row>
    <row r="63" spans="2:8" ht="15.75" customHeight="1" x14ac:dyDescent="0.2">
      <c r="B63" s="24" t="s">
        <v>83</v>
      </c>
      <c r="C63" s="25"/>
      <c r="D63" s="25"/>
      <c r="E63" s="26"/>
      <c r="F63" s="27"/>
      <c r="G63" s="28"/>
      <c r="H63" s="29"/>
    </row>
    <row r="64" spans="2:8" ht="15.75" customHeight="1" x14ac:dyDescent="0.2">
      <c r="B64" s="25" t="s">
        <v>88</v>
      </c>
      <c r="C64" s="25" t="s">
        <v>89</v>
      </c>
      <c r="D64" s="25" t="s">
        <v>85</v>
      </c>
      <c r="E64" s="26">
        <v>7500000</v>
      </c>
      <c r="F64" s="27">
        <v>7781.52</v>
      </c>
      <c r="G64" s="28">
        <v>8.4099999999999994E-2</v>
      </c>
      <c r="H64" s="29">
        <v>7.3009000000000004E-2</v>
      </c>
    </row>
    <row r="65" spans="2:16" ht="15.75" customHeight="1" x14ac:dyDescent="0.2">
      <c r="B65" s="25" t="s">
        <v>90</v>
      </c>
      <c r="C65" s="25" t="s">
        <v>91</v>
      </c>
      <c r="D65" s="25" t="s">
        <v>92</v>
      </c>
      <c r="E65" s="26">
        <v>250</v>
      </c>
      <c r="F65" s="27">
        <v>2622.92</v>
      </c>
      <c r="G65" s="28">
        <v>2.8299999999999999E-2</v>
      </c>
      <c r="H65" s="29">
        <v>7.8571000000000002E-2</v>
      </c>
    </row>
    <row r="66" spans="2:16" ht="15.75" customHeight="1" x14ac:dyDescent="0.2">
      <c r="B66" s="25" t="s">
        <v>86</v>
      </c>
      <c r="C66" s="25" t="s">
        <v>87</v>
      </c>
      <c r="D66" s="25" t="s">
        <v>85</v>
      </c>
      <c r="E66" s="26">
        <v>2500000</v>
      </c>
      <c r="F66" s="27">
        <v>2567.0500000000002</v>
      </c>
      <c r="G66" s="28">
        <v>2.7699999999999999E-2</v>
      </c>
      <c r="H66" s="29">
        <v>7.7181E-2</v>
      </c>
    </row>
    <row r="67" spans="2:16" ht="15.75" customHeight="1" x14ac:dyDescent="0.2">
      <c r="B67" s="25" t="s">
        <v>337</v>
      </c>
      <c r="C67" s="25" t="s">
        <v>338</v>
      </c>
      <c r="D67" s="25" t="s">
        <v>85</v>
      </c>
      <c r="E67" s="26">
        <v>2511400</v>
      </c>
      <c r="F67" s="27">
        <v>2539.36</v>
      </c>
      <c r="G67" s="28">
        <v>2.7400000000000001E-2</v>
      </c>
      <c r="H67" s="29">
        <v>7.7785999999999994E-2</v>
      </c>
    </row>
    <row r="68" spans="2:16" ht="15.75" customHeight="1" x14ac:dyDescent="0.2">
      <c r="B68" s="25" t="s">
        <v>339</v>
      </c>
      <c r="C68" s="25" t="s">
        <v>340</v>
      </c>
      <c r="D68" s="25" t="s">
        <v>85</v>
      </c>
      <c r="E68" s="26">
        <v>2500000</v>
      </c>
      <c r="F68" s="27">
        <v>2531.89</v>
      </c>
      <c r="G68" s="28">
        <v>2.7400000000000001E-2</v>
      </c>
      <c r="H68" s="29">
        <v>7.7517000000000003E-2</v>
      </c>
      <c r="L68" s="3"/>
    </row>
    <row r="69" spans="2:16" ht="15.75" customHeight="1" x14ac:dyDescent="0.2">
      <c r="B69" s="25" t="s">
        <v>337</v>
      </c>
      <c r="C69" s="25" t="s">
        <v>341</v>
      </c>
      <c r="D69" s="25" t="s">
        <v>85</v>
      </c>
      <c r="E69" s="26">
        <v>1082000</v>
      </c>
      <c r="F69" s="27">
        <v>1092.27</v>
      </c>
      <c r="G69" s="28">
        <v>1.18E-2</v>
      </c>
      <c r="H69" s="29">
        <v>7.7505000000000004E-2</v>
      </c>
    </row>
    <row r="70" spans="2:16" ht="15.75" customHeight="1" x14ac:dyDescent="0.2">
      <c r="B70" s="25" t="s">
        <v>342</v>
      </c>
      <c r="C70" s="25" t="s">
        <v>343</v>
      </c>
      <c r="D70" s="25" t="s">
        <v>85</v>
      </c>
      <c r="E70" s="26">
        <v>1000000</v>
      </c>
      <c r="F70" s="27">
        <v>1038.94</v>
      </c>
      <c r="G70" s="28">
        <v>1.12E-2</v>
      </c>
      <c r="H70" s="29">
        <v>7.3623999999999995E-2</v>
      </c>
      <c r="L70" s="3"/>
    </row>
    <row r="71" spans="2:16" ht="15.75" customHeight="1" x14ac:dyDescent="0.2">
      <c r="B71" s="24" t="s">
        <v>94</v>
      </c>
      <c r="C71" s="24"/>
      <c r="D71" s="24"/>
      <c r="E71" s="30"/>
      <c r="F71" s="31">
        <v>20173.95</v>
      </c>
      <c r="G71" s="32">
        <v>0.21790000000000001</v>
      </c>
      <c r="H71" s="33"/>
      <c r="L71" s="3"/>
    </row>
    <row r="72" spans="2:16" ht="15.75" customHeight="1" x14ac:dyDescent="0.2">
      <c r="B72" s="25"/>
      <c r="C72" s="25"/>
      <c r="D72" s="25"/>
      <c r="E72" s="26"/>
      <c r="F72" s="27"/>
      <c r="G72" s="28"/>
      <c r="H72" s="29"/>
      <c r="L72" s="3"/>
    </row>
    <row r="73" spans="2:16" ht="15.75" customHeight="1" x14ac:dyDescent="0.2">
      <c r="B73" s="24" t="s">
        <v>95</v>
      </c>
      <c r="C73" s="25"/>
      <c r="D73" s="25"/>
      <c r="E73" s="26"/>
      <c r="F73" s="27"/>
      <c r="G73" s="28"/>
      <c r="H73" s="29"/>
      <c r="L73" s="3"/>
    </row>
    <row r="74" spans="2:16" ht="15.75" customHeight="1" x14ac:dyDescent="0.2">
      <c r="B74" s="24" t="s">
        <v>94</v>
      </c>
      <c r="C74" s="25"/>
      <c r="D74" s="25"/>
      <c r="E74" s="26"/>
      <c r="F74" s="34" t="s">
        <v>96</v>
      </c>
      <c r="G74" s="35" t="s">
        <v>96</v>
      </c>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97</v>
      </c>
      <c r="C76" s="25"/>
      <c r="D76" s="25"/>
      <c r="E76" s="26"/>
      <c r="F76" s="27"/>
      <c r="G76" s="28"/>
      <c r="H76" s="29"/>
    </row>
    <row r="77" spans="2:16" ht="15.75" customHeight="1" x14ac:dyDescent="0.2">
      <c r="B77" s="24" t="s">
        <v>94</v>
      </c>
      <c r="C77" s="25"/>
      <c r="D77" s="25"/>
      <c r="E77" s="26"/>
      <c r="F77" s="34" t="s">
        <v>96</v>
      </c>
      <c r="G77" s="35" t="s">
        <v>96</v>
      </c>
      <c r="H77" s="29"/>
    </row>
    <row r="78" spans="2:16" ht="15.75" customHeight="1" x14ac:dyDescent="0.2">
      <c r="B78" s="25"/>
      <c r="C78" s="25"/>
      <c r="D78" s="25"/>
      <c r="E78" s="26"/>
      <c r="F78" s="27"/>
      <c r="G78" s="28"/>
      <c r="H78" s="29"/>
      <c r="L78" s="7"/>
      <c r="M78" s="7"/>
      <c r="N78" s="7"/>
      <c r="O78" s="7"/>
      <c r="P78" s="7"/>
    </row>
    <row r="79" spans="2:16" ht="15.75" customHeight="1" x14ac:dyDescent="0.2">
      <c r="B79" s="36" t="s">
        <v>98</v>
      </c>
      <c r="C79" s="36"/>
      <c r="D79" s="36"/>
      <c r="E79" s="37"/>
      <c r="F79" s="31">
        <v>20173.95</v>
      </c>
      <c r="G79" s="32">
        <v>0.218</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4" t="s">
        <v>114</v>
      </c>
      <c r="C81" s="25"/>
      <c r="D81" s="25"/>
      <c r="E81" s="26"/>
      <c r="F81" s="27"/>
      <c r="G81" s="28"/>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155</v>
      </c>
      <c r="C83" s="25"/>
      <c r="D83" s="25"/>
      <c r="E83" s="26"/>
      <c r="F83" s="27"/>
      <c r="G83" s="28"/>
      <c r="H83" s="29"/>
      <c r="L83" s="7"/>
      <c r="M83" s="7"/>
      <c r="N83" s="7"/>
      <c r="O83" s="7"/>
      <c r="P83" s="7"/>
    </row>
    <row r="84" spans="2:16" ht="15.75" customHeight="1" x14ac:dyDescent="0.2">
      <c r="B84" s="25" t="s">
        <v>156</v>
      </c>
      <c r="C84" s="25" t="s">
        <v>157</v>
      </c>
      <c r="D84" s="25" t="s">
        <v>116</v>
      </c>
      <c r="E84" s="26">
        <v>700</v>
      </c>
      <c r="F84" s="27">
        <v>3376.9</v>
      </c>
      <c r="G84" s="28">
        <v>3.6499999999999998E-2</v>
      </c>
      <c r="H84" s="29">
        <v>7.9200999999999994E-2</v>
      </c>
      <c r="L84" s="7"/>
      <c r="M84" s="7"/>
      <c r="N84" s="7"/>
      <c r="O84" s="7"/>
      <c r="P84" s="7"/>
    </row>
    <row r="85" spans="2:16" ht="15.75" customHeight="1" x14ac:dyDescent="0.2">
      <c r="B85" s="24" t="s">
        <v>94</v>
      </c>
      <c r="C85" s="24"/>
      <c r="D85" s="24"/>
      <c r="E85" s="30"/>
      <c r="F85" s="31">
        <v>3376.9</v>
      </c>
      <c r="G85" s="32">
        <v>3.6499999999999998E-2</v>
      </c>
      <c r="H85" s="33"/>
    </row>
    <row r="86" spans="2:16" ht="15.75" customHeight="1" x14ac:dyDescent="0.2">
      <c r="B86" s="25"/>
      <c r="C86" s="25"/>
      <c r="D86" s="25"/>
      <c r="E86" s="26"/>
      <c r="F86" s="27"/>
      <c r="G86" s="28"/>
      <c r="H86" s="29"/>
      <c r="L86" s="3"/>
    </row>
    <row r="87" spans="2:16" ht="15.75" customHeight="1" x14ac:dyDescent="0.2">
      <c r="B87" s="36" t="s">
        <v>98</v>
      </c>
      <c r="C87" s="36"/>
      <c r="D87" s="36"/>
      <c r="E87" s="37"/>
      <c r="F87" s="31">
        <v>3376.9</v>
      </c>
      <c r="G87" s="32">
        <v>3.6499999999999998E-2</v>
      </c>
      <c r="H87" s="33"/>
    </row>
    <row r="88" spans="2:16" ht="15.75" customHeight="1" x14ac:dyDescent="0.2">
      <c r="B88" s="25"/>
      <c r="C88" s="25"/>
      <c r="D88" s="25"/>
      <c r="E88" s="26"/>
      <c r="F88" s="27"/>
      <c r="G88" s="28"/>
      <c r="H88" s="29"/>
    </row>
    <row r="89" spans="2:16" ht="15.75" customHeight="1" x14ac:dyDescent="0.2">
      <c r="B89" s="25"/>
      <c r="C89" s="25"/>
      <c r="D89" s="25"/>
      <c r="E89" s="26"/>
      <c r="F89" s="27"/>
      <c r="G89" s="28"/>
      <c r="H89" s="29"/>
    </row>
    <row r="90" spans="2:16" ht="15.75" customHeight="1" x14ac:dyDescent="0.2">
      <c r="B90" s="24" t="s">
        <v>101</v>
      </c>
      <c r="C90" s="25"/>
      <c r="D90" s="25"/>
      <c r="E90" s="26"/>
      <c r="F90" s="27"/>
      <c r="G90" s="28"/>
      <c r="H90" s="29"/>
    </row>
    <row r="91" spans="2:16" ht="15.75" customHeight="1" x14ac:dyDescent="0.2">
      <c r="B91" s="25" t="s">
        <v>102</v>
      </c>
      <c r="C91" s="25"/>
      <c r="D91" s="25"/>
      <c r="E91" s="26"/>
      <c r="F91" s="27">
        <v>3843.62</v>
      </c>
      <c r="G91" s="28">
        <v>4.1500000000000002E-2</v>
      </c>
      <c r="H91" s="29"/>
    </row>
    <row r="92" spans="2:16" ht="15.75" customHeight="1" x14ac:dyDescent="0.2">
      <c r="B92" s="24" t="s">
        <v>94</v>
      </c>
      <c r="C92" s="24"/>
      <c r="D92" s="24"/>
      <c r="E92" s="30"/>
      <c r="F92" s="31">
        <v>3843.62</v>
      </c>
      <c r="G92" s="32">
        <v>4.1500000000000002E-2</v>
      </c>
      <c r="H92" s="33"/>
    </row>
    <row r="93" spans="2:16" ht="15.75" customHeight="1" x14ac:dyDescent="0.2">
      <c r="B93" s="25"/>
      <c r="C93" s="25"/>
      <c r="D93" s="25"/>
      <c r="E93" s="26"/>
      <c r="F93" s="27"/>
      <c r="G93" s="28"/>
      <c r="H93" s="29"/>
    </row>
    <row r="94" spans="2:16" ht="15.75" customHeight="1" x14ac:dyDescent="0.2">
      <c r="B94" s="36" t="s">
        <v>98</v>
      </c>
      <c r="C94" s="36"/>
      <c r="D94" s="36"/>
      <c r="E94" s="37"/>
      <c r="F94" s="31">
        <v>3843.62</v>
      </c>
      <c r="G94" s="32">
        <v>4.1500000000000002E-2</v>
      </c>
      <c r="H94" s="33"/>
    </row>
    <row r="95" spans="2:16" ht="15.75" customHeight="1" x14ac:dyDescent="0.2">
      <c r="B95" s="25" t="s">
        <v>103</v>
      </c>
      <c r="C95" s="25"/>
      <c r="D95" s="25"/>
      <c r="E95" s="26"/>
      <c r="F95" s="38">
        <v>-1384.12</v>
      </c>
      <c r="G95" s="39">
        <v>-1.4899999999999913E-2</v>
      </c>
      <c r="H95" s="29"/>
    </row>
    <row r="96" spans="2:16" ht="15.75" customHeight="1" x14ac:dyDescent="0.2">
      <c r="B96" s="40" t="s">
        <v>104</v>
      </c>
      <c r="C96" s="40"/>
      <c r="D96" s="40"/>
      <c r="E96" s="41"/>
      <c r="F96" s="42">
        <v>92537.99</v>
      </c>
      <c r="G96" s="43">
        <v>1</v>
      </c>
      <c r="H96" s="44"/>
    </row>
    <row r="97" spans="2:5" ht="15.75" customHeight="1" x14ac:dyDescent="0.2">
      <c r="B97" s="2"/>
    </row>
    <row r="98" spans="2:5" ht="15.75" customHeight="1" x14ac:dyDescent="0.2">
      <c r="B98" s="12" t="s">
        <v>119</v>
      </c>
    </row>
    <row r="99" spans="2:5" ht="15.75" customHeight="1" x14ac:dyDescent="0.2">
      <c r="B99" s="12" t="s">
        <v>105</v>
      </c>
    </row>
    <row r="100" spans="2:5" ht="15.75" customHeight="1" x14ac:dyDescent="0.2">
      <c r="B100" s="53"/>
    </row>
    <row r="101" spans="2:5" ht="15.75" customHeight="1" x14ac:dyDescent="0.2">
      <c r="B101" s="9" t="s">
        <v>344</v>
      </c>
    </row>
    <row r="102" spans="2:5" ht="15.75" customHeight="1" x14ac:dyDescent="0.2">
      <c r="B102" s="9" t="s">
        <v>345</v>
      </c>
    </row>
    <row r="103" spans="2:5" ht="15.75" customHeight="1" x14ac:dyDescent="0.2">
      <c r="B103" s="13" t="s">
        <v>264</v>
      </c>
      <c r="C103" s="50" t="s">
        <v>2</v>
      </c>
      <c r="D103" s="51" t="s">
        <v>3</v>
      </c>
      <c r="E103" s="52" t="s">
        <v>265</v>
      </c>
    </row>
    <row r="104" spans="2:5" ht="15.75" customHeight="1" x14ac:dyDescent="0.2">
      <c r="B104" s="46" t="s">
        <v>128</v>
      </c>
      <c r="C104" s="47">
        <v>-28050</v>
      </c>
      <c r="D104" s="48">
        <v>-412.98</v>
      </c>
      <c r="E104" s="49">
        <v>-4.4999999999999997E-3</v>
      </c>
    </row>
    <row r="105" spans="2:5" ht="15.75" customHeight="1" x14ac:dyDescent="0.2">
      <c r="B105" s="46" t="s">
        <v>286</v>
      </c>
      <c r="C105" s="47">
        <v>-5400</v>
      </c>
      <c r="D105" s="48">
        <v>-246.16</v>
      </c>
      <c r="E105" s="49">
        <v>-2.7000000000000001E-3</v>
      </c>
    </row>
    <row r="106" spans="2:5" ht="15.75" customHeight="1" x14ac:dyDescent="0.2">
      <c r="B106" s="46" t="s">
        <v>171</v>
      </c>
      <c r="C106" s="47">
        <v>-28000</v>
      </c>
      <c r="D106" s="48">
        <v>-1073.9100000000001</v>
      </c>
      <c r="E106" s="49">
        <v>-1.1599999999999999E-2</v>
      </c>
    </row>
    <row r="107" spans="2:5" ht="15.75" customHeight="1" x14ac:dyDescent="0.2">
      <c r="B107" s="46" t="s">
        <v>271</v>
      </c>
      <c r="C107" s="47">
        <v>-88400</v>
      </c>
      <c r="D107" s="48">
        <v>-1199.06</v>
      </c>
      <c r="E107" s="49">
        <v>-1.2999999999999999E-2</v>
      </c>
    </row>
    <row r="108" spans="2:5" ht="15.75" customHeight="1" x14ac:dyDescent="0.2">
      <c r="B108" s="46" t="s">
        <v>185</v>
      </c>
      <c r="C108" s="47">
        <v>-125400</v>
      </c>
      <c r="D108" s="48">
        <v>-234</v>
      </c>
      <c r="E108" s="49">
        <v>-2.5000000000000001E-3</v>
      </c>
    </row>
    <row r="109" spans="2:5" ht="15.75" customHeight="1" x14ac:dyDescent="0.2">
      <c r="B109" s="46" t="s">
        <v>133</v>
      </c>
      <c r="C109" s="47">
        <v>-49200</v>
      </c>
      <c r="D109" s="48">
        <v>-1226.24</v>
      </c>
      <c r="E109" s="49">
        <v>-1.3299999999999999E-2</v>
      </c>
    </row>
    <row r="110" spans="2:5" ht="15.75" customHeight="1" x14ac:dyDescent="0.2">
      <c r="B110" s="46" t="s">
        <v>130</v>
      </c>
      <c r="C110" s="47">
        <v>-38250</v>
      </c>
      <c r="D110" s="48">
        <v>-1098.75</v>
      </c>
      <c r="E110" s="49">
        <v>-1.1900000000000001E-2</v>
      </c>
    </row>
    <row r="111" spans="2:5" ht="15.75" customHeight="1" x14ac:dyDescent="0.2">
      <c r="B111" s="46" t="s">
        <v>273</v>
      </c>
      <c r="C111" s="47">
        <v>-58800</v>
      </c>
      <c r="D111" s="48">
        <v>-832.2</v>
      </c>
      <c r="E111" s="49">
        <v>-8.9999999999999993E-3</v>
      </c>
    </row>
    <row r="112" spans="2:5" ht="15.75" customHeight="1" x14ac:dyDescent="0.2">
      <c r="B112" s="46" t="s">
        <v>183</v>
      </c>
      <c r="C112" s="47">
        <v>-4200</v>
      </c>
      <c r="D112" s="48">
        <v>-430.79</v>
      </c>
      <c r="E112" s="49">
        <v>-4.7000000000000002E-3</v>
      </c>
    </row>
    <row r="113" spans="2:8" ht="15.75" customHeight="1" x14ac:dyDescent="0.2">
      <c r="B113" s="46" t="s">
        <v>188</v>
      </c>
      <c r="C113" s="47">
        <v>-139500</v>
      </c>
      <c r="D113" s="48">
        <v>-900.68</v>
      </c>
      <c r="E113" s="49">
        <v>-9.7000000000000003E-3</v>
      </c>
    </row>
    <row r="114" spans="2:8" ht="15.75" customHeight="1" x14ac:dyDescent="0.2">
      <c r="B114" s="46" t="s">
        <v>122</v>
      </c>
      <c r="C114" s="47">
        <v>-241500</v>
      </c>
      <c r="D114" s="48">
        <v>-2496.63</v>
      </c>
      <c r="E114" s="49">
        <v>-2.7E-2</v>
      </c>
    </row>
    <row r="115" spans="2:8" ht="15.75" customHeight="1" x14ac:dyDescent="0.2">
      <c r="B115" s="46" t="s">
        <v>284</v>
      </c>
      <c r="C115" s="47">
        <v>-212400</v>
      </c>
      <c r="D115" s="48">
        <v>-544.16999999999996</v>
      </c>
      <c r="E115" s="49">
        <v>-5.8999999999999999E-3</v>
      </c>
    </row>
    <row r="116" spans="2:8" ht="15.75" customHeight="1" x14ac:dyDescent="0.2">
      <c r="B116" s="46" t="s">
        <v>242</v>
      </c>
      <c r="C116" s="47">
        <v>-19200</v>
      </c>
      <c r="D116" s="48">
        <v>-257.18</v>
      </c>
      <c r="E116" s="49">
        <v>-2.8E-3</v>
      </c>
    </row>
    <row r="117" spans="2:8" ht="15.75" customHeight="1" x14ac:dyDescent="0.2">
      <c r="B117" s="46" t="s">
        <v>269</v>
      </c>
      <c r="C117" s="47">
        <v>-83300</v>
      </c>
      <c r="D117" s="48">
        <v>-1318.56</v>
      </c>
      <c r="E117" s="49">
        <v>-1.4200000000000001E-2</v>
      </c>
    </row>
    <row r="118" spans="2:8" ht="15.75" customHeight="1" x14ac:dyDescent="0.2">
      <c r="B118" s="46" t="s">
        <v>125</v>
      </c>
      <c r="C118" s="47">
        <v>-77200</v>
      </c>
      <c r="D118" s="48">
        <v>-1289.47</v>
      </c>
      <c r="E118" s="49">
        <v>-1.3899999999999999E-2</v>
      </c>
    </row>
    <row r="119" spans="2:8" ht="15.75" customHeight="1" x14ac:dyDescent="0.2">
      <c r="B119" s="46" t="s">
        <v>166</v>
      </c>
      <c r="C119" s="47">
        <v>-143750</v>
      </c>
      <c r="D119" s="48">
        <v>-1545.46</v>
      </c>
      <c r="E119" s="49">
        <v>-1.67E-2</v>
      </c>
    </row>
    <row r="120" spans="2:8" ht="15.75" customHeight="1" x14ac:dyDescent="0.2">
      <c r="B120" s="46" t="s">
        <v>139</v>
      </c>
      <c r="C120" s="47">
        <v>-156800</v>
      </c>
      <c r="D120" s="48">
        <v>-2605.7800000000002</v>
      </c>
      <c r="E120" s="49">
        <v>-2.8199999999999999E-2</v>
      </c>
    </row>
    <row r="121" spans="2:8" ht="15.75" customHeight="1" x14ac:dyDescent="0.2">
      <c r="B121" s="46" t="s">
        <v>280</v>
      </c>
      <c r="C121" s="47">
        <v>-195000</v>
      </c>
      <c r="D121" s="48">
        <v>-619.13</v>
      </c>
      <c r="E121" s="49">
        <v>-6.7000000000000002E-3</v>
      </c>
    </row>
    <row r="122" spans="2:8" ht="15.75" customHeight="1" x14ac:dyDescent="0.2">
      <c r="B122" s="46" t="s">
        <v>275</v>
      </c>
      <c r="C122" s="47">
        <v>-14500</v>
      </c>
      <c r="D122" s="48">
        <v>-925.74</v>
      </c>
      <c r="E122" s="49">
        <v>-0.01</v>
      </c>
    </row>
    <row r="123" spans="2:8" ht="15.75" customHeight="1" x14ac:dyDescent="0.2">
      <c r="B123" s="13" t="s">
        <v>266</v>
      </c>
      <c r="C123" s="50">
        <v>-1708850</v>
      </c>
      <c r="D123" s="51">
        <v>-19256.89</v>
      </c>
      <c r="E123" s="52">
        <v>-0.20830000000000001</v>
      </c>
    </row>
    <row r="124" spans="2:8" ht="15.75" customHeight="1" thickBot="1" x14ac:dyDescent="0.25"/>
    <row r="125" spans="2:8" ht="27" customHeight="1" thickBot="1" x14ac:dyDescent="0.25">
      <c r="B125" s="57" t="s">
        <v>829</v>
      </c>
      <c r="C125" s="58" t="s">
        <v>830</v>
      </c>
      <c r="D125" s="58" t="s">
        <v>831</v>
      </c>
      <c r="E125" s="63" t="s">
        <v>832</v>
      </c>
      <c r="G125" s="2"/>
      <c r="H125" s="2"/>
    </row>
    <row r="126" spans="2:8" ht="29.25" customHeight="1" x14ac:dyDescent="0.2">
      <c r="B126" s="70" t="s">
        <v>29</v>
      </c>
      <c r="C126" s="82"/>
      <c r="D126" s="85" t="s">
        <v>859</v>
      </c>
      <c r="E126" s="87"/>
      <c r="G126" s="2"/>
      <c r="H126" s="2"/>
    </row>
    <row r="127" spans="2:8" ht="26.25" customHeight="1" x14ac:dyDescent="0.2">
      <c r="B127" s="66" t="s">
        <v>860</v>
      </c>
      <c r="C127" s="83"/>
      <c r="D127" s="86"/>
      <c r="E127" s="83"/>
      <c r="G127" s="2"/>
      <c r="H127" s="2"/>
    </row>
    <row r="128" spans="2:8" ht="51" customHeight="1" x14ac:dyDescent="0.2">
      <c r="B128" s="66" t="s">
        <v>861</v>
      </c>
      <c r="C128" s="83"/>
      <c r="D128" s="86"/>
      <c r="E128" s="83"/>
      <c r="G128" s="2"/>
      <c r="H128" s="2"/>
    </row>
    <row r="129" spans="2:8" ht="23.25" customHeight="1" thickBot="1" x14ac:dyDescent="0.25">
      <c r="B129" s="68" t="s">
        <v>866</v>
      </c>
      <c r="C129" s="84"/>
      <c r="D129" s="71" t="s">
        <v>862</v>
      </c>
      <c r="E129" s="88"/>
      <c r="G129" s="2"/>
      <c r="H129" s="2"/>
    </row>
    <row r="130" spans="2:8" ht="24.95" customHeight="1" x14ac:dyDescent="0.2">
      <c r="B130" s="59" t="s">
        <v>833</v>
      </c>
      <c r="C130" s="60"/>
      <c r="D130" s="61"/>
      <c r="E130" s="62"/>
      <c r="G130" s="2"/>
      <c r="H130" s="2"/>
    </row>
    <row r="132" spans="2:8" ht="12" x14ac:dyDescent="0.2">
      <c r="B132" s="2" t="s">
        <v>834</v>
      </c>
      <c r="C132" s="2"/>
      <c r="D132" s="2"/>
      <c r="G132" s="2"/>
      <c r="H132" s="2"/>
    </row>
    <row r="133" spans="2:8" ht="12" x14ac:dyDescent="0.2">
      <c r="B133" s="3" t="s">
        <v>835</v>
      </c>
      <c r="C133" s="2"/>
      <c r="D133" s="2"/>
      <c r="G133" s="2"/>
      <c r="H133" s="2"/>
    </row>
  </sheetData>
  <mergeCells count="3">
    <mergeCell ref="C126:C129"/>
    <mergeCell ref="D126:D128"/>
    <mergeCell ref="E126:E129"/>
  </mergeCells>
  <hyperlinks>
    <hyperlink ref="I1" location="'Sheet1'!A1" display="Index" xr:uid="{3EB08B53-86FF-4505-BDDD-DBF87F4CED1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4B4E3-7F7A-49D2-BC93-DBE5472C9D66}">
  <dimension ref="B1:P110"/>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6.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836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189056</v>
      </c>
      <c r="F7" s="27">
        <v>2765.04</v>
      </c>
      <c r="G7" s="28">
        <v>5.4699999999999999E-2</v>
      </c>
      <c r="H7" s="29"/>
    </row>
    <row r="8" spans="2:9" ht="15.75" customHeight="1" x14ac:dyDescent="0.2">
      <c r="B8" s="25" t="s">
        <v>122</v>
      </c>
      <c r="C8" s="25" t="s">
        <v>123</v>
      </c>
      <c r="D8" s="25" t="s">
        <v>124</v>
      </c>
      <c r="E8" s="26">
        <v>244655</v>
      </c>
      <c r="F8" s="27">
        <v>2515.42</v>
      </c>
      <c r="G8" s="28">
        <v>4.9799999999999997E-2</v>
      </c>
      <c r="H8" s="29"/>
    </row>
    <row r="9" spans="2:9" ht="15.75" customHeight="1" x14ac:dyDescent="0.2">
      <c r="B9" s="25" t="s">
        <v>130</v>
      </c>
      <c r="C9" s="25" t="s">
        <v>131</v>
      </c>
      <c r="D9" s="25" t="s">
        <v>132</v>
      </c>
      <c r="E9" s="26">
        <v>62030</v>
      </c>
      <c r="F9" s="27">
        <v>1769.87</v>
      </c>
      <c r="G9" s="28">
        <v>3.5000000000000003E-2</v>
      </c>
      <c r="H9" s="29"/>
    </row>
    <row r="10" spans="2:9" ht="15.75" customHeight="1" x14ac:dyDescent="0.2">
      <c r="B10" s="25" t="s">
        <v>125</v>
      </c>
      <c r="C10" s="25" t="s">
        <v>126</v>
      </c>
      <c r="D10" s="25" t="s">
        <v>127</v>
      </c>
      <c r="E10" s="26">
        <v>105882</v>
      </c>
      <c r="F10" s="27">
        <v>1758.59</v>
      </c>
      <c r="G10" s="28">
        <v>3.4799999999999998E-2</v>
      </c>
      <c r="H10" s="29"/>
    </row>
    <row r="11" spans="2:9" ht="15.75" customHeight="1" x14ac:dyDescent="0.2">
      <c r="B11" s="25" t="s">
        <v>190</v>
      </c>
      <c r="C11" s="25" t="s">
        <v>191</v>
      </c>
      <c r="D11" s="25" t="s">
        <v>135</v>
      </c>
      <c r="E11" s="26">
        <v>292074</v>
      </c>
      <c r="F11" s="27">
        <v>1289.6500000000001</v>
      </c>
      <c r="G11" s="28">
        <v>2.5499999999999998E-2</v>
      </c>
      <c r="H11" s="29"/>
    </row>
    <row r="12" spans="2:9" ht="15.75" customHeight="1" x14ac:dyDescent="0.2">
      <c r="B12" s="25" t="s">
        <v>205</v>
      </c>
      <c r="C12" s="25" t="s">
        <v>206</v>
      </c>
      <c r="D12" s="25" t="s">
        <v>207</v>
      </c>
      <c r="E12" s="26">
        <v>34079</v>
      </c>
      <c r="F12" s="27">
        <v>1052</v>
      </c>
      <c r="G12" s="28">
        <v>2.0799999999999999E-2</v>
      </c>
      <c r="H12" s="29"/>
    </row>
    <row r="13" spans="2:9" ht="15.75" customHeight="1" x14ac:dyDescent="0.2">
      <c r="B13" s="25" t="s">
        <v>160</v>
      </c>
      <c r="C13" s="25" t="s">
        <v>161</v>
      </c>
      <c r="D13" s="25" t="s">
        <v>162</v>
      </c>
      <c r="E13" s="26">
        <v>29555</v>
      </c>
      <c r="F13" s="27">
        <v>1028.44</v>
      </c>
      <c r="G13" s="28">
        <v>2.0400000000000001E-2</v>
      </c>
      <c r="H13" s="29"/>
    </row>
    <row r="14" spans="2:9" ht="15.75" customHeight="1" x14ac:dyDescent="0.2">
      <c r="B14" s="25" t="s">
        <v>188</v>
      </c>
      <c r="C14" s="25" t="s">
        <v>189</v>
      </c>
      <c r="D14" s="25" t="s">
        <v>124</v>
      </c>
      <c r="E14" s="26">
        <v>160062</v>
      </c>
      <c r="F14" s="27">
        <v>1025.2</v>
      </c>
      <c r="G14" s="28">
        <v>2.0299999999999999E-2</v>
      </c>
      <c r="H14" s="29"/>
    </row>
    <row r="15" spans="2:9" ht="15.75" customHeight="1" x14ac:dyDescent="0.2">
      <c r="B15" s="25" t="s">
        <v>166</v>
      </c>
      <c r="C15" s="25" t="s">
        <v>167</v>
      </c>
      <c r="D15" s="25" t="s">
        <v>124</v>
      </c>
      <c r="E15" s="26">
        <v>87745</v>
      </c>
      <c r="F15" s="27">
        <v>936.9</v>
      </c>
      <c r="G15" s="28">
        <v>1.8499999999999999E-2</v>
      </c>
      <c r="H15" s="29"/>
    </row>
    <row r="16" spans="2:9" ht="15.75" customHeight="1" x14ac:dyDescent="0.2">
      <c r="B16" s="25" t="s">
        <v>346</v>
      </c>
      <c r="C16" s="25" t="s">
        <v>347</v>
      </c>
      <c r="D16" s="25" t="s">
        <v>207</v>
      </c>
      <c r="E16" s="26">
        <v>658966</v>
      </c>
      <c r="F16" s="27">
        <v>919.59</v>
      </c>
      <c r="G16" s="28">
        <v>1.8200000000000001E-2</v>
      </c>
      <c r="H16" s="29"/>
    </row>
    <row r="17" spans="2:8" ht="15.75" customHeight="1" x14ac:dyDescent="0.2">
      <c r="B17" s="25" t="s">
        <v>280</v>
      </c>
      <c r="C17" s="25" t="s">
        <v>281</v>
      </c>
      <c r="D17" s="25" t="s">
        <v>229</v>
      </c>
      <c r="E17" s="26">
        <v>288389</v>
      </c>
      <c r="F17" s="27">
        <v>915.64</v>
      </c>
      <c r="G17" s="28">
        <v>1.8100000000000002E-2</v>
      </c>
      <c r="H17" s="29"/>
    </row>
    <row r="18" spans="2:8" ht="15.75" customHeight="1" x14ac:dyDescent="0.2">
      <c r="B18" s="25" t="s">
        <v>171</v>
      </c>
      <c r="C18" s="25" t="s">
        <v>172</v>
      </c>
      <c r="D18" s="25" t="s">
        <v>127</v>
      </c>
      <c r="E18" s="26">
        <v>23289</v>
      </c>
      <c r="F18" s="27">
        <v>888.7</v>
      </c>
      <c r="G18" s="28">
        <v>1.7600000000000001E-2</v>
      </c>
      <c r="H18" s="29"/>
    </row>
    <row r="19" spans="2:8" ht="15.75" customHeight="1" x14ac:dyDescent="0.2">
      <c r="B19" s="25" t="s">
        <v>348</v>
      </c>
      <c r="C19" s="25" t="s">
        <v>349</v>
      </c>
      <c r="D19" s="25" t="s">
        <v>204</v>
      </c>
      <c r="E19" s="26">
        <v>594532</v>
      </c>
      <c r="F19" s="27">
        <v>857.61</v>
      </c>
      <c r="G19" s="28">
        <v>1.7000000000000001E-2</v>
      </c>
      <c r="H19" s="29"/>
    </row>
    <row r="20" spans="2:8" ht="15.75" customHeight="1" x14ac:dyDescent="0.2">
      <c r="B20" s="25" t="s">
        <v>350</v>
      </c>
      <c r="C20" s="25" t="s">
        <v>351</v>
      </c>
      <c r="D20" s="25" t="s">
        <v>259</v>
      </c>
      <c r="E20" s="26">
        <v>66262</v>
      </c>
      <c r="F20" s="27">
        <v>775.73</v>
      </c>
      <c r="G20" s="28">
        <v>1.54E-2</v>
      </c>
      <c r="H20" s="29"/>
    </row>
    <row r="21" spans="2:8" ht="15.75" customHeight="1" x14ac:dyDescent="0.2">
      <c r="B21" s="25" t="s">
        <v>301</v>
      </c>
      <c r="C21" s="25" t="s">
        <v>302</v>
      </c>
      <c r="D21" s="25" t="s">
        <v>303</v>
      </c>
      <c r="E21" s="26">
        <v>50605</v>
      </c>
      <c r="F21" s="27">
        <v>760.77</v>
      </c>
      <c r="G21" s="28">
        <v>1.5100000000000001E-2</v>
      </c>
      <c r="H21" s="29"/>
    </row>
    <row r="22" spans="2:8" ht="15.75" customHeight="1" x14ac:dyDescent="0.2">
      <c r="B22" s="25" t="s">
        <v>352</v>
      </c>
      <c r="C22" s="25" t="s">
        <v>353</v>
      </c>
      <c r="D22" s="25" t="s">
        <v>124</v>
      </c>
      <c r="E22" s="26">
        <v>724565</v>
      </c>
      <c r="F22" s="27">
        <v>751.74</v>
      </c>
      <c r="G22" s="28">
        <v>1.49E-2</v>
      </c>
      <c r="H22" s="29"/>
    </row>
    <row r="23" spans="2:8" ht="15.75" customHeight="1" x14ac:dyDescent="0.2">
      <c r="B23" s="25" t="s">
        <v>354</v>
      </c>
      <c r="C23" s="25" t="s">
        <v>355</v>
      </c>
      <c r="D23" s="25" t="s">
        <v>323</v>
      </c>
      <c r="E23" s="26">
        <v>90634</v>
      </c>
      <c r="F23" s="27">
        <v>723.67</v>
      </c>
      <c r="G23" s="28">
        <v>1.43E-2</v>
      </c>
      <c r="H23" s="29"/>
    </row>
    <row r="24" spans="2:8" ht="15.75" customHeight="1" x14ac:dyDescent="0.2">
      <c r="B24" s="25" t="s">
        <v>356</v>
      </c>
      <c r="C24" s="25" t="s">
        <v>357</v>
      </c>
      <c r="D24" s="25" t="s">
        <v>358</v>
      </c>
      <c r="E24" s="26">
        <v>71301</v>
      </c>
      <c r="F24" s="27">
        <v>696.75</v>
      </c>
      <c r="G24" s="28">
        <v>1.38E-2</v>
      </c>
      <c r="H24" s="29"/>
    </row>
    <row r="25" spans="2:8" ht="15.75" customHeight="1" x14ac:dyDescent="0.2">
      <c r="B25" s="25" t="s">
        <v>216</v>
      </c>
      <c r="C25" s="25" t="s">
        <v>217</v>
      </c>
      <c r="D25" s="25" t="s">
        <v>212</v>
      </c>
      <c r="E25" s="26">
        <v>18613</v>
      </c>
      <c r="F25" s="27">
        <v>688.22</v>
      </c>
      <c r="G25" s="28">
        <v>1.3599999999999999E-2</v>
      </c>
      <c r="H25" s="29"/>
    </row>
    <row r="26" spans="2:8" ht="15.75" customHeight="1" x14ac:dyDescent="0.2">
      <c r="B26" s="25" t="s">
        <v>273</v>
      </c>
      <c r="C26" s="25" t="s">
        <v>274</v>
      </c>
      <c r="D26" s="25" t="s">
        <v>204</v>
      </c>
      <c r="E26" s="26">
        <v>47122</v>
      </c>
      <c r="F26" s="27">
        <v>668.4</v>
      </c>
      <c r="G26" s="28">
        <v>1.32E-2</v>
      </c>
      <c r="H26" s="29"/>
    </row>
    <row r="27" spans="2:8" ht="15.75" customHeight="1" x14ac:dyDescent="0.2">
      <c r="B27" s="25" t="s">
        <v>250</v>
      </c>
      <c r="C27" s="25" t="s">
        <v>251</v>
      </c>
      <c r="D27" s="25" t="s">
        <v>252</v>
      </c>
      <c r="E27" s="26">
        <v>579968</v>
      </c>
      <c r="F27" s="27">
        <v>656.81</v>
      </c>
      <c r="G27" s="28">
        <v>1.2999999999999999E-2</v>
      </c>
      <c r="H27" s="29"/>
    </row>
    <row r="28" spans="2:8" ht="15.75" customHeight="1" x14ac:dyDescent="0.2">
      <c r="B28" s="25" t="s">
        <v>359</v>
      </c>
      <c r="C28" s="25" t="s">
        <v>360</v>
      </c>
      <c r="D28" s="25" t="s">
        <v>361</v>
      </c>
      <c r="E28" s="26">
        <v>65626</v>
      </c>
      <c r="F28" s="27">
        <v>630.83000000000004</v>
      </c>
      <c r="G28" s="28">
        <v>1.2500000000000001E-2</v>
      </c>
      <c r="H28" s="29"/>
    </row>
    <row r="29" spans="2:8" ht="15.75" customHeight="1" x14ac:dyDescent="0.2">
      <c r="B29" s="25" t="s">
        <v>294</v>
      </c>
      <c r="C29" s="25" t="s">
        <v>295</v>
      </c>
      <c r="D29" s="25" t="s">
        <v>170</v>
      </c>
      <c r="E29" s="26">
        <v>135379</v>
      </c>
      <c r="F29" s="27">
        <v>600.07000000000005</v>
      </c>
      <c r="G29" s="28">
        <v>1.1900000000000001E-2</v>
      </c>
      <c r="H29" s="29"/>
    </row>
    <row r="30" spans="2:8" ht="15.75" customHeight="1" x14ac:dyDescent="0.2">
      <c r="B30" s="25" t="s">
        <v>362</v>
      </c>
      <c r="C30" s="25" t="s">
        <v>363</v>
      </c>
      <c r="D30" s="25" t="s">
        <v>361</v>
      </c>
      <c r="E30" s="26">
        <v>87629</v>
      </c>
      <c r="F30" s="27">
        <v>597.54</v>
      </c>
      <c r="G30" s="28">
        <v>1.18E-2</v>
      </c>
      <c r="H30" s="29"/>
    </row>
    <row r="31" spans="2:8" ht="15.75" customHeight="1" x14ac:dyDescent="0.2">
      <c r="B31" s="25" t="s">
        <v>304</v>
      </c>
      <c r="C31" s="25" t="s">
        <v>305</v>
      </c>
      <c r="D31" s="25" t="s">
        <v>124</v>
      </c>
      <c r="E31" s="26">
        <v>696654</v>
      </c>
      <c r="F31" s="27">
        <v>587.63</v>
      </c>
      <c r="G31" s="28">
        <v>1.1599999999999999E-2</v>
      </c>
      <c r="H31" s="29"/>
    </row>
    <row r="32" spans="2:8" ht="15.75" customHeight="1" x14ac:dyDescent="0.2">
      <c r="B32" s="25" t="s">
        <v>364</v>
      </c>
      <c r="C32" s="25" t="s">
        <v>365</v>
      </c>
      <c r="D32" s="25" t="s">
        <v>170</v>
      </c>
      <c r="E32" s="26">
        <v>76250</v>
      </c>
      <c r="F32" s="27">
        <v>580.87</v>
      </c>
      <c r="G32" s="28">
        <v>1.15E-2</v>
      </c>
      <c r="H32" s="29"/>
    </row>
    <row r="33" spans="2:8" ht="15.75" customHeight="1" x14ac:dyDescent="0.2">
      <c r="B33" s="25" t="s">
        <v>366</v>
      </c>
      <c r="C33" s="25" t="s">
        <v>367</v>
      </c>
      <c r="D33" s="25" t="s">
        <v>361</v>
      </c>
      <c r="E33" s="26">
        <v>187101</v>
      </c>
      <c r="F33" s="27">
        <v>565.79</v>
      </c>
      <c r="G33" s="28">
        <v>1.12E-2</v>
      </c>
      <c r="H33" s="29"/>
    </row>
    <row r="34" spans="2:8" ht="15.75" customHeight="1" x14ac:dyDescent="0.2">
      <c r="B34" s="25" t="s">
        <v>269</v>
      </c>
      <c r="C34" s="25" t="s">
        <v>270</v>
      </c>
      <c r="D34" s="25" t="s">
        <v>127</v>
      </c>
      <c r="E34" s="26">
        <v>35505</v>
      </c>
      <c r="F34" s="27">
        <v>559.55999999999995</v>
      </c>
      <c r="G34" s="28">
        <v>1.11E-2</v>
      </c>
      <c r="H34" s="29"/>
    </row>
    <row r="35" spans="2:8" ht="15.75" customHeight="1" x14ac:dyDescent="0.2">
      <c r="B35" s="25" t="s">
        <v>136</v>
      </c>
      <c r="C35" s="25" t="s">
        <v>137</v>
      </c>
      <c r="D35" s="25" t="s">
        <v>138</v>
      </c>
      <c r="E35" s="26">
        <v>22102</v>
      </c>
      <c r="F35" s="27">
        <v>553.88</v>
      </c>
      <c r="G35" s="28">
        <v>1.0999999999999999E-2</v>
      </c>
      <c r="H35" s="29"/>
    </row>
    <row r="36" spans="2:8" ht="15.75" customHeight="1" x14ac:dyDescent="0.2">
      <c r="B36" s="25" t="s">
        <v>168</v>
      </c>
      <c r="C36" s="25" t="s">
        <v>169</v>
      </c>
      <c r="D36" s="25" t="s">
        <v>170</v>
      </c>
      <c r="E36" s="26">
        <v>8013</v>
      </c>
      <c r="F36" s="27">
        <v>549.91999999999996</v>
      </c>
      <c r="G36" s="28">
        <v>1.09E-2</v>
      </c>
      <c r="H36" s="29"/>
    </row>
    <row r="37" spans="2:8" ht="15.75" customHeight="1" x14ac:dyDescent="0.2">
      <c r="B37" s="25" t="s">
        <v>286</v>
      </c>
      <c r="C37" s="25" t="s">
        <v>287</v>
      </c>
      <c r="D37" s="25" t="s">
        <v>141</v>
      </c>
      <c r="E37" s="26">
        <v>11523</v>
      </c>
      <c r="F37" s="27">
        <v>532.54</v>
      </c>
      <c r="G37" s="28">
        <v>1.0500000000000001E-2</v>
      </c>
      <c r="H37" s="29"/>
    </row>
    <row r="38" spans="2:8" ht="15.75" customHeight="1" x14ac:dyDescent="0.2">
      <c r="B38" s="25" t="s">
        <v>368</v>
      </c>
      <c r="C38" s="25" t="s">
        <v>369</v>
      </c>
      <c r="D38" s="25" t="s">
        <v>303</v>
      </c>
      <c r="E38" s="26">
        <v>16631</v>
      </c>
      <c r="F38" s="27">
        <v>531.04</v>
      </c>
      <c r="G38" s="28">
        <v>1.0500000000000001E-2</v>
      </c>
      <c r="H38" s="29"/>
    </row>
    <row r="39" spans="2:8" ht="15.75" customHeight="1" x14ac:dyDescent="0.2">
      <c r="B39" s="25" t="s">
        <v>370</v>
      </c>
      <c r="C39" s="25" t="s">
        <v>371</v>
      </c>
      <c r="D39" s="25" t="s">
        <v>303</v>
      </c>
      <c r="E39" s="26">
        <v>42132</v>
      </c>
      <c r="F39" s="27">
        <v>520.44000000000005</v>
      </c>
      <c r="G39" s="28">
        <v>1.03E-2</v>
      </c>
      <c r="H39" s="29"/>
    </row>
    <row r="40" spans="2:8" ht="15.75" customHeight="1" x14ac:dyDescent="0.2">
      <c r="B40" s="25" t="s">
        <v>275</v>
      </c>
      <c r="C40" s="25" t="s">
        <v>276</v>
      </c>
      <c r="D40" s="25" t="s">
        <v>277</v>
      </c>
      <c r="E40" s="26">
        <v>8173</v>
      </c>
      <c r="F40" s="27">
        <v>519.23</v>
      </c>
      <c r="G40" s="28">
        <v>1.03E-2</v>
      </c>
      <c r="H40" s="29"/>
    </row>
    <row r="41" spans="2:8" ht="15.75" customHeight="1" x14ac:dyDescent="0.2">
      <c r="B41" s="25" t="s">
        <v>282</v>
      </c>
      <c r="C41" s="25" t="s">
        <v>283</v>
      </c>
      <c r="D41" s="25" t="s">
        <v>215</v>
      </c>
      <c r="E41" s="26">
        <v>22191</v>
      </c>
      <c r="F41" s="27">
        <v>515.96</v>
      </c>
      <c r="G41" s="28">
        <v>1.0200000000000001E-2</v>
      </c>
      <c r="H41" s="29"/>
    </row>
    <row r="42" spans="2:8" ht="15.75" customHeight="1" x14ac:dyDescent="0.2">
      <c r="B42" s="25" t="s">
        <v>372</v>
      </c>
      <c r="C42" s="25" t="s">
        <v>373</v>
      </c>
      <c r="D42" s="25" t="s">
        <v>313</v>
      </c>
      <c r="E42" s="26">
        <v>33587</v>
      </c>
      <c r="F42" s="27">
        <v>514.84</v>
      </c>
      <c r="G42" s="28">
        <v>1.0200000000000001E-2</v>
      </c>
      <c r="H42" s="29"/>
    </row>
    <row r="43" spans="2:8" ht="15.75" customHeight="1" x14ac:dyDescent="0.2">
      <c r="B43" s="25" t="s">
        <v>183</v>
      </c>
      <c r="C43" s="25" t="s">
        <v>184</v>
      </c>
      <c r="D43" s="25" t="s">
        <v>141</v>
      </c>
      <c r="E43" s="26">
        <v>4982</v>
      </c>
      <c r="F43" s="27">
        <v>507.51</v>
      </c>
      <c r="G43" s="28">
        <v>0.01</v>
      </c>
      <c r="H43" s="29"/>
    </row>
    <row r="44" spans="2:8" ht="15.75" customHeight="1" x14ac:dyDescent="0.2">
      <c r="B44" s="25" t="s">
        <v>290</v>
      </c>
      <c r="C44" s="25" t="s">
        <v>291</v>
      </c>
      <c r="D44" s="25" t="s">
        <v>124</v>
      </c>
      <c r="E44" s="26">
        <v>352538</v>
      </c>
      <c r="F44" s="27">
        <v>489.85</v>
      </c>
      <c r="G44" s="28">
        <v>9.7000000000000003E-3</v>
      </c>
      <c r="H44" s="29"/>
    </row>
    <row r="45" spans="2:8" ht="15.75" customHeight="1" x14ac:dyDescent="0.2">
      <c r="B45" s="25" t="s">
        <v>133</v>
      </c>
      <c r="C45" s="25" t="s">
        <v>134</v>
      </c>
      <c r="D45" s="25" t="s">
        <v>135</v>
      </c>
      <c r="E45" s="26">
        <v>19556</v>
      </c>
      <c r="F45" s="27">
        <v>485.29</v>
      </c>
      <c r="G45" s="28">
        <v>9.5999999999999992E-3</v>
      </c>
      <c r="H45" s="29"/>
    </row>
    <row r="46" spans="2:8" ht="15.75" customHeight="1" x14ac:dyDescent="0.2">
      <c r="B46" s="25" t="s">
        <v>299</v>
      </c>
      <c r="C46" s="25" t="s">
        <v>300</v>
      </c>
      <c r="D46" s="25" t="s">
        <v>212</v>
      </c>
      <c r="E46" s="26">
        <v>157610</v>
      </c>
      <c r="F46" s="27">
        <v>477.48</v>
      </c>
      <c r="G46" s="28">
        <v>9.4999999999999998E-3</v>
      </c>
      <c r="H46" s="29"/>
    </row>
    <row r="47" spans="2:8" ht="15.75" customHeight="1" x14ac:dyDescent="0.2">
      <c r="B47" s="25" t="s">
        <v>374</v>
      </c>
      <c r="C47" s="25" t="s">
        <v>375</v>
      </c>
      <c r="D47" s="25" t="s">
        <v>165</v>
      </c>
      <c r="E47" s="26">
        <v>48663</v>
      </c>
      <c r="F47" s="27">
        <v>456.8</v>
      </c>
      <c r="G47" s="28">
        <v>8.9999999999999993E-3</v>
      </c>
      <c r="H47" s="29"/>
    </row>
    <row r="48" spans="2:8" ht="15.75" customHeight="1" x14ac:dyDescent="0.2">
      <c r="B48" s="25" t="s">
        <v>376</v>
      </c>
      <c r="C48" s="25" t="s">
        <v>377</v>
      </c>
      <c r="D48" s="25" t="s">
        <v>127</v>
      </c>
      <c r="E48" s="26">
        <v>97058</v>
      </c>
      <c r="F48" s="27">
        <v>456.71</v>
      </c>
      <c r="G48" s="28">
        <v>8.9999999999999993E-3</v>
      </c>
      <c r="H48" s="29"/>
    </row>
    <row r="49" spans="2:8" ht="15.75" customHeight="1" x14ac:dyDescent="0.2">
      <c r="B49" s="25" t="s">
        <v>378</v>
      </c>
      <c r="C49" s="25" t="s">
        <v>379</v>
      </c>
      <c r="D49" s="25" t="s">
        <v>361</v>
      </c>
      <c r="E49" s="26">
        <v>11021</v>
      </c>
      <c r="F49" s="27">
        <v>456.31</v>
      </c>
      <c r="G49" s="28">
        <v>8.9999999999999993E-3</v>
      </c>
      <c r="H49" s="29"/>
    </row>
    <row r="50" spans="2:8" ht="15.75" customHeight="1" x14ac:dyDescent="0.2">
      <c r="B50" s="25" t="s">
        <v>380</v>
      </c>
      <c r="C50" s="25" t="s">
        <v>381</v>
      </c>
      <c r="D50" s="25" t="s">
        <v>252</v>
      </c>
      <c r="E50" s="26">
        <v>93134</v>
      </c>
      <c r="F50" s="27">
        <v>452.12</v>
      </c>
      <c r="G50" s="28">
        <v>8.8999999999999999E-3</v>
      </c>
      <c r="H50" s="29"/>
    </row>
    <row r="51" spans="2:8" ht="15.75" customHeight="1" x14ac:dyDescent="0.2">
      <c r="B51" s="25" t="s">
        <v>382</v>
      </c>
      <c r="C51" s="25" t="s">
        <v>383</v>
      </c>
      <c r="D51" s="25" t="s">
        <v>127</v>
      </c>
      <c r="E51" s="26">
        <v>6527</v>
      </c>
      <c r="F51" s="27">
        <v>407.94</v>
      </c>
      <c r="G51" s="28">
        <v>8.0999999999999996E-3</v>
      </c>
      <c r="H51" s="29"/>
    </row>
    <row r="52" spans="2:8" ht="15.75" customHeight="1" x14ac:dyDescent="0.2">
      <c r="B52" s="25" t="s">
        <v>329</v>
      </c>
      <c r="C52" s="25" t="s">
        <v>330</v>
      </c>
      <c r="D52" s="25" t="s">
        <v>328</v>
      </c>
      <c r="E52" s="26">
        <v>37806</v>
      </c>
      <c r="F52" s="27">
        <v>404.56</v>
      </c>
      <c r="G52" s="28">
        <v>8.0000000000000002E-3</v>
      </c>
      <c r="H52" s="29"/>
    </row>
    <row r="53" spans="2:8" ht="15.75" customHeight="1" x14ac:dyDescent="0.2">
      <c r="B53" s="25" t="s">
        <v>384</v>
      </c>
      <c r="C53" s="25" t="s">
        <v>385</v>
      </c>
      <c r="D53" s="25" t="s">
        <v>358</v>
      </c>
      <c r="E53" s="26">
        <v>71201</v>
      </c>
      <c r="F53" s="27">
        <v>369.92</v>
      </c>
      <c r="G53" s="28">
        <v>7.3000000000000001E-3</v>
      </c>
      <c r="H53" s="29"/>
    </row>
    <row r="54" spans="2:8" ht="15.75" customHeight="1" x14ac:dyDescent="0.2">
      <c r="B54" s="25" t="s">
        <v>386</v>
      </c>
      <c r="C54" s="25" t="s">
        <v>387</v>
      </c>
      <c r="D54" s="25" t="s">
        <v>252</v>
      </c>
      <c r="E54" s="26">
        <v>51974</v>
      </c>
      <c r="F54" s="27">
        <v>321.3</v>
      </c>
      <c r="G54" s="28">
        <v>6.4000000000000003E-3</v>
      </c>
      <c r="H54" s="29"/>
    </row>
    <row r="55" spans="2:8" ht="15.75" customHeight="1" x14ac:dyDescent="0.2">
      <c r="B55" s="25" t="s">
        <v>388</v>
      </c>
      <c r="C55" s="25" t="s">
        <v>389</v>
      </c>
      <c r="D55" s="25" t="s">
        <v>313</v>
      </c>
      <c r="E55" s="26">
        <v>29638</v>
      </c>
      <c r="F55" s="27">
        <v>301.77</v>
      </c>
      <c r="G55" s="28">
        <v>6.0000000000000001E-3</v>
      </c>
      <c r="H55" s="29"/>
    </row>
    <row r="56" spans="2:8" ht="15.75" customHeight="1" x14ac:dyDescent="0.2">
      <c r="B56" s="25" t="s">
        <v>390</v>
      </c>
      <c r="C56" s="25" t="s">
        <v>391</v>
      </c>
      <c r="D56" s="25" t="s">
        <v>298</v>
      </c>
      <c r="E56" s="26">
        <v>23259</v>
      </c>
      <c r="F56" s="27">
        <v>254.19</v>
      </c>
      <c r="G56" s="28">
        <v>5.0000000000000001E-3</v>
      </c>
      <c r="H56" s="29"/>
    </row>
    <row r="57" spans="2:8" ht="15.75" customHeight="1" x14ac:dyDescent="0.2">
      <c r="B57" s="25" t="s">
        <v>202</v>
      </c>
      <c r="C57" s="25" t="s">
        <v>203</v>
      </c>
      <c r="D57" s="25" t="s">
        <v>204</v>
      </c>
      <c r="E57" s="26">
        <v>91146</v>
      </c>
      <c r="F57" s="27">
        <v>244.64</v>
      </c>
      <c r="G57" s="28">
        <v>4.7999999999999996E-3</v>
      </c>
      <c r="H57" s="29"/>
    </row>
    <row r="58" spans="2:8" ht="15.75" customHeight="1" x14ac:dyDescent="0.2">
      <c r="B58" s="25" t="s">
        <v>321</v>
      </c>
      <c r="C58" s="25" t="s">
        <v>322</v>
      </c>
      <c r="D58" s="25" t="s">
        <v>323</v>
      </c>
      <c r="E58" s="26">
        <v>12627</v>
      </c>
      <c r="F58" s="27">
        <v>163.65</v>
      </c>
      <c r="G58" s="28">
        <v>3.2000000000000002E-3</v>
      </c>
      <c r="H58" s="29"/>
    </row>
    <row r="59" spans="2:8" ht="15.75" customHeight="1" x14ac:dyDescent="0.2">
      <c r="B59" s="24" t="s">
        <v>94</v>
      </c>
      <c r="C59" s="24"/>
      <c r="D59" s="24"/>
      <c r="E59" s="30"/>
      <c r="F59" s="31">
        <v>38054.92</v>
      </c>
      <c r="G59" s="32">
        <v>0.75319999999999998</v>
      </c>
      <c r="H59" s="33"/>
    </row>
    <row r="60" spans="2:8" ht="15.75" customHeight="1" x14ac:dyDescent="0.2">
      <c r="B60" s="24" t="s">
        <v>144</v>
      </c>
      <c r="C60" s="25"/>
      <c r="D60" s="25"/>
      <c r="E60" s="26"/>
      <c r="F60" s="27"/>
      <c r="G60" s="28"/>
      <c r="H60" s="29"/>
    </row>
    <row r="61" spans="2:8" ht="15.75" customHeight="1" x14ac:dyDescent="0.2">
      <c r="B61" s="24" t="s">
        <v>94</v>
      </c>
      <c r="C61" s="25"/>
      <c r="D61" s="25"/>
      <c r="E61" s="26"/>
      <c r="F61" s="34" t="s">
        <v>96</v>
      </c>
      <c r="G61" s="35" t="s">
        <v>96</v>
      </c>
      <c r="H61" s="29"/>
    </row>
    <row r="62" spans="2:8" ht="15.75" customHeight="1" x14ac:dyDescent="0.2">
      <c r="B62" s="25"/>
      <c r="C62" s="25"/>
      <c r="D62" s="25"/>
      <c r="E62" s="26"/>
      <c r="F62" s="27"/>
      <c r="G62" s="28"/>
      <c r="H62" s="29"/>
    </row>
    <row r="63" spans="2:8" ht="15.75" customHeight="1" x14ac:dyDescent="0.2">
      <c r="B63" s="36" t="s">
        <v>98</v>
      </c>
      <c r="C63" s="36"/>
      <c r="D63" s="36"/>
      <c r="E63" s="37"/>
      <c r="F63" s="31">
        <v>38054.92</v>
      </c>
      <c r="G63" s="32">
        <v>0.75319999999999998</v>
      </c>
      <c r="H63" s="33"/>
    </row>
    <row r="64" spans="2:8" ht="15.75" customHeight="1" x14ac:dyDescent="0.2">
      <c r="B64" s="25"/>
      <c r="C64" s="25"/>
      <c r="D64" s="25"/>
      <c r="E64" s="26"/>
      <c r="F64" s="27"/>
      <c r="G64" s="28"/>
      <c r="H64" s="29"/>
    </row>
    <row r="65" spans="2:16" ht="15.75" customHeight="1" x14ac:dyDescent="0.2">
      <c r="B65" s="24" t="s">
        <v>82</v>
      </c>
      <c r="C65" s="25"/>
      <c r="D65" s="25"/>
      <c r="E65" s="26"/>
      <c r="F65" s="27"/>
      <c r="G65" s="28"/>
      <c r="H65" s="29"/>
    </row>
    <row r="66" spans="2:16" ht="15.75" customHeight="1" x14ac:dyDescent="0.2">
      <c r="B66" s="24" t="s">
        <v>83</v>
      </c>
      <c r="C66" s="25"/>
      <c r="D66" s="25"/>
      <c r="E66" s="26"/>
      <c r="F66" s="27"/>
      <c r="G66" s="28"/>
      <c r="H66" s="29"/>
    </row>
    <row r="67" spans="2:16" ht="15.75" customHeight="1" x14ac:dyDescent="0.2">
      <c r="B67" s="25" t="s">
        <v>392</v>
      </c>
      <c r="C67" s="25" t="s">
        <v>393</v>
      </c>
      <c r="D67" s="25" t="s">
        <v>85</v>
      </c>
      <c r="E67" s="26">
        <v>1500000</v>
      </c>
      <c r="F67" s="27">
        <v>1415.87</v>
      </c>
      <c r="G67" s="28">
        <v>2.8000000000000001E-2</v>
      </c>
      <c r="H67" s="29">
        <v>7.2669999999999998E-2</v>
      </c>
    </row>
    <row r="68" spans="2:16" ht="15.75" customHeight="1" x14ac:dyDescent="0.2">
      <c r="B68" s="25" t="s">
        <v>88</v>
      </c>
      <c r="C68" s="25" t="s">
        <v>93</v>
      </c>
      <c r="D68" s="25" t="s">
        <v>85</v>
      </c>
      <c r="E68" s="26">
        <v>1000000</v>
      </c>
      <c r="F68" s="27">
        <v>1040.71</v>
      </c>
      <c r="G68" s="28">
        <v>2.06E-2</v>
      </c>
      <c r="H68" s="29">
        <v>7.3058999999999999E-2</v>
      </c>
      <c r="L68" s="3"/>
    </row>
    <row r="69" spans="2:16" ht="15.75" customHeight="1" x14ac:dyDescent="0.2">
      <c r="B69" s="25" t="s">
        <v>108</v>
      </c>
      <c r="C69" s="25" t="s">
        <v>109</v>
      </c>
      <c r="D69" s="25" t="s">
        <v>85</v>
      </c>
      <c r="E69" s="26">
        <v>1000000</v>
      </c>
      <c r="F69" s="27">
        <v>1035.6600000000001</v>
      </c>
      <c r="G69" s="28">
        <v>2.0500000000000001E-2</v>
      </c>
      <c r="H69" s="29">
        <v>7.6975000000000002E-2</v>
      </c>
    </row>
    <row r="70" spans="2:16" ht="15.75" customHeight="1" x14ac:dyDescent="0.2">
      <c r="B70" s="25" t="s">
        <v>394</v>
      </c>
      <c r="C70" s="25" t="s">
        <v>395</v>
      </c>
      <c r="D70" s="25" t="s">
        <v>85</v>
      </c>
      <c r="E70" s="26">
        <v>1000000</v>
      </c>
      <c r="F70" s="27">
        <v>1023</v>
      </c>
      <c r="G70" s="28">
        <v>2.0199999999999999E-2</v>
      </c>
      <c r="H70" s="29">
        <v>7.7391000000000001E-2</v>
      </c>
      <c r="L70" s="3"/>
    </row>
    <row r="71" spans="2:16" ht="15.75" customHeight="1" x14ac:dyDescent="0.2">
      <c r="B71" s="25" t="s">
        <v>147</v>
      </c>
      <c r="C71" s="25" t="s">
        <v>148</v>
      </c>
      <c r="D71" s="25" t="s">
        <v>85</v>
      </c>
      <c r="E71" s="26">
        <v>1000000</v>
      </c>
      <c r="F71" s="27">
        <v>1021.67</v>
      </c>
      <c r="G71" s="28">
        <v>2.0199999999999999E-2</v>
      </c>
      <c r="H71" s="29">
        <v>7.5370999999999994E-2</v>
      </c>
      <c r="L71" s="3"/>
    </row>
    <row r="72" spans="2:16" ht="15.75" customHeight="1" x14ac:dyDescent="0.2">
      <c r="B72" s="25" t="s">
        <v>153</v>
      </c>
      <c r="C72" s="25" t="s">
        <v>154</v>
      </c>
      <c r="D72" s="25" t="s">
        <v>85</v>
      </c>
      <c r="E72" s="26">
        <v>900000</v>
      </c>
      <c r="F72" s="27">
        <v>920.06</v>
      </c>
      <c r="G72" s="28">
        <v>1.8200000000000001E-2</v>
      </c>
      <c r="H72" s="29">
        <v>7.1654999999999996E-2</v>
      </c>
      <c r="L72" s="3"/>
    </row>
    <row r="73" spans="2:16" ht="15.75" customHeight="1" x14ac:dyDescent="0.2">
      <c r="B73" s="25" t="s">
        <v>145</v>
      </c>
      <c r="C73" s="25" t="s">
        <v>146</v>
      </c>
      <c r="D73" s="25" t="s">
        <v>85</v>
      </c>
      <c r="E73" s="26">
        <v>650000</v>
      </c>
      <c r="F73" s="27">
        <v>662.09</v>
      </c>
      <c r="G73" s="28">
        <v>1.3100000000000001E-2</v>
      </c>
      <c r="H73" s="29">
        <v>7.1563000000000002E-2</v>
      </c>
      <c r="L73" s="3"/>
    </row>
    <row r="74" spans="2:16" ht="15.75" customHeight="1" x14ac:dyDescent="0.2">
      <c r="B74" s="25" t="s">
        <v>396</v>
      </c>
      <c r="C74" s="25" t="s">
        <v>397</v>
      </c>
      <c r="D74" s="25" t="s">
        <v>92</v>
      </c>
      <c r="E74" s="26">
        <v>500</v>
      </c>
      <c r="F74" s="27">
        <v>531.38</v>
      </c>
      <c r="G74" s="28">
        <v>1.0500000000000001E-2</v>
      </c>
      <c r="H74" s="29">
        <v>7.5999999999999998E-2</v>
      </c>
      <c r="L74" s="3"/>
    </row>
    <row r="75" spans="2:16" ht="15.75" customHeight="1" x14ac:dyDescent="0.2">
      <c r="B75" s="25" t="s">
        <v>84</v>
      </c>
      <c r="C75" s="25" t="s">
        <v>398</v>
      </c>
      <c r="D75" s="25" t="s">
        <v>85</v>
      </c>
      <c r="E75" s="26">
        <v>500000</v>
      </c>
      <c r="F75" s="27">
        <v>511.46</v>
      </c>
      <c r="G75" s="28">
        <v>1.01E-2</v>
      </c>
      <c r="H75" s="29">
        <v>7.7506000000000005E-2</v>
      </c>
      <c r="L75" s="5"/>
      <c r="M75" s="5"/>
      <c r="N75" s="6"/>
      <c r="O75" s="6"/>
      <c r="P75" s="5"/>
    </row>
    <row r="76" spans="2:16" ht="15.75" customHeight="1" x14ac:dyDescent="0.2">
      <c r="B76" s="25" t="s">
        <v>110</v>
      </c>
      <c r="C76" s="25" t="s">
        <v>111</v>
      </c>
      <c r="D76" s="25" t="s">
        <v>92</v>
      </c>
      <c r="E76" s="26">
        <v>50</v>
      </c>
      <c r="F76" s="27">
        <v>501.71</v>
      </c>
      <c r="G76" s="28">
        <v>9.9000000000000008E-3</v>
      </c>
      <c r="H76" s="29">
        <v>7.6498999999999998E-2</v>
      </c>
    </row>
    <row r="77" spans="2:16" ht="15.75" customHeight="1" x14ac:dyDescent="0.2">
      <c r="B77" s="25" t="s">
        <v>106</v>
      </c>
      <c r="C77" s="25" t="s">
        <v>107</v>
      </c>
      <c r="D77" s="25" t="s">
        <v>92</v>
      </c>
      <c r="E77" s="26">
        <v>50</v>
      </c>
      <c r="F77" s="27">
        <v>496.45</v>
      </c>
      <c r="G77" s="28">
        <v>9.7999999999999997E-3</v>
      </c>
      <c r="H77" s="29">
        <v>7.8200000000000006E-2</v>
      </c>
    </row>
    <row r="78" spans="2:16" ht="15.75" customHeight="1" x14ac:dyDescent="0.2">
      <c r="B78" s="25" t="s">
        <v>399</v>
      </c>
      <c r="C78" s="25" t="s">
        <v>400</v>
      </c>
      <c r="D78" s="25" t="s">
        <v>85</v>
      </c>
      <c r="E78" s="26">
        <v>500000</v>
      </c>
      <c r="F78" s="27">
        <v>482.27</v>
      </c>
      <c r="G78" s="28">
        <v>9.4999999999999998E-3</v>
      </c>
      <c r="H78" s="29">
        <v>7.3027999999999996E-2</v>
      </c>
      <c r="L78" s="7"/>
      <c r="M78" s="7"/>
      <c r="N78" s="7"/>
      <c r="O78" s="7"/>
      <c r="P78" s="7"/>
    </row>
    <row r="79" spans="2:16" ht="15.75" customHeight="1" x14ac:dyDescent="0.2">
      <c r="B79" s="25" t="s">
        <v>88</v>
      </c>
      <c r="C79" s="25" t="s">
        <v>89</v>
      </c>
      <c r="D79" s="25" t="s">
        <v>85</v>
      </c>
      <c r="E79" s="26">
        <v>350000</v>
      </c>
      <c r="F79" s="27">
        <v>363.14</v>
      </c>
      <c r="G79" s="28">
        <v>7.1999999999999998E-3</v>
      </c>
      <c r="H79" s="29">
        <v>7.3009000000000004E-2</v>
      </c>
      <c r="L79" s="7"/>
      <c r="M79" s="7"/>
      <c r="N79" s="7"/>
      <c r="O79" s="7"/>
      <c r="P79" s="7"/>
    </row>
    <row r="80" spans="2:16" ht="15.75" customHeight="1" x14ac:dyDescent="0.2">
      <c r="B80" s="25" t="s">
        <v>151</v>
      </c>
      <c r="C80" s="25" t="s">
        <v>152</v>
      </c>
      <c r="D80" s="25" t="s">
        <v>92</v>
      </c>
      <c r="E80" s="26">
        <v>37500</v>
      </c>
      <c r="F80" s="27">
        <v>3.88</v>
      </c>
      <c r="G80" s="28">
        <v>1E-4</v>
      </c>
      <c r="H80" s="29">
        <v>7.7600000000000002E-2</v>
      </c>
      <c r="L80" s="7"/>
      <c r="M80" s="7"/>
      <c r="N80" s="7"/>
      <c r="O80" s="7"/>
      <c r="P80" s="7"/>
    </row>
    <row r="81" spans="2:16" ht="15.75" customHeight="1" x14ac:dyDescent="0.2">
      <c r="B81" s="24" t="s">
        <v>94</v>
      </c>
      <c r="C81" s="24"/>
      <c r="D81" s="24"/>
      <c r="E81" s="30"/>
      <c r="F81" s="31">
        <v>10009.35</v>
      </c>
      <c r="G81" s="32">
        <v>0.19789999999999999</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95</v>
      </c>
      <c r="C83" s="25"/>
      <c r="D83" s="25"/>
      <c r="E83" s="26"/>
      <c r="F83" s="27"/>
      <c r="G83" s="28"/>
      <c r="H83" s="29"/>
      <c r="L83" s="7"/>
      <c r="M83" s="7"/>
      <c r="N83" s="7"/>
      <c r="O83" s="7"/>
      <c r="P83" s="7"/>
    </row>
    <row r="84" spans="2:16" ht="15.75" customHeight="1" x14ac:dyDescent="0.2">
      <c r="B84" s="24" t="s">
        <v>94</v>
      </c>
      <c r="C84" s="25"/>
      <c r="D84" s="25"/>
      <c r="E84" s="26"/>
      <c r="F84" s="34" t="s">
        <v>96</v>
      </c>
      <c r="G84" s="35" t="s">
        <v>96</v>
      </c>
      <c r="H84" s="29"/>
      <c r="L84" s="7"/>
      <c r="M84" s="7"/>
      <c r="N84" s="7"/>
      <c r="O84" s="7"/>
      <c r="P84" s="7"/>
    </row>
    <row r="85" spans="2:16" ht="15.75" customHeight="1" x14ac:dyDescent="0.2">
      <c r="B85" s="25"/>
      <c r="C85" s="25"/>
      <c r="D85" s="25"/>
      <c r="E85" s="26"/>
      <c r="F85" s="27"/>
      <c r="G85" s="28"/>
      <c r="H85" s="29"/>
    </row>
    <row r="86" spans="2:16" ht="15.75" customHeight="1" x14ac:dyDescent="0.2">
      <c r="B86" s="24" t="s">
        <v>97</v>
      </c>
      <c r="C86" s="25"/>
      <c r="D86" s="25"/>
      <c r="E86" s="26"/>
      <c r="F86" s="27"/>
      <c r="G86" s="28"/>
      <c r="H86" s="29"/>
      <c r="L86" s="3"/>
    </row>
    <row r="87" spans="2:16" ht="15.75" customHeight="1" x14ac:dyDescent="0.2">
      <c r="B87" s="24" t="s">
        <v>94</v>
      </c>
      <c r="C87" s="25"/>
      <c r="D87" s="25"/>
      <c r="E87" s="26"/>
      <c r="F87" s="34" t="s">
        <v>96</v>
      </c>
      <c r="G87" s="35" t="s">
        <v>96</v>
      </c>
      <c r="H87" s="29"/>
    </row>
    <row r="88" spans="2:16" ht="15.75" customHeight="1" x14ac:dyDescent="0.2">
      <c r="B88" s="25"/>
      <c r="C88" s="25"/>
      <c r="D88" s="25"/>
      <c r="E88" s="26"/>
      <c r="F88" s="27"/>
      <c r="G88" s="28"/>
      <c r="H88" s="29"/>
    </row>
    <row r="89" spans="2:16" ht="15.75" customHeight="1" x14ac:dyDescent="0.2">
      <c r="B89" s="36" t="s">
        <v>98</v>
      </c>
      <c r="C89" s="36"/>
      <c r="D89" s="36"/>
      <c r="E89" s="37"/>
      <c r="F89" s="31">
        <v>10009.35</v>
      </c>
      <c r="G89" s="32">
        <v>0.1981</v>
      </c>
      <c r="H89" s="33"/>
    </row>
    <row r="90" spans="2:16" ht="15.75" customHeight="1" x14ac:dyDescent="0.2">
      <c r="B90" s="25"/>
      <c r="C90" s="25"/>
      <c r="D90" s="25"/>
      <c r="E90" s="26"/>
      <c r="F90" s="27"/>
      <c r="G90" s="28"/>
      <c r="H90" s="29"/>
    </row>
    <row r="91" spans="2:16" ht="15.75" customHeight="1" x14ac:dyDescent="0.2">
      <c r="B91" s="25"/>
      <c r="C91" s="25"/>
      <c r="D91" s="25"/>
      <c r="E91" s="26"/>
      <c r="F91" s="27"/>
      <c r="G91" s="28"/>
      <c r="H91" s="29"/>
    </row>
    <row r="92" spans="2:16" ht="15.75" customHeight="1" x14ac:dyDescent="0.2">
      <c r="B92" s="24" t="s">
        <v>101</v>
      </c>
      <c r="C92" s="25"/>
      <c r="D92" s="25"/>
      <c r="E92" s="26"/>
      <c r="F92" s="27"/>
      <c r="G92" s="28"/>
      <c r="H92" s="29"/>
    </row>
    <row r="93" spans="2:16" ht="15.75" customHeight="1" x14ac:dyDescent="0.2">
      <c r="B93" s="25" t="s">
        <v>102</v>
      </c>
      <c r="C93" s="25"/>
      <c r="D93" s="25"/>
      <c r="E93" s="26"/>
      <c r="F93" s="27">
        <v>2549.27</v>
      </c>
      <c r="G93" s="28">
        <v>5.0500000000000003E-2</v>
      </c>
      <c r="H93" s="29"/>
    </row>
    <row r="94" spans="2:16" ht="15.75" customHeight="1" x14ac:dyDescent="0.2">
      <c r="B94" s="24" t="s">
        <v>94</v>
      </c>
      <c r="C94" s="24"/>
      <c r="D94" s="24"/>
      <c r="E94" s="30"/>
      <c r="F94" s="31">
        <v>2549.27</v>
      </c>
      <c r="G94" s="32">
        <v>5.0500000000000003E-2</v>
      </c>
      <c r="H94" s="33"/>
    </row>
    <row r="95" spans="2:16" ht="15.75" customHeight="1" x14ac:dyDescent="0.2">
      <c r="B95" s="25"/>
      <c r="C95" s="25"/>
      <c r="D95" s="25"/>
      <c r="E95" s="26"/>
      <c r="F95" s="27"/>
      <c r="G95" s="28"/>
      <c r="H95" s="29"/>
    </row>
    <row r="96" spans="2:16" ht="15.75" customHeight="1" x14ac:dyDescent="0.2">
      <c r="B96" s="36" t="s">
        <v>98</v>
      </c>
      <c r="C96" s="36"/>
      <c r="D96" s="36"/>
      <c r="E96" s="37"/>
      <c r="F96" s="31">
        <v>2549.27</v>
      </c>
      <c r="G96" s="32">
        <v>5.0500000000000003E-2</v>
      </c>
      <c r="H96" s="33"/>
    </row>
    <row r="97" spans="2:8" ht="15.75" customHeight="1" x14ac:dyDescent="0.2">
      <c r="B97" s="25" t="s">
        <v>103</v>
      </c>
      <c r="C97" s="25"/>
      <c r="D97" s="25"/>
      <c r="E97" s="26"/>
      <c r="F97" s="38">
        <v>-90.07</v>
      </c>
      <c r="G97" s="39">
        <v>-1.8000000000000238E-3</v>
      </c>
      <c r="H97" s="29"/>
    </row>
    <row r="98" spans="2:8" ht="15.75" customHeight="1" x14ac:dyDescent="0.2">
      <c r="B98" s="40" t="s">
        <v>104</v>
      </c>
      <c r="C98" s="40"/>
      <c r="D98" s="40"/>
      <c r="E98" s="41"/>
      <c r="F98" s="42">
        <v>50523.47</v>
      </c>
      <c r="G98" s="43">
        <v>1</v>
      </c>
      <c r="H98" s="44"/>
    </row>
    <row r="99" spans="2:8" ht="15.75" customHeight="1" x14ac:dyDescent="0.2">
      <c r="B99" s="2"/>
    </row>
    <row r="100" spans="2:8" ht="15.75" customHeight="1" x14ac:dyDescent="0.2">
      <c r="B100" s="12" t="s">
        <v>105</v>
      </c>
    </row>
    <row r="101" spans="2:8" ht="15.75" customHeight="1" thickBot="1" x14ac:dyDescent="0.25"/>
    <row r="102" spans="2:8" ht="27" customHeight="1" thickBot="1" x14ac:dyDescent="0.25">
      <c r="B102" s="57" t="s">
        <v>829</v>
      </c>
      <c r="C102" s="58" t="s">
        <v>830</v>
      </c>
      <c r="D102" s="58" t="s">
        <v>831</v>
      </c>
      <c r="E102" s="63" t="s">
        <v>832</v>
      </c>
      <c r="G102" s="2"/>
      <c r="H102" s="2"/>
    </row>
    <row r="103" spans="2:8" ht="35.25" customHeight="1" x14ac:dyDescent="0.2">
      <c r="B103" s="64" t="s">
        <v>11</v>
      </c>
      <c r="C103" s="89"/>
      <c r="D103" s="86" t="s">
        <v>863</v>
      </c>
      <c r="E103" s="87"/>
      <c r="G103" s="2"/>
      <c r="H103" s="2"/>
    </row>
    <row r="104" spans="2:8" ht="18.75" customHeight="1" x14ac:dyDescent="0.2">
      <c r="B104" s="66" t="s">
        <v>864</v>
      </c>
      <c r="C104" s="80"/>
      <c r="D104" s="86"/>
      <c r="E104" s="83"/>
      <c r="G104" s="2"/>
      <c r="H104" s="2"/>
    </row>
    <row r="105" spans="2:8" ht="36.75" customHeight="1" x14ac:dyDescent="0.2">
      <c r="B105" s="66" t="s">
        <v>865</v>
      </c>
      <c r="C105" s="80"/>
      <c r="D105" s="86"/>
      <c r="E105" s="83"/>
      <c r="G105" s="2"/>
      <c r="H105" s="2"/>
    </row>
    <row r="106" spans="2:8" ht="20.100000000000001" customHeight="1" thickBot="1" x14ac:dyDescent="0.25">
      <c r="B106" s="68" t="s">
        <v>866</v>
      </c>
      <c r="C106" s="90"/>
      <c r="D106" s="71" t="s">
        <v>866</v>
      </c>
      <c r="E106" s="88"/>
      <c r="G106" s="2"/>
      <c r="H106" s="2"/>
    </row>
    <row r="107" spans="2:8" ht="24.95" customHeight="1" x14ac:dyDescent="0.2">
      <c r="B107" s="59" t="s">
        <v>833</v>
      </c>
      <c r="C107" s="60"/>
      <c r="D107" s="61"/>
      <c r="E107" s="62"/>
      <c r="G107" s="2"/>
      <c r="H107" s="2"/>
    </row>
    <row r="109" spans="2:8" ht="12" x14ac:dyDescent="0.2">
      <c r="B109" s="2" t="s">
        <v>834</v>
      </c>
      <c r="C109" s="2"/>
      <c r="D109" s="2"/>
      <c r="G109" s="2"/>
      <c r="H109" s="2"/>
    </row>
    <row r="110" spans="2:8" ht="12" x14ac:dyDescent="0.2">
      <c r="B110" s="3" t="s">
        <v>835</v>
      </c>
      <c r="C110" s="2"/>
      <c r="D110" s="2"/>
      <c r="G110" s="2"/>
      <c r="H110" s="2"/>
    </row>
  </sheetData>
  <mergeCells count="3">
    <mergeCell ref="C103:C106"/>
    <mergeCell ref="D103:D105"/>
    <mergeCell ref="E103:E106"/>
  </mergeCells>
  <hyperlinks>
    <hyperlink ref="I1" location="'Sheet1'!A1" display="Index" xr:uid="{88655AAC-74B4-498B-BAA0-8A9C3673206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9282-D9C2-469D-B703-71455603A7F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0.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431629</v>
      </c>
      <c r="F7" s="27">
        <v>6312.79</v>
      </c>
      <c r="G7" s="28">
        <v>0.21210000000000001</v>
      </c>
      <c r="H7" s="29"/>
    </row>
    <row r="8" spans="2:9" ht="15.75" customHeight="1" x14ac:dyDescent="0.2">
      <c r="B8" s="25" t="s">
        <v>122</v>
      </c>
      <c r="C8" s="25" t="s">
        <v>123</v>
      </c>
      <c r="D8" s="25" t="s">
        <v>124</v>
      </c>
      <c r="E8" s="26">
        <v>477588</v>
      </c>
      <c r="F8" s="27">
        <v>4910.32</v>
      </c>
      <c r="G8" s="28">
        <v>0.16500000000000001</v>
      </c>
      <c r="H8" s="29"/>
    </row>
    <row r="9" spans="2:9" ht="15.75" customHeight="1" x14ac:dyDescent="0.2">
      <c r="B9" s="25" t="s">
        <v>188</v>
      </c>
      <c r="C9" s="25" t="s">
        <v>189</v>
      </c>
      <c r="D9" s="25" t="s">
        <v>124</v>
      </c>
      <c r="E9" s="26">
        <v>462712</v>
      </c>
      <c r="F9" s="27">
        <v>2963.67</v>
      </c>
      <c r="G9" s="28">
        <v>9.9599999999999994E-2</v>
      </c>
      <c r="H9" s="29"/>
    </row>
    <row r="10" spans="2:9" ht="15.75" customHeight="1" x14ac:dyDescent="0.2">
      <c r="B10" s="25" t="s">
        <v>166</v>
      </c>
      <c r="C10" s="25" t="s">
        <v>167</v>
      </c>
      <c r="D10" s="25" t="s">
        <v>124</v>
      </c>
      <c r="E10" s="26">
        <v>204142</v>
      </c>
      <c r="F10" s="27">
        <v>2179.73</v>
      </c>
      <c r="G10" s="28">
        <v>7.3200000000000001E-2</v>
      </c>
      <c r="H10" s="29"/>
    </row>
    <row r="11" spans="2:9" ht="15.75" customHeight="1" x14ac:dyDescent="0.2">
      <c r="B11" s="25" t="s">
        <v>401</v>
      </c>
      <c r="C11" s="25" t="s">
        <v>402</v>
      </c>
      <c r="D11" s="25" t="s">
        <v>124</v>
      </c>
      <c r="E11" s="26">
        <v>831927</v>
      </c>
      <c r="F11" s="27">
        <v>1225.43</v>
      </c>
      <c r="G11" s="28">
        <v>4.1200000000000001E-2</v>
      </c>
      <c r="H11" s="29"/>
    </row>
    <row r="12" spans="2:9" ht="15.75" customHeight="1" x14ac:dyDescent="0.2">
      <c r="B12" s="25" t="s">
        <v>403</v>
      </c>
      <c r="C12" s="25" t="s">
        <v>404</v>
      </c>
      <c r="D12" s="25" t="s">
        <v>170</v>
      </c>
      <c r="E12" s="26">
        <v>72320</v>
      </c>
      <c r="F12" s="27">
        <v>1149.74</v>
      </c>
      <c r="G12" s="28">
        <v>3.8600000000000002E-2</v>
      </c>
      <c r="H12" s="29"/>
    </row>
    <row r="13" spans="2:9" ht="15.75" customHeight="1" x14ac:dyDescent="0.2">
      <c r="B13" s="25" t="s">
        <v>405</v>
      </c>
      <c r="C13" s="25" t="s">
        <v>406</v>
      </c>
      <c r="D13" s="25" t="s">
        <v>170</v>
      </c>
      <c r="E13" s="26">
        <v>636487</v>
      </c>
      <c r="F13" s="27">
        <v>1102.4000000000001</v>
      </c>
      <c r="G13" s="28">
        <v>3.6999999999999998E-2</v>
      </c>
      <c r="H13" s="29"/>
    </row>
    <row r="14" spans="2:9" ht="15.75" customHeight="1" x14ac:dyDescent="0.2">
      <c r="B14" s="25" t="s">
        <v>407</v>
      </c>
      <c r="C14" s="25" t="s">
        <v>408</v>
      </c>
      <c r="D14" s="25" t="s">
        <v>124</v>
      </c>
      <c r="E14" s="26">
        <v>780100</v>
      </c>
      <c r="F14" s="27">
        <v>1079.27</v>
      </c>
      <c r="G14" s="28">
        <v>3.6299999999999999E-2</v>
      </c>
      <c r="H14" s="29"/>
    </row>
    <row r="15" spans="2:9" ht="15.75" customHeight="1" x14ac:dyDescent="0.2">
      <c r="B15" s="25" t="s">
        <v>253</v>
      </c>
      <c r="C15" s="25" t="s">
        <v>254</v>
      </c>
      <c r="D15" s="25" t="s">
        <v>170</v>
      </c>
      <c r="E15" s="26">
        <v>107161</v>
      </c>
      <c r="F15" s="27">
        <v>981.7</v>
      </c>
      <c r="G15" s="28">
        <v>3.3000000000000002E-2</v>
      </c>
      <c r="H15" s="29"/>
    </row>
    <row r="16" spans="2:9" ht="15.75" customHeight="1" x14ac:dyDescent="0.2">
      <c r="B16" s="25" t="s">
        <v>364</v>
      </c>
      <c r="C16" s="25" t="s">
        <v>365</v>
      </c>
      <c r="D16" s="25" t="s">
        <v>170</v>
      </c>
      <c r="E16" s="26">
        <v>112996</v>
      </c>
      <c r="F16" s="27">
        <v>860.8</v>
      </c>
      <c r="G16" s="28">
        <v>2.8899999999999999E-2</v>
      </c>
      <c r="H16" s="29"/>
    </row>
    <row r="17" spans="2:8" ht="15.75" customHeight="1" x14ac:dyDescent="0.2">
      <c r="B17" s="25" t="s">
        <v>409</v>
      </c>
      <c r="C17" s="25" t="s">
        <v>410</v>
      </c>
      <c r="D17" s="25" t="s">
        <v>124</v>
      </c>
      <c r="E17" s="26">
        <v>215387</v>
      </c>
      <c r="F17" s="27">
        <v>823.32</v>
      </c>
      <c r="G17" s="28">
        <v>2.7699999999999999E-2</v>
      </c>
      <c r="H17" s="29"/>
    </row>
    <row r="18" spans="2:8" ht="15.75" customHeight="1" x14ac:dyDescent="0.2">
      <c r="B18" s="25" t="s">
        <v>411</v>
      </c>
      <c r="C18" s="25" t="s">
        <v>412</v>
      </c>
      <c r="D18" s="25" t="s">
        <v>170</v>
      </c>
      <c r="E18" s="26">
        <v>50984</v>
      </c>
      <c r="F18" s="27">
        <v>752.8</v>
      </c>
      <c r="G18" s="28">
        <v>2.53E-2</v>
      </c>
      <c r="H18" s="29"/>
    </row>
    <row r="19" spans="2:8" ht="15.75" customHeight="1" x14ac:dyDescent="0.2">
      <c r="B19" s="25" t="s">
        <v>352</v>
      </c>
      <c r="C19" s="25" t="s">
        <v>353</v>
      </c>
      <c r="D19" s="25" t="s">
        <v>124</v>
      </c>
      <c r="E19" s="26">
        <v>706823</v>
      </c>
      <c r="F19" s="27">
        <v>733.33</v>
      </c>
      <c r="G19" s="28">
        <v>2.46E-2</v>
      </c>
      <c r="H19" s="29"/>
    </row>
    <row r="20" spans="2:8" ht="15.75" customHeight="1" x14ac:dyDescent="0.2">
      <c r="B20" s="25" t="s">
        <v>413</v>
      </c>
      <c r="C20" s="25" t="s">
        <v>414</v>
      </c>
      <c r="D20" s="25" t="s">
        <v>170</v>
      </c>
      <c r="E20" s="26">
        <v>66468</v>
      </c>
      <c r="F20" s="27">
        <v>662.55</v>
      </c>
      <c r="G20" s="28">
        <v>2.23E-2</v>
      </c>
      <c r="H20" s="29"/>
    </row>
    <row r="21" spans="2:8" ht="15.75" customHeight="1" x14ac:dyDescent="0.2">
      <c r="B21" s="25" t="s">
        <v>415</v>
      </c>
      <c r="C21" s="25" t="s">
        <v>416</v>
      </c>
      <c r="D21" s="25" t="s">
        <v>124</v>
      </c>
      <c r="E21" s="26">
        <v>303261</v>
      </c>
      <c r="F21" s="27">
        <v>601.52</v>
      </c>
      <c r="G21" s="28">
        <v>2.0199999999999999E-2</v>
      </c>
      <c r="H21" s="29"/>
    </row>
    <row r="22" spans="2:8" ht="15.75" customHeight="1" x14ac:dyDescent="0.2">
      <c r="B22" s="25" t="s">
        <v>294</v>
      </c>
      <c r="C22" s="25" t="s">
        <v>295</v>
      </c>
      <c r="D22" s="25" t="s">
        <v>170</v>
      </c>
      <c r="E22" s="26">
        <v>128221</v>
      </c>
      <c r="F22" s="27">
        <v>568.34</v>
      </c>
      <c r="G22" s="28">
        <v>1.9099999999999999E-2</v>
      </c>
      <c r="H22" s="29"/>
    </row>
    <row r="23" spans="2:8" ht="15.75" customHeight="1" x14ac:dyDescent="0.2">
      <c r="B23" s="25" t="s">
        <v>417</v>
      </c>
      <c r="C23" s="25" t="s">
        <v>418</v>
      </c>
      <c r="D23" s="25" t="s">
        <v>170</v>
      </c>
      <c r="E23" s="26">
        <v>37148</v>
      </c>
      <c r="F23" s="27">
        <v>518.20000000000005</v>
      </c>
      <c r="G23" s="28">
        <v>1.7399999999999999E-2</v>
      </c>
      <c r="H23" s="29"/>
    </row>
    <row r="24" spans="2:8" ht="15.75" customHeight="1" x14ac:dyDescent="0.2">
      <c r="B24" s="25" t="s">
        <v>419</v>
      </c>
      <c r="C24" s="25" t="s">
        <v>420</v>
      </c>
      <c r="D24" s="25" t="s">
        <v>170</v>
      </c>
      <c r="E24" s="26">
        <v>66243</v>
      </c>
      <c r="F24" s="27">
        <v>410.74</v>
      </c>
      <c r="G24" s="28">
        <v>1.38E-2</v>
      </c>
      <c r="H24" s="29"/>
    </row>
    <row r="25" spans="2:8" ht="15.75" customHeight="1" x14ac:dyDescent="0.2">
      <c r="B25" s="25" t="s">
        <v>324</v>
      </c>
      <c r="C25" s="25" t="s">
        <v>325</v>
      </c>
      <c r="D25" s="25" t="s">
        <v>170</v>
      </c>
      <c r="E25" s="26">
        <v>138844</v>
      </c>
      <c r="F25" s="27">
        <v>401.54</v>
      </c>
      <c r="G25" s="28">
        <v>1.35E-2</v>
      </c>
      <c r="H25" s="29"/>
    </row>
    <row r="26" spans="2:8" ht="15.75" customHeight="1" x14ac:dyDescent="0.2">
      <c r="B26" s="25" t="s">
        <v>421</v>
      </c>
      <c r="C26" s="25" t="s">
        <v>422</v>
      </c>
      <c r="D26" s="25" t="s">
        <v>170</v>
      </c>
      <c r="E26" s="26">
        <v>51999</v>
      </c>
      <c r="F26" s="27">
        <v>371.97</v>
      </c>
      <c r="G26" s="28">
        <v>1.2500000000000001E-2</v>
      </c>
      <c r="H26" s="29"/>
    </row>
    <row r="27" spans="2:8" ht="15.75" customHeight="1" x14ac:dyDescent="0.2">
      <c r="B27" s="25" t="s">
        <v>423</v>
      </c>
      <c r="C27" s="25" t="s">
        <v>424</v>
      </c>
      <c r="D27" s="25" t="s">
        <v>170</v>
      </c>
      <c r="E27" s="26">
        <v>47798</v>
      </c>
      <c r="F27" s="27">
        <v>298</v>
      </c>
      <c r="G27" s="28">
        <v>0.01</v>
      </c>
      <c r="H27" s="29"/>
    </row>
    <row r="28" spans="2:8" ht="15.75" customHeight="1" x14ac:dyDescent="0.2">
      <c r="B28" s="25" t="s">
        <v>425</v>
      </c>
      <c r="C28" s="25" t="s">
        <v>426</v>
      </c>
      <c r="D28" s="25" t="s">
        <v>316</v>
      </c>
      <c r="E28" s="26">
        <v>32917</v>
      </c>
      <c r="F28" s="27">
        <v>293.06</v>
      </c>
      <c r="G28" s="28">
        <v>9.7999999999999997E-3</v>
      </c>
      <c r="H28" s="29"/>
    </row>
    <row r="29" spans="2:8" ht="15.75" customHeight="1" x14ac:dyDescent="0.2">
      <c r="B29" s="25" t="s">
        <v>427</v>
      </c>
      <c r="C29" s="25" t="s">
        <v>428</v>
      </c>
      <c r="D29" s="25" t="s">
        <v>170</v>
      </c>
      <c r="E29" s="26">
        <v>186</v>
      </c>
      <c r="F29" s="27">
        <v>1.95</v>
      </c>
      <c r="G29" s="28">
        <v>1E-4</v>
      </c>
      <c r="H29" s="29"/>
    </row>
    <row r="30" spans="2:8" ht="15.75" customHeight="1" x14ac:dyDescent="0.2">
      <c r="B30" s="24" t="s">
        <v>94</v>
      </c>
      <c r="C30" s="24"/>
      <c r="D30" s="24"/>
      <c r="E30" s="30"/>
      <c r="F30" s="31">
        <v>29203.17</v>
      </c>
      <c r="G30" s="32">
        <v>0.98099999999999998</v>
      </c>
      <c r="H30" s="33"/>
    </row>
    <row r="31" spans="2:8" ht="15.75" customHeight="1" x14ac:dyDescent="0.2">
      <c r="B31" s="24" t="s">
        <v>144</v>
      </c>
      <c r="C31" s="25"/>
      <c r="D31" s="25"/>
      <c r="E31" s="26"/>
      <c r="F31" s="27"/>
      <c r="G31" s="28"/>
      <c r="H31" s="29"/>
    </row>
    <row r="32" spans="2:8" ht="15.75" customHeight="1" x14ac:dyDescent="0.2">
      <c r="B32" s="24" t="s">
        <v>94</v>
      </c>
      <c r="C32" s="25"/>
      <c r="D32" s="25"/>
      <c r="E32" s="26"/>
      <c r="F32" s="34" t="s">
        <v>96</v>
      </c>
      <c r="G32" s="35" t="s">
        <v>96</v>
      </c>
      <c r="H32" s="29"/>
    </row>
    <row r="33" spans="2:8" ht="15.75" customHeight="1" x14ac:dyDescent="0.2">
      <c r="B33" s="25"/>
      <c r="C33" s="25"/>
      <c r="D33" s="25"/>
      <c r="E33" s="26"/>
      <c r="F33" s="27"/>
      <c r="G33" s="28"/>
      <c r="H33" s="29"/>
    </row>
    <row r="34" spans="2:8" ht="15.75" customHeight="1" x14ac:dyDescent="0.2">
      <c r="B34" s="36" t="s">
        <v>98</v>
      </c>
      <c r="C34" s="36"/>
      <c r="D34" s="36"/>
      <c r="E34" s="37"/>
      <c r="F34" s="31">
        <v>29203.17</v>
      </c>
      <c r="G34" s="32">
        <v>0.98099999999999998</v>
      </c>
      <c r="H34" s="33"/>
    </row>
    <row r="35" spans="2:8" ht="15.75" customHeight="1" x14ac:dyDescent="0.2">
      <c r="B35" s="25"/>
      <c r="C35" s="25"/>
      <c r="D35" s="25"/>
      <c r="E35" s="26"/>
      <c r="F35" s="27"/>
      <c r="G35" s="28"/>
      <c r="H35" s="29"/>
    </row>
    <row r="36" spans="2:8" ht="15.75" customHeight="1" x14ac:dyDescent="0.2">
      <c r="B36" s="25"/>
      <c r="C36" s="25"/>
      <c r="D36" s="25"/>
      <c r="E36" s="26"/>
      <c r="F36" s="27"/>
      <c r="G36" s="28"/>
      <c r="H36" s="29"/>
    </row>
    <row r="37" spans="2:8" ht="15.75" customHeight="1" x14ac:dyDescent="0.2">
      <c r="B37" s="24" t="s">
        <v>101</v>
      </c>
      <c r="C37" s="25"/>
      <c r="D37" s="25"/>
      <c r="E37" s="26"/>
      <c r="F37" s="27"/>
      <c r="G37" s="28"/>
      <c r="H37" s="29"/>
    </row>
    <row r="38" spans="2:8" ht="15.75" customHeight="1" x14ac:dyDescent="0.2">
      <c r="B38" s="25" t="s">
        <v>102</v>
      </c>
      <c r="C38" s="25"/>
      <c r="D38" s="25"/>
      <c r="E38" s="26"/>
      <c r="F38" s="27">
        <v>513.48</v>
      </c>
      <c r="G38" s="28">
        <v>1.72E-2</v>
      </c>
      <c r="H38" s="29"/>
    </row>
    <row r="39" spans="2:8" ht="15.75" customHeight="1" x14ac:dyDescent="0.2">
      <c r="B39" s="24" t="s">
        <v>94</v>
      </c>
      <c r="C39" s="24"/>
      <c r="D39" s="24"/>
      <c r="E39" s="30"/>
      <c r="F39" s="31">
        <v>513.48</v>
      </c>
      <c r="G39" s="32">
        <v>1.72E-2</v>
      </c>
      <c r="H39" s="33"/>
    </row>
    <row r="40" spans="2:8" ht="15.75" customHeight="1" x14ac:dyDescent="0.2">
      <c r="B40" s="25"/>
      <c r="C40" s="25"/>
      <c r="D40" s="25"/>
      <c r="E40" s="26"/>
      <c r="F40" s="27"/>
      <c r="G40" s="28"/>
      <c r="H40" s="29"/>
    </row>
    <row r="41" spans="2:8" ht="15.75" customHeight="1" x14ac:dyDescent="0.2">
      <c r="B41" s="36" t="s">
        <v>98</v>
      </c>
      <c r="C41" s="36"/>
      <c r="D41" s="36"/>
      <c r="E41" s="37"/>
      <c r="F41" s="31">
        <v>513.48</v>
      </c>
      <c r="G41" s="32">
        <v>1.72E-2</v>
      </c>
      <c r="H41" s="33"/>
    </row>
    <row r="42" spans="2:8" ht="15.75" customHeight="1" x14ac:dyDescent="0.2">
      <c r="B42" s="25" t="s">
        <v>103</v>
      </c>
      <c r="C42" s="25"/>
      <c r="D42" s="25"/>
      <c r="E42" s="26"/>
      <c r="F42" s="27">
        <v>51.22</v>
      </c>
      <c r="G42" s="28">
        <v>1.8000000000000238E-3</v>
      </c>
      <c r="H42" s="29"/>
    </row>
    <row r="43" spans="2:8" ht="15.75" customHeight="1" x14ac:dyDescent="0.2">
      <c r="B43" s="40" t="s">
        <v>104</v>
      </c>
      <c r="C43" s="40"/>
      <c r="D43" s="40"/>
      <c r="E43" s="41"/>
      <c r="F43" s="42">
        <v>29767.87</v>
      </c>
      <c r="G43" s="43">
        <v>1</v>
      </c>
      <c r="H43" s="44"/>
    </row>
    <row r="44" spans="2:8" ht="15.75" customHeight="1" thickBot="1" x14ac:dyDescent="0.25">
      <c r="B44" s="2"/>
    </row>
    <row r="45" spans="2:8" ht="27" customHeight="1" thickBot="1" x14ac:dyDescent="0.25">
      <c r="B45" s="57" t="s">
        <v>829</v>
      </c>
      <c r="C45" s="58" t="s">
        <v>830</v>
      </c>
      <c r="D45" s="58" t="s">
        <v>831</v>
      </c>
      <c r="E45" s="63" t="s">
        <v>832</v>
      </c>
      <c r="G45" s="2"/>
      <c r="H45" s="2"/>
    </row>
    <row r="46" spans="2:8" ht="20.25" customHeight="1" x14ac:dyDescent="0.2">
      <c r="B46" s="70" t="s">
        <v>867</v>
      </c>
      <c r="C46" s="82"/>
      <c r="D46" s="72"/>
      <c r="E46" s="87"/>
      <c r="G46" s="2"/>
      <c r="H46" s="2"/>
    </row>
    <row r="47" spans="2:8" ht="39.950000000000003" customHeight="1" x14ac:dyDescent="0.2">
      <c r="B47" s="66" t="s">
        <v>868</v>
      </c>
      <c r="C47" s="83"/>
      <c r="D47" s="86" t="s">
        <v>869</v>
      </c>
      <c r="E47" s="83"/>
      <c r="G47" s="2"/>
      <c r="H47" s="2"/>
    </row>
    <row r="48" spans="2:8" ht="44.25" customHeight="1" x14ac:dyDescent="0.2">
      <c r="B48" s="66" t="s">
        <v>870</v>
      </c>
      <c r="C48" s="83"/>
      <c r="D48" s="86"/>
      <c r="E48" s="83"/>
      <c r="G48" s="2"/>
      <c r="H48" s="2"/>
    </row>
    <row r="49" spans="2:8" ht="29.25" customHeight="1" thickBot="1" x14ac:dyDescent="0.25">
      <c r="B49" s="68" t="s">
        <v>871</v>
      </c>
      <c r="C49" s="84"/>
      <c r="D49" s="71" t="s">
        <v>871</v>
      </c>
      <c r="E49" s="88"/>
      <c r="G49" s="2"/>
      <c r="H49" s="2"/>
    </row>
    <row r="50" spans="2:8" ht="24.95" customHeight="1" x14ac:dyDescent="0.2">
      <c r="B50" s="59" t="s">
        <v>833</v>
      </c>
      <c r="C50" s="60"/>
      <c r="D50" s="61"/>
      <c r="E50" s="62"/>
      <c r="G50" s="2"/>
      <c r="H50" s="2"/>
    </row>
    <row r="52" spans="2:8" ht="12" x14ac:dyDescent="0.2">
      <c r="B52" s="2" t="s">
        <v>834</v>
      </c>
      <c r="C52" s="2"/>
      <c r="D52" s="2"/>
      <c r="G52" s="2"/>
      <c r="H52" s="2"/>
    </row>
    <row r="53" spans="2:8" ht="12" x14ac:dyDescent="0.2">
      <c r="B53" s="3" t="s">
        <v>835</v>
      </c>
      <c r="C53" s="2"/>
      <c r="D53" s="2"/>
      <c r="G53" s="2"/>
      <c r="H53"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6:C49"/>
    <mergeCell ref="E46:E49"/>
    <mergeCell ref="D47:D48"/>
  </mergeCells>
  <hyperlinks>
    <hyperlink ref="I1" location="'Sheet1'!A1" display="Index" xr:uid="{6CC71881-C1FE-4EAD-A5BD-BA0B5A99776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E518C-D06F-4FC4-B8F6-767334F522BC}">
  <dimension ref="B1:P88"/>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8.28515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122</v>
      </c>
      <c r="C7" s="25" t="s">
        <v>123</v>
      </c>
      <c r="D7" s="25" t="s">
        <v>124</v>
      </c>
      <c r="E7" s="26">
        <v>9975</v>
      </c>
      <c r="F7" s="27">
        <v>102.56</v>
      </c>
      <c r="G7" s="28">
        <v>6.7400000000000002E-2</v>
      </c>
      <c r="H7" s="29"/>
    </row>
    <row r="8" spans="2:9" ht="15.75" customHeight="1" x14ac:dyDescent="0.2">
      <c r="B8" s="25" t="s">
        <v>128</v>
      </c>
      <c r="C8" s="25" t="s">
        <v>129</v>
      </c>
      <c r="D8" s="25" t="s">
        <v>124</v>
      </c>
      <c r="E8" s="26">
        <v>6340</v>
      </c>
      <c r="F8" s="27">
        <v>92.73</v>
      </c>
      <c r="G8" s="28">
        <v>6.0900000000000003E-2</v>
      </c>
      <c r="H8" s="29"/>
    </row>
    <row r="9" spans="2:9" ht="15.75" customHeight="1" x14ac:dyDescent="0.2">
      <c r="B9" s="25" t="s">
        <v>125</v>
      </c>
      <c r="C9" s="25" t="s">
        <v>126</v>
      </c>
      <c r="D9" s="25" t="s">
        <v>127</v>
      </c>
      <c r="E9" s="26">
        <v>4042</v>
      </c>
      <c r="F9" s="27">
        <v>67.13</v>
      </c>
      <c r="G9" s="28">
        <v>4.41E-2</v>
      </c>
      <c r="H9" s="29"/>
    </row>
    <row r="10" spans="2:9" ht="15.75" customHeight="1" x14ac:dyDescent="0.2">
      <c r="B10" s="25" t="s">
        <v>130</v>
      </c>
      <c r="C10" s="25" t="s">
        <v>131</v>
      </c>
      <c r="D10" s="25" t="s">
        <v>132</v>
      </c>
      <c r="E10" s="26">
        <v>2062</v>
      </c>
      <c r="F10" s="27">
        <v>58.83</v>
      </c>
      <c r="G10" s="28">
        <v>3.8699999999999998E-2</v>
      </c>
      <c r="H10" s="29"/>
    </row>
    <row r="11" spans="2:9" ht="15.75" customHeight="1" x14ac:dyDescent="0.2">
      <c r="B11" s="25" t="s">
        <v>160</v>
      </c>
      <c r="C11" s="25" t="s">
        <v>161</v>
      </c>
      <c r="D11" s="25" t="s">
        <v>162</v>
      </c>
      <c r="E11" s="26">
        <v>1302</v>
      </c>
      <c r="F11" s="27">
        <v>45.31</v>
      </c>
      <c r="G11" s="28">
        <v>2.98E-2</v>
      </c>
      <c r="H11" s="29"/>
    </row>
    <row r="12" spans="2:9" ht="15.75" customHeight="1" x14ac:dyDescent="0.2">
      <c r="B12" s="25" t="s">
        <v>166</v>
      </c>
      <c r="C12" s="25" t="s">
        <v>167</v>
      </c>
      <c r="D12" s="25" t="s">
        <v>124</v>
      </c>
      <c r="E12" s="26">
        <v>4154</v>
      </c>
      <c r="F12" s="27">
        <v>44.35</v>
      </c>
      <c r="G12" s="28">
        <v>2.92E-2</v>
      </c>
      <c r="H12" s="29"/>
    </row>
    <row r="13" spans="2:9" ht="15.75" customHeight="1" x14ac:dyDescent="0.2">
      <c r="B13" s="25" t="s">
        <v>188</v>
      </c>
      <c r="C13" s="25" t="s">
        <v>189</v>
      </c>
      <c r="D13" s="25" t="s">
        <v>124</v>
      </c>
      <c r="E13" s="26">
        <v>6141</v>
      </c>
      <c r="F13" s="27">
        <v>39.33</v>
      </c>
      <c r="G13" s="28">
        <v>2.5899999999999999E-2</v>
      </c>
      <c r="H13" s="29"/>
    </row>
    <row r="14" spans="2:9" ht="15.75" customHeight="1" x14ac:dyDescent="0.2">
      <c r="B14" s="25" t="s">
        <v>429</v>
      </c>
      <c r="C14" s="25" t="s">
        <v>430</v>
      </c>
      <c r="D14" s="25" t="s">
        <v>298</v>
      </c>
      <c r="E14" s="26">
        <v>3481</v>
      </c>
      <c r="F14" s="27">
        <v>38.31</v>
      </c>
      <c r="G14" s="28">
        <v>2.52E-2</v>
      </c>
      <c r="H14" s="29"/>
    </row>
    <row r="15" spans="2:9" ht="15.75" customHeight="1" x14ac:dyDescent="0.2">
      <c r="B15" s="25" t="s">
        <v>205</v>
      </c>
      <c r="C15" s="25" t="s">
        <v>206</v>
      </c>
      <c r="D15" s="25" t="s">
        <v>207</v>
      </c>
      <c r="E15" s="26">
        <v>1173</v>
      </c>
      <c r="F15" s="27">
        <v>36.21</v>
      </c>
      <c r="G15" s="28">
        <v>2.3800000000000002E-2</v>
      </c>
      <c r="H15" s="29"/>
    </row>
    <row r="16" spans="2:9" ht="15.75" customHeight="1" x14ac:dyDescent="0.2">
      <c r="B16" s="25" t="s">
        <v>431</v>
      </c>
      <c r="C16" s="25" t="s">
        <v>432</v>
      </c>
      <c r="D16" s="25" t="s">
        <v>298</v>
      </c>
      <c r="E16" s="26">
        <v>5390</v>
      </c>
      <c r="F16" s="27">
        <v>35.35</v>
      </c>
      <c r="G16" s="28">
        <v>2.3199999999999998E-2</v>
      </c>
      <c r="H16" s="29"/>
    </row>
    <row r="17" spans="2:8" ht="15.75" customHeight="1" x14ac:dyDescent="0.2">
      <c r="B17" s="25" t="s">
        <v>171</v>
      </c>
      <c r="C17" s="25" t="s">
        <v>172</v>
      </c>
      <c r="D17" s="25" t="s">
        <v>127</v>
      </c>
      <c r="E17" s="26">
        <v>851</v>
      </c>
      <c r="F17" s="27">
        <v>32.47</v>
      </c>
      <c r="G17" s="28">
        <v>2.1299999999999999E-2</v>
      </c>
      <c r="H17" s="29"/>
    </row>
    <row r="18" spans="2:8" ht="15.75" customHeight="1" x14ac:dyDescent="0.2">
      <c r="B18" s="25" t="s">
        <v>433</v>
      </c>
      <c r="C18" s="25" t="s">
        <v>434</v>
      </c>
      <c r="D18" s="25" t="s">
        <v>138</v>
      </c>
      <c r="E18" s="26">
        <v>5421</v>
      </c>
      <c r="F18" s="27">
        <v>32.08</v>
      </c>
      <c r="G18" s="28">
        <v>2.1100000000000001E-2</v>
      </c>
      <c r="H18" s="29"/>
    </row>
    <row r="19" spans="2:8" ht="15.75" customHeight="1" x14ac:dyDescent="0.2">
      <c r="B19" s="25" t="s">
        <v>133</v>
      </c>
      <c r="C19" s="25" t="s">
        <v>134</v>
      </c>
      <c r="D19" s="25" t="s">
        <v>135</v>
      </c>
      <c r="E19" s="26">
        <v>1140</v>
      </c>
      <c r="F19" s="27">
        <v>28.29</v>
      </c>
      <c r="G19" s="28">
        <v>1.8599999999999998E-2</v>
      </c>
      <c r="H19" s="29"/>
    </row>
    <row r="20" spans="2:8" ht="15.75" customHeight="1" x14ac:dyDescent="0.2">
      <c r="B20" s="25" t="s">
        <v>435</v>
      </c>
      <c r="C20" s="25" t="s">
        <v>436</v>
      </c>
      <c r="D20" s="25" t="s">
        <v>437</v>
      </c>
      <c r="E20" s="26">
        <v>2997</v>
      </c>
      <c r="F20" s="27">
        <v>27.81</v>
      </c>
      <c r="G20" s="28">
        <v>1.83E-2</v>
      </c>
      <c r="H20" s="29"/>
    </row>
    <row r="21" spans="2:8" ht="15.75" customHeight="1" x14ac:dyDescent="0.2">
      <c r="B21" s="25" t="s">
        <v>438</v>
      </c>
      <c r="C21" s="25" t="s">
        <v>439</v>
      </c>
      <c r="D21" s="25" t="s">
        <v>252</v>
      </c>
      <c r="E21" s="26">
        <v>2897</v>
      </c>
      <c r="F21" s="27">
        <v>26.94</v>
      </c>
      <c r="G21" s="28">
        <v>1.77E-2</v>
      </c>
      <c r="H21" s="29"/>
    </row>
    <row r="22" spans="2:8" ht="15.75" customHeight="1" x14ac:dyDescent="0.2">
      <c r="B22" s="25" t="s">
        <v>331</v>
      </c>
      <c r="C22" s="25" t="s">
        <v>332</v>
      </c>
      <c r="D22" s="25" t="s">
        <v>313</v>
      </c>
      <c r="E22" s="26">
        <v>258</v>
      </c>
      <c r="F22" s="27">
        <v>26.23</v>
      </c>
      <c r="G22" s="28">
        <v>1.72E-2</v>
      </c>
      <c r="H22" s="29"/>
    </row>
    <row r="23" spans="2:8" ht="15.75" customHeight="1" x14ac:dyDescent="0.2">
      <c r="B23" s="25" t="s">
        <v>359</v>
      </c>
      <c r="C23" s="25" t="s">
        <v>360</v>
      </c>
      <c r="D23" s="25" t="s">
        <v>361</v>
      </c>
      <c r="E23" s="26">
        <v>2681</v>
      </c>
      <c r="F23" s="27">
        <v>25.77</v>
      </c>
      <c r="G23" s="28">
        <v>1.6899999999999998E-2</v>
      </c>
      <c r="H23" s="29"/>
    </row>
    <row r="24" spans="2:8" ht="15.75" customHeight="1" x14ac:dyDescent="0.2">
      <c r="B24" s="25" t="s">
        <v>350</v>
      </c>
      <c r="C24" s="25" t="s">
        <v>351</v>
      </c>
      <c r="D24" s="25" t="s">
        <v>259</v>
      </c>
      <c r="E24" s="26">
        <v>2192</v>
      </c>
      <c r="F24" s="27">
        <v>25.66</v>
      </c>
      <c r="G24" s="28">
        <v>1.6899999999999998E-2</v>
      </c>
      <c r="H24" s="29"/>
    </row>
    <row r="25" spans="2:8" ht="15.75" customHeight="1" x14ac:dyDescent="0.2">
      <c r="B25" s="25" t="s">
        <v>440</v>
      </c>
      <c r="C25" s="25" t="s">
        <v>441</v>
      </c>
      <c r="D25" s="25" t="s">
        <v>298</v>
      </c>
      <c r="E25" s="26">
        <v>4174</v>
      </c>
      <c r="F25" s="27">
        <v>24.99</v>
      </c>
      <c r="G25" s="28">
        <v>1.6400000000000001E-2</v>
      </c>
      <c r="H25" s="29"/>
    </row>
    <row r="26" spans="2:8" ht="15.75" customHeight="1" x14ac:dyDescent="0.2">
      <c r="B26" s="25" t="s">
        <v>442</v>
      </c>
      <c r="C26" s="25" t="s">
        <v>443</v>
      </c>
      <c r="D26" s="25" t="s">
        <v>141</v>
      </c>
      <c r="E26" s="26">
        <v>2719</v>
      </c>
      <c r="F26" s="27">
        <v>24.04</v>
      </c>
      <c r="G26" s="28">
        <v>1.5800000000000002E-2</v>
      </c>
      <c r="H26" s="29"/>
    </row>
    <row r="27" spans="2:8" ht="15.75" customHeight="1" x14ac:dyDescent="0.2">
      <c r="B27" s="25" t="s">
        <v>136</v>
      </c>
      <c r="C27" s="25" t="s">
        <v>137</v>
      </c>
      <c r="D27" s="25" t="s">
        <v>138</v>
      </c>
      <c r="E27" s="26">
        <v>950</v>
      </c>
      <c r="F27" s="27">
        <v>23.81</v>
      </c>
      <c r="G27" s="28">
        <v>1.5599999999999999E-2</v>
      </c>
      <c r="H27" s="29"/>
    </row>
    <row r="28" spans="2:8" ht="15.75" customHeight="1" x14ac:dyDescent="0.2">
      <c r="B28" s="25" t="s">
        <v>444</v>
      </c>
      <c r="C28" s="25" t="s">
        <v>445</v>
      </c>
      <c r="D28" s="25" t="s">
        <v>207</v>
      </c>
      <c r="E28" s="26">
        <v>9718</v>
      </c>
      <c r="F28" s="27">
        <v>23.71</v>
      </c>
      <c r="G28" s="28">
        <v>1.5599999999999999E-2</v>
      </c>
      <c r="H28" s="29"/>
    </row>
    <row r="29" spans="2:8" ht="15.75" customHeight="1" x14ac:dyDescent="0.2">
      <c r="B29" s="25" t="s">
        <v>142</v>
      </c>
      <c r="C29" s="25" t="s">
        <v>143</v>
      </c>
      <c r="D29" s="25" t="s">
        <v>127</v>
      </c>
      <c r="E29" s="26">
        <v>421</v>
      </c>
      <c r="F29" s="27">
        <v>22.94</v>
      </c>
      <c r="G29" s="28">
        <v>1.5100000000000001E-2</v>
      </c>
      <c r="H29" s="29"/>
    </row>
    <row r="30" spans="2:8" ht="15.75" customHeight="1" x14ac:dyDescent="0.2">
      <c r="B30" s="25" t="s">
        <v>446</v>
      </c>
      <c r="C30" s="25" t="s">
        <v>447</v>
      </c>
      <c r="D30" s="25" t="s">
        <v>162</v>
      </c>
      <c r="E30" s="26">
        <v>10219</v>
      </c>
      <c r="F30" s="27">
        <v>22.02</v>
      </c>
      <c r="G30" s="28">
        <v>1.4500000000000001E-2</v>
      </c>
      <c r="H30" s="29"/>
    </row>
    <row r="31" spans="2:8" ht="15.75" customHeight="1" x14ac:dyDescent="0.2">
      <c r="B31" s="25" t="s">
        <v>282</v>
      </c>
      <c r="C31" s="25" t="s">
        <v>283</v>
      </c>
      <c r="D31" s="25" t="s">
        <v>215</v>
      </c>
      <c r="E31" s="26">
        <v>893</v>
      </c>
      <c r="F31" s="27">
        <v>20.76</v>
      </c>
      <c r="G31" s="28">
        <v>1.3599999999999999E-2</v>
      </c>
      <c r="H31" s="29"/>
    </row>
    <row r="32" spans="2:8" ht="15.75" customHeight="1" x14ac:dyDescent="0.2">
      <c r="B32" s="25" t="s">
        <v>448</v>
      </c>
      <c r="C32" s="25" t="s">
        <v>449</v>
      </c>
      <c r="D32" s="25" t="s">
        <v>212</v>
      </c>
      <c r="E32" s="26">
        <v>4274</v>
      </c>
      <c r="F32" s="27">
        <v>20.65</v>
      </c>
      <c r="G32" s="28">
        <v>1.3599999999999999E-2</v>
      </c>
      <c r="H32" s="29"/>
    </row>
    <row r="33" spans="2:8" ht="15.75" customHeight="1" x14ac:dyDescent="0.2">
      <c r="B33" s="25" t="s">
        <v>407</v>
      </c>
      <c r="C33" s="25" t="s">
        <v>408</v>
      </c>
      <c r="D33" s="25" t="s">
        <v>124</v>
      </c>
      <c r="E33" s="26">
        <v>14905</v>
      </c>
      <c r="F33" s="27">
        <v>20.62</v>
      </c>
      <c r="G33" s="28">
        <v>1.3599999999999999E-2</v>
      </c>
      <c r="H33" s="29"/>
    </row>
    <row r="34" spans="2:8" ht="15.75" customHeight="1" x14ac:dyDescent="0.2">
      <c r="B34" s="25" t="s">
        <v>273</v>
      </c>
      <c r="C34" s="25" t="s">
        <v>274</v>
      </c>
      <c r="D34" s="25" t="s">
        <v>204</v>
      </c>
      <c r="E34" s="26">
        <v>1418</v>
      </c>
      <c r="F34" s="27">
        <v>20.11</v>
      </c>
      <c r="G34" s="28">
        <v>1.32E-2</v>
      </c>
      <c r="H34" s="29"/>
    </row>
    <row r="35" spans="2:8" ht="15.75" customHeight="1" x14ac:dyDescent="0.2">
      <c r="B35" s="25" t="s">
        <v>450</v>
      </c>
      <c r="C35" s="25" t="s">
        <v>451</v>
      </c>
      <c r="D35" s="25" t="s">
        <v>196</v>
      </c>
      <c r="E35" s="26">
        <v>1862</v>
      </c>
      <c r="F35" s="27">
        <v>19.55</v>
      </c>
      <c r="G35" s="28">
        <v>1.2800000000000001E-2</v>
      </c>
      <c r="H35" s="29"/>
    </row>
    <row r="36" spans="2:8" ht="15.75" customHeight="1" x14ac:dyDescent="0.2">
      <c r="B36" s="25" t="s">
        <v>309</v>
      </c>
      <c r="C36" s="25" t="s">
        <v>310</v>
      </c>
      <c r="D36" s="25" t="s">
        <v>207</v>
      </c>
      <c r="E36" s="26">
        <v>3708</v>
      </c>
      <c r="F36" s="27">
        <v>19.350000000000001</v>
      </c>
      <c r="G36" s="28">
        <v>1.2699999999999999E-2</v>
      </c>
      <c r="H36" s="29"/>
    </row>
    <row r="37" spans="2:8" ht="15.75" customHeight="1" x14ac:dyDescent="0.2">
      <c r="B37" s="25" t="s">
        <v>183</v>
      </c>
      <c r="C37" s="25" t="s">
        <v>184</v>
      </c>
      <c r="D37" s="25" t="s">
        <v>141</v>
      </c>
      <c r="E37" s="26">
        <v>188</v>
      </c>
      <c r="F37" s="27">
        <v>19.149999999999999</v>
      </c>
      <c r="G37" s="28">
        <v>1.26E-2</v>
      </c>
      <c r="H37" s="29"/>
    </row>
    <row r="38" spans="2:8" ht="15.75" customHeight="1" x14ac:dyDescent="0.2">
      <c r="B38" s="25" t="s">
        <v>192</v>
      </c>
      <c r="C38" s="25" t="s">
        <v>193</v>
      </c>
      <c r="D38" s="25" t="s">
        <v>124</v>
      </c>
      <c r="E38" s="26">
        <v>1029</v>
      </c>
      <c r="F38" s="27">
        <v>18.78</v>
      </c>
      <c r="G38" s="28">
        <v>1.23E-2</v>
      </c>
      <c r="H38" s="29"/>
    </row>
    <row r="39" spans="2:8" ht="15.75" customHeight="1" x14ac:dyDescent="0.2">
      <c r="B39" s="25" t="s">
        <v>411</v>
      </c>
      <c r="C39" s="25" t="s">
        <v>412</v>
      </c>
      <c r="D39" s="25" t="s">
        <v>170</v>
      </c>
      <c r="E39" s="26">
        <v>1244</v>
      </c>
      <c r="F39" s="27">
        <v>18.37</v>
      </c>
      <c r="G39" s="28">
        <v>1.21E-2</v>
      </c>
      <c r="H39" s="29"/>
    </row>
    <row r="40" spans="2:8" ht="15.75" customHeight="1" x14ac:dyDescent="0.2">
      <c r="B40" s="25" t="s">
        <v>452</v>
      </c>
      <c r="C40" s="25" t="s">
        <v>453</v>
      </c>
      <c r="D40" s="25" t="s">
        <v>323</v>
      </c>
      <c r="E40" s="26">
        <v>905</v>
      </c>
      <c r="F40" s="27">
        <v>17.86</v>
      </c>
      <c r="G40" s="28">
        <v>1.17E-2</v>
      </c>
      <c r="H40" s="29"/>
    </row>
    <row r="41" spans="2:8" ht="15.75" customHeight="1" x14ac:dyDescent="0.2">
      <c r="B41" s="25" t="s">
        <v>275</v>
      </c>
      <c r="C41" s="25" t="s">
        <v>276</v>
      </c>
      <c r="D41" s="25" t="s">
        <v>277</v>
      </c>
      <c r="E41" s="26">
        <v>277</v>
      </c>
      <c r="F41" s="27">
        <v>17.600000000000001</v>
      </c>
      <c r="G41" s="28">
        <v>1.1599999999999999E-2</v>
      </c>
      <c r="H41" s="29"/>
    </row>
    <row r="42" spans="2:8" ht="15.75" customHeight="1" x14ac:dyDescent="0.2">
      <c r="B42" s="25" t="s">
        <v>454</v>
      </c>
      <c r="C42" s="25" t="s">
        <v>455</v>
      </c>
      <c r="D42" s="25" t="s">
        <v>138</v>
      </c>
      <c r="E42" s="26">
        <v>327</v>
      </c>
      <c r="F42" s="27">
        <v>17</v>
      </c>
      <c r="G42" s="28">
        <v>1.12E-2</v>
      </c>
      <c r="H42" s="29"/>
    </row>
    <row r="43" spans="2:8" ht="15.75" customHeight="1" x14ac:dyDescent="0.2">
      <c r="B43" s="25" t="s">
        <v>456</v>
      </c>
      <c r="C43" s="25" t="s">
        <v>457</v>
      </c>
      <c r="D43" s="25" t="s">
        <v>204</v>
      </c>
      <c r="E43" s="26">
        <v>338</v>
      </c>
      <c r="F43" s="27">
        <v>16.89</v>
      </c>
      <c r="G43" s="28">
        <v>1.11E-2</v>
      </c>
      <c r="H43" s="29"/>
    </row>
    <row r="44" spans="2:8" ht="15.75" customHeight="1" x14ac:dyDescent="0.2">
      <c r="B44" s="25" t="s">
        <v>458</v>
      </c>
      <c r="C44" s="25" t="s">
        <v>459</v>
      </c>
      <c r="D44" s="25" t="s">
        <v>298</v>
      </c>
      <c r="E44" s="26">
        <v>672</v>
      </c>
      <c r="F44" s="27">
        <v>16.86</v>
      </c>
      <c r="G44" s="28">
        <v>1.11E-2</v>
      </c>
      <c r="H44" s="29"/>
    </row>
    <row r="45" spans="2:8" ht="15.75" customHeight="1" x14ac:dyDescent="0.2">
      <c r="B45" s="25" t="s">
        <v>460</v>
      </c>
      <c r="C45" s="25" t="s">
        <v>461</v>
      </c>
      <c r="D45" s="25" t="s">
        <v>361</v>
      </c>
      <c r="E45" s="26">
        <v>4456</v>
      </c>
      <c r="F45" s="27">
        <v>16.78</v>
      </c>
      <c r="G45" s="28">
        <v>1.0999999999999999E-2</v>
      </c>
      <c r="H45" s="29"/>
    </row>
    <row r="46" spans="2:8" ht="15.75" customHeight="1" x14ac:dyDescent="0.2">
      <c r="B46" s="25" t="s">
        <v>462</v>
      </c>
      <c r="C46" s="25" t="s">
        <v>463</v>
      </c>
      <c r="D46" s="25" t="s">
        <v>196</v>
      </c>
      <c r="E46" s="26">
        <v>473</v>
      </c>
      <c r="F46" s="27">
        <v>15.95</v>
      </c>
      <c r="G46" s="28">
        <v>1.0500000000000001E-2</v>
      </c>
      <c r="H46" s="29"/>
    </row>
    <row r="47" spans="2:8" ht="15.75" customHeight="1" x14ac:dyDescent="0.2">
      <c r="B47" s="25" t="s">
        <v>464</v>
      </c>
      <c r="C47" s="25" t="s">
        <v>465</v>
      </c>
      <c r="D47" s="25" t="s">
        <v>252</v>
      </c>
      <c r="E47" s="26">
        <v>24417</v>
      </c>
      <c r="F47" s="27">
        <v>15.88</v>
      </c>
      <c r="G47" s="28">
        <v>1.04E-2</v>
      </c>
      <c r="H47" s="29"/>
    </row>
    <row r="48" spans="2:8" ht="15.75" customHeight="1" x14ac:dyDescent="0.2">
      <c r="B48" s="25" t="s">
        <v>384</v>
      </c>
      <c r="C48" s="25" t="s">
        <v>385</v>
      </c>
      <c r="D48" s="25" t="s">
        <v>358</v>
      </c>
      <c r="E48" s="26">
        <v>2980</v>
      </c>
      <c r="F48" s="27">
        <v>15.48</v>
      </c>
      <c r="G48" s="28">
        <v>1.0200000000000001E-2</v>
      </c>
      <c r="H48" s="29"/>
    </row>
    <row r="49" spans="2:8" ht="15.75" customHeight="1" x14ac:dyDescent="0.2">
      <c r="B49" s="25" t="s">
        <v>269</v>
      </c>
      <c r="C49" s="25" t="s">
        <v>270</v>
      </c>
      <c r="D49" s="25" t="s">
        <v>127</v>
      </c>
      <c r="E49" s="26">
        <v>917</v>
      </c>
      <c r="F49" s="27">
        <v>14.45</v>
      </c>
      <c r="G49" s="28">
        <v>9.4999999999999998E-3</v>
      </c>
      <c r="H49" s="29"/>
    </row>
    <row r="50" spans="2:8" ht="15.75" customHeight="1" x14ac:dyDescent="0.2">
      <c r="B50" s="25" t="s">
        <v>210</v>
      </c>
      <c r="C50" s="25" t="s">
        <v>211</v>
      </c>
      <c r="D50" s="25" t="s">
        <v>212</v>
      </c>
      <c r="E50" s="26">
        <v>400</v>
      </c>
      <c r="F50" s="27">
        <v>11.83</v>
      </c>
      <c r="G50" s="28">
        <v>7.7999999999999996E-3</v>
      </c>
      <c r="H50" s="29"/>
    </row>
    <row r="51" spans="2:8" ht="15.75" customHeight="1" x14ac:dyDescent="0.2">
      <c r="B51" s="25" t="s">
        <v>278</v>
      </c>
      <c r="C51" s="25" t="s">
        <v>279</v>
      </c>
      <c r="D51" s="25" t="s">
        <v>204</v>
      </c>
      <c r="E51" s="26">
        <v>436</v>
      </c>
      <c r="F51" s="27">
        <v>11.04</v>
      </c>
      <c r="G51" s="28">
        <v>7.3000000000000001E-3</v>
      </c>
      <c r="H51" s="29"/>
    </row>
    <row r="52" spans="2:8" ht="15.75" customHeight="1" x14ac:dyDescent="0.2">
      <c r="B52" s="24" t="s">
        <v>94</v>
      </c>
      <c r="C52" s="24"/>
      <c r="D52" s="24"/>
      <c r="E52" s="30"/>
      <c r="F52" s="31">
        <v>1291.83</v>
      </c>
      <c r="G52" s="32">
        <v>0.84899999999999998</v>
      </c>
      <c r="H52" s="33"/>
    </row>
    <row r="53" spans="2:8" ht="15.75" customHeight="1" x14ac:dyDescent="0.2">
      <c r="B53" s="24" t="s">
        <v>144</v>
      </c>
      <c r="C53" s="25"/>
      <c r="D53" s="25"/>
      <c r="E53" s="26"/>
      <c r="F53" s="27"/>
      <c r="G53" s="28"/>
      <c r="H53" s="29"/>
    </row>
    <row r="54" spans="2:8" ht="15.75" customHeight="1" x14ac:dyDescent="0.2">
      <c r="B54" s="24" t="s">
        <v>94</v>
      </c>
      <c r="C54" s="25"/>
      <c r="D54" s="25"/>
      <c r="E54" s="26"/>
      <c r="F54" s="34" t="s">
        <v>96</v>
      </c>
      <c r="G54" s="35" t="s">
        <v>96</v>
      </c>
      <c r="H54" s="29"/>
    </row>
    <row r="55" spans="2:8" ht="15.75" customHeight="1" x14ac:dyDescent="0.2">
      <c r="B55" s="25"/>
      <c r="C55" s="25"/>
      <c r="D55" s="25"/>
      <c r="E55" s="26"/>
      <c r="F55" s="27"/>
      <c r="G55" s="28"/>
      <c r="H55" s="29"/>
    </row>
    <row r="56" spans="2:8" ht="15.75" customHeight="1" x14ac:dyDescent="0.2">
      <c r="B56" s="36" t="s">
        <v>98</v>
      </c>
      <c r="C56" s="36"/>
      <c r="D56" s="36"/>
      <c r="E56" s="37"/>
      <c r="F56" s="31">
        <v>1291.83</v>
      </c>
      <c r="G56" s="32">
        <v>0.84899999999999998</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145</v>
      </c>
      <c r="C60" s="25" t="s">
        <v>146</v>
      </c>
      <c r="D60" s="25" t="s">
        <v>85</v>
      </c>
      <c r="E60" s="26">
        <v>150000</v>
      </c>
      <c r="F60" s="27">
        <v>152.79</v>
      </c>
      <c r="G60" s="28">
        <v>0.1004</v>
      </c>
      <c r="H60" s="29">
        <v>7.1563000000000002E-2</v>
      </c>
    </row>
    <row r="61" spans="2:8" ht="15.75" customHeight="1" x14ac:dyDescent="0.2">
      <c r="B61" s="24" t="s">
        <v>94</v>
      </c>
      <c r="C61" s="24"/>
      <c r="D61" s="24"/>
      <c r="E61" s="30"/>
      <c r="F61" s="31">
        <v>152.79</v>
      </c>
      <c r="G61" s="32">
        <v>0.1004</v>
      </c>
      <c r="H61" s="33"/>
    </row>
    <row r="62" spans="2:8" ht="15.75" customHeight="1" x14ac:dyDescent="0.2">
      <c r="B62" s="25"/>
      <c r="C62" s="25"/>
      <c r="D62" s="25"/>
      <c r="E62" s="26"/>
      <c r="F62" s="27"/>
      <c r="G62" s="28"/>
      <c r="H62" s="29"/>
    </row>
    <row r="63" spans="2:8" ht="15.75" customHeight="1" x14ac:dyDescent="0.2">
      <c r="B63" s="24" t="s">
        <v>95</v>
      </c>
      <c r="C63" s="25"/>
      <c r="D63" s="25"/>
      <c r="E63" s="26"/>
      <c r="F63" s="27"/>
      <c r="G63" s="28"/>
      <c r="H63" s="29"/>
    </row>
    <row r="64" spans="2:8" ht="15.75" customHeight="1" x14ac:dyDescent="0.2">
      <c r="B64" s="24" t="s">
        <v>94</v>
      </c>
      <c r="C64" s="25"/>
      <c r="D64" s="25"/>
      <c r="E64" s="26"/>
      <c r="F64" s="34" t="s">
        <v>96</v>
      </c>
      <c r="G64" s="35" t="s">
        <v>96</v>
      </c>
      <c r="H64" s="29"/>
    </row>
    <row r="65" spans="2:16" ht="15.75" customHeight="1" x14ac:dyDescent="0.2">
      <c r="B65" s="25"/>
      <c r="C65" s="25"/>
      <c r="D65" s="25"/>
      <c r="E65" s="26"/>
      <c r="F65" s="27"/>
      <c r="G65" s="28"/>
      <c r="H65" s="29"/>
    </row>
    <row r="66" spans="2:16" ht="15.75" customHeight="1" x14ac:dyDescent="0.2">
      <c r="B66" s="24" t="s">
        <v>97</v>
      </c>
      <c r="C66" s="25"/>
      <c r="D66" s="25"/>
      <c r="E66" s="26"/>
      <c r="F66" s="27"/>
      <c r="G66" s="28"/>
      <c r="H66" s="29"/>
    </row>
    <row r="67" spans="2:16" ht="15.75" customHeight="1" x14ac:dyDescent="0.2">
      <c r="B67" s="24" t="s">
        <v>94</v>
      </c>
      <c r="C67" s="25"/>
      <c r="D67" s="25"/>
      <c r="E67" s="26"/>
      <c r="F67" s="34" t="s">
        <v>96</v>
      </c>
      <c r="G67" s="35" t="s">
        <v>96</v>
      </c>
      <c r="H67" s="29"/>
    </row>
    <row r="68" spans="2:16" ht="15.75" customHeight="1" x14ac:dyDescent="0.2">
      <c r="B68" s="25"/>
      <c r="C68" s="25"/>
      <c r="D68" s="25"/>
      <c r="E68" s="26"/>
      <c r="F68" s="27"/>
      <c r="G68" s="28"/>
      <c r="H68" s="29"/>
      <c r="L68" s="3"/>
    </row>
    <row r="69" spans="2:16" ht="15.75" customHeight="1" x14ac:dyDescent="0.2">
      <c r="B69" s="36" t="s">
        <v>98</v>
      </c>
      <c r="C69" s="36"/>
      <c r="D69" s="36"/>
      <c r="E69" s="37"/>
      <c r="F69" s="31">
        <v>152.79</v>
      </c>
      <c r="G69" s="32">
        <v>0.1004</v>
      </c>
      <c r="H69" s="33"/>
    </row>
    <row r="70" spans="2:16" ht="15.75" customHeight="1" x14ac:dyDescent="0.2">
      <c r="B70" s="25"/>
      <c r="C70" s="25"/>
      <c r="D70" s="25"/>
      <c r="E70" s="26"/>
      <c r="F70" s="27"/>
      <c r="G70" s="28"/>
      <c r="H70" s="29"/>
      <c r="L70" s="3"/>
    </row>
    <row r="71" spans="2:16" ht="15.75" customHeight="1" x14ac:dyDescent="0.2">
      <c r="B71" s="25"/>
      <c r="C71" s="25"/>
      <c r="D71" s="25"/>
      <c r="E71" s="26"/>
      <c r="F71" s="27"/>
      <c r="G71" s="28"/>
      <c r="H71" s="29"/>
      <c r="L71" s="3"/>
    </row>
    <row r="72" spans="2:16" ht="15.75" customHeight="1" x14ac:dyDescent="0.2">
      <c r="B72" s="24" t="s">
        <v>101</v>
      </c>
      <c r="C72" s="25"/>
      <c r="D72" s="25"/>
      <c r="E72" s="26"/>
      <c r="F72" s="27"/>
      <c r="G72" s="28"/>
      <c r="H72" s="29"/>
      <c r="L72" s="3"/>
    </row>
    <row r="73" spans="2:16" ht="15.75" customHeight="1" x14ac:dyDescent="0.2">
      <c r="B73" s="25" t="s">
        <v>102</v>
      </c>
      <c r="C73" s="25"/>
      <c r="D73" s="25"/>
      <c r="E73" s="26"/>
      <c r="F73" s="27">
        <v>60.39</v>
      </c>
      <c r="G73" s="28">
        <v>3.9699999999999999E-2</v>
      </c>
      <c r="H73" s="29"/>
      <c r="L73" s="3"/>
    </row>
    <row r="74" spans="2:16" ht="15.75" customHeight="1" x14ac:dyDescent="0.2">
      <c r="B74" s="24" t="s">
        <v>94</v>
      </c>
      <c r="C74" s="24"/>
      <c r="D74" s="24"/>
      <c r="E74" s="30"/>
      <c r="F74" s="31">
        <v>60.39</v>
      </c>
      <c r="G74" s="32">
        <v>3.9699999999999999E-2</v>
      </c>
      <c r="H74" s="33"/>
      <c r="L74" s="3"/>
    </row>
    <row r="75" spans="2:16" ht="15.75" customHeight="1" x14ac:dyDescent="0.2">
      <c r="B75" s="25"/>
      <c r="C75" s="25"/>
      <c r="D75" s="25"/>
      <c r="E75" s="26"/>
      <c r="F75" s="27"/>
      <c r="G75" s="28"/>
      <c r="H75" s="29"/>
      <c r="L75" s="5"/>
      <c r="M75" s="5"/>
      <c r="N75" s="6"/>
      <c r="O75" s="6"/>
      <c r="P75" s="5"/>
    </row>
    <row r="76" spans="2:16" ht="15.75" customHeight="1" x14ac:dyDescent="0.2">
      <c r="B76" s="36" t="s">
        <v>98</v>
      </c>
      <c r="C76" s="36"/>
      <c r="D76" s="36"/>
      <c r="E76" s="37"/>
      <c r="F76" s="31">
        <v>60.39</v>
      </c>
      <c r="G76" s="32">
        <v>3.9699999999999999E-2</v>
      </c>
      <c r="H76" s="33"/>
    </row>
    <row r="77" spans="2:16" ht="15.75" customHeight="1" x14ac:dyDescent="0.2">
      <c r="B77" s="25" t="s">
        <v>103</v>
      </c>
      <c r="C77" s="25"/>
      <c r="D77" s="25"/>
      <c r="E77" s="26"/>
      <c r="F77" s="27">
        <v>16.559999999999999</v>
      </c>
      <c r="G77" s="28">
        <v>1.0900000000000021E-2</v>
      </c>
      <c r="H77" s="29"/>
    </row>
    <row r="78" spans="2:16" ht="15.75" customHeight="1" x14ac:dyDescent="0.2">
      <c r="B78" s="40" t="s">
        <v>104</v>
      </c>
      <c r="C78" s="40"/>
      <c r="D78" s="40"/>
      <c r="E78" s="41"/>
      <c r="F78" s="42">
        <v>1521.57</v>
      </c>
      <c r="G78" s="43">
        <v>1</v>
      </c>
      <c r="H78" s="44"/>
      <c r="L78" s="7"/>
      <c r="M78" s="7"/>
      <c r="N78" s="7"/>
      <c r="O78" s="7"/>
      <c r="P78" s="7"/>
    </row>
    <row r="79" spans="2:16" ht="15.75" customHeight="1" thickBot="1" x14ac:dyDescent="0.25">
      <c r="B79" s="2"/>
      <c r="L79" s="7"/>
      <c r="M79" s="7"/>
      <c r="N79" s="7"/>
      <c r="O79" s="7"/>
      <c r="P79" s="7"/>
    </row>
    <row r="80" spans="2:16" ht="27" customHeight="1" thickBot="1" x14ac:dyDescent="0.25">
      <c r="B80" s="57" t="s">
        <v>829</v>
      </c>
      <c r="C80" s="58" t="s">
        <v>830</v>
      </c>
      <c r="D80" s="58" t="s">
        <v>831</v>
      </c>
      <c r="E80" s="63" t="s">
        <v>832</v>
      </c>
      <c r="G80" s="2"/>
      <c r="H80" s="2"/>
    </row>
    <row r="81" spans="2:8" ht="29.25" customHeight="1" x14ac:dyDescent="0.2">
      <c r="B81" s="64" t="s">
        <v>872</v>
      </c>
      <c r="C81" s="82"/>
      <c r="D81" s="85" t="s">
        <v>863</v>
      </c>
      <c r="E81" s="87"/>
      <c r="G81" s="2"/>
      <c r="H81" s="2"/>
    </row>
    <row r="82" spans="2:8" ht="39.950000000000003" customHeight="1" x14ac:dyDescent="0.2">
      <c r="B82" s="66" t="s">
        <v>873</v>
      </c>
      <c r="C82" s="83"/>
      <c r="D82" s="86"/>
      <c r="E82" s="83"/>
      <c r="G82" s="2"/>
      <c r="H82" s="2"/>
    </row>
    <row r="83" spans="2:8" ht="39.950000000000003" customHeight="1" x14ac:dyDescent="0.2">
      <c r="B83" s="66" t="s">
        <v>874</v>
      </c>
      <c r="C83" s="83"/>
      <c r="D83" s="86"/>
      <c r="E83" s="83"/>
      <c r="G83" s="2"/>
      <c r="H83" s="2"/>
    </row>
    <row r="84" spans="2:8" ht="23.25" customHeight="1" thickBot="1" x14ac:dyDescent="0.25">
      <c r="B84" s="68" t="s">
        <v>866</v>
      </c>
      <c r="C84" s="84"/>
      <c r="D84" s="71" t="s">
        <v>866</v>
      </c>
      <c r="E84" s="88"/>
      <c r="G84" s="2"/>
      <c r="H84" s="2"/>
    </row>
    <row r="85" spans="2:8" ht="24.95" customHeight="1" x14ac:dyDescent="0.2">
      <c r="B85" s="59" t="s">
        <v>833</v>
      </c>
      <c r="C85" s="60"/>
      <c r="D85" s="61"/>
      <c r="E85" s="62"/>
      <c r="G85" s="2"/>
      <c r="H85" s="2"/>
    </row>
    <row r="87" spans="2:8" ht="12" x14ac:dyDescent="0.2">
      <c r="B87" s="2" t="s">
        <v>834</v>
      </c>
      <c r="C87" s="2"/>
      <c r="D87" s="2"/>
      <c r="G87" s="2"/>
      <c r="H87" s="2"/>
    </row>
    <row r="88" spans="2:8" ht="12" x14ac:dyDescent="0.2">
      <c r="B88" s="3" t="s">
        <v>835</v>
      </c>
      <c r="C88" s="2"/>
      <c r="D88" s="2"/>
      <c r="G88" s="2"/>
      <c r="H88" s="2"/>
    </row>
  </sheetData>
  <mergeCells count="3">
    <mergeCell ref="C81:C84"/>
    <mergeCell ref="D81:D83"/>
    <mergeCell ref="E81:E84"/>
  </mergeCells>
  <hyperlinks>
    <hyperlink ref="I1" location="'Sheet1'!A1" display="Index" xr:uid="{2898F67D-B043-4078-B540-5ACF6DE3B75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94F1-FB6F-4F39-A43F-3C7BF840CB6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837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125</v>
      </c>
      <c r="C7" s="25" t="s">
        <v>126</v>
      </c>
      <c r="D7" s="25" t="s">
        <v>127</v>
      </c>
      <c r="E7" s="26">
        <v>44000</v>
      </c>
      <c r="F7" s="27">
        <v>730.8</v>
      </c>
      <c r="G7" s="28">
        <v>6.6000000000000003E-2</v>
      </c>
      <c r="H7" s="29"/>
    </row>
    <row r="8" spans="2:9" ht="15.75" customHeight="1" x14ac:dyDescent="0.2">
      <c r="B8" s="25" t="s">
        <v>122</v>
      </c>
      <c r="C8" s="25" t="s">
        <v>123</v>
      </c>
      <c r="D8" s="25" t="s">
        <v>124</v>
      </c>
      <c r="E8" s="26">
        <v>55403</v>
      </c>
      <c r="F8" s="27">
        <v>569.63</v>
      </c>
      <c r="G8" s="28">
        <v>5.1400000000000001E-2</v>
      </c>
      <c r="H8" s="29"/>
    </row>
    <row r="9" spans="2:9" ht="15.75" customHeight="1" x14ac:dyDescent="0.2">
      <c r="B9" s="25" t="s">
        <v>294</v>
      </c>
      <c r="C9" s="25" t="s">
        <v>295</v>
      </c>
      <c r="D9" s="25" t="s">
        <v>170</v>
      </c>
      <c r="E9" s="26">
        <v>108766</v>
      </c>
      <c r="F9" s="27">
        <v>482.11</v>
      </c>
      <c r="G9" s="28">
        <v>4.3499999999999997E-2</v>
      </c>
      <c r="H9" s="29"/>
    </row>
    <row r="10" spans="2:9" ht="15.75" customHeight="1" x14ac:dyDescent="0.2">
      <c r="B10" s="25" t="s">
        <v>284</v>
      </c>
      <c r="C10" s="25" t="s">
        <v>285</v>
      </c>
      <c r="D10" s="25" t="s">
        <v>229</v>
      </c>
      <c r="E10" s="26">
        <v>181201</v>
      </c>
      <c r="F10" s="27">
        <v>469.85</v>
      </c>
      <c r="G10" s="28">
        <v>4.24E-2</v>
      </c>
      <c r="H10" s="29"/>
    </row>
    <row r="11" spans="2:9" ht="15.75" customHeight="1" x14ac:dyDescent="0.2">
      <c r="B11" s="25" t="s">
        <v>171</v>
      </c>
      <c r="C11" s="25" t="s">
        <v>172</v>
      </c>
      <c r="D11" s="25" t="s">
        <v>127</v>
      </c>
      <c r="E11" s="26">
        <v>12257</v>
      </c>
      <c r="F11" s="27">
        <v>467.72</v>
      </c>
      <c r="G11" s="28">
        <v>4.2200000000000001E-2</v>
      </c>
      <c r="H11" s="29"/>
    </row>
    <row r="12" spans="2:9" ht="15.75" customHeight="1" x14ac:dyDescent="0.2">
      <c r="B12" s="25" t="s">
        <v>185</v>
      </c>
      <c r="C12" s="25" t="s">
        <v>186</v>
      </c>
      <c r="D12" s="25" t="s">
        <v>187</v>
      </c>
      <c r="E12" s="26">
        <v>228138</v>
      </c>
      <c r="F12" s="27">
        <v>424.11</v>
      </c>
      <c r="G12" s="28">
        <v>3.8300000000000001E-2</v>
      </c>
      <c r="H12" s="29"/>
    </row>
    <row r="13" spans="2:9" ht="15.75" customHeight="1" x14ac:dyDescent="0.2">
      <c r="B13" s="25" t="s">
        <v>466</v>
      </c>
      <c r="C13" s="25" t="s">
        <v>467</v>
      </c>
      <c r="D13" s="25" t="s">
        <v>229</v>
      </c>
      <c r="E13" s="26">
        <v>457888</v>
      </c>
      <c r="F13" s="27">
        <v>416.45</v>
      </c>
      <c r="G13" s="28">
        <v>3.7600000000000001E-2</v>
      </c>
      <c r="H13" s="29"/>
    </row>
    <row r="14" spans="2:9" ht="15.75" customHeight="1" x14ac:dyDescent="0.2">
      <c r="B14" s="25" t="s">
        <v>280</v>
      </c>
      <c r="C14" s="25" t="s">
        <v>281</v>
      </c>
      <c r="D14" s="25" t="s">
        <v>229</v>
      </c>
      <c r="E14" s="26">
        <v>115002</v>
      </c>
      <c r="F14" s="27">
        <v>365.13</v>
      </c>
      <c r="G14" s="28">
        <v>3.3000000000000002E-2</v>
      </c>
      <c r="H14" s="29"/>
    </row>
    <row r="15" spans="2:9" ht="15.75" customHeight="1" x14ac:dyDescent="0.2">
      <c r="B15" s="25" t="s">
        <v>468</v>
      </c>
      <c r="C15" s="25" t="s">
        <v>469</v>
      </c>
      <c r="D15" s="25" t="s">
        <v>470</v>
      </c>
      <c r="E15" s="26">
        <v>10000</v>
      </c>
      <c r="F15" s="27">
        <v>350.53</v>
      </c>
      <c r="G15" s="28">
        <v>3.1699999999999999E-2</v>
      </c>
      <c r="H15" s="29"/>
    </row>
    <row r="16" spans="2:9" ht="15.75" customHeight="1" x14ac:dyDescent="0.2">
      <c r="B16" s="25" t="s">
        <v>183</v>
      </c>
      <c r="C16" s="25" t="s">
        <v>184</v>
      </c>
      <c r="D16" s="25" t="s">
        <v>141</v>
      </c>
      <c r="E16" s="26">
        <v>3306</v>
      </c>
      <c r="F16" s="27">
        <v>336.78</v>
      </c>
      <c r="G16" s="28">
        <v>3.04E-2</v>
      </c>
      <c r="H16" s="29"/>
    </row>
    <row r="17" spans="2:8" ht="15.75" customHeight="1" x14ac:dyDescent="0.2">
      <c r="B17" s="25" t="s">
        <v>216</v>
      </c>
      <c r="C17" s="25" t="s">
        <v>217</v>
      </c>
      <c r="D17" s="25" t="s">
        <v>212</v>
      </c>
      <c r="E17" s="26">
        <v>9000</v>
      </c>
      <c r="F17" s="27">
        <v>332.78</v>
      </c>
      <c r="G17" s="28">
        <v>3.0099999999999998E-2</v>
      </c>
      <c r="H17" s="29"/>
    </row>
    <row r="18" spans="2:8" ht="15.75" customHeight="1" x14ac:dyDescent="0.2">
      <c r="B18" s="25" t="s">
        <v>139</v>
      </c>
      <c r="C18" s="25" t="s">
        <v>140</v>
      </c>
      <c r="D18" s="25" t="s">
        <v>141</v>
      </c>
      <c r="E18" s="26">
        <v>20000</v>
      </c>
      <c r="F18" s="27">
        <v>330.31</v>
      </c>
      <c r="G18" s="28">
        <v>2.98E-2</v>
      </c>
      <c r="H18" s="29"/>
    </row>
    <row r="19" spans="2:8" ht="15.75" customHeight="1" x14ac:dyDescent="0.2">
      <c r="B19" s="25" t="s">
        <v>160</v>
      </c>
      <c r="C19" s="25" t="s">
        <v>161</v>
      </c>
      <c r="D19" s="25" t="s">
        <v>162</v>
      </c>
      <c r="E19" s="26">
        <v>9471</v>
      </c>
      <c r="F19" s="27">
        <v>329.57</v>
      </c>
      <c r="G19" s="28">
        <v>2.98E-2</v>
      </c>
      <c r="H19" s="29"/>
    </row>
    <row r="20" spans="2:8" ht="15.75" customHeight="1" x14ac:dyDescent="0.2">
      <c r="B20" s="25" t="s">
        <v>188</v>
      </c>
      <c r="C20" s="25" t="s">
        <v>189</v>
      </c>
      <c r="D20" s="25" t="s">
        <v>124</v>
      </c>
      <c r="E20" s="26">
        <v>49951</v>
      </c>
      <c r="F20" s="27">
        <v>319.94</v>
      </c>
      <c r="G20" s="28">
        <v>2.8899999999999999E-2</v>
      </c>
      <c r="H20" s="29"/>
    </row>
    <row r="21" spans="2:8" ht="15.75" customHeight="1" x14ac:dyDescent="0.2">
      <c r="B21" s="25" t="s">
        <v>130</v>
      </c>
      <c r="C21" s="25" t="s">
        <v>131</v>
      </c>
      <c r="D21" s="25" t="s">
        <v>132</v>
      </c>
      <c r="E21" s="26">
        <v>10000</v>
      </c>
      <c r="F21" s="27">
        <v>285.33</v>
      </c>
      <c r="G21" s="28">
        <v>2.58E-2</v>
      </c>
      <c r="H21" s="29"/>
    </row>
    <row r="22" spans="2:8" ht="15.75" customHeight="1" x14ac:dyDescent="0.2">
      <c r="B22" s="25" t="s">
        <v>168</v>
      </c>
      <c r="C22" s="25" t="s">
        <v>169</v>
      </c>
      <c r="D22" s="25" t="s">
        <v>170</v>
      </c>
      <c r="E22" s="26">
        <v>4000</v>
      </c>
      <c r="F22" s="27">
        <v>274.52</v>
      </c>
      <c r="G22" s="28">
        <v>2.4799999999999999E-2</v>
      </c>
      <c r="H22" s="29"/>
    </row>
    <row r="23" spans="2:8" ht="15.75" customHeight="1" x14ac:dyDescent="0.2">
      <c r="B23" s="25" t="s">
        <v>471</v>
      </c>
      <c r="C23" s="25" t="s">
        <v>472</v>
      </c>
      <c r="D23" s="25" t="s">
        <v>204</v>
      </c>
      <c r="E23" s="26">
        <v>3164</v>
      </c>
      <c r="F23" s="27">
        <v>274.12</v>
      </c>
      <c r="G23" s="28">
        <v>2.4799999999999999E-2</v>
      </c>
      <c r="H23" s="29"/>
    </row>
    <row r="24" spans="2:8" ht="15.75" customHeight="1" x14ac:dyDescent="0.2">
      <c r="B24" s="25" t="s">
        <v>473</v>
      </c>
      <c r="C24" s="25" t="s">
        <v>474</v>
      </c>
      <c r="D24" s="25" t="s">
        <v>308</v>
      </c>
      <c r="E24" s="26">
        <v>18289</v>
      </c>
      <c r="F24" s="27">
        <v>270.54000000000002</v>
      </c>
      <c r="G24" s="28">
        <v>2.4400000000000002E-2</v>
      </c>
      <c r="H24" s="29"/>
    </row>
    <row r="25" spans="2:8" ht="15.75" customHeight="1" x14ac:dyDescent="0.2">
      <c r="B25" s="25" t="s">
        <v>227</v>
      </c>
      <c r="C25" s="25" t="s">
        <v>228</v>
      </c>
      <c r="D25" s="25" t="s">
        <v>229</v>
      </c>
      <c r="E25" s="26">
        <v>67759</v>
      </c>
      <c r="F25" s="27">
        <v>264.08999999999997</v>
      </c>
      <c r="G25" s="28">
        <v>2.3900000000000001E-2</v>
      </c>
      <c r="H25" s="29"/>
    </row>
    <row r="26" spans="2:8" ht="15.75" customHeight="1" x14ac:dyDescent="0.2">
      <c r="B26" s="25" t="s">
        <v>475</v>
      </c>
      <c r="C26" s="25" t="s">
        <v>476</v>
      </c>
      <c r="D26" s="25" t="s">
        <v>212</v>
      </c>
      <c r="E26" s="26">
        <v>9612</v>
      </c>
      <c r="F26" s="27">
        <v>251.08</v>
      </c>
      <c r="G26" s="28">
        <v>2.2700000000000001E-2</v>
      </c>
      <c r="H26" s="29"/>
    </row>
    <row r="27" spans="2:8" ht="15.75" customHeight="1" x14ac:dyDescent="0.2">
      <c r="B27" s="25" t="s">
        <v>477</v>
      </c>
      <c r="C27" s="25" t="s">
        <v>478</v>
      </c>
      <c r="D27" s="25" t="s">
        <v>204</v>
      </c>
      <c r="E27" s="26">
        <v>6840</v>
      </c>
      <c r="F27" s="27">
        <v>251.07</v>
      </c>
      <c r="G27" s="28">
        <v>2.2700000000000001E-2</v>
      </c>
      <c r="H27" s="29"/>
    </row>
    <row r="28" spans="2:8" ht="15.75" customHeight="1" x14ac:dyDescent="0.2">
      <c r="B28" s="25" t="s">
        <v>479</v>
      </c>
      <c r="C28" s="25" t="s">
        <v>480</v>
      </c>
      <c r="D28" s="25" t="s">
        <v>303</v>
      </c>
      <c r="E28" s="26">
        <v>22304</v>
      </c>
      <c r="F28" s="27">
        <v>250.84</v>
      </c>
      <c r="G28" s="28">
        <v>2.2700000000000001E-2</v>
      </c>
      <c r="H28" s="29"/>
    </row>
    <row r="29" spans="2:8" ht="15.75" customHeight="1" x14ac:dyDescent="0.2">
      <c r="B29" s="25" t="s">
        <v>370</v>
      </c>
      <c r="C29" s="25" t="s">
        <v>371</v>
      </c>
      <c r="D29" s="25" t="s">
        <v>303</v>
      </c>
      <c r="E29" s="26">
        <v>20000</v>
      </c>
      <c r="F29" s="27">
        <v>247.05</v>
      </c>
      <c r="G29" s="28">
        <v>2.23E-2</v>
      </c>
      <c r="H29" s="29"/>
    </row>
    <row r="30" spans="2:8" ht="15.75" customHeight="1" x14ac:dyDescent="0.2">
      <c r="B30" s="25" t="s">
        <v>242</v>
      </c>
      <c r="C30" s="25" t="s">
        <v>243</v>
      </c>
      <c r="D30" s="25" t="s">
        <v>127</v>
      </c>
      <c r="E30" s="26">
        <v>17800</v>
      </c>
      <c r="F30" s="27">
        <v>237.39</v>
      </c>
      <c r="G30" s="28">
        <v>2.1399999999999999E-2</v>
      </c>
      <c r="H30" s="29"/>
    </row>
    <row r="31" spans="2:8" ht="15.75" customHeight="1" x14ac:dyDescent="0.2">
      <c r="B31" s="25" t="s">
        <v>290</v>
      </c>
      <c r="C31" s="25" t="s">
        <v>291</v>
      </c>
      <c r="D31" s="25" t="s">
        <v>124</v>
      </c>
      <c r="E31" s="26">
        <v>168266</v>
      </c>
      <c r="F31" s="27">
        <v>233.81</v>
      </c>
      <c r="G31" s="28">
        <v>2.1100000000000001E-2</v>
      </c>
      <c r="H31" s="29"/>
    </row>
    <row r="32" spans="2:8" ht="15.75" customHeight="1" x14ac:dyDescent="0.2">
      <c r="B32" s="25" t="s">
        <v>481</v>
      </c>
      <c r="C32" s="25" t="s">
        <v>482</v>
      </c>
      <c r="D32" s="25" t="s">
        <v>215</v>
      </c>
      <c r="E32" s="26">
        <v>66312</v>
      </c>
      <c r="F32" s="27">
        <v>211.3</v>
      </c>
      <c r="G32" s="28">
        <v>1.9099999999999999E-2</v>
      </c>
      <c r="H32" s="29"/>
    </row>
    <row r="33" spans="2:8" ht="15.75" customHeight="1" x14ac:dyDescent="0.2">
      <c r="B33" s="25" t="s">
        <v>483</v>
      </c>
      <c r="C33" s="25" t="s">
        <v>484</v>
      </c>
      <c r="D33" s="25" t="s">
        <v>361</v>
      </c>
      <c r="E33" s="26">
        <v>3800</v>
      </c>
      <c r="F33" s="27">
        <v>200.1</v>
      </c>
      <c r="G33" s="28">
        <v>1.8100000000000002E-2</v>
      </c>
      <c r="H33" s="29"/>
    </row>
    <row r="34" spans="2:8" ht="15.75" customHeight="1" x14ac:dyDescent="0.2">
      <c r="B34" s="25" t="s">
        <v>190</v>
      </c>
      <c r="C34" s="25" t="s">
        <v>191</v>
      </c>
      <c r="D34" s="25" t="s">
        <v>135</v>
      </c>
      <c r="E34" s="26">
        <v>43046</v>
      </c>
      <c r="F34" s="27">
        <v>190.07</v>
      </c>
      <c r="G34" s="28">
        <v>1.72E-2</v>
      </c>
      <c r="H34" s="29"/>
    </row>
    <row r="35" spans="2:8" ht="15.75" customHeight="1" x14ac:dyDescent="0.2">
      <c r="B35" s="25" t="s">
        <v>485</v>
      </c>
      <c r="C35" s="25" t="s">
        <v>486</v>
      </c>
      <c r="D35" s="25" t="s">
        <v>141</v>
      </c>
      <c r="E35" s="26">
        <v>2420</v>
      </c>
      <c r="F35" s="27">
        <v>185.55</v>
      </c>
      <c r="G35" s="28">
        <v>1.6799999999999999E-2</v>
      </c>
      <c r="H35" s="29"/>
    </row>
    <row r="36" spans="2:8" ht="15.75" customHeight="1" x14ac:dyDescent="0.2">
      <c r="B36" s="25" t="s">
        <v>487</v>
      </c>
      <c r="C36" s="25" t="s">
        <v>488</v>
      </c>
      <c r="D36" s="25" t="s">
        <v>226</v>
      </c>
      <c r="E36" s="26">
        <v>83026</v>
      </c>
      <c r="F36" s="27">
        <v>181.99</v>
      </c>
      <c r="G36" s="28">
        <v>1.6400000000000001E-2</v>
      </c>
      <c r="H36" s="29"/>
    </row>
    <row r="37" spans="2:8" ht="15.75" customHeight="1" x14ac:dyDescent="0.2">
      <c r="B37" s="25" t="s">
        <v>489</v>
      </c>
      <c r="C37" s="25" t="s">
        <v>490</v>
      </c>
      <c r="D37" s="25" t="s">
        <v>177</v>
      </c>
      <c r="E37" s="26">
        <v>51175</v>
      </c>
      <c r="F37" s="27">
        <v>162.35</v>
      </c>
      <c r="G37" s="28">
        <v>1.47E-2</v>
      </c>
      <c r="H37" s="29"/>
    </row>
    <row r="38" spans="2:8" ht="15.75" customHeight="1" x14ac:dyDescent="0.2">
      <c r="B38" s="25" t="s">
        <v>491</v>
      </c>
      <c r="C38" s="25" t="s">
        <v>492</v>
      </c>
      <c r="D38" s="25" t="s">
        <v>358</v>
      </c>
      <c r="E38" s="26">
        <v>39827</v>
      </c>
      <c r="F38" s="27">
        <v>130.57</v>
      </c>
      <c r="G38" s="28">
        <v>1.18E-2</v>
      </c>
      <c r="H38" s="29"/>
    </row>
    <row r="39" spans="2:8" ht="15.75" customHeight="1" x14ac:dyDescent="0.2">
      <c r="B39" s="25" t="s">
        <v>493</v>
      </c>
      <c r="C39" s="25" t="s">
        <v>494</v>
      </c>
      <c r="D39" s="25" t="s">
        <v>495</v>
      </c>
      <c r="E39" s="26">
        <v>4978</v>
      </c>
      <c r="F39" s="27">
        <v>122.46</v>
      </c>
      <c r="G39" s="28">
        <v>1.11E-2</v>
      </c>
      <c r="H39" s="29"/>
    </row>
    <row r="40" spans="2:8" ht="15.75" customHeight="1" x14ac:dyDescent="0.2">
      <c r="B40" s="25" t="s">
        <v>496</v>
      </c>
      <c r="C40" s="25" t="s">
        <v>497</v>
      </c>
      <c r="D40" s="25" t="s">
        <v>204</v>
      </c>
      <c r="E40" s="26">
        <v>29046</v>
      </c>
      <c r="F40" s="27">
        <v>110.77</v>
      </c>
      <c r="G40" s="28">
        <v>0.01</v>
      </c>
      <c r="H40" s="29"/>
    </row>
    <row r="41" spans="2:8" ht="15.75" customHeight="1" x14ac:dyDescent="0.2">
      <c r="B41" s="25" t="s">
        <v>464</v>
      </c>
      <c r="C41" s="25" t="s">
        <v>465</v>
      </c>
      <c r="D41" s="25" t="s">
        <v>252</v>
      </c>
      <c r="E41" s="26">
        <v>166794</v>
      </c>
      <c r="F41" s="27">
        <v>108.5</v>
      </c>
      <c r="G41" s="28">
        <v>9.7999999999999997E-3</v>
      </c>
      <c r="H41" s="29"/>
    </row>
    <row r="42" spans="2:8" ht="15.75" customHeight="1" x14ac:dyDescent="0.2">
      <c r="B42" s="25" t="s">
        <v>498</v>
      </c>
      <c r="C42" s="25" t="s">
        <v>499</v>
      </c>
      <c r="D42" s="25" t="s">
        <v>229</v>
      </c>
      <c r="E42" s="26">
        <v>75752</v>
      </c>
      <c r="F42" s="27">
        <v>108.4</v>
      </c>
      <c r="G42" s="28">
        <v>9.7999999999999997E-3</v>
      </c>
      <c r="H42" s="29"/>
    </row>
    <row r="43" spans="2:8" ht="15.75" customHeight="1" x14ac:dyDescent="0.2">
      <c r="B43" s="25" t="s">
        <v>500</v>
      </c>
      <c r="C43" s="25" t="s">
        <v>501</v>
      </c>
      <c r="D43" s="25" t="s">
        <v>127</v>
      </c>
      <c r="E43" s="26">
        <v>14009</v>
      </c>
      <c r="F43" s="27">
        <v>107.59</v>
      </c>
      <c r="G43" s="28">
        <v>9.7000000000000003E-3</v>
      </c>
      <c r="H43" s="29"/>
    </row>
    <row r="44" spans="2:8" ht="15.75" customHeight="1" x14ac:dyDescent="0.2">
      <c r="B44" s="25" t="s">
        <v>502</v>
      </c>
      <c r="C44" s="25" t="s">
        <v>503</v>
      </c>
      <c r="D44" s="25" t="s">
        <v>277</v>
      </c>
      <c r="E44" s="26">
        <v>49900</v>
      </c>
      <c r="F44" s="27">
        <v>92.36</v>
      </c>
      <c r="G44" s="28">
        <v>8.3000000000000001E-3</v>
      </c>
      <c r="H44" s="29"/>
    </row>
    <row r="45" spans="2:8" ht="15.75" customHeight="1" x14ac:dyDescent="0.2">
      <c r="B45" s="24" t="s">
        <v>94</v>
      </c>
      <c r="C45" s="24"/>
      <c r="D45" s="24"/>
      <c r="E45" s="30"/>
      <c r="F45" s="31">
        <v>10677.56</v>
      </c>
      <c r="G45" s="32">
        <v>0.96440000000000003</v>
      </c>
      <c r="H45" s="33"/>
    </row>
    <row r="46" spans="2:8" ht="15.75" customHeight="1" x14ac:dyDescent="0.2">
      <c r="B46" s="24" t="s">
        <v>144</v>
      </c>
      <c r="C46" s="25"/>
      <c r="D46" s="25"/>
      <c r="E46" s="26"/>
      <c r="F46" s="27"/>
      <c r="G46" s="28"/>
      <c r="H46" s="29"/>
    </row>
    <row r="47" spans="2:8" ht="15.75" customHeight="1" x14ac:dyDescent="0.2">
      <c r="B47" s="24" t="s">
        <v>94</v>
      </c>
      <c r="C47" s="25"/>
      <c r="D47" s="25"/>
      <c r="E47" s="26"/>
      <c r="F47" s="34" t="s">
        <v>96</v>
      </c>
      <c r="G47" s="35" t="s">
        <v>96</v>
      </c>
      <c r="H47" s="29"/>
    </row>
    <row r="48" spans="2:8" ht="15.75" customHeight="1" x14ac:dyDescent="0.2">
      <c r="B48" s="25"/>
      <c r="C48" s="25"/>
      <c r="D48" s="25"/>
      <c r="E48" s="26"/>
      <c r="F48" s="27"/>
      <c r="G48" s="28"/>
      <c r="H48" s="29"/>
    </row>
    <row r="49" spans="2:8" ht="15.75" customHeight="1" x14ac:dyDescent="0.2">
      <c r="B49" s="36" t="s">
        <v>98</v>
      </c>
      <c r="C49" s="36"/>
      <c r="D49" s="36"/>
      <c r="E49" s="37"/>
      <c r="F49" s="31">
        <v>10677.56</v>
      </c>
      <c r="G49" s="32">
        <v>0.96440000000000003</v>
      </c>
      <c r="H49" s="33"/>
    </row>
    <row r="50" spans="2:8" ht="15.75" customHeight="1" x14ac:dyDescent="0.2">
      <c r="B50" s="25"/>
      <c r="C50" s="25"/>
      <c r="D50" s="25"/>
      <c r="E50" s="26"/>
      <c r="F50" s="27"/>
      <c r="G50" s="28"/>
      <c r="H50" s="29"/>
    </row>
    <row r="51" spans="2:8" ht="15.75" customHeight="1" x14ac:dyDescent="0.2">
      <c r="B51" s="25"/>
      <c r="C51" s="25"/>
      <c r="D51" s="25"/>
      <c r="E51" s="26"/>
      <c r="F51" s="27"/>
      <c r="G51" s="28"/>
      <c r="H51" s="29"/>
    </row>
    <row r="52" spans="2:8" ht="15.75" customHeight="1" x14ac:dyDescent="0.2">
      <c r="B52" s="24" t="s">
        <v>101</v>
      </c>
      <c r="C52" s="25"/>
      <c r="D52" s="25"/>
      <c r="E52" s="26"/>
      <c r="F52" s="27"/>
      <c r="G52" s="28"/>
      <c r="H52" s="29"/>
    </row>
    <row r="53" spans="2:8" ht="15.75" customHeight="1" x14ac:dyDescent="0.2">
      <c r="B53" s="25" t="s">
        <v>102</v>
      </c>
      <c r="C53" s="25"/>
      <c r="D53" s="25"/>
      <c r="E53" s="26"/>
      <c r="F53" s="27">
        <v>327.17</v>
      </c>
      <c r="G53" s="28">
        <v>2.9600000000000001E-2</v>
      </c>
      <c r="H53" s="29"/>
    </row>
    <row r="54" spans="2:8" ht="15.75" customHeight="1" x14ac:dyDescent="0.2">
      <c r="B54" s="24" t="s">
        <v>94</v>
      </c>
      <c r="C54" s="24"/>
      <c r="D54" s="24"/>
      <c r="E54" s="30"/>
      <c r="F54" s="31">
        <v>327.17</v>
      </c>
      <c r="G54" s="32">
        <v>2.9600000000000001E-2</v>
      </c>
      <c r="H54" s="33"/>
    </row>
    <row r="55" spans="2:8" ht="15.75" customHeight="1" x14ac:dyDescent="0.2">
      <c r="B55" s="25"/>
      <c r="C55" s="25"/>
      <c r="D55" s="25"/>
      <c r="E55" s="26"/>
      <c r="F55" s="27"/>
      <c r="G55" s="28"/>
      <c r="H55" s="29"/>
    </row>
    <row r="56" spans="2:8" ht="15.75" customHeight="1" x14ac:dyDescent="0.2">
      <c r="B56" s="36" t="s">
        <v>98</v>
      </c>
      <c r="C56" s="36"/>
      <c r="D56" s="36"/>
      <c r="E56" s="37"/>
      <c r="F56" s="31">
        <v>327.17</v>
      </c>
      <c r="G56" s="32">
        <v>2.9600000000000001E-2</v>
      </c>
      <c r="H56" s="33"/>
    </row>
    <row r="57" spans="2:8" ht="15.75" customHeight="1" x14ac:dyDescent="0.2">
      <c r="B57" s="25" t="s">
        <v>103</v>
      </c>
      <c r="C57" s="25"/>
      <c r="D57" s="25"/>
      <c r="E57" s="26"/>
      <c r="F57" s="27">
        <v>66.8</v>
      </c>
      <c r="G57" s="28">
        <v>6.0000000000000053E-3</v>
      </c>
      <c r="H57" s="29"/>
    </row>
    <row r="58" spans="2:8" ht="15.75" customHeight="1" x14ac:dyDescent="0.2">
      <c r="B58" s="40" t="s">
        <v>104</v>
      </c>
      <c r="C58" s="40"/>
      <c r="D58" s="40"/>
      <c r="E58" s="41"/>
      <c r="F58" s="42">
        <v>11071.53</v>
      </c>
      <c r="G58" s="43">
        <v>1</v>
      </c>
      <c r="H58" s="44"/>
    </row>
    <row r="59" spans="2:8" ht="15.75" customHeight="1" thickBot="1" x14ac:dyDescent="0.25">
      <c r="B59" s="2"/>
    </row>
    <row r="60" spans="2:8" ht="27" customHeight="1" thickBot="1" x14ac:dyDescent="0.25">
      <c r="B60" s="57" t="s">
        <v>829</v>
      </c>
      <c r="C60" s="58" t="s">
        <v>830</v>
      </c>
      <c r="D60" s="58" t="s">
        <v>831</v>
      </c>
      <c r="E60" s="63" t="s">
        <v>832</v>
      </c>
      <c r="G60" s="2"/>
      <c r="H60" s="2"/>
    </row>
    <row r="61" spans="2:8" ht="29.25" customHeight="1" x14ac:dyDescent="0.2">
      <c r="B61" s="64" t="s">
        <v>37</v>
      </c>
      <c r="C61" s="82"/>
      <c r="D61" s="85" t="s">
        <v>875</v>
      </c>
      <c r="E61" s="87"/>
      <c r="G61" s="2"/>
      <c r="H61" s="2"/>
    </row>
    <row r="62" spans="2:8" ht="39.950000000000003" customHeight="1" x14ac:dyDescent="0.2">
      <c r="B62" s="66" t="s">
        <v>876</v>
      </c>
      <c r="C62" s="83"/>
      <c r="D62" s="86"/>
      <c r="E62" s="83"/>
      <c r="G62" s="2"/>
      <c r="H62" s="2"/>
    </row>
    <row r="63" spans="2:8" ht="39.950000000000003" customHeight="1" x14ac:dyDescent="0.2">
      <c r="B63" s="66" t="s">
        <v>877</v>
      </c>
      <c r="C63" s="83"/>
      <c r="D63" s="86"/>
      <c r="E63" s="83"/>
      <c r="G63" s="2"/>
      <c r="H63" s="2"/>
    </row>
    <row r="64" spans="2:8" ht="23.25" customHeight="1" thickBot="1" x14ac:dyDescent="0.25">
      <c r="B64" s="68" t="s">
        <v>866</v>
      </c>
      <c r="C64" s="84"/>
      <c r="D64" s="71" t="s">
        <v>866</v>
      </c>
      <c r="E64" s="88"/>
      <c r="G64" s="2"/>
      <c r="H64" s="2"/>
    </row>
    <row r="65" spans="2:16" ht="24.95" customHeight="1" x14ac:dyDescent="0.2">
      <c r="B65" s="59" t="s">
        <v>833</v>
      </c>
      <c r="C65" s="60"/>
      <c r="D65" s="61"/>
      <c r="E65" s="62"/>
      <c r="G65" s="2"/>
      <c r="H65" s="2"/>
    </row>
    <row r="67" spans="2:16" ht="12" x14ac:dyDescent="0.2">
      <c r="B67" s="2" t="s">
        <v>834</v>
      </c>
      <c r="C67" s="2"/>
      <c r="D67" s="2"/>
      <c r="G67" s="2"/>
      <c r="H67" s="2"/>
    </row>
    <row r="68" spans="2:16" ht="12" x14ac:dyDescent="0.2">
      <c r="B68" s="3" t="s">
        <v>835</v>
      </c>
      <c r="C68" s="2"/>
      <c r="D68" s="2"/>
      <c r="G68" s="2"/>
      <c r="H68" s="2"/>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1:C64"/>
    <mergeCell ref="D61:D63"/>
    <mergeCell ref="E61:E64"/>
  </mergeCells>
  <hyperlinks>
    <hyperlink ref="I1" location="'Sheet1'!A1" display="Index" xr:uid="{06F40D33-6868-45D6-9515-66CF75466D4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5813-7EC7-4A23-B82D-6C9FBDD31A2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838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273</v>
      </c>
      <c r="C7" s="25" t="s">
        <v>274</v>
      </c>
      <c r="D7" s="25" t="s">
        <v>204</v>
      </c>
      <c r="E7" s="26">
        <v>62402</v>
      </c>
      <c r="F7" s="27">
        <v>885.14</v>
      </c>
      <c r="G7" s="28">
        <v>0.152</v>
      </c>
      <c r="H7" s="29"/>
    </row>
    <row r="8" spans="2:9" ht="15.75" customHeight="1" x14ac:dyDescent="0.2">
      <c r="B8" s="25" t="s">
        <v>275</v>
      </c>
      <c r="C8" s="25" t="s">
        <v>276</v>
      </c>
      <c r="D8" s="25" t="s">
        <v>277</v>
      </c>
      <c r="E8" s="26">
        <v>6858</v>
      </c>
      <c r="F8" s="27">
        <v>435.69</v>
      </c>
      <c r="G8" s="28">
        <v>7.4800000000000005E-2</v>
      </c>
      <c r="H8" s="29"/>
    </row>
    <row r="9" spans="2:9" ht="15.75" customHeight="1" x14ac:dyDescent="0.2">
      <c r="B9" s="25" t="s">
        <v>244</v>
      </c>
      <c r="C9" s="25" t="s">
        <v>245</v>
      </c>
      <c r="D9" s="25" t="s">
        <v>204</v>
      </c>
      <c r="E9" s="26">
        <v>6589</v>
      </c>
      <c r="F9" s="27">
        <v>403.32</v>
      </c>
      <c r="G9" s="28">
        <v>6.93E-2</v>
      </c>
      <c r="H9" s="29"/>
    </row>
    <row r="10" spans="2:9" ht="15.75" customHeight="1" x14ac:dyDescent="0.2">
      <c r="B10" s="25" t="s">
        <v>504</v>
      </c>
      <c r="C10" s="25" t="s">
        <v>505</v>
      </c>
      <c r="D10" s="25" t="s">
        <v>204</v>
      </c>
      <c r="E10" s="26">
        <v>23433</v>
      </c>
      <c r="F10" s="27">
        <v>394.6</v>
      </c>
      <c r="G10" s="28">
        <v>6.7799999999999999E-2</v>
      </c>
      <c r="H10" s="29"/>
    </row>
    <row r="11" spans="2:9" ht="15.75" customHeight="1" x14ac:dyDescent="0.2">
      <c r="B11" s="25" t="s">
        <v>348</v>
      </c>
      <c r="C11" s="25" t="s">
        <v>349</v>
      </c>
      <c r="D11" s="25" t="s">
        <v>204</v>
      </c>
      <c r="E11" s="26">
        <v>251827</v>
      </c>
      <c r="F11" s="27">
        <v>363.26</v>
      </c>
      <c r="G11" s="28">
        <v>6.2399999999999997E-2</v>
      </c>
      <c r="H11" s="29"/>
    </row>
    <row r="12" spans="2:9" ht="15.75" customHeight="1" x14ac:dyDescent="0.2">
      <c r="B12" s="25" t="s">
        <v>230</v>
      </c>
      <c r="C12" s="25" t="s">
        <v>231</v>
      </c>
      <c r="D12" s="25" t="s">
        <v>204</v>
      </c>
      <c r="E12" s="26">
        <v>45937</v>
      </c>
      <c r="F12" s="27">
        <v>349.49</v>
      </c>
      <c r="G12" s="28">
        <v>0.06</v>
      </c>
      <c r="H12" s="29"/>
    </row>
    <row r="13" spans="2:9" ht="15.75" customHeight="1" x14ac:dyDescent="0.2">
      <c r="B13" s="25" t="s">
        <v>271</v>
      </c>
      <c r="C13" s="25" t="s">
        <v>272</v>
      </c>
      <c r="D13" s="25" t="s">
        <v>204</v>
      </c>
      <c r="E13" s="26">
        <v>25629</v>
      </c>
      <c r="F13" s="27">
        <v>346.25</v>
      </c>
      <c r="G13" s="28">
        <v>5.9499999999999997E-2</v>
      </c>
      <c r="H13" s="29"/>
    </row>
    <row r="14" spans="2:9" ht="15.75" customHeight="1" x14ac:dyDescent="0.2">
      <c r="B14" s="25" t="s">
        <v>278</v>
      </c>
      <c r="C14" s="25" t="s">
        <v>279</v>
      </c>
      <c r="D14" s="25" t="s">
        <v>204</v>
      </c>
      <c r="E14" s="26">
        <v>12401</v>
      </c>
      <c r="F14" s="27">
        <v>313.88</v>
      </c>
      <c r="G14" s="28">
        <v>5.3900000000000003E-2</v>
      </c>
      <c r="H14" s="29"/>
    </row>
    <row r="15" spans="2:9" ht="15.75" customHeight="1" x14ac:dyDescent="0.2">
      <c r="B15" s="25" t="s">
        <v>477</v>
      </c>
      <c r="C15" s="25" t="s">
        <v>478</v>
      </c>
      <c r="D15" s="25" t="s">
        <v>204</v>
      </c>
      <c r="E15" s="26">
        <v>8304</v>
      </c>
      <c r="F15" s="27">
        <v>304.81</v>
      </c>
      <c r="G15" s="28">
        <v>5.2400000000000002E-2</v>
      </c>
      <c r="H15" s="29"/>
    </row>
    <row r="16" spans="2:9" ht="15.75" customHeight="1" x14ac:dyDescent="0.2">
      <c r="B16" s="25" t="s">
        <v>506</v>
      </c>
      <c r="C16" s="25" t="s">
        <v>507</v>
      </c>
      <c r="D16" s="25" t="s">
        <v>204</v>
      </c>
      <c r="E16" s="26">
        <v>1026</v>
      </c>
      <c r="F16" s="27">
        <v>265.81</v>
      </c>
      <c r="G16" s="28">
        <v>4.5699999999999998E-2</v>
      </c>
      <c r="H16" s="29"/>
    </row>
    <row r="17" spans="2:8" ht="15.75" customHeight="1" x14ac:dyDescent="0.2">
      <c r="B17" s="25" t="s">
        <v>456</v>
      </c>
      <c r="C17" s="25" t="s">
        <v>457</v>
      </c>
      <c r="D17" s="25" t="s">
        <v>204</v>
      </c>
      <c r="E17" s="26">
        <v>4829</v>
      </c>
      <c r="F17" s="27">
        <v>241.26</v>
      </c>
      <c r="G17" s="28">
        <v>4.1399999999999999E-2</v>
      </c>
      <c r="H17" s="29"/>
    </row>
    <row r="18" spans="2:8" ht="15.75" customHeight="1" x14ac:dyDescent="0.2">
      <c r="B18" s="25" t="s">
        <v>508</v>
      </c>
      <c r="C18" s="25" t="s">
        <v>509</v>
      </c>
      <c r="D18" s="25" t="s">
        <v>204</v>
      </c>
      <c r="E18" s="26">
        <v>21440</v>
      </c>
      <c r="F18" s="27">
        <v>240.18</v>
      </c>
      <c r="G18" s="28">
        <v>4.1300000000000003E-2</v>
      </c>
      <c r="H18" s="29"/>
    </row>
    <row r="19" spans="2:8" ht="15.75" customHeight="1" x14ac:dyDescent="0.2">
      <c r="B19" s="25" t="s">
        <v>510</v>
      </c>
      <c r="C19" s="25" t="s">
        <v>511</v>
      </c>
      <c r="D19" s="25" t="s">
        <v>277</v>
      </c>
      <c r="E19" s="26">
        <v>20185</v>
      </c>
      <c r="F19" s="27">
        <v>231.78</v>
      </c>
      <c r="G19" s="28">
        <v>3.9800000000000002E-2</v>
      </c>
      <c r="H19" s="29"/>
    </row>
    <row r="20" spans="2:8" ht="15.75" customHeight="1" x14ac:dyDescent="0.2">
      <c r="B20" s="25" t="s">
        <v>502</v>
      </c>
      <c r="C20" s="25" t="s">
        <v>503</v>
      </c>
      <c r="D20" s="25" t="s">
        <v>277</v>
      </c>
      <c r="E20" s="26">
        <v>122435</v>
      </c>
      <c r="F20" s="27">
        <v>226.63</v>
      </c>
      <c r="G20" s="28">
        <v>3.8899999999999997E-2</v>
      </c>
      <c r="H20" s="29"/>
    </row>
    <row r="21" spans="2:8" ht="15.75" customHeight="1" x14ac:dyDescent="0.2">
      <c r="B21" s="25" t="s">
        <v>512</v>
      </c>
      <c r="C21" s="25" t="s">
        <v>513</v>
      </c>
      <c r="D21" s="25" t="s">
        <v>277</v>
      </c>
      <c r="E21" s="26">
        <v>13698</v>
      </c>
      <c r="F21" s="27">
        <v>223.61</v>
      </c>
      <c r="G21" s="28">
        <v>3.8399999999999997E-2</v>
      </c>
      <c r="H21" s="29"/>
    </row>
    <row r="22" spans="2:8" ht="15.75" customHeight="1" x14ac:dyDescent="0.2">
      <c r="B22" s="25" t="s">
        <v>292</v>
      </c>
      <c r="C22" s="25" t="s">
        <v>293</v>
      </c>
      <c r="D22" s="25" t="s">
        <v>277</v>
      </c>
      <c r="E22" s="26">
        <v>22773</v>
      </c>
      <c r="F22" s="27">
        <v>170.91</v>
      </c>
      <c r="G22" s="28">
        <v>2.9399999999999999E-2</v>
      </c>
      <c r="H22" s="29"/>
    </row>
    <row r="23" spans="2:8" ht="15.75" customHeight="1" x14ac:dyDescent="0.2">
      <c r="B23" s="25" t="s">
        <v>496</v>
      </c>
      <c r="C23" s="25" t="s">
        <v>497</v>
      </c>
      <c r="D23" s="25" t="s">
        <v>204</v>
      </c>
      <c r="E23" s="26">
        <v>31100</v>
      </c>
      <c r="F23" s="27">
        <v>118.6</v>
      </c>
      <c r="G23" s="28">
        <v>2.0400000000000001E-2</v>
      </c>
      <c r="H23" s="29"/>
    </row>
    <row r="24" spans="2:8" ht="15.75" customHeight="1" x14ac:dyDescent="0.2">
      <c r="B24" s="25" t="s">
        <v>202</v>
      </c>
      <c r="C24" s="25" t="s">
        <v>203</v>
      </c>
      <c r="D24" s="25" t="s">
        <v>204</v>
      </c>
      <c r="E24" s="26">
        <v>30339</v>
      </c>
      <c r="F24" s="27">
        <v>81.430000000000007</v>
      </c>
      <c r="G24" s="28">
        <v>1.4E-2</v>
      </c>
      <c r="H24" s="29"/>
    </row>
    <row r="25" spans="2:8" ht="15.75" customHeight="1" x14ac:dyDescent="0.2">
      <c r="B25" s="24" t="s">
        <v>94</v>
      </c>
      <c r="C25" s="24"/>
      <c r="D25" s="24"/>
      <c r="E25" s="30"/>
      <c r="F25" s="31">
        <v>5596.65</v>
      </c>
      <c r="G25" s="32">
        <v>0.96130000000000004</v>
      </c>
      <c r="H25" s="33"/>
    </row>
    <row r="26" spans="2:8" ht="15.75" customHeight="1" x14ac:dyDescent="0.2">
      <c r="B26" s="24" t="s">
        <v>144</v>
      </c>
      <c r="C26" s="25"/>
      <c r="D26" s="25"/>
      <c r="E26" s="26"/>
      <c r="F26" s="27"/>
      <c r="G26" s="28"/>
      <c r="H26" s="29"/>
    </row>
    <row r="27" spans="2:8" ht="15.75" customHeight="1" x14ac:dyDescent="0.2">
      <c r="B27" s="24" t="s">
        <v>94</v>
      </c>
      <c r="C27" s="25"/>
      <c r="D27" s="25"/>
      <c r="E27" s="26"/>
      <c r="F27" s="34" t="s">
        <v>96</v>
      </c>
      <c r="G27" s="35" t="s">
        <v>96</v>
      </c>
      <c r="H27" s="29"/>
    </row>
    <row r="28" spans="2:8" ht="15.75" customHeight="1" x14ac:dyDescent="0.2">
      <c r="B28" s="25"/>
      <c r="C28" s="25"/>
      <c r="D28" s="25"/>
      <c r="E28" s="26"/>
      <c r="F28" s="27"/>
      <c r="G28" s="28"/>
      <c r="H28" s="29"/>
    </row>
    <row r="29" spans="2:8" ht="15.75" customHeight="1" x14ac:dyDescent="0.2">
      <c r="B29" s="36" t="s">
        <v>98</v>
      </c>
      <c r="C29" s="36"/>
      <c r="D29" s="36"/>
      <c r="E29" s="37"/>
      <c r="F29" s="31">
        <v>5596.65</v>
      </c>
      <c r="G29" s="32">
        <v>0.96130000000000004</v>
      </c>
      <c r="H29" s="33"/>
    </row>
    <row r="30" spans="2:8" ht="15.75" customHeight="1" x14ac:dyDescent="0.2">
      <c r="B30" s="25"/>
      <c r="C30" s="25"/>
      <c r="D30" s="25"/>
      <c r="E30" s="26"/>
      <c r="F30" s="27"/>
      <c r="G30" s="28"/>
      <c r="H30" s="29"/>
    </row>
    <row r="31" spans="2:8" ht="15.75" customHeight="1" x14ac:dyDescent="0.2">
      <c r="B31" s="25"/>
      <c r="C31" s="25"/>
      <c r="D31" s="25"/>
      <c r="E31" s="26"/>
      <c r="F31" s="27"/>
      <c r="G31" s="28"/>
      <c r="H31" s="29"/>
    </row>
    <row r="32" spans="2:8" ht="15.75" customHeight="1" x14ac:dyDescent="0.2">
      <c r="B32" s="24" t="s">
        <v>101</v>
      </c>
      <c r="C32" s="25"/>
      <c r="D32" s="25"/>
      <c r="E32" s="26"/>
      <c r="F32" s="27"/>
      <c r="G32" s="28"/>
      <c r="H32" s="29"/>
    </row>
    <row r="33" spans="2:8" ht="15.75" customHeight="1" x14ac:dyDescent="0.2">
      <c r="B33" s="25" t="s">
        <v>102</v>
      </c>
      <c r="C33" s="25"/>
      <c r="D33" s="25"/>
      <c r="E33" s="26"/>
      <c r="F33" s="27">
        <v>221.27</v>
      </c>
      <c r="G33" s="28">
        <v>3.7999999999999999E-2</v>
      </c>
      <c r="H33" s="29"/>
    </row>
    <row r="34" spans="2:8" ht="15.75" customHeight="1" x14ac:dyDescent="0.2">
      <c r="B34" s="24" t="s">
        <v>94</v>
      </c>
      <c r="C34" s="24"/>
      <c r="D34" s="24"/>
      <c r="E34" s="30"/>
      <c r="F34" s="31">
        <v>221.27</v>
      </c>
      <c r="G34" s="32">
        <v>3.7999999999999999E-2</v>
      </c>
      <c r="H34" s="33"/>
    </row>
    <row r="35" spans="2:8" ht="15.75" customHeight="1" x14ac:dyDescent="0.2">
      <c r="B35" s="25"/>
      <c r="C35" s="25"/>
      <c r="D35" s="25"/>
      <c r="E35" s="26"/>
      <c r="F35" s="27"/>
      <c r="G35" s="28"/>
      <c r="H35" s="29"/>
    </row>
    <row r="36" spans="2:8" ht="15.75" customHeight="1" x14ac:dyDescent="0.2">
      <c r="B36" s="36" t="s">
        <v>98</v>
      </c>
      <c r="C36" s="36"/>
      <c r="D36" s="36"/>
      <c r="E36" s="37"/>
      <c r="F36" s="31">
        <v>221.27</v>
      </c>
      <c r="G36" s="32">
        <v>3.7999999999999999E-2</v>
      </c>
      <c r="H36" s="33"/>
    </row>
    <row r="37" spans="2:8" ht="15.75" customHeight="1" x14ac:dyDescent="0.2">
      <c r="B37" s="25" t="s">
        <v>103</v>
      </c>
      <c r="C37" s="25"/>
      <c r="D37" s="25"/>
      <c r="E37" s="26"/>
      <c r="F37" s="27">
        <v>3.94</v>
      </c>
      <c r="G37" s="28">
        <v>6.9999999999992291E-4</v>
      </c>
      <c r="H37" s="29"/>
    </row>
    <row r="38" spans="2:8" ht="15.75" customHeight="1" x14ac:dyDescent="0.2">
      <c r="B38" s="40" t="s">
        <v>104</v>
      </c>
      <c r="C38" s="40"/>
      <c r="D38" s="40"/>
      <c r="E38" s="41"/>
      <c r="F38" s="42">
        <v>5821.86</v>
      </c>
      <c r="G38" s="43">
        <v>1</v>
      </c>
      <c r="H38" s="44"/>
    </row>
    <row r="39" spans="2:8" ht="15.75" customHeight="1" thickBot="1" x14ac:dyDescent="0.25">
      <c r="B39" s="2"/>
    </row>
    <row r="40" spans="2:8" ht="27" customHeight="1" thickBot="1" x14ac:dyDescent="0.25">
      <c r="B40" s="57" t="s">
        <v>829</v>
      </c>
      <c r="C40" s="58" t="s">
        <v>830</v>
      </c>
      <c r="D40" s="58" t="s">
        <v>831</v>
      </c>
      <c r="E40" s="63" t="s">
        <v>832</v>
      </c>
      <c r="G40" s="2"/>
      <c r="H40" s="2"/>
    </row>
    <row r="41" spans="2:8" ht="29.25" customHeight="1" x14ac:dyDescent="0.2">
      <c r="B41" s="64" t="s">
        <v>39</v>
      </c>
      <c r="C41" s="82"/>
      <c r="D41" s="85" t="s">
        <v>878</v>
      </c>
      <c r="E41" s="87"/>
      <c r="G41" s="2"/>
      <c r="H41" s="2"/>
    </row>
    <row r="42" spans="2:8" ht="39.950000000000003" customHeight="1" x14ac:dyDescent="0.2">
      <c r="B42" s="66" t="s">
        <v>876</v>
      </c>
      <c r="C42" s="83"/>
      <c r="D42" s="86"/>
      <c r="E42" s="83"/>
      <c r="G42" s="2"/>
      <c r="H42" s="2"/>
    </row>
    <row r="43" spans="2:8" ht="39.950000000000003" customHeight="1" x14ac:dyDescent="0.2">
      <c r="B43" s="66" t="s">
        <v>879</v>
      </c>
      <c r="C43" s="83"/>
      <c r="D43" s="86"/>
      <c r="E43" s="83"/>
      <c r="G43" s="2"/>
      <c r="H43" s="2"/>
    </row>
    <row r="44" spans="2:8" ht="23.25" customHeight="1" thickBot="1" x14ac:dyDescent="0.25">
      <c r="B44" s="68" t="s">
        <v>866</v>
      </c>
      <c r="C44" s="84"/>
      <c r="D44" s="71" t="s">
        <v>866</v>
      </c>
      <c r="E44" s="88"/>
      <c r="G44" s="2"/>
      <c r="H44" s="2"/>
    </row>
    <row r="45" spans="2:8" ht="24.95" customHeight="1" x14ac:dyDescent="0.2">
      <c r="B45" s="59" t="s">
        <v>833</v>
      </c>
      <c r="C45" s="60"/>
      <c r="D45" s="61"/>
      <c r="E45" s="62"/>
      <c r="G45" s="2"/>
      <c r="H45" s="2"/>
    </row>
    <row r="47" spans="2:8" ht="12" x14ac:dyDescent="0.2">
      <c r="B47" s="2" t="s">
        <v>834</v>
      </c>
      <c r="C47" s="2"/>
      <c r="D47" s="2"/>
      <c r="G47" s="2"/>
      <c r="H47" s="2"/>
    </row>
    <row r="48" spans="2:8" ht="12" x14ac:dyDescent="0.2">
      <c r="B48" s="3" t="s">
        <v>835</v>
      </c>
      <c r="C48" s="2"/>
      <c r="D48" s="2"/>
      <c r="G48" s="2"/>
      <c r="H4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1:C44"/>
    <mergeCell ref="D41:D43"/>
    <mergeCell ref="E41:E44"/>
  </mergeCells>
  <hyperlinks>
    <hyperlink ref="I1" location="'Sheet1'!A1" display="Index" xr:uid="{64DD578E-8752-407F-9925-B953F02724A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5832-7991-49A1-ACC7-D57CFC4DB7A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839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205</v>
      </c>
      <c r="C7" s="25" t="s">
        <v>206</v>
      </c>
      <c r="D7" s="25" t="s">
        <v>207</v>
      </c>
      <c r="E7" s="26">
        <v>29376</v>
      </c>
      <c r="F7" s="27">
        <v>906.82</v>
      </c>
      <c r="G7" s="28">
        <v>3.7999999999999999E-2</v>
      </c>
      <c r="H7" s="29"/>
    </row>
    <row r="8" spans="2:9" ht="15.75" customHeight="1" x14ac:dyDescent="0.2">
      <c r="B8" s="25" t="s">
        <v>514</v>
      </c>
      <c r="C8" s="25" t="s">
        <v>515</v>
      </c>
      <c r="D8" s="25" t="s">
        <v>252</v>
      </c>
      <c r="E8" s="26">
        <v>128994</v>
      </c>
      <c r="F8" s="27">
        <v>890.19</v>
      </c>
      <c r="G8" s="28">
        <v>3.73E-2</v>
      </c>
      <c r="H8" s="29"/>
    </row>
    <row r="9" spans="2:9" ht="15.75" customHeight="1" x14ac:dyDescent="0.2">
      <c r="B9" s="25" t="s">
        <v>122</v>
      </c>
      <c r="C9" s="25" t="s">
        <v>123</v>
      </c>
      <c r="D9" s="25" t="s">
        <v>124</v>
      </c>
      <c r="E9" s="26">
        <v>74682</v>
      </c>
      <c r="F9" s="27">
        <v>767.84</v>
      </c>
      <c r="G9" s="28">
        <v>3.2199999999999999E-2</v>
      </c>
      <c r="H9" s="29"/>
    </row>
    <row r="10" spans="2:9" ht="15.75" customHeight="1" x14ac:dyDescent="0.2">
      <c r="B10" s="25" t="s">
        <v>382</v>
      </c>
      <c r="C10" s="25" t="s">
        <v>383</v>
      </c>
      <c r="D10" s="25" t="s">
        <v>127</v>
      </c>
      <c r="E10" s="26">
        <v>11425</v>
      </c>
      <c r="F10" s="27">
        <v>714.07</v>
      </c>
      <c r="G10" s="28">
        <v>2.9899999999999999E-2</v>
      </c>
      <c r="H10" s="29"/>
    </row>
    <row r="11" spans="2:9" ht="15.75" customHeight="1" x14ac:dyDescent="0.2">
      <c r="B11" s="25" t="s">
        <v>185</v>
      </c>
      <c r="C11" s="25" t="s">
        <v>186</v>
      </c>
      <c r="D11" s="25" t="s">
        <v>187</v>
      </c>
      <c r="E11" s="26">
        <v>362718</v>
      </c>
      <c r="F11" s="27">
        <v>674.29</v>
      </c>
      <c r="G11" s="28">
        <v>2.8199999999999999E-2</v>
      </c>
      <c r="H11" s="29"/>
    </row>
    <row r="12" spans="2:9" ht="15.75" customHeight="1" x14ac:dyDescent="0.2">
      <c r="B12" s="25" t="s">
        <v>294</v>
      </c>
      <c r="C12" s="25" t="s">
        <v>295</v>
      </c>
      <c r="D12" s="25" t="s">
        <v>170</v>
      </c>
      <c r="E12" s="26">
        <v>149792</v>
      </c>
      <c r="F12" s="27">
        <v>663.95</v>
      </c>
      <c r="G12" s="28">
        <v>2.7799999999999998E-2</v>
      </c>
      <c r="H12" s="29"/>
    </row>
    <row r="13" spans="2:9" ht="15.75" customHeight="1" x14ac:dyDescent="0.2">
      <c r="B13" s="25" t="s">
        <v>456</v>
      </c>
      <c r="C13" s="25" t="s">
        <v>457</v>
      </c>
      <c r="D13" s="25" t="s">
        <v>204</v>
      </c>
      <c r="E13" s="26">
        <v>12978</v>
      </c>
      <c r="F13" s="27">
        <v>648.39</v>
      </c>
      <c r="G13" s="28">
        <v>2.7199999999999998E-2</v>
      </c>
      <c r="H13" s="29"/>
    </row>
    <row r="14" spans="2:9" ht="15.75" customHeight="1" x14ac:dyDescent="0.2">
      <c r="B14" s="25" t="s">
        <v>401</v>
      </c>
      <c r="C14" s="25" t="s">
        <v>402</v>
      </c>
      <c r="D14" s="25" t="s">
        <v>124</v>
      </c>
      <c r="E14" s="26">
        <v>433372</v>
      </c>
      <c r="F14" s="27">
        <v>638.36</v>
      </c>
      <c r="G14" s="28">
        <v>2.6700000000000002E-2</v>
      </c>
      <c r="H14" s="29"/>
    </row>
    <row r="15" spans="2:9" ht="15.75" customHeight="1" x14ac:dyDescent="0.2">
      <c r="B15" s="25" t="s">
        <v>462</v>
      </c>
      <c r="C15" s="25" t="s">
        <v>463</v>
      </c>
      <c r="D15" s="25" t="s">
        <v>196</v>
      </c>
      <c r="E15" s="26">
        <v>17254</v>
      </c>
      <c r="F15" s="27">
        <v>581.91999999999996</v>
      </c>
      <c r="G15" s="28">
        <v>2.4400000000000002E-2</v>
      </c>
      <c r="H15" s="29"/>
    </row>
    <row r="16" spans="2:9" ht="15.75" customHeight="1" x14ac:dyDescent="0.2">
      <c r="B16" s="25" t="s">
        <v>158</v>
      </c>
      <c r="C16" s="25" t="s">
        <v>159</v>
      </c>
      <c r="D16" s="25" t="s">
        <v>124</v>
      </c>
      <c r="E16" s="26">
        <v>233500</v>
      </c>
      <c r="F16" s="27">
        <v>578.15</v>
      </c>
      <c r="G16" s="28">
        <v>2.4199999999999999E-2</v>
      </c>
      <c r="H16" s="29"/>
    </row>
    <row r="17" spans="2:8" ht="15.75" customHeight="1" x14ac:dyDescent="0.2">
      <c r="B17" s="25" t="s">
        <v>516</v>
      </c>
      <c r="C17" s="25" t="s">
        <v>517</v>
      </c>
      <c r="D17" s="25" t="s">
        <v>313</v>
      </c>
      <c r="E17" s="26">
        <v>22667</v>
      </c>
      <c r="F17" s="27">
        <v>516.76</v>
      </c>
      <c r="G17" s="28">
        <v>2.1600000000000001E-2</v>
      </c>
      <c r="H17" s="29"/>
    </row>
    <row r="18" spans="2:8" ht="15.75" customHeight="1" x14ac:dyDescent="0.2">
      <c r="B18" s="25" t="s">
        <v>188</v>
      </c>
      <c r="C18" s="25" t="s">
        <v>189</v>
      </c>
      <c r="D18" s="25" t="s">
        <v>124</v>
      </c>
      <c r="E18" s="26">
        <v>78315</v>
      </c>
      <c r="F18" s="27">
        <v>501.61</v>
      </c>
      <c r="G18" s="28">
        <v>2.1000000000000001E-2</v>
      </c>
      <c r="H18" s="29"/>
    </row>
    <row r="19" spans="2:8" ht="15.75" customHeight="1" x14ac:dyDescent="0.2">
      <c r="B19" s="25" t="s">
        <v>481</v>
      </c>
      <c r="C19" s="25" t="s">
        <v>482</v>
      </c>
      <c r="D19" s="25" t="s">
        <v>215</v>
      </c>
      <c r="E19" s="26">
        <v>156384</v>
      </c>
      <c r="F19" s="27">
        <v>498.32</v>
      </c>
      <c r="G19" s="28">
        <v>2.0899999999999998E-2</v>
      </c>
      <c r="H19" s="29"/>
    </row>
    <row r="20" spans="2:8" ht="15.75" customHeight="1" x14ac:dyDescent="0.2">
      <c r="B20" s="25" t="s">
        <v>518</v>
      </c>
      <c r="C20" s="25" t="s">
        <v>519</v>
      </c>
      <c r="D20" s="25" t="s">
        <v>212</v>
      </c>
      <c r="E20" s="26">
        <v>44853</v>
      </c>
      <c r="F20" s="27">
        <v>490.13</v>
      </c>
      <c r="G20" s="28">
        <v>2.0500000000000001E-2</v>
      </c>
      <c r="H20" s="29"/>
    </row>
    <row r="21" spans="2:8" ht="15.75" customHeight="1" x14ac:dyDescent="0.2">
      <c r="B21" s="25" t="s">
        <v>301</v>
      </c>
      <c r="C21" s="25" t="s">
        <v>302</v>
      </c>
      <c r="D21" s="25" t="s">
        <v>303</v>
      </c>
      <c r="E21" s="26">
        <v>32409</v>
      </c>
      <c r="F21" s="27">
        <v>487.22</v>
      </c>
      <c r="G21" s="28">
        <v>2.0400000000000001E-2</v>
      </c>
      <c r="H21" s="29"/>
    </row>
    <row r="22" spans="2:8" ht="15.75" customHeight="1" x14ac:dyDescent="0.2">
      <c r="B22" s="25" t="s">
        <v>346</v>
      </c>
      <c r="C22" s="25" t="s">
        <v>347</v>
      </c>
      <c r="D22" s="25" t="s">
        <v>207</v>
      </c>
      <c r="E22" s="26">
        <v>342902</v>
      </c>
      <c r="F22" s="27">
        <v>478.52</v>
      </c>
      <c r="G22" s="28">
        <v>0.02</v>
      </c>
      <c r="H22" s="29"/>
    </row>
    <row r="23" spans="2:8" ht="15.75" customHeight="1" x14ac:dyDescent="0.2">
      <c r="B23" s="25" t="s">
        <v>299</v>
      </c>
      <c r="C23" s="25" t="s">
        <v>300</v>
      </c>
      <c r="D23" s="25" t="s">
        <v>212</v>
      </c>
      <c r="E23" s="26">
        <v>157154</v>
      </c>
      <c r="F23" s="27">
        <v>476.1</v>
      </c>
      <c r="G23" s="28">
        <v>1.9900000000000001E-2</v>
      </c>
      <c r="H23" s="29"/>
    </row>
    <row r="24" spans="2:8" ht="15.75" customHeight="1" x14ac:dyDescent="0.2">
      <c r="B24" s="25" t="s">
        <v>520</v>
      </c>
      <c r="C24" s="25" t="s">
        <v>521</v>
      </c>
      <c r="D24" s="25" t="s">
        <v>358</v>
      </c>
      <c r="E24" s="26">
        <v>96224</v>
      </c>
      <c r="F24" s="27">
        <v>474.05</v>
      </c>
      <c r="G24" s="28">
        <v>1.9900000000000001E-2</v>
      </c>
      <c r="H24" s="29"/>
    </row>
    <row r="25" spans="2:8" ht="15.75" customHeight="1" x14ac:dyDescent="0.2">
      <c r="B25" s="25" t="s">
        <v>522</v>
      </c>
      <c r="C25" s="25" t="s">
        <v>523</v>
      </c>
      <c r="D25" s="25" t="s">
        <v>437</v>
      </c>
      <c r="E25" s="26">
        <v>59193</v>
      </c>
      <c r="F25" s="27">
        <v>467.71</v>
      </c>
      <c r="G25" s="28">
        <v>1.9599999999999999E-2</v>
      </c>
      <c r="H25" s="29"/>
    </row>
    <row r="26" spans="2:8" ht="15.75" customHeight="1" x14ac:dyDescent="0.2">
      <c r="B26" s="25" t="s">
        <v>388</v>
      </c>
      <c r="C26" s="25" t="s">
        <v>389</v>
      </c>
      <c r="D26" s="25" t="s">
        <v>313</v>
      </c>
      <c r="E26" s="26">
        <v>45525</v>
      </c>
      <c r="F26" s="27">
        <v>463.54</v>
      </c>
      <c r="G26" s="28">
        <v>1.9400000000000001E-2</v>
      </c>
      <c r="H26" s="29"/>
    </row>
    <row r="27" spans="2:8" ht="15.75" customHeight="1" x14ac:dyDescent="0.2">
      <c r="B27" s="25" t="s">
        <v>524</v>
      </c>
      <c r="C27" s="25" t="s">
        <v>525</v>
      </c>
      <c r="D27" s="25" t="s">
        <v>141</v>
      </c>
      <c r="E27" s="26">
        <v>23094</v>
      </c>
      <c r="F27" s="27">
        <v>462.19</v>
      </c>
      <c r="G27" s="28">
        <v>1.9400000000000001E-2</v>
      </c>
      <c r="H27" s="29"/>
    </row>
    <row r="28" spans="2:8" ht="15.75" customHeight="1" x14ac:dyDescent="0.2">
      <c r="B28" s="25" t="s">
        <v>526</v>
      </c>
      <c r="C28" s="25" t="s">
        <v>527</v>
      </c>
      <c r="D28" s="25" t="s">
        <v>252</v>
      </c>
      <c r="E28" s="26">
        <v>14429</v>
      </c>
      <c r="F28" s="27">
        <v>451.8</v>
      </c>
      <c r="G28" s="28">
        <v>1.89E-2</v>
      </c>
      <c r="H28" s="29"/>
    </row>
    <row r="29" spans="2:8" ht="15.75" customHeight="1" x14ac:dyDescent="0.2">
      <c r="B29" s="25" t="s">
        <v>356</v>
      </c>
      <c r="C29" s="25" t="s">
        <v>357</v>
      </c>
      <c r="D29" s="25" t="s">
        <v>358</v>
      </c>
      <c r="E29" s="26">
        <v>46152</v>
      </c>
      <c r="F29" s="27">
        <v>451</v>
      </c>
      <c r="G29" s="28">
        <v>1.89E-2</v>
      </c>
      <c r="H29" s="29"/>
    </row>
    <row r="30" spans="2:8" ht="15.75" customHeight="1" x14ac:dyDescent="0.2">
      <c r="B30" s="25" t="s">
        <v>370</v>
      </c>
      <c r="C30" s="25" t="s">
        <v>371</v>
      </c>
      <c r="D30" s="25" t="s">
        <v>303</v>
      </c>
      <c r="E30" s="26">
        <v>36000</v>
      </c>
      <c r="F30" s="27">
        <v>444.69</v>
      </c>
      <c r="G30" s="28">
        <v>1.8599999999999998E-2</v>
      </c>
      <c r="H30" s="29"/>
    </row>
    <row r="31" spans="2:8" ht="15.75" customHeight="1" x14ac:dyDescent="0.2">
      <c r="B31" s="25" t="s">
        <v>326</v>
      </c>
      <c r="C31" s="25" t="s">
        <v>327</v>
      </c>
      <c r="D31" s="25" t="s">
        <v>328</v>
      </c>
      <c r="E31" s="26">
        <v>32604</v>
      </c>
      <c r="F31" s="27">
        <v>431.58</v>
      </c>
      <c r="G31" s="28">
        <v>1.8100000000000002E-2</v>
      </c>
      <c r="H31" s="29"/>
    </row>
    <row r="32" spans="2:8" ht="15.75" customHeight="1" x14ac:dyDescent="0.2">
      <c r="B32" s="25" t="s">
        <v>163</v>
      </c>
      <c r="C32" s="25" t="s">
        <v>164</v>
      </c>
      <c r="D32" s="25" t="s">
        <v>165</v>
      </c>
      <c r="E32" s="26">
        <v>47706</v>
      </c>
      <c r="F32" s="27">
        <v>423.39</v>
      </c>
      <c r="G32" s="28">
        <v>1.77E-2</v>
      </c>
      <c r="H32" s="29"/>
    </row>
    <row r="33" spans="2:8" ht="15.75" customHeight="1" x14ac:dyDescent="0.2">
      <c r="B33" s="25" t="s">
        <v>528</v>
      </c>
      <c r="C33" s="25" t="s">
        <v>529</v>
      </c>
      <c r="D33" s="25" t="s">
        <v>229</v>
      </c>
      <c r="E33" s="26">
        <v>40692</v>
      </c>
      <c r="F33" s="27">
        <v>423.2</v>
      </c>
      <c r="G33" s="28">
        <v>1.77E-2</v>
      </c>
      <c r="H33" s="29"/>
    </row>
    <row r="34" spans="2:8" ht="15.75" customHeight="1" x14ac:dyDescent="0.2">
      <c r="B34" s="25" t="s">
        <v>530</v>
      </c>
      <c r="C34" s="25" t="s">
        <v>531</v>
      </c>
      <c r="D34" s="25" t="s">
        <v>470</v>
      </c>
      <c r="E34" s="26">
        <v>240000</v>
      </c>
      <c r="F34" s="27">
        <v>422.16</v>
      </c>
      <c r="G34" s="28">
        <v>1.77E-2</v>
      </c>
      <c r="H34" s="29"/>
    </row>
    <row r="35" spans="2:8" ht="15.75" customHeight="1" x14ac:dyDescent="0.2">
      <c r="B35" s="25" t="s">
        <v>532</v>
      </c>
      <c r="C35" s="25" t="s">
        <v>533</v>
      </c>
      <c r="D35" s="25" t="s">
        <v>207</v>
      </c>
      <c r="E35" s="26">
        <v>8219</v>
      </c>
      <c r="F35" s="27">
        <v>413.55</v>
      </c>
      <c r="G35" s="28">
        <v>1.7299999999999999E-2</v>
      </c>
      <c r="H35" s="29"/>
    </row>
    <row r="36" spans="2:8" ht="15.75" customHeight="1" x14ac:dyDescent="0.2">
      <c r="B36" s="25" t="s">
        <v>534</v>
      </c>
      <c r="C36" s="25" t="s">
        <v>535</v>
      </c>
      <c r="D36" s="25" t="s">
        <v>303</v>
      </c>
      <c r="E36" s="26">
        <v>22151</v>
      </c>
      <c r="F36" s="27">
        <v>405.45</v>
      </c>
      <c r="G36" s="28">
        <v>1.7000000000000001E-2</v>
      </c>
      <c r="H36" s="29"/>
    </row>
    <row r="37" spans="2:8" ht="15.75" customHeight="1" x14ac:dyDescent="0.2">
      <c r="B37" s="25" t="s">
        <v>536</v>
      </c>
      <c r="C37" s="25" t="s">
        <v>537</v>
      </c>
      <c r="D37" s="25" t="s">
        <v>196</v>
      </c>
      <c r="E37" s="26">
        <v>96192</v>
      </c>
      <c r="F37" s="27">
        <v>399.77</v>
      </c>
      <c r="G37" s="28">
        <v>1.67E-2</v>
      </c>
      <c r="H37" s="29"/>
    </row>
    <row r="38" spans="2:8" ht="15.75" customHeight="1" x14ac:dyDescent="0.2">
      <c r="B38" s="25" t="s">
        <v>538</v>
      </c>
      <c r="C38" s="25" t="s">
        <v>539</v>
      </c>
      <c r="D38" s="25" t="s">
        <v>170</v>
      </c>
      <c r="E38" s="26">
        <v>32538</v>
      </c>
      <c r="F38" s="27">
        <v>385.3</v>
      </c>
      <c r="G38" s="28">
        <v>1.61E-2</v>
      </c>
      <c r="H38" s="29"/>
    </row>
    <row r="39" spans="2:8" ht="15.75" customHeight="1" x14ac:dyDescent="0.2">
      <c r="B39" s="25" t="s">
        <v>540</v>
      </c>
      <c r="C39" s="25" t="s">
        <v>541</v>
      </c>
      <c r="D39" s="25" t="s">
        <v>252</v>
      </c>
      <c r="E39" s="26">
        <v>15546</v>
      </c>
      <c r="F39" s="27">
        <v>381.54</v>
      </c>
      <c r="G39" s="28">
        <v>1.6E-2</v>
      </c>
      <c r="H39" s="29"/>
    </row>
    <row r="40" spans="2:8" ht="15.75" customHeight="1" x14ac:dyDescent="0.2">
      <c r="B40" s="25" t="s">
        <v>542</v>
      </c>
      <c r="C40" s="25" t="s">
        <v>543</v>
      </c>
      <c r="D40" s="25" t="s">
        <v>252</v>
      </c>
      <c r="E40" s="26">
        <v>17522</v>
      </c>
      <c r="F40" s="27">
        <v>368.88</v>
      </c>
      <c r="G40" s="28">
        <v>1.55E-2</v>
      </c>
      <c r="H40" s="29"/>
    </row>
    <row r="41" spans="2:8" ht="15.75" customHeight="1" x14ac:dyDescent="0.2">
      <c r="B41" s="25" t="s">
        <v>544</v>
      </c>
      <c r="C41" s="25" t="s">
        <v>545</v>
      </c>
      <c r="D41" s="25" t="s">
        <v>170</v>
      </c>
      <c r="E41" s="26">
        <v>72213</v>
      </c>
      <c r="F41" s="27">
        <v>360.38</v>
      </c>
      <c r="G41" s="28">
        <v>1.5100000000000001E-2</v>
      </c>
      <c r="H41" s="29"/>
    </row>
    <row r="42" spans="2:8" ht="15.75" customHeight="1" x14ac:dyDescent="0.2">
      <c r="B42" s="25" t="s">
        <v>546</v>
      </c>
      <c r="C42" s="25" t="s">
        <v>547</v>
      </c>
      <c r="D42" s="25" t="s">
        <v>548</v>
      </c>
      <c r="E42" s="26">
        <v>1006</v>
      </c>
      <c r="F42" s="27">
        <v>346.15</v>
      </c>
      <c r="G42" s="28">
        <v>1.4500000000000001E-2</v>
      </c>
      <c r="H42" s="29"/>
    </row>
    <row r="43" spans="2:8" ht="15.75" customHeight="1" x14ac:dyDescent="0.2">
      <c r="B43" s="25" t="s">
        <v>549</v>
      </c>
      <c r="C43" s="25" t="s">
        <v>550</v>
      </c>
      <c r="D43" s="25" t="s">
        <v>252</v>
      </c>
      <c r="E43" s="26">
        <v>61154</v>
      </c>
      <c r="F43" s="27">
        <v>330.54</v>
      </c>
      <c r="G43" s="28">
        <v>1.38E-2</v>
      </c>
      <c r="H43" s="29"/>
    </row>
    <row r="44" spans="2:8" ht="15.75" customHeight="1" x14ac:dyDescent="0.2">
      <c r="B44" s="25" t="s">
        <v>417</v>
      </c>
      <c r="C44" s="25" t="s">
        <v>418</v>
      </c>
      <c r="D44" s="25" t="s">
        <v>170</v>
      </c>
      <c r="E44" s="26">
        <v>23590</v>
      </c>
      <c r="F44" s="27">
        <v>329.07</v>
      </c>
      <c r="G44" s="28">
        <v>1.38E-2</v>
      </c>
      <c r="H44" s="29"/>
    </row>
    <row r="45" spans="2:8" ht="15.75" customHeight="1" x14ac:dyDescent="0.2">
      <c r="B45" s="25" t="s">
        <v>551</v>
      </c>
      <c r="C45" s="25" t="s">
        <v>552</v>
      </c>
      <c r="D45" s="25" t="s">
        <v>127</v>
      </c>
      <c r="E45" s="26">
        <v>4325</v>
      </c>
      <c r="F45" s="27">
        <v>328.92</v>
      </c>
      <c r="G45" s="28">
        <v>1.38E-2</v>
      </c>
      <c r="H45" s="29"/>
    </row>
    <row r="46" spans="2:8" ht="15.75" customHeight="1" x14ac:dyDescent="0.2">
      <c r="B46" s="25" t="s">
        <v>253</v>
      </c>
      <c r="C46" s="25" t="s">
        <v>254</v>
      </c>
      <c r="D46" s="25" t="s">
        <v>170</v>
      </c>
      <c r="E46" s="26">
        <v>34708</v>
      </c>
      <c r="F46" s="27">
        <v>317.95999999999998</v>
      </c>
      <c r="G46" s="28">
        <v>1.3299999999999999E-2</v>
      </c>
      <c r="H46" s="29"/>
    </row>
    <row r="47" spans="2:8" ht="15.75" customHeight="1" x14ac:dyDescent="0.2">
      <c r="B47" s="25" t="s">
        <v>553</v>
      </c>
      <c r="C47" s="25" t="s">
        <v>554</v>
      </c>
      <c r="D47" s="25" t="s">
        <v>303</v>
      </c>
      <c r="E47" s="26">
        <v>7568</v>
      </c>
      <c r="F47" s="27">
        <v>312.55</v>
      </c>
      <c r="G47" s="28">
        <v>1.3100000000000001E-2</v>
      </c>
      <c r="H47" s="29"/>
    </row>
    <row r="48" spans="2:8" ht="15.75" customHeight="1" x14ac:dyDescent="0.2">
      <c r="B48" s="25" t="s">
        <v>386</v>
      </c>
      <c r="C48" s="25" t="s">
        <v>387</v>
      </c>
      <c r="D48" s="25" t="s">
        <v>252</v>
      </c>
      <c r="E48" s="26">
        <v>49827</v>
      </c>
      <c r="F48" s="27">
        <v>308.02999999999997</v>
      </c>
      <c r="G48" s="28">
        <v>1.29E-2</v>
      </c>
      <c r="H48" s="29"/>
    </row>
    <row r="49" spans="2:8" ht="15.75" customHeight="1" x14ac:dyDescent="0.2">
      <c r="B49" s="25" t="s">
        <v>290</v>
      </c>
      <c r="C49" s="25" t="s">
        <v>291</v>
      </c>
      <c r="D49" s="25" t="s">
        <v>124</v>
      </c>
      <c r="E49" s="26">
        <v>220375</v>
      </c>
      <c r="F49" s="27">
        <v>306.20999999999998</v>
      </c>
      <c r="G49" s="28">
        <v>1.2800000000000001E-2</v>
      </c>
      <c r="H49" s="29"/>
    </row>
    <row r="50" spans="2:8" ht="15.75" customHeight="1" x14ac:dyDescent="0.2">
      <c r="B50" s="25" t="s">
        <v>403</v>
      </c>
      <c r="C50" s="25" t="s">
        <v>404</v>
      </c>
      <c r="D50" s="25" t="s">
        <v>170</v>
      </c>
      <c r="E50" s="26">
        <v>18684</v>
      </c>
      <c r="F50" s="27">
        <v>297.04000000000002</v>
      </c>
      <c r="G50" s="28">
        <v>1.24E-2</v>
      </c>
      <c r="H50" s="29"/>
    </row>
    <row r="51" spans="2:8" ht="15.75" customHeight="1" x14ac:dyDescent="0.2">
      <c r="B51" s="25" t="s">
        <v>450</v>
      </c>
      <c r="C51" s="25" t="s">
        <v>451</v>
      </c>
      <c r="D51" s="25" t="s">
        <v>196</v>
      </c>
      <c r="E51" s="26">
        <v>27611</v>
      </c>
      <c r="F51" s="27">
        <v>289.89</v>
      </c>
      <c r="G51" s="28">
        <v>1.21E-2</v>
      </c>
      <c r="H51" s="29"/>
    </row>
    <row r="52" spans="2:8" ht="15.75" customHeight="1" x14ac:dyDescent="0.2">
      <c r="B52" s="25" t="s">
        <v>384</v>
      </c>
      <c r="C52" s="25" t="s">
        <v>385</v>
      </c>
      <c r="D52" s="25" t="s">
        <v>358</v>
      </c>
      <c r="E52" s="26">
        <v>55047</v>
      </c>
      <c r="F52" s="27">
        <v>286</v>
      </c>
      <c r="G52" s="28">
        <v>1.2E-2</v>
      </c>
      <c r="H52" s="29"/>
    </row>
    <row r="53" spans="2:8" ht="15.75" customHeight="1" x14ac:dyDescent="0.2">
      <c r="B53" s="25" t="s">
        <v>555</v>
      </c>
      <c r="C53" s="25" t="s">
        <v>556</v>
      </c>
      <c r="D53" s="25" t="s">
        <v>298</v>
      </c>
      <c r="E53" s="26">
        <v>729</v>
      </c>
      <c r="F53" s="27">
        <v>282.02999999999997</v>
      </c>
      <c r="G53" s="28">
        <v>1.18E-2</v>
      </c>
      <c r="H53" s="29"/>
    </row>
    <row r="54" spans="2:8" ht="15.75" customHeight="1" x14ac:dyDescent="0.2">
      <c r="B54" s="25" t="s">
        <v>557</v>
      </c>
      <c r="C54" s="25" t="s">
        <v>558</v>
      </c>
      <c r="D54" s="25" t="s">
        <v>212</v>
      </c>
      <c r="E54" s="26">
        <v>25120</v>
      </c>
      <c r="F54" s="27">
        <v>275.42</v>
      </c>
      <c r="G54" s="28">
        <v>1.15E-2</v>
      </c>
      <c r="H54" s="29"/>
    </row>
    <row r="55" spans="2:8" ht="15.75" customHeight="1" x14ac:dyDescent="0.2">
      <c r="B55" s="25" t="s">
        <v>559</v>
      </c>
      <c r="C55" s="25" t="s">
        <v>560</v>
      </c>
      <c r="D55" s="25" t="s">
        <v>313</v>
      </c>
      <c r="E55" s="26">
        <v>10330</v>
      </c>
      <c r="F55" s="27">
        <v>262.83</v>
      </c>
      <c r="G55" s="28">
        <v>1.0999999999999999E-2</v>
      </c>
      <c r="H55" s="29"/>
    </row>
    <row r="56" spans="2:8" ht="15.75" customHeight="1" x14ac:dyDescent="0.2">
      <c r="B56" s="25" t="s">
        <v>561</v>
      </c>
      <c r="C56" s="25" t="s">
        <v>562</v>
      </c>
      <c r="D56" s="25" t="s">
        <v>470</v>
      </c>
      <c r="E56" s="26">
        <v>8385</v>
      </c>
      <c r="F56" s="27">
        <v>250.15</v>
      </c>
      <c r="G56" s="28">
        <v>1.0500000000000001E-2</v>
      </c>
      <c r="H56" s="29"/>
    </row>
    <row r="57" spans="2:8" ht="15.75" customHeight="1" x14ac:dyDescent="0.2">
      <c r="B57" s="25" t="s">
        <v>202</v>
      </c>
      <c r="C57" s="25" t="s">
        <v>203</v>
      </c>
      <c r="D57" s="25" t="s">
        <v>204</v>
      </c>
      <c r="E57" s="26">
        <v>84768</v>
      </c>
      <c r="F57" s="27">
        <v>227.52</v>
      </c>
      <c r="G57" s="28">
        <v>9.4999999999999998E-3</v>
      </c>
      <c r="H57" s="29"/>
    </row>
    <row r="58" spans="2:8" ht="15.75" customHeight="1" x14ac:dyDescent="0.2">
      <c r="B58" s="25" t="s">
        <v>368</v>
      </c>
      <c r="C58" s="25" t="s">
        <v>369</v>
      </c>
      <c r="D58" s="25" t="s">
        <v>303</v>
      </c>
      <c r="E58" s="26">
        <v>5921</v>
      </c>
      <c r="F58" s="27">
        <v>189.06</v>
      </c>
      <c r="G58" s="28">
        <v>7.9000000000000008E-3</v>
      </c>
      <c r="H58" s="29"/>
    </row>
    <row r="59" spans="2:8" ht="15.75" customHeight="1" x14ac:dyDescent="0.2">
      <c r="B59" s="25" t="s">
        <v>563</v>
      </c>
      <c r="C59" s="25" t="s">
        <v>564</v>
      </c>
      <c r="D59" s="25" t="s">
        <v>207</v>
      </c>
      <c r="E59" s="26">
        <v>74612</v>
      </c>
      <c r="F59" s="27">
        <v>181.61</v>
      </c>
      <c r="G59" s="28">
        <v>7.6E-3</v>
      </c>
      <c r="H59" s="29"/>
    </row>
    <row r="60" spans="2:8" ht="15.75" customHeight="1" x14ac:dyDescent="0.2">
      <c r="B60" s="25" t="s">
        <v>321</v>
      </c>
      <c r="C60" s="25" t="s">
        <v>322</v>
      </c>
      <c r="D60" s="25" t="s">
        <v>323</v>
      </c>
      <c r="E60" s="26">
        <v>9468</v>
      </c>
      <c r="F60" s="27">
        <v>122.71</v>
      </c>
      <c r="G60" s="28">
        <v>5.1000000000000004E-3</v>
      </c>
      <c r="H60" s="29"/>
    </row>
    <row r="61" spans="2:8" ht="15.75" customHeight="1" x14ac:dyDescent="0.2">
      <c r="B61" s="24" t="s">
        <v>94</v>
      </c>
      <c r="C61" s="24"/>
      <c r="D61" s="24"/>
      <c r="E61" s="30"/>
      <c r="F61" s="31">
        <v>23386.51</v>
      </c>
      <c r="G61" s="32">
        <v>0.97970000000000002</v>
      </c>
      <c r="H61" s="33"/>
    </row>
    <row r="62" spans="2:8" ht="15.75" customHeight="1" x14ac:dyDescent="0.2">
      <c r="B62" s="24" t="s">
        <v>144</v>
      </c>
      <c r="C62" s="25"/>
      <c r="D62" s="25"/>
      <c r="E62" s="26"/>
      <c r="F62" s="27"/>
      <c r="G62" s="28"/>
      <c r="H62" s="29"/>
    </row>
    <row r="63" spans="2:8" ht="15.75" customHeight="1" x14ac:dyDescent="0.2">
      <c r="B63" s="24" t="s">
        <v>94</v>
      </c>
      <c r="C63" s="25"/>
      <c r="D63" s="25"/>
      <c r="E63" s="26"/>
      <c r="F63" s="34" t="s">
        <v>96</v>
      </c>
      <c r="G63" s="35" t="s">
        <v>96</v>
      </c>
      <c r="H63" s="29"/>
    </row>
    <row r="64" spans="2:8" ht="15.75" customHeight="1" x14ac:dyDescent="0.2">
      <c r="B64" s="25"/>
      <c r="C64" s="25"/>
      <c r="D64" s="25"/>
      <c r="E64" s="26"/>
      <c r="F64" s="27"/>
      <c r="G64" s="28"/>
      <c r="H64" s="29"/>
    </row>
    <row r="65" spans="2:16" ht="15.75" customHeight="1" x14ac:dyDescent="0.2">
      <c r="B65" s="36" t="s">
        <v>98</v>
      </c>
      <c r="C65" s="36"/>
      <c r="D65" s="36"/>
      <c r="E65" s="37"/>
      <c r="F65" s="31">
        <v>23386.51</v>
      </c>
      <c r="G65" s="32">
        <v>0.97970000000000002</v>
      </c>
      <c r="H65" s="33"/>
    </row>
    <row r="66" spans="2:16" ht="15.75" customHeight="1" x14ac:dyDescent="0.2">
      <c r="B66" s="25"/>
      <c r="C66" s="25"/>
      <c r="D66" s="25"/>
      <c r="E66" s="26"/>
      <c r="F66" s="27"/>
      <c r="G66" s="28"/>
      <c r="H66" s="29"/>
    </row>
    <row r="67" spans="2:16" ht="15.75" customHeight="1" x14ac:dyDescent="0.2">
      <c r="B67" s="25"/>
      <c r="C67" s="25"/>
      <c r="D67" s="25"/>
      <c r="E67" s="26"/>
      <c r="F67" s="27"/>
      <c r="G67" s="28"/>
      <c r="H67" s="29"/>
    </row>
    <row r="68" spans="2:16" ht="15.75" customHeight="1" x14ac:dyDescent="0.2">
      <c r="B68" s="24" t="s">
        <v>101</v>
      </c>
      <c r="C68" s="25"/>
      <c r="D68" s="25"/>
      <c r="E68" s="26"/>
      <c r="F68" s="27"/>
      <c r="G68" s="28"/>
      <c r="H68" s="29"/>
      <c r="L68" s="3"/>
    </row>
    <row r="69" spans="2:16" ht="15.75" customHeight="1" x14ac:dyDescent="0.2">
      <c r="B69" s="25" t="s">
        <v>102</v>
      </c>
      <c r="C69" s="25"/>
      <c r="D69" s="25"/>
      <c r="E69" s="26"/>
      <c r="F69" s="27">
        <v>453.99</v>
      </c>
      <c r="G69" s="28">
        <v>1.9E-2</v>
      </c>
      <c r="H69" s="29"/>
    </row>
    <row r="70" spans="2:16" ht="15.75" customHeight="1" x14ac:dyDescent="0.2">
      <c r="B70" s="24" t="s">
        <v>94</v>
      </c>
      <c r="C70" s="24"/>
      <c r="D70" s="24"/>
      <c r="E70" s="30"/>
      <c r="F70" s="31">
        <v>453.99</v>
      </c>
      <c r="G70" s="32">
        <v>1.9E-2</v>
      </c>
      <c r="H70" s="33"/>
      <c r="L70" s="3"/>
    </row>
    <row r="71" spans="2:16" ht="15.75" customHeight="1" x14ac:dyDescent="0.2">
      <c r="B71" s="25"/>
      <c r="C71" s="25"/>
      <c r="D71" s="25"/>
      <c r="E71" s="26"/>
      <c r="F71" s="27"/>
      <c r="G71" s="28"/>
      <c r="H71" s="29"/>
      <c r="L71" s="3"/>
    </row>
    <row r="72" spans="2:16" ht="15.75" customHeight="1" x14ac:dyDescent="0.2">
      <c r="B72" s="36" t="s">
        <v>98</v>
      </c>
      <c r="C72" s="36"/>
      <c r="D72" s="36"/>
      <c r="E72" s="37"/>
      <c r="F72" s="31">
        <v>453.99</v>
      </c>
      <c r="G72" s="32">
        <v>1.9E-2</v>
      </c>
      <c r="H72" s="33"/>
      <c r="L72" s="3"/>
    </row>
    <row r="73" spans="2:16" ht="15.75" customHeight="1" x14ac:dyDescent="0.2">
      <c r="B73" s="25" t="s">
        <v>103</v>
      </c>
      <c r="C73" s="25"/>
      <c r="D73" s="25"/>
      <c r="E73" s="26"/>
      <c r="F73" s="27">
        <v>29.74</v>
      </c>
      <c r="G73" s="28">
        <v>1.2999999999999678E-3</v>
      </c>
      <c r="H73" s="29"/>
      <c r="L73" s="3"/>
    </row>
    <row r="74" spans="2:16" ht="15.75" customHeight="1" x14ac:dyDescent="0.2">
      <c r="B74" s="40" t="s">
        <v>104</v>
      </c>
      <c r="C74" s="40"/>
      <c r="D74" s="40"/>
      <c r="E74" s="41"/>
      <c r="F74" s="42">
        <v>23870.240000000002</v>
      </c>
      <c r="G74" s="43">
        <v>1</v>
      </c>
      <c r="H74" s="44"/>
      <c r="L74" s="3"/>
    </row>
    <row r="75" spans="2:16" ht="15.75" customHeight="1" thickBot="1" x14ac:dyDescent="0.25">
      <c r="B75" s="2"/>
      <c r="L75" s="5"/>
      <c r="M75" s="5"/>
      <c r="N75" s="6"/>
      <c r="O75" s="6"/>
      <c r="P75" s="5"/>
    </row>
    <row r="76" spans="2:16" ht="27" customHeight="1" thickBot="1" x14ac:dyDescent="0.25">
      <c r="B76" s="57" t="s">
        <v>829</v>
      </c>
      <c r="C76" s="58" t="s">
        <v>830</v>
      </c>
      <c r="D76" s="58" t="s">
        <v>831</v>
      </c>
      <c r="E76" s="63" t="s">
        <v>832</v>
      </c>
      <c r="G76" s="2"/>
      <c r="H76" s="2"/>
    </row>
    <row r="77" spans="2:16" ht="29.25" customHeight="1" x14ac:dyDescent="0.2">
      <c r="B77" s="64" t="s">
        <v>880</v>
      </c>
      <c r="C77" s="82"/>
      <c r="D77" s="85" t="s">
        <v>881</v>
      </c>
      <c r="E77" s="87"/>
      <c r="G77" s="2"/>
      <c r="H77" s="2"/>
    </row>
    <row r="78" spans="2:16" ht="39.950000000000003" customHeight="1" x14ac:dyDescent="0.2">
      <c r="B78" s="66" t="s">
        <v>876</v>
      </c>
      <c r="C78" s="83"/>
      <c r="D78" s="86"/>
      <c r="E78" s="83"/>
      <c r="G78" s="2"/>
      <c r="H78" s="2"/>
    </row>
    <row r="79" spans="2:16" ht="39.950000000000003" customHeight="1" x14ac:dyDescent="0.2">
      <c r="B79" s="66" t="s">
        <v>882</v>
      </c>
      <c r="C79" s="83"/>
      <c r="D79" s="86"/>
      <c r="E79" s="83"/>
      <c r="G79" s="2"/>
      <c r="H79" s="2"/>
    </row>
    <row r="80" spans="2:16" ht="23.25" customHeight="1" thickBot="1" x14ac:dyDescent="0.25">
      <c r="B80" s="68" t="s">
        <v>866</v>
      </c>
      <c r="C80" s="84"/>
      <c r="D80" s="71" t="s">
        <v>866</v>
      </c>
      <c r="E80" s="88"/>
      <c r="G80" s="2"/>
      <c r="H80" s="2"/>
    </row>
    <row r="81" spans="2:12" ht="24.95" customHeight="1" x14ac:dyDescent="0.2">
      <c r="B81" s="59" t="s">
        <v>833</v>
      </c>
      <c r="C81" s="60"/>
      <c r="D81" s="61"/>
      <c r="E81" s="62"/>
      <c r="G81" s="2"/>
      <c r="H81" s="2"/>
    </row>
    <row r="83" spans="2:12" ht="12" x14ac:dyDescent="0.2">
      <c r="B83" s="2" t="s">
        <v>834</v>
      </c>
      <c r="C83" s="2"/>
      <c r="D83" s="2"/>
      <c r="G83" s="2"/>
      <c r="H83" s="2"/>
    </row>
    <row r="84" spans="2:12" ht="12" x14ac:dyDescent="0.2">
      <c r="B84" s="3" t="s">
        <v>835</v>
      </c>
      <c r="C84" s="2"/>
      <c r="D84" s="2"/>
      <c r="G84" s="2"/>
      <c r="H84" s="2"/>
    </row>
    <row r="86" spans="2:12" ht="15.75" customHeight="1" x14ac:dyDescent="0.2">
      <c r="L86" s="3"/>
    </row>
  </sheetData>
  <mergeCells count="3">
    <mergeCell ref="C77:C80"/>
    <mergeCell ref="D77:D79"/>
    <mergeCell ref="E77:E80"/>
  </mergeCells>
  <hyperlinks>
    <hyperlink ref="I1" location="'Sheet1'!A1" display="Index" xr:uid="{31D955E0-8D8A-4F3A-A0B4-26991F3565B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CD5C5-27B0-423B-A2C9-4627DCEF3AE4}">
  <dimension ref="B1:P103"/>
  <sheetViews>
    <sheetView workbookViewId="0"/>
  </sheetViews>
  <sheetFormatPr defaultColWidth="9.140625" defaultRowHeight="15.75" customHeight="1" x14ac:dyDescent="0.2"/>
  <cols>
    <col min="1" max="1" width="3.5703125" style="2" customWidth="1"/>
    <col min="2" max="2" width="41.5703125" style="9" bestFit="1" customWidth="1"/>
    <col min="3" max="3" width="28.140625" style="9" customWidth="1"/>
    <col min="4" max="4" width="33.42578125" style="9" bestFit="1" customWidth="1"/>
    <col min="5" max="5" width="24.28515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237</v>
      </c>
      <c r="C7" s="25" t="s">
        <v>238</v>
      </c>
      <c r="D7" s="25" t="s">
        <v>180</v>
      </c>
      <c r="E7" s="26">
        <v>49500</v>
      </c>
      <c r="F7" s="27">
        <v>67.3</v>
      </c>
      <c r="G7" s="28">
        <v>5.8400000000000001E-2</v>
      </c>
      <c r="H7" s="29"/>
    </row>
    <row r="8" spans="2:9" ht="15.75" customHeight="1" x14ac:dyDescent="0.2">
      <c r="B8" s="25" t="s">
        <v>122</v>
      </c>
      <c r="C8" s="25" t="s">
        <v>123</v>
      </c>
      <c r="D8" s="25" t="s">
        <v>124</v>
      </c>
      <c r="E8" s="26">
        <v>5847</v>
      </c>
      <c r="F8" s="27">
        <v>60.12</v>
      </c>
      <c r="G8" s="28">
        <v>5.2200000000000003E-2</v>
      </c>
      <c r="H8" s="29"/>
    </row>
    <row r="9" spans="2:9" ht="15.75" customHeight="1" x14ac:dyDescent="0.2">
      <c r="B9" s="25" t="s">
        <v>171</v>
      </c>
      <c r="C9" s="25" t="s">
        <v>172</v>
      </c>
      <c r="D9" s="25" t="s">
        <v>127</v>
      </c>
      <c r="E9" s="26">
        <v>1400</v>
      </c>
      <c r="F9" s="27">
        <v>53.42</v>
      </c>
      <c r="G9" s="28">
        <v>4.6300000000000001E-2</v>
      </c>
      <c r="H9" s="29"/>
    </row>
    <row r="10" spans="2:9" ht="15.75" customHeight="1" x14ac:dyDescent="0.2">
      <c r="B10" s="25" t="s">
        <v>128</v>
      </c>
      <c r="C10" s="25" t="s">
        <v>129</v>
      </c>
      <c r="D10" s="25" t="s">
        <v>124</v>
      </c>
      <c r="E10" s="26">
        <v>2844</v>
      </c>
      <c r="F10" s="27">
        <v>41.59</v>
      </c>
      <c r="G10" s="28">
        <v>3.61E-2</v>
      </c>
      <c r="H10" s="29"/>
    </row>
    <row r="11" spans="2:9" ht="15.75" customHeight="1" x14ac:dyDescent="0.2">
      <c r="B11" s="25" t="s">
        <v>188</v>
      </c>
      <c r="C11" s="25" t="s">
        <v>189</v>
      </c>
      <c r="D11" s="25" t="s">
        <v>124</v>
      </c>
      <c r="E11" s="26">
        <v>6008</v>
      </c>
      <c r="F11" s="27">
        <v>38.479999999999997</v>
      </c>
      <c r="G11" s="28">
        <v>3.3399999999999999E-2</v>
      </c>
      <c r="H11" s="29"/>
    </row>
    <row r="12" spans="2:9" ht="15.75" customHeight="1" x14ac:dyDescent="0.2">
      <c r="B12" s="25" t="s">
        <v>269</v>
      </c>
      <c r="C12" s="25" t="s">
        <v>270</v>
      </c>
      <c r="D12" s="25" t="s">
        <v>127</v>
      </c>
      <c r="E12" s="26">
        <v>2135</v>
      </c>
      <c r="F12" s="27">
        <v>33.65</v>
      </c>
      <c r="G12" s="28">
        <v>2.92E-2</v>
      </c>
      <c r="H12" s="29"/>
    </row>
    <row r="13" spans="2:9" ht="15.75" customHeight="1" x14ac:dyDescent="0.2">
      <c r="B13" s="25" t="s">
        <v>273</v>
      </c>
      <c r="C13" s="25" t="s">
        <v>274</v>
      </c>
      <c r="D13" s="25" t="s">
        <v>204</v>
      </c>
      <c r="E13" s="26">
        <v>2100</v>
      </c>
      <c r="F13" s="27">
        <v>29.79</v>
      </c>
      <c r="G13" s="28">
        <v>2.58E-2</v>
      </c>
      <c r="H13" s="29"/>
    </row>
    <row r="14" spans="2:9" ht="15.75" customHeight="1" x14ac:dyDescent="0.2">
      <c r="B14" s="25" t="s">
        <v>192</v>
      </c>
      <c r="C14" s="25" t="s">
        <v>193</v>
      </c>
      <c r="D14" s="25" t="s">
        <v>124</v>
      </c>
      <c r="E14" s="26">
        <v>1600</v>
      </c>
      <c r="F14" s="27">
        <v>29.2</v>
      </c>
      <c r="G14" s="28">
        <v>2.53E-2</v>
      </c>
      <c r="H14" s="29"/>
    </row>
    <row r="15" spans="2:9" ht="15.75" customHeight="1" x14ac:dyDescent="0.2">
      <c r="B15" s="25" t="s">
        <v>166</v>
      </c>
      <c r="C15" s="25" t="s">
        <v>167</v>
      </c>
      <c r="D15" s="25" t="s">
        <v>124</v>
      </c>
      <c r="E15" s="26">
        <v>2500</v>
      </c>
      <c r="F15" s="27">
        <v>26.69</v>
      </c>
      <c r="G15" s="28">
        <v>2.3199999999999998E-2</v>
      </c>
      <c r="H15" s="29"/>
    </row>
    <row r="16" spans="2:9" ht="15.75" customHeight="1" x14ac:dyDescent="0.2">
      <c r="B16" s="25" t="s">
        <v>565</v>
      </c>
      <c r="C16" s="25" t="s">
        <v>566</v>
      </c>
      <c r="D16" s="25" t="s">
        <v>124</v>
      </c>
      <c r="E16" s="26">
        <v>5400</v>
      </c>
      <c r="F16" s="27">
        <v>26.03</v>
      </c>
      <c r="G16" s="28">
        <v>2.2599999999999999E-2</v>
      </c>
      <c r="H16" s="29"/>
    </row>
    <row r="17" spans="2:8" ht="15.75" customHeight="1" x14ac:dyDescent="0.2">
      <c r="B17" s="25" t="s">
        <v>311</v>
      </c>
      <c r="C17" s="25" t="s">
        <v>312</v>
      </c>
      <c r="D17" s="25" t="s">
        <v>313</v>
      </c>
      <c r="E17" s="26">
        <v>1193</v>
      </c>
      <c r="F17" s="27">
        <v>25.95</v>
      </c>
      <c r="G17" s="28">
        <v>2.2499999999999999E-2</v>
      </c>
      <c r="H17" s="29"/>
    </row>
    <row r="18" spans="2:8" ht="15.75" customHeight="1" x14ac:dyDescent="0.2">
      <c r="B18" s="25" t="s">
        <v>130</v>
      </c>
      <c r="C18" s="25" t="s">
        <v>131</v>
      </c>
      <c r="D18" s="25" t="s">
        <v>132</v>
      </c>
      <c r="E18" s="26">
        <v>861</v>
      </c>
      <c r="F18" s="27">
        <v>24.57</v>
      </c>
      <c r="G18" s="28">
        <v>2.1299999999999999E-2</v>
      </c>
      <c r="H18" s="29"/>
    </row>
    <row r="19" spans="2:8" ht="15.75" customHeight="1" x14ac:dyDescent="0.2">
      <c r="B19" s="25" t="s">
        <v>175</v>
      </c>
      <c r="C19" s="25" t="s">
        <v>176</v>
      </c>
      <c r="D19" s="25" t="s">
        <v>177</v>
      </c>
      <c r="E19" s="26">
        <v>4200</v>
      </c>
      <c r="F19" s="27">
        <v>24.33</v>
      </c>
      <c r="G19" s="28">
        <v>2.1100000000000001E-2</v>
      </c>
      <c r="H19" s="29"/>
    </row>
    <row r="20" spans="2:8" ht="15.75" customHeight="1" x14ac:dyDescent="0.2">
      <c r="B20" s="25" t="s">
        <v>407</v>
      </c>
      <c r="C20" s="25" t="s">
        <v>408</v>
      </c>
      <c r="D20" s="25" t="s">
        <v>124</v>
      </c>
      <c r="E20" s="26">
        <v>17500</v>
      </c>
      <c r="F20" s="27">
        <v>24.21</v>
      </c>
      <c r="G20" s="28">
        <v>2.1000000000000001E-2</v>
      </c>
      <c r="H20" s="29"/>
    </row>
    <row r="21" spans="2:8" ht="15.75" customHeight="1" x14ac:dyDescent="0.2">
      <c r="B21" s="25" t="s">
        <v>356</v>
      </c>
      <c r="C21" s="25" t="s">
        <v>357</v>
      </c>
      <c r="D21" s="25" t="s">
        <v>358</v>
      </c>
      <c r="E21" s="26">
        <v>2466</v>
      </c>
      <c r="F21" s="27">
        <v>24.1</v>
      </c>
      <c r="G21" s="28">
        <v>2.0899999999999998E-2</v>
      </c>
      <c r="H21" s="29"/>
    </row>
    <row r="22" spans="2:8" ht="15.75" customHeight="1" x14ac:dyDescent="0.2">
      <c r="B22" s="25" t="s">
        <v>401</v>
      </c>
      <c r="C22" s="25" t="s">
        <v>402</v>
      </c>
      <c r="D22" s="25" t="s">
        <v>124</v>
      </c>
      <c r="E22" s="26">
        <v>14818</v>
      </c>
      <c r="F22" s="27">
        <v>21.83</v>
      </c>
      <c r="G22" s="28">
        <v>1.89E-2</v>
      </c>
      <c r="H22" s="29"/>
    </row>
    <row r="23" spans="2:8" ht="15.75" customHeight="1" x14ac:dyDescent="0.2">
      <c r="B23" s="25" t="s">
        <v>190</v>
      </c>
      <c r="C23" s="25" t="s">
        <v>191</v>
      </c>
      <c r="D23" s="25" t="s">
        <v>135</v>
      </c>
      <c r="E23" s="26">
        <v>4699</v>
      </c>
      <c r="F23" s="27">
        <v>20.75</v>
      </c>
      <c r="G23" s="28">
        <v>1.7999999999999999E-2</v>
      </c>
      <c r="H23" s="29"/>
    </row>
    <row r="24" spans="2:8" ht="15.75" customHeight="1" x14ac:dyDescent="0.2">
      <c r="B24" s="25" t="s">
        <v>331</v>
      </c>
      <c r="C24" s="25" t="s">
        <v>332</v>
      </c>
      <c r="D24" s="25" t="s">
        <v>313</v>
      </c>
      <c r="E24" s="26">
        <v>200</v>
      </c>
      <c r="F24" s="27">
        <v>20.329999999999998</v>
      </c>
      <c r="G24" s="28">
        <v>1.7600000000000001E-2</v>
      </c>
      <c r="H24" s="29"/>
    </row>
    <row r="25" spans="2:8" ht="15.75" customHeight="1" x14ac:dyDescent="0.2">
      <c r="B25" s="25" t="s">
        <v>125</v>
      </c>
      <c r="C25" s="25" t="s">
        <v>126</v>
      </c>
      <c r="D25" s="25" t="s">
        <v>127</v>
      </c>
      <c r="E25" s="26">
        <v>1200</v>
      </c>
      <c r="F25" s="27">
        <v>19.93</v>
      </c>
      <c r="G25" s="28">
        <v>1.7299999999999999E-2</v>
      </c>
      <c r="H25" s="29"/>
    </row>
    <row r="26" spans="2:8" ht="15.75" customHeight="1" x14ac:dyDescent="0.2">
      <c r="B26" s="25" t="s">
        <v>567</v>
      </c>
      <c r="C26" s="25" t="s">
        <v>568</v>
      </c>
      <c r="D26" s="25" t="s">
        <v>313</v>
      </c>
      <c r="E26" s="26">
        <v>7728</v>
      </c>
      <c r="F26" s="27">
        <v>18.13</v>
      </c>
      <c r="G26" s="28">
        <v>1.5699999999999999E-2</v>
      </c>
      <c r="H26" s="29"/>
    </row>
    <row r="27" spans="2:8" ht="15.75" customHeight="1" x14ac:dyDescent="0.2">
      <c r="B27" s="25" t="s">
        <v>569</v>
      </c>
      <c r="C27" s="25" t="s">
        <v>570</v>
      </c>
      <c r="D27" s="25" t="s">
        <v>187</v>
      </c>
      <c r="E27" s="26">
        <v>884</v>
      </c>
      <c r="F27" s="27">
        <v>15.09</v>
      </c>
      <c r="G27" s="28">
        <v>1.3100000000000001E-2</v>
      </c>
      <c r="H27" s="29"/>
    </row>
    <row r="28" spans="2:8" ht="15.75" customHeight="1" x14ac:dyDescent="0.2">
      <c r="B28" s="25" t="s">
        <v>491</v>
      </c>
      <c r="C28" s="25" t="s">
        <v>492</v>
      </c>
      <c r="D28" s="25" t="s">
        <v>358</v>
      </c>
      <c r="E28" s="26">
        <v>4368</v>
      </c>
      <c r="F28" s="27">
        <v>14.32</v>
      </c>
      <c r="G28" s="28">
        <v>1.24E-2</v>
      </c>
      <c r="H28" s="29"/>
    </row>
    <row r="29" spans="2:8" ht="15.75" customHeight="1" x14ac:dyDescent="0.2">
      <c r="B29" s="25" t="s">
        <v>571</v>
      </c>
      <c r="C29" s="25" t="s">
        <v>572</v>
      </c>
      <c r="D29" s="25" t="s">
        <v>138</v>
      </c>
      <c r="E29" s="26">
        <v>2114</v>
      </c>
      <c r="F29" s="27">
        <v>11.75</v>
      </c>
      <c r="G29" s="28">
        <v>1.0200000000000001E-2</v>
      </c>
      <c r="H29" s="29"/>
    </row>
    <row r="30" spans="2:8" ht="15.75" customHeight="1" x14ac:dyDescent="0.2">
      <c r="B30" s="25" t="s">
        <v>324</v>
      </c>
      <c r="C30" s="25" t="s">
        <v>325</v>
      </c>
      <c r="D30" s="25" t="s">
        <v>170</v>
      </c>
      <c r="E30" s="26">
        <v>4010</v>
      </c>
      <c r="F30" s="27">
        <v>11.6</v>
      </c>
      <c r="G30" s="28">
        <v>1.01E-2</v>
      </c>
      <c r="H30" s="29"/>
    </row>
    <row r="31" spans="2:8" ht="15.75" customHeight="1" x14ac:dyDescent="0.2">
      <c r="B31" s="25" t="s">
        <v>139</v>
      </c>
      <c r="C31" s="25" t="s">
        <v>140</v>
      </c>
      <c r="D31" s="25" t="s">
        <v>141</v>
      </c>
      <c r="E31" s="26">
        <v>700</v>
      </c>
      <c r="F31" s="27">
        <v>11.56</v>
      </c>
      <c r="G31" s="28">
        <v>0.01</v>
      </c>
      <c r="H31" s="29"/>
    </row>
    <row r="32" spans="2:8" ht="15.75" customHeight="1" x14ac:dyDescent="0.2">
      <c r="B32" s="25" t="s">
        <v>502</v>
      </c>
      <c r="C32" s="25" t="s">
        <v>503</v>
      </c>
      <c r="D32" s="25" t="s">
        <v>277</v>
      </c>
      <c r="E32" s="26">
        <v>5880</v>
      </c>
      <c r="F32" s="27">
        <v>10.88</v>
      </c>
      <c r="G32" s="28">
        <v>9.4000000000000004E-3</v>
      </c>
      <c r="H32" s="29"/>
    </row>
    <row r="33" spans="2:8" ht="15.75" customHeight="1" x14ac:dyDescent="0.2">
      <c r="B33" s="25" t="s">
        <v>573</v>
      </c>
      <c r="C33" s="25" t="s">
        <v>574</v>
      </c>
      <c r="D33" s="25" t="s">
        <v>212</v>
      </c>
      <c r="E33" s="26">
        <v>3890</v>
      </c>
      <c r="F33" s="27">
        <v>10.73</v>
      </c>
      <c r="G33" s="28">
        <v>9.2999999999999992E-3</v>
      </c>
      <c r="H33" s="29"/>
    </row>
    <row r="34" spans="2:8" ht="15.75" customHeight="1" x14ac:dyDescent="0.2">
      <c r="B34" s="25" t="s">
        <v>575</v>
      </c>
      <c r="C34" s="25" t="s">
        <v>576</v>
      </c>
      <c r="D34" s="25" t="s">
        <v>226</v>
      </c>
      <c r="E34" s="26">
        <v>1798</v>
      </c>
      <c r="F34" s="27">
        <v>9.6999999999999993</v>
      </c>
      <c r="G34" s="28">
        <v>8.3999999999999995E-3</v>
      </c>
      <c r="H34" s="29"/>
    </row>
    <row r="35" spans="2:8" ht="15.75" customHeight="1" x14ac:dyDescent="0.2">
      <c r="B35" s="25" t="s">
        <v>388</v>
      </c>
      <c r="C35" s="25" t="s">
        <v>389</v>
      </c>
      <c r="D35" s="25" t="s">
        <v>313</v>
      </c>
      <c r="E35" s="26">
        <v>930</v>
      </c>
      <c r="F35" s="27">
        <v>9.4700000000000006</v>
      </c>
      <c r="G35" s="28">
        <v>8.2000000000000007E-3</v>
      </c>
      <c r="H35" s="29"/>
    </row>
    <row r="36" spans="2:8" ht="15.75" customHeight="1" x14ac:dyDescent="0.2">
      <c r="B36" s="25" t="s">
        <v>301</v>
      </c>
      <c r="C36" s="25" t="s">
        <v>302</v>
      </c>
      <c r="D36" s="25" t="s">
        <v>303</v>
      </c>
      <c r="E36" s="26">
        <v>571</v>
      </c>
      <c r="F36" s="27">
        <v>8.58</v>
      </c>
      <c r="G36" s="28">
        <v>7.4000000000000003E-3</v>
      </c>
      <c r="H36" s="29"/>
    </row>
    <row r="37" spans="2:8" ht="15.75" customHeight="1" x14ac:dyDescent="0.2">
      <c r="B37" s="25" t="s">
        <v>425</v>
      </c>
      <c r="C37" s="25" t="s">
        <v>426</v>
      </c>
      <c r="D37" s="25" t="s">
        <v>316</v>
      </c>
      <c r="E37" s="26">
        <v>645</v>
      </c>
      <c r="F37" s="27">
        <v>5.74</v>
      </c>
      <c r="G37" s="28">
        <v>5.0000000000000001E-3</v>
      </c>
      <c r="H37" s="29"/>
    </row>
    <row r="38" spans="2:8" ht="15.75" customHeight="1" x14ac:dyDescent="0.2">
      <c r="B38" s="25" t="s">
        <v>242</v>
      </c>
      <c r="C38" s="25" t="s">
        <v>243</v>
      </c>
      <c r="D38" s="25" t="s">
        <v>127</v>
      </c>
      <c r="E38" s="26">
        <v>419</v>
      </c>
      <c r="F38" s="27">
        <v>5.59</v>
      </c>
      <c r="G38" s="28">
        <v>4.7999999999999996E-3</v>
      </c>
      <c r="H38" s="29"/>
    </row>
    <row r="39" spans="2:8" ht="15.75" customHeight="1" x14ac:dyDescent="0.2">
      <c r="B39" s="25" t="s">
        <v>411</v>
      </c>
      <c r="C39" s="25" t="s">
        <v>412</v>
      </c>
      <c r="D39" s="25" t="s">
        <v>170</v>
      </c>
      <c r="E39" s="26">
        <v>295</v>
      </c>
      <c r="F39" s="27">
        <v>4.3600000000000003</v>
      </c>
      <c r="G39" s="28">
        <v>3.8E-3</v>
      </c>
      <c r="H39" s="29"/>
    </row>
    <row r="40" spans="2:8" ht="15.75" customHeight="1" x14ac:dyDescent="0.2">
      <c r="B40" s="25" t="s">
        <v>185</v>
      </c>
      <c r="C40" s="25" t="s">
        <v>186</v>
      </c>
      <c r="D40" s="25" t="s">
        <v>187</v>
      </c>
      <c r="E40" s="26">
        <v>1765</v>
      </c>
      <c r="F40" s="27">
        <v>3.28</v>
      </c>
      <c r="G40" s="28">
        <v>2.8E-3</v>
      </c>
      <c r="H40" s="29"/>
    </row>
    <row r="41" spans="2:8" ht="15.75" customHeight="1" x14ac:dyDescent="0.2">
      <c r="B41" s="25" t="s">
        <v>299</v>
      </c>
      <c r="C41" s="25" t="s">
        <v>300</v>
      </c>
      <c r="D41" s="25" t="s">
        <v>212</v>
      </c>
      <c r="E41" s="26">
        <v>1000</v>
      </c>
      <c r="F41" s="27">
        <v>3.03</v>
      </c>
      <c r="G41" s="28">
        <v>2.5999999999999999E-3</v>
      </c>
      <c r="H41" s="29"/>
    </row>
    <row r="42" spans="2:8" ht="15.75" customHeight="1" x14ac:dyDescent="0.2">
      <c r="B42" s="25" t="s">
        <v>335</v>
      </c>
      <c r="C42" s="25" t="s">
        <v>336</v>
      </c>
      <c r="D42" s="25" t="s">
        <v>313</v>
      </c>
      <c r="E42" s="26">
        <v>39</v>
      </c>
      <c r="F42" s="27">
        <v>0.32</v>
      </c>
      <c r="G42" s="28">
        <v>2.9999999999999997E-4</v>
      </c>
      <c r="H42" s="29"/>
    </row>
    <row r="43" spans="2:8" ht="15.75" customHeight="1" x14ac:dyDescent="0.2">
      <c r="B43" s="24" t="s">
        <v>94</v>
      </c>
      <c r="C43" s="24"/>
      <c r="D43" s="24"/>
      <c r="E43" s="30"/>
      <c r="F43" s="31">
        <v>766.4</v>
      </c>
      <c r="G43" s="32">
        <v>0.66490000000000005</v>
      </c>
      <c r="H43" s="33"/>
    </row>
    <row r="44" spans="2:8" ht="15.75" customHeight="1" x14ac:dyDescent="0.2">
      <c r="B44" s="24" t="s">
        <v>144</v>
      </c>
      <c r="C44" s="25"/>
      <c r="D44" s="25"/>
      <c r="E44" s="26"/>
      <c r="F44" s="27"/>
      <c r="G44" s="28"/>
      <c r="H44" s="29"/>
    </row>
    <row r="45" spans="2:8" ht="15.75" customHeight="1" x14ac:dyDescent="0.2">
      <c r="B45" s="24" t="s">
        <v>94</v>
      </c>
      <c r="C45" s="25"/>
      <c r="D45" s="25"/>
      <c r="E45" s="26"/>
      <c r="F45" s="34" t="s">
        <v>96</v>
      </c>
      <c r="G45" s="35" t="s">
        <v>96</v>
      </c>
      <c r="H45" s="29"/>
    </row>
    <row r="46" spans="2:8" ht="15.75" customHeight="1" x14ac:dyDescent="0.2">
      <c r="B46" s="25"/>
      <c r="C46" s="25"/>
      <c r="D46" s="25"/>
      <c r="E46" s="26"/>
      <c r="F46" s="27"/>
      <c r="G46" s="28"/>
      <c r="H46" s="29"/>
    </row>
    <row r="47" spans="2:8" ht="15.75" customHeight="1" x14ac:dyDescent="0.2">
      <c r="B47" s="36" t="s">
        <v>98</v>
      </c>
      <c r="C47" s="36"/>
      <c r="D47" s="36"/>
      <c r="E47" s="37"/>
      <c r="F47" s="31">
        <v>766.4</v>
      </c>
      <c r="G47" s="32">
        <v>0.66490000000000005</v>
      </c>
      <c r="H47" s="33"/>
    </row>
    <row r="48" spans="2:8" ht="15.75" customHeight="1" x14ac:dyDescent="0.2">
      <c r="B48" s="25"/>
      <c r="C48" s="25"/>
      <c r="D48" s="25"/>
      <c r="E48" s="26"/>
      <c r="F48" s="27"/>
      <c r="G48" s="28"/>
      <c r="H48" s="29"/>
    </row>
    <row r="49" spans="2:8" ht="15.75" customHeight="1" x14ac:dyDescent="0.2">
      <c r="B49" s="24" t="s">
        <v>82</v>
      </c>
      <c r="C49" s="25"/>
      <c r="D49" s="25"/>
      <c r="E49" s="26"/>
      <c r="F49" s="27"/>
      <c r="G49" s="28"/>
      <c r="H49" s="29"/>
    </row>
    <row r="50" spans="2:8" ht="15.75" customHeight="1" x14ac:dyDescent="0.2">
      <c r="B50" s="24" t="s">
        <v>83</v>
      </c>
      <c r="C50" s="25"/>
      <c r="D50" s="25"/>
      <c r="E50" s="26"/>
      <c r="F50" s="27"/>
      <c r="G50" s="28"/>
      <c r="H50" s="29"/>
    </row>
    <row r="51" spans="2:8" ht="15.75" customHeight="1" x14ac:dyDescent="0.2">
      <c r="B51" s="25" t="s">
        <v>151</v>
      </c>
      <c r="C51" s="25" t="s">
        <v>152</v>
      </c>
      <c r="D51" s="25" t="s">
        <v>92</v>
      </c>
      <c r="E51" s="26">
        <v>70223.958333333299</v>
      </c>
      <c r="F51" s="27">
        <v>7.26</v>
      </c>
      <c r="G51" s="28">
        <v>6.3E-3</v>
      </c>
      <c r="H51" s="29">
        <v>7.7600000000000002E-2</v>
      </c>
    </row>
    <row r="52" spans="2:8" ht="15.75" customHeight="1" x14ac:dyDescent="0.2">
      <c r="B52" s="24" t="s">
        <v>94</v>
      </c>
      <c r="C52" s="24"/>
      <c r="D52" s="24"/>
      <c r="E52" s="30"/>
      <c r="F52" s="31">
        <v>7.26</v>
      </c>
      <c r="G52" s="32">
        <v>6.3E-3</v>
      </c>
      <c r="H52" s="33"/>
    </row>
    <row r="53" spans="2:8" ht="15.75" customHeight="1" x14ac:dyDescent="0.2">
      <c r="B53" s="25"/>
      <c r="C53" s="25"/>
      <c r="D53" s="25"/>
      <c r="E53" s="26"/>
      <c r="F53" s="27"/>
      <c r="G53" s="28"/>
      <c r="H53" s="29"/>
    </row>
    <row r="54" spans="2:8" ht="15.75" customHeight="1" x14ac:dyDescent="0.2">
      <c r="B54" s="24" t="s">
        <v>95</v>
      </c>
      <c r="C54" s="25"/>
      <c r="D54" s="25"/>
      <c r="E54" s="26"/>
      <c r="F54" s="27"/>
      <c r="G54" s="28"/>
      <c r="H54" s="29"/>
    </row>
    <row r="55" spans="2:8" ht="15.75" customHeight="1" x14ac:dyDescent="0.2">
      <c r="B55" s="24" t="s">
        <v>94</v>
      </c>
      <c r="C55" s="25"/>
      <c r="D55" s="25"/>
      <c r="E55" s="26"/>
      <c r="F55" s="34" t="s">
        <v>96</v>
      </c>
      <c r="G55" s="35" t="s">
        <v>96</v>
      </c>
      <c r="H55" s="29"/>
    </row>
    <row r="56" spans="2:8" ht="15.75" customHeight="1" x14ac:dyDescent="0.2">
      <c r="B56" s="25"/>
      <c r="C56" s="25"/>
      <c r="D56" s="25"/>
      <c r="E56" s="26"/>
      <c r="F56" s="27"/>
      <c r="G56" s="28"/>
      <c r="H56" s="29"/>
    </row>
    <row r="57" spans="2:8" ht="15.75" customHeight="1" x14ac:dyDescent="0.2">
      <c r="B57" s="24" t="s">
        <v>97</v>
      </c>
      <c r="C57" s="25"/>
      <c r="D57" s="25"/>
      <c r="E57" s="26"/>
      <c r="F57" s="27"/>
      <c r="G57" s="28"/>
      <c r="H57" s="29"/>
    </row>
    <row r="58" spans="2:8" ht="15.75" customHeight="1" x14ac:dyDescent="0.2">
      <c r="B58" s="24" t="s">
        <v>94</v>
      </c>
      <c r="C58" s="25"/>
      <c r="D58" s="25"/>
      <c r="E58" s="26"/>
      <c r="F58" s="34" t="s">
        <v>96</v>
      </c>
      <c r="G58" s="35" t="s">
        <v>96</v>
      </c>
      <c r="H58" s="29"/>
    </row>
    <row r="59" spans="2:8" ht="15.75" customHeight="1" x14ac:dyDescent="0.2">
      <c r="B59" s="25"/>
      <c r="C59" s="25"/>
      <c r="D59" s="25"/>
      <c r="E59" s="26"/>
      <c r="F59" s="27"/>
      <c r="G59" s="28"/>
      <c r="H59" s="29"/>
    </row>
    <row r="60" spans="2:8" ht="15.75" customHeight="1" x14ac:dyDescent="0.2">
      <c r="B60" s="36" t="s">
        <v>98</v>
      </c>
      <c r="C60" s="36"/>
      <c r="D60" s="36"/>
      <c r="E60" s="37"/>
      <c r="F60" s="31">
        <v>7.26</v>
      </c>
      <c r="G60" s="32">
        <v>6.3E-3</v>
      </c>
      <c r="H60" s="33"/>
    </row>
    <row r="61" spans="2:8" ht="15.75" customHeight="1" x14ac:dyDescent="0.2">
      <c r="B61" s="25"/>
      <c r="C61" s="25"/>
      <c r="D61" s="25"/>
      <c r="E61" s="26"/>
      <c r="F61" s="27"/>
      <c r="G61" s="28"/>
      <c r="H61" s="29"/>
    </row>
    <row r="62" spans="2:8" ht="15.75" customHeight="1" x14ac:dyDescent="0.2">
      <c r="B62" s="25"/>
      <c r="C62" s="25"/>
      <c r="D62" s="25"/>
      <c r="E62" s="26"/>
      <c r="F62" s="27"/>
      <c r="G62" s="28"/>
      <c r="H62" s="29"/>
    </row>
    <row r="63" spans="2:8" ht="15.75" customHeight="1" x14ac:dyDescent="0.2">
      <c r="B63" s="24" t="s">
        <v>99</v>
      </c>
      <c r="C63" s="25"/>
      <c r="D63" s="25"/>
      <c r="E63" s="26"/>
      <c r="F63" s="27"/>
      <c r="G63" s="28"/>
      <c r="H63" s="29"/>
    </row>
    <row r="64" spans="2:8" ht="15.75" customHeight="1" x14ac:dyDescent="0.2">
      <c r="B64" s="24" t="s">
        <v>100</v>
      </c>
      <c r="C64" s="25"/>
      <c r="D64" s="25"/>
      <c r="E64" s="26"/>
      <c r="F64" s="27"/>
      <c r="G64" s="28"/>
      <c r="H64" s="29"/>
    </row>
    <row r="65" spans="2:16" ht="15.75" customHeight="1" x14ac:dyDescent="0.2">
      <c r="B65" s="25" t="s">
        <v>262</v>
      </c>
      <c r="C65" s="25" t="s">
        <v>263</v>
      </c>
      <c r="D65" s="25"/>
      <c r="E65" s="26">
        <v>2858.2260000000001</v>
      </c>
      <c r="F65" s="27">
        <v>123.79</v>
      </c>
      <c r="G65" s="28">
        <v>0.1074</v>
      </c>
      <c r="H65" s="29"/>
    </row>
    <row r="66" spans="2:16" ht="15.75" customHeight="1" x14ac:dyDescent="0.2">
      <c r="B66" s="25"/>
      <c r="C66" s="25"/>
      <c r="D66" s="25"/>
      <c r="E66" s="26"/>
      <c r="F66" s="27"/>
      <c r="G66" s="28"/>
      <c r="H66" s="29"/>
    </row>
    <row r="67" spans="2:16" ht="15.75" customHeight="1" x14ac:dyDescent="0.2">
      <c r="B67" s="36" t="s">
        <v>98</v>
      </c>
      <c r="C67" s="36"/>
      <c r="D67" s="36"/>
      <c r="E67" s="37"/>
      <c r="F67" s="31">
        <v>123.79</v>
      </c>
      <c r="G67" s="32">
        <v>0.1074</v>
      </c>
      <c r="H67" s="33"/>
    </row>
    <row r="68" spans="2:16" ht="15.75" customHeight="1" x14ac:dyDescent="0.2">
      <c r="B68" s="25"/>
      <c r="C68" s="25"/>
      <c r="D68" s="25"/>
      <c r="E68" s="26"/>
      <c r="F68" s="27"/>
      <c r="G68" s="28"/>
      <c r="H68" s="29"/>
      <c r="L68" s="3"/>
    </row>
    <row r="69" spans="2:16" ht="15.75" customHeight="1" x14ac:dyDescent="0.2">
      <c r="B69" s="24" t="s">
        <v>101</v>
      </c>
      <c r="C69" s="25"/>
      <c r="D69" s="25"/>
      <c r="E69" s="26"/>
      <c r="F69" s="27"/>
      <c r="G69" s="28"/>
      <c r="H69" s="29"/>
    </row>
    <row r="70" spans="2:16" ht="15.75" customHeight="1" x14ac:dyDescent="0.2">
      <c r="B70" s="25" t="s">
        <v>102</v>
      </c>
      <c r="C70" s="25"/>
      <c r="D70" s="25"/>
      <c r="E70" s="26"/>
      <c r="F70" s="27">
        <v>344.98</v>
      </c>
      <c r="G70" s="28">
        <v>0.29930000000000001</v>
      </c>
      <c r="H70" s="29"/>
      <c r="L70" s="3"/>
    </row>
    <row r="71" spans="2:16" ht="15.75" customHeight="1" x14ac:dyDescent="0.2">
      <c r="B71" s="24" t="s">
        <v>94</v>
      </c>
      <c r="C71" s="24"/>
      <c r="D71" s="24"/>
      <c r="E71" s="30"/>
      <c r="F71" s="31">
        <v>344.98</v>
      </c>
      <c r="G71" s="32">
        <v>0.29930000000000001</v>
      </c>
      <c r="H71" s="33"/>
      <c r="L71" s="3"/>
    </row>
    <row r="72" spans="2:16" ht="15.75" customHeight="1" x14ac:dyDescent="0.2">
      <c r="B72" s="25"/>
      <c r="C72" s="25"/>
      <c r="D72" s="25"/>
      <c r="E72" s="26"/>
      <c r="F72" s="27"/>
      <c r="G72" s="28"/>
      <c r="H72" s="29"/>
      <c r="L72" s="3"/>
    </row>
    <row r="73" spans="2:16" ht="15.75" customHeight="1" x14ac:dyDescent="0.2">
      <c r="B73" s="36" t="s">
        <v>98</v>
      </c>
      <c r="C73" s="36"/>
      <c r="D73" s="36"/>
      <c r="E73" s="37"/>
      <c r="F73" s="31">
        <v>344.98</v>
      </c>
      <c r="G73" s="32">
        <v>0.29930000000000001</v>
      </c>
      <c r="H73" s="33"/>
      <c r="L73" s="3"/>
    </row>
    <row r="74" spans="2:16" ht="15.75" customHeight="1" x14ac:dyDescent="0.2">
      <c r="B74" s="25" t="s">
        <v>103</v>
      </c>
      <c r="C74" s="25"/>
      <c r="D74" s="25"/>
      <c r="E74" s="26"/>
      <c r="F74" s="38">
        <v>-89.73</v>
      </c>
      <c r="G74" s="39">
        <v>-7.790000000000008E-2</v>
      </c>
      <c r="H74" s="29"/>
      <c r="L74" s="3"/>
    </row>
    <row r="75" spans="2:16" ht="15.75" customHeight="1" x14ac:dyDescent="0.2">
      <c r="B75" s="40" t="s">
        <v>104</v>
      </c>
      <c r="C75" s="40"/>
      <c r="D75" s="40"/>
      <c r="E75" s="41"/>
      <c r="F75" s="42">
        <v>1152.7</v>
      </c>
      <c r="G75" s="43">
        <v>1</v>
      </c>
      <c r="H75" s="44"/>
      <c r="L75" s="5"/>
      <c r="M75" s="5"/>
      <c r="N75" s="6"/>
      <c r="O75" s="6"/>
      <c r="P75" s="5"/>
    </row>
    <row r="76" spans="2:16" ht="15.75" customHeight="1" x14ac:dyDescent="0.2">
      <c r="B76" s="2"/>
    </row>
    <row r="77" spans="2:16" ht="15.75" customHeight="1" x14ac:dyDescent="0.2">
      <c r="B77" s="12" t="s">
        <v>119</v>
      </c>
    </row>
    <row r="78" spans="2:16" ht="15.75" customHeight="1" x14ac:dyDescent="0.2">
      <c r="B78" s="12" t="s">
        <v>105</v>
      </c>
      <c r="L78" s="7"/>
      <c r="M78" s="7"/>
      <c r="N78" s="7"/>
      <c r="O78" s="7"/>
      <c r="P78" s="7"/>
    </row>
    <row r="79" spans="2:16" ht="15.75" customHeight="1" x14ac:dyDescent="0.2">
      <c r="B79" s="53"/>
      <c r="L79" s="7"/>
      <c r="M79" s="7"/>
      <c r="N79" s="7"/>
      <c r="O79" s="7"/>
      <c r="P79" s="7"/>
    </row>
    <row r="80" spans="2:16" ht="15.75" customHeight="1" x14ac:dyDescent="0.2">
      <c r="B80" s="9" t="s">
        <v>577</v>
      </c>
      <c r="L80" s="7"/>
      <c r="M80" s="7"/>
      <c r="N80" s="7"/>
      <c r="O80" s="7"/>
      <c r="P80" s="7"/>
    </row>
    <row r="81" spans="2:16" ht="15.75" customHeight="1" x14ac:dyDescent="0.2">
      <c r="B81" s="9" t="s">
        <v>578</v>
      </c>
      <c r="L81" s="7"/>
      <c r="M81" s="7"/>
      <c r="N81" s="7"/>
      <c r="O81" s="7"/>
      <c r="P81" s="7"/>
    </row>
    <row r="82" spans="2:16" ht="15.75" customHeight="1" x14ac:dyDescent="0.2">
      <c r="B82" s="13" t="s">
        <v>264</v>
      </c>
      <c r="C82" s="50" t="s">
        <v>2</v>
      </c>
      <c r="D82" s="51" t="s">
        <v>3</v>
      </c>
      <c r="E82" s="52" t="s">
        <v>265</v>
      </c>
      <c r="L82" s="7"/>
      <c r="M82" s="7"/>
      <c r="N82" s="7"/>
      <c r="O82" s="7"/>
      <c r="P82" s="7"/>
    </row>
    <row r="83" spans="2:16" ht="15.75" customHeight="1" x14ac:dyDescent="0.2">
      <c r="B83" s="46" t="s">
        <v>175</v>
      </c>
      <c r="C83" s="47">
        <v>-4200</v>
      </c>
      <c r="D83" s="48">
        <v>-24.45</v>
      </c>
      <c r="E83" s="49">
        <v>-2.12E-2</v>
      </c>
      <c r="L83" s="7"/>
      <c r="M83" s="7"/>
      <c r="N83" s="7"/>
      <c r="O83" s="7"/>
      <c r="P83" s="7"/>
    </row>
    <row r="84" spans="2:16" ht="15.75" customHeight="1" x14ac:dyDescent="0.2">
      <c r="B84" s="46" t="s">
        <v>565</v>
      </c>
      <c r="C84" s="47">
        <v>-5400</v>
      </c>
      <c r="D84" s="48">
        <v>-26.17</v>
      </c>
      <c r="E84" s="49">
        <v>-2.2700000000000001E-2</v>
      </c>
      <c r="L84" s="7"/>
      <c r="M84" s="7"/>
      <c r="N84" s="7"/>
      <c r="O84" s="7"/>
      <c r="P84" s="7"/>
    </row>
    <row r="85" spans="2:16" ht="15.75" customHeight="1" x14ac:dyDescent="0.2">
      <c r="B85" s="46" t="s">
        <v>125</v>
      </c>
      <c r="C85" s="47">
        <v>-1200</v>
      </c>
      <c r="D85" s="48">
        <v>-20.04</v>
      </c>
      <c r="E85" s="49">
        <v>-1.7399999999999999E-2</v>
      </c>
    </row>
    <row r="86" spans="2:16" ht="15.75" customHeight="1" x14ac:dyDescent="0.2">
      <c r="B86" s="46" t="s">
        <v>192</v>
      </c>
      <c r="C86" s="47">
        <v>-1600</v>
      </c>
      <c r="D86" s="48">
        <v>-29.35</v>
      </c>
      <c r="E86" s="49">
        <v>-2.5499999999999998E-2</v>
      </c>
      <c r="L86" s="3"/>
    </row>
    <row r="87" spans="2:16" ht="15.75" customHeight="1" x14ac:dyDescent="0.2">
      <c r="B87" s="46" t="s">
        <v>139</v>
      </c>
      <c r="C87" s="47">
        <v>-700</v>
      </c>
      <c r="D87" s="48">
        <v>-11.63</v>
      </c>
      <c r="E87" s="49">
        <v>-1.01E-2</v>
      </c>
    </row>
    <row r="88" spans="2:16" ht="15.75" customHeight="1" x14ac:dyDescent="0.2">
      <c r="B88" s="46" t="s">
        <v>237</v>
      </c>
      <c r="C88" s="47">
        <v>-49500</v>
      </c>
      <c r="D88" s="48">
        <v>-67.59</v>
      </c>
      <c r="E88" s="49">
        <v>-5.8599999999999999E-2</v>
      </c>
    </row>
    <row r="89" spans="2:16" ht="15.75" customHeight="1" x14ac:dyDescent="0.2">
      <c r="B89" s="46" t="s">
        <v>331</v>
      </c>
      <c r="C89" s="47">
        <v>-200</v>
      </c>
      <c r="D89" s="48">
        <v>-20.43</v>
      </c>
      <c r="E89" s="49">
        <v>-1.77E-2</v>
      </c>
    </row>
    <row r="90" spans="2:16" ht="15.75" customHeight="1" x14ac:dyDescent="0.2">
      <c r="B90" s="46" t="s">
        <v>166</v>
      </c>
      <c r="C90" s="47">
        <v>-2500</v>
      </c>
      <c r="D90" s="48">
        <v>-26.88</v>
      </c>
      <c r="E90" s="49">
        <v>-2.3300000000000001E-2</v>
      </c>
    </row>
    <row r="91" spans="2:16" ht="15.75" customHeight="1" x14ac:dyDescent="0.2">
      <c r="B91" s="46" t="s">
        <v>273</v>
      </c>
      <c r="C91" s="47">
        <v>-2100</v>
      </c>
      <c r="D91" s="48">
        <v>-29.72</v>
      </c>
      <c r="E91" s="49">
        <v>-2.58E-2</v>
      </c>
    </row>
    <row r="92" spans="2:16" ht="15.75" customHeight="1" x14ac:dyDescent="0.2">
      <c r="B92" s="46" t="s">
        <v>171</v>
      </c>
      <c r="C92" s="47">
        <v>-1400</v>
      </c>
      <c r="D92" s="48">
        <v>-53.7</v>
      </c>
      <c r="E92" s="49">
        <v>-4.6600000000000003E-2</v>
      </c>
    </row>
    <row r="93" spans="2:16" ht="15.75" customHeight="1" x14ac:dyDescent="0.2">
      <c r="B93" s="13" t="s">
        <v>266</v>
      </c>
      <c r="C93" s="50">
        <v>-68800</v>
      </c>
      <c r="D93" s="51">
        <v>-309.95999999999998</v>
      </c>
      <c r="E93" s="52">
        <v>-0.26889999999999997</v>
      </c>
    </row>
    <row r="94" spans="2:16" ht="15.75" customHeight="1" thickBot="1" x14ac:dyDescent="0.25"/>
    <row r="95" spans="2:16" ht="27" customHeight="1" thickBot="1" x14ac:dyDescent="0.25">
      <c r="B95" s="57" t="s">
        <v>829</v>
      </c>
      <c r="C95" s="58" t="s">
        <v>830</v>
      </c>
      <c r="D95" s="58" t="s">
        <v>831</v>
      </c>
      <c r="E95" s="63" t="s">
        <v>832</v>
      </c>
      <c r="G95" s="2"/>
      <c r="H95" s="2"/>
    </row>
    <row r="96" spans="2:16" ht="29.25" customHeight="1" x14ac:dyDescent="0.2">
      <c r="B96" s="64" t="s">
        <v>43</v>
      </c>
      <c r="C96" s="82"/>
      <c r="D96" s="85" t="s">
        <v>883</v>
      </c>
      <c r="E96" s="87"/>
      <c r="G96" s="2"/>
      <c r="H96" s="2"/>
    </row>
    <row r="97" spans="2:8" ht="39.950000000000003" customHeight="1" x14ac:dyDescent="0.2">
      <c r="B97" s="66" t="s">
        <v>884</v>
      </c>
      <c r="C97" s="83"/>
      <c r="D97" s="86"/>
      <c r="E97" s="83"/>
      <c r="G97" s="2"/>
      <c r="H97" s="2"/>
    </row>
    <row r="98" spans="2:8" ht="39.950000000000003" customHeight="1" x14ac:dyDescent="0.2">
      <c r="B98" s="66" t="s">
        <v>885</v>
      </c>
      <c r="C98" s="83"/>
      <c r="D98" s="86"/>
      <c r="E98" s="83"/>
      <c r="G98" s="2"/>
      <c r="H98" s="2"/>
    </row>
    <row r="99" spans="2:8" ht="23.25" customHeight="1" thickBot="1" x14ac:dyDescent="0.25">
      <c r="B99" s="68" t="s">
        <v>886</v>
      </c>
      <c r="C99" s="84"/>
      <c r="D99" s="65" t="s">
        <v>853</v>
      </c>
      <c r="E99" s="88"/>
      <c r="G99" s="2"/>
      <c r="H99" s="2"/>
    </row>
    <row r="100" spans="2:8" ht="24.95" customHeight="1" x14ac:dyDescent="0.2">
      <c r="B100" s="59" t="s">
        <v>833</v>
      </c>
      <c r="C100" s="60"/>
      <c r="D100" s="61"/>
      <c r="E100" s="62"/>
      <c r="G100" s="2"/>
      <c r="H100" s="2"/>
    </row>
    <row r="102" spans="2:8" ht="12" x14ac:dyDescent="0.2">
      <c r="B102" s="2" t="s">
        <v>834</v>
      </c>
      <c r="C102" s="2"/>
      <c r="D102" s="2"/>
      <c r="G102" s="2"/>
      <c r="H102" s="2"/>
    </row>
    <row r="103" spans="2:8" ht="12" x14ac:dyDescent="0.2">
      <c r="B103" s="3" t="s">
        <v>835</v>
      </c>
      <c r="C103" s="2"/>
      <c r="D103" s="2"/>
      <c r="G103" s="2"/>
      <c r="H103" s="2"/>
    </row>
  </sheetData>
  <mergeCells count="3">
    <mergeCell ref="C96:C99"/>
    <mergeCell ref="D96:D98"/>
    <mergeCell ref="E96:E99"/>
  </mergeCells>
  <hyperlinks>
    <hyperlink ref="I1" location="'Sheet1'!A1" display="Index" xr:uid="{29AAB51F-1894-4B70-9E9C-85D66E3B8A7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359C-D92E-4257-9FD9-A82CF5BA010E}">
  <dimension ref="B1:P98"/>
  <sheetViews>
    <sheetView workbookViewId="0"/>
  </sheetViews>
  <sheetFormatPr defaultColWidth="9.140625" defaultRowHeight="15.75" customHeight="1" x14ac:dyDescent="0.2"/>
  <cols>
    <col min="1" max="1" width="3.5703125" style="2" customWidth="1"/>
    <col min="2" max="2" width="50.42578125" style="9" customWidth="1"/>
    <col min="3" max="3" width="27.5703125" style="9" customWidth="1"/>
    <col min="4" max="4" width="26.5703125" style="9" customWidth="1"/>
    <col min="5" max="5" width="28.855468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122</v>
      </c>
      <c r="C7" s="25" t="s">
        <v>123</v>
      </c>
      <c r="D7" s="25" t="s">
        <v>124</v>
      </c>
      <c r="E7" s="26">
        <v>734994</v>
      </c>
      <c r="F7" s="27">
        <v>7556.84</v>
      </c>
      <c r="G7" s="28">
        <v>8.0500000000000002E-2</v>
      </c>
      <c r="H7" s="29"/>
    </row>
    <row r="8" spans="2:9" ht="15.75" customHeight="1" x14ac:dyDescent="0.2">
      <c r="B8" s="25" t="s">
        <v>128</v>
      </c>
      <c r="C8" s="25" t="s">
        <v>129</v>
      </c>
      <c r="D8" s="25" t="s">
        <v>124</v>
      </c>
      <c r="E8" s="26">
        <v>489903</v>
      </c>
      <c r="F8" s="27">
        <v>7165.08</v>
      </c>
      <c r="G8" s="28">
        <v>7.6399999999999996E-2</v>
      </c>
      <c r="H8" s="29"/>
    </row>
    <row r="9" spans="2:9" ht="15.75" customHeight="1" x14ac:dyDescent="0.2">
      <c r="B9" s="25" t="s">
        <v>188</v>
      </c>
      <c r="C9" s="25" t="s">
        <v>189</v>
      </c>
      <c r="D9" s="25" t="s">
        <v>124</v>
      </c>
      <c r="E9" s="26">
        <v>822686</v>
      </c>
      <c r="F9" s="27">
        <v>5269.3</v>
      </c>
      <c r="G9" s="28">
        <v>5.62E-2</v>
      </c>
      <c r="H9" s="29"/>
    </row>
    <row r="10" spans="2:9" ht="15.75" customHeight="1" x14ac:dyDescent="0.2">
      <c r="B10" s="25" t="s">
        <v>133</v>
      </c>
      <c r="C10" s="25" t="s">
        <v>134</v>
      </c>
      <c r="D10" s="25" t="s">
        <v>135</v>
      </c>
      <c r="E10" s="26">
        <v>162187</v>
      </c>
      <c r="F10" s="27">
        <v>4024.75</v>
      </c>
      <c r="G10" s="28">
        <v>4.2900000000000001E-2</v>
      </c>
      <c r="H10" s="29"/>
    </row>
    <row r="11" spans="2:9" ht="15.75" customHeight="1" x14ac:dyDescent="0.2">
      <c r="B11" s="25" t="s">
        <v>168</v>
      </c>
      <c r="C11" s="25" t="s">
        <v>169</v>
      </c>
      <c r="D11" s="25" t="s">
        <v>170</v>
      </c>
      <c r="E11" s="26">
        <v>42822</v>
      </c>
      <c r="F11" s="27">
        <v>2938.83</v>
      </c>
      <c r="G11" s="28">
        <v>3.1300000000000001E-2</v>
      </c>
      <c r="H11" s="29"/>
    </row>
    <row r="12" spans="2:9" ht="15.75" customHeight="1" x14ac:dyDescent="0.2">
      <c r="B12" s="25" t="s">
        <v>250</v>
      </c>
      <c r="C12" s="25" t="s">
        <v>251</v>
      </c>
      <c r="D12" s="25" t="s">
        <v>252</v>
      </c>
      <c r="E12" s="26">
        <v>2557718</v>
      </c>
      <c r="F12" s="27">
        <v>2896.62</v>
      </c>
      <c r="G12" s="28">
        <v>3.09E-2</v>
      </c>
      <c r="H12" s="29"/>
    </row>
    <row r="13" spans="2:9" ht="15.75" customHeight="1" x14ac:dyDescent="0.2">
      <c r="B13" s="25" t="s">
        <v>579</v>
      </c>
      <c r="C13" s="25" t="s">
        <v>580</v>
      </c>
      <c r="D13" s="25" t="s">
        <v>127</v>
      </c>
      <c r="E13" s="26">
        <v>41791</v>
      </c>
      <c r="F13" s="27">
        <v>2725.23</v>
      </c>
      <c r="G13" s="28">
        <v>2.9000000000000001E-2</v>
      </c>
      <c r="H13" s="29"/>
    </row>
    <row r="14" spans="2:9" ht="15.75" customHeight="1" x14ac:dyDescent="0.2">
      <c r="B14" s="25" t="s">
        <v>401</v>
      </c>
      <c r="C14" s="25" t="s">
        <v>402</v>
      </c>
      <c r="D14" s="25" t="s">
        <v>124</v>
      </c>
      <c r="E14" s="26">
        <v>1750427</v>
      </c>
      <c r="F14" s="27">
        <v>2578.38</v>
      </c>
      <c r="G14" s="28">
        <v>2.75E-2</v>
      </c>
      <c r="H14" s="29"/>
    </row>
    <row r="15" spans="2:9" ht="15.75" customHeight="1" x14ac:dyDescent="0.2">
      <c r="B15" s="25" t="s">
        <v>190</v>
      </c>
      <c r="C15" s="25" t="s">
        <v>191</v>
      </c>
      <c r="D15" s="25" t="s">
        <v>135</v>
      </c>
      <c r="E15" s="26">
        <v>561723</v>
      </c>
      <c r="F15" s="27">
        <v>2480.29</v>
      </c>
      <c r="G15" s="28">
        <v>2.64E-2</v>
      </c>
      <c r="H15" s="29"/>
    </row>
    <row r="16" spans="2:9" ht="15.75" customHeight="1" x14ac:dyDescent="0.2">
      <c r="B16" s="25" t="s">
        <v>348</v>
      </c>
      <c r="C16" s="25" t="s">
        <v>349</v>
      </c>
      <c r="D16" s="25" t="s">
        <v>204</v>
      </c>
      <c r="E16" s="26">
        <v>1695585</v>
      </c>
      <c r="F16" s="27">
        <v>2445.88</v>
      </c>
      <c r="G16" s="28">
        <v>2.6100000000000002E-2</v>
      </c>
      <c r="H16" s="29"/>
    </row>
    <row r="17" spans="2:8" ht="15.75" customHeight="1" x14ac:dyDescent="0.2">
      <c r="B17" s="25" t="s">
        <v>448</v>
      </c>
      <c r="C17" s="25" t="s">
        <v>449</v>
      </c>
      <c r="D17" s="25" t="s">
        <v>212</v>
      </c>
      <c r="E17" s="26">
        <v>502889</v>
      </c>
      <c r="F17" s="27">
        <v>2429.46</v>
      </c>
      <c r="G17" s="28">
        <v>2.5899999999999999E-2</v>
      </c>
      <c r="H17" s="29"/>
    </row>
    <row r="18" spans="2:8" ht="15.75" customHeight="1" x14ac:dyDescent="0.2">
      <c r="B18" s="25" t="s">
        <v>166</v>
      </c>
      <c r="C18" s="25" t="s">
        <v>167</v>
      </c>
      <c r="D18" s="25" t="s">
        <v>124</v>
      </c>
      <c r="E18" s="26">
        <v>222567</v>
      </c>
      <c r="F18" s="27">
        <v>2376.46</v>
      </c>
      <c r="G18" s="28">
        <v>2.53E-2</v>
      </c>
      <c r="H18" s="29"/>
    </row>
    <row r="19" spans="2:8" ht="15.75" customHeight="1" x14ac:dyDescent="0.2">
      <c r="B19" s="25" t="s">
        <v>407</v>
      </c>
      <c r="C19" s="25" t="s">
        <v>408</v>
      </c>
      <c r="D19" s="25" t="s">
        <v>124</v>
      </c>
      <c r="E19" s="26">
        <v>1702044</v>
      </c>
      <c r="F19" s="27">
        <v>2354.7800000000002</v>
      </c>
      <c r="G19" s="28">
        <v>2.5100000000000001E-2</v>
      </c>
      <c r="H19" s="29"/>
    </row>
    <row r="20" spans="2:8" ht="15.75" customHeight="1" x14ac:dyDescent="0.2">
      <c r="B20" s="25" t="s">
        <v>282</v>
      </c>
      <c r="C20" s="25" t="s">
        <v>283</v>
      </c>
      <c r="D20" s="25" t="s">
        <v>215</v>
      </c>
      <c r="E20" s="26">
        <v>100675</v>
      </c>
      <c r="F20" s="27">
        <v>2340.79</v>
      </c>
      <c r="G20" s="28">
        <v>2.5000000000000001E-2</v>
      </c>
      <c r="H20" s="29"/>
    </row>
    <row r="21" spans="2:8" ht="15.75" customHeight="1" x14ac:dyDescent="0.2">
      <c r="B21" s="25" t="s">
        <v>405</v>
      </c>
      <c r="C21" s="25" t="s">
        <v>406</v>
      </c>
      <c r="D21" s="25" t="s">
        <v>170</v>
      </c>
      <c r="E21" s="26">
        <v>1278414</v>
      </c>
      <c r="F21" s="27">
        <v>2214.21</v>
      </c>
      <c r="G21" s="28">
        <v>2.3599999999999999E-2</v>
      </c>
      <c r="H21" s="29"/>
    </row>
    <row r="22" spans="2:8" ht="15.75" customHeight="1" x14ac:dyDescent="0.2">
      <c r="B22" s="25" t="s">
        <v>491</v>
      </c>
      <c r="C22" s="25" t="s">
        <v>492</v>
      </c>
      <c r="D22" s="25" t="s">
        <v>358</v>
      </c>
      <c r="E22" s="26">
        <v>660902</v>
      </c>
      <c r="F22" s="27">
        <v>2166.77</v>
      </c>
      <c r="G22" s="28">
        <v>2.3099999999999999E-2</v>
      </c>
      <c r="H22" s="29"/>
    </row>
    <row r="23" spans="2:8" ht="15.75" customHeight="1" x14ac:dyDescent="0.2">
      <c r="B23" s="25" t="s">
        <v>242</v>
      </c>
      <c r="C23" s="25" t="s">
        <v>243</v>
      </c>
      <c r="D23" s="25" t="s">
        <v>127</v>
      </c>
      <c r="E23" s="26">
        <v>155247</v>
      </c>
      <c r="F23" s="27">
        <v>2070.4499999999998</v>
      </c>
      <c r="G23" s="28">
        <v>2.2100000000000002E-2</v>
      </c>
      <c r="H23" s="29"/>
    </row>
    <row r="24" spans="2:8" ht="15.75" customHeight="1" x14ac:dyDescent="0.2">
      <c r="B24" s="25" t="s">
        <v>269</v>
      </c>
      <c r="C24" s="25" t="s">
        <v>270</v>
      </c>
      <c r="D24" s="25" t="s">
        <v>127</v>
      </c>
      <c r="E24" s="26">
        <v>101144</v>
      </c>
      <c r="F24" s="27">
        <v>1594.03</v>
      </c>
      <c r="G24" s="28">
        <v>1.7000000000000001E-2</v>
      </c>
      <c r="H24" s="29"/>
    </row>
    <row r="25" spans="2:8" ht="15.75" customHeight="1" x14ac:dyDescent="0.2">
      <c r="B25" s="25" t="s">
        <v>493</v>
      </c>
      <c r="C25" s="25" t="s">
        <v>494</v>
      </c>
      <c r="D25" s="25" t="s">
        <v>495</v>
      </c>
      <c r="E25" s="26">
        <v>64528</v>
      </c>
      <c r="F25" s="27">
        <v>1587.36</v>
      </c>
      <c r="G25" s="28">
        <v>1.6899999999999998E-2</v>
      </c>
      <c r="H25" s="29"/>
    </row>
    <row r="26" spans="2:8" ht="15.75" customHeight="1" x14ac:dyDescent="0.2">
      <c r="B26" s="25" t="s">
        <v>224</v>
      </c>
      <c r="C26" s="25" t="s">
        <v>225</v>
      </c>
      <c r="D26" s="25" t="s">
        <v>226</v>
      </c>
      <c r="E26" s="26">
        <v>121647</v>
      </c>
      <c r="F26" s="27">
        <v>1416.21</v>
      </c>
      <c r="G26" s="28">
        <v>1.5100000000000001E-2</v>
      </c>
      <c r="H26" s="29"/>
    </row>
    <row r="27" spans="2:8" ht="15.75" customHeight="1" x14ac:dyDescent="0.2">
      <c r="B27" s="25" t="s">
        <v>581</v>
      </c>
      <c r="C27" s="25" t="s">
        <v>582</v>
      </c>
      <c r="D27" s="25" t="s">
        <v>437</v>
      </c>
      <c r="E27" s="26">
        <v>3656</v>
      </c>
      <c r="F27" s="27">
        <v>1364.2</v>
      </c>
      <c r="G27" s="28">
        <v>1.4500000000000001E-2</v>
      </c>
      <c r="H27" s="29"/>
    </row>
    <row r="28" spans="2:8" ht="15.75" customHeight="1" x14ac:dyDescent="0.2">
      <c r="B28" s="25" t="s">
        <v>583</v>
      </c>
      <c r="C28" s="25" t="s">
        <v>584</v>
      </c>
      <c r="D28" s="25" t="s">
        <v>585</v>
      </c>
      <c r="E28" s="26">
        <v>200836</v>
      </c>
      <c r="F28" s="27">
        <v>1354.54</v>
      </c>
      <c r="G28" s="28">
        <v>1.44E-2</v>
      </c>
      <c r="H28" s="29"/>
    </row>
    <row r="29" spans="2:8" ht="15.75" customHeight="1" x14ac:dyDescent="0.2">
      <c r="B29" s="25" t="s">
        <v>520</v>
      </c>
      <c r="C29" s="25" t="s">
        <v>521</v>
      </c>
      <c r="D29" s="25" t="s">
        <v>358</v>
      </c>
      <c r="E29" s="26">
        <v>274671</v>
      </c>
      <c r="F29" s="27">
        <v>1353.17</v>
      </c>
      <c r="G29" s="28">
        <v>1.44E-2</v>
      </c>
      <c r="H29" s="29"/>
    </row>
    <row r="30" spans="2:8" ht="15.75" customHeight="1" x14ac:dyDescent="0.2">
      <c r="B30" s="25" t="s">
        <v>314</v>
      </c>
      <c r="C30" s="25" t="s">
        <v>315</v>
      </c>
      <c r="D30" s="25" t="s">
        <v>316</v>
      </c>
      <c r="E30" s="26">
        <v>266906</v>
      </c>
      <c r="F30" s="27">
        <v>1343.2</v>
      </c>
      <c r="G30" s="28">
        <v>1.43E-2</v>
      </c>
      <c r="H30" s="29"/>
    </row>
    <row r="31" spans="2:8" ht="15.75" customHeight="1" x14ac:dyDescent="0.2">
      <c r="B31" s="25" t="s">
        <v>586</v>
      </c>
      <c r="C31" s="25" t="s">
        <v>587</v>
      </c>
      <c r="D31" s="25" t="s">
        <v>323</v>
      </c>
      <c r="E31" s="26">
        <v>22950</v>
      </c>
      <c r="F31" s="27">
        <v>1281.52</v>
      </c>
      <c r="G31" s="28">
        <v>1.37E-2</v>
      </c>
      <c r="H31" s="29"/>
    </row>
    <row r="32" spans="2:8" ht="15.75" customHeight="1" x14ac:dyDescent="0.2">
      <c r="B32" s="25" t="s">
        <v>299</v>
      </c>
      <c r="C32" s="25" t="s">
        <v>300</v>
      </c>
      <c r="D32" s="25" t="s">
        <v>212</v>
      </c>
      <c r="E32" s="26">
        <v>420200</v>
      </c>
      <c r="F32" s="27">
        <v>1273</v>
      </c>
      <c r="G32" s="28">
        <v>1.3599999999999999E-2</v>
      </c>
      <c r="H32" s="29"/>
    </row>
    <row r="33" spans="2:8" ht="15.75" customHeight="1" x14ac:dyDescent="0.2">
      <c r="B33" s="25" t="s">
        <v>588</v>
      </c>
      <c r="C33" s="25" t="s">
        <v>589</v>
      </c>
      <c r="D33" s="25" t="s">
        <v>165</v>
      </c>
      <c r="E33" s="26">
        <v>86133</v>
      </c>
      <c r="F33" s="27">
        <v>1185.79</v>
      </c>
      <c r="G33" s="28">
        <v>1.26E-2</v>
      </c>
      <c r="H33" s="29"/>
    </row>
    <row r="34" spans="2:8" ht="15.75" customHeight="1" x14ac:dyDescent="0.2">
      <c r="B34" s="25" t="s">
        <v>571</v>
      </c>
      <c r="C34" s="25" t="s">
        <v>572</v>
      </c>
      <c r="D34" s="25" t="s">
        <v>138</v>
      </c>
      <c r="E34" s="26">
        <v>210682</v>
      </c>
      <c r="F34" s="27">
        <v>1171.08</v>
      </c>
      <c r="G34" s="28">
        <v>1.2500000000000001E-2</v>
      </c>
      <c r="H34" s="29"/>
    </row>
    <row r="35" spans="2:8" ht="15.75" customHeight="1" x14ac:dyDescent="0.2">
      <c r="B35" s="25" t="s">
        <v>590</v>
      </c>
      <c r="C35" s="25" t="s">
        <v>591</v>
      </c>
      <c r="D35" s="25" t="s">
        <v>592</v>
      </c>
      <c r="E35" s="26">
        <v>171031</v>
      </c>
      <c r="F35" s="27">
        <v>1147.7</v>
      </c>
      <c r="G35" s="28">
        <v>1.2200000000000001E-2</v>
      </c>
      <c r="H35" s="29"/>
    </row>
    <row r="36" spans="2:8" ht="15.75" customHeight="1" x14ac:dyDescent="0.2">
      <c r="B36" s="25" t="s">
        <v>183</v>
      </c>
      <c r="C36" s="25" t="s">
        <v>184</v>
      </c>
      <c r="D36" s="25" t="s">
        <v>141</v>
      </c>
      <c r="E36" s="26">
        <v>11221</v>
      </c>
      <c r="F36" s="27">
        <v>1143.07</v>
      </c>
      <c r="G36" s="28">
        <v>1.2200000000000001E-2</v>
      </c>
      <c r="H36" s="29"/>
    </row>
    <row r="37" spans="2:8" ht="15.75" customHeight="1" x14ac:dyDescent="0.2">
      <c r="B37" s="25" t="s">
        <v>593</v>
      </c>
      <c r="C37" s="25" t="s">
        <v>594</v>
      </c>
      <c r="D37" s="25" t="s">
        <v>361</v>
      </c>
      <c r="E37" s="26">
        <v>17201</v>
      </c>
      <c r="F37" s="27">
        <v>1087.33</v>
      </c>
      <c r="G37" s="28">
        <v>1.1599999999999999E-2</v>
      </c>
      <c r="H37" s="29"/>
    </row>
    <row r="38" spans="2:8" ht="15.75" customHeight="1" x14ac:dyDescent="0.2">
      <c r="B38" s="25" t="s">
        <v>573</v>
      </c>
      <c r="C38" s="25" t="s">
        <v>574</v>
      </c>
      <c r="D38" s="25" t="s">
        <v>212</v>
      </c>
      <c r="E38" s="26">
        <v>379623</v>
      </c>
      <c r="F38" s="27">
        <v>1047</v>
      </c>
      <c r="G38" s="28">
        <v>1.12E-2</v>
      </c>
      <c r="H38" s="29"/>
    </row>
    <row r="39" spans="2:8" ht="15.75" customHeight="1" x14ac:dyDescent="0.2">
      <c r="B39" s="25" t="s">
        <v>409</v>
      </c>
      <c r="C39" s="25" t="s">
        <v>410</v>
      </c>
      <c r="D39" s="25" t="s">
        <v>124</v>
      </c>
      <c r="E39" s="26">
        <v>273732</v>
      </c>
      <c r="F39" s="27">
        <v>1046.3399999999999</v>
      </c>
      <c r="G39" s="28">
        <v>1.12E-2</v>
      </c>
      <c r="H39" s="29"/>
    </row>
    <row r="40" spans="2:8" ht="15.75" customHeight="1" x14ac:dyDescent="0.2">
      <c r="B40" s="25" t="s">
        <v>595</v>
      </c>
      <c r="C40" s="25" t="s">
        <v>596</v>
      </c>
      <c r="D40" s="25" t="s">
        <v>252</v>
      </c>
      <c r="E40" s="26">
        <v>12322</v>
      </c>
      <c r="F40" s="27">
        <v>985.99</v>
      </c>
      <c r="G40" s="28">
        <v>1.0500000000000001E-2</v>
      </c>
      <c r="H40" s="29"/>
    </row>
    <row r="41" spans="2:8" ht="15.75" customHeight="1" x14ac:dyDescent="0.2">
      <c r="B41" s="25" t="s">
        <v>292</v>
      </c>
      <c r="C41" s="25" t="s">
        <v>293</v>
      </c>
      <c r="D41" s="25" t="s">
        <v>277</v>
      </c>
      <c r="E41" s="26">
        <v>130423</v>
      </c>
      <c r="F41" s="27">
        <v>978.82</v>
      </c>
      <c r="G41" s="28">
        <v>1.04E-2</v>
      </c>
      <c r="H41" s="29"/>
    </row>
    <row r="42" spans="2:8" ht="15.75" customHeight="1" x14ac:dyDescent="0.2">
      <c r="B42" s="25" t="s">
        <v>192</v>
      </c>
      <c r="C42" s="25" t="s">
        <v>193</v>
      </c>
      <c r="D42" s="25" t="s">
        <v>124</v>
      </c>
      <c r="E42" s="26">
        <v>51080</v>
      </c>
      <c r="F42" s="27">
        <v>932.34</v>
      </c>
      <c r="G42" s="28">
        <v>9.9000000000000008E-3</v>
      </c>
      <c r="H42" s="29"/>
    </row>
    <row r="43" spans="2:8" ht="15.75" customHeight="1" x14ac:dyDescent="0.2">
      <c r="B43" s="25" t="s">
        <v>597</v>
      </c>
      <c r="C43" s="25" t="s">
        <v>598</v>
      </c>
      <c r="D43" s="25" t="s">
        <v>298</v>
      </c>
      <c r="E43" s="26">
        <v>58632</v>
      </c>
      <c r="F43" s="27">
        <v>910.03</v>
      </c>
      <c r="G43" s="28">
        <v>9.7000000000000003E-3</v>
      </c>
      <c r="H43" s="29"/>
    </row>
    <row r="44" spans="2:8" ht="15.75" customHeight="1" x14ac:dyDescent="0.2">
      <c r="B44" s="25" t="s">
        <v>506</v>
      </c>
      <c r="C44" s="25" t="s">
        <v>507</v>
      </c>
      <c r="D44" s="25" t="s">
        <v>204</v>
      </c>
      <c r="E44" s="26">
        <v>3349</v>
      </c>
      <c r="F44" s="27">
        <v>867.62</v>
      </c>
      <c r="G44" s="28">
        <v>9.1999999999999998E-3</v>
      </c>
      <c r="H44" s="29"/>
    </row>
    <row r="45" spans="2:8" ht="15.75" customHeight="1" x14ac:dyDescent="0.2">
      <c r="B45" s="25" t="s">
        <v>278</v>
      </c>
      <c r="C45" s="25" t="s">
        <v>279</v>
      </c>
      <c r="D45" s="25" t="s">
        <v>204</v>
      </c>
      <c r="E45" s="26">
        <v>34048</v>
      </c>
      <c r="F45" s="27">
        <v>861.79</v>
      </c>
      <c r="G45" s="28">
        <v>9.1999999999999998E-3</v>
      </c>
      <c r="H45" s="29"/>
    </row>
    <row r="46" spans="2:8" ht="15.75" customHeight="1" x14ac:dyDescent="0.2">
      <c r="B46" s="25" t="s">
        <v>599</v>
      </c>
      <c r="C46" s="25" t="s">
        <v>600</v>
      </c>
      <c r="D46" s="25" t="s">
        <v>252</v>
      </c>
      <c r="E46" s="26">
        <v>83267</v>
      </c>
      <c r="F46" s="27">
        <v>827.55</v>
      </c>
      <c r="G46" s="28">
        <v>8.8000000000000005E-3</v>
      </c>
      <c r="H46" s="29"/>
    </row>
    <row r="47" spans="2:8" ht="15.75" customHeight="1" x14ac:dyDescent="0.2">
      <c r="B47" s="25" t="s">
        <v>601</v>
      </c>
      <c r="C47" s="25" t="s">
        <v>602</v>
      </c>
      <c r="D47" s="25" t="s">
        <v>215</v>
      </c>
      <c r="E47" s="26">
        <v>44938</v>
      </c>
      <c r="F47" s="27">
        <v>778.96</v>
      </c>
      <c r="G47" s="28">
        <v>8.3000000000000001E-3</v>
      </c>
      <c r="H47" s="29"/>
    </row>
    <row r="48" spans="2:8" ht="15.75" customHeight="1" x14ac:dyDescent="0.2">
      <c r="B48" s="25" t="s">
        <v>603</v>
      </c>
      <c r="C48" s="25" t="s">
        <v>604</v>
      </c>
      <c r="D48" s="25" t="s">
        <v>165</v>
      </c>
      <c r="E48" s="26">
        <v>25982</v>
      </c>
      <c r="F48" s="27">
        <v>769.42</v>
      </c>
      <c r="G48" s="28">
        <v>8.2000000000000007E-3</v>
      </c>
      <c r="H48" s="29"/>
    </row>
    <row r="49" spans="2:8" ht="15.75" customHeight="1" x14ac:dyDescent="0.2">
      <c r="B49" s="25" t="s">
        <v>605</v>
      </c>
      <c r="C49" s="25" t="s">
        <v>606</v>
      </c>
      <c r="D49" s="25" t="s">
        <v>607</v>
      </c>
      <c r="E49" s="26">
        <v>51498</v>
      </c>
      <c r="F49" s="27">
        <v>749.3</v>
      </c>
      <c r="G49" s="28">
        <v>8.0000000000000002E-3</v>
      </c>
      <c r="H49" s="29"/>
    </row>
    <row r="50" spans="2:8" ht="15.75" customHeight="1" x14ac:dyDescent="0.2">
      <c r="B50" s="25" t="s">
        <v>608</v>
      </c>
      <c r="C50" s="25" t="s">
        <v>609</v>
      </c>
      <c r="D50" s="25" t="s">
        <v>303</v>
      </c>
      <c r="E50" s="26">
        <v>5319</v>
      </c>
      <c r="F50" s="27">
        <v>695.21</v>
      </c>
      <c r="G50" s="28">
        <v>7.4000000000000003E-3</v>
      </c>
      <c r="H50" s="29"/>
    </row>
    <row r="51" spans="2:8" ht="15.75" customHeight="1" x14ac:dyDescent="0.2">
      <c r="B51" s="25" t="s">
        <v>333</v>
      </c>
      <c r="C51" s="25" t="s">
        <v>334</v>
      </c>
      <c r="D51" s="25" t="s">
        <v>141</v>
      </c>
      <c r="E51" s="26">
        <v>15852</v>
      </c>
      <c r="F51" s="27">
        <v>608.65</v>
      </c>
      <c r="G51" s="28">
        <v>6.4999999999999997E-3</v>
      </c>
      <c r="H51" s="29"/>
    </row>
    <row r="52" spans="2:8" ht="15.75" customHeight="1" x14ac:dyDescent="0.2">
      <c r="B52" s="25" t="s">
        <v>610</v>
      </c>
      <c r="C52" s="25" t="s">
        <v>611</v>
      </c>
      <c r="D52" s="25" t="s">
        <v>252</v>
      </c>
      <c r="E52" s="26">
        <v>142955</v>
      </c>
      <c r="F52" s="27">
        <v>548.52</v>
      </c>
      <c r="G52" s="28">
        <v>5.7999999999999996E-3</v>
      </c>
      <c r="H52" s="29"/>
    </row>
    <row r="53" spans="2:8" ht="15.75" customHeight="1" x14ac:dyDescent="0.2">
      <c r="B53" s="25" t="s">
        <v>612</v>
      </c>
      <c r="C53" s="25" t="s">
        <v>613</v>
      </c>
      <c r="D53" s="25" t="s">
        <v>212</v>
      </c>
      <c r="E53" s="26">
        <v>78123</v>
      </c>
      <c r="F53" s="27">
        <v>441.51</v>
      </c>
      <c r="G53" s="28">
        <v>4.7000000000000002E-3</v>
      </c>
      <c r="H53" s="29"/>
    </row>
    <row r="54" spans="2:8" ht="15.75" customHeight="1" x14ac:dyDescent="0.2">
      <c r="B54" s="25" t="s">
        <v>309</v>
      </c>
      <c r="C54" s="25" t="s">
        <v>310</v>
      </c>
      <c r="D54" s="25" t="s">
        <v>207</v>
      </c>
      <c r="E54" s="26">
        <v>60254</v>
      </c>
      <c r="F54" s="27">
        <v>314.47000000000003</v>
      </c>
      <c r="G54" s="28">
        <v>3.3999999999999998E-3</v>
      </c>
      <c r="H54" s="29"/>
    </row>
    <row r="55" spans="2:8" ht="15.75" customHeight="1" x14ac:dyDescent="0.2">
      <c r="B55" s="25" t="s">
        <v>614</v>
      </c>
      <c r="C55" s="25" t="s">
        <v>615</v>
      </c>
      <c r="D55" s="25" t="s">
        <v>303</v>
      </c>
      <c r="E55" s="26">
        <v>17062</v>
      </c>
      <c r="F55" s="27">
        <v>258.22000000000003</v>
      </c>
      <c r="G55" s="28">
        <v>2.8E-3</v>
      </c>
      <c r="H55" s="29"/>
    </row>
    <row r="56" spans="2:8" ht="15.75" customHeight="1" x14ac:dyDescent="0.2">
      <c r="B56" s="25" t="s">
        <v>616</v>
      </c>
      <c r="C56" s="25" t="s">
        <v>617</v>
      </c>
      <c r="D56" s="25" t="s">
        <v>298</v>
      </c>
      <c r="E56" s="26">
        <v>1242</v>
      </c>
      <c r="F56" s="27">
        <v>185.43</v>
      </c>
      <c r="G56" s="28">
        <v>2E-3</v>
      </c>
      <c r="H56" s="29"/>
    </row>
    <row r="57" spans="2:8" ht="15.75" customHeight="1" x14ac:dyDescent="0.2">
      <c r="B57" s="25" t="s">
        <v>618</v>
      </c>
      <c r="C57" s="25" t="s">
        <v>619</v>
      </c>
      <c r="D57" s="25" t="s">
        <v>303</v>
      </c>
      <c r="E57" s="26">
        <v>10731</v>
      </c>
      <c r="F57" s="27">
        <v>171.98</v>
      </c>
      <c r="G57" s="28">
        <v>1.8E-3</v>
      </c>
      <c r="H57" s="29"/>
    </row>
    <row r="58" spans="2:8" ht="15.75" customHeight="1" x14ac:dyDescent="0.2">
      <c r="B58" s="25" t="s">
        <v>620</v>
      </c>
      <c r="C58" s="25" t="s">
        <v>621</v>
      </c>
      <c r="D58" s="25" t="s">
        <v>215</v>
      </c>
      <c r="E58" s="26">
        <v>3869</v>
      </c>
      <c r="F58" s="27">
        <v>20.329999999999998</v>
      </c>
      <c r="G58" s="28">
        <v>2.0000000000000001E-4</v>
      </c>
      <c r="H58" s="29"/>
    </row>
    <row r="59" spans="2:8" ht="15.75" customHeight="1" x14ac:dyDescent="0.2">
      <c r="B59" s="24" t="s">
        <v>94</v>
      </c>
      <c r="C59" s="24"/>
      <c r="D59" s="24"/>
      <c r="E59" s="30"/>
      <c r="F59" s="31">
        <v>88335.8</v>
      </c>
      <c r="G59" s="32">
        <v>0.9415</v>
      </c>
      <c r="H59" s="33"/>
    </row>
    <row r="60" spans="2:8" ht="15.75" customHeight="1" x14ac:dyDescent="0.2">
      <c r="B60" s="24" t="s">
        <v>144</v>
      </c>
      <c r="C60" s="25"/>
      <c r="D60" s="25"/>
      <c r="E60" s="26"/>
      <c r="F60" s="27"/>
      <c r="G60" s="28"/>
      <c r="H60" s="29"/>
    </row>
    <row r="61" spans="2:8" ht="15.75" customHeight="1" x14ac:dyDescent="0.2">
      <c r="B61" s="24" t="s">
        <v>94</v>
      </c>
      <c r="C61" s="25"/>
      <c r="D61" s="25"/>
      <c r="E61" s="26"/>
      <c r="F61" s="34" t="s">
        <v>96</v>
      </c>
      <c r="G61" s="35" t="s">
        <v>96</v>
      </c>
      <c r="H61" s="29"/>
    </row>
    <row r="62" spans="2:8" ht="15.75" customHeight="1" x14ac:dyDescent="0.2">
      <c r="B62" s="25"/>
      <c r="C62" s="25"/>
      <c r="D62" s="25"/>
      <c r="E62" s="26"/>
      <c r="F62" s="27"/>
      <c r="G62" s="28"/>
      <c r="H62" s="29"/>
    </row>
    <row r="63" spans="2:8" ht="15.75" customHeight="1" x14ac:dyDescent="0.2">
      <c r="B63" s="36" t="s">
        <v>98</v>
      </c>
      <c r="C63" s="36"/>
      <c r="D63" s="36"/>
      <c r="E63" s="37"/>
      <c r="F63" s="31">
        <v>88335.8</v>
      </c>
      <c r="G63" s="32">
        <v>0.9415</v>
      </c>
      <c r="H63" s="33"/>
    </row>
    <row r="64" spans="2:8" ht="15.75" customHeight="1" x14ac:dyDescent="0.2">
      <c r="B64" s="25"/>
      <c r="C64" s="25"/>
      <c r="D64" s="25"/>
      <c r="E64" s="26"/>
      <c r="F64" s="27"/>
      <c r="G64" s="28"/>
      <c r="H64" s="29"/>
    </row>
    <row r="65" spans="2:16" ht="15.75" customHeight="1" x14ac:dyDescent="0.2">
      <c r="B65" s="24" t="s">
        <v>82</v>
      </c>
      <c r="C65" s="25"/>
      <c r="D65" s="25"/>
      <c r="E65" s="26"/>
      <c r="F65" s="27"/>
      <c r="G65" s="28"/>
      <c r="H65" s="29"/>
    </row>
    <row r="66" spans="2:16" ht="15.75" customHeight="1" x14ac:dyDescent="0.2">
      <c r="B66" s="24" t="s">
        <v>83</v>
      </c>
      <c r="C66" s="25"/>
      <c r="D66" s="25"/>
      <c r="E66" s="26"/>
      <c r="F66" s="27"/>
      <c r="G66" s="28"/>
      <c r="H66" s="29"/>
    </row>
    <row r="67" spans="2:16" ht="15.75" customHeight="1" x14ac:dyDescent="0.2">
      <c r="B67" s="25" t="s">
        <v>622</v>
      </c>
      <c r="C67" s="25" t="s">
        <v>623</v>
      </c>
      <c r="D67" s="25" t="s">
        <v>92</v>
      </c>
      <c r="E67" s="26">
        <v>10248</v>
      </c>
      <c r="F67" s="27">
        <v>3.05</v>
      </c>
      <c r="G67" s="28" t="s">
        <v>624</v>
      </c>
      <c r="H67" s="29">
        <v>7.9200999999999994E-2</v>
      </c>
    </row>
    <row r="68" spans="2:16" ht="15.75" customHeight="1" x14ac:dyDescent="0.2">
      <c r="B68" s="24" t="s">
        <v>94</v>
      </c>
      <c r="C68" s="24"/>
      <c r="D68" s="24"/>
      <c r="E68" s="30"/>
      <c r="F68" s="31">
        <v>3.05</v>
      </c>
      <c r="G68" s="32" t="s">
        <v>624</v>
      </c>
      <c r="H68" s="33"/>
      <c r="L68" s="3"/>
    </row>
    <row r="69" spans="2:16" ht="15.75" customHeight="1" x14ac:dyDescent="0.2">
      <c r="B69" s="25"/>
      <c r="C69" s="25"/>
      <c r="D69" s="25"/>
      <c r="E69" s="26"/>
      <c r="F69" s="27"/>
      <c r="G69" s="28"/>
      <c r="H69" s="29"/>
    </row>
    <row r="70" spans="2:16" ht="15.75" customHeight="1" x14ac:dyDescent="0.2">
      <c r="B70" s="24" t="s">
        <v>95</v>
      </c>
      <c r="C70" s="25"/>
      <c r="D70" s="25"/>
      <c r="E70" s="26"/>
      <c r="F70" s="27"/>
      <c r="G70" s="28"/>
      <c r="H70" s="29"/>
      <c r="L70" s="3"/>
    </row>
    <row r="71" spans="2:16" ht="15.75" customHeight="1" x14ac:dyDescent="0.2">
      <c r="B71" s="24" t="s">
        <v>94</v>
      </c>
      <c r="C71" s="25"/>
      <c r="D71" s="25"/>
      <c r="E71" s="26"/>
      <c r="F71" s="34" t="s">
        <v>96</v>
      </c>
      <c r="G71" s="35" t="s">
        <v>96</v>
      </c>
      <c r="H71" s="29"/>
      <c r="L71" s="3"/>
    </row>
    <row r="72" spans="2:16" ht="15.75" customHeight="1" x14ac:dyDescent="0.2">
      <c r="B72" s="25"/>
      <c r="C72" s="25"/>
      <c r="D72" s="25"/>
      <c r="E72" s="26"/>
      <c r="F72" s="27"/>
      <c r="G72" s="28"/>
      <c r="H72" s="29"/>
      <c r="L72" s="3"/>
    </row>
    <row r="73" spans="2:16" ht="15.75" customHeight="1" x14ac:dyDescent="0.2">
      <c r="B73" s="24" t="s">
        <v>97</v>
      </c>
      <c r="C73" s="25"/>
      <c r="D73" s="25"/>
      <c r="E73" s="26"/>
      <c r="F73" s="27"/>
      <c r="G73" s="28"/>
      <c r="H73" s="29"/>
      <c r="L73" s="3"/>
    </row>
    <row r="74" spans="2:16" ht="15.75" customHeight="1" x14ac:dyDescent="0.2">
      <c r="B74" s="24" t="s">
        <v>94</v>
      </c>
      <c r="C74" s="25"/>
      <c r="D74" s="25"/>
      <c r="E74" s="26"/>
      <c r="F74" s="34" t="s">
        <v>96</v>
      </c>
      <c r="G74" s="35" t="s">
        <v>96</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98</v>
      </c>
      <c r="C76" s="36"/>
      <c r="D76" s="36"/>
      <c r="E76" s="37"/>
      <c r="F76" s="31">
        <v>3.05</v>
      </c>
      <c r="G76" s="32" t="s">
        <v>624</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101</v>
      </c>
      <c r="C79" s="25"/>
      <c r="D79" s="25"/>
      <c r="E79" s="26"/>
      <c r="F79" s="27"/>
      <c r="G79" s="28"/>
      <c r="H79" s="29"/>
      <c r="L79" s="7"/>
      <c r="M79" s="7"/>
      <c r="N79" s="7"/>
      <c r="O79" s="7"/>
      <c r="P79" s="7"/>
    </row>
    <row r="80" spans="2:16" ht="15.75" customHeight="1" x14ac:dyDescent="0.2">
      <c r="B80" s="25" t="s">
        <v>102</v>
      </c>
      <c r="C80" s="25"/>
      <c r="D80" s="25"/>
      <c r="E80" s="26"/>
      <c r="F80" s="27">
        <v>5101.4799999999996</v>
      </c>
      <c r="G80" s="28">
        <v>5.4399999999999997E-2</v>
      </c>
      <c r="H80" s="29"/>
      <c r="L80" s="7"/>
      <c r="M80" s="7"/>
      <c r="N80" s="7"/>
      <c r="O80" s="7"/>
      <c r="P80" s="7"/>
    </row>
    <row r="81" spans="2:16" ht="15.75" customHeight="1" x14ac:dyDescent="0.2">
      <c r="B81" s="24" t="s">
        <v>94</v>
      </c>
      <c r="C81" s="24"/>
      <c r="D81" s="24"/>
      <c r="E81" s="30"/>
      <c r="F81" s="31">
        <v>5101.4799999999996</v>
      </c>
      <c r="G81" s="32">
        <v>5.4399999999999997E-2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98</v>
      </c>
      <c r="C83" s="36"/>
      <c r="D83" s="36"/>
      <c r="E83" s="37"/>
      <c r="F83" s="31">
        <v>5101.4799999999996</v>
      </c>
      <c r="G83" s="32">
        <v>5.4399999999999997E-2</v>
      </c>
      <c r="H83" s="33"/>
      <c r="L83" s="7"/>
      <c r="M83" s="7"/>
      <c r="N83" s="7"/>
      <c r="O83" s="7"/>
      <c r="P83" s="7"/>
    </row>
    <row r="84" spans="2:16" ht="15.75" customHeight="1" x14ac:dyDescent="0.2">
      <c r="B84" s="25" t="s">
        <v>103</v>
      </c>
      <c r="C84" s="25"/>
      <c r="D84" s="25"/>
      <c r="E84" s="26"/>
      <c r="F84" s="27">
        <v>377.63</v>
      </c>
      <c r="G84" s="28">
        <v>4.0999999999999925E-3</v>
      </c>
      <c r="H84" s="29"/>
      <c r="L84" s="7"/>
      <c r="M84" s="7"/>
      <c r="N84" s="7"/>
      <c r="O84" s="7"/>
      <c r="P84" s="7"/>
    </row>
    <row r="85" spans="2:16" ht="15.75" customHeight="1" x14ac:dyDescent="0.2">
      <c r="B85" s="40" t="s">
        <v>104</v>
      </c>
      <c r="C85" s="40"/>
      <c r="D85" s="40"/>
      <c r="E85" s="41"/>
      <c r="F85" s="42">
        <v>93817.96</v>
      </c>
      <c r="G85" s="43">
        <v>1</v>
      </c>
      <c r="H85" s="44"/>
    </row>
    <row r="86" spans="2:16" ht="15.75" customHeight="1" x14ac:dyDescent="0.2">
      <c r="B86" s="2"/>
      <c r="L86" s="3"/>
    </row>
    <row r="87" spans="2:16" ht="15.75" customHeight="1" x14ac:dyDescent="0.2">
      <c r="B87" s="12" t="s">
        <v>625</v>
      </c>
    </row>
    <row r="88" spans="2:16" ht="15.75" customHeight="1" x14ac:dyDescent="0.2">
      <c r="B88" s="12" t="s">
        <v>105</v>
      </c>
    </row>
    <row r="89" spans="2:16" ht="15.75" customHeight="1" thickBot="1" x14ac:dyDescent="0.25"/>
    <row r="90" spans="2:16" ht="27" customHeight="1" thickBot="1" x14ac:dyDescent="0.25">
      <c r="B90" s="57" t="s">
        <v>829</v>
      </c>
      <c r="C90" s="58" t="s">
        <v>830</v>
      </c>
      <c r="D90" s="58" t="s">
        <v>831</v>
      </c>
      <c r="E90" s="63" t="s">
        <v>832</v>
      </c>
      <c r="G90" s="2"/>
      <c r="H90" s="2"/>
    </row>
    <row r="91" spans="2:16" ht="23.25" customHeight="1" x14ac:dyDescent="0.2">
      <c r="B91" s="64" t="s">
        <v>45</v>
      </c>
      <c r="C91" s="82"/>
      <c r="D91" s="85" t="s">
        <v>887</v>
      </c>
      <c r="E91" s="87"/>
      <c r="G91" s="2"/>
      <c r="H91" s="2"/>
    </row>
    <row r="92" spans="2:16" ht="39.950000000000003" customHeight="1" x14ac:dyDescent="0.2">
      <c r="B92" s="66" t="s">
        <v>876</v>
      </c>
      <c r="C92" s="83"/>
      <c r="D92" s="86"/>
      <c r="E92" s="83"/>
      <c r="G92" s="2"/>
      <c r="H92" s="2"/>
    </row>
    <row r="93" spans="2:16" ht="39.950000000000003" customHeight="1" x14ac:dyDescent="0.2">
      <c r="B93" s="66" t="s">
        <v>888</v>
      </c>
      <c r="C93" s="83"/>
      <c r="D93" s="86"/>
      <c r="E93" s="83"/>
      <c r="G93" s="2"/>
      <c r="H93" s="2"/>
    </row>
    <row r="94" spans="2:16" ht="27.75" customHeight="1" thickBot="1" x14ac:dyDescent="0.25">
      <c r="B94" s="68" t="s">
        <v>866</v>
      </c>
      <c r="C94" s="84"/>
      <c r="D94" s="71" t="s">
        <v>871</v>
      </c>
      <c r="E94" s="88"/>
      <c r="G94" s="2"/>
      <c r="H94" s="2"/>
    </row>
    <row r="95" spans="2:16" ht="24.95" customHeight="1" x14ac:dyDescent="0.2">
      <c r="B95" s="59" t="s">
        <v>833</v>
      </c>
      <c r="C95" s="60"/>
      <c r="D95" s="61"/>
      <c r="E95" s="62"/>
      <c r="G95" s="2"/>
      <c r="H95" s="2"/>
    </row>
    <row r="96" spans="2:16" ht="15.75" customHeight="1" x14ac:dyDescent="0.2">
      <c r="L96" s="7"/>
      <c r="M96" s="7"/>
      <c r="N96" s="7"/>
      <c r="O96" s="7"/>
      <c r="P96" s="7"/>
    </row>
    <row r="97" spans="2:8" ht="12" x14ac:dyDescent="0.2">
      <c r="B97" s="2" t="s">
        <v>834</v>
      </c>
      <c r="C97" s="2"/>
      <c r="D97" s="2"/>
      <c r="G97" s="2"/>
      <c r="H97" s="2"/>
    </row>
    <row r="98" spans="2:8" ht="12" x14ac:dyDescent="0.2">
      <c r="B98" s="3" t="s">
        <v>835</v>
      </c>
      <c r="C98" s="2"/>
      <c r="D98" s="2"/>
      <c r="G98" s="2"/>
      <c r="H98" s="2"/>
    </row>
  </sheetData>
  <mergeCells count="3">
    <mergeCell ref="C91:C94"/>
    <mergeCell ref="D91:D93"/>
    <mergeCell ref="E91:E94"/>
  </mergeCells>
  <hyperlinks>
    <hyperlink ref="I1" location="'Sheet1'!A1" display="Index" xr:uid="{4540BFC2-5A6C-46CA-B475-64BC680FA39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D792-9E17-43A2-A7B7-B70A91195771}">
  <dimension ref="B1:P89"/>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626</v>
      </c>
      <c r="C7" s="25" t="s">
        <v>627</v>
      </c>
      <c r="D7" s="25" t="s">
        <v>303</v>
      </c>
      <c r="E7" s="26">
        <v>61751</v>
      </c>
      <c r="F7" s="27">
        <v>1046.6500000000001</v>
      </c>
      <c r="G7" s="28">
        <v>5.0099999999999999E-2</v>
      </c>
      <c r="H7" s="29"/>
    </row>
    <row r="8" spans="2:9" ht="15.75" customHeight="1" x14ac:dyDescent="0.2">
      <c r="B8" s="25" t="s">
        <v>628</v>
      </c>
      <c r="C8" s="25" t="s">
        <v>629</v>
      </c>
      <c r="D8" s="25" t="s">
        <v>241</v>
      </c>
      <c r="E8" s="26">
        <v>31973</v>
      </c>
      <c r="F8" s="27">
        <v>742.92</v>
      </c>
      <c r="G8" s="28">
        <v>3.5499999999999997E-2</v>
      </c>
      <c r="H8" s="29"/>
    </row>
    <row r="9" spans="2:9" ht="15.75" customHeight="1" x14ac:dyDescent="0.2">
      <c r="B9" s="25" t="s">
        <v>296</v>
      </c>
      <c r="C9" s="25" t="s">
        <v>297</v>
      </c>
      <c r="D9" s="25" t="s">
        <v>298</v>
      </c>
      <c r="E9" s="26">
        <v>328055</v>
      </c>
      <c r="F9" s="27">
        <v>720.41</v>
      </c>
      <c r="G9" s="28">
        <v>3.4500000000000003E-2</v>
      </c>
      <c r="H9" s="29"/>
    </row>
    <row r="10" spans="2:9" ht="15.75" customHeight="1" x14ac:dyDescent="0.2">
      <c r="B10" s="25" t="s">
        <v>458</v>
      </c>
      <c r="C10" s="25" t="s">
        <v>459</v>
      </c>
      <c r="D10" s="25" t="s">
        <v>298</v>
      </c>
      <c r="E10" s="26">
        <v>27154</v>
      </c>
      <c r="F10" s="27">
        <v>681.23</v>
      </c>
      <c r="G10" s="28">
        <v>3.2599999999999997E-2</v>
      </c>
      <c r="H10" s="29"/>
    </row>
    <row r="11" spans="2:9" ht="15.75" customHeight="1" x14ac:dyDescent="0.2">
      <c r="B11" s="25" t="s">
        <v>368</v>
      </c>
      <c r="C11" s="25" t="s">
        <v>369</v>
      </c>
      <c r="D11" s="25" t="s">
        <v>303</v>
      </c>
      <c r="E11" s="26">
        <v>21041</v>
      </c>
      <c r="F11" s="27">
        <v>671.86</v>
      </c>
      <c r="G11" s="28">
        <v>3.2099999999999997E-2</v>
      </c>
      <c r="H11" s="29"/>
    </row>
    <row r="12" spans="2:9" ht="15.75" customHeight="1" x14ac:dyDescent="0.2">
      <c r="B12" s="25" t="s">
        <v>630</v>
      </c>
      <c r="C12" s="25" t="s">
        <v>631</v>
      </c>
      <c r="D12" s="25" t="s">
        <v>303</v>
      </c>
      <c r="E12" s="26">
        <v>89049</v>
      </c>
      <c r="F12" s="27">
        <v>633.04999999999995</v>
      </c>
      <c r="G12" s="28">
        <v>3.0300000000000001E-2</v>
      </c>
      <c r="H12" s="29"/>
    </row>
    <row r="13" spans="2:9" ht="15.75" customHeight="1" x14ac:dyDescent="0.2">
      <c r="B13" s="25" t="s">
        <v>632</v>
      </c>
      <c r="C13" s="25" t="s">
        <v>633</v>
      </c>
      <c r="D13" s="25" t="s">
        <v>358</v>
      </c>
      <c r="E13" s="26">
        <v>406875</v>
      </c>
      <c r="F13" s="27">
        <v>569.01</v>
      </c>
      <c r="G13" s="28">
        <v>2.7199999999999998E-2</v>
      </c>
      <c r="H13" s="29"/>
    </row>
    <row r="14" spans="2:9" ht="15.75" customHeight="1" x14ac:dyDescent="0.2">
      <c r="B14" s="25" t="s">
        <v>634</v>
      </c>
      <c r="C14" s="25" t="s">
        <v>635</v>
      </c>
      <c r="D14" s="25" t="s">
        <v>303</v>
      </c>
      <c r="E14" s="26">
        <v>21757</v>
      </c>
      <c r="F14" s="27">
        <v>515.33000000000004</v>
      </c>
      <c r="G14" s="28">
        <v>2.46E-2</v>
      </c>
      <c r="H14" s="29"/>
    </row>
    <row r="15" spans="2:9" ht="15.75" customHeight="1" x14ac:dyDescent="0.2">
      <c r="B15" s="25" t="s">
        <v>636</v>
      </c>
      <c r="C15" s="25" t="s">
        <v>637</v>
      </c>
      <c r="D15" s="25" t="s">
        <v>212</v>
      </c>
      <c r="E15" s="26">
        <v>44181</v>
      </c>
      <c r="F15" s="27">
        <v>503.44</v>
      </c>
      <c r="G15" s="28">
        <v>2.41E-2</v>
      </c>
      <c r="H15" s="29"/>
    </row>
    <row r="16" spans="2:9" ht="15.75" customHeight="1" x14ac:dyDescent="0.2">
      <c r="B16" s="25" t="s">
        <v>638</v>
      </c>
      <c r="C16" s="25" t="s">
        <v>639</v>
      </c>
      <c r="D16" s="25" t="s">
        <v>303</v>
      </c>
      <c r="E16" s="26">
        <v>13659</v>
      </c>
      <c r="F16" s="27">
        <v>498.31</v>
      </c>
      <c r="G16" s="28">
        <v>2.3800000000000002E-2</v>
      </c>
      <c r="H16" s="29"/>
    </row>
    <row r="17" spans="2:8" ht="15.75" customHeight="1" x14ac:dyDescent="0.2">
      <c r="B17" s="25" t="s">
        <v>483</v>
      </c>
      <c r="C17" s="25" t="s">
        <v>484</v>
      </c>
      <c r="D17" s="25" t="s">
        <v>361</v>
      </c>
      <c r="E17" s="26">
        <v>8960</v>
      </c>
      <c r="F17" s="27">
        <v>471.82</v>
      </c>
      <c r="G17" s="28">
        <v>2.2599999999999999E-2</v>
      </c>
      <c r="H17" s="29"/>
    </row>
    <row r="18" spans="2:8" ht="15.75" customHeight="1" x14ac:dyDescent="0.2">
      <c r="B18" s="25" t="s">
        <v>640</v>
      </c>
      <c r="C18" s="25" t="s">
        <v>641</v>
      </c>
      <c r="D18" s="25" t="s">
        <v>361</v>
      </c>
      <c r="E18" s="26">
        <v>7478</v>
      </c>
      <c r="F18" s="27">
        <v>443.43</v>
      </c>
      <c r="G18" s="28">
        <v>2.12E-2</v>
      </c>
      <c r="H18" s="29"/>
    </row>
    <row r="19" spans="2:8" ht="15.75" customHeight="1" x14ac:dyDescent="0.2">
      <c r="B19" s="25" t="s">
        <v>642</v>
      </c>
      <c r="C19" s="25" t="s">
        <v>643</v>
      </c>
      <c r="D19" s="25" t="s">
        <v>361</v>
      </c>
      <c r="E19" s="26">
        <v>81162</v>
      </c>
      <c r="F19" s="27">
        <v>443.1</v>
      </c>
      <c r="G19" s="28">
        <v>2.12E-2</v>
      </c>
      <c r="H19" s="29"/>
    </row>
    <row r="20" spans="2:8" ht="15.75" customHeight="1" x14ac:dyDescent="0.2">
      <c r="B20" s="25" t="s">
        <v>644</v>
      </c>
      <c r="C20" s="25" t="s">
        <v>645</v>
      </c>
      <c r="D20" s="25" t="s">
        <v>303</v>
      </c>
      <c r="E20" s="26">
        <v>70866</v>
      </c>
      <c r="F20" s="27">
        <v>435.76</v>
      </c>
      <c r="G20" s="28">
        <v>2.0799999999999999E-2</v>
      </c>
      <c r="H20" s="29"/>
    </row>
    <row r="21" spans="2:8" ht="15.75" customHeight="1" x14ac:dyDescent="0.2">
      <c r="B21" s="25" t="s">
        <v>366</v>
      </c>
      <c r="C21" s="25" t="s">
        <v>367</v>
      </c>
      <c r="D21" s="25" t="s">
        <v>361</v>
      </c>
      <c r="E21" s="26">
        <v>143131</v>
      </c>
      <c r="F21" s="27">
        <v>432.83</v>
      </c>
      <c r="G21" s="28">
        <v>2.07E-2</v>
      </c>
      <c r="H21" s="29"/>
    </row>
    <row r="22" spans="2:8" ht="15.75" customHeight="1" x14ac:dyDescent="0.2">
      <c r="B22" s="25" t="s">
        <v>479</v>
      </c>
      <c r="C22" s="25" t="s">
        <v>480</v>
      </c>
      <c r="D22" s="25" t="s">
        <v>303</v>
      </c>
      <c r="E22" s="26">
        <v>35275</v>
      </c>
      <c r="F22" s="27">
        <v>396.72</v>
      </c>
      <c r="G22" s="28">
        <v>1.9E-2</v>
      </c>
      <c r="H22" s="29"/>
    </row>
    <row r="23" spans="2:8" ht="15.75" customHeight="1" x14ac:dyDescent="0.2">
      <c r="B23" s="25" t="s">
        <v>646</v>
      </c>
      <c r="C23" s="25" t="s">
        <v>647</v>
      </c>
      <c r="D23" s="25" t="s">
        <v>212</v>
      </c>
      <c r="E23" s="26">
        <v>50258</v>
      </c>
      <c r="F23" s="27">
        <v>394.6</v>
      </c>
      <c r="G23" s="28">
        <v>1.89E-2</v>
      </c>
      <c r="H23" s="29"/>
    </row>
    <row r="24" spans="2:8" ht="15.75" customHeight="1" x14ac:dyDescent="0.2">
      <c r="B24" s="25" t="s">
        <v>648</v>
      </c>
      <c r="C24" s="25" t="s">
        <v>649</v>
      </c>
      <c r="D24" s="25" t="s">
        <v>127</v>
      </c>
      <c r="E24" s="26">
        <v>46095</v>
      </c>
      <c r="F24" s="27">
        <v>391.09</v>
      </c>
      <c r="G24" s="28">
        <v>1.8700000000000001E-2</v>
      </c>
      <c r="H24" s="29"/>
    </row>
    <row r="25" spans="2:8" ht="15.75" customHeight="1" x14ac:dyDescent="0.2">
      <c r="B25" s="25" t="s">
        <v>650</v>
      </c>
      <c r="C25" s="25" t="s">
        <v>651</v>
      </c>
      <c r="D25" s="25" t="s">
        <v>303</v>
      </c>
      <c r="E25" s="26">
        <v>120012</v>
      </c>
      <c r="F25" s="27">
        <v>388.06</v>
      </c>
      <c r="G25" s="28">
        <v>1.8599999999999998E-2</v>
      </c>
      <c r="H25" s="29"/>
    </row>
    <row r="26" spans="2:8" ht="15.75" customHeight="1" x14ac:dyDescent="0.2">
      <c r="B26" s="25" t="s">
        <v>407</v>
      </c>
      <c r="C26" s="25" t="s">
        <v>408</v>
      </c>
      <c r="D26" s="25" t="s">
        <v>124</v>
      </c>
      <c r="E26" s="26">
        <v>273612</v>
      </c>
      <c r="F26" s="27">
        <v>378.54</v>
      </c>
      <c r="G26" s="28">
        <v>1.8100000000000002E-2</v>
      </c>
      <c r="H26" s="29"/>
    </row>
    <row r="27" spans="2:8" ht="15.75" customHeight="1" x14ac:dyDescent="0.2">
      <c r="B27" s="25" t="s">
        <v>652</v>
      </c>
      <c r="C27" s="25" t="s">
        <v>653</v>
      </c>
      <c r="D27" s="25" t="s">
        <v>212</v>
      </c>
      <c r="E27" s="26">
        <v>94302</v>
      </c>
      <c r="F27" s="27">
        <v>376.78</v>
      </c>
      <c r="G27" s="28">
        <v>1.7999999999999999E-2</v>
      </c>
      <c r="H27" s="29"/>
    </row>
    <row r="28" spans="2:8" ht="15.75" customHeight="1" x14ac:dyDescent="0.2">
      <c r="B28" s="25" t="s">
        <v>510</v>
      </c>
      <c r="C28" s="25" t="s">
        <v>511</v>
      </c>
      <c r="D28" s="25" t="s">
        <v>277</v>
      </c>
      <c r="E28" s="26">
        <v>31789</v>
      </c>
      <c r="F28" s="27">
        <v>365.03</v>
      </c>
      <c r="G28" s="28">
        <v>1.7500000000000002E-2</v>
      </c>
      <c r="H28" s="29"/>
    </row>
    <row r="29" spans="2:8" ht="15.75" customHeight="1" x14ac:dyDescent="0.2">
      <c r="B29" s="25" t="s">
        <v>473</v>
      </c>
      <c r="C29" s="25" t="s">
        <v>474</v>
      </c>
      <c r="D29" s="25" t="s">
        <v>308</v>
      </c>
      <c r="E29" s="26">
        <v>24407</v>
      </c>
      <c r="F29" s="27">
        <v>361.04</v>
      </c>
      <c r="G29" s="28">
        <v>1.7299999999999999E-2</v>
      </c>
      <c r="H29" s="29"/>
    </row>
    <row r="30" spans="2:8" ht="15.75" customHeight="1" x14ac:dyDescent="0.2">
      <c r="B30" s="25" t="s">
        <v>654</v>
      </c>
      <c r="C30" s="25" t="s">
        <v>655</v>
      </c>
      <c r="D30" s="25" t="s">
        <v>196</v>
      </c>
      <c r="E30" s="26">
        <v>55378</v>
      </c>
      <c r="F30" s="27">
        <v>345.97</v>
      </c>
      <c r="G30" s="28">
        <v>1.6500000000000001E-2</v>
      </c>
      <c r="H30" s="29"/>
    </row>
    <row r="31" spans="2:8" ht="15.75" customHeight="1" x14ac:dyDescent="0.2">
      <c r="B31" s="25" t="s">
        <v>656</v>
      </c>
      <c r="C31" s="25" t="s">
        <v>657</v>
      </c>
      <c r="D31" s="25" t="s">
        <v>303</v>
      </c>
      <c r="E31" s="26">
        <v>9161</v>
      </c>
      <c r="F31" s="27">
        <v>327.45999999999998</v>
      </c>
      <c r="G31" s="28">
        <v>1.5699999999999999E-2</v>
      </c>
      <c r="H31" s="29"/>
    </row>
    <row r="32" spans="2:8" ht="15.75" customHeight="1" x14ac:dyDescent="0.2">
      <c r="B32" s="25" t="s">
        <v>471</v>
      </c>
      <c r="C32" s="25" t="s">
        <v>472</v>
      </c>
      <c r="D32" s="25" t="s">
        <v>204</v>
      </c>
      <c r="E32" s="26">
        <v>3770</v>
      </c>
      <c r="F32" s="27">
        <v>326.62</v>
      </c>
      <c r="G32" s="28">
        <v>1.5599999999999999E-2</v>
      </c>
      <c r="H32" s="29"/>
    </row>
    <row r="33" spans="2:8" ht="15.75" customHeight="1" x14ac:dyDescent="0.2">
      <c r="B33" s="25" t="s">
        <v>658</v>
      </c>
      <c r="C33" s="25" t="s">
        <v>659</v>
      </c>
      <c r="D33" s="25" t="s">
        <v>212</v>
      </c>
      <c r="E33" s="26">
        <v>29083</v>
      </c>
      <c r="F33" s="27">
        <v>304.75</v>
      </c>
      <c r="G33" s="28">
        <v>1.46E-2</v>
      </c>
      <c r="H33" s="29"/>
    </row>
    <row r="34" spans="2:8" ht="15.75" customHeight="1" x14ac:dyDescent="0.2">
      <c r="B34" s="25" t="s">
        <v>352</v>
      </c>
      <c r="C34" s="25" t="s">
        <v>353</v>
      </c>
      <c r="D34" s="25" t="s">
        <v>124</v>
      </c>
      <c r="E34" s="26">
        <v>285040</v>
      </c>
      <c r="F34" s="27">
        <v>295.73</v>
      </c>
      <c r="G34" s="28">
        <v>1.41E-2</v>
      </c>
      <c r="H34" s="29"/>
    </row>
    <row r="35" spans="2:8" ht="15.75" customHeight="1" x14ac:dyDescent="0.2">
      <c r="B35" s="25" t="s">
        <v>158</v>
      </c>
      <c r="C35" s="25" t="s">
        <v>159</v>
      </c>
      <c r="D35" s="25" t="s">
        <v>124</v>
      </c>
      <c r="E35" s="26">
        <v>118500</v>
      </c>
      <c r="F35" s="27">
        <v>293.41000000000003</v>
      </c>
      <c r="G35" s="28">
        <v>1.4E-2</v>
      </c>
      <c r="H35" s="29"/>
    </row>
    <row r="36" spans="2:8" ht="15.75" customHeight="1" x14ac:dyDescent="0.2">
      <c r="B36" s="25" t="s">
        <v>348</v>
      </c>
      <c r="C36" s="25" t="s">
        <v>349</v>
      </c>
      <c r="D36" s="25" t="s">
        <v>204</v>
      </c>
      <c r="E36" s="26">
        <v>198627</v>
      </c>
      <c r="F36" s="27">
        <v>286.52</v>
      </c>
      <c r="G36" s="28">
        <v>1.37E-2</v>
      </c>
      <c r="H36" s="29"/>
    </row>
    <row r="37" spans="2:8" ht="15.75" customHeight="1" x14ac:dyDescent="0.2">
      <c r="B37" s="25" t="s">
        <v>380</v>
      </c>
      <c r="C37" s="25" t="s">
        <v>381</v>
      </c>
      <c r="D37" s="25" t="s">
        <v>252</v>
      </c>
      <c r="E37" s="26">
        <v>54706</v>
      </c>
      <c r="F37" s="27">
        <v>265.57</v>
      </c>
      <c r="G37" s="28">
        <v>1.2699999999999999E-2</v>
      </c>
      <c r="H37" s="29"/>
    </row>
    <row r="38" spans="2:8" ht="15.75" customHeight="1" x14ac:dyDescent="0.2">
      <c r="B38" s="25" t="s">
        <v>660</v>
      </c>
      <c r="C38" s="25" t="s">
        <v>661</v>
      </c>
      <c r="D38" s="25" t="s">
        <v>162</v>
      </c>
      <c r="E38" s="26">
        <v>57637</v>
      </c>
      <c r="F38" s="27">
        <v>263.75</v>
      </c>
      <c r="G38" s="28">
        <v>1.26E-2</v>
      </c>
      <c r="H38" s="29"/>
    </row>
    <row r="39" spans="2:8" ht="15.75" customHeight="1" x14ac:dyDescent="0.2">
      <c r="B39" s="25" t="s">
        <v>662</v>
      </c>
      <c r="C39" s="25" t="s">
        <v>663</v>
      </c>
      <c r="D39" s="25" t="s">
        <v>212</v>
      </c>
      <c r="E39" s="26">
        <v>29746</v>
      </c>
      <c r="F39" s="27">
        <v>256.52999999999997</v>
      </c>
      <c r="G39" s="28">
        <v>1.23E-2</v>
      </c>
      <c r="H39" s="29"/>
    </row>
    <row r="40" spans="2:8" ht="15.75" customHeight="1" x14ac:dyDescent="0.2">
      <c r="B40" s="25" t="s">
        <v>664</v>
      </c>
      <c r="C40" s="25" t="s">
        <v>665</v>
      </c>
      <c r="D40" s="25" t="s">
        <v>303</v>
      </c>
      <c r="E40" s="26">
        <v>7561</v>
      </c>
      <c r="F40" s="27">
        <v>256.14</v>
      </c>
      <c r="G40" s="28">
        <v>1.23E-2</v>
      </c>
      <c r="H40" s="29"/>
    </row>
    <row r="41" spans="2:8" ht="15.75" customHeight="1" x14ac:dyDescent="0.2">
      <c r="B41" s="25" t="s">
        <v>666</v>
      </c>
      <c r="C41" s="25" t="s">
        <v>667</v>
      </c>
      <c r="D41" s="25" t="s">
        <v>215</v>
      </c>
      <c r="E41" s="26">
        <v>7341</v>
      </c>
      <c r="F41" s="27">
        <v>250.88</v>
      </c>
      <c r="G41" s="28">
        <v>1.2E-2</v>
      </c>
      <c r="H41" s="29"/>
    </row>
    <row r="42" spans="2:8" ht="15.75" customHeight="1" x14ac:dyDescent="0.2">
      <c r="B42" s="25" t="s">
        <v>620</v>
      </c>
      <c r="C42" s="25" t="s">
        <v>621</v>
      </c>
      <c r="D42" s="25" t="s">
        <v>215</v>
      </c>
      <c r="E42" s="26">
        <v>47493</v>
      </c>
      <c r="F42" s="27">
        <v>249.53</v>
      </c>
      <c r="G42" s="28">
        <v>1.1900000000000001E-2</v>
      </c>
      <c r="H42" s="29"/>
    </row>
    <row r="43" spans="2:8" ht="15.75" customHeight="1" x14ac:dyDescent="0.2">
      <c r="B43" s="25" t="s">
        <v>438</v>
      </c>
      <c r="C43" s="25" t="s">
        <v>439</v>
      </c>
      <c r="D43" s="25" t="s">
        <v>252</v>
      </c>
      <c r="E43" s="26">
        <v>26697</v>
      </c>
      <c r="F43" s="27">
        <v>248.23</v>
      </c>
      <c r="G43" s="28">
        <v>1.1900000000000001E-2</v>
      </c>
      <c r="H43" s="29"/>
    </row>
    <row r="44" spans="2:8" ht="15.75" customHeight="1" x14ac:dyDescent="0.2">
      <c r="B44" s="25" t="s">
        <v>573</v>
      </c>
      <c r="C44" s="25" t="s">
        <v>574</v>
      </c>
      <c r="D44" s="25" t="s">
        <v>212</v>
      </c>
      <c r="E44" s="26">
        <v>88976</v>
      </c>
      <c r="F44" s="27">
        <v>245.4</v>
      </c>
      <c r="G44" s="28">
        <v>1.17E-2</v>
      </c>
      <c r="H44" s="29"/>
    </row>
    <row r="45" spans="2:8" ht="15.75" customHeight="1" x14ac:dyDescent="0.2">
      <c r="B45" s="25" t="s">
        <v>512</v>
      </c>
      <c r="C45" s="25" t="s">
        <v>513</v>
      </c>
      <c r="D45" s="25" t="s">
        <v>277</v>
      </c>
      <c r="E45" s="26">
        <v>14433</v>
      </c>
      <c r="F45" s="27">
        <v>235.6</v>
      </c>
      <c r="G45" s="28">
        <v>1.1299999999999999E-2</v>
      </c>
      <c r="H45" s="29"/>
    </row>
    <row r="46" spans="2:8" ht="15.75" customHeight="1" x14ac:dyDescent="0.2">
      <c r="B46" s="25" t="s">
        <v>433</v>
      </c>
      <c r="C46" s="25" t="s">
        <v>434</v>
      </c>
      <c r="D46" s="25" t="s">
        <v>138</v>
      </c>
      <c r="E46" s="26">
        <v>37220</v>
      </c>
      <c r="F46" s="27">
        <v>220.23</v>
      </c>
      <c r="G46" s="28">
        <v>1.0500000000000001E-2</v>
      </c>
      <c r="H46" s="29"/>
    </row>
    <row r="47" spans="2:8" ht="15.75" customHeight="1" x14ac:dyDescent="0.2">
      <c r="B47" s="25" t="s">
        <v>668</v>
      </c>
      <c r="C47" s="25" t="s">
        <v>669</v>
      </c>
      <c r="D47" s="25" t="s">
        <v>215</v>
      </c>
      <c r="E47" s="26">
        <v>7925</v>
      </c>
      <c r="F47" s="27">
        <v>218.55</v>
      </c>
      <c r="G47" s="28">
        <v>1.0500000000000001E-2</v>
      </c>
      <c r="H47" s="29"/>
    </row>
    <row r="48" spans="2:8" ht="15.75" customHeight="1" x14ac:dyDescent="0.2">
      <c r="B48" s="25" t="s">
        <v>670</v>
      </c>
      <c r="C48" s="25" t="s">
        <v>671</v>
      </c>
      <c r="D48" s="25" t="s">
        <v>212</v>
      </c>
      <c r="E48" s="26">
        <v>17802</v>
      </c>
      <c r="F48" s="27">
        <v>209</v>
      </c>
      <c r="G48" s="28">
        <v>0.01</v>
      </c>
      <c r="H48" s="29"/>
    </row>
    <row r="49" spans="2:8" ht="15.75" customHeight="1" x14ac:dyDescent="0.2">
      <c r="B49" s="25" t="s">
        <v>448</v>
      </c>
      <c r="C49" s="25" t="s">
        <v>449</v>
      </c>
      <c r="D49" s="25" t="s">
        <v>212</v>
      </c>
      <c r="E49" s="26">
        <v>43234</v>
      </c>
      <c r="F49" s="27">
        <v>208.86</v>
      </c>
      <c r="G49" s="28">
        <v>0.01</v>
      </c>
      <c r="H49" s="29"/>
    </row>
    <row r="50" spans="2:8" ht="15.75" customHeight="1" x14ac:dyDescent="0.2">
      <c r="B50" s="25" t="s">
        <v>304</v>
      </c>
      <c r="C50" s="25" t="s">
        <v>305</v>
      </c>
      <c r="D50" s="25" t="s">
        <v>124</v>
      </c>
      <c r="E50" s="26">
        <v>246041</v>
      </c>
      <c r="F50" s="27">
        <v>207.54</v>
      </c>
      <c r="G50" s="28">
        <v>9.9000000000000008E-3</v>
      </c>
      <c r="H50" s="29"/>
    </row>
    <row r="51" spans="2:8" ht="15.75" customHeight="1" x14ac:dyDescent="0.2">
      <c r="B51" s="25" t="s">
        <v>452</v>
      </c>
      <c r="C51" s="25" t="s">
        <v>453</v>
      </c>
      <c r="D51" s="25" t="s">
        <v>323</v>
      </c>
      <c r="E51" s="26">
        <v>10404</v>
      </c>
      <c r="F51" s="27">
        <v>205.35</v>
      </c>
      <c r="G51" s="28">
        <v>9.7999999999999997E-3</v>
      </c>
      <c r="H51" s="29"/>
    </row>
    <row r="52" spans="2:8" ht="15.75" customHeight="1" x14ac:dyDescent="0.2">
      <c r="B52" s="25" t="s">
        <v>502</v>
      </c>
      <c r="C52" s="25" t="s">
        <v>503</v>
      </c>
      <c r="D52" s="25" t="s">
        <v>277</v>
      </c>
      <c r="E52" s="26">
        <v>109698</v>
      </c>
      <c r="F52" s="27">
        <v>203.05</v>
      </c>
      <c r="G52" s="28">
        <v>9.7000000000000003E-3</v>
      </c>
      <c r="H52" s="29"/>
    </row>
    <row r="53" spans="2:8" ht="15.75" customHeight="1" x14ac:dyDescent="0.2">
      <c r="B53" s="25" t="s">
        <v>372</v>
      </c>
      <c r="C53" s="25" t="s">
        <v>373</v>
      </c>
      <c r="D53" s="25" t="s">
        <v>313</v>
      </c>
      <c r="E53" s="26">
        <v>11737</v>
      </c>
      <c r="F53" s="27">
        <v>179.91</v>
      </c>
      <c r="G53" s="28">
        <v>8.6E-3</v>
      </c>
      <c r="H53" s="29"/>
    </row>
    <row r="54" spans="2:8" ht="15.75" customHeight="1" x14ac:dyDescent="0.2">
      <c r="B54" s="25" t="s">
        <v>672</v>
      </c>
      <c r="C54" s="25" t="s">
        <v>673</v>
      </c>
      <c r="D54" s="25" t="s">
        <v>215</v>
      </c>
      <c r="E54" s="26">
        <v>7728</v>
      </c>
      <c r="F54" s="27">
        <v>178.2</v>
      </c>
      <c r="G54" s="28">
        <v>8.5000000000000006E-3</v>
      </c>
      <c r="H54" s="29"/>
    </row>
    <row r="55" spans="2:8" ht="15.75" customHeight="1" x14ac:dyDescent="0.2">
      <c r="B55" s="25" t="s">
        <v>618</v>
      </c>
      <c r="C55" s="25" t="s">
        <v>619</v>
      </c>
      <c r="D55" s="25" t="s">
        <v>303</v>
      </c>
      <c r="E55" s="26">
        <v>11023</v>
      </c>
      <c r="F55" s="27">
        <v>176.65</v>
      </c>
      <c r="G55" s="28">
        <v>8.3999999999999995E-3</v>
      </c>
      <c r="H55" s="29"/>
    </row>
    <row r="56" spans="2:8" ht="15.75" customHeight="1" x14ac:dyDescent="0.2">
      <c r="B56" s="25" t="s">
        <v>597</v>
      </c>
      <c r="C56" s="25" t="s">
        <v>598</v>
      </c>
      <c r="D56" s="25" t="s">
        <v>298</v>
      </c>
      <c r="E56" s="26">
        <v>10375</v>
      </c>
      <c r="F56" s="27">
        <v>161.03</v>
      </c>
      <c r="G56" s="28">
        <v>7.7000000000000002E-3</v>
      </c>
      <c r="H56" s="29"/>
    </row>
    <row r="57" spans="2:8" ht="15.75" customHeight="1" x14ac:dyDescent="0.2">
      <c r="B57" s="25" t="s">
        <v>674</v>
      </c>
      <c r="C57" s="25" t="s">
        <v>675</v>
      </c>
      <c r="D57" s="25" t="s">
        <v>212</v>
      </c>
      <c r="E57" s="26">
        <v>1807</v>
      </c>
      <c r="F57" s="27">
        <v>149.13999999999999</v>
      </c>
      <c r="G57" s="28">
        <v>7.1000000000000004E-3</v>
      </c>
      <c r="H57" s="29"/>
    </row>
    <row r="58" spans="2:8" ht="15.75" customHeight="1" x14ac:dyDescent="0.2">
      <c r="B58" s="25" t="s">
        <v>487</v>
      </c>
      <c r="C58" s="25" t="s">
        <v>488</v>
      </c>
      <c r="D58" s="25" t="s">
        <v>226</v>
      </c>
      <c r="E58" s="26">
        <v>63669</v>
      </c>
      <c r="F58" s="27">
        <v>139.56</v>
      </c>
      <c r="G58" s="28">
        <v>6.7000000000000002E-3</v>
      </c>
      <c r="H58" s="29"/>
    </row>
    <row r="59" spans="2:8" ht="15.75" customHeight="1" x14ac:dyDescent="0.2">
      <c r="B59" s="25" t="s">
        <v>359</v>
      </c>
      <c r="C59" s="25" t="s">
        <v>360</v>
      </c>
      <c r="D59" s="25" t="s">
        <v>361</v>
      </c>
      <c r="E59" s="26">
        <v>13646</v>
      </c>
      <c r="F59" s="27">
        <v>131.16999999999999</v>
      </c>
      <c r="G59" s="28">
        <v>6.3E-3</v>
      </c>
      <c r="H59" s="29"/>
    </row>
    <row r="60" spans="2:8" ht="15.75" customHeight="1" x14ac:dyDescent="0.2">
      <c r="B60" s="25" t="s">
        <v>676</v>
      </c>
      <c r="C60" s="25" t="s">
        <v>677</v>
      </c>
      <c r="D60" s="25" t="s">
        <v>437</v>
      </c>
      <c r="E60" s="26">
        <v>20473</v>
      </c>
      <c r="F60" s="27">
        <v>127.02</v>
      </c>
      <c r="G60" s="28">
        <v>6.1000000000000004E-3</v>
      </c>
      <c r="H60" s="29"/>
    </row>
    <row r="61" spans="2:8" ht="15.75" customHeight="1" x14ac:dyDescent="0.2">
      <c r="B61" s="25" t="s">
        <v>500</v>
      </c>
      <c r="C61" s="25" t="s">
        <v>501</v>
      </c>
      <c r="D61" s="25" t="s">
        <v>127</v>
      </c>
      <c r="E61" s="26">
        <v>13416</v>
      </c>
      <c r="F61" s="27">
        <v>103.03</v>
      </c>
      <c r="G61" s="28">
        <v>4.8999999999999998E-3</v>
      </c>
      <c r="H61" s="29"/>
    </row>
    <row r="62" spans="2:8" ht="15.75" customHeight="1" x14ac:dyDescent="0.2">
      <c r="B62" s="25" t="s">
        <v>678</v>
      </c>
      <c r="C62" s="25" t="s">
        <v>679</v>
      </c>
      <c r="D62" s="25" t="s">
        <v>303</v>
      </c>
      <c r="E62" s="26">
        <v>10404</v>
      </c>
      <c r="F62" s="27">
        <v>95.26</v>
      </c>
      <c r="G62" s="28">
        <v>4.5999999999999999E-3</v>
      </c>
      <c r="H62" s="29"/>
    </row>
    <row r="63" spans="2:8" ht="15.75" customHeight="1" x14ac:dyDescent="0.2">
      <c r="B63" s="25" t="s">
        <v>321</v>
      </c>
      <c r="C63" s="25" t="s">
        <v>322</v>
      </c>
      <c r="D63" s="25" t="s">
        <v>323</v>
      </c>
      <c r="E63" s="26">
        <v>6636</v>
      </c>
      <c r="F63" s="27">
        <v>86</v>
      </c>
      <c r="G63" s="28">
        <v>4.1000000000000003E-3</v>
      </c>
      <c r="H63" s="29"/>
    </row>
    <row r="64" spans="2:8" ht="15.75" customHeight="1" x14ac:dyDescent="0.2">
      <c r="B64" s="25" t="s">
        <v>362</v>
      </c>
      <c r="C64" s="25" t="s">
        <v>363</v>
      </c>
      <c r="D64" s="25" t="s">
        <v>361</v>
      </c>
      <c r="E64" s="26">
        <v>9262</v>
      </c>
      <c r="F64" s="27">
        <v>63.16</v>
      </c>
      <c r="G64" s="28">
        <v>3.0000000000000001E-3</v>
      </c>
      <c r="H64" s="29"/>
    </row>
    <row r="65" spans="2:16" ht="15.75" customHeight="1" x14ac:dyDescent="0.2">
      <c r="B65" s="25" t="s">
        <v>317</v>
      </c>
      <c r="C65" s="25" t="s">
        <v>318</v>
      </c>
      <c r="D65" s="25" t="s">
        <v>124</v>
      </c>
      <c r="E65" s="26">
        <v>10946</v>
      </c>
      <c r="F65" s="27">
        <v>15.86</v>
      </c>
      <c r="G65" s="28">
        <v>8.0000000000000004E-4</v>
      </c>
      <c r="H65" s="29"/>
    </row>
    <row r="66" spans="2:16" ht="15.75" customHeight="1" x14ac:dyDescent="0.2">
      <c r="B66" s="24" t="s">
        <v>94</v>
      </c>
      <c r="C66" s="24"/>
      <c r="D66" s="24"/>
      <c r="E66" s="30"/>
      <c r="F66" s="31">
        <v>19391.669999999998</v>
      </c>
      <c r="G66" s="32">
        <v>0.9274</v>
      </c>
      <c r="H66" s="33"/>
    </row>
    <row r="67" spans="2:16" ht="15.75" customHeight="1" x14ac:dyDescent="0.2">
      <c r="B67" s="24" t="s">
        <v>144</v>
      </c>
      <c r="C67" s="25"/>
      <c r="D67" s="25"/>
      <c r="E67" s="26"/>
      <c r="F67" s="27"/>
      <c r="G67" s="28"/>
      <c r="H67" s="29"/>
    </row>
    <row r="68" spans="2:16" ht="15.75" customHeight="1" x14ac:dyDescent="0.2">
      <c r="B68" s="24" t="s">
        <v>94</v>
      </c>
      <c r="C68" s="25"/>
      <c r="D68" s="25"/>
      <c r="E68" s="26"/>
      <c r="F68" s="34" t="s">
        <v>96</v>
      </c>
      <c r="G68" s="35" t="s">
        <v>96</v>
      </c>
      <c r="H68" s="29"/>
      <c r="L68" s="3"/>
    </row>
    <row r="69" spans="2:16" ht="15.75" customHeight="1" x14ac:dyDescent="0.2">
      <c r="B69" s="25"/>
      <c r="C69" s="25"/>
      <c r="D69" s="25"/>
      <c r="E69" s="26"/>
      <c r="F69" s="27"/>
      <c r="G69" s="28"/>
      <c r="H69" s="29"/>
    </row>
    <row r="70" spans="2:16" ht="15.75" customHeight="1" x14ac:dyDescent="0.2">
      <c r="B70" s="36" t="s">
        <v>98</v>
      </c>
      <c r="C70" s="36"/>
      <c r="D70" s="36"/>
      <c r="E70" s="37"/>
      <c r="F70" s="31">
        <v>19391.669999999998</v>
      </c>
      <c r="G70" s="32">
        <v>0.9274</v>
      </c>
      <c r="H70" s="33"/>
      <c r="L70" s="3"/>
    </row>
    <row r="71" spans="2:16" ht="15.75" customHeight="1" x14ac:dyDescent="0.2">
      <c r="B71" s="25"/>
      <c r="C71" s="25"/>
      <c r="D71" s="25"/>
      <c r="E71" s="26"/>
      <c r="F71" s="27"/>
      <c r="G71" s="28"/>
      <c r="H71" s="29"/>
      <c r="L71" s="3"/>
    </row>
    <row r="72" spans="2:16" ht="15.75" customHeight="1" x14ac:dyDescent="0.2">
      <c r="B72" s="25"/>
      <c r="C72" s="25"/>
      <c r="D72" s="25"/>
      <c r="E72" s="26"/>
      <c r="F72" s="27"/>
      <c r="G72" s="28"/>
      <c r="H72" s="29"/>
      <c r="L72" s="3"/>
    </row>
    <row r="73" spans="2:16" ht="15.75" customHeight="1" x14ac:dyDescent="0.2">
      <c r="B73" s="24" t="s">
        <v>101</v>
      </c>
      <c r="C73" s="25"/>
      <c r="D73" s="25"/>
      <c r="E73" s="26"/>
      <c r="F73" s="27"/>
      <c r="G73" s="28"/>
      <c r="H73" s="29"/>
      <c r="L73" s="3"/>
    </row>
    <row r="74" spans="2:16" ht="15.75" customHeight="1" x14ac:dyDescent="0.2">
      <c r="B74" s="25" t="s">
        <v>102</v>
      </c>
      <c r="C74" s="25"/>
      <c r="D74" s="25"/>
      <c r="E74" s="26"/>
      <c r="F74" s="27">
        <v>1571.24</v>
      </c>
      <c r="G74" s="28">
        <v>7.51E-2</v>
      </c>
      <c r="H74" s="29"/>
      <c r="L74" s="3"/>
    </row>
    <row r="75" spans="2:16" ht="15.75" customHeight="1" x14ac:dyDescent="0.2">
      <c r="B75" s="24" t="s">
        <v>94</v>
      </c>
      <c r="C75" s="24"/>
      <c r="D75" s="24"/>
      <c r="E75" s="30"/>
      <c r="F75" s="31">
        <v>1571.24</v>
      </c>
      <c r="G75" s="32">
        <v>7.51E-2</v>
      </c>
      <c r="H75" s="33"/>
      <c r="L75" s="5"/>
      <c r="M75" s="5"/>
      <c r="N75" s="6"/>
      <c r="O75" s="6"/>
      <c r="P75" s="5"/>
    </row>
    <row r="76" spans="2:16" ht="15.75" customHeight="1" x14ac:dyDescent="0.2">
      <c r="B76" s="25"/>
      <c r="C76" s="25"/>
      <c r="D76" s="25"/>
      <c r="E76" s="26"/>
      <c r="F76" s="27"/>
      <c r="G76" s="28"/>
      <c r="H76" s="29"/>
    </row>
    <row r="77" spans="2:16" ht="15.75" customHeight="1" x14ac:dyDescent="0.2">
      <c r="B77" s="36" t="s">
        <v>98</v>
      </c>
      <c r="C77" s="36"/>
      <c r="D77" s="36"/>
      <c r="E77" s="37"/>
      <c r="F77" s="31">
        <v>1571.24</v>
      </c>
      <c r="G77" s="32">
        <v>7.51E-2</v>
      </c>
      <c r="H77" s="33"/>
    </row>
    <row r="78" spans="2:16" ht="15.75" customHeight="1" x14ac:dyDescent="0.2">
      <c r="B78" s="25" t="s">
        <v>103</v>
      </c>
      <c r="C78" s="25"/>
      <c r="D78" s="25"/>
      <c r="E78" s="26"/>
      <c r="F78" s="38">
        <v>-54.64</v>
      </c>
      <c r="G78" s="39">
        <v>-2.4999999999999467E-3</v>
      </c>
      <c r="H78" s="29"/>
      <c r="L78" s="7"/>
      <c r="M78" s="7"/>
      <c r="N78" s="7"/>
      <c r="O78" s="7"/>
      <c r="P78" s="7"/>
    </row>
    <row r="79" spans="2:16" ht="15.75" customHeight="1" x14ac:dyDescent="0.2">
      <c r="B79" s="40" t="s">
        <v>104</v>
      </c>
      <c r="C79" s="40"/>
      <c r="D79" s="40"/>
      <c r="E79" s="41"/>
      <c r="F79" s="42">
        <v>20908.27</v>
      </c>
      <c r="G79" s="43">
        <v>1</v>
      </c>
      <c r="H79" s="44"/>
      <c r="L79" s="7"/>
      <c r="M79" s="7"/>
      <c r="N79" s="7"/>
      <c r="O79" s="7"/>
      <c r="P79" s="7"/>
    </row>
    <row r="80" spans="2:16" ht="15.75" customHeight="1" thickBot="1" x14ac:dyDescent="0.25">
      <c r="B80" s="2"/>
      <c r="L80" s="7"/>
      <c r="M80" s="7"/>
      <c r="N80" s="7"/>
      <c r="O80" s="7"/>
      <c r="P80" s="7"/>
    </row>
    <row r="81" spans="2:8" ht="27" customHeight="1" thickBot="1" x14ac:dyDescent="0.25">
      <c r="B81" s="57" t="s">
        <v>829</v>
      </c>
      <c r="C81" s="58" t="s">
        <v>830</v>
      </c>
      <c r="D81" s="58" t="s">
        <v>831</v>
      </c>
      <c r="E81" s="63" t="s">
        <v>832</v>
      </c>
      <c r="G81" s="2"/>
      <c r="H81" s="2"/>
    </row>
    <row r="82" spans="2:8" ht="29.25" customHeight="1" x14ac:dyDescent="0.2">
      <c r="B82" s="64" t="s">
        <v>889</v>
      </c>
      <c r="C82" s="82"/>
      <c r="D82" s="85" t="s">
        <v>890</v>
      </c>
      <c r="E82" s="87"/>
      <c r="G82" s="2"/>
      <c r="H82" s="2"/>
    </row>
    <row r="83" spans="2:8" ht="39.950000000000003" customHeight="1" x14ac:dyDescent="0.2">
      <c r="B83" s="66" t="s">
        <v>876</v>
      </c>
      <c r="C83" s="83"/>
      <c r="D83" s="86"/>
      <c r="E83" s="83"/>
      <c r="G83" s="2"/>
      <c r="H83" s="2"/>
    </row>
    <row r="84" spans="2:8" ht="39.950000000000003" customHeight="1" x14ac:dyDescent="0.2">
      <c r="B84" s="66" t="s">
        <v>891</v>
      </c>
      <c r="C84" s="83"/>
      <c r="D84" s="86"/>
      <c r="E84" s="83"/>
      <c r="G84" s="2"/>
      <c r="H84" s="2"/>
    </row>
    <row r="85" spans="2:8" ht="23.25" customHeight="1" thickBot="1" x14ac:dyDescent="0.25">
      <c r="B85" s="68" t="s">
        <v>866</v>
      </c>
      <c r="C85" s="84"/>
      <c r="D85" s="71" t="s">
        <v>866</v>
      </c>
      <c r="E85" s="88"/>
      <c r="G85" s="2"/>
      <c r="H85" s="2"/>
    </row>
    <row r="86" spans="2:8" ht="24.95" customHeight="1" x14ac:dyDescent="0.2">
      <c r="B86" s="59" t="s">
        <v>833</v>
      </c>
      <c r="C86" s="60"/>
      <c r="D86" s="61"/>
      <c r="E86" s="62"/>
      <c r="G86" s="2"/>
      <c r="H86" s="2"/>
    </row>
    <row r="88" spans="2:8" ht="12" x14ac:dyDescent="0.2">
      <c r="B88" s="2" t="s">
        <v>834</v>
      </c>
      <c r="C88" s="2"/>
      <c r="D88" s="2"/>
      <c r="G88" s="2"/>
      <c r="H88" s="2"/>
    </row>
    <row r="89" spans="2:8" ht="12" x14ac:dyDescent="0.2">
      <c r="B89" s="3" t="s">
        <v>835</v>
      </c>
      <c r="C89" s="2"/>
      <c r="D89" s="2"/>
      <c r="G89" s="2"/>
      <c r="H89" s="2"/>
    </row>
  </sheetData>
  <mergeCells count="3">
    <mergeCell ref="C82:C85"/>
    <mergeCell ref="D82:D84"/>
    <mergeCell ref="E82:E85"/>
  </mergeCells>
  <hyperlinks>
    <hyperlink ref="I1" location="'Sheet1'!A1" display="Index" xr:uid="{F0D1E0C5-EB8A-4F93-BF1A-F4E9F8F1F50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316B-FF39-4507-B8AD-32ACA17AC23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76335</v>
      </c>
      <c r="F7" s="27">
        <v>1116.44</v>
      </c>
      <c r="G7" s="28">
        <v>8.5599999999999996E-2</v>
      </c>
      <c r="H7" s="29"/>
    </row>
    <row r="8" spans="2:9" ht="15.75" customHeight="1" x14ac:dyDescent="0.2">
      <c r="B8" s="25" t="s">
        <v>192</v>
      </c>
      <c r="C8" s="25" t="s">
        <v>193</v>
      </c>
      <c r="D8" s="25" t="s">
        <v>124</v>
      </c>
      <c r="E8" s="26">
        <v>53199</v>
      </c>
      <c r="F8" s="27">
        <v>971.01</v>
      </c>
      <c r="G8" s="28">
        <v>7.4399999999999994E-2</v>
      </c>
      <c r="H8" s="29"/>
    </row>
    <row r="9" spans="2:9" ht="15.75" customHeight="1" x14ac:dyDescent="0.2">
      <c r="B9" s="25" t="s">
        <v>122</v>
      </c>
      <c r="C9" s="25" t="s">
        <v>123</v>
      </c>
      <c r="D9" s="25" t="s">
        <v>124</v>
      </c>
      <c r="E9" s="26">
        <v>79342</v>
      </c>
      <c r="F9" s="27">
        <v>815.75</v>
      </c>
      <c r="G9" s="28">
        <v>6.25E-2</v>
      </c>
      <c r="H9" s="29"/>
    </row>
    <row r="10" spans="2:9" ht="15.75" customHeight="1" x14ac:dyDescent="0.2">
      <c r="B10" s="25" t="s">
        <v>188</v>
      </c>
      <c r="C10" s="25" t="s">
        <v>189</v>
      </c>
      <c r="D10" s="25" t="s">
        <v>124</v>
      </c>
      <c r="E10" s="26">
        <v>124322</v>
      </c>
      <c r="F10" s="27">
        <v>796.28</v>
      </c>
      <c r="G10" s="28">
        <v>6.0999999999999999E-2</v>
      </c>
      <c r="H10" s="29"/>
    </row>
    <row r="11" spans="2:9" ht="15.75" customHeight="1" x14ac:dyDescent="0.2">
      <c r="B11" s="25" t="s">
        <v>133</v>
      </c>
      <c r="C11" s="25" t="s">
        <v>134</v>
      </c>
      <c r="D11" s="25" t="s">
        <v>135</v>
      </c>
      <c r="E11" s="26">
        <v>30488</v>
      </c>
      <c r="F11" s="27">
        <v>756.57</v>
      </c>
      <c r="G11" s="28">
        <v>5.8000000000000003E-2</v>
      </c>
      <c r="H11" s="29"/>
    </row>
    <row r="12" spans="2:9" ht="15.75" customHeight="1" x14ac:dyDescent="0.2">
      <c r="B12" s="25" t="s">
        <v>242</v>
      </c>
      <c r="C12" s="25" t="s">
        <v>243</v>
      </c>
      <c r="D12" s="25" t="s">
        <v>127</v>
      </c>
      <c r="E12" s="26">
        <v>55565</v>
      </c>
      <c r="F12" s="27">
        <v>741.04</v>
      </c>
      <c r="G12" s="28">
        <v>5.6800000000000003E-2</v>
      </c>
      <c r="H12" s="29"/>
    </row>
    <row r="13" spans="2:9" ht="15.75" customHeight="1" x14ac:dyDescent="0.2">
      <c r="B13" s="25" t="s">
        <v>250</v>
      </c>
      <c r="C13" s="25" t="s">
        <v>251</v>
      </c>
      <c r="D13" s="25" t="s">
        <v>252</v>
      </c>
      <c r="E13" s="26">
        <v>605822</v>
      </c>
      <c r="F13" s="27">
        <v>686.09</v>
      </c>
      <c r="G13" s="28">
        <v>5.2600000000000001E-2</v>
      </c>
      <c r="H13" s="29"/>
    </row>
    <row r="14" spans="2:9" ht="15.75" customHeight="1" x14ac:dyDescent="0.2">
      <c r="B14" s="25" t="s">
        <v>190</v>
      </c>
      <c r="C14" s="25" t="s">
        <v>191</v>
      </c>
      <c r="D14" s="25" t="s">
        <v>135</v>
      </c>
      <c r="E14" s="26">
        <v>150902</v>
      </c>
      <c r="F14" s="27">
        <v>666.31</v>
      </c>
      <c r="G14" s="28">
        <v>5.11E-2</v>
      </c>
      <c r="H14" s="29"/>
    </row>
    <row r="15" spans="2:9" ht="15.75" customHeight="1" x14ac:dyDescent="0.2">
      <c r="B15" s="25" t="s">
        <v>213</v>
      </c>
      <c r="C15" s="25" t="s">
        <v>214</v>
      </c>
      <c r="D15" s="25" t="s">
        <v>215</v>
      </c>
      <c r="E15" s="26">
        <v>22183</v>
      </c>
      <c r="F15" s="27">
        <v>561.91</v>
      </c>
      <c r="G15" s="28">
        <v>4.3099999999999999E-2</v>
      </c>
      <c r="H15" s="29"/>
    </row>
    <row r="16" spans="2:9" ht="15.75" customHeight="1" x14ac:dyDescent="0.2">
      <c r="B16" s="25" t="s">
        <v>269</v>
      </c>
      <c r="C16" s="25" t="s">
        <v>270</v>
      </c>
      <c r="D16" s="25" t="s">
        <v>127</v>
      </c>
      <c r="E16" s="26">
        <v>31808</v>
      </c>
      <c r="F16" s="27">
        <v>501.29</v>
      </c>
      <c r="G16" s="28">
        <v>3.8399999999999997E-2</v>
      </c>
      <c r="H16" s="29"/>
    </row>
    <row r="17" spans="2:8" ht="15.75" customHeight="1" x14ac:dyDescent="0.2">
      <c r="B17" s="25" t="s">
        <v>183</v>
      </c>
      <c r="C17" s="25" t="s">
        <v>184</v>
      </c>
      <c r="D17" s="25" t="s">
        <v>141</v>
      </c>
      <c r="E17" s="26">
        <v>4861</v>
      </c>
      <c r="F17" s="27">
        <v>495.19</v>
      </c>
      <c r="G17" s="28">
        <v>3.7999999999999999E-2</v>
      </c>
      <c r="H17" s="29"/>
    </row>
    <row r="18" spans="2:8" ht="15.75" customHeight="1" x14ac:dyDescent="0.2">
      <c r="B18" s="25" t="s">
        <v>491</v>
      </c>
      <c r="C18" s="25" t="s">
        <v>492</v>
      </c>
      <c r="D18" s="25" t="s">
        <v>358</v>
      </c>
      <c r="E18" s="26">
        <v>135133</v>
      </c>
      <c r="F18" s="27">
        <v>443.03</v>
      </c>
      <c r="G18" s="28">
        <v>3.4000000000000002E-2</v>
      </c>
      <c r="H18" s="29"/>
    </row>
    <row r="19" spans="2:8" ht="15.75" customHeight="1" x14ac:dyDescent="0.2">
      <c r="B19" s="25" t="s">
        <v>253</v>
      </c>
      <c r="C19" s="25" t="s">
        <v>254</v>
      </c>
      <c r="D19" s="25" t="s">
        <v>170</v>
      </c>
      <c r="E19" s="26">
        <v>45162</v>
      </c>
      <c r="F19" s="27">
        <v>413.73</v>
      </c>
      <c r="G19" s="28">
        <v>3.1699999999999999E-2</v>
      </c>
      <c r="H19" s="29"/>
    </row>
    <row r="20" spans="2:8" ht="15.75" customHeight="1" x14ac:dyDescent="0.2">
      <c r="B20" s="25" t="s">
        <v>603</v>
      </c>
      <c r="C20" s="25" t="s">
        <v>604</v>
      </c>
      <c r="D20" s="25" t="s">
        <v>165</v>
      </c>
      <c r="E20" s="26">
        <v>13095</v>
      </c>
      <c r="F20" s="27">
        <v>387.79</v>
      </c>
      <c r="G20" s="28">
        <v>2.9700000000000001E-2</v>
      </c>
      <c r="H20" s="29"/>
    </row>
    <row r="21" spans="2:8" ht="15.75" customHeight="1" x14ac:dyDescent="0.2">
      <c r="B21" s="25" t="s">
        <v>299</v>
      </c>
      <c r="C21" s="25" t="s">
        <v>300</v>
      </c>
      <c r="D21" s="25" t="s">
        <v>212</v>
      </c>
      <c r="E21" s="26">
        <v>126485</v>
      </c>
      <c r="F21" s="27">
        <v>383.19</v>
      </c>
      <c r="G21" s="28">
        <v>2.9399999999999999E-2</v>
      </c>
      <c r="H21" s="29"/>
    </row>
    <row r="22" spans="2:8" ht="15.75" customHeight="1" x14ac:dyDescent="0.2">
      <c r="B22" s="25" t="s">
        <v>612</v>
      </c>
      <c r="C22" s="25" t="s">
        <v>613</v>
      </c>
      <c r="D22" s="25" t="s">
        <v>212</v>
      </c>
      <c r="E22" s="26">
        <v>55835</v>
      </c>
      <c r="F22" s="27">
        <v>315.55</v>
      </c>
      <c r="G22" s="28">
        <v>2.4199999999999999E-2</v>
      </c>
      <c r="H22" s="29"/>
    </row>
    <row r="23" spans="2:8" ht="15.75" customHeight="1" x14ac:dyDescent="0.2">
      <c r="B23" s="25" t="s">
        <v>448</v>
      </c>
      <c r="C23" s="25" t="s">
        <v>449</v>
      </c>
      <c r="D23" s="25" t="s">
        <v>212</v>
      </c>
      <c r="E23" s="26">
        <v>62724</v>
      </c>
      <c r="F23" s="27">
        <v>303.02</v>
      </c>
      <c r="G23" s="28">
        <v>2.3199999999999998E-2</v>
      </c>
      <c r="H23" s="29"/>
    </row>
    <row r="24" spans="2:8" ht="15.75" customHeight="1" x14ac:dyDescent="0.2">
      <c r="B24" s="25" t="s">
        <v>444</v>
      </c>
      <c r="C24" s="25" t="s">
        <v>445</v>
      </c>
      <c r="D24" s="25" t="s">
        <v>207</v>
      </c>
      <c r="E24" s="26">
        <v>123039</v>
      </c>
      <c r="F24" s="27">
        <v>300.14999999999998</v>
      </c>
      <c r="G24" s="28">
        <v>2.3E-2</v>
      </c>
      <c r="H24" s="29"/>
    </row>
    <row r="25" spans="2:8" ht="15.75" customHeight="1" x14ac:dyDescent="0.2">
      <c r="B25" s="25" t="s">
        <v>502</v>
      </c>
      <c r="C25" s="25" t="s">
        <v>503</v>
      </c>
      <c r="D25" s="25" t="s">
        <v>277</v>
      </c>
      <c r="E25" s="26">
        <v>153314</v>
      </c>
      <c r="F25" s="27">
        <v>283.77999999999997</v>
      </c>
      <c r="G25" s="28">
        <v>2.18E-2</v>
      </c>
      <c r="H25" s="29"/>
    </row>
    <row r="26" spans="2:8" ht="15.75" customHeight="1" x14ac:dyDescent="0.2">
      <c r="B26" s="25" t="s">
        <v>224</v>
      </c>
      <c r="C26" s="25" t="s">
        <v>225</v>
      </c>
      <c r="D26" s="25" t="s">
        <v>226</v>
      </c>
      <c r="E26" s="26">
        <v>22960</v>
      </c>
      <c r="F26" s="27">
        <v>267.3</v>
      </c>
      <c r="G26" s="28">
        <v>2.0500000000000001E-2</v>
      </c>
      <c r="H26" s="29"/>
    </row>
    <row r="27" spans="2:8" ht="15.75" customHeight="1" x14ac:dyDescent="0.2">
      <c r="B27" s="25" t="s">
        <v>282</v>
      </c>
      <c r="C27" s="25" t="s">
        <v>283</v>
      </c>
      <c r="D27" s="25" t="s">
        <v>215</v>
      </c>
      <c r="E27" s="26">
        <v>10975</v>
      </c>
      <c r="F27" s="27">
        <v>255.18</v>
      </c>
      <c r="G27" s="28">
        <v>1.9599999999999999E-2</v>
      </c>
      <c r="H27" s="29"/>
    </row>
    <row r="28" spans="2:8" ht="15.75" customHeight="1" x14ac:dyDescent="0.2">
      <c r="B28" s="25" t="s">
        <v>487</v>
      </c>
      <c r="C28" s="25" t="s">
        <v>488</v>
      </c>
      <c r="D28" s="25" t="s">
        <v>226</v>
      </c>
      <c r="E28" s="26">
        <v>113143</v>
      </c>
      <c r="F28" s="27">
        <v>248.01</v>
      </c>
      <c r="G28" s="28">
        <v>1.9E-2</v>
      </c>
      <c r="H28" s="29"/>
    </row>
    <row r="29" spans="2:8" ht="15.75" customHeight="1" x14ac:dyDescent="0.2">
      <c r="B29" s="25" t="s">
        <v>417</v>
      </c>
      <c r="C29" s="25" t="s">
        <v>418</v>
      </c>
      <c r="D29" s="25" t="s">
        <v>170</v>
      </c>
      <c r="E29" s="26">
        <v>17677</v>
      </c>
      <c r="F29" s="27">
        <v>246.59</v>
      </c>
      <c r="G29" s="28">
        <v>1.89E-2</v>
      </c>
      <c r="H29" s="29"/>
    </row>
    <row r="30" spans="2:8" ht="15.75" customHeight="1" x14ac:dyDescent="0.2">
      <c r="B30" s="25" t="s">
        <v>314</v>
      </c>
      <c r="C30" s="25" t="s">
        <v>315</v>
      </c>
      <c r="D30" s="25" t="s">
        <v>316</v>
      </c>
      <c r="E30" s="26">
        <v>43085</v>
      </c>
      <c r="F30" s="27">
        <v>216.83</v>
      </c>
      <c r="G30" s="28">
        <v>1.66E-2</v>
      </c>
      <c r="H30" s="29"/>
    </row>
    <row r="31" spans="2:8" ht="15.75" customHeight="1" x14ac:dyDescent="0.2">
      <c r="B31" s="25" t="s">
        <v>401</v>
      </c>
      <c r="C31" s="25" t="s">
        <v>402</v>
      </c>
      <c r="D31" s="25" t="s">
        <v>124</v>
      </c>
      <c r="E31" s="26">
        <v>114782</v>
      </c>
      <c r="F31" s="27">
        <v>169.07</v>
      </c>
      <c r="G31" s="28">
        <v>1.2999999999999999E-2</v>
      </c>
      <c r="H31" s="29"/>
    </row>
    <row r="32" spans="2:8" ht="15.75" customHeight="1" x14ac:dyDescent="0.2">
      <c r="B32" s="25" t="s">
        <v>581</v>
      </c>
      <c r="C32" s="25" t="s">
        <v>582</v>
      </c>
      <c r="D32" s="25" t="s">
        <v>437</v>
      </c>
      <c r="E32" s="26">
        <v>391</v>
      </c>
      <c r="F32" s="27">
        <v>145.9</v>
      </c>
      <c r="G32" s="28">
        <v>1.12E-2</v>
      </c>
      <c r="H32" s="29"/>
    </row>
    <row r="33" spans="2:8" ht="15.75" customHeight="1" x14ac:dyDescent="0.2">
      <c r="B33" s="25" t="s">
        <v>573</v>
      </c>
      <c r="C33" s="25" t="s">
        <v>574</v>
      </c>
      <c r="D33" s="25" t="s">
        <v>212</v>
      </c>
      <c r="E33" s="26">
        <v>49491</v>
      </c>
      <c r="F33" s="27">
        <v>136.5</v>
      </c>
      <c r="G33" s="28">
        <v>1.0500000000000001E-2</v>
      </c>
      <c r="H33" s="29"/>
    </row>
    <row r="34" spans="2:8" ht="15.75" customHeight="1" x14ac:dyDescent="0.2">
      <c r="B34" s="25" t="s">
        <v>317</v>
      </c>
      <c r="C34" s="25" t="s">
        <v>318</v>
      </c>
      <c r="D34" s="25" t="s">
        <v>124</v>
      </c>
      <c r="E34" s="26">
        <v>90749</v>
      </c>
      <c r="F34" s="27">
        <v>131.5</v>
      </c>
      <c r="G34" s="28">
        <v>1.01E-2</v>
      </c>
      <c r="H34" s="29"/>
    </row>
    <row r="35" spans="2:8" ht="15.75" customHeight="1" x14ac:dyDescent="0.2">
      <c r="B35" s="24" t="s">
        <v>94</v>
      </c>
      <c r="C35" s="24"/>
      <c r="D35" s="24"/>
      <c r="E35" s="30"/>
      <c r="F35" s="31">
        <v>12755</v>
      </c>
      <c r="G35" s="32">
        <v>0.97760000000000002</v>
      </c>
      <c r="H35" s="33"/>
    </row>
    <row r="36" spans="2:8" ht="15.75" customHeight="1" x14ac:dyDescent="0.2">
      <c r="B36" s="24" t="s">
        <v>144</v>
      </c>
      <c r="C36" s="25"/>
      <c r="D36" s="25"/>
      <c r="E36" s="26"/>
      <c r="F36" s="27"/>
      <c r="G36" s="28"/>
      <c r="H36" s="29"/>
    </row>
    <row r="37" spans="2:8" ht="15.75" customHeight="1" x14ac:dyDescent="0.2">
      <c r="B37" s="24" t="s">
        <v>94</v>
      </c>
      <c r="C37" s="25"/>
      <c r="D37" s="25"/>
      <c r="E37" s="26"/>
      <c r="F37" s="34" t="s">
        <v>96</v>
      </c>
      <c r="G37" s="35" t="s">
        <v>96</v>
      </c>
      <c r="H37" s="29"/>
    </row>
    <row r="38" spans="2:8" ht="15.75" customHeight="1" x14ac:dyDescent="0.2">
      <c r="B38" s="25"/>
      <c r="C38" s="25"/>
      <c r="D38" s="25"/>
      <c r="E38" s="26"/>
      <c r="F38" s="27"/>
      <c r="G38" s="28"/>
      <c r="H38" s="29"/>
    </row>
    <row r="39" spans="2:8" ht="15.75" customHeight="1" x14ac:dyDescent="0.2">
      <c r="B39" s="36" t="s">
        <v>98</v>
      </c>
      <c r="C39" s="36"/>
      <c r="D39" s="36"/>
      <c r="E39" s="37"/>
      <c r="F39" s="31">
        <v>12755</v>
      </c>
      <c r="G39" s="32">
        <v>0.97760000000000002</v>
      </c>
      <c r="H39" s="33"/>
    </row>
    <row r="40" spans="2:8" ht="15.75" customHeight="1" x14ac:dyDescent="0.2">
      <c r="B40" s="25"/>
      <c r="C40" s="25"/>
      <c r="D40" s="25"/>
      <c r="E40" s="26"/>
      <c r="F40" s="27"/>
      <c r="G40" s="28"/>
      <c r="H40" s="29"/>
    </row>
    <row r="41" spans="2:8" ht="15.75" customHeight="1" x14ac:dyDescent="0.2">
      <c r="B41" s="25"/>
      <c r="C41" s="25"/>
      <c r="D41" s="25"/>
      <c r="E41" s="26"/>
      <c r="F41" s="27"/>
      <c r="G41" s="28"/>
      <c r="H41" s="29"/>
    </row>
    <row r="42" spans="2:8" ht="15.75" customHeight="1" x14ac:dyDescent="0.2">
      <c r="B42" s="24" t="s">
        <v>101</v>
      </c>
      <c r="C42" s="25"/>
      <c r="D42" s="25"/>
      <c r="E42" s="26"/>
      <c r="F42" s="27"/>
      <c r="G42" s="28"/>
      <c r="H42" s="29"/>
    </row>
    <row r="43" spans="2:8" ht="15.75" customHeight="1" x14ac:dyDescent="0.2">
      <c r="B43" s="25" t="s">
        <v>102</v>
      </c>
      <c r="C43" s="25"/>
      <c r="D43" s="25"/>
      <c r="E43" s="26"/>
      <c r="F43" s="27">
        <v>263.01</v>
      </c>
      <c r="G43" s="28">
        <v>2.0199999999999999E-2</v>
      </c>
      <c r="H43" s="29"/>
    </row>
    <row r="44" spans="2:8" ht="15.75" customHeight="1" x14ac:dyDescent="0.2">
      <c r="B44" s="24" t="s">
        <v>94</v>
      </c>
      <c r="C44" s="24"/>
      <c r="D44" s="24"/>
      <c r="E44" s="30"/>
      <c r="F44" s="31">
        <v>263.01</v>
      </c>
      <c r="G44" s="32">
        <v>2.0199999999999999E-2</v>
      </c>
      <c r="H44" s="33"/>
    </row>
    <row r="45" spans="2:8" ht="15.75" customHeight="1" x14ac:dyDescent="0.2">
      <c r="B45" s="25"/>
      <c r="C45" s="25"/>
      <c r="D45" s="25"/>
      <c r="E45" s="26"/>
      <c r="F45" s="27"/>
      <c r="G45" s="28"/>
      <c r="H45" s="29"/>
    </row>
    <row r="46" spans="2:8" ht="15.75" customHeight="1" x14ac:dyDescent="0.2">
      <c r="B46" s="36" t="s">
        <v>98</v>
      </c>
      <c r="C46" s="36"/>
      <c r="D46" s="36"/>
      <c r="E46" s="37"/>
      <c r="F46" s="31">
        <v>263.01</v>
      </c>
      <c r="G46" s="32">
        <v>2.0199999999999999E-2</v>
      </c>
      <c r="H46" s="33"/>
    </row>
    <row r="47" spans="2:8" ht="15.75" customHeight="1" x14ac:dyDescent="0.2">
      <c r="B47" s="25" t="s">
        <v>103</v>
      </c>
      <c r="C47" s="25"/>
      <c r="D47" s="25"/>
      <c r="E47" s="26"/>
      <c r="F47" s="27">
        <v>29.01</v>
      </c>
      <c r="G47" s="28">
        <v>2.1999999999999797E-3</v>
      </c>
      <c r="H47" s="29"/>
    </row>
    <row r="48" spans="2:8" ht="15.75" customHeight="1" x14ac:dyDescent="0.2">
      <c r="B48" s="40" t="s">
        <v>104</v>
      </c>
      <c r="C48" s="40"/>
      <c r="D48" s="40"/>
      <c r="E48" s="41"/>
      <c r="F48" s="42">
        <v>13047.02</v>
      </c>
      <c r="G48" s="43">
        <v>1</v>
      </c>
      <c r="H48" s="44"/>
    </row>
    <row r="49" spans="2:8" ht="15.75" customHeight="1" thickBot="1" x14ac:dyDescent="0.25">
      <c r="B49" s="2"/>
    </row>
    <row r="50" spans="2:8" ht="27" customHeight="1" thickBot="1" x14ac:dyDescent="0.25">
      <c r="B50" s="57" t="s">
        <v>829</v>
      </c>
      <c r="C50" s="58" t="s">
        <v>830</v>
      </c>
      <c r="D50" s="58" t="s">
        <v>831</v>
      </c>
      <c r="E50" s="63" t="s">
        <v>832</v>
      </c>
      <c r="G50" s="2"/>
      <c r="H50" s="2"/>
    </row>
    <row r="51" spans="2:8" ht="29.25" customHeight="1" x14ac:dyDescent="0.2">
      <c r="B51" s="64" t="s">
        <v>892</v>
      </c>
      <c r="C51" s="82"/>
      <c r="D51" s="85" t="s">
        <v>893</v>
      </c>
      <c r="E51" s="87"/>
      <c r="G51" s="2"/>
      <c r="H51" s="2"/>
    </row>
    <row r="52" spans="2:8" ht="39.950000000000003" customHeight="1" x14ac:dyDescent="0.2">
      <c r="B52" s="66" t="s">
        <v>876</v>
      </c>
      <c r="C52" s="83"/>
      <c r="D52" s="86"/>
      <c r="E52" s="83"/>
      <c r="G52" s="2"/>
      <c r="H52" s="2"/>
    </row>
    <row r="53" spans="2:8" ht="39.950000000000003" customHeight="1" x14ac:dyDescent="0.2">
      <c r="B53" s="66" t="s">
        <v>894</v>
      </c>
      <c r="C53" s="83"/>
      <c r="D53" s="86"/>
      <c r="E53" s="83"/>
      <c r="G53" s="2"/>
      <c r="H53" s="2"/>
    </row>
    <row r="54" spans="2:8" ht="23.25" customHeight="1" thickBot="1" x14ac:dyDescent="0.25">
      <c r="B54" s="68" t="s">
        <v>866</v>
      </c>
      <c r="C54" s="84"/>
      <c r="D54" s="71" t="s">
        <v>866</v>
      </c>
      <c r="E54" s="88"/>
      <c r="G54" s="2"/>
      <c r="H54" s="2"/>
    </row>
    <row r="55" spans="2:8" ht="24.95" customHeight="1" x14ac:dyDescent="0.2">
      <c r="B55" s="59" t="s">
        <v>833</v>
      </c>
      <c r="C55" s="60"/>
      <c r="D55" s="61"/>
      <c r="E55" s="62"/>
      <c r="G55" s="2"/>
      <c r="H55" s="2"/>
    </row>
    <row r="57" spans="2:8" ht="12" x14ac:dyDescent="0.2">
      <c r="B57" s="2" t="s">
        <v>834</v>
      </c>
      <c r="C57" s="2"/>
      <c r="D57" s="2"/>
      <c r="G57" s="2"/>
      <c r="H57" s="2"/>
    </row>
    <row r="58" spans="2:8" ht="12" x14ac:dyDescent="0.2">
      <c r="B58" s="3" t="s">
        <v>835</v>
      </c>
      <c r="C58" s="2"/>
      <c r="D58" s="2"/>
      <c r="G58" s="2"/>
      <c r="H5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1:C54"/>
    <mergeCell ref="D51:D53"/>
    <mergeCell ref="E51:E54"/>
  </mergeCells>
  <hyperlinks>
    <hyperlink ref="I1" location="'Sheet1'!A1" display="Index" xr:uid="{E72A97F6-7CC7-4A69-8A6F-FB943DF6628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453D-1A72-488A-9D4E-0B3B2BFA66C9}">
  <dimension ref="B1:P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99</v>
      </c>
      <c r="C7" s="25"/>
      <c r="D7" s="25"/>
      <c r="E7" s="26"/>
      <c r="F7" s="27"/>
      <c r="G7" s="28"/>
      <c r="H7" s="29"/>
    </row>
    <row r="8" spans="2:9" ht="15.75" customHeight="1" x14ac:dyDescent="0.2">
      <c r="B8" s="24" t="s">
        <v>100</v>
      </c>
      <c r="C8" s="25"/>
      <c r="D8" s="25"/>
      <c r="E8" s="26"/>
      <c r="F8" s="27"/>
      <c r="G8" s="28"/>
      <c r="H8" s="29"/>
    </row>
    <row r="9" spans="2:9" ht="15.75" customHeight="1" x14ac:dyDescent="0.2">
      <c r="B9" s="25" t="s">
        <v>680</v>
      </c>
      <c r="C9" s="25" t="s">
        <v>681</v>
      </c>
      <c r="D9" s="25"/>
      <c r="E9" s="26">
        <v>80752</v>
      </c>
      <c r="F9" s="27">
        <v>4628.38</v>
      </c>
      <c r="G9" s="28">
        <v>0.998</v>
      </c>
      <c r="H9" s="29"/>
    </row>
    <row r="10" spans="2:9" ht="15.75" customHeight="1" x14ac:dyDescent="0.2">
      <c r="B10" s="24" t="s">
        <v>94</v>
      </c>
      <c r="C10" s="24"/>
      <c r="D10" s="24"/>
      <c r="E10" s="30"/>
      <c r="F10" s="31">
        <v>4628.38</v>
      </c>
      <c r="G10" s="32">
        <v>99.804000000000002</v>
      </c>
      <c r="H10" s="33"/>
    </row>
    <row r="11" spans="2:9" ht="15.75" customHeight="1" x14ac:dyDescent="0.2">
      <c r="B11" s="25"/>
      <c r="C11" s="25"/>
      <c r="D11" s="25"/>
      <c r="E11" s="26"/>
      <c r="F11" s="27"/>
      <c r="G11" s="28"/>
      <c r="H11" s="29"/>
    </row>
    <row r="12" spans="2:9" ht="15.75" customHeight="1" x14ac:dyDescent="0.2">
      <c r="B12" s="36" t="s">
        <v>98</v>
      </c>
      <c r="C12" s="36"/>
      <c r="D12" s="36"/>
      <c r="E12" s="37"/>
      <c r="F12" s="31">
        <v>4628.38</v>
      </c>
      <c r="G12" s="32">
        <v>0.998</v>
      </c>
      <c r="H12" s="33"/>
    </row>
    <row r="13" spans="2:9" ht="15.75" customHeight="1" x14ac:dyDescent="0.2">
      <c r="B13" s="25"/>
      <c r="C13" s="25"/>
      <c r="D13" s="25"/>
      <c r="E13" s="26"/>
      <c r="F13" s="27"/>
      <c r="G13" s="28"/>
      <c r="H13" s="29"/>
    </row>
    <row r="14" spans="2:9" ht="15.75" customHeight="1" x14ac:dyDescent="0.2">
      <c r="B14" s="24" t="s">
        <v>101</v>
      </c>
      <c r="C14" s="25"/>
      <c r="D14" s="25"/>
      <c r="E14" s="26"/>
      <c r="F14" s="27"/>
      <c r="G14" s="28"/>
      <c r="H14" s="29"/>
    </row>
    <row r="15" spans="2:9" ht="15.75" customHeight="1" x14ac:dyDescent="0.2">
      <c r="B15" s="25" t="s">
        <v>102</v>
      </c>
      <c r="C15" s="25"/>
      <c r="D15" s="25"/>
      <c r="E15" s="26"/>
      <c r="F15" s="27">
        <v>21.72</v>
      </c>
      <c r="G15" s="28">
        <v>4.7000000000000002E-3</v>
      </c>
      <c r="H15" s="29"/>
    </row>
    <row r="16" spans="2:9" ht="15.75" customHeight="1" x14ac:dyDescent="0.2">
      <c r="B16" s="24" t="s">
        <v>94</v>
      </c>
      <c r="C16" s="24"/>
      <c r="D16" s="24"/>
      <c r="E16" s="30"/>
      <c r="F16" s="31">
        <v>21.72</v>
      </c>
      <c r="G16" s="32">
        <v>4.7000000000000002E-3</v>
      </c>
      <c r="H16" s="33"/>
    </row>
    <row r="17" spans="2:8" ht="15.75" customHeight="1" x14ac:dyDescent="0.2">
      <c r="B17" s="25"/>
      <c r="C17" s="25"/>
      <c r="D17" s="25"/>
      <c r="E17" s="26"/>
      <c r="F17" s="27"/>
      <c r="G17" s="28"/>
      <c r="H17" s="29"/>
    </row>
    <row r="18" spans="2:8" ht="15.75" customHeight="1" x14ac:dyDescent="0.2">
      <c r="B18" s="36" t="s">
        <v>98</v>
      </c>
      <c r="C18" s="36"/>
      <c r="D18" s="36"/>
      <c r="E18" s="37"/>
      <c r="F18" s="31">
        <v>21.72</v>
      </c>
      <c r="G18" s="32">
        <v>4.7000000000000002E-3</v>
      </c>
      <c r="H18" s="33"/>
    </row>
    <row r="19" spans="2:8" ht="15.75" customHeight="1" x14ac:dyDescent="0.2">
      <c r="B19" s="25" t="s">
        <v>103</v>
      </c>
      <c r="C19" s="25"/>
      <c r="D19" s="25"/>
      <c r="E19" s="26"/>
      <c r="F19" s="38">
        <v>-12.63</v>
      </c>
      <c r="G19" s="39">
        <v>-2.6999999999999247E-3</v>
      </c>
      <c r="H19" s="29"/>
    </row>
    <row r="20" spans="2:8" ht="15.75" customHeight="1" x14ac:dyDescent="0.2">
      <c r="B20" s="40" t="s">
        <v>104</v>
      </c>
      <c r="C20" s="40"/>
      <c r="D20" s="40"/>
      <c r="E20" s="41"/>
      <c r="F20" s="42">
        <v>4637.47</v>
      </c>
      <c r="G20" s="43">
        <v>1</v>
      </c>
      <c r="H20" s="44"/>
    </row>
    <row r="21" spans="2:8" ht="15.75" customHeight="1" thickBot="1" x14ac:dyDescent="0.25">
      <c r="B21" s="2"/>
    </row>
    <row r="22" spans="2:8" ht="27" customHeight="1" thickBot="1" x14ac:dyDescent="0.25">
      <c r="B22" s="57" t="s">
        <v>829</v>
      </c>
      <c r="C22" s="58" t="s">
        <v>830</v>
      </c>
      <c r="D22" s="58" t="s">
        <v>831</v>
      </c>
      <c r="E22" s="63" t="s">
        <v>832</v>
      </c>
      <c r="G22" s="2"/>
      <c r="H22" s="2"/>
    </row>
    <row r="23" spans="2:8" ht="29.25" customHeight="1" x14ac:dyDescent="0.2">
      <c r="B23" s="64" t="s">
        <v>51</v>
      </c>
      <c r="C23" s="82"/>
      <c r="D23" s="85" t="s">
        <v>895</v>
      </c>
      <c r="E23" s="87"/>
      <c r="G23" s="2"/>
      <c r="H23" s="2"/>
    </row>
    <row r="24" spans="2:8" ht="39.950000000000003" customHeight="1" x14ac:dyDescent="0.2">
      <c r="B24" s="66" t="s">
        <v>896</v>
      </c>
      <c r="C24" s="83"/>
      <c r="D24" s="86"/>
      <c r="E24" s="83"/>
      <c r="G24" s="2"/>
      <c r="H24" s="2"/>
    </row>
    <row r="25" spans="2:8" ht="39.950000000000003" customHeight="1" x14ac:dyDescent="0.2">
      <c r="B25" s="66" t="s">
        <v>897</v>
      </c>
      <c r="C25" s="83"/>
      <c r="D25" s="86"/>
      <c r="E25" s="83"/>
      <c r="G25" s="2"/>
      <c r="H25" s="2"/>
    </row>
    <row r="26" spans="2:8" ht="23.25" customHeight="1" thickBot="1" x14ac:dyDescent="0.25">
      <c r="B26" s="68" t="s">
        <v>862</v>
      </c>
      <c r="C26" s="84"/>
      <c r="D26" s="71" t="s">
        <v>862</v>
      </c>
      <c r="E26" s="88"/>
      <c r="G26" s="2"/>
      <c r="H26" s="2"/>
    </row>
    <row r="27" spans="2:8" ht="24.95" customHeight="1" x14ac:dyDescent="0.2">
      <c r="B27" s="59" t="s">
        <v>833</v>
      </c>
      <c r="C27" s="60"/>
      <c r="D27" s="61"/>
      <c r="E27" s="62"/>
      <c r="G27" s="2"/>
      <c r="H27" s="2"/>
    </row>
    <row r="29" spans="2:8" ht="12" x14ac:dyDescent="0.2">
      <c r="B29" s="2" t="s">
        <v>834</v>
      </c>
      <c r="C29" s="2"/>
      <c r="D29" s="2"/>
      <c r="G29" s="2"/>
      <c r="H29" s="2"/>
    </row>
    <row r="30" spans="2:8" ht="12" x14ac:dyDescent="0.2">
      <c r="B30" s="3" t="s">
        <v>835</v>
      </c>
      <c r="C30" s="2"/>
      <c r="D30" s="2"/>
      <c r="G30" s="2"/>
      <c r="H3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5EF00515-3014-4013-B476-8746B15DF4C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5AC8-96BA-4B60-8E40-B5EAC9C95CF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931</v>
      </c>
      <c r="C1" s="1" t="s">
        <v>932</v>
      </c>
      <c r="D1" s="1" t="s">
        <v>933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92"/>
      <c r="C5" s="19"/>
      <c r="D5" s="19"/>
      <c r="E5" s="20"/>
      <c r="F5" s="21"/>
      <c r="G5" s="22"/>
      <c r="H5" s="93"/>
    </row>
    <row r="6" spans="2:9" ht="15.75" customHeight="1" x14ac:dyDescent="0.2">
      <c r="B6" s="94"/>
      <c r="C6" s="46"/>
      <c r="D6" s="46"/>
      <c r="E6" s="95"/>
      <c r="F6" s="96"/>
      <c r="G6" s="97"/>
      <c r="H6" s="98"/>
    </row>
    <row r="7" spans="2:9" ht="15.75" customHeight="1" x14ac:dyDescent="0.2">
      <c r="B7" s="99" t="s">
        <v>99</v>
      </c>
      <c r="C7" s="46"/>
      <c r="D7" s="46"/>
      <c r="E7" s="95"/>
      <c r="F7" s="96"/>
      <c r="G7" s="97"/>
      <c r="H7" s="98"/>
    </row>
    <row r="8" spans="2:9" ht="15.75" customHeight="1" x14ac:dyDescent="0.2">
      <c r="B8" s="99" t="s">
        <v>934</v>
      </c>
      <c r="C8" s="46"/>
      <c r="D8" s="46"/>
      <c r="E8" s="95"/>
      <c r="F8" s="96"/>
      <c r="G8" s="97"/>
      <c r="H8" s="98"/>
    </row>
    <row r="9" spans="2:9" ht="15.75" customHeight="1" x14ac:dyDescent="0.2">
      <c r="B9" s="94" t="s">
        <v>934</v>
      </c>
      <c r="C9" s="46"/>
      <c r="D9" s="46" t="s">
        <v>934</v>
      </c>
      <c r="E9" s="95">
        <v>179</v>
      </c>
      <c r="F9" s="96">
        <v>11198.21</v>
      </c>
      <c r="G9" s="97">
        <v>0.99609999999999999</v>
      </c>
      <c r="H9" s="98"/>
    </row>
    <row r="10" spans="2:9" ht="15.75" customHeight="1" x14ac:dyDescent="0.2">
      <c r="B10" s="99" t="s">
        <v>94</v>
      </c>
      <c r="C10" s="100"/>
      <c r="D10" s="100"/>
      <c r="E10" s="101"/>
      <c r="F10" s="31">
        <f>SUM(F9)</f>
        <v>11198.21</v>
      </c>
      <c r="G10" s="102">
        <f>SUM(G9)</f>
        <v>0.99609999999999999</v>
      </c>
      <c r="H10" s="103"/>
    </row>
    <row r="11" spans="2:9" ht="15.75" customHeight="1" x14ac:dyDescent="0.2">
      <c r="B11" s="94"/>
      <c r="C11" s="46"/>
      <c r="D11" s="46"/>
      <c r="E11" s="95"/>
      <c r="F11" s="96"/>
      <c r="G11" s="97"/>
      <c r="H11" s="98"/>
    </row>
    <row r="12" spans="2:9" ht="15.75" customHeight="1" x14ac:dyDescent="0.2">
      <c r="B12" s="104" t="s">
        <v>98</v>
      </c>
      <c r="C12" s="36"/>
      <c r="D12" s="36"/>
      <c r="E12" s="37"/>
      <c r="F12" s="31">
        <f>+F10</f>
        <v>11198.21</v>
      </c>
      <c r="G12" s="102">
        <f>+G10</f>
        <v>0.99609999999999999</v>
      </c>
      <c r="H12" s="103"/>
    </row>
    <row r="13" spans="2:9" ht="15.75" customHeight="1" x14ac:dyDescent="0.2">
      <c r="B13" s="94"/>
      <c r="C13" s="46"/>
      <c r="D13" s="46"/>
      <c r="E13" s="95"/>
      <c r="F13" s="96"/>
      <c r="G13" s="97"/>
      <c r="H13" s="98"/>
    </row>
    <row r="14" spans="2:9" ht="15.75" customHeight="1" x14ac:dyDescent="0.2">
      <c r="B14" s="99" t="s">
        <v>101</v>
      </c>
      <c r="C14" s="46"/>
      <c r="D14" s="46"/>
      <c r="E14" s="95"/>
      <c r="F14" s="96"/>
      <c r="G14" s="97"/>
      <c r="H14" s="98"/>
    </row>
    <row r="15" spans="2:9" ht="15.75" customHeight="1" x14ac:dyDescent="0.2">
      <c r="B15" s="94" t="s">
        <v>102</v>
      </c>
      <c r="C15" s="46"/>
      <c r="D15" s="46"/>
      <c r="E15" s="95"/>
      <c r="F15" s="96">
        <v>20.86</v>
      </c>
      <c r="G15" s="97">
        <v>1.9E-3</v>
      </c>
      <c r="H15" s="98"/>
    </row>
    <row r="16" spans="2:9" ht="15.75" customHeight="1" x14ac:dyDescent="0.2">
      <c r="B16" s="99" t="s">
        <v>94</v>
      </c>
      <c r="C16" s="100"/>
      <c r="D16" s="100"/>
      <c r="E16" s="101"/>
      <c r="F16" s="31">
        <f>SUM(F15)</f>
        <v>20.86</v>
      </c>
      <c r="G16" s="32">
        <f>SUM(G15)</f>
        <v>1.9E-3</v>
      </c>
      <c r="H16" s="103"/>
    </row>
    <row r="17" spans="2:8" ht="15.75" customHeight="1" x14ac:dyDescent="0.2">
      <c r="B17" s="94"/>
      <c r="C17" s="46"/>
      <c r="D17" s="46"/>
      <c r="E17" s="95"/>
      <c r="F17" s="96"/>
      <c r="G17" s="97"/>
      <c r="H17" s="98"/>
    </row>
    <row r="18" spans="2:8" ht="15.75" customHeight="1" x14ac:dyDescent="0.2">
      <c r="B18" s="104" t="s">
        <v>98</v>
      </c>
      <c r="C18" s="36"/>
      <c r="D18" s="36"/>
      <c r="E18" s="37"/>
      <c r="F18" s="31">
        <f>+F16</f>
        <v>20.86</v>
      </c>
      <c r="G18" s="32">
        <f>+G16</f>
        <v>1.9E-3</v>
      </c>
      <c r="H18" s="103"/>
    </row>
    <row r="19" spans="2:8" ht="15.75" customHeight="1" x14ac:dyDescent="0.2">
      <c r="B19" s="94" t="s">
        <v>103</v>
      </c>
      <c r="C19" s="46"/>
      <c r="D19" s="46"/>
      <c r="E19" s="95"/>
      <c r="F19" s="105">
        <v>23.41</v>
      </c>
      <c r="G19" s="106">
        <v>2E-3</v>
      </c>
      <c r="H19" s="98"/>
    </row>
    <row r="20" spans="2:8" ht="15.75" customHeight="1" thickBot="1" x14ac:dyDescent="0.25">
      <c r="B20" s="107" t="s">
        <v>104</v>
      </c>
      <c r="C20" s="108"/>
      <c r="D20" s="108"/>
      <c r="E20" s="109"/>
      <c r="F20" s="110">
        <f>+F19+F18+F12</f>
        <v>11242.48</v>
      </c>
      <c r="G20" s="111">
        <f>+G19+G18+G12</f>
        <v>1</v>
      </c>
      <c r="H20" s="112"/>
    </row>
    <row r="21" spans="2:8" ht="15.75" customHeight="1" thickBot="1" x14ac:dyDescent="0.25">
      <c r="B21" s="2"/>
    </row>
    <row r="22" spans="2:8" ht="27" customHeight="1" thickBot="1" x14ac:dyDescent="0.25">
      <c r="B22" s="57" t="s">
        <v>829</v>
      </c>
      <c r="C22" s="58" t="s">
        <v>830</v>
      </c>
      <c r="D22" s="58" t="s">
        <v>831</v>
      </c>
      <c r="E22" s="63" t="s">
        <v>832</v>
      </c>
      <c r="G22" s="2"/>
      <c r="H22" s="2"/>
    </row>
    <row r="23" spans="2:8" ht="29.25" customHeight="1" x14ac:dyDescent="0.2">
      <c r="B23" s="64" t="s">
        <v>930</v>
      </c>
      <c r="C23" s="82"/>
      <c r="D23" s="85" t="s">
        <v>895</v>
      </c>
      <c r="E23" s="87"/>
      <c r="G23" s="2"/>
      <c r="H23" s="2"/>
    </row>
    <row r="24" spans="2:8" ht="39.950000000000003" customHeight="1" x14ac:dyDescent="0.2">
      <c r="B24" s="66" t="s">
        <v>935</v>
      </c>
      <c r="C24" s="83"/>
      <c r="D24" s="86"/>
      <c r="E24" s="83"/>
      <c r="G24" s="2"/>
      <c r="H24" s="2"/>
    </row>
    <row r="25" spans="2:8" ht="39.950000000000003" customHeight="1" x14ac:dyDescent="0.2">
      <c r="B25" s="66" t="s">
        <v>936</v>
      </c>
      <c r="C25" s="83"/>
      <c r="D25" s="86"/>
      <c r="E25" s="83"/>
      <c r="G25" s="2"/>
      <c r="H25" s="2"/>
    </row>
    <row r="26" spans="2:8" ht="23.25" customHeight="1" thickBot="1" x14ac:dyDescent="0.25">
      <c r="B26" s="68" t="s">
        <v>862</v>
      </c>
      <c r="C26" s="84"/>
      <c r="D26" s="71" t="s">
        <v>862</v>
      </c>
      <c r="E26" s="88"/>
      <c r="G26" s="2"/>
      <c r="H26" s="2"/>
    </row>
    <row r="28" spans="2:8" ht="12" x14ac:dyDescent="0.2">
      <c r="B28" s="2" t="s">
        <v>834</v>
      </c>
      <c r="C28" s="2"/>
      <c r="D28" s="2"/>
      <c r="G28" s="2"/>
      <c r="H28" s="2"/>
    </row>
    <row r="29" spans="2:8" ht="12" x14ac:dyDescent="0.2">
      <c r="B29" s="3" t="s">
        <v>835</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0AD746C2-8A0C-44AA-A7D3-9111A1A8D50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7B966-2D07-4A22-A0E5-366F7F638C44}">
  <dimension ref="B1:P93"/>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35.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803888</v>
      </c>
      <c r="F7" s="27">
        <v>11757.26</v>
      </c>
      <c r="G7" s="28">
        <v>8.5900000000000004E-2</v>
      </c>
      <c r="H7" s="29"/>
    </row>
    <row r="8" spans="2:9" ht="15.75" customHeight="1" x14ac:dyDescent="0.2">
      <c r="B8" s="25" t="s">
        <v>122</v>
      </c>
      <c r="C8" s="25" t="s">
        <v>123</v>
      </c>
      <c r="D8" s="25" t="s">
        <v>124</v>
      </c>
      <c r="E8" s="26">
        <v>1088021</v>
      </c>
      <c r="F8" s="27">
        <v>11186.49</v>
      </c>
      <c r="G8" s="28">
        <v>8.1699999999999995E-2</v>
      </c>
      <c r="H8" s="29"/>
    </row>
    <row r="9" spans="2:9" ht="15.75" customHeight="1" x14ac:dyDescent="0.2">
      <c r="B9" s="25" t="s">
        <v>130</v>
      </c>
      <c r="C9" s="25" t="s">
        <v>131</v>
      </c>
      <c r="D9" s="25" t="s">
        <v>132</v>
      </c>
      <c r="E9" s="26">
        <v>376746</v>
      </c>
      <c r="F9" s="27">
        <v>10749.51</v>
      </c>
      <c r="G9" s="28">
        <v>7.8600000000000003E-2</v>
      </c>
      <c r="H9" s="29"/>
    </row>
    <row r="10" spans="2:9" ht="15.75" customHeight="1" x14ac:dyDescent="0.2">
      <c r="B10" s="25" t="s">
        <v>160</v>
      </c>
      <c r="C10" s="25" t="s">
        <v>161</v>
      </c>
      <c r="D10" s="25" t="s">
        <v>162</v>
      </c>
      <c r="E10" s="26">
        <v>172458</v>
      </c>
      <c r="F10" s="27">
        <v>6001.11</v>
      </c>
      <c r="G10" s="28">
        <v>4.3900000000000002E-2</v>
      </c>
      <c r="H10" s="29"/>
    </row>
    <row r="11" spans="2:9" ht="15.75" customHeight="1" x14ac:dyDescent="0.2">
      <c r="B11" s="25" t="s">
        <v>125</v>
      </c>
      <c r="C11" s="25" t="s">
        <v>126</v>
      </c>
      <c r="D11" s="25" t="s">
        <v>127</v>
      </c>
      <c r="E11" s="26">
        <v>334504</v>
      </c>
      <c r="F11" s="27">
        <v>5555.78</v>
      </c>
      <c r="G11" s="28">
        <v>4.0599999999999997E-2</v>
      </c>
      <c r="H11" s="29"/>
    </row>
    <row r="12" spans="2:9" ht="15.75" customHeight="1" x14ac:dyDescent="0.2">
      <c r="B12" s="25" t="s">
        <v>190</v>
      </c>
      <c r="C12" s="25" t="s">
        <v>191</v>
      </c>
      <c r="D12" s="25" t="s">
        <v>135</v>
      </c>
      <c r="E12" s="26">
        <v>1249098</v>
      </c>
      <c r="F12" s="27">
        <v>5515.39</v>
      </c>
      <c r="G12" s="28">
        <v>4.0300000000000002E-2</v>
      </c>
      <c r="H12" s="29"/>
    </row>
    <row r="13" spans="2:9" ht="15.75" customHeight="1" x14ac:dyDescent="0.2">
      <c r="B13" s="25" t="s">
        <v>166</v>
      </c>
      <c r="C13" s="25" t="s">
        <v>167</v>
      </c>
      <c r="D13" s="25" t="s">
        <v>124</v>
      </c>
      <c r="E13" s="26">
        <v>443772</v>
      </c>
      <c r="F13" s="27">
        <v>4738.38</v>
      </c>
      <c r="G13" s="28">
        <v>3.4599999999999999E-2</v>
      </c>
      <c r="H13" s="29"/>
    </row>
    <row r="14" spans="2:9" ht="15.75" customHeight="1" x14ac:dyDescent="0.2">
      <c r="B14" s="25" t="s">
        <v>188</v>
      </c>
      <c r="C14" s="25" t="s">
        <v>189</v>
      </c>
      <c r="D14" s="25" t="s">
        <v>124</v>
      </c>
      <c r="E14" s="26">
        <v>655368</v>
      </c>
      <c r="F14" s="27">
        <v>4197.63</v>
      </c>
      <c r="G14" s="28">
        <v>3.0700000000000002E-2</v>
      </c>
      <c r="H14" s="29"/>
    </row>
    <row r="15" spans="2:9" ht="15.75" customHeight="1" x14ac:dyDescent="0.2">
      <c r="B15" s="25" t="s">
        <v>171</v>
      </c>
      <c r="C15" s="25" t="s">
        <v>172</v>
      </c>
      <c r="D15" s="25" t="s">
        <v>127</v>
      </c>
      <c r="E15" s="26">
        <v>99451</v>
      </c>
      <c r="F15" s="27">
        <v>3795</v>
      </c>
      <c r="G15" s="28">
        <v>2.7699999999999999E-2</v>
      </c>
      <c r="H15" s="29"/>
    </row>
    <row r="16" spans="2:9" ht="15.75" customHeight="1" x14ac:dyDescent="0.2">
      <c r="B16" s="25" t="s">
        <v>294</v>
      </c>
      <c r="C16" s="25" t="s">
        <v>295</v>
      </c>
      <c r="D16" s="25" t="s">
        <v>170</v>
      </c>
      <c r="E16" s="26">
        <v>854316</v>
      </c>
      <c r="F16" s="27">
        <v>3786.76</v>
      </c>
      <c r="G16" s="28">
        <v>2.7699999999999999E-2</v>
      </c>
      <c r="H16" s="29"/>
    </row>
    <row r="17" spans="2:8" ht="15.75" customHeight="1" x14ac:dyDescent="0.2">
      <c r="B17" s="25" t="s">
        <v>192</v>
      </c>
      <c r="C17" s="25" t="s">
        <v>193</v>
      </c>
      <c r="D17" s="25" t="s">
        <v>124</v>
      </c>
      <c r="E17" s="26">
        <v>206793</v>
      </c>
      <c r="F17" s="27">
        <v>3774.49</v>
      </c>
      <c r="G17" s="28">
        <v>2.76E-2</v>
      </c>
      <c r="H17" s="29"/>
    </row>
    <row r="18" spans="2:8" ht="15.75" customHeight="1" x14ac:dyDescent="0.2">
      <c r="B18" s="25" t="s">
        <v>133</v>
      </c>
      <c r="C18" s="25" t="s">
        <v>134</v>
      </c>
      <c r="D18" s="25" t="s">
        <v>135</v>
      </c>
      <c r="E18" s="26">
        <v>151200</v>
      </c>
      <c r="F18" s="27">
        <v>3752.1</v>
      </c>
      <c r="G18" s="28">
        <v>2.7400000000000001E-2</v>
      </c>
      <c r="H18" s="29"/>
    </row>
    <row r="19" spans="2:8" ht="15.75" customHeight="1" x14ac:dyDescent="0.2">
      <c r="B19" s="25" t="s">
        <v>350</v>
      </c>
      <c r="C19" s="25" t="s">
        <v>351</v>
      </c>
      <c r="D19" s="25" t="s">
        <v>259</v>
      </c>
      <c r="E19" s="26">
        <v>275317</v>
      </c>
      <c r="F19" s="27">
        <v>3223.14</v>
      </c>
      <c r="G19" s="28">
        <v>2.3599999999999999E-2</v>
      </c>
      <c r="H19" s="29"/>
    </row>
    <row r="20" spans="2:8" ht="15.75" customHeight="1" x14ac:dyDescent="0.2">
      <c r="B20" s="25" t="s">
        <v>311</v>
      </c>
      <c r="C20" s="25" t="s">
        <v>312</v>
      </c>
      <c r="D20" s="25" t="s">
        <v>313</v>
      </c>
      <c r="E20" s="26">
        <v>146732</v>
      </c>
      <c r="F20" s="27">
        <v>3191.42</v>
      </c>
      <c r="G20" s="28">
        <v>2.3300000000000001E-2</v>
      </c>
      <c r="H20" s="29"/>
    </row>
    <row r="21" spans="2:8" ht="15.75" customHeight="1" x14ac:dyDescent="0.2">
      <c r="B21" s="25" t="s">
        <v>216</v>
      </c>
      <c r="C21" s="25" t="s">
        <v>217</v>
      </c>
      <c r="D21" s="25" t="s">
        <v>212</v>
      </c>
      <c r="E21" s="26">
        <v>79991</v>
      </c>
      <c r="F21" s="27">
        <v>2957.71</v>
      </c>
      <c r="G21" s="28">
        <v>2.1600000000000001E-2</v>
      </c>
      <c r="H21" s="29"/>
    </row>
    <row r="22" spans="2:8" ht="15.75" customHeight="1" x14ac:dyDescent="0.2">
      <c r="B22" s="25" t="s">
        <v>273</v>
      </c>
      <c r="C22" s="25" t="s">
        <v>274</v>
      </c>
      <c r="D22" s="25" t="s">
        <v>204</v>
      </c>
      <c r="E22" s="26">
        <v>183730</v>
      </c>
      <c r="F22" s="27">
        <v>2606.12</v>
      </c>
      <c r="G22" s="28">
        <v>1.9E-2</v>
      </c>
      <c r="H22" s="29"/>
    </row>
    <row r="23" spans="2:8" ht="15.75" customHeight="1" x14ac:dyDescent="0.2">
      <c r="B23" s="25" t="s">
        <v>269</v>
      </c>
      <c r="C23" s="25" t="s">
        <v>270</v>
      </c>
      <c r="D23" s="25" t="s">
        <v>127</v>
      </c>
      <c r="E23" s="26">
        <v>157033</v>
      </c>
      <c r="F23" s="27">
        <v>2474.84</v>
      </c>
      <c r="G23" s="28">
        <v>1.8100000000000002E-2</v>
      </c>
      <c r="H23" s="29"/>
    </row>
    <row r="24" spans="2:8" ht="15.75" customHeight="1" x14ac:dyDescent="0.2">
      <c r="B24" s="25" t="s">
        <v>280</v>
      </c>
      <c r="C24" s="25" t="s">
        <v>281</v>
      </c>
      <c r="D24" s="25" t="s">
        <v>229</v>
      </c>
      <c r="E24" s="26">
        <v>689893</v>
      </c>
      <c r="F24" s="27">
        <v>2190.41</v>
      </c>
      <c r="G24" s="28">
        <v>1.6E-2</v>
      </c>
      <c r="H24" s="29"/>
    </row>
    <row r="25" spans="2:8" ht="15.75" customHeight="1" x14ac:dyDescent="0.2">
      <c r="B25" s="25" t="s">
        <v>185</v>
      </c>
      <c r="C25" s="25" t="s">
        <v>186</v>
      </c>
      <c r="D25" s="25" t="s">
        <v>187</v>
      </c>
      <c r="E25" s="26">
        <v>1144292</v>
      </c>
      <c r="F25" s="27">
        <v>2127.2399999999998</v>
      </c>
      <c r="G25" s="28">
        <v>1.55E-2</v>
      </c>
      <c r="H25" s="29"/>
    </row>
    <row r="26" spans="2:8" ht="15.75" customHeight="1" x14ac:dyDescent="0.2">
      <c r="B26" s="25" t="s">
        <v>168</v>
      </c>
      <c r="C26" s="25" t="s">
        <v>169</v>
      </c>
      <c r="D26" s="25" t="s">
        <v>170</v>
      </c>
      <c r="E26" s="26">
        <v>25915</v>
      </c>
      <c r="F26" s="27">
        <v>1778.52</v>
      </c>
      <c r="G26" s="28">
        <v>1.2999999999999999E-2</v>
      </c>
      <c r="H26" s="29"/>
    </row>
    <row r="27" spans="2:8" ht="15.75" customHeight="1" x14ac:dyDescent="0.2">
      <c r="B27" s="25" t="s">
        <v>183</v>
      </c>
      <c r="C27" s="25" t="s">
        <v>184</v>
      </c>
      <c r="D27" s="25" t="s">
        <v>141</v>
      </c>
      <c r="E27" s="26">
        <v>17238</v>
      </c>
      <c r="F27" s="27">
        <v>1756.02</v>
      </c>
      <c r="G27" s="28">
        <v>1.2800000000000001E-2</v>
      </c>
      <c r="H27" s="29"/>
    </row>
    <row r="28" spans="2:8" ht="15.75" customHeight="1" x14ac:dyDescent="0.2">
      <c r="B28" s="25" t="s">
        <v>442</v>
      </c>
      <c r="C28" s="25" t="s">
        <v>443</v>
      </c>
      <c r="D28" s="25" t="s">
        <v>141</v>
      </c>
      <c r="E28" s="26">
        <v>186772</v>
      </c>
      <c r="F28" s="27">
        <v>1651.44</v>
      </c>
      <c r="G28" s="28">
        <v>1.21E-2</v>
      </c>
      <c r="H28" s="29"/>
    </row>
    <row r="29" spans="2:8" ht="15.75" customHeight="1" x14ac:dyDescent="0.2">
      <c r="B29" s="25" t="s">
        <v>286</v>
      </c>
      <c r="C29" s="25" t="s">
        <v>287</v>
      </c>
      <c r="D29" s="25" t="s">
        <v>141</v>
      </c>
      <c r="E29" s="26">
        <v>31956</v>
      </c>
      <c r="F29" s="27">
        <v>1476.86</v>
      </c>
      <c r="G29" s="28">
        <v>1.0800000000000001E-2</v>
      </c>
      <c r="H29" s="29"/>
    </row>
    <row r="30" spans="2:8" ht="15.75" customHeight="1" x14ac:dyDescent="0.2">
      <c r="B30" s="25" t="s">
        <v>139</v>
      </c>
      <c r="C30" s="25" t="s">
        <v>140</v>
      </c>
      <c r="D30" s="25" t="s">
        <v>141</v>
      </c>
      <c r="E30" s="26">
        <v>85035</v>
      </c>
      <c r="F30" s="27">
        <v>1404.4</v>
      </c>
      <c r="G30" s="28">
        <v>1.03E-2</v>
      </c>
      <c r="H30" s="29"/>
    </row>
    <row r="31" spans="2:8" ht="15.75" customHeight="1" x14ac:dyDescent="0.2">
      <c r="B31" s="25" t="s">
        <v>682</v>
      </c>
      <c r="C31" s="25" t="s">
        <v>683</v>
      </c>
      <c r="D31" s="25" t="s">
        <v>592</v>
      </c>
      <c r="E31" s="26">
        <v>124565</v>
      </c>
      <c r="F31" s="27">
        <v>1392.64</v>
      </c>
      <c r="G31" s="28">
        <v>1.0200000000000001E-2</v>
      </c>
      <c r="H31" s="29"/>
    </row>
    <row r="32" spans="2:8" ht="15.75" customHeight="1" x14ac:dyDescent="0.2">
      <c r="B32" s="25" t="s">
        <v>275</v>
      </c>
      <c r="C32" s="25" t="s">
        <v>276</v>
      </c>
      <c r="D32" s="25" t="s">
        <v>277</v>
      </c>
      <c r="E32" s="26">
        <v>20866</v>
      </c>
      <c r="F32" s="27">
        <v>1325.61</v>
      </c>
      <c r="G32" s="28">
        <v>9.7000000000000003E-3</v>
      </c>
      <c r="H32" s="29"/>
    </row>
    <row r="33" spans="2:8" ht="15.75" customHeight="1" x14ac:dyDescent="0.2">
      <c r="B33" s="25" t="s">
        <v>454</v>
      </c>
      <c r="C33" s="25" t="s">
        <v>455</v>
      </c>
      <c r="D33" s="25" t="s">
        <v>138</v>
      </c>
      <c r="E33" s="26">
        <v>24118</v>
      </c>
      <c r="F33" s="27">
        <v>1253.75</v>
      </c>
      <c r="G33" s="28">
        <v>9.1999999999999998E-3</v>
      </c>
      <c r="H33" s="29"/>
    </row>
    <row r="34" spans="2:8" ht="15.75" customHeight="1" x14ac:dyDescent="0.2">
      <c r="B34" s="25" t="s">
        <v>213</v>
      </c>
      <c r="C34" s="25" t="s">
        <v>214</v>
      </c>
      <c r="D34" s="25" t="s">
        <v>215</v>
      </c>
      <c r="E34" s="26">
        <v>48251</v>
      </c>
      <c r="F34" s="27">
        <v>1222.22</v>
      </c>
      <c r="G34" s="28">
        <v>8.8999999999999999E-3</v>
      </c>
      <c r="H34" s="29"/>
    </row>
    <row r="35" spans="2:8" ht="15.75" customHeight="1" x14ac:dyDescent="0.2">
      <c r="B35" s="25" t="s">
        <v>684</v>
      </c>
      <c r="C35" s="25" t="s">
        <v>685</v>
      </c>
      <c r="D35" s="25" t="s">
        <v>207</v>
      </c>
      <c r="E35" s="26">
        <v>32224</v>
      </c>
      <c r="F35" s="27">
        <v>1222.1600000000001</v>
      </c>
      <c r="G35" s="28">
        <v>8.8999999999999999E-3</v>
      </c>
      <c r="H35" s="29"/>
    </row>
    <row r="36" spans="2:8" ht="15.75" customHeight="1" x14ac:dyDescent="0.2">
      <c r="B36" s="25" t="s">
        <v>331</v>
      </c>
      <c r="C36" s="25" t="s">
        <v>332</v>
      </c>
      <c r="D36" s="25" t="s">
        <v>313</v>
      </c>
      <c r="E36" s="26">
        <v>11969</v>
      </c>
      <c r="F36" s="27">
        <v>1216.93</v>
      </c>
      <c r="G36" s="28">
        <v>8.8999999999999999E-3</v>
      </c>
      <c r="H36" s="29"/>
    </row>
    <row r="37" spans="2:8" ht="15.75" customHeight="1" x14ac:dyDescent="0.2">
      <c r="B37" s="25" t="s">
        <v>686</v>
      </c>
      <c r="C37" s="25" t="s">
        <v>687</v>
      </c>
      <c r="D37" s="25" t="s">
        <v>688</v>
      </c>
      <c r="E37" s="26">
        <v>273077</v>
      </c>
      <c r="F37" s="27">
        <v>1109.0999999999999</v>
      </c>
      <c r="G37" s="28">
        <v>8.0999999999999996E-3</v>
      </c>
      <c r="H37" s="29"/>
    </row>
    <row r="38" spans="2:8" ht="15.75" customHeight="1" x14ac:dyDescent="0.2">
      <c r="B38" s="25" t="s">
        <v>250</v>
      </c>
      <c r="C38" s="25" t="s">
        <v>251</v>
      </c>
      <c r="D38" s="25" t="s">
        <v>252</v>
      </c>
      <c r="E38" s="26">
        <v>961574</v>
      </c>
      <c r="F38" s="27">
        <v>1088.98</v>
      </c>
      <c r="G38" s="28">
        <v>8.0000000000000002E-3</v>
      </c>
      <c r="H38" s="29"/>
    </row>
    <row r="39" spans="2:8" ht="15.75" customHeight="1" x14ac:dyDescent="0.2">
      <c r="B39" s="25" t="s">
        <v>333</v>
      </c>
      <c r="C39" s="25" t="s">
        <v>334</v>
      </c>
      <c r="D39" s="25" t="s">
        <v>141</v>
      </c>
      <c r="E39" s="26">
        <v>26959</v>
      </c>
      <c r="F39" s="27">
        <v>1035.1199999999999</v>
      </c>
      <c r="G39" s="28">
        <v>7.6E-3</v>
      </c>
      <c r="H39" s="29"/>
    </row>
    <row r="40" spans="2:8" ht="15.75" customHeight="1" x14ac:dyDescent="0.2">
      <c r="B40" s="25" t="s">
        <v>319</v>
      </c>
      <c r="C40" s="25" t="s">
        <v>320</v>
      </c>
      <c r="D40" s="25" t="s">
        <v>316</v>
      </c>
      <c r="E40" s="26">
        <v>72900</v>
      </c>
      <c r="F40" s="27">
        <v>1021.44</v>
      </c>
      <c r="G40" s="28">
        <v>7.4999999999999997E-3</v>
      </c>
      <c r="H40" s="29"/>
    </row>
    <row r="41" spans="2:8" ht="15.75" customHeight="1" x14ac:dyDescent="0.2">
      <c r="B41" s="25" t="s">
        <v>282</v>
      </c>
      <c r="C41" s="25" t="s">
        <v>283</v>
      </c>
      <c r="D41" s="25" t="s">
        <v>215</v>
      </c>
      <c r="E41" s="26">
        <v>39934</v>
      </c>
      <c r="F41" s="27">
        <v>928.51</v>
      </c>
      <c r="G41" s="28">
        <v>6.7999999999999996E-3</v>
      </c>
      <c r="H41" s="29"/>
    </row>
    <row r="42" spans="2:8" ht="15.75" customHeight="1" x14ac:dyDescent="0.2">
      <c r="B42" s="25" t="s">
        <v>175</v>
      </c>
      <c r="C42" s="25" t="s">
        <v>176</v>
      </c>
      <c r="D42" s="25" t="s">
        <v>177</v>
      </c>
      <c r="E42" s="26">
        <v>154266</v>
      </c>
      <c r="F42" s="27">
        <v>893.74</v>
      </c>
      <c r="G42" s="28">
        <v>6.4999999999999997E-3</v>
      </c>
      <c r="H42" s="29"/>
    </row>
    <row r="43" spans="2:8" ht="15.75" customHeight="1" x14ac:dyDescent="0.2">
      <c r="B43" s="25" t="s">
        <v>346</v>
      </c>
      <c r="C43" s="25" t="s">
        <v>347</v>
      </c>
      <c r="D43" s="25" t="s">
        <v>207</v>
      </c>
      <c r="E43" s="26">
        <v>637502</v>
      </c>
      <c r="F43" s="27">
        <v>889.63</v>
      </c>
      <c r="G43" s="28">
        <v>6.4999999999999997E-3</v>
      </c>
      <c r="H43" s="29"/>
    </row>
    <row r="44" spans="2:8" ht="15.75" customHeight="1" x14ac:dyDescent="0.2">
      <c r="B44" s="25" t="s">
        <v>417</v>
      </c>
      <c r="C44" s="25" t="s">
        <v>418</v>
      </c>
      <c r="D44" s="25" t="s">
        <v>170</v>
      </c>
      <c r="E44" s="26">
        <v>63707</v>
      </c>
      <c r="F44" s="27">
        <v>888.68</v>
      </c>
      <c r="G44" s="28">
        <v>6.4999999999999997E-3</v>
      </c>
      <c r="H44" s="29"/>
    </row>
    <row r="45" spans="2:8" ht="15.75" customHeight="1" x14ac:dyDescent="0.2">
      <c r="B45" s="25" t="s">
        <v>689</v>
      </c>
      <c r="C45" s="25" t="s">
        <v>690</v>
      </c>
      <c r="D45" s="25" t="s">
        <v>124</v>
      </c>
      <c r="E45" s="26">
        <v>57318</v>
      </c>
      <c r="F45" s="27">
        <v>879.29</v>
      </c>
      <c r="G45" s="28">
        <v>6.4000000000000003E-3</v>
      </c>
      <c r="H45" s="29"/>
    </row>
    <row r="46" spans="2:8" ht="15.75" customHeight="1" x14ac:dyDescent="0.2">
      <c r="B46" s="25" t="s">
        <v>575</v>
      </c>
      <c r="C46" s="25" t="s">
        <v>576</v>
      </c>
      <c r="D46" s="25" t="s">
        <v>226</v>
      </c>
      <c r="E46" s="26">
        <v>159931</v>
      </c>
      <c r="F46" s="27">
        <v>862.99</v>
      </c>
      <c r="G46" s="28">
        <v>6.3E-3</v>
      </c>
      <c r="H46" s="29"/>
    </row>
    <row r="47" spans="2:8" ht="15.75" customHeight="1" x14ac:dyDescent="0.2">
      <c r="B47" s="25" t="s">
        <v>506</v>
      </c>
      <c r="C47" s="25" t="s">
        <v>507</v>
      </c>
      <c r="D47" s="25" t="s">
        <v>204</v>
      </c>
      <c r="E47" s="26">
        <v>3061</v>
      </c>
      <c r="F47" s="27">
        <v>793.01</v>
      </c>
      <c r="G47" s="28">
        <v>5.7999999999999996E-3</v>
      </c>
      <c r="H47" s="29"/>
    </row>
    <row r="48" spans="2:8" ht="15.75" customHeight="1" x14ac:dyDescent="0.2">
      <c r="B48" s="25" t="s">
        <v>244</v>
      </c>
      <c r="C48" s="25" t="s">
        <v>245</v>
      </c>
      <c r="D48" s="25" t="s">
        <v>204</v>
      </c>
      <c r="E48" s="26">
        <v>12756</v>
      </c>
      <c r="F48" s="27">
        <v>780.81</v>
      </c>
      <c r="G48" s="28">
        <v>5.7000000000000002E-3</v>
      </c>
      <c r="H48" s="29"/>
    </row>
    <row r="49" spans="2:8" ht="15.75" customHeight="1" x14ac:dyDescent="0.2">
      <c r="B49" s="25" t="s">
        <v>197</v>
      </c>
      <c r="C49" s="25" t="s">
        <v>198</v>
      </c>
      <c r="D49" s="25" t="s">
        <v>170</v>
      </c>
      <c r="E49" s="26">
        <v>46415</v>
      </c>
      <c r="F49" s="27">
        <v>755.31</v>
      </c>
      <c r="G49" s="28">
        <v>5.4999999999999997E-3</v>
      </c>
      <c r="H49" s="29"/>
    </row>
    <row r="50" spans="2:8" ht="15.75" customHeight="1" x14ac:dyDescent="0.2">
      <c r="B50" s="25" t="s">
        <v>205</v>
      </c>
      <c r="C50" s="25" t="s">
        <v>206</v>
      </c>
      <c r="D50" s="25" t="s">
        <v>207</v>
      </c>
      <c r="E50" s="26">
        <v>23933</v>
      </c>
      <c r="F50" s="27">
        <v>738.8</v>
      </c>
      <c r="G50" s="28">
        <v>5.4000000000000003E-3</v>
      </c>
      <c r="H50" s="29"/>
    </row>
    <row r="51" spans="2:8" ht="15.75" customHeight="1" x14ac:dyDescent="0.2">
      <c r="B51" s="25" t="s">
        <v>237</v>
      </c>
      <c r="C51" s="25" t="s">
        <v>238</v>
      </c>
      <c r="D51" s="25" t="s">
        <v>180</v>
      </c>
      <c r="E51" s="26">
        <v>519152</v>
      </c>
      <c r="F51" s="27">
        <v>705.79</v>
      </c>
      <c r="G51" s="28">
        <v>5.1999999999999998E-3</v>
      </c>
      <c r="H51" s="29"/>
    </row>
    <row r="52" spans="2:8" ht="15.75" customHeight="1" x14ac:dyDescent="0.2">
      <c r="B52" s="25" t="s">
        <v>691</v>
      </c>
      <c r="C52" s="25" t="s">
        <v>692</v>
      </c>
      <c r="D52" s="25" t="s">
        <v>693</v>
      </c>
      <c r="E52" s="26">
        <v>54372</v>
      </c>
      <c r="F52" s="27">
        <v>696.18</v>
      </c>
      <c r="G52" s="28">
        <v>5.1000000000000004E-3</v>
      </c>
      <c r="H52" s="29"/>
    </row>
    <row r="53" spans="2:8" ht="15.75" customHeight="1" x14ac:dyDescent="0.2">
      <c r="B53" s="25" t="s">
        <v>569</v>
      </c>
      <c r="C53" s="25" t="s">
        <v>570</v>
      </c>
      <c r="D53" s="25" t="s">
        <v>187</v>
      </c>
      <c r="E53" s="26">
        <v>39541</v>
      </c>
      <c r="F53" s="27">
        <v>674.98</v>
      </c>
      <c r="G53" s="28">
        <v>4.8999999999999998E-3</v>
      </c>
      <c r="H53" s="29"/>
    </row>
    <row r="54" spans="2:8" ht="15.75" customHeight="1" x14ac:dyDescent="0.2">
      <c r="B54" s="25" t="s">
        <v>142</v>
      </c>
      <c r="C54" s="25" t="s">
        <v>143</v>
      </c>
      <c r="D54" s="25" t="s">
        <v>127</v>
      </c>
      <c r="E54" s="26">
        <v>11674</v>
      </c>
      <c r="F54" s="27">
        <v>636.05999999999995</v>
      </c>
      <c r="G54" s="28">
        <v>4.5999999999999999E-3</v>
      </c>
      <c r="H54" s="29"/>
    </row>
    <row r="55" spans="2:8" ht="15.75" customHeight="1" x14ac:dyDescent="0.2">
      <c r="B55" s="25" t="s">
        <v>222</v>
      </c>
      <c r="C55" s="25" t="s">
        <v>223</v>
      </c>
      <c r="D55" s="25" t="s">
        <v>212</v>
      </c>
      <c r="E55" s="26">
        <v>48766</v>
      </c>
      <c r="F55" s="27">
        <v>631.23</v>
      </c>
      <c r="G55" s="28">
        <v>4.5999999999999999E-3</v>
      </c>
      <c r="H55" s="29"/>
    </row>
    <row r="56" spans="2:8" ht="15.75" customHeight="1" x14ac:dyDescent="0.2">
      <c r="B56" s="25" t="s">
        <v>694</v>
      </c>
      <c r="C56" s="25" t="s">
        <v>695</v>
      </c>
      <c r="D56" s="25" t="s">
        <v>252</v>
      </c>
      <c r="E56" s="26">
        <v>2444</v>
      </c>
      <c r="F56" s="27">
        <v>576.01</v>
      </c>
      <c r="G56" s="28">
        <v>4.1999999999999997E-3</v>
      </c>
      <c r="H56" s="29"/>
    </row>
    <row r="57" spans="2:8" ht="15.75" customHeight="1" x14ac:dyDescent="0.2">
      <c r="B57" s="25" t="s">
        <v>158</v>
      </c>
      <c r="C57" s="25" t="s">
        <v>159</v>
      </c>
      <c r="D57" s="25" t="s">
        <v>124</v>
      </c>
      <c r="E57" s="26">
        <v>229346</v>
      </c>
      <c r="F57" s="27">
        <v>567.86</v>
      </c>
      <c r="G57" s="28">
        <v>4.1000000000000003E-3</v>
      </c>
      <c r="H57" s="29"/>
    </row>
    <row r="58" spans="2:8" ht="15.75" customHeight="1" x14ac:dyDescent="0.2">
      <c r="B58" s="25" t="s">
        <v>565</v>
      </c>
      <c r="C58" s="25" t="s">
        <v>566</v>
      </c>
      <c r="D58" s="25" t="s">
        <v>124</v>
      </c>
      <c r="E58" s="26">
        <v>115225</v>
      </c>
      <c r="F58" s="27">
        <v>555.38</v>
      </c>
      <c r="G58" s="28">
        <v>4.1000000000000003E-3</v>
      </c>
      <c r="H58" s="29"/>
    </row>
    <row r="59" spans="2:8" ht="15.75" customHeight="1" x14ac:dyDescent="0.2">
      <c r="B59" s="25" t="s">
        <v>301</v>
      </c>
      <c r="C59" s="25" t="s">
        <v>302</v>
      </c>
      <c r="D59" s="25" t="s">
        <v>303</v>
      </c>
      <c r="E59" s="26">
        <v>36415</v>
      </c>
      <c r="F59" s="27">
        <v>547.44000000000005</v>
      </c>
      <c r="G59" s="28">
        <v>4.0000000000000001E-3</v>
      </c>
      <c r="H59" s="29"/>
    </row>
    <row r="60" spans="2:8" ht="15.75" customHeight="1" x14ac:dyDescent="0.2">
      <c r="B60" s="25" t="s">
        <v>356</v>
      </c>
      <c r="C60" s="25" t="s">
        <v>357</v>
      </c>
      <c r="D60" s="25" t="s">
        <v>358</v>
      </c>
      <c r="E60" s="26">
        <v>50494</v>
      </c>
      <c r="F60" s="27">
        <v>493.43</v>
      </c>
      <c r="G60" s="28">
        <v>3.5999999999999999E-3</v>
      </c>
      <c r="H60" s="29"/>
    </row>
    <row r="61" spans="2:8" ht="15.75" customHeight="1" x14ac:dyDescent="0.2">
      <c r="B61" s="25" t="s">
        <v>462</v>
      </c>
      <c r="C61" s="25" t="s">
        <v>463</v>
      </c>
      <c r="D61" s="25" t="s">
        <v>196</v>
      </c>
      <c r="E61" s="26">
        <v>12311</v>
      </c>
      <c r="F61" s="27">
        <v>415.21</v>
      </c>
      <c r="G61" s="28">
        <v>3.0000000000000001E-3</v>
      </c>
      <c r="H61" s="29"/>
    </row>
    <row r="62" spans="2:8" ht="15.75" customHeight="1" x14ac:dyDescent="0.2">
      <c r="B62" s="25" t="s">
        <v>530</v>
      </c>
      <c r="C62" s="25" t="s">
        <v>531</v>
      </c>
      <c r="D62" s="25" t="s">
        <v>470</v>
      </c>
      <c r="E62" s="26">
        <v>181456</v>
      </c>
      <c r="F62" s="27">
        <v>319.18</v>
      </c>
      <c r="G62" s="28">
        <v>2.3E-3</v>
      </c>
      <c r="H62" s="29"/>
    </row>
    <row r="63" spans="2:8" ht="15.75" customHeight="1" x14ac:dyDescent="0.2">
      <c r="B63" s="25" t="s">
        <v>696</v>
      </c>
      <c r="C63" s="25" t="s">
        <v>697</v>
      </c>
      <c r="D63" s="25" t="s">
        <v>187</v>
      </c>
      <c r="E63" s="26">
        <v>10246</v>
      </c>
      <c r="F63" s="27">
        <v>307.32</v>
      </c>
      <c r="G63" s="28">
        <v>2.2000000000000001E-3</v>
      </c>
      <c r="H63" s="29"/>
    </row>
    <row r="64" spans="2:8" ht="15.75" customHeight="1" x14ac:dyDescent="0.2">
      <c r="B64" s="25" t="s">
        <v>448</v>
      </c>
      <c r="C64" s="25" t="s">
        <v>449</v>
      </c>
      <c r="D64" s="25" t="s">
        <v>212</v>
      </c>
      <c r="E64" s="26">
        <v>51201</v>
      </c>
      <c r="F64" s="27">
        <v>247.35</v>
      </c>
      <c r="G64" s="28">
        <v>1.8E-3</v>
      </c>
      <c r="H64" s="29"/>
    </row>
    <row r="65" spans="2:16" ht="15.75" customHeight="1" x14ac:dyDescent="0.2">
      <c r="B65" s="25" t="s">
        <v>544</v>
      </c>
      <c r="C65" s="25" t="s">
        <v>545</v>
      </c>
      <c r="D65" s="25" t="s">
        <v>170</v>
      </c>
      <c r="E65" s="26">
        <v>38277</v>
      </c>
      <c r="F65" s="27">
        <v>191.02</v>
      </c>
      <c r="G65" s="28">
        <v>1.4E-3</v>
      </c>
      <c r="H65" s="29"/>
    </row>
    <row r="66" spans="2:16" ht="15.75" customHeight="1" x14ac:dyDescent="0.2">
      <c r="B66" s="25" t="s">
        <v>666</v>
      </c>
      <c r="C66" s="25" t="s">
        <v>667</v>
      </c>
      <c r="D66" s="25" t="s">
        <v>215</v>
      </c>
      <c r="E66" s="26">
        <v>5337</v>
      </c>
      <c r="F66" s="27">
        <v>182.39</v>
      </c>
      <c r="G66" s="28">
        <v>1.2999999999999999E-3</v>
      </c>
      <c r="H66" s="29"/>
    </row>
    <row r="67" spans="2:16" ht="15.75" customHeight="1" x14ac:dyDescent="0.2">
      <c r="B67" s="25" t="s">
        <v>335</v>
      </c>
      <c r="C67" s="25" t="s">
        <v>336</v>
      </c>
      <c r="D67" s="25" t="s">
        <v>313</v>
      </c>
      <c r="E67" s="26">
        <v>4918</v>
      </c>
      <c r="F67" s="27">
        <v>40.130000000000003</v>
      </c>
      <c r="G67" s="28">
        <v>2.9999999999999997E-4</v>
      </c>
      <c r="H67" s="29"/>
    </row>
    <row r="68" spans="2:16" ht="15.75" customHeight="1" x14ac:dyDescent="0.2">
      <c r="B68" s="24" t="s">
        <v>94</v>
      </c>
      <c r="C68" s="24"/>
      <c r="D68" s="24"/>
      <c r="E68" s="30"/>
      <c r="F68" s="31">
        <v>129733.7</v>
      </c>
      <c r="G68" s="32">
        <v>0.94799999999999995</v>
      </c>
      <c r="H68" s="33"/>
      <c r="L68" s="3"/>
    </row>
    <row r="69" spans="2:16" ht="15.75" customHeight="1" x14ac:dyDescent="0.2">
      <c r="B69" s="24" t="s">
        <v>144</v>
      </c>
      <c r="C69" s="25"/>
      <c r="D69" s="25"/>
      <c r="E69" s="26"/>
      <c r="F69" s="27"/>
      <c r="G69" s="28"/>
      <c r="H69" s="29"/>
    </row>
    <row r="70" spans="2:16" ht="15.75" customHeight="1" x14ac:dyDescent="0.2">
      <c r="B70" s="24" t="s">
        <v>94</v>
      </c>
      <c r="C70" s="25"/>
      <c r="D70" s="25"/>
      <c r="E70" s="26"/>
      <c r="F70" s="34" t="s">
        <v>96</v>
      </c>
      <c r="G70" s="35" t="s">
        <v>96</v>
      </c>
      <c r="H70" s="29"/>
      <c r="L70" s="3"/>
    </row>
    <row r="71" spans="2:16" ht="15.75" customHeight="1" x14ac:dyDescent="0.2">
      <c r="B71" s="25"/>
      <c r="C71" s="25"/>
      <c r="D71" s="25"/>
      <c r="E71" s="26"/>
      <c r="F71" s="27"/>
      <c r="G71" s="28"/>
      <c r="H71" s="29"/>
      <c r="L71" s="3"/>
    </row>
    <row r="72" spans="2:16" ht="15.75" customHeight="1" x14ac:dyDescent="0.2">
      <c r="B72" s="36" t="s">
        <v>98</v>
      </c>
      <c r="C72" s="36"/>
      <c r="D72" s="36"/>
      <c r="E72" s="37"/>
      <c r="F72" s="31">
        <v>129733.7</v>
      </c>
      <c r="G72" s="32">
        <v>0.94799999999999995</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101</v>
      </c>
      <c r="C75" s="25"/>
      <c r="D75" s="25"/>
      <c r="E75" s="26"/>
      <c r="F75" s="27"/>
      <c r="G75" s="28"/>
      <c r="H75" s="29"/>
      <c r="L75" s="5"/>
      <c r="M75" s="5"/>
      <c r="N75" s="6"/>
      <c r="O75" s="6"/>
      <c r="P75" s="5"/>
    </row>
    <row r="76" spans="2:16" ht="15.75" customHeight="1" x14ac:dyDescent="0.2">
      <c r="B76" s="25" t="s">
        <v>102</v>
      </c>
      <c r="C76" s="25"/>
      <c r="D76" s="25"/>
      <c r="E76" s="26"/>
      <c r="F76" s="27">
        <v>7052.56</v>
      </c>
      <c r="G76" s="28">
        <v>5.1499999999999997E-2</v>
      </c>
      <c r="H76" s="29"/>
    </row>
    <row r="77" spans="2:16" ht="15.75" customHeight="1" x14ac:dyDescent="0.2">
      <c r="B77" s="24" t="s">
        <v>94</v>
      </c>
      <c r="C77" s="24"/>
      <c r="D77" s="24"/>
      <c r="E77" s="30"/>
      <c r="F77" s="31">
        <v>7052.56</v>
      </c>
      <c r="G77" s="32">
        <v>5.1499999999999997E-2</v>
      </c>
      <c r="H77" s="33"/>
    </row>
    <row r="78" spans="2:16" ht="15.75" customHeight="1" x14ac:dyDescent="0.2">
      <c r="B78" s="25"/>
      <c r="C78" s="25"/>
      <c r="D78" s="25"/>
      <c r="E78" s="26"/>
      <c r="F78" s="27"/>
      <c r="G78" s="28"/>
      <c r="H78" s="29"/>
      <c r="L78" s="7"/>
      <c r="M78" s="7"/>
      <c r="N78" s="7"/>
      <c r="O78" s="7"/>
      <c r="P78" s="7"/>
    </row>
    <row r="79" spans="2:16" ht="15.75" customHeight="1" x14ac:dyDescent="0.2">
      <c r="B79" s="36" t="s">
        <v>98</v>
      </c>
      <c r="C79" s="36"/>
      <c r="D79" s="36"/>
      <c r="E79" s="37"/>
      <c r="F79" s="31">
        <v>7052.56</v>
      </c>
      <c r="G79" s="32">
        <v>5.1499999999999997E-2</v>
      </c>
      <c r="H79" s="33"/>
      <c r="L79" s="7"/>
      <c r="M79" s="7"/>
      <c r="N79" s="7"/>
      <c r="O79" s="7"/>
      <c r="P79" s="7"/>
    </row>
    <row r="80" spans="2:16" ht="15.75" customHeight="1" x14ac:dyDescent="0.2">
      <c r="B80" s="25" t="s">
        <v>103</v>
      </c>
      <c r="C80" s="25"/>
      <c r="D80" s="25"/>
      <c r="E80" s="26"/>
      <c r="F80" s="27">
        <v>52.27</v>
      </c>
      <c r="G80" s="28">
        <v>5.0000000000005596E-4</v>
      </c>
      <c r="H80" s="29"/>
      <c r="L80" s="7"/>
      <c r="M80" s="7"/>
      <c r="N80" s="7"/>
      <c r="O80" s="7"/>
      <c r="P80" s="7"/>
    </row>
    <row r="81" spans="2:16" ht="15.75" customHeight="1" x14ac:dyDescent="0.2">
      <c r="B81" s="40" t="s">
        <v>104</v>
      </c>
      <c r="C81" s="40"/>
      <c r="D81" s="40"/>
      <c r="E81" s="41"/>
      <c r="F81" s="42">
        <v>136838.53</v>
      </c>
      <c r="G81" s="43">
        <v>1</v>
      </c>
      <c r="H81" s="44"/>
      <c r="L81" s="7"/>
      <c r="M81" s="7"/>
      <c r="N81" s="7"/>
      <c r="O81" s="7"/>
      <c r="P81" s="7"/>
    </row>
    <row r="82" spans="2:16" ht="15.75" customHeight="1" x14ac:dyDescent="0.2">
      <c r="B82" s="2"/>
      <c r="L82" s="7"/>
      <c r="M82" s="7"/>
      <c r="N82" s="7"/>
      <c r="O82" s="7"/>
      <c r="P82" s="7"/>
    </row>
    <row r="83" spans="2:16" ht="15.75" customHeight="1" x14ac:dyDescent="0.2">
      <c r="B83" s="12" t="s">
        <v>119</v>
      </c>
      <c r="L83" s="7"/>
      <c r="M83" s="7"/>
      <c r="N83" s="7"/>
      <c r="O83" s="7"/>
      <c r="P83" s="7"/>
    </row>
    <row r="84" spans="2:16" ht="15.75" customHeight="1" thickBot="1" x14ac:dyDescent="0.25">
      <c r="L84" s="7"/>
      <c r="M84" s="7"/>
      <c r="N84" s="7"/>
      <c r="O84" s="7"/>
      <c r="P84" s="7"/>
    </row>
    <row r="85" spans="2:16" ht="27" customHeight="1" thickBot="1" x14ac:dyDescent="0.25">
      <c r="B85" s="57" t="s">
        <v>829</v>
      </c>
      <c r="C85" s="58" t="s">
        <v>830</v>
      </c>
      <c r="D85" s="58" t="s">
        <v>831</v>
      </c>
      <c r="E85" s="63" t="s">
        <v>832</v>
      </c>
      <c r="G85" s="2"/>
      <c r="H85" s="2"/>
    </row>
    <row r="86" spans="2:16" ht="27.75" customHeight="1" x14ac:dyDescent="0.2">
      <c r="B86" s="64" t="s">
        <v>53</v>
      </c>
      <c r="C86" s="82"/>
      <c r="D86" s="85" t="s">
        <v>898</v>
      </c>
      <c r="E86" s="87"/>
      <c r="G86" s="2"/>
      <c r="H86" s="2"/>
    </row>
    <row r="87" spans="2:16" ht="39.950000000000003" customHeight="1" x14ac:dyDescent="0.2">
      <c r="B87" s="66" t="s">
        <v>899</v>
      </c>
      <c r="C87" s="83"/>
      <c r="D87" s="86"/>
      <c r="E87" s="83"/>
      <c r="G87" s="2"/>
      <c r="H87" s="2"/>
    </row>
    <row r="88" spans="2:16" ht="39.950000000000003" customHeight="1" x14ac:dyDescent="0.2">
      <c r="B88" s="66" t="s">
        <v>900</v>
      </c>
      <c r="C88" s="83"/>
      <c r="D88" s="86"/>
      <c r="E88" s="83"/>
      <c r="G88" s="2"/>
      <c r="H88" s="2"/>
    </row>
    <row r="89" spans="2:16" ht="27.75" customHeight="1" thickBot="1" x14ac:dyDescent="0.25">
      <c r="B89" s="68" t="s">
        <v>871</v>
      </c>
      <c r="C89" s="84"/>
      <c r="D89" s="71" t="s">
        <v>871</v>
      </c>
      <c r="E89" s="88"/>
      <c r="G89" s="2"/>
      <c r="H89" s="2"/>
    </row>
    <row r="90" spans="2:16" ht="24.95" customHeight="1" x14ac:dyDescent="0.2">
      <c r="B90" s="59" t="s">
        <v>833</v>
      </c>
      <c r="C90" s="60"/>
      <c r="D90" s="61"/>
      <c r="E90" s="62"/>
      <c r="G90" s="2"/>
      <c r="H90" s="2"/>
    </row>
    <row r="92" spans="2:16" ht="12" x14ac:dyDescent="0.2">
      <c r="B92" s="2" t="s">
        <v>834</v>
      </c>
      <c r="C92" s="2"/>
      <c r="D92" s="2"/>
      <c r="G92" s="2"/>
      <c r="H92" s="2"/>
    </row>
    <row r="93" spans="2:16" ht="12" x14ac:dyDescent="0.2">
      <c r="B93" s="3" t="s">
        <v>835</v>
      </c>
      <c r="C93" s="2"/>
      <c r="D93" s="2"/>
      <c r="G93" s="2"/>
      <c r="H93" s="2"/>
    </row>
  </sheetData>
  <mergeCells count="3">
    <mergeCell ref="C86:C89"/>
    <mergeCell ref="D86:D88"/>
    <mergeCell ref="E86:E89"/>
  </mergeCells>
  <hyperlinks>
    <hyperlink ref="I1" location="'Sheet1'!A1" display="Index" xr:uid="{D2D176D7-35F3-4219-A338-F0C4B7A555D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72918-2AD5-4F1A-B942-F007F428C142}">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30.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483</v>
      </c>
      <c r="C7" s="25" t="s">
        <v>484</v>
      </c>
      <c r="D7" s="25" t="s">
        <v>361</v>
      </c>
      <c r="E7" s="26">
        <v>16830</v>
      </c>
      <c r="F7" s="27">
        <v>886.25</v>
      </c>
      <c r="G7" s="28">
        <v>5.0200000000000002E-2</v>
      </c>
      <c r="H7" s="29"/>
    </row>
    <row r="8" spans="2:9" ht="15.75" customHeight="1" x14ac:dyDescent="0.2">
      <c r="B8" s="25" t="s">
        <v>544</v>
      </c>
      <c r="C8" s="25" t="s">
        <v>545</v>
      </c>
      <c r="D8" s="25" t="s">
        <v>170</v>
      </c>
      <c r="E8" s="26">
        <v>165626</v>
      </c>
      <c r="F8" s="27">
        <v>826.56</v>
      </c>
      <c r="G8" s="28">
        <v>4.6800000000000001E-2</v>
      </c>
      <c r="H8" s="29"/>
    </row>
    <row r="9" spans="2:9" ht="15.75" customHeight="1" x14ac:dyDescent="0.2">
      <c r="B9" s="25" t="s">
        <v>374</v>
      </c>
      <c r="C9" s="25" t="s">
        <v>375</v>
      </c>
      <c r="D9" s="25" t="s">
        <v>165</v>
      </c>
      <c r="E9" s="26">
        <v>84490</v>
      </c>
      <c r="F9" s="27">
        <v>793.11</v>
      </c>
      <c r="G9" s="28">
        <v>4.4900000000000002E-2</v>
      </c>
      <c r="H9" s="29"/>
    </row>
    <row r="10" spans="2:9" ht="15.75" customHeight="1" x14ac:dyDescent="0.2">
      <c r="B10" s="25" t="s">
        <v>296</v>
      </c>
      <c r="C10" s="25" t="s">
        <v>297</v>
      </c>
      <c r="D10" s="25" t="s">
        <v>298</v>
      </c>
      <c r="E10" s="26">
        <v>335686</v>
      </c>
      <c r="F10" s="27">
        <v>737.17</v>
      </c>
      <c r="G10" s="28">
        <v>4.1700000000000001E-2</v>
      </c>
      <c r="H10" s="29"/>
    </row>
    <row r="11" spans="2:9" ht="15.75" customHeight="1" x14ac:dyDescent="0.2">
      <c r="B11" s="25" t="s">
        <v>458</v>
      </c>
      <c r="C11" s="25" t="s">
        <v>459</v>
      </c>
      <c r="D11" s="25" t="s">
        <v>298</v>
      </c>
      <c r="E11" s="26">
        <v>27872</v>
      </c>
      <c r="F11" s="27">
        <v>699.24</v>
      </c>
      <c r="G11" s="28">
        <v>3.9600000000000003E-2</v>
      </c>
      <c r="H11" s="29"/>
    </row>
    <row r="12" spans="2:9" ht="15.75" customHeight="1" x14ac:dyDescent="0.2">
      <c r="B12" s="25" t="s">
        <v>638</v>
      </c>
      <c r="C12" s="25" t="s">
        <v>639</v>
      </c>
      <c r="D12" s="25" t="s">
        <v>303</v>
      </c>
      <c r="E12" s="26">
        <v>17912</v>
      </c>
      <c r="F12" s="27">
        <v>653.47</v>
      </c>
      <c r="G12" s="28">
        <v>3.6999999999999998E-2</v>
      </c>
      <c r="H12" s="29"/>
    </row>
    <row r="13" spans="2:9" ht="15.75" customHeight="1" x14ac:dyDescent="0.2">
      <c r="B13" s="25" t="s">
        <v>331</v>
      </c>
      <c r="C13" s="25" t="s">
        <v>332</v>
      </c>
      <c r="D13" s="25" t="s">
        <v>313</v>
      </c>
      <c r="E13" s="26">
        <v>6289</v>
      </c>
      <c r="F13" s="27">
        <v>639.41999999999996</v>
      </c>
      <c r="G13" s="28">
        <v>3.6200000000000003E-2</v>
      </c>
      <c r="H13" s="29"/>
    </row>
    <row r="14" spans="2:9" ht="15.75" customHeight="1" x14ac:dyDescent="0.2">
      <c r="B14" s="25" t="s">
        <v>366</v>
      </c>
      <c r="C14" s="25" t="s">
        <v>367</v>
      </c>
      <c r="D14" s="25" t="s">
        <v>361</v>
      </c>
      <c r="E14" s="26">
        <v>203885</v>
      </c>
      <c r="F14" s="27">
        <v>616.54999999999995</v>
      </c>
      <c r="G14" s="28">
        <v>3.49E-2</v>
      </c>
      <c r="H14" s="29"/>
    </row>
    <row r="15" spans="2:9" ht="15.75" customHeight="1" x14ac:dyDescent="0.2">
      <c r="B15" s="25" t="s">
        <v>640</v>
      </c>
      <c r="C15" s="25" t="s">
        <v>641</v>
      </c>
      <c r="D15" s="25" t="s">
        <v>361</v>
      </c>
      <c r="E15" s="26">
        <v>8928</v>
      </c>
      <c r="F15" s="27">
        <v>529.41999999999996</v>
      </c>
      <c r="G15" s="28">
        <v>0.03</v>
      </c>
      <c r="H15" s="29"/>
    </row>
    <row r="16" spans="2:9" ht="15.75" customHeight="1" x14ac:dyDescent="0.2">
      <c r="B16" s="25" t="s">
        <v>431</v>
      </c>
      <c r="C16" s="25" t="s">
        <v>432</v>
      </c>
      <c r="D16" s="25" t="s">
        <v>298</v>
      </c>
      <c r="E16" s="26">
        <v>80468</v>
      </c>
      <c r="F16" s="27">
        <v>527.75</v>
      </c>
      <c r="G16" s="28">
        <v>2.9899999999999999E-2</v>
      </c>
      <c r="H16" s="29"/>
    </row>
    <row r="17" spans="2:8" ht="15.75" customHeight="1" x14ac:dyDescent="0.2">
      <c r="B17" s="25" t="s">
        <v>380</v>
      </c>
      <c r="C17" s="25" t="s">
        <v>381</v>
      </c>
      <c r="D17" s="25" t="s">
        <v>252</v>
      </c>
      <c r="E17" s="26">
        <v>103557</v>
      </c>
      <c r="F17" s="27">
        <v>502.72</v>
      </c>
      <c r="G17" s="28">
        <v>2.8500000000000001E-2</v>
      </c>
      <c r="H17" s="29"/>
    </row>
    <row r="18" spans="2:8" ht="15.75" customHeight="1" x14ac:dyDescent="0.2">
      <c r="B18" s="25" t="s">
        <v>626</v>
      </c>
      <c r="C18" s="25" t="s">
        <v>627</v>
      </c>
      <c r="D18" s="25" t="s">
        <v>303</v>
      </c>
      <c r="E18" s="26">
        <v>28519</v>
      </c>
      <c r="F18" s="27">
        <v>483.38</v>
      </c>
      <c r="G18" s="28">
        <v>2.7400000000000001E-2</v>
      </c>
      <c r="H18" s="29"/>
    </row>
    <row r="19" spans="2:8" ht="15.75" customHeight="1" x14ac:dyDescent="0.2">
      <c r="B19" s="25" t="s">
        <v>370</v>
      </c>
      <c r="C19" s="25" t="s">
        <v>371</v>
      </c>
      <c r="D19" s="25" t="s">
        <v>303</v>
      </c>
      <c r="E19" s="26">
        <v>37718</v>
      </c>
      <c r="F19" s="27">
        <v>465.91</v>
      </c>
      <c r="G19" s="28">
        <v>2.64E-2</v>
      </c>
      <c r="H19" s="29"/>
    </row>
    <row r="20" spans="2:8" ht="15.75" customHeight="1" x14ac:dyDescent="0.2">
      <c r="B20" s="25" t="s">
        <v>160</v>
      </c>
      <c r="C20" s="25" t="s">
        <v>161</v>
      </c>
      <c r="D20" s="25" t="s">
        <v>162</v>
      </c>
      <c r="E20" s="26">
        <v>13092</v>
      </c>
      <c r="F20" s="27">
        <v>455.57</v>
      </c>
      <c r="G20" s="28">
        <v>2.58E-2</v>
      </c>
      <c r="H20" s="29"/>
    </row>
    <row r="21" spans="2:8" ht="15.75" customHeight="1" x14ac:dyDescent="0.2">
      <c r="B21" s="25" t="s">
        <v>698</v>
      </c>
      <c r="C21" s="25" t="s">
        <v>699</v>
      </c>
      <c r="D21" s="25" t="s">
        <v>303</v>
      </c>
      <c r="E21" s="26">
        <v>18959</v>
      </c>
      <c r="F21" s="27">
        <v>434.89</v>
      </c>
      <c r="G21" s="28">
        <v>2.46E-2</v>
      </c>
      <c r="H21" s="29"/>
    </row>
    <row r="22" spans="2:8" ht="15.75" customHeight="1" x14ac:dyDescent="0.2">
      <c r="B22" s="25" t="s">
        <v>555</v>
      </c>
      <c r="C22" s="25" t="s">
        <v>556</v>
      </c>
      <c r="D22" s="25" t="s">
        <v>298</v>
      </c>
      <c r="E22" s="26">
        <v>1099</v>
      </c>
      <c r="F22" s="27">
        <v>425.18</v>
      </c>
      <c r="G22" s="28">
        <v>2.41E-2</v>
      </c>
      <c r="H22" s="29"/>
    </row>
    <row r="23" spans="2:8" ht="15.75" customHeight="1" x14ac:dyDescent="0.2">
      <c r="B23" s="25" t="s">
        <v>642</v>
      </c>
      <c r="C23" s="25" t="s">
        <v>643</v>
      </c>
      <c r="D23" s="25" t="s">
        <v>361</v>
      </c>
      <c r="E23" s="26">
        <v>77059</v>
      </c>
      <c r="F23" s="27">
        <v>420.7</v>
      </c>
      <c r="G23" s="28">
        <v>2.3800000000000002E-2</v>
      </c>
      <c r="H23" s="29"/>
    </row>
    <row r="24" spans="2:8" ht="15.75" customHeight="1" x14ac:dyDescent="0.2">
      <c r="B24" s="25" t="s">
        <v>362</v>
      </c>
      <c r="C24" s="25" t="s">
        <v>363</v>
      </c>
      <c r="D24" s="25" t="s">
        <v>361</v>
      </c>
      <c r="E24" s="26">
        <v>60557</v>
      </c>
      <c r="F24" s="27">
        <v>412.94</v>
      </c>
      <c r="G24" s="28">
        <v>2.3400000000000001E-2</v>
      </c>
      <c r="H24" s="29"/>
    </row>
    <row r="25" spans="2:8" ht="15.75" customHeight="1" x14ac:dyDescent="0.2">
      <c r="B25" s="25" t="s">
        <v>163</v>
      </c>
      <c r="C25" s="25" t="s">
        <v>164</v>
      </c>
      <c r="D25" s="25" t="s">
        <v>165</v>
      </c>
      <c r="E25" s="26">
        <v>45755</v>
      </c>
      <c r="F25" s="27">
        <v>406.08</v>
      </c>
      <c r="G25" s="28">
        <v>2.3E-2</v>
      </c>
      <c r="H25" s="29"/>
    </row>
    <row r="26" spans="2:8" ht="15.75" customHeight="1" x14ac:dyDescent="0.2">
      <c r="B26" s="25" t="s">
        <v>185</v>
      </c>
      <c r="C26" s="25" t="s">
        <v>186</v>
      </c>
      <c r="D26" s="25" t="s">
        <v>187</v>
      </c>
      <c r="E26" s="26">
        <v>204450</v>
      </c>
      <c r="F26" s="27">
        <v>380.07</v>
      </c>
      <c r="G26" s="28">
        <v>2.1499999999999998E-2</v>
      </c>
      <c r="H26" s="29"/>
    </row>
    <row r="27" spans="2:8" ht="15.75" customHeight="1" x14ac:dyDescent="0.2">
      <c r="B27" s="25" t="s">
        <v>473</v>
      </c>
      <c r="C27" s="25" t="s">
        <v>474</v>
      </c>
      <c r="D27" s="25" t="s">
        <v>308</v>
      </c>
      <c r="E27" s="26">
        <v>23608</v>
      </c>
      <c r="F27" s="27">
        <v>349.22</v>
      </c>
      <c r="G27" s="28">
        <v>1.9800000000000002E-2</v>
      </c>
      <c r="H27" s="29"/>
    </row>
    <row r="28" spans="2:8" ht="15.75" customHeight="1" x14ac:dyDescent="0.2">
      <c r="B28" s="25" t="s">
        <v>280</v>
      </c>
      <c r="C28" s="25" t="s">
        <v>281</v>
      </c>
      <c r="D28" s="25" t="s">
        <v>229</v>
      </c>
      <c r="E28" s="26">
        <v>107527</v>
      </c>
      <c r="F28" s="27">
        <v>341.4</v>
      </c>
      <c r="G28" s="28">
        <v>1.9300000000000001E-2</v>
      </c>
      <c r="H28" s="29"/>
    </row>
    <row r="29" spans="2:8" ht="15.75" customHeight="1" x14ac:dyDescent="0.2">
      <c r="B29" s="25" t="s">
        <v>700</v>
      </c>
      <c r="C29" s="25" t="s">
        <v>701</v>
      </c>
      <c r="D29" s="25" t="s">
        <v>162</v>
      </c>
      <c r="E29" s="26">
        <v>184817</v>
      </c>
      <c r="F29" s="27">
        <v>336.64</v>
      </c>
      <c r="G29" s="28">
        <v>1.9099999999999999E-2</v>
      </c>
      <c r="H29" s="29"/>
    </row>
    <row r="30" spans="2:8" ht="15.75" customHeight="1" x14ac:dyDescent="0.2">
      <c r="B30" s="25" t="s">
        <v>438</v>
      </c>
      <c r="C30" s="25" t="s">
        <v>439</v>
      </c>
      <c r="D30" s="25" t="s">
        <v>252</v>
      </c>
      <c r="E30" s="26">
        <v>34069</v>
      </c>
      <c r="F30" s="27">
        <v>316.77</v>
      </c>
      <c r="G30" s="28">
        <v>1.7899999999999999E-2</v>
      </c>
      <c r="H30" s="29"/>
    </row>
    <row r="31" spans="2:8" ht="15.75" customHeight="1" x14ac:dyDescent="0.2">
      <c r="B31" s="25" t="s">
        <v>175</v>
      </c>
      <c r="C31" s="25" t="s">
        <v>176</v>
      </c>
      <c r="D31" s="25" t="s">
        <v>177</v>
      </c>
      <c r="E31" s="26">
        <v>51768</v>
      </c>
      <c r="F31" s="27">
        <v>299.92</v>
      </c>
      <c r="G31" s="28">
        <v>1.7000000000000001E-2</v>
      </c>
      <c r="H31" s="29"/>
    </row>
    <row r="32" spans="2:8" ht="15.75" customHeight="1" x14ac:dyDescent="0.2">
      <c r="B32" s="25" t="s">
        <v>702</v>
      </c>
      <c r="C32" s="25" t="s">
        <v>703</v>
      </c>
      <c r="D32" s="25" t="s">
        <v>361</v>
      </c>
      <c r="E32" s="26">
        <v>62095</v>
      </c>
      <c r="F32" s="27">
        <v>293.08999999999997</v>
      </c>
      <c r="G32" s="28">
        <v>1.66E-2</v>
      </c>
      <c r="H32" s="29"/>
    </row>
    <row r="33" spans="2:8" ht="15.75" customHeight="1" x14ac:dyDescent="0.2">
      <c r="B33" s="25" t="s">
        <v>294</v>
      </c>
      <c r="C33" s="25" t="s">
        <v>295</v>
      </c>
      <c r="D33" s="25" t="s">
        <v>170</v>
      </c>
      <c r="E33" s="26">
        <v>58838</v>
      </c>
      <c r="F33" s="27">
        <v>260.8</v>
      </c>
      <c r="G33" s="28">
        <v>1.4800000000000001E-2</v>
      </c>
      <c r="H33" s="29"/>
    </row>
    <row r="34" spans="2:8" ht="15.75" customHeight="1" x14ac:dyDescent="0.2">
      <c r="B34" s="25" t="s">
        <v>368</v>
      </c>
      <c r="C34" s="25" t="s">
        <v>369</v>
      </c>
      <c r="D34" s="25" t="s">
        <v>303</v>
      </c>
      <c r="E34" s="26">
        <v>8100</v>
      </c>
      <c r="F34" s="27">
        <v>258.64</v>
      </c>
      <c r="G34" s="28">
        <v>1.46E-2</v>
      </c>
      <c r="H34" s="29"/>
    </row>
    <row r="35" spans="2:8" ht="15.75" customHeight="1" x14ac:dyDescent="0.2">
      <c r="B35" s="25" t="s">
        <v>526</v>
      </c>
      <c r="C35" s="25" t="s">
        <v>527</v>
      </c>
      <c r="D35" s="25" t="s">
        <v>252</v>
      </c>
      <c r="E35" s="26">
        <v>8125</v>
      </c>
      <c r="F35" s="27">
        <v>254.41</v>
      </c>
      <c r="G35" s="28">
        <v>1.44E-2</v>
      </c>
      <c r="H35" s="29"/>
    </row>
    <row r="36" spans="2:8" ht="15.75" customHeight="1" x14ac:dyDescent="0.2">
      <c r="B36" s="25" t="s">
        <v>704</v>
      </c>
      <c r="C36" s="25" t="s">
        <v>705</v>
      </c>
      <c r="D36" s="25" t="s">
        <v>165</v>
      </c>
      <c r="E36" s="26">
        <v>3810</v>
      </c>
      <c r="F36" s="27">
        <v>248</v>
      </c>
      <c r="G36" s="28">
        <v>1.4E-2</v>
      </c>
      <c r="H36" s="29"/>
    </row>
    <row r="37" spans="2:8" ht="15.75" customHeight="1" x14ac:dyDescent="0.2">
      <c r="B37" s="25" t="s">
        <v>350</v>
      </c>
      <c r="C37" s="25" t="s">
        <v>351</v>
      </c>
      <c r="D37" s="25" t="s">
        <v>259</v>
      </c>
      <c r="E37" s="26">
        <v>19331</v>
      </c>
      <c r="F37" s="27">
        <v>226.31</v>
      </c>
      <c r="G37" s="28">
        <v>1.2800000000000001E-2</v>
      </c>
      <c r="H37" s="29"/>
    </row>
    <row r="38" spans="2:8" ht="15.75" customHeight="1" x14ac:dyDescent="0.2">
      <c r="B38" s="25" t="s">
        <v>706</v>
      </c>
      <c r="C38" s="25" t="s">
        <v>707</v>
      </c>
      <c r="D38" s="25" t="s">
        <v>308</v>
      </c>
      <c r="E38" s="26">
        <v>59761</v>
      </c>
      <c r="F38" s="27">
        <v>219.83</v>
      </c>
      <c r="G38" s="28">
        <v>1.24E-2</v>
      </c>
      <c r="H38" s="29"/>
    </row>
    <row r="39" spans="2:8" ht="15.75" customHeight="1" x14ac:dyDescent="0.2">
      <c r="B39" s="25" t="s">
        <v>359</v>
      </c>
      <c r="C39" s="25" t="s">
        <v>360</v>
      </c>
      <c r="D39" s="25" t="s">
        <v>361</v>
      </c>
      <c r="E39" s="26">
        <v>22127</v>
      </c>
      <c r="F39" s="27">
        <v>212.7</v>
      </c>
      <c r="G39" s="28">
        <v>1.2E-2</v>
      </c>
      <c r="H39" s="29"/>
    </row>
    <row r="40" spans="2:8" ht="15.75" customHeight="1" x14ac:dyDescent="0.2">
      <c r="B40" s="25" t="s">
        <v>597</v>
      </c>
      <c r="C40" s="25" t="s">
        <v>598</v>
      </c>
      <c r="D40" s="25" t="s">
        <v>298</v>
      </c>
      <c r="E40" s="26">
        <v>13406</v>
      </c>
      <c r="F40" s="27">
        <v>208.07</v>
      </c>
      <c r="G40" s="28">
        <v>1.18E-2</v>
      </c>
      <c r="H40" s="29"/>
    </row>
    <row r="41" spans="2:8" ht="15.75" customHeight="1" x14ac:dyDescent="0.2">
      <c r="B41" s="25" t="s">
        <v>569</v>
      </c>
      <c r="C41" s="25" t="s">
        <v>570</v>
      </c>
      <c r="D41" s="25" t="s">
        <v>187</v>
      </c>
      <c r="E41" s="26">
        <v>9897</v>
      </c>
      <c r="F41" s="27">
        <v>168.95</v>
      </c>
      <c r="G41" s="28">
        <v>9.5999999999999992E-3</v>
      </c>
      <c r="H41" s="29"/>
    </row>
    <row r="42" spans="2:8" ht="15.75" customHeight="1" x14ac:dyDescent="0.2">
      <c r="B42" s="25" t="s">
        <v>708</v>
      </c>
      <c r="C42" s="25" t="s">
        <v>709</v>
      </c>
      <c r="D42" s="25" t="s">
        <v>162</v>
      </c>
      <c r="E42" s="26">
        <v>21870</v>
      </c>
      <c r="F42" s="27">
        <v>163.9</v>
      </c>
      <c r="G42" s="28">
        <v>9.2999999999999992E-3</v>
      </c>
      <c r="H42" s="29"/>
    </row>
    <row r="43" spans="2:8" ht="15.75" customHeight="1" x14ac:dyDescent="0.2">
      <c r="B43" s="25" t="s">
        <v>710</v>
      </c>
      <c r="C43" s="25" t="s">
        <v>711</v>
      </c>
      <c r="D43" s="25" t="s">
        <v>215</v>
      </c>
      <c r="E43" s="26">
        <v>4335</v>
      </c>
      <c r="F43" s="27">
        <v>160.47999999999999</v>
      </c>
      <c r="G43" s="28">
        <v>9.1000000000000004E-3</v>
      </c>
      <c r="H43" s="29"/>
    </row>
    <row r="44" spans="2:8" ht="15.75" customHeight="1" x14ac:dyDescent="0.2">
      <c r="B44" s="25" t="s">
        <v>712</v>
      </c>
      <c r="C44" s="25" t="s">
        <v>713</v>
      </c>
      <c r="D44" s="25" t="s">
        <v>303</v>
      </c>
      <c r="E44" s="26">
        <v>20645</v>
      </c>
      <c r="F44" s="27">
        <v>139.53</v>
      </c>
      <c r="G44" s="28">
        <v>7.9000000000000008E-3</v>
      </c>
      <c r="H44" s="29"/>
    </row>
    <row r="45" spans="2:8" ht="15.75" customHeight="1" x14ac:dyDescent="0.2">
      <c r="B45" s="25" t="s">
        <v>479</v>
      </c>
      <c r="C45" s="25" t="s">
        <v>480</v>
      </c>
      <c r="D45" s="25" t="s">
        <v>303</v>
      </c>
      <c r="E45" s="26">
        <v>12143</v>
      </c>
      <c r="F45" s="27">
        <v>136.57</v>
      </c>
      <c r="G45" s="28">
        <v>7.7000000000000002E-3</v>
      </c>
      <c r="H45" s="29"/>
    </row>
    <row r="46" spans="2:8" ht="15.75" customHeight="1" x14ac:dyDescent="0.2">
      <c r="B46" s="25" t="s">
        <v>634</v>
      </c>
      <c r="C46" s="25" t="s">
        <v>635</v>
      </c>
      <c r="D46" s="25" t="s">
        <v>303</v>
      </c>
      <c r="E46" s="26">
        <v>4590</v>
      </c>
      <c r="F46" s="27">
        <v>108.72</v>
      </c>
      <c r="G46" s="28">
        <v>6.1999999999999998E-3</v>
      </c>
      <c r="H46" s="29"/>
    </row>
    <row r="47" spans="2:8" ht="15.75" customHeight="1" x14ac:dyDescent="0.2">
      <c r="B47" s="25" t="s">
        <v>630</v>
      </c>
      <c r="C47" s="25" t="s">
        <v>631</v>
      </c>
      <c r="D47" s="25" t="s">
        <v>303</v>
      </c>
      <c r="E47" s="26">
        <v>14952</v>
      </c>
      <c r="F47" s="27">
        <v>106.29</v>
      </c>
      <c r="G47" s="28">
        <v>6.0000000000000001E-3</v>
      </c>
      <c r="H47" s="29"/>
    </row>
    <row r="48" spans="2:8" ht="15.75" customHeight="1" x14ac:dyDescent="0.2">
      <c r="B48" s="25" t="s">
        <v>616</v>
      </c>
      <c r="C48" s="25" t="s">
        <v>617</v>
      </c>
      <c r="D48" s="25" t="s">
        <v>298</v>
      </c>
      <c r="E48" s="26">
        <v>670</v>
      </c>
      <c r="F48" s="27">
        <v>100.03</v>
      </c>
      <c r="G48" s="28">
        <v>5.7000000000000002E-3</v>
      </c>
      <c r="H48" s="29"/>
    </row>
    <row r="49" spans="2:8" ht="15.75" customHeight="1" x14ac:dyDescent="0.2">
      <c r="B49" s="25" t="s">
        <v>714</v>
      </c>
      <c r="C49" s="25" t="s">
        <v>715</v>
      </c>
      <c r="D49" s="25" t="s">
        <v>162</v>
      </c>
      <c r="E49" s="26">
        <v>114750</v>
      </c>
      <c r="F49" s="27">
        <v>98.11</v>
      </c>
      <c r="G49" s="28">
        <v>5.5999999999999999E-3</v>
      </c>
      <c r="H49" s="29"/>
    </row>
    <row r="50" spans="2:8" ht="15.75" customHeight="1" x14ac:dyDescent="0.2">
      <c r="B50" s="25" t="s">
        <v>696</v>
      </c>
      <c r="C50" s="25" t="s">
        <v>697</v>
      </c>
      <c r="D50" s="25" t="s">
        <v>187</v>
      </c>
      <c r="E50" s="26">
        <v>2992</v>
      </c>
      <c r="F50" s="27">
        <v>89.74</v>
      </c>
      <c r="G50" s="28">
        <v>5.1000000000000004E-3</v>
      </c>
      <c r="H50" s="29"/>
    </row>
    <row r="51" spans="2:8" ht="15.75" customHeight="1" x14ac:dyDescent="0.2">
      <c r="B51" s="24" t="s">
        <v>94</v>
      </c>
      <c r="C51" s="24"/>
      <c r="D51" s="24"/>
      <c r="E51" s="30"/>
      <c r="F51" s="31">
        <v>16394.5</v>
      </c>
      <c r="G51" s="32">
        <v>0.92830000000000001</v>
      </c>
      <c r="H51" s="33"/>
    </row>
    <row r="52" spans="2:8" ht="15.75" customHeight="1" x14ac:dyDescent="0.2">
      <c r="B52" s="24" t="s">
        <v>144</v>
      </c>
      <c r="C52" s="25"/>
      <c r="D52" s="25"/>
      <c r="E52" s="26"/>
      <c r="F52" s="27"/>
      <c r="G52" s="28"/>
      <c r="H52" s="29"/>
    </row>
    <row r="53" spans="2:8" ht="15.75" customHeight="1" x14ac:dyDescent="0.2">
      <c r="B53" s="24" t="s">
        <v>94</v>
      </c>
      <c r="C53" s="25"/>
      <c r="D53" s="25"/>
      <c r="E53" s="26"/>
      <c r="F53" s="34" t="s">
        <v>96</v>
      </c>
      <c r="G53" s="35" t="s">
        <v>96</v>
      </c>
      <c r="H53" s="29"/>
    </row>
    <row r="54" spans="2:8" ht="15.75" customHeight="1" x14ac:dyDescent="0.2">
      <c r="B54" s="25"/>
      <c r="C54" s="25"/>
      <c r="D54" s="25"/>
      <c r="E54" s="26"/>
      <c r="F54" s="27"/>
      <c r="G54" s="28"/>
      <c r="H54" s="29"/>
    </row>
    <row r="55" spans="2:8" ht="15.75" customHeight="1" x14ac:dyDescent="0.2">
      <c r="B55" s="36" t="s">
        <v>98</v>
      </c>
      <c r="C55" s="36"/>
      <c r="D55" s="36"/>
      <c r="E55" s="37"/>
      <c r="F55" s="31">
        <v>16394.5</v>
      </c>
      <c r="G55" s="32">
        <v>0.92830000000000001</v>
      </c>
      <c r="H55" s="33"/>
    </row>
    <row r="56" spans="2:8" ht="15.75" customHeight="1" x14ac:dyDescent="0.2">
      <c r="B56" s="25"/>
      <c r="C56" s="25"/>
      <c r="D56" s="25"/>
      <c r="E56" s="26"/>
      <c r="F56" s="27"/>
      <c r="G56" s="28"/>
      <c r="H56" s="29"/>
    </row>
    <row r="57" spans="2:8" ht="15.75" customHeight="1" x14ac:dyDescent="0.2">
      <c r="B57" s="25"/>
      <c r="C57" s="25"/>
      <c r="D57" s="25"/>
      <c r="E57" s="26"/>
      <c r="F57" s="27"/>
      <c r="G57" s="28"/>
      <c r="H57" s="29"/>
    </row>
    <row r="58" spans="2:8" ht="15.75" customHeight="1" x14ac:dyDescent="0.2">
      <c r="B58" s="24" t="s">
        <v>101</v>
      </c>
      <c r="C58" s="25"/>
      <c r="D58" s="25"/>
      <c r="E58" s="26"/>
      <c r="F58" s="27"/>
      <c r="G58" s="28"/>
      <c r="H58" s="29"/>
    </row>
    <row r="59" spans="2:8" ht="15.75" customHeight="1" x14ac:dyDescent="0.2">
      <c r="B59" s="25" t="s">
        <v>102</v>
      </c>
      <c r="C59" s="25"/>
      <c r="D59" s="25"/>
      <c r="E59" s="26"/>
      <c r="F59" s="27">
        <v>1316.28</v>
      </c>
      <c r="G59" s="28">
        <v>7.4499999999999997E-2</v>
      </c>
      <c r="H59" s="29"/>
    </row>
    <row r="60" spans="2:8" ht="15.75" customHeight="1" x14ac:dyDescent="0.2">
      <c r="B60" s="24" t="s">
        <v>94</v>
      </c>
      <c r="C60" s="24"/>
      <c r="D60" s="24"/>
      <c r="E60" s="30"/>
      <c r="F60" s="31">
        <v>1316.28</v>
      </c>
      <c r="G60" s="32">
        <v>7.4499999999999997E-2</v>
      </c>
      <c r="H60" s="33"/>
    </row>
    <row r="61" spans="2:8" ht="15.75" customHeight="1" x14ac:dyDescent="0.2">
      <c r="B61" s="25"/>
      <c r="C61" s="25"/>
      <c r="D61" s="25"/>
      <c r="E61" s="26"/>
      <c r="F61" s="27"/>
      <c r="G61" s="28"/>
      <c r="H61" s="29"/>
    </row>
    <row r="62" spans="2:8" ht="15.75" customHeight="1" x14ac:dyDescent="0.2">
      <c r="B62" s="36" t="s">
        <v>98</v>
      </c>
      <c r="C62" s="36"/>
      <c r="D62" s="36"/>
      <c r="E62" s="37"/>
      <c r="F62" s="31">
        <v>1316.28</v>
      </c>
      <c r="G62" s="32">
        <v>7.4499999999999997E-2</v>
      </c>
      <c r="H62" s="33"/>
    </row>
    <row r="63" spans="2:8" ht="15.75" customHeight="1" x14ac:dyDescent="0.2">
      <c r="B63" s="25" t="s">
        <v>103</v>
      </c>
      <c r="C63" s="25"/>
      <c r="D63" s="25"/>
      <c r="E63" s="26"/>
      <c r="F63" s="38">
        <v>-49.63</v>
      </c>
      <c r="G63" s="39">
        <v>-2.7999999999999137E-3</v>
      </c>
      <c r="H63" s="29"/>
    </row>
    <row r="64" spans="2:8" ht="15.75" customHeight="1" x14ac:dyDescent="0.2">
      <c r="B64" s="40" t="s">
        <v>104</v>
      </c>
      <c r="C64" s="40"/>
      <c r="D64" s="40"/>
      <c r="E64" s="41"/>
      <c r="F64" s="42">
        <v>17661.150000000001</v>
      </c>
      <c r="G64" s="43">
        <v>1</v>
      </c>
      <c r="H64" s="44"/>
    </row>
    <row r="65" spans="2:16" ht="15.75" customHeight="1" thickBot="1" x14ac:dyDescent="0.25">
      <c r="B65" s="2"/>
    </row>
    <row r="66" spans="2:16" ht="27" customHeight="1" thickBot="1" x14ac:dyDescent="0.25">
      <c r="B66" s="57" t="s">
        <v>829</v>
      </c>
      <c r="C66" s="58" t="s">
        <v>830</v>
      </c>
      <c r="D66" s="58" t="s">
        <v>831</v>
      </c>
      <c r="E66" s="63" t="s">
        <v>832</v>
      </c>
      <c r="G66" s="2"/>
      <c r="H66" s="2"/>
    </row>
    <row r="67" spans="2:16" ht="21.75" customHeight="1" x14ac:dyDescent="0.2">
      <c r="B67" s="70" t="s">
        <v>55</v>
      </c>
      <c r="C67" s="82"/>
      <c r="D67" s="85" t="s">
        <v>901</v>
      </c>
      <c r="E67" s="87"/>
      <c r="G67" s="2"/>
      <c r="H67" s="2"/>
    </row>
    <row r="68" spans="2:16" ht="27.75" customHeight="1" x14ac:dyDescent="0.2">
      <c r="B68" s="66" t="s">
        <v>902</v>
      </c>
      <c r="C68" s="83"/>
      <c r="D68" s="86"/>
      <c r="E68" s="83"/>
      <c r="G68" s="2"/>
      <c r="H68" s="2"/>
    </row>
    <row r="69" spans="2:16" ht="46.5" customHeight="1" x14ac:dyDescent="0.2">
      <c r="B69" s="66" t="s">
        <v>903</v>
      </c>
      <c r="C69" s="83"/>
      <c r="D69" s="86"/>
      <c r="E69" s="83"/>
      <c r="G69" s="2"/>
      <c r="H69" s="2"/>
    </row>
    <row r="70" spans="2:16" ht="30.75" customHeight="1" thickBot="1" x14ac:dyDescent="0.25">
      <c r="B70" s="68" t="s">
        <v>871</v>
      </c>
      <c r="C70" s="84"/>
      <c r="D70" s="71" t="s">
        <v>871</v>
      </c>
      <c r="E70" s="88"/>
      <c r="G70" s="2"/>
      <c r="H70" s="2"/>
    </row>
    <row r="71" spans="2:16" ht="24.95" customHeight="1" x14ac:dyDescent="0.2">
      <c r="B71" s="59" t="s">
        <v>833</v>
      </c>
      <c r="C71" s="60"/>
      <c r="D71" s="61"/>
      <c r="E71" s="62"/>
      <c r="G71" s="2"/>
      <c r="H71" s="2"/>
    </row>
    <row r="73" spans="2:16" ht="12" x14ac:dyDescent="0.2">
      <c r="B73" s="2" t="s">
        <v>834</v>
      </c>
      <c r="C73" s="2"/>
      <c r="D73" s="2"/>
      <c r="G73" s="2"/>
      <c r="H73" s="2"/>
    </row>
    <row r="74" spans="2:16" ht="12" x14ac:dyDescent="0.2">
      <c r="B74" s="3" t="s">
        <v>835</v>
      </c>
      <c r="C74" s="2"/>
      <c r="D74" s="2"/>
      <c r="G74" s="2"/>
      <c r="H74" s="2"/>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7:C70"/>
    <mergeCell ref="D67:D69"/>
    <mergeCell ref="E67:E70"/>
  </mergeCells>
  <hyperlinks>
    <hyperlink ref="I1" location="'Sheet1'!A1" display="Index" xr:uid="{88DD6E5E-0D1F-43E6-9263-EB480BF7FCC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53D4-6C90-4DBA-BCEC-E2145632EF75}">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31.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219342</v>
      </c>
      <c r="F7" s="27">
        <v>3207.99</v>
      </c>
      <c r="G7" s="28">
        <v>0.11550000000000001</v>
      </c>
      <c r="H7" s="29"/>
    </row>
    <row r="8" spans="2:9" ht="15.75" customHeight="1" x14ac:dyDescent="0.2">
      <c r="B8" s="25" t="s">
        <v>130</v>
      </c>
      <c r="C8" s="25" t="s">
        <v>131</v>
      </c>
      <c r="D8" s="25" t="s">
        <v>132</v>
      </c>
      <c r="E8" s="26">
        <v>98987</v>
      </c>
      <c r="F8" s="27">
        <v>2824.35</v>
      </c>
      <c r="G8" s="28">
        <v>0.1017</v>
      </c>
      <c r="H8" s="29"/>
    </row>
    <row r="9" spans="2:9" ht="15.75" customHeight="1" x14ac:dyDescent="0.2">
      <c r="B9" s="25" t="s">
        <v>122</v>
      </c>
      <c r="C9" s="25" t="s">
        <v>123</v>
      </c>
      <c r="D9" s="25" t="s">
        <v>124</v>
      </c>
      <c r="E9" s="26">
        <v>205349</v>
      </c>
      <c r="F9" s="27">
        <v>2111.3000000000002</v>
      </c>
      <c r="G9" s="28">
        <v>7.5999999999999998E-2</v>
      </c>
      <c r="H9" s="29"/>
    </row>
    <row r="10" spans="2:9" ht="15.75" customHeight="1" x14ac:dyDescent="0.2">
      <c r="B10" s="25" t="s">
        <v>125</v>
      </c>
      <c r="C10" s="25" t="s">
        <v>126</v>
      </c>
      <c r="D10" s="25" t="s">
        <v>127</v>
      </c>
      <c r="E10" s="26">
        <v>104019</v>
      </c>
      <c r="F10" s="27">
        <v>1727.65</v>
      </c>
      <c r="G10" s="28">
        <v>6.2199999999999998E-2</v>
      </c>
      <c r="H10" s="29"/>
    </row>
    <row r="11" spans="2:9" ht="15.75" customHeight="1" x14ac:dyDescent="0.2">
      <c r="B11" s="25" t="s">
        <v>160</v>
      </c>
      <c r="C11" s="25" t="s">
        <v>161</v>
      </c>
      <c r="D11" s="25" t="s">
        <v>162</v>
      </c>
      <c r="E11" s="26">
        <v>34442</v>
      </c>
      <c r="F11" s="27">
        <v>1198.5</v>
      </c>
      <c r="G11" s="28">
        <v>4.3099999999999999E-2</v>
      </c>
      <c r="H11" s="29"/>
    </row>
    <row r="12" spans="2:9" ht="15.75" customHeight="1" x14ac:dyDescent="0.2">
      <c r="B12" s="25" t="s">
        <v>190</v>
      </c>
      <c r="C12" s="25" t="s">
        <v>191</v>
      </c>
      <c r="D12" s="25" t="s">
        <v>135</v>
      </c>
      <c r="E12" s="26">
        <v>258447</v>
      </c>
      <c r="F12" s="27">
        <v>1141.17</v>
      </c>
      <c r="G12" s="28">
        <v>4.1099999999999998E-2</v>
      </c>
      <c r="H12" s="29"/>
    </row>
    <row r="13" spans="2:9" ht="15.75" customHeight="1" x14ac:dyDescent="0.2">
      <c r="B13" s="25" t="s">
        <v>171</v>
      </c>
      <c r="C13" s="25" t="s">
        <v>172</v>
      </c>
      <c r="D13" s="25" t="s">
        <v>127</v>
      </c>
      <c r="E13" s="26">
        <v>29643</v>
      </c>
      <c r="F13" s="27">
        <v>1131.1600000000001</v>
      </c>
      <c r="G13" s="28">
        <v>4.07E-2</v>
      </c>
      <c r="H13" s="29"/>
    </row>
    <row r="14" spans="2:9" ht="15.75" customHeight="1" x14ac:dyDescent="0.2">
      <c r="B14" s="25" t="s">
        <v>166</v>
      </c>
      <c r="C14" s="25" t="s">
        <v>167</v>
      </c>
      <c r="D14" s="25" t="s">
        <v>124</v>
      </c>
      <c r="E14" s="26">
        <v>81464</v>
      </c>
      <c r="F14" s="27">
        <v>869.83</v>
      </c>
      <c r="G14" s="28">
        <v>3.1300000000000001E-2</v>
      </c>
      <c r="H14" s="29"/>
    </row>
    <row r="15" spans="2:9" ht="15.75" customHeight="1" x14ac:dyDescent="0.2">
      <c r="B15" s="25" t="s">
        <v>350</v>
      </c>
      <c r="C15" s="25" t="s">
        <v>351</v>
      </c>
      <c r="D15" s="25" t="s">
        <v>259</v>
      </c>
      <c r="E15" s="26">
        <v>73971</v>
      </c>
      <c r="F15" s="27">
        <v>865.98</v>
      </c>
      <c r="G15" s="28">
        <v>3.1199999999999999E-2</v>
      </c>
      <c r="H15" s="29"/>
    </row>
    <row r="16" spans="2:9" ht="15.75" customHeight="1" x14ac:dyDescent="0.2">
      <c r="B16" s="25" t="s">
        <v>192</v>
      </c>
      <c r="C16" s="25" t="s">
        <v>193</v>
      </c>
      <c r="D16" s="25" t="s">
        <v>124</v>
      </c>
      <c r="E16" s="26">
        <v>42798</v>
      </c>
      <c r="F16" s="27">
        <v>781.17</v>
      </c>
      <c r="G16" s="28">
        <v>2.81E-2</v>
      </c>
      <c r="H16" s="29"/>
    </row>
    <row r="17" spans="2:8" ht="15.75" customHeight="1" x14ac:dyDescent="0.2">
      <c r="B17" s="25" t="s">
        <v>188</v>
      </c>
      <c r="C17" s="25" t="s">
        <v>189</v>
      </c>
      <c r="D17" s="25" t="s">
        <v>124</v>
      </c>
      <c r="E17" s="26">
        <v>112012</v>
      </c>
      <c r="F17" s="27">
        <v>717.44</v>
      </c>
      <c r="G17" s="28">
        <v>2.58E-2</v>
      </c>
      <c r="H17" s="29"/>
    </row>
    <row r="18" spans="2:8" ht="15.75" customHeight="1" x14ac:dyDescent="0.2">
      <c r="B18" s="25" t="s">
        <v>133</v>
      </c>
      <c r="C18" s="25" t="s">
        <v>134</v>
      </c>
      <c r="D18" s="25" t="s">
        <v>135</v>
      </c>
      <c r="E18" s="26">
        <v>26006</v>
      </c>
      <c r="F18" s="27">
        <v>645.35</v>
      </c>
      <c r="G18" s="28">
        <v>2.3199999999999998E-2</v>
      </c>
      <c r="H18" s="29"/>
    </row>
    <row r="19" spans="2:8" ht="15.75" customHeight="1" x14ac:dyDescent="0.2">
      <c r="B19" s="25" t="s">
        <v>168</v>
      </c>
      <c r="C19" s="25" t="s">
        <v>169</v>
      </c>
      <c r="D19" s="25" t="s">
        <v>170</v>
      </c>
      <c r="E19" s="26">
        <v>8161</v>
      </c>
      <c r="F19" s="27">
        <v>560.08000000000004</v>
      </c>
      <c r="G19" s="28">
        <v>2.0199999999999999E-2</v>
      </c>
      <c r="H19" s="29"/>
    </row>
    <row r="20" spans="2:8" ht="15.75" customHeight="1" x14ac:dyDescent="0.2">
      <c r="B20" s="25" t="s">
        <v>269</v>
      </c>
      <c r="C20" s="25" t="s">
        <v>270</v>
      </c>
      <c r="D20" s="25" t="s">
        <v>127</v>
      </c>
      <c r="E20" s="26">
        <v>30886</v>
      </c>
      <c r="F20" s="27">
        <v>486.76</v>
      </c>
      <c r="G20" s="28">
        <v>1.7500000000000002E-2</v>
      </c>
      <c r="H20" s="29"/>
    </row>
    <row r="21" spans="2:8" ht="15.75" customHeight="1" x14ac:dyDescent="0.2">
      <c r="B21" s="25" t="s">
        <v>442</v>
      </c>
      <c r="C21" s="25" t="s">
        <v>443</v>
      </c>
      <c r="D21" s="25" t="s">
        <v>141</v>
      </c>
      <c r="E21" s="26">
        <v>51401</v>
      </c>
      <c r="F21" s="27">
        <v>454.49</v>
      </c>
      <c r="G21" s="28">
        <v>1.6400000000000001E-2</v>
      </c>
      <c r="H21" s="29"/>
    </row>
    <row r="22" spans="2:8" ht="15.75" customHeight="1" x14ac:dyDescent="0.2">
      <c r="B22" s="25" t="s">
        <v>216</v>
      </c>
      <c r="C22" s="25" t="s">
        <v>217</v>
      </c>
      <c r="D22" s="25" t="s">
        <v>212</v>
      </c>
      <c r="E22" s="26">
        <v>12168</v>
      </c>
      <c r="F22" s="27">
        <v>449.92</v>
      </c>
      <c r="G22" s="28">
        <v>1.6199999999999999E-2</v>
      </c>
      <c r="H22" s="29"/>
    </row>
    <row r="23" spans="2:8" ht="15.75" customHeight="1" x14ac:dyDescent="0.2">
      <c r="B23" s="25" t="s">
        <v>273</v>
      </c>
      <c r="C23" s="25" t="s">
        <v>274</v>
      </c>
      <c r="D23" s="25" t="s">
        <v>204</v>
      </c>
      <c r="E23" s="26">
        <v>31459</v>
      </c>
      <c r="F23" s="27">
        <v>446.23</v>
      </c>
      <c r="G23" s="28">
        <v>1.61E-2</v>
      </c>
      <c r="H23" s="29"/>
    </row>
    <row r="24" spans="2:8" ht="15.75" customHeight="1" x14ac:dyDescent="0.2">
      <c r="B24" s="25" t="s">
        <v>280</v>
      </c>
      <c r="C24" s="25" t="s">
        <v>281</v>
      </c>
      <c r="D24" s="25" t="s">
        <v>229</v>
      </c>
      <c r="E24" s="26">
        <v>138776</v>
      </c>
      <c r="F24" s="27">
        <v>440.61</v>
      </c>
      <c r="G24" s="28">
        <v>1.5900000000000001E-2</v>
      </c>
      <c r="H24" s="29"/>
    </row>
    <row r="25" spans="2:8" ht="15.75" customHeight="1" x14ac:dyDescent="0.2">
      <c r="B25" s="25" t="s">
        <v>139</v>
      </c>
      <c r="C25" s="25" t="s">
        <v>140</v>
      </c>
      <c r="D25" s="25" t="s">
        <v>141</v>
      </c>
      <c r="E25" s="26">
        <v>26181</v>
      </c>
      <c r="F25" s="27">
        <v>432.39</v>
      </c>
      <c r="G25" s="28">
        <v>1.5599999999999999E-2</v>
      </c>
      <c r="H25" s="29"/>
    </row>
    <row r="26" spans="2:8" ht="15.75" customHeight="1" x14ac:dyDescent="0.2">
      <c r="B26" s="25" t="s">
        <v>183</v>
      </c>
      <c r="C26" s="25" t="s">
        <v>184</v>
      </c>
      <c r="D26" s="25" t="s">
        <v>141</v>
      </c>
      <c r="E26" s="26">
        <v>3859</v>
      </c>
      <c r="F26" s="27">
        <v>393.11</v>
      </c>
      <c r="G26" s="28">
        <v>1.41E-2</v>
      </c>
      <c r="H26" s="29"/>
    </row>
    <row r="27" spans="2:8" ht="15.75" customHeight="1" x14ac:dyDescent="0.2">
      <c r="B27" s="25" t="s">
        <v>210</v>
      </c>
      <c r="C27" s="25" t="s">
        <v>211</v>
      </c>
      <c r="D27" s="25" t="s">
        <v>212</v>
      </c>
      <c r="E27" s="26">
        <v>13087</v>
      </c>
      <c r="F27" s="27">
        <v>387.09</v>
      </c>
      <c r="G27" s="28">
        <v>1.3899999999999999E-2</v>
      </c>
      <c r="H27" s="29"/>
    </row>
    <row r="28" spans="2:8" ht="15.75" customHeight="1" x14ac:dyDescent="0.2">
      <c r="B28" s="25" t="s">
        <v>284</v>
      </c>
      <c r="C28" s="25" t="s">
        <v>285</v>
      </c>
      <c r="D28" s="25" t="s">
        <v>229</v>
      </c>
      <c r="E28" s="26">
        <v>132998</v>
      </c>
      <c r="F28" s="27">
        <v>344.86</v>
      </c>
      <c r="G28" s="28">
        <v>1.24E-2</v>
      </c>
      <c r="H28" s="29"/>
    </row>
    <row r="29" spans="2:8" ht="15.75" customHeight="1" x14ac:dyDescent="0.2">
      <c r="B29" s="25" t="s">
        <v>331</v>
      </c>
      <c r="C29" s="25" t="s">
        <v>332</v>
      </c>
      <c r="D29" s="25" t="s">
        <v>313</v>
      </c>
      <c r="E29" s="26">
        <v>3378</v>
      </c>
      <c r="F29" s="27">
        <v>343.45</v>
      </c>
      <c r="G29" s="28">
        <v>1.24E-2</v>
      </c>
      <c r="H29" s="29"/>
    </row>
    <row r="30" spans="2:8" ht="15.75" customHeight="1" x14ac:dyDescent="0.2">
      <c r="B30" s="25" t="s">
        <v>237</v>
      </c>
      <c r="C30" s="25" t="s">
        <v>238</v>
      </c>
      <c r="D30" s="25" t="s">
        <v>180</v>
      </c>
      <c r="E30" s="26">
        <v>236800</v>
      </c>
      <c r="F30" s="27">
        <v>321.93</v>
      </c>
      <c r="G30" s="28">
        <v>1.1599999999999999E-2</v>
      </c>
      <c r="H30" s="29"/>
    </row>
    <row r="31" spans="2:8" ht="15.75" customHeight="1" x14ac:dyDescent="0.2">
      <c r="B31" s="25" t="s">
        <v>689</v>
      </c>
      <c r="C31" s="25" t="s">
        <v>690</v>
      </c>
      <c r="D31" s="25" t="s">
        <v>124</v>
      </c>
      <c r="E31" s="26">
        <v>19292</v>
      </c>
      <c r="F31" s="27">
        <v>295.95</v>
      </c>
      <c r="G31" s="28">
        <v>1.0699999999999999E-2</v>
      </c>
      <c r="H31" s="29"/>
    </row>
    <row r="32" spans="2:8" ht="15.75" customHeight="1" x14ac:dyDescent="0.2">
      <c r="B32" s="25" t="s">
        <v>716</v>
      </c>
      <c r="C32" s="25" t="s">
        <v>717</v>
      </c>
      <c r="D32" s="25" t="s">
        <v>718</v>
      </c>
      <c r="E32" s="26">
        <v>113814</v>
      </c>
      <c r="F32" s="27">
        <v>287.10000000000002</v>
      </c>
      <c r="G32" s="28">
        <v>1.03E-2</v>
      </c>
      <c r="H32" s="29"/>
    </row>
    <row r="33" spans="2:8" ht="15.75" customHeight="1" x14ac:dyDescent="0.2">
      <c r="B33" s="25" t="s">
        <v>686</v>
      </c>
      <c r="C33" s="25" t="s">
        <v>687</v>
      </c>
      <c r="D33" s="25" t="s">
        <v>688</v>
      </c>
      <c r="E33" s="26">
        <v>66598</v>
      </c>
      <c r="F33" s="27">
        <v>270.49</v>
      </c>
      <c r="G33" s="28">
        <v>9.7000000000000003E-3</v>
      </c>
      <c r="H33" s="29"/>
    </row>
    <row r="34" spans="2:8" ht="15.75" customHeight="1" x14ac:dyDescent="0.2">
      <c r="B34" s="25" t="s">
        <v>136</v>
      </c>
      <c r="C34" s="25" t="s">
        <v>137</v>
      </c>
      <c r="D34" s="25" t="s">
        <v>138</v>
      </c>
      <c r="E34" s="26">
        <v>10405</v>
      </c>
      <c r="F34" s="27">
        <v>260.75</v>
      </c>
      <c r="G34" s="28">
        <v>9.4000000000000004E-3</v>
      </c>
      <c r="H34" s="29"/>
    </row>
    <row r="35" spans="2:8" ht="15.75" customHeight="1" x14ac:dyDescent="0.2">
      <c r="B35" s="25" t="s">
        <v>719</v>
      </c>
      <c r="C35" s="25" t="s">
        <v>720</v>
      </c>
      <c r="D35" s="25" t="s">
        <v>234</v>
      </c>
      <c r="E35" s="26">
        <v>21401</v>
      </c>
      <c r="F35" s="27">
        <v>258.45</v>
      </c>
      <c r="G35" s="28">
        <v>9.2999999999999992E-3</v>
      </c>
      <c r="H35" s="29"/>
    </row>
    <row r="36" spans="2:8" ht="15.75" customHeight="1" x14ac:dyDescent="0.2">
      <c r="B36" s="25" t="s">
        <v>197</v>
      </c>
      <c r="C36" s="25" t="s">
        <v>198</v>
      </c>
      <c r="D36" s="25" t="s">
        <v>170</v>
      </c>
      <c r="E36" s="26">
        <v>15842</v>
      </c>
      <c r="F36" s="27">
        <v>257.8</v>
      </c>
      <c r="G36" s="28">
        <v>9.2999999999999992E-3</v>
      </c>
      <c r="H36" s="29"/>
    </row>
    <row r="37" spans="2:8" ht="15.75" customHeight="1" x14ac:dyDescent="0.2">
      <c r="B37" s="25" t="s">
        <v>485</v>
      </c>
      <c r="C37" s="25" t="s">
        <v>486</v>
      </c>
      <c r="D37" s="25" t="s">
        <v>141</v>
      </c>
      <c r="E37" s="26">
        <v>3300</v>
      </c>
      <c r="F37" s="27">
        <v>253.03</v>
      </c>
      <c r="G37" s="28">
        <v>9.1000000000000004E-3</v>
      </c>
      <c r="H37" s="29"/>
    </row>
    <row r="38" spans="2:8" ht="15.75" customHeight="1" x14ac:dyDescent="0.2">
      <c r="B38" s="25" t="s">
        <v>175</v>
      </c>
      <c r="C38" s="25" t="s">
        <v>176</v>
      </c>
      <c r="D38" s="25" t="s">
        <v>177</v>
      </c>
      <c r="E38" s="26">
        <v>42609</v>
      </c>
      <c r="F38" s="27">
        <v>246.86</v>
      </c>
      <c r="G38" s="28">
        <v>8.8999999999999999E-3</v>
      </c>
      <c r="H38" s="29"/>
    </row>
    <row r="39" spans="2:8" ht="15.75" customHeight="1" x14ac:dyDescent="0.2">
      <c r="B39" s="25" t="s">
        <v>242</v>
      </c>
      <c r="C39" s="25" t="s">
        <v>243</v>
      </c>
      <c r="D39" s="25" t="s">
        <v>127</v>
      </c>
      <c r="E39" s="26">
        <v>18250</v>
      </c>
      <c r="F39" s="27">
        <v>243.39</v>
      </c>
      <c r="G39" s="28">
        <v>8.8000000000000005E-3</v>
      </c>
      <c r="H39" s="29"/>
    </row>
    <row r="40" spans="2:8" ht="15.75" customHeight="1" x14ac:dyDescent="0.2">
      <c r="B40" s="25" t="s">
        <v>721</v>
      </c>
      <c r="C40" s="25" t="s">
        <v>722</v>
      </c>
      <c r="D40" s="25" t="s">
        <v>723</v>
      </c>
      <c r="E40" s="26">
        <v>7648</v>
      </c>
      <c r="F40" s="27">
        <v>240.3</v>
      </c>
      <c r="G40" s="28">
        <v>8.6E-3</v>
      </c>
      <c r="H40" s="29"/>
    </row>
    <row r="41" spans="2:8" ht="15.75" customHeight="1" x14ac:dyDescent="0.2">
      <c r="B41" s="25" t="s">
        <v>311</v>
      </c>
      <c r="C41" s="25" t="s">
        <v>312</v>
      </c>
      <c r="D41" s="25" t="s">
        <v>313</v>
      </c>
      <c r="E41" s="26">
        <v>10746</v>
      </c>
      <c r="F41" s="27">
        <v>233.73</v>
      </c>
      <c r="G41" s="28">
        <v>8.3999999999999995E-3</v>
      </c>
      <c r="H41" s="29"/>
    </row>
    <row r="42" spans="2:8" ht="15.75" customHeight="1" x14ac:dyDescent="0.2">
      <c r="B42" s="25" t="s">
        <v>248</v>
      </c>
      <c r="C42" s="25" t="s">
        <v>249</v>
      </c>
      <c r="D42" s="25" t="s">
        <v>180</v>
      </c>
      <c r="E42" s="26">
        <v>27794</v>
      </c>
      <c r="F42" s="27">
        <v>227.54</v>
      </c>
      <c r="G42" s="28">
        <v>8.2000000000000007E-3</v>
      </c>
      <c r="H42" s="29"/>
    </row>
    <row r="43" spans="2:8" ht="15.75" customHeight="1" x14ac:dyDescent="0.2">
      <c r="B43" s="25" t="s">
        <v>244</v>
      </c>
      <c r="C43" s="25" t="s">
        <v>245</v>
      </c>
      <c r="D43" s="25" t="s">
        <v>204</v>
      </c>
      <c r="E43" s="26">
        <v>3552</v>
      </c>
      <c r="F43" s="27">
        <v>217.42</v>
      </c>
      <c r="G43" s="28">
        <v>7.7999999999999996E-3</v>
      </c>
      <c r="H43" s="29"/>
    </row>
    <row r="44" spans="2:8" ht="15.75" customHeight="1" x14ac:dyDescent="0.2">
      <c r="B44" s="25" t="s">
        <v>271</v>
      </c>
      <c r="C44" s="25" t="s">
        <v>272</v>
      </c>
      <c r="D44" s="25" t="s">
        <v>204</v>
      </c>
      <c r="E44" s="26">
        <v>15312</v>
      </c>
      <c r="F44" s="27">
        <v>206.87</v>
      </c>
      <c r="G44" s="28">
        <v>7.4000000000000003E-3</v>
      </c>
      <c r="H44" s="29"/>
    </row>
    <row r="45" spans="2:8" ht="15.75" customHeight="1" x14ac:dyDescent="0.2">
      <c r="B45" s="25" t="s">
        <v>682</v>
      </c>
      <c r="C45" s="25" t="s">
        <v>683</v>
      </c>
      <c r="D45" s="25" t="s">
        <v>592</v>
      </c>
      <c r="E45" s="26">
        <v>18390</v>
      </c>
      <c r="F45" s="27">
        <v>205.6</v>
      </c>
      <c r="G45" s="28">
        <v>7.4000000000000003E-3</v>
      </c>
      <c r="H45" s="29"/>
    </row>
    <row r="46" spans="2:8" ht="15.75" customHeight="1" x14ac:dyDescent="0.2">
      <c r="B46" s="25" t="s">
        <v>724</v>
      </c>
      <c r="C46" s="25" t="s">
        <v>725</v>
      </c>
      <c r="D46" s="25" t="s">
        <v>127</v>
      </c>
      <c r="E46" s="26">
        <v>41266</v>
      </c>
      <c r="F46" s="27">
        <v>197.31</v>
      </c>
      <c r="G46" s="28">
        <v>7.1000000000000004E-3</v>
      </c>
      <c r="H46" s="29"/>
    </row>
    <row r="47" spans="2:8" ht="15.75" customHeight="1" x14ac:dyDescent="0.2">
      <c r="B47" s="25" t="s">
        <v>275</v>
      </c>
      <c r="C47" s="25" t="s">
        <v>276</v>
      </c>
      <c r="D47" s="25" t="s">
        <v>277</v>
      </c>
      <c r="E47" s="26">
        <v>2933</v>
      </c>
      <c r="F47" s="27">
        <v>186.33</v>
      </c>
      <c r="G47" s="28">
        <v>6.7000000000000002E-3</v>
      </c>
      <c r="H47" s="29"/>
    </row>
    <row r="48" spans="2:8" ht="15.75" customHeight="1" x14ac:dyDescent="0.2">
      <c r="B48" s="25" t="s">
        <v>319</v>
      </c>
      <c r="C48" s="25" t="s">
        <v>320</v>
      </c>
      <c r="D48" s="25" t="s">
        <v>316</v>
      </c>
      <c r="E48" s="26">
        <v>13168</v>
      </c>
      <c r="F48" s="27">
        <v>184.5</v>
      </c>
      <c r="G48" s="28">
        <v>6.6E-3</v>
      </c>
      <c r="H48" s="29"/>
    </row>
    <row r="49" spans="2:8" ht="15.75" customHeight="1" x14ac:dyDescent="0.2">
      <c r="B49" s="25" t="s">
        <v>454</v>
      </c>
      <c r="C49" s="25" t="s">
        <v>455</v>
      </c>
      <c r="D49" s="25" t="s">
        <v>138</v>
      </c>
      <c r="E49" s="26">
        <v>3437</v>
      </c>
      <c r="F49" s="27">
        <v>178.67</v>
      </c>
      <c r="G49" s="28">
        <v>6.4000000000000003E-3</v>
      </c>
      <c r="H49" s="29"/>
    </row>
    <row r="50" spans="2:8" ht="15.75" customHeight="1" x14ac:dyDescent="0.2">
      <c r="B50" s="25" t="s">
        <v>726</v>
      </c>
      <c r="C50" s="25" t="s">
        <v>727</v>
      </c>
      <c r="D50" s="25" t="s">
        <v>316</v>
      </c>
      <c r="E50" s="26">
        <v>30766</v>
      </c>
      <c r="F50" s="27">
        <v>177.4</v>
      </c>
      <c r="G50" s="28">
        <v>6.4000000000000003E-3</v>
      </c>
      <c r="H50" s="29"/>
    </row>
    <row r="51" spans="2:8" ht="15.75" customHeight="1" x14ac:dyDescent="0.2">
      <c r="B51" s="25" t="s">
        <v>286</v>
      </c>
      <c r="C51" s="25" t="s">
        <v>287</v>
      </c>
      <c r="D51" s="25" t="s">
        <v>141</v>
      </c>
      <c r="E51" s="26">
        <v>3807</v>
      </c>
      <c r="F51" s="27">
        <v>175.94</v>
      </c>
      <c r="G51" s="28">
        <v>6.3E-3</v>
      </c>
      <c r="H51" s="29"/>
    </row>
    <row r="52" spans="2:8" ht="15.75" customHeight="1" x14ac:dyDescent="0.2">
      <c r="B52" s="25" t="s">
        <v>333</v>
      </c>
      <c r="C52" s="25" t="s">
        <v>334</v>
      </c>
      <c r="D52" s="25" t="s">
        <v>141</v>
      </c>
      <c r="E52" s="26">
        <v>3994</v>
      </c>
      <c r="F52" s="27">
        <v>153.35</v>
      </c>
      <c r="G52" s="28">
        <v>5.4999999999999997E-3</v>
      </c>
      <c r="H52" s="29"/>
    </row>
    <row r="53" spans="2:8" ht="15.75" customHeight="1" x14ac:dyDescent="0.2">
      <c r="B53" s="25" t="s">
        <v>142</v>
      </c>
      <c r="C53" s="25" t="s">
        <v>143</v>
      </c>
      <c r="D53" s="25" t="s">
        <v>127</v>
      </c>
      <c r="E53" s="26">
        <v>2679</v>
      </c>
      <c r="F53" s="27">
        <v>145.97</v>
      </c>
      <c r="G53" s="28">
        <v>5.3E-3</v>
      </c>
      <c r="H53" s="29"/>
    </row>
    <row r="54" spans="2:8" ht="15.75" customHeight="1" x14ac:dyDescent="0.2">
      <c r="B54" s="25" t="s">
        <v>173</v>
      </c>
      <c r="C54" s="25" t="s">
        <v>174</v>
      </c>
      <c r="D54" s="25" t="s">
        <v>132</v>
      </c>
      <c r="E54" s="26">
        <v>27701</v>
      </c>
      <c r="F54" s="27">
        <v>139.16</v>
      </c>
      <c r="G54" s="28">
        <v>5.0000000000000001E-3</v>
      </c>
      <c r="H54" s="29"/>
    </row>
    <row r="55" spans="2:8" ht="15.75" customHeight="1" x14ac:dyDescent="0.2">
      <c r="B55" s="25" t="s">
        <v>477</v>
      </c>
      <c r="C55" s="25" t="s">
        <v>478</v>
      </c>
      <c r="D55" s="25" t="s">
        <v>204</v>
      </c>
      <c r="E55" s="26">
        <v>3713</v>
      </c>
      <c r="F55" s="27">
        <v>136.29</v>
      </c>
      <c r="G55" s="28">
        <v>4.8999999999999998E-3</v>
      </c>
      <c r="H55" s="29"/>
    </row>
    <row r="56" spans="2:8" ht="15.75" customHeight="1" x14ac:dyDescent="0.2">
      <c r="B56" s="25" t="s">
        <v>728</v>
      </c>
      <c r="C56" s="25" t="s">
        <v>729</v>
      </c>
      <c r="D56" s="25" t="s">
        <v>196</v>
      </c>
      <c r="E56" s="26">
        <v>14679</v>
      </c>
      <c r="F56" s="27">
        <v>78.930000000000007</v>
      </c>
      <c r="G56" s="28">
        <v>2.8E-3</v>
      </c>
      <c r="H56" s="29"/>
    </row>
    <row r="57" spans="2:8" ht="15.75" customHeight="1" x14ac:dyDescent="0.2">
      <c r="B57" s="24" t="s">
        <v>94</v>
      </c>
      <c r="C57" s="24"/>
      <c r="D57" s="24"/>
      <c r="E57" s="30"/>
      <c r="F57" s="31">
        <v>27741.94</v>
      </c>
      <c r="G57" s="32">
        <v>0.99839999999999995</v>
      </c>
      <c r="H57" s="33"/>
    </row>
    <row r="58" spans="2:8" ht="15.75" customHeight="1" x14ac:dyDescent="0.2">
      <c r="B58" s="24" t="s">
        <v>144</v>
      </c>
      <c r="C58" s="25"/>
      <c r="D58" s="25"/>
      <c r="E58" s="26"/>
      <c r="F58" s="27"/>
      <c r="G58" s="28"/>
      <c r="H58" s="29"/>
    </row>
    <row r="59" spans="2:8" ht="15.75" customHeight="1" x14ac:dyDescent="0.2">
      <c r="B59" s="24" t="s">
        <v>94</v>
      </c>
      <c r="C59" s="25"/>
      <c r="D59" s="25"/>
      <c r="E59" s="26"/>
      <c r="F59" s="34" t="s">
        <v>96</v>
      </c>
      <c r="G59" s="35" t="s">
        <v>96</v>
      </c>
      <c r="H59" s="29"/>
    </row>
    <row r="60" spans="2:8" ht="15.75" customHeight="1" x14ac:dyDescent="0.2">
      <c r="B60" s="25"/>
      <c r="C60" s="25"/>
      <c r="D60" s="25"/>
      <c r="E60" s="26"/>
      <c r="F60" s="27"/>
      <c r="G60" s="28"/>
      <c r="H60" s="29"/>
    </row>
    <row r="61" spans="2:8" ht="15.75" customHeight="1" x14ac:dyDescent="0.2">
      <c r="B61" s="36" t="s">
        <v>98</v>
      </c>
      <c r="C61" s="36"/>
      <c r="D61" s="36"/>
      <c r="E61" s="37"/>
      <c r="F61" s="31">
        <v>27741.94</v>
      </c>
      <c r="G61" s="32">
        <v>0.99839999999999995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101</v>
      </c>
      <c r="C64" s="25"/>
      <c r="D64" s="25"/>
      <c r="E64" s="26"/>
      <c r="F64" s="27"/>
      <c r="G64" s="28"/>
      <c r="H64" s="29"/>
    </row>
    <row r="65" spans="2:16" ht="15.75" customHeight="1" x14ac:dyDescent="0.2">
      <c r="B65" s="25" t="s">
        <v>102</v>
      </c>
      <c r="C65" s="25"/>
      <c r="D65" s="25"/>
      <c r="E65" s="26"/>
      <c r="F65" s="27">
        <v>70.040000000000006</v>
      </c>
      <c r="G65" s="28">
        <v>2.5000000000000001E-3</v>
      </c>
      <c r="H65" s="29"/>
    </row>
    <row r="66" spans="2:16" ht="15.75" customHeight="1" x14ac:dyDescent="0.2">
      <c r="B66" s="24" t="s">
        <v>94</v>
      </c>
      <c r="C66" s="24"/>
      <c r="D66" s="24"/>
      <c r="E66" s="30"/>
      <c r="F66" s="31">
        <v>70.040000000000006</v>
      </c>
      <c r="G66" s="32">
        <v>2.5000000000000001E-3</v>
      </c>
      <c r="H66" s="33"/>
    </row>
    <row r="67" spans="2:16" ht="15.75" customHeight="1" x14ac:dyDescent="0.2">
      <c r="B67" s="25"/>
      <c r="C67" s="25"/>
      <c r="D67" s="25"/>
      <c r="E67" s="26"/>
      <c r="F67" s="27"/>
      <c r="G67" s="28"/>
      <c r="H67" s="29"/>
    </row>
    <row r="68" spans="2:16" ht="15.75" customHeight="1" x14ac:dyDescent="0.2">
      <c r="B68" s="36" t="s">
        <v>98</v>
      </c>
      <c r="C68" s="36"/>
      <c r="D68" s="36"/>
      <c r="E68" s="37"/>
      <c r="F68" s="31">
        <v>70.040000000000006</v>
      </c>
      <c r="G68" s="32">
        <v>2.5000000000000001E-3</v>
      </c>
      <c r="H68" s="33"/>
      <c r="L68" s="3"/>
    </row>
    <row r="69" spans="2:16" ht="15.75" customHeight="1" x14ac:dyDescent="0.2">
      <c r="B69" s="25" t="s">
        <v>103</v>
      </c>
      <c r="C69" s="25"/>
      <c r="D69" s="25"/>
      <c r="E69" s="26"/>
      <c r="F69" s="38">
        <v>-27.66</v>
      </c>
      <c r="G69" s="39">
        <v>-8.9999999999990088E-4</v>
      </c>
      <c r="H69" s="29"/>
    </row>
    <row r="70" spans="2:16" ht="15.75" customHeight="1" x14ac:dyDescent="0.2">
      <c r="B70" s="40" t="s">
        <v>104</v>
      </c>
      <c r="C70" s="40"/>
      <c r="D70" s="40"/>
      <c r="E70" s="41"/>
      <c r="F70" s="42">
        <v>27784.32</v>
      </c>
      <c r="G70" s="43">
        <v>1</v>
      </c>
      <c r="H70" s="44"/>
      <c r="L70" s="3"/>
    </row>
    <row r="71" spans="2:16" ht="15.75" customHeight="1" thickBot="1" x14ac:dyDescent="0.25">
      <c r="B71" s="2"/>
      <c r="L71" s="3"/>
    </row>
    <row r="72" spans="2:16" ht="27" customHeight="1" thickBot="1" x14ac:dyDescent="0.25">
      <c r="B72" s="57" t="s">
        <v>829</v>
      </c>
      <c r="C72" s="58" t="s">
        <v>830</v>
      </c>
      <c r="D72" s="58" t="s">
        <v>831</v>
      </c>
      <c r="E72" s="63" t="s">
        <v>832</v>
      </c>
      <c r="G72" s="2"/>
      <c r="H72" s="2"/>
    </row>
    <row r="73" spans="2:16" ht="27.75" customHeight="1" x14ac:dyDescent="0.2">
      <c r="B73" s="70" t="s">
        <v>57</v>
      </c>
      <c r="C73" s="82"/>
      <c r="D73" s="85" t="s">
        <v>904</v>
      </c>
      <c r="E73" s="87"/>
      <c r="G73" s="2"/>
      <c r="H73" s="2"/>
    </row>
    <row r="74" spans="2:16" ht="31.5" customHeight="1" x14ac:dyDescent="0.2">
      <c r="B74" s="66" t="s">
        <v>905</v>
      </c>
      <c r="C74" s="83"/>
      <c r="D74" s="86"/>
      <c r="E74" s="83"/>
      <c r="G74" s="2"/>
      <c r="H74" s="2"/>
    </row>
    <row r="75" spans="2:16" ht="39.950000000000003" customHeight="1" x14ac:dyDescent="0.2">
      <c r="B75" s="66" t="s">
        <v>906</v>
      </c>
      <c r="C75" s="83"/>
      <c r="D75" s="86"/>
      <c r="E75" s="83"/>
      <c r="G75" s="2"/>
      <c r="H75" s="2"/>
    </row>
    <row r="76" spans="2:16" ht="22.5" customHeight="1" thickBot="1" x14ac:dyDescent="0.25">
      <c r="B76" s="68" t="s">
        <v>866</v>
      </c>
      <c r="C76" s="84"/>
      <c r="D76" s="71" t="s">
        <v>866</v>
      </c>
      <c r="E76" s="88"/>
      <c r="G76" s="2"/>
      <c r="H76" s="2"/>
    </row>
    <row r="77" spans="2:16" ht="24.95" customHeight="1" x14ac:dyDescent="0.2">
      <c r="B77" s="59" t="s">
        <v>833</v>
      </c>
      <c r="C77" s="60"/>
      <c r="D77" s="61"/>
      <c r="E77" s="62"/>
      <c r="G77" s="2"/>
      <c r="H77" s="2"/>
    </row>
    <row r="78" spans="2:16" ht="15.75" customHeight="1" x14ac:dyDescent="0.2">
      <c r="L78" s="7"/>
      <c r="M78" s="7"/>
      <c r="N78" s="7"/>
      <c r="O78" s="7"/>
      <c r="P78" s="7"/>
    </row>
    <row r="79" spans="2:16" ht="12" x14ac:dyDescent="0.2">
      <c r="B79" s="2" t="s">
        <v>834</v>
      </c>
      <c r="C79" s="2"/>
      <c r="D79" s="2"/>
      <c r="G79" s="2"/>
      <c r="H79" s="2"/>
    </row>
    <row r="80" spans="2:16" ht="12" x14ac:dyDescent="0.2">
      <c r="B80" s="3" t="s">
        <v>835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ED71764C-1BF5-4749-87C0-9369508CDF6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658A-E9EB-4332-AA88-9F176E3BD5FB}">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74801</v>
      </c>
      <c r="F7" s="27">
        <v>1093.78</v>
      </c>
      <c r="G7" s="28">
        <v>0.1353</v>
      </c>
      <c r="H7" s="29"/>
    </row>
    <row r="8" spans="2:9" ht="15.75" customHeight="1" x14ac:dyDescent="0.2">
      <c r="B8" s="25" t="s">
        <v>130</v>
      </c>
      <c r="C8" s="25" t="s">
        <v>131</v>
      </c>
      <c r="D8" s="25" t="s">
        <v>132</v>
      </c>
      <c r="E8" s="26">
        <v>34029</v>
      </c>
      <c r="F8" s="27">
        <v>970.92</v>
      </c>
      <c r="G8" s="28">
        <v>0.1201</v>
      </c>
      <c r="H8" s="29"/>
    </row>
    <row r="9" spans="2:9" ht="15.75" customHeight="1" x14ac:dyDescent="0.2">
      <c r="B9" s="25" t="s">
        <v>122</v>
      </c>
      <c r="C9" s="25" t="s">
        <v>123</v>
      </c>
      <c r="D9" s="25" t="s">
        <v>124</v>
      </c>
      <c r="E9" s="26">
        <v>69219</v>
      </c>
      <c r="F9" s="27">
        <v>711.5</v>
      </c>
      <c r="G9" s="28">
        <v>8.7999999999999995E-2</v>
      </c>
      <c r="H9" s="29"/>
    </row>
    <row r="10" spans="2:9" ht="15.75" customHeight="1" x14ac:dyDescent="0.2">
      <c r="B10" s="25" t="s">
        <v>125</v>
      </c>
      <c r="C10" s="25" t="s">
        <v>126</v>
      </c>
      <c r="D10" s="25" t="s">
        <v>127</v>
      </c>
      <c r="E10" s="26">
        <v>35159</v>
      </c>
      <c r="F10" s="27">
        <v>584.38</v>
      </c>
      <c r="G10" s="28">
        <v>7.2300000000000003E-2</v>
      </c>
      <c r="H10" s="29"/>
    </row>
    <row r="11" spans="2:9" ht="15.75" customHeight="1" x14ac:dyDescent="0.2">
      <c r="B11" s="25" t="s">
        <v>160</v>
      </c>
      <c r="C11" s="25" t="s">
        <v>161</v>
      </c>
      <c r="D11" s="25" t="s">
        <v>162</v>
      </c>
      <c r="E11" s="26">
        <v>11958</v>
      </c>
      <c r="F11" s="27">
        <v>416.16</v>
      </c>
      <c r="G11" s="28">
        <v>5.1499999999999997E-2</v>
      </c>
      <c r="H11" s="29"/>
    </row>
    <row r="12" spans="2:9" ht="15.75" customHeight="1" x14ac:dyDescent="0.2">
      <c r="B12" s="25" t="s">
        <v>171</v>
      </c>
      <c r="C12" s="25" t="s">
        <v>172</v>
      </c>
      <c r="D12" s="25" t="s">
        <v>127</v>
      </c>
      <c r="E12" s="26">
        <v>10138</v>
      </c>
      <c r="F12" s="27">
        <v>386.74</v>
      </c>
      <c r="G12" s="28">
        <v>4.7800000000000002E-2</v>
      </c>
      <c r="H12" s="29"/>
    </row>
    <row r="13" spans="2:9" ht="15.75" customHeight="1" x14ac:dyDescent="0.2">
      <c r="B13" s="25" t="s">
        <v>190</v>
      </c>
      <c r="C13" s="25" t="s">
        <v>191</v>
      </c>
      <c r="D13" s="25" t="s">
        <v>135</v>
      </c>
      <c r="E13" s="26">
        <v>86932</v>
      </c>
      <c r="F13" s="27">
        <v>383.76</v>
      </c>
      <c r="G13" s="28">
        <v>4.7500000000000001E-2</v>
      </c>
      <c r="H13" s="29"/>
    </row>
    <row r="14" spans="2:9" ht="15.75" customHeight="1" x14ac:dyDescent="0.2">
      <c r="B14" s="25" t="s">
        <v>166</v>
      </c>
      <c r="C14" s="25" t="s">
        <v>167</v>
      </c>
      <c r="D14" s="25" t="s">
        <v>124</v>
      </c>
      <c r="E14" s="26">
        <v>28055</v>
      </c>
      <c r="F14" s="27">
        <v>299.47000000000003</v>
      </c>
      <c r="G14" s="28">
        <v>3.6999999999999998E-2</v>
      </c>
      <c r="H14" s="29"/>
    </row>
    <row r="15" spans="2:9" ht="15.75" customHeight="1" x14ac:dyDescent="0.2">
      <c r="B15" s="25" t="s">
        <v>350</v>
      </c>
      <c r="C15" s="25" t="s">
        <v>351</v>
      </c>
      <c r="D15" s="25" t="s">
        <v>259</v>
      </c>
      <c r="E15" s="26">
        <v>24930</v>
      </c>
      <c r="F15" s="27">
        <v>291.86</v>
      </c>
      <c r="G15" s="28">
        <v>3.61E-2</v>
      </c>
      <c r="H15" s="29"/>
    </row>
    <row r="16" spans="2:9" ht="15.75" customHeight="1" x14ac:dyDescent="0.2">
      <c r="B16" s="25" t="s">
        <v>192</v>
      </c>
      <c r="C16" s="25" t="s">
        <v>193</v>
      </c>
      <c r="D16" s="25" t="s">
        <v>124</v>
      </c>
      <c r="E16" s="26">
        <v>14129</v>
      </c>
      <c r="F16" s="27">
        <v>257.79000000000002</v>
      </c>
      <c r="G16" s="28">
        <v>3.1899999999999998E-2</v>
      </c>
      <c r="H16" s="29"/>
    </row>
    <row r="17" spans="2:8" ht="15.75" customHeight="1" x14ac:dyDescent="0.2">
      <c r="B17" s="25" t="s">
        <v>188</v>
      </c>
      <c r="C17" s="25" t="s">
        <v>189</v>
      </c>
      <c r="D17" s="25" t="s">
        <v>124</v>
      </c>
      <c r="E17" s="26">
        <v>37691</v>
      </c>
      <c r="F17" s="27">
        <v>241.47</v>
      </c>
      <c r="G17" s="28">
        <v>2.9899999999999999E-2</v>
      </c>
      <c r="H17" s="29"/>
    </row>
    <row r="18" spans="2:8" ht="15.75" customHeight="1" x14ac:dyDescent="0.2">
      <c r="B18" s="25" t="s">
        <v>133</v>
      </c>
      <c r="C18" s="25" t="s">
        <v>134</v>
      </c>
      <c r="D18" s="25" t="s">
        <v>135</v>
      </c>
      <c r="E18" s="26">
        <v>8787</v>
      </c>
      <c r="F18" s="27">
        <v>217.95</v>
      </c>
      <c r="G18" s="28">
        <v>2.7E-2</v>
      </c>
      <c r="H18" s="29"/>
    </row>
    <row r="19" spans="2:8" ht="15.75" customHeight="1" x14ac:dyDescent="0.2">
      <c r="B19" s="25" t="s">
        <v>168</v>
      </c>
      <c r="C19" s="25" t="s">
        <v>169</v>
      </c>
      <c r="D19" s="25" t="s">
        <v>170</v>
      </c>
      <c r="E19" s="26">
        <v>2734</v>
      </c>
      <c r="F19" s="27">
        <v>187.66</v>
      </c>
      <c r="G19" s="28">
        <v>2.3199999999999998E-2</v>
      </c>
      <c r="H19" s="29"/>
    </row>
    <row r="20" spans="2:8" ht="15.75" customHeight="1" x14ac:dyDescent="0.2">
      <c r="B20" s="25" t="s">
        <v>269</v>
      </c>
      <c r="C20" s="25" t="s">
        <v>270</v>
      </c>
      <c r="D20" s="25" t="s">
        <v>127</v>
      </c>
      <c r="E20" s="26">
        <v>10398</v>
      </c>
      <c r="F20" s="27">
        <v>163.85</v>
      </c>
      <c r="G20" s="28">
        <v>2.0299999999999999E-2</v>
      </c>
      <c r="H20" s="29"/>
    </row>
    <row r="21" spans="2:8" ht="15.75" customHeight="1" x14ac:dyDescent="0.2">
      <c r="B21" s="25" t="s">
        <v>442</v>
      </c>
      <c r="C21" s="25" t="s">
        <v>443</v>
      </c>
      <c r="D21" s="25" t="s">
        <v>141</v>
      </c>
      <c r="E21" s="26">
        <v>17702</v>
      </c>
      <c r="F21" s="27">
        <v>156.52000000000001</v>
      </c>
      <c r="G21" s="28">
        <v>1.9400000000000001E-2</v>
      </c>
      <c r="H21" s="29"/>
    </row>
    <row r="22" spans="2:8" ht="15.75" customHeight="1" x14ac:dyDescent="0.2">
      <c r="B22" s="25" t="s">
        <v>139</v>
      </c>
      <c r="C22" s="25" t="s">
        <v>140</v>
      </c>
      <c r="D22" s="25" t="s">
        <v>141</v>
      </c>
      <c r="E22" s="26">
        <v>9448</v>
      </c>
      <c r="F22" s="27">
        <v>156.26</v>
      </c>
      <c r="G22" s="28">
        <v>1.9300000000000001E-2</v>
      </c>
      <c r="H22" s="29"/>
    </row>
    <row r="23" spans="2:8" ht="15.75" customHeight="1" x14ac:dyDescent="0.2">
      <c r="B23" s="25" t="s">
        <v>216</v>
      </c>
      <c r="C23" s="25" t="s">
        <v>217</v>
      </c>
      <c r="D23" s="25" t="s">
        <v>212</v>
      </c>
      <c r="E23" s="26">
        <v>4119</v>
      </c>
      <c r="F23" s="27">
        <v>152.30000000000001</v>
      </c>
      <c r="G23" s="28">
        <v>1.8800000000000001E-2</v>
      </c>
      <c r="H23" s="29"/>
    </row>
    <row r="24" spans="2:8" ht="15.75" customHeight="1" x14ac:dyDescent="0.2">
      <c r="B24" s="25" t="s">
        <v>273</v>
      </c>
      <c r="C24" s="25" t="s">
        <v>274</v>
      </c>
      <c r="D24" s="25" t="s">
        <v>204</v>
      </c>
      <c r="E24" s="26">
        <v>10631</v>
      </c>
      <c r="F24" s="27">
        <v>150.80000000000001</v>
      </c>
      <c r="G24" s="28">
        <v>1.8700000000000001E-2</v>
      </c>
      <c r="H24" s="29"/>
    </row>
    <row r="25" spans="2:8" ht="15.75" customHeight="1" x14ac:dyDescent="0.2">
      <c r="B25" s="25" t="s">
        <v>280</v>
      </c>
      <c r="C25" s="25" t="s">
        <v>281</v>
      </c>
      <c r="D25" s="25" t="s">
        <v>229</v>
      </c>
      <c r="E25" s="26">
        <v>46943</v>
      </c>
      <c r="F25" s="27">
        <v>149.07</v>
      </c>
      <c r="G25" s="28">
        <v>1.84E-2</v>
      </c>
      <c r="H25" s="29"/>
    </row>
    <row r="26" spans="2:8" ht="15.75" customHeight="1" x14ac:dyDescent="0.2">
      <c r="B26" s="25" t="s">
        <v>183</v>
      </c>
      <c r="C26" s="25" t="s">
        <v>184</v>
      </c>
      <c r="D26" s="25" t="s">
        <v>141</v>
      </c>
      <c r="E26" s="26">
        <v>1311</v>
      </c>
      <c r="F26" s="27">
        <v>133.5</v>
      </c>
      <c r="G26" s="28">
        <v>1.6500000000000001E-2</v>
      </c>
      <c r="H26" s="29"/>
    </row>
    <row r="27" spans="2:8" ht="15.75" customHeight="1" x14ac:dyDescent="0.2">
      <c r="B27" s="25" t="s">
        <v>210</v>
      </c>
      <c r="C27" s="25" t="s">
        <v>211</v>
      </c>
      <c r="D27" s="25" t="s">
        <v>212</v>
      </c>
      <c r="E27" s="26">
        <v>4441</v>
      </c>
      <c r="F27" s="27">
        <v>131.36000000000001</v>
      </c>
      <c r="G27" s="28">
        <v>1.6199999999999999E-2</v>
      </c>
      <c r="H27" s="29"/>
    </row>
    <row r="28" spans="2:8" ht="15.75" customHeight="1" x14ac:dyDescent="0.2">
      <c r="B28" s="25" t="s">
        <v>284</v>
      </c>
      <c r="C28" s="25" t="s">
        <v>285</v>
      </c>
      <c r="D28" s="25" t="s">
        <v>229</v>
      </c>
      <c r="E28" s="26">
        <v>44998</v>
      </c>
      <c r="F28" s="27">
        <v>116.7</v>
      </c>
      <c r="G28" s="28">
        <v>1.44E-2</v>
      </c>
      <c r="H28" s="29"/>
    </row>
    <row r="29" spans="2:8" ht="15.75" customHeight="1" x14ac:dyDescent="0.2">
      <c r="B29" s="25" t="s">
        <v>331</v>
      </c>
      <c r="C29" s="25" t="s">
        <v>332</v>
      </c>
      <c r="D29" s="25" t="s">
        <v>313</v>
      </c>
      <c r="E29" s="26">
        <v>1141</v>
      </c>
      <c r="F29" s="27">
        <v>116.02</v>
      </c>
      <c r="G29" s="28">
        <v>1.43E-2</v>
      </c>
      <c r="H29" s="29"/>
    </row>
    <row r="30" spans="2:8" ht="15.75" customHeight="1" x14ac:dyDescent="0.2">
      <c r="B30" s="25" t="s">
        <v>237</v>
      </c>
      <c r="C30" s="25" t="s">
        <v>238</v>
      </c>
      <c r="D30" s="25" t="s">
        <v>180</v>
      </c>
      <c r="E30" s="26">
        <v>79715</v>
      </c>
      <c r="F30" s="27">
        <v>108.33</v>
      </c>
      <c r="G30" s="28">
        <v>1.34E-2</v>
      </c>
      <c r="H30" s="29"/>
    </row>
    <row r="31" spans="2:8" ht="15.75" customHeight="1" x14ac:dyDescent="0.2">
      <c r="B31" s="25" t="s">
        <v>689</v>
      </c>
      <c r="C31" s="25" t="s">
        <v>690</v>
      </c>
      <c r="D31" s="25" t="s">
        <v>124</v>
      </c>
      <c r="E31" s="26">
        <v>6410</v>
      </c>
      <c r="F31" s="27">
        <v>98.34</v>
      </c>
      <c r="G31" s="28">
        <v>1.2200000000000001E-2</v>
      </c>
      <c r="H31" s="29"/>
    </row>
    <row r="32" spans="2:8" ht="15.75" customHeight="1" x14ac:dyDescent="0.2">
      <c r="B32" s="25" t="s">
        <v>136</v>
      </c>
      <c r="C32" s="25" t="s">
        <v>137</v>
      </c>
      <c r="D32" s="25" t="s">
        <v>138</v>
      </c>
      <c r="E32" s="26">
        <v>3513</v>
      </c>
      <c r="F32" s="27">
        <v>88.02</v>
      </c>
      <c r="G32" s="28">
        <v>1.09E-2</v>
      </c>
      <c r="H32" s="29"/>
    </row>
    <row r="33" spans="2:8" ht="15.75" customHeight="1" x14ac:dyDescent="0.2">
      <c r="B33" s="25" t="s">
        <v>197</v>
      </c>
      <c r="C33" s="25" t="s">
        <v>198</v>
      </c>
      <c r="D33" s="25" t="s">
        <v>170</v>
      </c>
      <c r="E33" s="26">
        <v>5342</v>
      </c>
      <c r="F33" s="27">
        <v>86.92</v>
      </c>
      <c r="G33" s="28">
        <v>1.0800000000000001E-2</v>
      </c>
      <c r="H33" s="29"/>
    </row>
    <row r="34" spans="2:8" ht="15.75" customHeight="1" x14ac:dyDescent="0.2">
      <c r="B34" s="25" t="s">
        <v>242</v>
      </c>
      <c r="C34" s="25" t="s">
        <v>243</v>
      </c>
      <c r="D34" s="25" t="s">
        <v>127</v>
      </c>
      <c r="E34" s="26">
        <v>6136</v>
      </c>
      <c r="F34" s="27">
        <v>81.819999999999993</v>
      </c>
      <c r="G34" s="28">
        <v>1.01E-2</v>
      </c>
      <c r="H34" s="29"/>
    </row>
    <row r="35" spans="2:8" ht="15.75" customHeight="1" x14ac:dyDescent="0.2">
      <c r="B35" s="25" t="s">
        <v>248</v>
      </c>
      <c r="C35" s="25" t="s">
        <v>249</v>
      </c>
      <c r="D35" s="25" t="s">
        <v>180</v>
      </c>
      <c r="E35" s="26">
        <v>9518</v>
      </c>
      <c r="F35" s="27">
        <v>77.900000000000006</v>
      </c>
      <c r="G35" s="28">
        <v>9.5999999999999992E-3</v>
      </c>
      <c r="H35" s="29"/>
    </row>
    <row r="36" spans="2:8" ht="15.75" customHeight="1" x14ac:dyDescent="0.2">
      <c r="B36" s="25" t="s">
        <v>724</v>
      </c>
      <c r="C36" s="25" t="s">
        <v>725</v>
      </c>
      <c r="D36" s="25" t="s">
        <v>127</v>
      </c>
      <c r="E36" s="26">
        <v>13911</v>
      </c>
      <c r="F36" s="27">
        <v>66.47</v>
      </c>
      <c r="G36" s="28">
        <v>8.2000000000000007E-3</v>
      </c>
      <c r="H36" s="29"/>
    </row>
    <row r="37" spans="2:8" ht="15.75" customHeight="1" x14ac:dyDescent="0.2">
      <c r="B37" s="24" t="s">
        <v>94</v>
      </c>
      <c r="C37" s="24"/>
      <c r="D37" s="24"/>
      <c r="E37" s="30"/>
      <c r="F37" s="31">
        <v>8077.62</v>
      </c>
      <c r="G37" s="32">
        <v>0.999</v>
      </c>
      <c r="H37" s="33"/>
    </row>
    <row r="38" spans="2:8" ht="15.75" customHeight="1" x14ac:dyDescent="0.2">
      <c r="B38" s="24" t="s">
        <v>144</v>
      </c>
      <c r="C38" s="25"/>
      <c r="D38" s="25"/>
      <c r="E38" s="26"/>
      <c r="F38" s="27"/>
      <c r="G38" s="28"/>
      <c r="H38" s="29"/>
    </row>
    <row r="39" spans="2:8" ht="15.75" customHeight="1" x14ac:dyDescent="0.2">
      <c r="B39" s="24" t="s">
        <v>94</v>
      </c>
      <c r="C39" s="25"/>
      <c r="D39" s="25"/>
      <c r="E39" s="26"/>
      <c r="F39" s="34" t="s">
        <v>96</v>
      </c>
      <c r="G39" s="35" t="s">
        <v>96</v>
      </c>
      <c r="H39" s="29"/>
    </row>
    <row r="40" spans="2:8" ht="15.75" customHeight="1" x14ac:dyDescent="0.2">
      <c r="B40" s="25"/>
      <c r="C40" s="25"/>
      <c r="D40" s="25"/>
      <c r="E40" s="26"/>
      <c r="F40" s="27"/>
      <c r="G40" s="28"/>
      <c r="H40" s="29"/>
    </row>
    <row r="41" spans="2:8" ht="15.75" customHeight="1" x14ac:dyDescent="0.2">
      <c r="B41" s="36" t="s">
        <v>98</v>
      </c>
      <c r="C41" s="36"/>
      <c r="D41" s="36"/>
      <c r="E41" s="37"/>
      <c r="F41" s="31">
        <v>8077.62</v>
      </c>
      <c r="G41" s="32">
        <v>0.999</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101</v>
      </c>
      <c r="C44" s="25"/>
      <c r="D44" s="25"/>
      <c r="E44" s="26"/>
      <c r="F44" s="27"/>
      <c r="G44" s="28"/>
      <c r="H44" s="29"/>
    </row>
    <row r="45" spans="2:8" ht="15.75" customHeight="1" x14ac:dyDescent="0.2">
      <c r="B45" s="25" t="s">
        <v>102</v>
      </c>
      <c r="C45" s="25"/>
      <c r="D45" s="25"/>
      <c r="E45" s="26"/>
      <c r="F45" s="27">
        <v>13.5</v>
      </c>
      <c r="G45" s="28">
        <v>1.6999999999999999E-3</v>
      </c>
      <c r="H45" s="29"/>
    </row>
    <row r="46" spans="2:8" ht="15.75" customHeight="1" x14ac:dyDescent="0.2">
      <c r="B46" s="24" t="s">
        <v>94</v>
      </c>
      <c r="C46" s="24"/>
      <c r="D46" s="24"/>
      <c r="E46" s="30"/>
      <c r="F46" s="31">
        <v>13.5</v>
      </c>
      <c r="G46" s="32">
        <v>1.6999999999999999E-3</v>
      </c>
      <c r="H46" s="33"/>
    </row>
    <row r="47" spans="2:8" ht="15.75" customHeight="1" x14ac:dyDescent="0.2">
      <c r="B47" s="25"/>
      <c r="C47" s="25"/>
      <c r="D47" s="25"/>
      <c r="E47" s="26"/>
      <c r="F47" s="27"/>
      <c r="G47" s="28"/>
      <c r="H47" s="29"/>
    </row>
    <row r="48" spans="2:8" ht="15.75" customHeight="1" x14ac:dyDescent="0.2">
      <c r="B48" s="36" t="s">
        <v>98</v>
      </c>
      <c r="C48" s="36"/>
      <c r="D48" s="36"/>
      <c r="E48" s="37"/>
      <c r="F48" s="31">
        <v>13.5</v>
      </c>
      <c r="G48" s="32">
        <v>1.6999999999999999E-3</v>
      </c>
      <c r="H48" s="33"/>
    </row>
    <row r="49" spans="2:8" ht="15.75" customHeight="1" x14ac:dyDescent="0.2">
      <c r="B49" s="25" t="s">
        <v>103</v>
      </c>
      <c r="C49" s="25"/>
      <c r="D49" s="25"/>
      <c r="E49" s="26"/>
      <c r="F49" s="38">
        <v>-5.57</v>
      </c>
      <c r="G49" s="39">
        <v>-6.9999999999992291E-4</v>
      </c>
      <c r="H49" s="29"/>
    </row>
    <row r="50" spans="2:8" ht="15.75" customHeight="1" x14ac:dyDescent="0.2">
      <c r="B50" s="40" t="s">
        <v>104</v>
      </c>
      <c r="C50" s="40"/>
      <c r="D50" s="40"/>
      <c r="E50" s="41"/>
      <c r="F50" s="42">
        <v>8085.55</v>
      </c>
      <c r="G50" s="43">
        <v>1</v>
      </c>
      <c r="H50" s="44"/>
    </row>
    <row r="51" spans="2:8" ht="15.75" customHeight="1" thickBot="1" x14ac:dyDescent="0.25">
      <c r="B51" s="2"/>
    </row>
    <row r="52" spans="2:8" ht="27" customHeight="1" thickBot="1" x14ac:dyDescent="0.25">
      <c r="B52" s="57" t="s">
        <v>829</v>
      </c>
      <c r="C52" s="58" t="s">
        <v>830</v>
      </c>
      <c r="D52" s="58" t="s">
        <v>831</v>
      </c>
      <c r="E52" s="63" t="s">
        <v>832</v>
      </c>
      <c r="G52" s="2"/>
      <c r="H52" s="2"/>
    </row>
    <row r="53" spans="2:8" ht="22.5" customHeight="1" x14ac:dyDescent="0.2">
      <c r="B53" s="70" t="s">
        <v>59</v>
      </c>
      <c r="C53" s="82"/>
      <c r="D53" s="85" t="s">
        <v>907</v>
      </c>
      <c r="E53" s="87"/>
      <c r="G53" s="2"/>
      <c r="H53" s="2"/>
    </row>
    <row r="54" spans="2:8" ht="26.25" customHeight="1" x14ac:dyDescent="0.2">
      <c r="B54" s="66" t="s">
        <v>905</v>
      </c>
      <c r="C54" s="83"/>
      <c r="D54" s="86"/>
      <c r="E54" s="83"/>
      <c r="G54" s="2"/>
      <c r="H54" s="2"/>
    </row>
    <row r="55" spans="2:8" ht="39.950000000000003" customHeight="1" x14ac:dyDescent="0.2">
      <c r="B55" s="66" t="s">
        <v>908</v>
      </c>
      <c r="C55" s="83"/>
      <c r="D55" s="86"/>
      <c r="E55" s="83"/>
      <c r="G55" s="2"/>
      <c r="H55" s="2"/>
    </row>
    <row r="56" spans="2:8" ht="27.75" customHeight="1" thickBot="1" x14ac:dyDescent="0.25">
      <c r="B56" s="68" t="s">
        <v>866</v>
      </c>
      <c r="C56" s="84"/>
      <c r="D56" s="71" t="s">
        <v>866</v>
      </c>
      <c r="E56" s="88"/>
      <c r="G56" s="2"/>
      <c r="H56" s="2"/>
    </row>
    <row r="57" spans="2:8" ht="24.95" customHeight="1" x14ac:dyDescent="0.2">
      <c r="B57" s="59" t="s">
        <v>833</v>
      </c>
      <c r="C57" s="60"/>
      <c r="D57" s="61"/>
      <c r="E57" s="62"/>
      <c r="G57" s="2"/>
      <c r="H57" s="2"/>
    </row>
    <row r="59" spans="2:8" ht="12" x14ac:dyDescent="0.2">
      <c r="B59" s="2" t="s">
        <v>834</v>
      </c>
      <c r="C59" s="2"/>
      <c r="D59" s="2"/>
      <c r="G59" s="2"/>
      <c r="H59" s="2"/>
    </row>
    <row r="60" spans="2:8" ht="12" x14ac:dyDescent="0.2">
      <c r="B60" s="3" t="s">
        <v>835</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86297191-E8BA-43ED-B423-63698307B6F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CF76-1701-453E-8AE6-FD40F8250772}">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8.28515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188</v>
      </c>
      <c r="C7" s="25" t="s">
        <v>189</v>
      </c>
      <c r="D7" s="25" t="s">
        <v>124</v>
      </c>
      <c r="E7" s="26">
        <v>131436</v>
      </c>
      <c r="F7" s="27">
        <v>841.85</v>
      </c>
      <c r="G7" s="28">
        <v>8.0199999999999994E-2</v>
      </c>
      <c r="H7" s="29"/>
    </row>
    <row r="8" spans="2:9" ht="15.75" customHeight="1" x14ac:dyDescent="0.2">
      <c r="B8" s="25" t="s">
        <v>128</v>
      </c>
      <c r="C8" s="25" t="s">
        <v>129</v>
      </c>
      <c r="D8" s="25" t="s">
        <v>124</v>
      </c>
      <c r="E8" s="26">
        <v>47267</v>
      </c>
      <c r="F8" s="27">
        <v>691.3</v>
      </c>
      <c r="G8" s="28">
        <v>6.5799999999999997E-2</v>
      </c>
      <c r="H8" s="29"/>
    </row>
    <row r="9" spans="2:9" ht="15.75" customHeight="1" x14ac:dyDescent="0.2">
      <c r="B9" s="25" t="s">
        <v>122</v>
      </c>
      <c r="C9" s="25" t="s">
        <v>123</v>
      </c>
      <c r="D9" s="25" t="s">
        <v>124</v>
      </c>
      <c r="E9" s="26">
        <v>63740</v>
      </c>
      <c r="F9" s="27">
        <v>655.34</v>
      </c>
      <c r="G9" s="28">
        <v>6.2399999999999997E-2</v>
      </c>
      <c r="H9" s="29"/>
    </row>
    <row r="10" spans="2:9" ht="15.75" customHeight="1" x14ac:dyDescent="0.2">
      <c r="B10" s="25" t="s">
        <v>130</v>
      </c>
      <c r="C10" s="25" t="s">
        <v>131</v>
      </c>
      <c r="D10" s="25" t="s">
        <v>132</v>
      </c>
      <c r="E10" s="26">
        <v>22152</v>
      </c>
      <c r="F10" s="27">
        <v>632.04999999999995</v>
      </c>
      <c r="G10" s="28">
        <v>6.0199999999999997E-2</v>
      </c>
      <c r="H10" s="29"/>
    </row>
    <row r="11" spans="2:9" ht="15.75" customHeight="1" x14ac:dyDescent="0.2">
      <c r="B11" s="25" t="s">
        <v>125</v>
      </c>
      <c r="C11" s="25" t="s">
        <v>126</v>
      </c>
      <c r="D11" s="25" t="s">
        <v>127</v>
      </c>
      <c r="E11" s="26">
        <v>27844</v>
      </c>
      <c r="F11" s="27">
        <v>462.46</v>
      </c>
      <c r="G11" s="28">
        <v>4.3999999999999997E-2</v>
      </c>
      <c r="H11" s="29"/>
    </row>
    <row r="12" spans="2:9" ht="15.75" customHeight="1" x14ac:dyDescent="0.2">
      <c r="B12" s="25" t="s">
        <v>273</v>
      </c>
      <c r="C12" s="25" t="s">
        <v>274</v>
      </c>
      <c r="D12" s="25" t="s">
        <v>204</v>
      </c>
      <c r="E12" s="26">
        <v>24180</v>
      </c>
      <c r="F12" s="27">
        <v>342.98</v>
      </c>
      <c r="G12" s="28">
        <v>3.27E-2</v>
      </c>
      <c r="H12" s="29"/>
    </row>
    <row r="13" spans="2:9" ht="15.75" customHeight="1" x14ac:dyDescent="0.2">
      <c r="B13" s="25" t="s">
        <v>481</v>
      </c>
      <c r="C13" s="25" t="s">
        <v>482</v>
      </c>
      <c r="D13" s="25" t="s">
        <v>215</v>
      </c>
      <c r="E13" s="26">
        <v>87976</v>
      </c>
      <c r="F13" s="27">
        <v>280.33999999999997</v>
      </c>
      <c r="G13" s="28">
        <v>2.6700000000000002E-2</v>
      </c>
      <c r="H13" s="29"/>
    </row>
    <row r="14" spans="2:9" ht="15.75" customHeight="1" x14ac:dyDescent="0.2">
      <c r="B14" s="25" t="s">
        <v>183</v>
      </c>
      <c r="C14" s="25" t="s">
        <v>184</v>
      </c>
      <c r="D14" s="25" t="s">
        <v>141</v>
      </c>
      <c r="E14" s="26">
        <v>2528</v>
      </c>
      <c r="F14" s="27">
        <v>257.52</v>
      </c>
      <c r="G14" s="28">
        <v>2.4500000000000001E-2</v>
      </c>
      <c r="H14" s="29"/>
    </row>
    <row r="15" spans="2:9" ht="15.75" customHeight="1" x14ac:dyDescent="0.2">
      <c r="B15" s="25" t="s">
        <v>730</v>
      </c>
      <c r="C15" s="25" t="s">
        <v>731</v>
      </c>
      <c r="D15" s="25" t="s">
        <v>127</v>
      </c>
      <c r="E15" s="26">
        <v>2976</v>
      </c>
      <c r="F15" s="27">
        <v>248.59</v>
      </c>
      <c r="G15" s="28">
        <v>2.3699999999999999E-2</v>
      </c>
      <c r="H15" s="29"/>
    </row>
    <row r="16" spans="2:9" ht="15.75" customHeight="1" x14ac:dyDescent="0.2">
      <c r="B16" s="25" t="s">
        <v>370</v>
      </c>
      <c r="C16" s="25" t="s">
        <v>371</v>
      </c>
      <c r="D16" s="25" t="s">
        <v>303</v>
      </c>
      <c r="E16" s="26">
        <v>19587</v>
      </c>
      <c r="F16" s="27">
        <v>241.95</v>
      </c>
      <c r="G16" s="28">
        <v>2.3E-2</v>
      </c>
      <c r="H16" s="29"/>
    </row>
    <row r="17" spans="2:8" ht="15.75" customHeight="1" x14ac:dyDescent="0.2">
      <c r="B17" s="25" t="s">
        <v>166</v>
      </c>
      <c r="C17" s="25" t="s">
        <v>167</v>
      </c>
      <c r="D17" s="25" t="s">
        <v>124</v>
      </c>
      <c r="E17" s="26">
        <v>22266</v>
      </c>
      <c r="F17" s="27">
        <v>237.75</v>
      </c>
      <c r="G17" s="28">
        <v>2.2599999999999999E-2</v>
      </c>
      <c r="H17" s="29"/>
    </row>
    <row r="18" spans="2:8" ht="15.75" customHeight="1" x14ac:dyDescent="0.2">
      <c r="B18" s="25" t="s">
        <v>290</v>
      </c>
      <c r="C18" s="25" t="s">
        <v>291</v>
      </c>
      <c r="D18" s="25" t="s">
        <v>124</v>
      </c>
      <c r="E18" s="26">
        <v>164264</v>
      </c>
      <c r="F18" s="27">
        <v>228.24</v>
      </c>
      <c r="G18" s="28">
        <v>2.1700000000000001E-2</v>
      </c>
      <c r="H18" s="29"/>
    </row>
    <row r="19" spans="2:8" ht="15.75" customHeight="1" x14ac:dyDescent="0.2">
      <c r="B19" s="25" t="s">
        <v>348</v>
      </c>
      <c r="C19" s="25" t="s">
        <v>349</v>
      </c>
      <c r="D19" s="25" t="s">
        <v>204</v>
      </c>
      <c r="E19" s="26">
        <v>150511</v>
      </c>
      <c r="F19" s="27">
        <v>217.11</v>
      </c>
      <c r="G19" s="28">
        <v>2.07E-2</v>
      </c>
      <c r="H19" s="29"/>
    </row>
    <row r="20" spans="2:8" ht="15.75" customHeight="1" x14ac:dyDescent="0.2">
      <c r="B20" s="25" t="s">
        <v>250</v>
      </c>
      <c r="C20" s="25" t="s">
        <v>251</v>
      </c>
      <c r="D20" s="25" t="s">
        <v>252</v>
      </c>
      <c r="E20" s="26">
        <v>188293</v>
      </c>
      <c r="F20" s="27">
        <v>213.24</v>
      </c>
      <c r="G20" s="28">
        <v>2.0299999999999999E-2</v>
      </c>
      <c r="H20" s="29"/>
    </row>
    <row r="21" spans="2:8" ht="15.75" customHeight="1" x14ac:dyDescent="0.2">
      <c r="B21" s="25" t="s">
        <v>269</v>
      </c>
      <c r="C21" s="25" t="s">
        <v>270</v>
      </c>
      <c r="D21" s="25" t="s">
        <v>127</v>
      </c>
      <c r="E21" s="26">
        <v>13500</v>
      </c>
      <c r="F21" s="27">
        <v>212.76</v>
      </c>
      <c r="G21" s="28">
        <v>2.0299999999999999E-2</v>
      </c>
      <c r="H21" s="29"/>
    </row>
    <row r="22" spans="2:8" ht="15.75" customHeight="1" x14ac:dyDescent="0.2">
      <c r="B22" s="25" t="s">
        <v>691</v>
      </c>
      <c r="C22" s="25" t="s">
        <v>692</v>
      </c>
      <c r="D22" s="25" t="s">
        <v>693</v>
      </c>
      <c r="E22" s="26">
        <v>16471</v>
      </c>
      <c r="F22" s="27">
        <v>210.89</v>
      </c>
      <c r="G22" s="28">
        <v>2.01E-2</v>
      </c>
      <c r="H22" s="29"/>
    </row>
    <row r="23" spans="2:8" ht="15.75" customHeight="1" x14ac:dyDescent="0.2">
      <c r="B23" s="25" t="s">
        <v>294</v>
      </c>
      <c r="C23" s="25" t="s">
        <v>295</v>
      </c>
      <c r="D23" s="25" t="s">
        <v>170</v>
      </c>
      <c r="E23" s="26">
        <v>46098</v>
      </c>
      <c r="F23" s="27">
        <v>204.33</v>
      </c>
      <c r="G23" s="28">
        <v>1.95E-2</v>
      </c>
      <c r="H23" s="29"/>
    </row>
    <row r="24" spans="2:8" ht="15.75" customHeight="1" x14ac:dyDescent="0.2">
      <c r="B24" s="25" t="s">
        <v>331</v>
      </c>
      <c r="C24" s="25" t="s">
        <v>332</v>
      </c>
      <c r="D24" s="25" t="s">
        <v>313</v>
      </c>
      <c r="E24" s="26">
        <v>2000</v>
      </c>
      <c r="F24" s="27">
        <v>203.35</v>
      </c>
      <c r="G24" s="28">
        <v>1.9400000000000001E-2</v>
      </c>
      <c r="H24" s="29"/>
    </row>
    <row r="25" spans="2:8" ht="15.75" customHeight="1" x14ac:dyDescent="0.2">
      <c r="B25" s="25" t="s">
        <v>382</v>
      </c>
      <c r="C25" s="25" t="s">
        <v>383</v>
      </c>
      <c r="D25" s="25" t="s">
        <v>127</v>
      </c>
      <c r="E25" s="26">
        <v>3200</v>
      </c>
      <c r="F25" s="27">
        <v>200</v>
      </c>
      <c r="G25" s="28">
        <v>1.9E-2</v>
      </c>
      <c r="H25" s="29"/>
    </row>
    <row r="26" spans="2:8" ht="15.75" customHeight="1" x14ac:dyDescent="0.2">
      <c r="B26" s="25" t="s">
        <v>175</v>
      </c>
      <c r="C26" s="25" t="s">
        <v>176</v>
      </c>
      <c r="D26" s="25" t="s">
        <v>177</v>
      </c>
      <c r="E26" s="26">
        <v>34477</v>
      </c>
      <c r="F26" s="27">
        <v>199.74</v>
      </c>
      <c r="G26" s="28">
        <v>1.9E-2</v>
      </c>
      <c r="H26" s="29"/>
    </row>
    <row r="27" spans="2:8" ht="15.75" customHeight="1" x14ac:dyDescent="0.2">
      <c r="B27" s="25" t="s">
        <v>350</v>
      </c>
      <c r="C27" s="25" t="s">
        <v>351</v>
      </c>
      <c r="D27" s="25" t="s">
        <v>259</v>
      </c>
      <c r="E27" s="26">
        <v>16800</v>
      </c>
      <c r="F27" s="27">
        <v>196.68</v>
      </c>
      <c r="G27" s="28">
        <v>1.8700000000000001E-2</v>
      </c>
      <c r="H27" s="29"/>
    </row>
    <row r="28" spans="2:8" ht="15.75" customHeight="1" x14ac:dyDescent="0.2">
      <c r="B28" s="25" t="s">
        <v>446</v>
      </c>
      <c r="C28" s="25" t="s">
        <v>447</v>
      </c>
      <c r="D28" s="25" t="s">
        <v>162</v>
      </c>
      <c r="E28" s="26">
        <v>90217</v>
      </c>
      <c r="F28" s="27">
        <v>194.37</v>
      </c>
      <c r="G28" s="28">
        <v>1.8499999999999999E-2</v>
      </c>
      <c r="H28" s="29"/>
    </row>
    <row r="29" spans="2:8" ht="15.75" customHeight="1" x14ac:dyDescent="0.2">
      <c r="B29" s="25" t="s">
        <v>192</v>
      </c>
      <c r="C29" s="25" t="s">
        <v>193</v>
      </c>
      <c r="D29" s="25" t="s">
        <v>124</v>
      </c>
      <c r="E29" s="26">
        <v>10606</v>
      </c>
      <c r="F29" s="27">
        <v>193.59</v>
      </c>
      <c r="G29" s="28">
        <v>1.84E-2</v>
      </c>
      <c r="H29" s="29"/>
    </row>
    <row r="30" spans="2:8" ht="15.75" customHeight="1" x14ac:dyDescent="0.2">
      <c r="B30" s="25" t="s">
        <v>190</v>
      </c>
      <c r="C30" s="25" t="s">
        <v>191</v>
      </c>
      <c r="D30" s="25" t="s">
        <v>135</v>
      </c>
      <c r="E30" s="26">
        <v>43534</v>
      </c>
      <c r="F30" s="27">
        <v>192.22</v>
      </c>
      <c r="G30" s="28">
        <v>1.83E-2</v>
      </c>
      <c r="H30" s="29"/>
    </row>
    <row r="31" spans="2:8" ht="15.75" customHeight="1" x14ac:dyDescent="0.2">
      <c r="B31" s="25" t="s">
        <v>168</v>
      </c>
      <c r="C31" s="25" t="s">
        <v>169</v>
      </c>
      <c r="D31" s="25" t="s">
        <v>170</v>
      </c>
      <c r="E31" s="26">
        <v>2670</v>
      </c>
      <c r="F31" s="27">
        <v>183.24</v>
      </c>
      <c r="G31" s="28">
        <v>1.7500000000000002E-2</v>
      </c>
      <c r="H31" s="29"/>
    </row>
    <row r="32" spans="2:8" ht="15.75" customHeight="1" x14ac:dyDescent="0.2">
      <c r="B32" s="25" t="s">
        <v>732</v>
      </c>
      <c r="C32" s="25" t="s">
        <v>733</v>
      </c>
      <c r="D32" s="25" t="s">
        <v>212</v>
      </c>
      <c r="E32" s="26">
        <v>4044</v>
      </c>
      <c r="F32" s="27">
        <v>179.43</v>
      </c>
      <c r="G32" s="28">
        <v>1.7100000000000001E-2</v>
      </c>
      <c r="H32" s="29"/>
    </row>
    <row r="33" spans="2:8" ht="15.75" customHeight="1" x14ac:dyDescent="0.2">
      <c r="B33" s="25" t="s">
        <v>444</v>
      </c>
      <c r="C33" s="25" t="s">
        <v>445</v>
      </c>
      <c r="D33" s="25" t="s">
        <v>207</v>
      </c>
      <c r="E33" s="26">
        <v>65089</v>
      </c>
      <c r="F33" s="27">
        <v>158.78</v>
      </c>
      <c r="G33" s="28">
        <v>1.5100000000000001E-2</v>
      </c>
      <c r="H33" s="29"/>
    </row>
    <row r="34" spans="2:8" ht="15.75" customHeight="1" x14ac:dyDescent="0.2">
      <c r="B34" s="25" t="s">
        <v>452</v>
      </c>
      <c r="C34" s="25" t="s">
        <v>453</v>
      </c>
      <c r="D34" s="25" t="s">
        <v>323</v>
      </c>
      <c r="E34" s="26">
        <v>7831</v>
      </c>
      <c r="F34" s="27">
        <v>154.57</v>
      </c>
      <c r="G34" s="28">
        <v>1.47E-2</v>
      </c>
      <c r="H34" s="29"/>
    </row>
    <row r="35" spans="2:8" ht="15.75" customHeight="1" x14ac:dyDescent="0.2">
      <c r="B35" s="25" t="s">
        <v>326</v>
      </c>
      <c r="C35" s="25" t="s">
        <v>327</v>
      </c>
      <c r="D35" s="25" t="s">
        <v>328</v>
      </c>
      <c r="E35" s="26">
        <v>11500</v>
      </c>
      <c r="F35" s="27">
        <v>152.22999999999999</v>
      </c>
      <c r="G35" s="28">
        <v>1.4500000000000001E-2</v>
      </c>
      <c r="H35" s="29"/>
    </row>
    <row r="36" spans="2:8" ht="15.75" customHeight="1" x14ac:dyDescent="0.2">
      <c r="B36" s="25" t="s">
        <v>605</v>
      </c>
      <c r="C36" s="25" t="s">
        <v>606</v>
      </c>
      <c r="D36" s="25" t="s">
        <v>607</v>
      </c>
      <c r="E36" s="26">
        <v>9712</v>
      </c>
      <c r="F36" s="27">
        <v>141.31</v>
      </c>
      <c r="G36" s="28">
        <v>1.35E-2</v>
      </c>
      <c r="H36" s="29"/>
    </row>
    <row r="37" spans="2:8" ht="15.75" customHeight="1" x14ac:dyDescent="0.2">
      <c r="B37" s="25" t="s">
        <v>462</v>
      </c>
      <c r="C37" s="25" t="s">
        <v>463</v>
      </c>
      <c r="D37" s="25" t="s">
        <v>196</v>
      </c>
      <c r="E37" s="26">
        <v>4125</v>
      </c>
      <c r="F37" s="27">
        <v>139.12</v>
      </c>
      <c r="G37" s="28">
        <v>1.3299999999999999E-2</v>
      </c>
      <c r="H37" s="29"/>
    </row>
    <row r="38" spans="2:8" ht="15.75" customHeight="1" x14ac:dyDescent="0.2">
      <c r="B38" s="25" t="s">
        <v>253</v>
      </c>
      <c r="C38" s="25" t="s">
        <v>254</v>
      </c>
      <c r="D38" s="25" t="s">
        <v>170</v>
      </c>
      <c r="E38" s="26">
        <v>13508</v>
      </c>
      <c r="F38" s="27">
        <v>123.75</v>
      </c>
      <c r="G38" s="28">
        <v>1.18E-2</v>
      </c>
      <c r="H38" s="29"/>
    </row>
    <row r="39" spans="2:8" ht="15.75" customHeight="1" x14ac:dyDescent="0.2">
      <c r="B39" s="25" t="s">
        <v>224</v>
      </c>
      <c r="C39" s="25" t="s">
        <v>225</v>
      </c>
      <c r="D39" s="25" t="s">
        <v>226</v>
      </c>
      <c r="E39" s="26">
        <v>10286</v>
      </c>
      <c r="F39" s="27">
        <v>119.75</v>
      </c>
      <c r="G39" s="28">
        <v>1.14E-2</v>
      </c>
      <c r="H39" s="29"/>
    </row>
    <row r="40" spans="2:8" ht="15.75" customHeight="1" x14ac:dyDescent="0.2">
      <c r="B40" s="25" t="s">
        <v>493</v>
      </c>
      <c r="C40" s="25" t="s">
        <v>494</v>
      </c>
      <c r="D40" s="25" t="s">
        <v>495</v>
      </c>
      <c r="E40" s="26">
        <v>4825</v>
      </c>
      <c r="F40" s="27">
        <v>118.69</v>
      </c>
      <c r="G40" s="28">
        <v>1.1299999999999999E-2</v>
      </c>
      <c r="H40" s="29"/>
    </row>
    <row r="41" spans="2:8" ht="15.75" customHeight="1" x14ac:dyDescent="0.2">
      <c r="B41" s="25" t="s">
        <v>362</v>
      </c>
      <c r="C41" s="25" t="s">
        <v>363</v>
      </c>
      <c r="D41" s="25" t="s">
        <v>361</v>
      </c>
      <c r="E41" s="26">
        <v>17053</v>
      </c>
      <c r="F41" s="27">
        <v>116.28</v>
      </c>
      <c r="G41" s="28">
        <v>1.11E-2</v>
      </c>
      <c r="H41" s="29"/>
    </row>
    <row r="42" spans="2:8" ht="15.75" customHeight="1" x14ac:dyDescent="0.2">
      <c r="B42" s="25" t="s">
        <v>299</v>
      </c>
      <c r="C42" s="25" t="s">
        <v>300</v>
      </c>
      <c r="D42" s="25" t="s">
        <v>212</v>
      </c>
      <c r="E42" s="26">
        <v>36900</v>
      </c>
      <c r="F42" s="27">
        <v>111.79</v>
      </c>
      <c r="G42" s="28">
        <v>1.06E-2</v>
      </c>
      <c r="H42" s="29"/>
    </row>
    <row r="43" spans="2:8" ht="15.75" customHeight="1" x14ac:dyDescent="0.2">
      <c r="B43" s="25" t="s">
        <v>139</v>
      </c>
      <c r="C43" s="25" t="s">
        <v>140</v>
      </c>
      <c r="D43" s="25" t="s">
        <v>141</v>
      </c>
      <c r="E43" s="26">
        <v>6671</v>
      </c>
      <c r="F43" s="27">
        <v>110.17</v>
      </c>
      <c r="G43" s="28">
        <v>1.0500000000000001E-2</v>
      </c>
      <c r="H43" s="29"/>
    </row>
    <row r="44" spans="2:8" ht="15.75" customHeight="1" x14ac:dyDescent="0.2">
      <c r="B44" s="25" t="s">
        <v>734</v>
      </c>
      <c r="C44" s="25" t="s">
        <v>735</v>
      </c>
      <c r="D44" s="25" t="s">
        <v>308</v>
      </c>
      <c r="E44" s="26">
        <v>17883</v>
      </c>
      <c r="F44" s="27">
        <v>103.95</v>
      </c>
      <c r="G44" s="28">
        <v>9.9000000000000008E-3</v>
      </c>
      <c r="H44" s="29"/>
    </row>
    <row r="45" spans="2:8" ht="15.75" customHeight="1" x14ac:dyDescent="0.2">
      <c r="B45" s="25" t="s">
        <v>676</v>
      </c>
      <c r="C45" s="25" t="s">
        <v>677</v>
      </c>
      <c r="D45" s="25" t="s">
        <v>437</v>
      </c>
      <c r="E45" s="26">
        <v>16188</v>
      </c>
      <c r="F45" s="27">
        <v>100.44</v>
      </c>
      <c r="G45" s="28">
        <v>9.5999999999999992E-3</v>
      </c>
      <c r="H45" s="29"/>
    </row>
    <row r="46" spans="2:8" ht="15.75" customHeight="1" x14ac:dyDescent="0.2">
      <c r="B46" s="25" t="s">
        <v>502</v>
      </c>
      <c r="C46" s="25" t="s">
        <v>503</v>
      </c>
      <c r="D46" s="25" t="s">
        <v>277</v>
      </c>
      <c r="E46" s="26">
        <v>20557</v>
      </c>
      <c r="F46" s="27">
        <v>38.049999999999997</v>
      </c>
      <c r="G46" s="28">
        <v>3.5999999999999999E-3</v>
      </c>
      <c r="H46" s="29"/>
    </row>
    <row r="47" spans="2:8" ht="15.75" customHeight="1" x14ac:dyDescent="0.2">
      <c r="B47" s="25" t="s">
        <v>620</v>
      </c>
      <c r="C47" s="25" t="s">
        <v>621</v>
      </c>
      <c r="D47" s="25" t="s">
        <v>215</v>
      </c>
      <c r="E47" s="26">
        <v>2594</v>
      </c>
      <c r="F47" s="27">
        <v>13.63</v>
      </c>
      <c r="G47" s="28">
        <v>1.2999999999999999E-3</v>
      </c>
      <c r="H47" s="29"/>
    </row>
    <row r="48" spans="2:8" ht="15.75" customHeight="1" x14ac:dyDescent="0.2">
      <c r="B48" s="24" t="s">
        <v>94</v>
      </c>
      <c r="C48" s="24"/>
      <c r="D48" s="24"/>
      <c r="E48" s="30"/>
      <c r="F48" s="31">
        <v>9623.83</v>
      </c>
      <c r="G48" s="32">
        <v>0.91659999999999997</v>
      </c>
      <c r="H48" s="33"/>
    </row>
    <row r="49" spans="2:8" ht="15.75" customHeight="1" x14ac:dyDescent="0.2">
      <c r="B49" s="24" t="s">
        <v>144</v>
      </c>
      <c r="C49" s="25"/>
      <c r="D49" s="25"/>
      <c r="E49" s="26"/>
      <c r="F49" s="27"/>
      <c r="G49" s="28"/>
      <c r="H49" s="29"/>
    </row>
    <row r="50" spans="2:8" ht="15.75" customHeight="1" x14ac:dyDescent="0.2">
      <c r="B50" s="24" t="s">
        <v>94</v>
      </c>
      <c r="C50" s="25"/>
      <c r="D50" s="25"/>
      <c r="E50" s="26"/>
      <c r="F50" s="34" t="s">
        <v>96</v>
      </c>
      <c r="G50" s="35" t="s">
        <v>96</v>
      </c>
      <c r="H50" s="29"/>
    </row>
    <row r="51" spans="2:8" ht="15.75" customHeight="1" x14ac:dyDescent="0.2">
      <c r="B51" s="25"/>
      <c r="C51" s="25"/>
      <c r="D51" s="25"/>
      <c r="E51" s="26"/>
      <c r="F51" s="27"/>
      <c r="G51" s="28"/>
      <c r="H51" s="29"/>
    </row>
    <row r="52" spans="2:8" ht="15.75" customHeight="1" x14ac:dyDescent="0.2">
      <c r="B52" s="36" t="s">
        <v>98</v>
      </c>
      <c r="C52" s="36"/>
      <c r="D52" s="36"/>
      <c r="E52" s="37"/>
      <c r="F52" s="31">
        <v>9623.83</v>
      </c>
      <c r="G52" s="32">
        <v>0.91659999999999997</v>
      </c>
      <c r="H52" s="33"/>
    </row>
    <row r="53" spans="2:8" ht="15.75" customHeight="1" x14ac:dyDescent="0.2">
      <c r="B53" s="25"/>
      <c r="C53" s="25"/>
      <c r="D53" s="25"/>
      <c r="E53" s="26"/>
      <c r="F53" s="27"/>
      <c r="G53" s="28"/>
      <c r="H53" s="29"/>
    </row>
    <row r="54" spans="2:8" ht="15.75" customHeight="1" x14ac:dyDescent="0.2">
      <c r="B54" s="25"/>
      <c r="C54" s="25"/>
      <c r="D54" s="25"/>
      <c r="E54" s="26"/>
      <c r="F54" s="27"/>
      <c r="G54" s="28"/>
      <c r="H54" s="29"/>
    </row>
    <row r="55" spans="2:8" ht="15.75" customHeight="1" x14ac:dyDescent="0.2">
      <c r="B55" s="24" t="s">
        <v>101</v>
      </c>
      <c r="C55" s="25"/>
      <c r="D55" s="25"/>
      <c r="E55" s="26"/>
      <c r="F55" s="27"/>
      <c r="G55" s="28"/>
      <c r="H55" s="29"/>
    </row>
    <row r="56" spans="2:8" ht="15.75" customHeight="1" x14ac:dyDescent="0.2">
      <c r="B56" s="25" t="s">
        <v>102</v>
      </c>
      <c r="C56" s="25"/>
      <c r="D56" s="25"/>
      <c r="E56" s="26"/>
      <c r="F56" s="27">
        <v>271.72000000000003</v>
      </c>
      <c r="G56" s="28">
        <v>2.5899999999999999E-2</v>
      </c>
      <c r="H56" s="29"/>
    </row>
    <row r="57" spans="2:8" ht="15.75" customHeight="1" x14ac:dyDescent="0.2">
      <c r="B57" s="24" t="s">
        <v>94</v>
      </c>
      <c r="C57" s="24"/>
      <c r="D57" s="24"/>
      <c r="E57" s="30"/>
      <c r="F57" s="31">
        <v>271.72000000000003</v>
      </c>
      <c r="G57" s="32">
        <v>2.5899999999999999E-2</v>
      </c>
      <c r="H57" s="33"/>
    </row>
    <row r="58" spans="2:8" ht="15.75" customHeight="1" x14ac:dyDescent="0.2">
      <c r="B58" s="25"/>
      <c r="C58" s="25"/>
      <c r="D58" s="25"/>
      <c r="E58" s="26"/>
      <c r="F58" s="27"/>
      <c r="G58" s="28"/>
      <c r="H58" s="29"/>
    </row>
    <row r="59" spans="2:8" ht="15.75" customHeight="1" x14ac:dyDescent="0.2">
      <c r="B59" s="36" t="s">
        <v>98</v>
      </c>
      <c r="C59" s="36"/>
      <c r="D59" s="36"/>
      <c r="E59" s="37"/>
      <c r="F59" s="31">
        <v>271.72000000000003</v>
      </c>
      <c r="G59" s="32">
        <v>2.5899999999999999E-2</v>
      </c>
      <c r="H59" s="33"/>
    </row>
    <row r="60" spans="2:8" ht="15.75" customHeight="1" x14ac:dyDescent="0.2">
      <c r="B60" s="25" t="s">
        <v>103</v>
      </c>
      <c r="C60" s="25"/>
      <c r="D60" s="25"/>
      <c r="E60" s="26"/>
      <c r="F60" s="27">
        <v>604.11</v>
      </c>
      <c r="G60" s="28">
        <v>5.7499999999999996E-2</v>
      </c>
      <c r="H60" s="29"/>
    </row>
    <row r="61" spans="2:8" ht="15.75" customHeight="1" x14ac:dyDescent="0.2">
      <c r="B61" s="40" t="s">
        <v>104</v>
      </c>
      <c r="C61" s="40"/>
      <c r="D61" s="40"/>
      <c r="E61" s="41"/>
      <c r="F61" s="42">
        <v>10499.66</v>
      </c>
      <c r="G61" s="43">
        <v>1</v>
      </c>
      <c r="H61" s="44"/>
    </row>
    <row r="62" spans="2:8" ht="15.75" customHeight="1" thickBot="1" x14ac:dyDescent="0.25">
      <c r="B62" s="2"/>
    </row>
    <row r="63" spans="2:8" ht="27" customHeight="1" thickBot="1" x14ac:dyDescent="0.25">
      <c r="B63" s="57" t="s">
        <v>829</v>
      </c>
      <c r="C63" s="58" t="s">
        <v>830</v>
      </c>
      <c r="D63" s="58" t="s">
        <v>831</v>
      </c>
      <c r="E63" s="63" t="s">
        <v>832</v>
      </c>
      <c r="G63" s="2"/>
      <c r="H63" s="2"/>
    </row>
    <row r="64" spans="2:8" ht="29.25" customHeight="1" x14ac:dyDescent="0.2">
      <c r="B64" s="64" t="s">
        <v>61</v>
      </c>
      <c r="C64" s="82"/>
      <c r="D64" s="85" t="s">
        <v>893</v>
      </c>
      <c r="E64" s="87"/>
      <c r="G64" s="2"/>
      <c r="H64" s="2"/>
    </row>
    <row r="65" spans="2:16" ht="39.950000000000003" customHeight="1" x14ac:dyDescent="0.2">
      <c r="B65" s="66" t="s">
        <v>909</v>
      </c>
      <c r="C65" s="83"/>
      <c r="D65" s="86"/>
      <c r="E65" s="83"/>
      <c r="G65" s="2"/>
      <c r="H65" s="2"/>
    </row>
    <row r="66" spans="2:16" ht="39.950000000000003" customHeight="1" x14ac:dyDescent="0.2">
      <c r="B66" s="66" t="s">
        <v>910</v>
      </c>
      <c r="C66" s="83"/>
      <c r="D66" s="86"/>
      <c r="E66" s="83"/>
      <c r="G66" s="2"/>
      <c r="H66" s="2"/>
    </row>
    <row r="67" spans="2:16" ht="23.25" customHeight="1" thickBot="1" x14ac:dyDescent="0.25">
      <c r="B67" s="68" t="s">
        <v>866</v>
      </c>
      <c r="C67" s="84"/>
      <c r="D67" s="71" t="s">
        <v>866</v>
      </c>
      <c r="E67" s="88"/>
      <c r="G67" s="2"/>
      <c r="H67" s="2"/>
    </row>
    <row r="68" spans="2:16" ht="24.95" customHeight="1" x14ac:dyDescent="0.2">
      <c r="B68" s="59" t="s">
        <v>833</v>
      </c>
      <c r="C68" s="60"/>
      <c r="D68" s="61"/>
      <c r="E68" s="62"/>
      <c r="G68" s="2"/>
      <c r="H68" s="2"/>
    </row>
    <row r="70" spans="2:16" ht="12" x14ac:dyDescent="0.2">
      <c r="B70" s="2" t="s">
        <v>834</v>
      </c>
      <c r="C70" s="2"/>
      <c r="D70" s="2"/>
      <c r="G70" s="2"/>
      <c r="H70" s="2"/>
    </row>
    <row r="71" spans="2:16" ht="12" x14ac:dyDescent="0.2">
      <c r="B71" s="3" t="s">
        <v>835</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4:C67"/>
    <mergeCell ref="D64:D66"/>
    <mergeCell ref="E64:E67"/>
  </mergeCells>
  <hyperlinks>
    <hyperlink ref="I1" location="'Sheet1'!A1" display="Index" xr:uid="{B4273207-EAE6-4717-A264-D78D2C4B936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154C-C0E6-4F50-9189-1C1BD2579AD4}">
  <dimension ref="B1:P105"/>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9.140625" style="9" customWidth="1"/>
    <col min="4" max="4" width="26.5703125" style="9" customWidth="1"/>
    <col min="5" max="5" width="29.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852407</v>
      </c>
      <c r="F7" s="27">
        <v>12466.88</v>
      </c>
      <c r="G7" s="28">
        <v>4.8899999999999999E-2</v>
      </c>
      <c r="H7" s="29"/>
    </row>
    <row r="8" spans="2:9" ht="15.75" customHeight="1" x14ac:dyDescent="0.2">
      <c r="B8" s="25" t="s">
        <v>122</v>
      </c>
      <c r="C8" s="25" t="s">
        <v>123</v>
      </c>
      <c r="D8" s="25" t="s">
        <v>124</v>
      </c>
      <c r="E8" s="26">
        <v>1170485</v>
      </c>
      <c r="F8" s="27">
        <v>12034.34</v>
      </c>
      <c r="G8" s="28">
        <v>4.7199999999999999E-2</v>
      </c>
      <c r="H8" s="29"/>
    </row>
    <row r="9" spans="2:9" ht="15.75" customHeight="1" x14ac:dyDescent="0.2">
      <c r="B9" s="25" t="s">
        <v>544</v>
      </c>
      <c r="C9" s="25" t="s">
        <v>545</v>
      </c>
      <c r="D9" s="25" t="s">
        <v>170</v>
      </c>
      <c r="E9" s="26">
        <v>1844531</v>
      </c>
      <c r="F9" s="27">
        <v>9205.1299999999992</v>
      </c>
      <c r="G9" s="28">
        <v>3.61E-2</v>
      </c>
      <c r="H9" s="29"/>
    </row>
    <row r="10" spans="2:9" ht="15.75" customHeight="1" x14ac:dyDescent="0.2">
      <c r="B10" s="25" t="s">
        <v>294</v>
      </c>
      <c r="C10" s="25" t="s">
        <v>295</v>
      </c>
      <c r="D10" s="25" t="s">
        <v>170</v>
      </c>
      <c r="E10" s="26">
        <v>1681977</v>
      </c>
      <c r="F10" s="27">
        <v>7455.36</v>
      </c>
      <c r="G10" s="28">
        <v>2.92E-2</v>
      </c>
      <c r="H10" s="29"/>
    </row>
    <row r="11" spans="2:9" ht="15.75" customHeight="1" x14ac:dyDescent="0.2">
      <c r="B11" s="25" t="s">
        <v>130</v>
      </c>
      <c r="C11" s="25" t="s">
        <v>131</v>
      </c>
      <c r="D11" s="25" t="s">
        <v>132</v>
      </c>
      <c r="E11" s="26">
        <v>215328</v>
      </c>
      <c r="F11" s="27">
        <v>6143.85</v>
      </c>
      <c r="G11" s="28">
        <v>2.41E-2</v>
      </c>
      <c r="H11" s="29"/>
    </row>
    <row r="12" spans="2:9" ht="15.75" customHeight="1" x14ac:dyDescent="0.2">
      <c r="B12" s="25" t="s">
        <v>205</v>
      </c>
      <c r="C12" s="25" t="s">
        <v>206</v>
      </c>
      <c r="D12" s="25" t="s">
        <v>207</v>
      </c>
      <c r="E12" s="26">
        <v>172246</v>
      </c>
      <c r="F12" s="27">
        <v>5317.15</v>
      </c>
      <c r="G12" s="28">
        <v>2.0799999999999999E-2</v>
      </c>
      <c r="H12" s="29"/>
    </row>
    <row r="13" spans="2:9" ht="15.75" customHeight="1" x14ac:dyDescent="0.2">
      <c r="B13" s="25" t="s">
        <v>125</v>
      </c>
      <c r="C13" s="25" t="s">
        <v>126</v>
      </c>
      <c r="D13" s="25" t="s">
        <v>127</v>
      </c>
      <c r="E13" s="26">
        <v>313180</v>
      </c>
      <c r="F13" s="27">
        <v>5201.6099999999997</v>
      </c>
      <c r="G13" s="28">
        <v>2.0400000000000001E-2</v>
      </c>
      <c r="H13" s="29"/>
    </row>
    <row r="14" spans="2:9" ht="15.75" customHeight="1" x14ac:dyDescent="0.2">
      <c r="B14" s="25" t="s">
        <v>288</v>
      </c>
      <c r="C14" s="25" t="s">
        <v>289</v>
      </c>
      <c r="D14" s="25" t="s">
        <v>170</v>
      </c>
      <c r="E14" s="26">
        <v>207557</v>
      </c>
      <c r="F14" s="27">
        <v>5120.0200000000004</v>
      </c>
      <c r="G14" s="28">
        <v>2.01E-2</v>
      </c>
      <c r="H14" s="29"/>
    </row>
    <row r="15" spans="2:9" ht="15.75" customHeight="1" x14ac:dyDescent="0.2">
      <c r="B15" s="25" t="s">
        <v>555</v>
      </c>
      <c r="C15" s="25" t="s">
        <v>556</v>
      </c>
      <c r="D15" s="25" t="s">
        <v>298</v>
      </c>
      <c r="E15" s="26">
        <v>12207</v>
      </c>
      <c r="F15" s="27">
        <v>4722.58</v>
      </c>
      <c r="G15" s="28">
        <v>1.8499999999999999E-2</v>
      </c>
      <c r="H15" s="29"/>
    </row>
    <row r="16" spans="2:9" ht="15.75" customHeight="1" x14ac:dyDescent="0.2">
      <c r="B16" s="25" t="s">
        <v>520</v>
      </c>
      <c r="C16" s="25" t="s">
        <v>521</v>
      </c>
      <c r="D16" s="25" t="s">
        <v>358</v>
      </c>
      <c r="E16" s="26">
        <v>938700</v>
      </c>
      <c r="F16" s="27">
        <v>4624.51</v>
      </c>
      <c r="G16" s="28">
        <v>1.8100000000000002E-2</v>
      </c>
      <c r="H16" s="29"/>
    </row>
    <row r="17" spans="2:8" ht="15.75" customHeight="1" x14ac:dyDescent="0.2">
      <c r="B17" s="25" t="s">
        <v>192</v>
      </c>
      <c r="C17" s="25" t="s">
        <v>193</v>
      </c>
      <c r="D17" s="25" t="s">
        <v>124</v>
      </c>
      <c r="E17" s="26">
        <v>249108</v>
      </c>
      <c r="F17" s="27">
        <v>4546.84</v>
      </c>
      <c r="G17" s="28">
        <v>1.78E-2</v>
      </c>
      <c r="H17" s="29"/>
    </row>
    <row r="18" spans="2:8" ht="15.75" customHeight="1" x14ac:dyDescent="0.2">
      <c r="B18" s="25" t="s">
        <v>171</v>
      </c>
      <c r="C18" s="25" t="s">
        <v>172</v>
      </c>
      <c r="D18" s="25" t="s">
        <v>127</v>
      </c>
      <c r="E18" s="26">
        <v>116363</v>
      </c>
      <c r="F18" s="27">
        <v>4440.3500000000004</v>
      </c>
      <c r="G18" s="28">
        <v>1.7399999999999999E-2</v>
      </c>
      <c r="H18" s="29"/>
    </row>
    <row r="19" spans="2:8" ht="15.75" customHeight="1" x14ac:dyDescent="0.2">
      <c r="B19" s="25" t="s">
        <v>301</v>
      </c>
      <c r="C19" s="25" t="s">
        <v>302</v>
      </c>
      <c r="D19" s="25" t="s">
        <v>303</v>
      </c>
      <c r="E19" s="26">
        <v>279625</v>
      </c>
      <c r="F19" s="27">
        <v>4203.74</v>
      </c>
      <c r="G19" s="28">
        <v>1.6500000000000001E-2</v>
      </c>
      <c r="H19" s="29"/>
    </row>
    <row r="20" spans="2:8" ht="15.75" customHeight="1" x14ac:dyDescent="0.2">
      <c r="B20" s="25" t="s">
        <v>444</v>
      </c>
      <c r="C20" s="25" t="s">
        <v>445</v>
      </c>
      <c r="D20" s="25" t="s">
        <v>207</v>
      </c>
      <c r="E20" s="26">
        <v>1683605</v>
      </c>
      <c r="F20" s="27">
        <v>4107.1499999999996</v>
      </c>
      <c r="G20" s="28">
        <v>1.61E-2</v>
      </c>
      <c r="H20" s="29"/>
    </row>
    <row r="21" spans="2:8" ht="15.75" customHeight="1" x14ac:dyDescent="0.2">
      <c r="B21" s="25" t="s">
        <v>370</v>
      </c>
      <c r="C21" s="25" t="s">
        <v>371</v>
      </c>
      <c r="D21" s="25" t="s">
        <v>303</v>
      </c>
      <c r="E21" s="26">
        <v>327439</v>
      </c>
      <c r="F21" s="27">
        <v>4044.69</v>
      </c>
      <c r="G21" s="28">
        <v>1.5900000000000001E-2</v>
      </c>
      <c r="H21" s="29"/>
    </row>
    <row r="22" spans="2:8" ht="15.75" customHeight="1" x14ac:dyDescent="0.2">
      <c r="B22" s="25" t="s">
        <v>506</v>
      </c>
      <c r="C22" s="25" t="s">
        <v>507</v>
      </c>
      <c r="D22" s="25" t="s">
        <v>204</v>
      </c>
      <c r="E22" s="26">
        <v>15353</v>
      </c>
      <c r="F22" s="27">
        <v>3977.49</v>
      </c>
      <c r="G22" s="28">
        <v>1.5599999999999999E-2</v>
      </c>
      <c r="H22" s="29"/>
    </row>
    <row r="23" spans="2:8" ht="15.75" customHeight="1" x14ac:dyDescent="0.2">
      <c r="B23" s="25" t="s">
        <v>366</v>
      </c>
      <c r="C23" s="25" t="s">
        <v>367</v>
      </c>
      <c r="D23" s="25" t="s">
        <v>361</v>
      </c>
      <c r="E23" s="26">
        <v>1295146</v>
      </c>
      <c r="F23" s="27">
        <v>3916.52</v>
      </c>
      <c r="G23" s="28">
        <v>1.54E-2</v>
      </c>
      <c r="H23" s="29"/>
    </row>
    <row r="24" spans="2:8" ht="15.75" customHeight="1" x14ac:dyDescent="0.2">
      <c r="B24" s="25" t="s">
        <v>526</v>
      </c>
      <c r="C24" s="25" t="s">
        <v>527</v>
      </c>
      <c r="D24" s="25" t="s">
        <v>252</v>
      </c>
      <c r="E24" s="26">
        <v>123691</v>
      </c>
      <c r="F24" s="27">
        <v>3873.01</v>
      </c>
      <c r="G24" s="28">
        <v>1.52E-2</v>
      </c>
      <c r="H24" s="29"/>
    </row>
    <row r="25" spans="2:8" ht="15.75" customHeight="1" x14ac:dyDescent="0.2">
      <c r="B25" s="25" t="s">
        <v>450</v>
      </c>
      <c r="C25" s="25" t="s">
        <v>451</v>
      </c>
      <c r="D25" s="25" t="s">
        <v>196</v>
      </c>
      <c r="E25" s="26">
        <v>361059</v>
      </c>
      <c r="F25" s="27">
        <v>3790.76</v>
      </c>
      <c r="G25" s="28">
        <v>1.49E-2</v>
      </c>
      <c r="H25" s="29"/>
    </row>
    <row r="26" spans="2:8" ht="15.75" customHeight="1" x14ac:dyDescent="0.2">
      <c r="B26" s="25" t="s">
        <v>736</v>
      </c>
      <c r="C26" s="25" t="s">
        <v>737</v>
      </c>
      <c r="D26" s="25" t="s">
        <v>212</v>
      </c>
      <c r="E26" s="26">
        <v>1090949</v>
      </c>
      <c r="F26" s="27">
        <v>3728.32</v>
      </c>
      <c r="G26" s="28">
        <v>1.46E-2</v>
      </c>
      <c r="H26" s="29"/>
    </row>
    <row r="27" spans="2:8" ht="15.75" customHeight="1" x14ac:dyDescent="0.2">
      <c r="B27" s="25" t="s">
        <v>142</v>
      </c>
      <c r="C27" s="25" t="s">
        <v>143</v>
      </c>
      <c r="D27" s="25" t="s">
        <v>127</v>
      </c>
      <c r="E27" s="26">
        <v>67463</v>
      </c>
      <c r="F27" s="27">
        <v>3675.76</v>
      </c>
      <c r="G27" s="28">
        <v>1.44E-2</v>
      </c>
      <c r="H27" s="29"/>
    </row>
    <row r="28" spans="2:8" ht="15.75" customHeight="1" x14ac:dyDescent="0.2">
      <c r="B28" s="25" t="s">
        <v>133</v>
      </c>
      <c r="C28" s="25" t="s">
        <v>134</v>
      </c>
      <c r="D28" s="25" t="s">
        <v>135</v>
      </c>
      <c r="E28" s="26">
        <v>145859</v>
      </c>
      <c r="F28" s="27">
        <v>3619.56</v>
      </c>
      <c r="G28" s="28">
        <v>1.4200000000000001E-2</v>
      </c>
      <c r="H28" s="29"/>
    </row>
    <row r="29" spans="2:8" ht="15.75" customHeight="1" x14ac:dyDescent="0.2">
      <c r="B29" s="25" t="s">
        <v>216</v>
      </c>
      <c r="C29" s="25" t="s">
        <v>217</v>
      </c>
      <c r="D29" s="25" t="s">
        <v>212</v>
      </c>
      <c r="E29" s="26">
        <v>96571</v>
      </c>
      <c r="F29" s="27">
        <v>3570.76</v>
      </c>
      <c r="G29" s="28">
        <v>1.4E-2</v>
      </c>
      <c r="H29" s="29"/>
    </row>
    <row r="30" spans="2:8" ht="15.75" customHeight="1" x14ac:dyDescent="0.2">
      <c r="B30" s="25" t="s">
        <v>464</v>
      </c>
      <c r="C30" s="25" t="s">
        <v>465</v>
      </c>
      <c r="D30" s="25" t="s">
        <v>252</v>
      </c>
      <c r="E30" s="26">
        <v>5422679</v>
      </c>
      <c r="F30" s="27">
        <v>3527.45</v>
      </c>
      <c r="G30" s="28">
        <v>1.38E-2</v>
      </c>
      <c r="H30" s="29"/>
    </row>
    <row r="31" spans="2:8" ht="15.75" customHeight="1" x14ac:dyDescent="0.2">
      <c r="B31" s="25" t="s">
        <v>185</v>
      </c>
      <c r="C31" s="25" t="s">
        <v>186</v>
      </c>
      <c r="D31" s="25" t="s">
        <v>187</v>
      </c>
      <c r="E31" s="26">
        <v>1848137</v>
      </c>
      <c r="F31" s="27">
        <v>3435.69</v>
      </c>
      <c r="G31" s="28">
        <v>1.35E-2</v>
      </c>
      <c r="H31" s="29"/>
    </row>
    <row r="32" spans="2:8" ht="15.75" customHeight="1" x14ac:dyDescent="0.2">
      <c r="B32" s="25" t="s">
        <v>190</v>
      </c>
      <c r="C32" s="25" t="s">
        <v>191</v>
      </c>
      <c r="D32" s="25" t="s">
        <v>135</v>
      </c>
      <c r="E32" s="26">
        <v>771204</v>
      </c>
      <c r="F32" s="27">
        <v>3405.25</v>
      </c>
      <c r="G32" s="28">
        <v>1.3299999999999999E-2</v>
      </c>
      <c r="H32" s="29"/>
    </row>
    <row r="33" spans="2:8" ht="15.75" customHeight="1" x14ac:dyDescent="0.2">
      <c r="B33" s="25" t="s">
        <v>483</v>
      </c>
      <c r="C33" s="25" t="s">
        <v>484</v>
      </c>
      <c r="D33" s="25" t="s">
        <v>361</v>
      </c>
      <c r="E33" s="26">
        <v>64475</v>
      </c>
      <c r="F33" s="27">
        <v>3395.19</v>
      </c>
      <c r="G33" s="28">
        <v>1.3299999999999999E-2</v>
      </c>
      <c r="H33" s="29"/>
    </row>
    <row r="34" spans="2:8" ht="15.75" customHeight="1" x14ac:dyDescent="0.2">
      <c r="B34" s="25" t="s">
        <v>188</v>
      </c>
      <c r="C34" s="25" t="s">
        <v>189</v>
      </c>
      <c r="D34" s="25" t="s">
        <v>124</v>
      </c>
      <c r="E34" s="26">
        <v>520744</v>
      </c>
      <c r="F34" s="27">
        <v>3335.37</v>
      </c>
      <c r="G34" s="28">
        <v>1.3100000000000001E-2</v>
      </c>
      <c r="H34" s="29"/>
    </row>
    <row r="35" spans="2:8" ht="15.75" customHeight="1" x14ac:dyDescent="0.2">
      <c r="B35" s="25" t="s">
        <v>458</v>
      </c>
      <c r="C35" s="25" t="s">
        <v>459</v>
      </c>
      <c r="D35" s="25" t="s">
        <v>298</v>
      </c>
      <c r="E35" s="26">
        <v>131491</v>
      </c>
      <c r="F35" s="27">
        <v>3298.78</v>
      </c>
      <c r="G35" s="28">
        <v>1.29E-2</v>
      </c>
      <c r="H35" s="29"/>
    </row>
    <row r="36" spans="2:8" ht="15.75" customHeight="1" x14ac:dyDescent="0.2">
      <c r="B36" s="25" t="s">
        <v>290</v>
      </c>
      <c r="C36" s="25" t="s">
        <v>291</v>
      </c>
      <c r="D36" s="25" t="s">
        <v>124</v>
      </c>
      <c r="E36" s="26">
        <v>2361493</v>
      </c>
      <c r="F36" s="27">
        <v>3281.29</v>
      </c>
      <c r="G36" s="28">
        <v>1.29E-2</v>
      </c>
      <c r="H36" s="29"/>
    </row>
    <row r="37" spans="2:8" ht="15.75" customHeight="1" x14ac:dyDescent="0.2">
      <c r="B37" s="25" t="s">
        <v>296</v>
      </c>
      <c r="C37" s="25" t="s">
        <v>297</v>
      </c>
      <c r="D37" s="25" t="s">
        <v>298</v>
      </c>
      <c r="E37" s="26">
        <v>1493376</v>
      </c>
      <c r="F37" s="27">
        <v>3279.45</v>
      </c>
      <c r="G37" s="28">
        <v>1.29E-2</v>
      </c>
      <c r="H37" s="29"/>
    </row>
    <row r="38" spans="2:8" ht="15.75" customHeight="1" x14ac:dyDescent="0.2">
      <c r="B38" s="25" t="s">
        <v>666</v>
      </c>
      <c r="C38" s="25" t="s">
        <v>667</v>
      </c>
      <c r="D38" s="25" t="s">
        <v>215</v>
      </c>
      <c r="E38" s="26">
        <v>95671</v>
      </c>
      <c r="F38" s="27">
        <v>3269.56</v>
      </c>
      <c r="G38" s="28">
        <v>1.2800000000000001E-2</v>
      </c>
      <c r="H38" s="29"/>
    </row>
    <row r="39" spans="2:8" ht="15.75" customHeight="1" x14ac:dyDescent="0.2">
      <c r="B39" s="25" t="s">
        <v>374</v>
      </c>
      <c r="C39" s="25" t="s">
        <v>375</v>
      </c>
      <c r="D39" s="25" t="s">
        <v>165</v>
      </c>
      <c r="E39" s="26">
        <v>344846</v>
      </c>
      <c r="F39" s="27">
        <v>3237.07</v>
      </c>
      <c r="G39" s="28">
        <v>1.2699999999999999E-2</v>
      </c>
      <c r="H39" s="29"/>
    </row>
    <row r="40" spans="2:8" ht="15.75" customHeight="1" x14ac:dyDescent="0.2">
      <c r="B40" s="25" t="s">
        <v>698</v>
      </c>
      <c r="C40" s="25" t="s">
        <v>699</v>
      </c>
      <c r="D40" s="25" t="s">
        <v>303</v>
      </c>
      <c r="E40" s="26">
        <v>140932</v>
      </c>
      <c r="F40" s="27">
        <v>3232.77</v>
      </c>
      <c r="G40" s="28">
        <v>1.2699999999999999E-2</v>
      </c>
      <c r="H40" s="29"/>
    </row>
    <row r="41" spans="2:8" ht="15.75" customHeight="1" x14ac:dyDescent="0.2">
      <c r="B41" s="25" t="s">
        <v>380</v>
      </c>
      <c r="C41" s="25" t="s">
        <v>381</v>
      </c>
      <c r="D41" s="25" t="s">
        <v>252</v>
      </c>
      <c r="E41" s="26">
        <v>664066</v>
      </c>
      <c r="F41" s="27">
        <v>3223.71</v>
      </c>
      <c r="G41" s="28">
        <v>1.26E-2</v>
      </c>
      <c r="H41" s="29"/>
    </row>
    <row r="42" spans="2:8" ht="15.75" customHeight="1" x14ac:dyDescent="0.2">
      <c r="B42" s="25" t="s">
        <v>384</v>
      </c>
      <c r="C42" s="25" t="s">
        <v>385</v>
      </c>
      <c r="D42" s="25" t="s">
        <v>358</v>
      </c>
      <c r="E42" s="26">
        <v>598566</v>
      </c>
      <c r="F42" s="27">
        <v>3109.85</v>
      </c>
      <c r="G42" s="28">
        <v>1.2200000000000001E-2</v>
      </c>
      <c r="H42" s="29"/>
    </row>
    <row r="43" spans="2:8" ht="15.75" customHeight="1" x14ac:dyDescent="0.2">
      <c r="B43" s="25" t="s">
        <v>425</v>
      </c>
      <c r="C43" s="25" t="s">
        <v>426</v>
      </c>
      <c r="D43" s="25" t="s">
        <v>316</v>
      </c>
      <c r="E43" s="26">
        <v>347275</v>
      </c>
      <c r="F43" s="27">
        <v>3091.79</v>
      </c>
      <c r="G43" s="28">
        <v>1.21E-2</v>
      </c>
      <c r="H43" s="29"/>
    </row>
    <row r="44" spans="2:8" ht="15.75" customHeight="1" x14ac:dyDescent="0.2">
      <c r="B44" s="25" t="s">
        <v>311</v>
      </c>
      <c r="C44" s="25" t="s">
        <v>312</v>
      </c>
      <c r="D44" s="25" t="s">
        <v>313</v>
      </c>
      <c r="E44" s="26">
        <v>140570</v>
      </c>
      <c r="F44" s="27">
        <v>3057.4</v>
      </c>
      <c r="G44" s="28">
        <v>1.2E-2</v>
      </c>
      <c r="H44" s="29"/>
    </row>
    <row r="45" spans="2:8" ht="15.75" customHeight="1" x14ac:dyDescent="0.2">
      <c r="B45" s="25" t="s">
        <v>292</v>
      </c>
      <c r="C45" s="25" t="s">
        <v>293</v>
      </c>
      <c r="D45" s="25" t="s">
        <v>277</v>
      </c>
      <c r="E45" s="26">
        <v>403508</v>
      </c>
      <c r="F45" s="27">
        <v>3028.33</v>
      </c>
      <c r="G45" s="28">
        <v>1.1900000000000001E-2</v>
      </c>
      <c r="H45" s="29"/>
    </row>
    <row r="46" spans="2:8" ht="15.75" customHeight="1" x14ac:dyDescent="0.2">
      <c r="B46" s="25" t="s">
        <v>551</v>
      </c>
      <c r="C46" s="25" t="s">
        <v>552</v>
      </c>
      <c r="D46" s="25" t="s">
        <v>127</v>
      </c>
      <c r="E46" s="26">
        <v>39263</v>
      </c>
      <c r="F46" s="27">
        <v>2986.01</v>
      </c>
      <c r="G46" s="28">
        <v>1.17E-2</v>
      </c>
      <c r="H46" s="29"/>
    </row>
    <row r="47" spans="2:8" ht="15.75" customHeight="1" x14ac:dyDescent="0.2">
      <c r="B47" s="25" t="s">
        <v>401</v>
      </c>
      <c r="C47" s="25" t="s">
        <v>402</v>
      </c>
      <c r="D47" s="25" t="s">
        <v>124</v>
      </c>
      <c r="E47" s="26">
        <v>2012342</v>
      </c>
      <c r="F47" s="27">
        <v>2964.18</v>
      </c>
      <c r="G47" s="28">
        <v>1.1599999999999999E-2</v>
      </c>
      <c r="H47" s="29"/>
    </row>
    <row r="48" spans="2:8" ht="15.75" customHeight="1" x14ac:dyDescent="0.2">
      <c r="B48" s="25" t="s">
        <v>168</v>
      </c>
      <c r="C48" s="25" t="s">
        <v>169</v>
      </c>
      <c r="D48" s="25" t="s">
        <v>170</v>
      </c>
      <c r="E48" s="26">
        <v>42589</v>
      </c>
      <c r="F48" s="27">
        <v>2922.84</v>
      </c>
      <c r="G48" s="28">
        <v>1.15E-2</v>
      </c>
      <c r="H48" s="29"/>
    </row>
    <row r="49" spans="2:8" ht="15.75" customHeight="1" x14ac:dyDescent="0.2">
      <c r="B49" s="25" t="s">
        <v>282</v>
      </c>
      <c r="C49" s="25" t="s">
        <v>283</v>
      </c>
      <c r="D49" s="25" t="s">
        <v>215</v>
      </c>
      <c r="E49" s="26">
        <v>125171</v>
      </c>
      <c r="F49" s="27">
        <v>2910.35</v>
      </c>
      <c r="G49" s="28">
        <v>1.14E-2</v>
      </c>
      <c r="H49" s="29"/>
    </row>
    <row r="50" spans="2:8" ht="15.75" customHeight="1" x14ac:dyDescent="0.2">
      <c r="B50" s="25" t="s">
        <v>166</v>
      </c>
      <c r="C50" s="25" t="s">
        <v>167</v>
      </c>
      <c r="D50" s="25" t="s">
        <v>124</v>
      </c>
      <c r="E50" s="26">
        <v>267145</v>
      </c>
      <c r="F50" s="27">
        <v>2852.44</v>
      </c>
      <c r="G50" s="28">
        <v>1.12E-2</v>
      </c>
      <c r="H50" s="29"/>
    </row>
    <row r="51" spans="2:8" ht="15.75" customHeight="1" x14ac:dyDescent="0.2">
      <c r="B51" s="25" t="s">
        <v>738</v>
      </c>
      <c r="C51" s="25" t="s">
        <v>739</v>
      </c>
      <c r="D51" s="25" t="s">
        <v>170</v>
      </c>
      <c r="E51" s="26">
        <v>1562620</v>
      </c>
      <c r="F51" s="27">
        <v>2840.84</v>
      </c>
      <c r="G51" s="28">
        <v>1.11E-2</v>
      </c>
      <c r="H51" s="29"/>
    </row>
    <row r="52" spans="2:8" ht="15.75" customHeight="1" x14ac:dyDescent="0.2">
      <c r="B52" s="25" t="s">
        <v>356</v>
      </c>
      <c r="C52" s="25" t="s">
        <v>357</v>
      </c>
      <c r="D52" s="25" t="s">
        <v>358</v>
      </c>
      <c r="E52" s="26">
        <v>283036</v>
      </c>
      <c r="F52" s="27">
        <v>2765.83</v>
      </c>
      <c r="G52" s="28">
        <v>1.0800000000000001E-2</v>
      </c>
      <c r="H52" s="29"/>
    </row>
    <row r="53" spans="2:8" ht="15.75" customHeight="1" x14ac:dyDescent="0.2">
      <c r="B53" s="25" t="s">
        <v>518</v>
      </c>
      <c r="C53" s="25" t="s">
        <v>519</v>
      </c>
      <c r="D53" s="25" t="s">
        <v>212</v>
      </c>
      <c r="E53" s="26">
        <v>244582</v>
      </c>
      <c r="F53" s="27">
        <v>2672.67</v>
      </c>
      <c r="G53" s="28">
        <v>1.0500000000000001E-2</v>
      </c>
      <c r="H53" s="29"/>
    </row>
    <row r="54" spans="2:8" ht="15.75" customHeight="1" x14ac:dyDescent="0.2">
      <c r="B54" s="25" t="s">
        <v>139</v>
      </c>
      <c r="C54" s="25" t="s">
        <v>140</v>
      </c>
      <c r="D54" s="25" t="s">
        <v>141</v>
      </c>
      <c r="E54" s="26">
        <v>160658</v>
      </c>
      <c r="F54" s="27">
        <v>2653.35</v>
      </c>
      <c r="G54" s="28">
        <v>1.04E-2</v>
      </c>
      <c r="H54" s="29"/>
    </row>
    <row r="55" spans="2:8" ht="15.75" customHeight="1" x14ac:dyDescent="0.2">
      <c r="B55" s="25" t="s">
        <v>740</v>
      </c>
      <c r="C55" s="25" t="s">
        <v>741</v>
      </c>
      <c r="D55" s="25" t="s">
        <v>252</v>
      </c>
      <c r="E55" s="26">
        <v>212366</v>
      </c>
      <c r="F55" s="27">
        <v>2589.06</v>
      </c>
      <c r="G55" s="28">
        <v>1.01E-2</v>
      </c>
      <c r="H55" s="29"/>
    </row>
    <row r="56" spans="2:8" ht="15.75" customHeight="1" x14ac:dyDescent="0.2">
      <c r="B56" s="25" t="s">
        <v>309</v>
      </c>
      <c r="C56" s="25" t="s">
        <v>310</v>
      </c>
      <c r="D56" s="25" t="s">
        <v>207</v>
      </c>
      <c r="E56" s="26">
        <v>482998</v>
      </c>
      <c r="F56" s="27">
        <v>2520.77</v>
      </c>
      <c r="G56" s="28">
        <v>9.9000000000000008E-3</v>
      </c>
      <c r="H56" s="29"/>
    </row>
    <row r="57" spans="2:8" ht="15.75" customHeight="1" x14ac:dyDescent="0.2">
      <c r="B57" s="25" t="s">
        <v>742</v>
      </c>
      <c r="C57" s="25" t="s">
        <v>743</v>
      </c>
      <c r="D57" s="25" t="s">
        <v>316</v>
      </c>
      <c r="E57" s="26">
        <v>429604</v>
      </c>
      <c r="F57" s="27">
        <v>2486.7600000000002</v>
      </c>
      <c r="G57" s="28">
        <v>9.7000000000000003E-3</v>
      </c>
      <c r="H57" s="29"/>
    </row>
    <row r="58" spans="2:8" ht="15.75" customHeight="1" x14ac:dyDescent="0.2">
      <c r="B58" s="25" t="s">
        <v>250</v>
      </c>
      <c r="C58" s="25" t="s">
        <v>251</v>
      </c>
      <c r="D58" s="25" t="s">
        <v>252</v>
      </c>
      <c r="E58" s="26">
        <v>2189573</v>
      </c>
      <c r="F58" s="27">
        <v>2479.69</v>
      </c>
      <c r="G58" s="28">
        <v>9.7000000000000003E-3</v>
      </c>
      <c r="H58" s="29"/>
    </row>
    <row r="59" spans="2:8" ht="15.75" customHeight="1" x14ac:dyDescent="0.2">
      <c r="B59" s="25" t="s">
        <v>452</v>
      </c>
      <c r="C59" s="25" t="s">
        <v>453</v>
      </c>
      <c r="D59" s="25" t="s">
        <v>323</v>
      </c>
      <c r="E59" s="26">
        <v>123788</v>
      </c>
      <c r="F59" s="27">
        <v>2443.33</v>
      </c>
      <c r="G59" s="28">
        <v>9.5999999999999992E-3</v>
      </c>
      <c r="H59" s="29"/>
    </row>
    <row r="60" spans="2:8" ht="15.75" customHeight="1" x14ac:dyDescent="0.2">
      <c r="B60" s="25" t="s">
        <v>423</v>
      </c>
      <c r="C60" s="25" t="s">
        <v>424</v>
      </c>
      <c r="D60" s="25" t="s">
        <v>170</v>
      </c>
      <c r="E60" s="26">
        <v>386274</v>
      </c>
      <c r="F60" s="27">
        <v>2408.23</v>
      </c>
      <c r="G60" s="28">
        <v>9.4000000000000004E-3</v>
      </c>
      <c r="H60" s="29"/>
    </row>
    <row r="61" spans="2:8" ht="15.75" customHeight="1" x14ac:dyDescent="0.2">
      <c r="B61" s="25" t="s">
        <v>626</v>
      </c>
      <c r="C61" s="25" t="s">
        <v>627</v>
      </c>
      <c r="D61" s="25" t="s">
        <v>303</v>
      </c>
      <c r="E61" s="26">
        <v>137404</v>
      </c>
      <c r="F61" s="27">
        <v>2328.9299999999998</v>
      </c>
      <c r="G61" s="28">
        <v>9.1000000000000004E-3</v>
      </c>
      <c r="H61" s="29"/>
    </row>
    <row r="62" spans="2:8" ht="15.75" customHeight="1" x14ac:dyDescent="0.2">
      <c r="B62" s="25" t="s">
        <v>346</v>
      </c>
      <c r="C62" s="25" t="s">
        <v>347</v>
      </c>
      <c r="D62" s="25" t="s">
        <v>207</v>
      </c>
      <c r="E62" s="26">
        <v>1650457</v>
      </c>
      <c r="F62" s="27">
        <v>2303.21</v>
      </c>
      <c r="G62" s="28">
        <v>8.9999999999999993E-3</v>
      </c>
      <c r="H62" s="29"/>
    </row>
    <row r="63" spans="2:8" ht="15.75" customHeight="1" x14ac:dyDescent="0.2">
      <c r="B63" s="25" t="s">
        <v>530</v>
      </c>
      <c r="C63" s="25" t="s">
        <v>531</v>
      </c>
      <c r="D63" s="25" t="s">
        <v>470</v>
      </c>
      <c r="E63" s="26">
        <v>1306267</v>
      </c>
      <c r="F63" s="27">
        <v>2297.7199999999998</v>
      </c>
      <c r="G63" s="28">
        <v>8.9999999999999993E-3</v>
      </c>
      <c r="H63" s="29"/>
    </row>
    <row r="64" spans="2:8" ht="15.75" customHeight="1" x14ac:dyDescent="0.2">
      <c r="B64" s="25" t="s">
        <v>654</v>
      </c>
      <c r="C64" s="25" t="s">
        <v>655</v>
      </c>
      <c r="D64" s="25" t="s">
        <v>196</v>
      </c>
      <c r="E64" s="26">
        <v>355804</v>
      </c>
      <c r="F64" s="27">
        <v>2222.89</v>
      </c>
      <c r="G64" s="28">
        <v>8.6999999999999994E-3</v>
      </c>
      <c r="H64" s="29"/>
    </row>
    <row r="65" spans="2:16" ht="15.75" customHeight="1" x14ac:dyDescent="0.2">
      <c r="B65" s="25" t="s">
        <v>333</v>
      </c>
      <c r="C65" s="25" t="s">
        <v>334</v>
      </c>
      <c r="D65" s="25" t="s">
        <v>141</v>
      </c>
      <c r="E65" s="26">
        <v>55018</v>
      </c>
      <c r="F65" s="27">
        <v>2112.4699999999998</v>
      </c>
      <c r="G65" s="28">
        <v>8.3000000000000001E-3</v>
      </c>
      <c r="H65" s="29"/>
    </row>
    <row r="66" spans="2:16" ht="15.75" customHeight="1" x14ac:dyDescent="0.2">
      <c r="B66" s="25" t="s">
        <v>286</v>
      </c>
      <c r="C66" s="25" t="s">
        <v>287</v>
      </c>
      <c r="D66" s="25" t="s">
        <v>141</v>
      </c>
      <c r="E66" s="26">
        <v>43661</v>
      </c>
      <c r="F66" s="27">
        <v>2017.81</v>
      </c>
      <c r="G66" s="28">
        <v>7.9000000000000008E-3</v>
      </c>
      <c r="H66" s="29"/>
    </row>
    <row r="67" spans="2:16" ht="15.75" customHeight="1" x14ac:dyDescent="0.2">
      <c r="B67" s="25" t="s">
        <v>304</v>
      </c>
      <c r="C67" s="25" t="s">
        <v>305</v>
      </c>
      <c r="D67" s="25" t="s">
        <v>124</v>
      </c>
      <c r="E67" s="26">
        <v>2330912</v>
      </c>
      <c r="F67" s="27">
        <v>1966.12</v>
      </c>
      <c r="G67" s="28">
        <v>7.7000000000000002E-3</v>
      </c>
      <c r="H67" s="29"/>
    </row>
    <row r="68" spans="2:16" ht="15.75" customHeight="1" x14ac:dyDescent="0.2">
      <c r="B68" s="25" t="s">
        <v>407</v>
      </c>
      <c r="C68" s="25" t="s">
        <v>408</v>
      </c>
      <c r="D68" s="25" t="s">
        <v>124</v>
      </c>
      <c r="E68" s="26">
        <v>1327729</v>
      </c>
      <c r="F68" s="27">
        <v>1836.91</v>
      </c>
      <c r="G68" s="28">
        <v>7.1999999999999998E-3</v>
      </c>
      <c r="H68" s="29"/>
      <c r="L68" s="3"/>
    </row>
    <row r="69" spans="2:16" ht="15.75" customHeight="1" x14ac:dyDescent="0.2">
      <c r="B69" s="25" t="s">
        <v>230</v>
      </c>
      <c r="C69" s="25" t="s">
        <v>231</v>
      </c>
      <c r="D69" s="25" t="s">
        <v>204</v>
      </c>
      <c r="E69" s="26">
        <v>232769</v>
      </c>
      <c r="F69" s="27">
        <v>1770.91</v>
      </c>
      <c r="G69" s="28">
        <v>6.8999999999999999E-3</v>
      </c>
      <c r="H69" s="29"/>
    </row>
    <row r="70" spans="2:16" ht="15.75" customHeight="1" x14ac:dyDescent="0.2">
      <c r="B70" s="25" t="s">
        <v>319</v>
      </c>
      <c r="C70" s="25" t="s">
        <v>320</v>
      </c>
      <c r="D70" s="25" t="s">
        <v>316</v>
      </c>
      <c r="E70" s="26">
        <v>125219</v>
      </c>
      <c r="F70" s="27">
        <v>1754.51</v>
      </c>
      <c r="G70" s="28">
        <v>6.8999999999999999E-3</v>
      </c>
      <c r="H70" s="29"/>
      <c r="L70" s="3"/>
    </row>
    <row r="71" spans="2:16" ht="15.75" customHeight="1" x14ac:dyDescent="0.2">
      <c r="B71" s="25" t="s">
        <v>514</v>
      </c>
      <c r="C71" s="25" t="s">
        <v>515</v>
      </c>
      <c r="D71" s="25" t="s">
        <v>252</v>
      </c>
      <c r="E71" s="26">
        <v>248117</v>
      </c>
      <c r="F71" s="27">
        <v>1712.26</v>
      </c>
      <c r="G71" s="28">
        <v>6.7000000000000002E-3</v>
      </c>
      <c r="H71" s="29"/>
      <c r="L71" s="3"/>
    </row>
    <row r="72" spans="2:16" ht="15.75" customHeight="1" x14ac:dyDescent="0.2">
      <c r="B72" s="25" t="s">
        <v>744</v>
      </c>
      <c r="C72" s="25" t="s">
        <v>745</v>
      </c>
      <c r="D72" s="25" t="s">
        <v>234</v>
      </c>
      <c r="E72" s="26">
        <v>744358</v>
      </c>
      <c r="F72" s="27">
        <v>1600.37</v>
      </c>
      <c r="G72" s="28">
        <v>6.3E-3</v>
      </c>
      <c r="H72" s="29"/>
      <c r="L72" s="3"/>
    </row>
    <row r="73" spans="2:16" ht="15.75" customHeight="1" x14ac:dyDescent="0.2">
      <c r="B73" s="25" t="s">
        <v>672</v>
      </c>
      <c r="C73" s="25" t="s">
        <v>673</v>
      </c>
      <c r="D73" s="25" t="s">
        <v>215</v>
      </c>
      <c r="E73" s="26">
        <v>65339</v>
      </c>
      <c r="F73" s="27">
        <v>1506.65</v>
      </c>
      <c r="G73" s="28">
        <v>5.8999999999999999E-3</v>
      </c>
      <c r="H73" s="29"/>
      <c r="L73" s="3"/>
    </row>
    <row r="74" spans="2:16" ht="15.75" customHeight="1" x14ac:dyDescent="0.2">
      <c r="B74" s="25" t="s">
        <v>438</v>
      </c>
      <c r="C74" s="25" t="s">
        <v>439</v>
      </c>
      <c r="D74" s="25" t="s">
        <v>252</v>
      </c>
      <c r="E74" s="26">
        <v>133429</v>
      </c>
      <c r="F74" s="27">
        <v>1240.6199999999999</v>
      </c>
      <c r="G74" s="28">
        <v>4.8999999999999998E-3</v>
      </c>
      <c r="H74" s="29"/>
      <c r="L74" s="3"/>
    </row>
    <row r="75" spans="2:16" ht="15.75" customHeight="1" x14ac:dyDescent="0.2">
      <c r="B75" s="25" t="s">
        <v>202</v>
      </c>
      <c r="C75" s="25" t="s">
        <v>203</v>
      </c>
      <c r="D75" s="25" t="s">
        <v>204</v>
      </c>
      <c r="E75" s="26">
        <v>444869</v>
      </c>
      <c r="F75" s="27">
        <v>1194.03</v>
      </c>
      <c r="G75" s="28">
        <v>4.7000000000000002E-3</v>
      </c>
      <c r="H75" s="29"/>
      <c r="L75" s="5"/>
      <c r="M75" s="5"/>
      <c r="N75" s="6"/>
      <c r="O75" s="6"/>
      <c r="P75" s="5"/>
    </row>
    <row r="76" spans="2:16" ht="15.75" customHeight="1" x14ac:dyDescent="0.2">
      <c r="B76" s="25" t="s">
        <v>734</v>
      </c>
      <c r="C76" s="25" t="s">
        <v>735</v>
      </c>
      <c r="D76" s="25" t="s">
        <v>308</v>
      </c>
      <c r="E76" s="26">
        <v>200489</v>
      </c>
      <c r="F76" s="27">
        <v>1165.44</v>
      </c>
      <c r="G76" s="28">
        <v>4.5999999999999999E-3</v>
      </c>
      <c r="H76" s="29"/>
    </row>
    <row r="77" spans="2:16" ht="15.75" customHeight="1" x14ac:dyDescent="0.2">
      <c r="B77" s="25" t="s">
        <v>362</v>
      </c>
      <c r="C77" s="25" t="s">
        <v>363</v>
      </c>
      <c r="D77" s="25" t="s">
        <v>361</v>
      </c>
      <c r="E77" s="26">
        <v>65289</v>
      </c>
      <c r="F77" s="27">
        <v>445.21</v>
      </c>
      <c r="G77" s="28">
        <v>1.6999999999999999E-3</v>
      </c>
      <c r="H77" s="29"/>
    </row>
    <row r="78" spans="2:16" ht="15.75" customHeight="1" x14ac:dyDescent="0.2">
      <c r="B78" s="25" t="s">
        <v>431</v>
      </c>
      <c r="C78" s="25" t="s">
        <v>432</v>
      </c>
      <c r="D78" s="25" t="s">
        <v>298</v>
      </c>
      <c r="E78" s="26">
        <v>37550</v>
      </c>
      <c r="F78" s="27">
        <v>246.27</v>
      </c>
      <c r="G78" s="28">
        <v>1E-3</v>
      </c>
      <c r="H78" s="29"/>
      <c r="L78" s="7"/>
      <c r="M78" s="7"/>
      <c r="N78" s="7"/>
      <c r="O78" s="7"/>
      <c r="P78" s="7"/>
    </row>
    <row r="79" spans="2:16" ht="15.75" customHeight="1" x14ac:dyDescent="0.2">
      <c r="B79" s="25" t="s">
        <v>335</v>
      </c>
      <c r="C79" s="25" t="s">
        <v>336</v>
      </c>
      <c r="D79" s="25" t="s">
        <v>313</v>
      </c>
      <c r="E79" s="26">
        <v>4711</v>
      </c>
      <c r="F79" s="27">
        <v>38.44</v>
      </c>
      <c r="G79" s="28">
        <v>2.0000000000000001E-4</v>
      </c>
      <c r="H79" s="29"/>
      <c r="L79" s="7"/>
      <c r="M79" s="7"/>
      <c r="N79" s="7"/>
      <c r="O79" s="7"/>
      <c r="P79" s="7"/>
    </row>
    <row r="80" spans="2:16" ht="15.75" customHeight="1" x14ac:dyDescent="0.2">
      <c r="B80" s="24" t="s">
        <v>94</v>
      </c>
      <c r="C80" s="24"/>
      <c r="D80" s="24"/>
      <c r="E80" s="30"/>
      <c r="F80" s="31">
        <v>246252.45</v>
      </c>
      <c r="G80" s="32">
        <v>0.96509999999999996</v>
      </c>
      <c r="H80" s="33"/>
      <c r="L80" s="7"/>
      <c r="M80" s="7"/>
      <c r="N80" s="7"/>
      <c r="O80" s="7"/>
      <c r="P80" s="7"/>
    </row>
    <row r="81" spans="2:16" ht="15.75" customHeight="1" x14ac:dyDescent="0.2">
      <c r="B81" s="24" t="s">
        <v>144</v>
      </c>
      <c r="C81" s="25"/>
      <c r="D81" s="25"/>
      <c r="E81" s="26"/>
      <c r="F81" s="27"/>
      <c r="G81" s="28"/>
      <c r="H81" s="29"/>
      <c r="L81" s="7"/>
      <c r="M81" s="7"/>
      <c r="N81" s="7"/>
      <c r="O81" s="7"/>
      <c r="P81" s="7"/>
    </row>
    <row r="82" spans="2:16" ht="15.75" customHeight="1" x14ac:dyDescent="0.2">
      <c r="B82" s="24" t="s">
        <v>94</v>
      </c>
      <c r="C82" s="25"/>
      <c r="D82" s="25"/>
      <c r="E82" s="26"/>
      <c r="F82" s="34" t="s">
        <v>96</v>
      </c>
      <c r="G82" s="35" t="s">
        <v>96</v>
      </c>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98</v>
      </c>
      <c r="C84" s="36"/>
      <c r="D84" s="36"/>
      <c r="E84" s="37"/>
      <c r="F84" s="31">
        <v>246252.45</v>
      </c>
      <c r="G84" s="32">
        <v>0.96509999999999996</v>
      </c>
      <c r="H84" s="33"/>
      <c r="L84" s="7"/>
      <c r="M84" s="7"/>
      <c r="N84" s="7"/>
      <c r="O84" s="7"/>
      <c r="P84" s="7"/>
    </row>
    <row r="85" spans="2:16" ht="15.75" customHeight="1" x14ac:dyDescent="0.2">
      <c r="B85" s="25"/>
      <c r="C85" s="25"/>
      <c r="D85" s="25"/>
      <c r="E85" s="26"/>
      <c r="F85" s="27"/>
      <c r="G85" s="28"/>
      <c r="H85" s="29"/>
    </row>
    <row r="86" spans="2:16" ht="15.75" customHeight="1" x14ac:dyDescent="0.2">
      <c r="B86" s="25"/>
      <c r="C86" s="25"/>
      <c r="D86" s="25"/>
      <c r="E86" s="26"/>
      <c r="F86" s="27"/>
      <c r="G86" s="28"/>
      <c r="H86" s="29"/>
      <c r="L86" s="3"/>
    </row>
    <row r="87" spans="2:16" ht="15.75" customHeight="1" x14ac:dyDescent="0.2">
      <c r="B87" s="24" t="s">
        <v>101</v>
      </c>
      <c r="C87" s="25"/>
      <c r="D87" s="25"/>
      <c r="E87" s="26"/>
      <c r="F87" s="27"/>
      <c r="G87" s="28"/>
      <c r="H87" s="29"/>
    </row>
    <row r="88" spans="2:16" ht="15.75" customHeight="1" x14ac:dyDescent="0.2">
      <c r="B88" s="25" t="s">
        <v>102</v>
      </c>
      <c r="C88" s="25"/>
      <c r="D88" s="25"/>
      <c r="E88" s="26"/>
      <c r="F88" s="27">
        <v>10810.4</v>
      </c>
      <c r="G88" s="28">
        <v>4.24E-2</v>
      </c>
      <c r="H88" s="29"/>
    </row>
    <row r="89" spans="2:16" ht="15.75" customHeight="1" x14ac:dyDescent="0.2">
      <c r="B89" s="24" t="s">
        <v>94</v>
      </c>
      <c r="C89" s="24"/>
      <c r="D89" s="24"/>
      <c r="E89" s="30"/>
      <c r="F89" s="31">
        <v>10810.4</v>
      </c>
      <c r="G89" s="32">
        <v>4.24E-2</v>
      </c>
      <c r="H89" s="33"/>
    </row>
    <row r="90" spans="2:16" ht="15.75" customHeight="1" x14ac:dyDescent="0.2">
      <c r="B90" s="25"/>
      <c r="C90" s="25"/>
      <c r="D90" s="25"/>
      <c r="E90" s="26"/>
      <c r="F90" s="27"/>
      <c r="G90" s="28"/>
      <c r="H90" s="29"/>
    </row>
    <row r="91" spans="2:16" ht="15.75" customHeight="1" x14ac:dyDescent="0.2">
      <c r="B91" s="36" t="s">
        <v>98</v>
      </c>
      <c r="C91" s="36"/>
      <c r="D91" s="36"/>
      <c r="E91" s="37"/>
      <c r="F91" s="31">
        <v>10810.4</v>
      </c>
      <c r="G91" s="32">
        <v>4.24E-2</v>
      </c>
      <c r="H91" s="33"/>
    </row>
    <row r="92" spans="2:16" ht="15.75" customHeight="1" x14ac:dyDescent="0.2">
      <c r="B92" s="25" t="s">
        <v>103</v>
      </c>
      <c r="C92" s="25"/>
      <c r="D92" s="25"/>
      <c r="E92" s="26"/>
      <c r="F92" s="38">
        <v>-1917.41</v>
      </c>
      <c r="G92" s="39">
        <v>-7.5000000000000622E-3</v>
      </c>
      <c r="H92" s="29"/>
    </row>
    <row r="93" spans="2:16" ht="15.75" customHeight="1" x14ac:dyDescent="0.2">
      <c r="B93" s="40" t="s">
        <v>104</v>
      </c>
      <c r="C93" s="40"/>
      <c r="D93" s="40"/>
      <c r="E93" s="41"/>
      <c r="F93" s="42">
        <v>255145.44</v>
      </c>
      <c r="G93" s="43">
        <v>1</v>
      </c>
      <c r="H93" s="44"/>
    </row>
    <row r="94" spans="2:16" ht="15.75" customHeight="1" x14ac:dyDescent="0.2">
      <c r="B94" s="2"/>
    </row>
    <row r="95" spans="2:16" ht="15.75" customHeight="1" x14ac:dyDescent="0.2">
      <c r="B95" s="12" t="s">
        <v>119</v>
      </c>
    </row>
    <row r="96" spans="2:16" ht="15.75" customHeight="1" thickBot="1" x14ac:dyDescent="0.25"/>
    <row r="97" spans="2:8" ht="27" customHeight="1" thickBot="1" x14ac:dyDescent="0.25">
      <c r="B97" s="57" t="s">
        <v>829</v>
      </c>
      <c r="C97" s="58" t="s">
        <v>830</v>
      </c>
      <c r="D97" s="58" t="s">
        <v>831</v>
      </c>
      <c r="E97" s="63" t="s">
        <v>832</v>
      </c>
      <c r="G97" s="2"/>
      <c r="H97" s="2"/>
    </row>
    <row r="98" spans="2:8" ht="27.75" customHeight="1" x14ac:dyDescent="0.2">
      <c r="B98" s="70" t="s">
        <v>63</v>
      </c>
      <c r="C98" s="82"/>
      <c r="D98" s="85" t="s">
        <v>911</v>
      </c>
      <c r="E98" s="87"/>
      <c r="G98" s="2"/>
      <c r="H98" s="2"/>
    </row>
    <row r="99" spans="2:8" ht="31.5" customHeight="1" x14ac:dyDescent="0.2">
      <c r="B99" s="66" t="s">
        <v>912</v>
      </c>
      <c r="C99" s="83"/>
      <c r="D99" s="86"/>
      <c r="E99" s="83"/>
      <c r="G99" s="2"/>
      <c r="H99" s="2"/>
    </row>
    <row r="100" spans="2:8" ht="39.950000000000003" customHeight="1" x14ac:dyDescent="0.2">
      <c r="B100" s="66" t="s">
        <v>913</v>
      </c>
      <c r="C100" s="83"/>
      <c r="D100" s="86"/>
      <c r="E100" s="83"/>
      <c r="G100" s="2"/>
      <c r="H100" s="2"/>
    </row>
    <row r="101" spans="2:8" ht="21.75" customHeight="1" thickBot="1" x14ac:dyDescent="0.25">
      <c r="B101" s="68" t="s">
        <v>871</v>
      </c>
      <c r="C101" s="84"/>
      <c r="D101" s="71" t="s">
        <v>871</v>
      </c>
      <c r="E101" s="88"/>
      <c r="G101" s="2"/>
      <c r="H101" s="2"/>
    </row>
    <row r="102" spans="2:8" ht="24.95" customHeight="1" x14ac:dyDescent="0.2">
      <c r="B102" s="59" t="s">
        <v>833</v>
      </c>
      <c r="C102" s="60"/>
      <c r="D102" s="61"/>
      <c r="E102" s="62"/>
      <c r="G102" s="2"/>
      <c r="H102" s="2"/>
    </row>
    <row r="104" spans="2:8" ht="12" x14ac:dyDescent="0.2">
      <c r="B104" s="2" t="s">
        <v>834</v>
      </c>
      <c r="C104" s="2"/>
      <c r="D104" s="2"/>
      <c r="G104" s="2"/>
      <c r="H104" s="2"/>
    </row>
    <row r="105" spans="2:8" ht="12" x14ac:dyDescent="0.2">
      <c r="B105" s="3" t="s">
        <v>835</v>
      </c>
      <c r="C105" s="2"/>
      <c r="D105" s="2"/>
      <c r="G105" s="2"/>
      <c r="H105" s="2"/>
    </row>
  </sheetData>
  <mergeCells count="3">
    <mergeCell ref="C98:C101"/>
    <mergeCell ref="D98:D100"/>
    <mergeCell ref="E98:E101"/>
  </mergeCells>
  <hyperlinks>
    <hyperlink ref="I1" location="'Sheet1'!A1" display="Index" xr:uid="{89D33514-ACCA-464D-BBB3-EE7B9F975C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5919-EFB8-4BC3-970C-F8B79B390B04}">
  <dimension ref="B1:P10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9.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294</v>
      </c>
      <c r="C7" s="25" t="s">
        <v>295</v>
      </c>
      <c r="D7" s="25" t="s">
        <v>170</v>
      </c>
      <c r="E7" s="26">
        <v>801660</v>
      </c>
      <c r="F7" s="27">
        <v>3553.36</v>
      </c>
      <c r="G7" s="28">
        <v>4.0599999999999997E-2</v>
      </c>
      <c r="H7" s="29"/>
    </row>
    <row r="8" spans="2:9" ht="15.75" customHeight="1" x14ac:dyDescent="0.2">
      <c r="B8" s="25" t="s">
        <v>122</v>
      </c>
      <c r="C8" s="25" t="s">
        <v>123</v>
      </c>
      <c r="D8" s="25" t="s">
        <v>124</v>
      </c>
      <c r="E8" s="26">
        <v>305293</v>
      </c>
      <c r="F8" s="27">
        <v>3138.87</v>
      </c>
      <c r="G8" s="28">
        <v>3.5799999999999998E-2</v>
      </c>
      <c r="H8" s="29"/>
    </row>
    <row r="9" spans="2:9" ht="15.75" customHeight="1" x14ac:dyDescent="0.2">
      <c r="B9" s="25" t="s">
        <v>128</v>
      </c>
      <c r="C9" s="25" t="s">
        <v>129</v>
      </c>
      <c r="D9" s="25" t="s">
        <v>124</v>
      </c>
      <c r="E9" s="26">
        <v>210896</v>
      </c>
      <c r="F9" s="27">
        <v>3084.46</v>
      </c>
      <c r="G9" s="28">
        <v>3.5200000000000002E-2</v>
      </c>
      <c r="H9" s="29"/>
    </row>
    <row r="10" spans="2:9" ht="15.75" customHeight="1" x14ac:dyDescent="0.2">
      <c r="B10" s="25" t="s">
        <v>188</v>
      </c>
      <c r="C10" s="25" t="s">
        <v>189</v>
      </c>
      <c r="D10" s="25" t="s">
        <v>124</v>
      </c>
      <c r="E10" s="26">
        <v>301924</v>
      </c>
      <c r="F10" s="27">
        <v>1933.82</v>
      </c>
      <c r="G10" s="28">
        <v>2.2100000000000002E-2</v>
      </c>
      <c r="H10" s="29"/>
    </row>
    <row r="11" spans="2:9" ht="15.75" customHeight="1" x14ac:dyDescent="0.2">
      <c r="B11" s="25" t="s">
        <v>130</v>
      </c>
      <c r="C11" s="25" t="s">
        <v>131</v>
      </c>
      <c r="D11" s="25" t="s">
        <v>132</v>
      </c>
      <c r="E11" s="26">
        <v>63641</v>
      </c>
      <c r="F11" s="27">
        <v>1815.84</v>
      </c>
      <c r="G11" s="28">
        <v>2.07E-2</v>
      </c>
      <c r="H11" s="29"/>
    </row>
    <row r="12" spans="2:9" ht="15.75" customHeight="1" x14ac:dyDescent="0.2">
      <c r="B12" s="25" t="s">
        <v>296</v>
      </c>
      <c r="C12" s="25" t="s">
        <v>297</v>
      </c>
      <c r="D12" s="25" t="s">
        <v>298</v>
      </c>
      <c r="E12" s="26">
        <v>821310</v>
      </c>
      <c r="F12" s="27">
        <v>1803.6</v>
      </c>
      <c r="G12" s="28">
        <v>2.06E-2</v>
      </c>
      <c r="H12" s="29"/>
    </row>
    <row r="13" spans="2:9" ht="15.75" customHeight="1" x14ac:dyDescent="0.2">
      <c r="B13" s="25" t="s">
        <v>125</v>
      </c>
      <c r="C13" s="25" t="s">
        <v>126</v>
      </c>
      <c r="D13" s="25" t="s">
        <v>127</v>
      </c>
      <c r="E13" s="26">
        <v>100403</v>
      </c>
      <c r="F13" s="27">
        <v>1667.59</v>
      </c>
      <c r="G13" s="28">
        <v>1.9E-2</v>
      </c>
      <c r="H13" s="29"/>
    </row>
    <row r="14" spans="2:9" ht="15.75" customHeight="1" x14ac:dyDescent="0.2">
      <c r="B14" s="25" t="s">
        <v>311</v>
      </c>
      <c r="C14" s="25" t="s">
        <v>312</v>
      </c>
      <c r="D14" s="25" t="s">
        <v>313</v>
      </c>
      <c r="E14" s="26">
        <v>73410</v>
      </c>
      <c r="F14" s="27">
        <v>1596.67</v>
      </c>
      <c r="G14" s="28">
        <v>1.8200000000000001E-2</v>
      </c>
      <c r="H14" s="29"/>
    </row>
    <row r="15" spans="2:9" ht="15.75" customHeight="1" x14ac:dyDescent="0.2">
      <c r="B15" s="25" t="s">
        <v>481</v>
      </c>
      <c r="C15" s="25" t="s">
        <v>482</v>
      </c>
      <c r="D15" s="25" t="s">
        <v>215</v>
      </c>
      <c r="E15" s="26">
        <v>476150</v>
      </c>
      <c r="F15" s="27">
        <v>1517.25</v>
      </c>
      <c r="G15" s="28">
        <v>1.7299999999999999E-2</v>
      </c>
      <c r="H15" s="29"/>
    </row>
    <row r="16" spans="2:9" ht="15.75" customHeight="1" x14ac:dyDescent="0.2">
      <c r="B16" s="25" t="s">
        <v>491</v>
      </c>
      <c r="C16" s="25" t="s">
        <v>492</v>
      </c>
      <c r="D16" s="25" t="s">
        <v>358</v>
      </c>
      <c r="E16" s="26">
        <v>461524</v>
      </c>
      <c r="F16" s="27">
        <v>1513.11</v>
      </c>
      <c r="G16" s="28">
        <v>1.7299999999999999E-2</v>
      </c>
      <c r="H16" s="29"/>
    </row>
    <row r="17" spans="2:8" ht="15.75" customHeight="1" x14ac:dyDescent="0.2">
      <c r="B17" s="25" t="s">
        <v>522</v>
      </c>
      <c r="C17" s="25" t="s">
        <v>523</v>
      </c>
      <c r="D17" s="25" t="s">
        <v>437</v>
      </c>
      <c r="E17" s="26">
        <v>191388</v>
      </c>
      <c r="F17" s="27">
        <v>1512.25</v>
      </c>
      <c r="G17" s="28">
        <v>1.7299999999999999E-2</v>
      </c>
      <c r="H17" s="29"/>
    </row>
    <row r="18" spans="2:8" ht="15.75" customHeight="1" x14ac:dyDescent="0.2">
      <c r="B18" s="25" t="s">
        <v>192</v>
      </c>
      <c r="C18" s="25" t="s">
        <v>193</v>
      </c>
      <c r="D18" s="25" t="s">
        <v>124</v>
      </c>
      <c r="E18" s="26">
        <v>81201</v>
      </c>
      <c r="F18" s="27">
        <v>1482.12</v>
      </c>
      <c r="G18" s="28">
        <v>1.6899999999999998E-2</v>
      </c>
      <c r="H18" s="29"/>
    </row>
    <row r="19" spans="2:8" ht="15.75" customHeight="1" x14ac:dyDescent="0.2">
      <c r="B19" s="25" t="s">
        <v>401</v>
      </c>
      <c r="C19" s="25" t="s">
        <v>402</v>
      </c>
      <c r="D19" s="25" t="s">
        <v>124</v>
      </c>
      <c r="E19" s="26">
        <v>962789</v>
      </c>
      <c r="F19" s="27">
        <v>1418.19</v>
      </c>
      <c r="G19" s="28">
        <v>1.6199999999999999E-2</v>
      </c>
      <c r="H19" s="29"/>
    </row>
    <row r="20" spans="2:8" ht="15.75" customHeight="1" x14ac:dyDescent="0.2">
      <c r="B20" s="25" t="s">
        <v>626</v>
      </c>
      <c r="C20" s="25" t="s">
        <v>627</v>
      </c>
      <c r="D20" s="25" t="s">
        <v>303</v>
      </c>
      <c r="E20" s="26">
        <v>81051</v>
      </c>
      <c r="F20" s="27">
        <v>1373.77</v>
      </c>
      <c r="G20" s="28">
        <v>1.5699999999999999E-2</v>
      </c>
      <c r="H20" s="29"/>
    </row>
    <row r="21" spans="2:8" ht="15.75" customHeight="1" x14ac:dyDescent="0.2">
      <c r="B21" s="25" t="s">
        <v>366</v>
      </c>
      <c r="C21" s="25" t="s">
        <v>367</v>
      </c>
      <c r="D21" s="25" t="s">
        <v>361</v>
      </c>
      <c r="E21" s="26">
        <v>452721</v>
      </c>
      <c r="F21" s="27">
        <v>1369.03</v>
      </c>
      <c r="G21" s="28">
        <v>1.5599999999999999E-2</v>
      </c>
      <c r="H21" s="29"/>
    </row>
    <row r="22" spans="2:8" ht="15.75" customHeight="1" x14ac:dyDescent="0.2">
      <c r="B22" s="25" t="s">
        <v>326</v>
      </c>
      <c r="C22" s="25" t="s">
        <v>327</v>
      </c>
      <c r="D22" s="25" t="s">
        <v>328</v>
      </c>
      <c r="E22" s="26">
        <v>103401</v>
      </c>
      <c r="F22" s="27">
        <v>1368.72</v>
      </c>
      <c r="G22" s="28">
        <v>1.5599999999999999E-2</v>
      </c>
      <c r="H22" s="29"/>
    </row>
    <row r="23" spans="2:8" ht="15.75" customHeight="1" x14ac:dyDescent="0.2">
      <c r="B23" s="25" t="s">
        <v>380</v>
      </c>
      <c r="C23" s="25" t="s">
        <v>381</v>
      </c>
      <c r="D23" s="25" t="s">
        <v>252</v>
      </c>
      <c r="E23" s="26">
        <v>281645</v>
      </c>
      <c r="F23" s="27">
        <v>1367.25</v>
      </c>
      <c r="G23" s="28">
        <v>1.5599999999999999E-2</v>
      </c>
      <c r="H23" s="29"/>
    </row>
    <row r="24" spans="2:8" ht="15.75" customHeight="1" x14ac:dyDescent="0.2">
      <c r="B24" s="25" t="s">
        <v>275</v>
      </c>
      <c r="C24" s="25" t="s">
        <v>276</v>
      </c>
      <c r="D24" s="25" t="s">
        <v>277</v>
      </c>
      <c r="E24" s="26">
        <v>21496</v>
      </c>
      <c r="F24" s="27">
        <v>1365.63</v>
      </c>
      <c r="G24" s="28">
        <v>1.5599999999999999E-2</v>
      </c>
      <c r="H24" s="29"/>
    </row>
    <row r="25" spans="2:8" ht="15.75" customHeight="1" x14ac:dyDescent="0.2">
      <c r="B25" s="25" t="s">
        <v>370</v>
      </c>
      <c r="C25" s="25" t="s">
        <v>371</v>
      </c>
      <c r="D25" s="25" t="s">
        <v>303</v>
      </c>
      <c r="E25" s="26">
        <v>109811</v>
      </c>
      <c r="F25" s="27">
        <v>1356.44</v>
      </c>
      <c r="G25" s="28">
        <v>1.55E-2</v>
      </c>
      <c r="H25" s="29"/>
    </row>
    <row r="26" spans="2:8" ht="15.75" customHeight="1" x14ac:dyDescent="0.2">
      <c r="B26" s="25" t="s">
        <v>458</v>
      </c>
      <c r="C26" s="25" t="s">
        <v>459</v>
      </c>
      <c r="D26" s="25" t="s">
        <v>298</v>
      </c>
      <c r="E26" s="26">
        <v>52087</v>
      </c>
      <c r="F26" s="27">
        <v>1306.73</v>
      </c>
      <c r="G26" s="28">
        <v>1.49E-2</v>
      </c>
      <c r="H26" s="29"/>
    </row>
    <row r="27" spans="2:8" ht="15.75" customHeight="1" x14ac:dyDescent="0.2">
      <c r="B27" s="25" t="s">
        <v>250</v>
      </c>
      <c r="C27" s="25" t="s">
        <v>251</v>
      </c>
      <c r="D27" s="25" t="s">
        <v>252</v>
      </c>
      <c r="E27" s="26">
        <v>1150522</v>
      </c>
      <c r="F27" s="27">
        <v>1302.97</v>
      </c>
      <c r="G27" s="28">
        <v>1.49E-2</v>
      </c>
      <c r="H27" s="29"/>
    </row>
    <row r="28" spans="2:8" ht="15.75" customHeight="1" x14ac:dyDescent="0.2">
      <c r="B28" s="25" t="s">
        <v>444</v>
      </c>
      <c r="C28" s="25" t="s">
        <v>445</v>
      </c>
      <c r="D28" s="25" t="s">
        <v>207</v>
      </c>
      <c r="E28" s="26">
        <v>528558</v>
      </c>
      <c r="F28" s="27">
        <v>1289.42</v>
      </c>
      <c r="G28" s="28">
        <v>1.47E-2</v>
      </c>
      <c r="H28" s="29"/>
    </row>
    <row r="29" spans="2:8" ht="15.75" customHeight="1" x14ac:dyDescent="0.2">
      <c r="B29" s="25" t="s">
        <v>431</v>
      </c>
      <c r="C29" s="25" t="s">
        <v>432</v>
      </c>
      <c r="D29" s="25" t="s">
        <v>298</v>
      </c>
      <c r="E29" s="26">
        <v>194311</v>
      </c>
      <c r="F29" s="27">
        <v>1274.3900000000001</v>
      </c>
      <c r="G29" s="28">
        <v>1.4500000000000001E-2</v>
      </c>
      <c r="H29" s="29"/>
    </row>
    <row r="30" spans="2:8" ht="15.75" customHeight="1" x14ac:dyDescent="0.2">
      <c r="B30" s="25" t="s">
        <v>286</v>
      </c>
      <c r="C30" s="25" t="s">
        <v>287</v>
      </c>
      <c r="D30" s="25" t="s">
        <v>141</v>
      </c>
      <c r="E30" s="26">
        <v>27516</v>
      </c>
      <c r="F30" s="27">
        <v>1271.67</v>
      </c>
      <c r="G30" s="28">
        <v>1.4500000000000001E-2</v>
      </c>
      <c r="H30" s="29"/>
    </row>
    <row r="31" spans="2:8" ht="15.75" customHeight="1" x14ac:dyDescent="0.2">
      <c r="B31" s="25" t="s">
        <v>139</v>
      </c>
      <c r="C31" s="25" t="s">
        <v>140</v>
      </c>
      <c r="D31" s="25" t="s">
        <v>141</v>
      </c>
      <c r="E31" s="26">
        <v>75530</v>
      </c>
      <c r="F31" s="27">
        <v>1247.42</v>
      </c>
      <c r="G31" s="28">
        <v>1.4200000000000001E-2</v>
      </c>
      <c r="H31" s="29"/>
    </row>
    <row r="32" spans="2:8" ht="15.75" customHeight="1" x14ac:dyDescent="0.2">
      <c r="B32" s="25" t="s">
        <v>382</v>
      </c>
      <c r="C32" s="25" t="s">
        <v>383</v>
      </c>
      <c r="D32" s="25" t="s">
        <v>127</v>
      </c>
      <c r="E32" s="26">
        <v>19717</v>
      </c>
      <c r="F32" s="27">
        <v>1232.33</v>
      </c>
      <c r="G32" s="28">
        <v>1.41E-2</v>
      </c>
      <c r="H32" s="29"/>
    </row>
    <row r="33" spans="2:8" ht="15.75" customHeight="1" x14ac:dyDescent="0.2">
      <c r="B33" s="25" t="s">
        <v>450</v>
      </c>
      <c r="C33" s="25" t="s">
        <v>451</v>
      </c>
      <c r="D33" s="25" t="s">
        <v>196</v>
      </c>
      <c r="E33" s="26">
        <v>114602</v>
      </c>
      <c r="F33" s="27">
        <v>1203.21</v>
      </c>
      <c r="G33" s="28">
        <v>1.37E-2</v>
      </c>
      <c r="H33" s="29"/>
    </row>
    <row r="34" spans="2:8" ht="15.75" customHeight="1" x14ac:dyDescent="0.2">
      <c r="B34" s="25" t="s">
        <v>292</v>
      </c>
      <c r="C34" s="25" t="s">
        <v>293</v>
      </c>
      <c r="D34" s="25" t="s">
        <v>277</v>
      </c>
      <c r="E34" s="26">
        <v>158879</v>
      </c>
      <c r="F34" s="27">
        <v>1192.3900000000001</v>
      </c>
      <c r="G34" s="28">
        <v>1.3599999999999999E-2</v>
      </c>
      <c r="H34" s="29"/>
    </row>
    <row r="35" spans="2:8" ht="15.75" customHeight="1" x14ac:dyDescent="0.2">
      <c r="B35" s="25" t="s">
        <v>746</v>
      </c>
      <c r="C35" s="25" t="s">
        <v>747</v>
      </c>
      <c r="D35" s="25" t="s">
        <v>170</v>
      </c>
      <c r="E35" s="26">
        <v>33233</v>
      </c>
      <c r="F35" s="27">
        <v>1185.6400000000001</v>
      </c>
      <c r="G35" s="28">
        <v>1.35E-2</v>
      </c>
      <c r="H35" s="29"/>
    </row>
    <row r="36" spans="2:8" ht="15.75" customHeight="1" x14ac:dyDescent="0.2">
      <c r="B36" s="25" t="s">
        <v>514</v>
      </c>
      <c r="C36" s="25" t="s">
        <v>515</v>
      </c>
      <c r="D36" s="25" t="s">
        <v>252</v>
      </c>
      <c r="E36" s="26">
        <v>165956</v>
      </c>
      <c r="F36" s="27">
        <v>1145.26</v>
      </c>
      <c r="G36" s="28">
        <v>1.3100000000000001E-2</v>
      </c>
      <c r="H36" s="29"/>
    </row>
    <row r="37" spans="2:8" ht="15.75" customHeight="1" x14ac:dyDescent="0.2">
      <c r="B37" s="25" t="s">
        <v>748</v>
      </c>
      <c r="C37" s="25" t="s">
        <v>749</v>
      </c>
      <c r="D37" s="25" t="s">
        <v>212</v>
      </c>
      <c r="E37" s="26">
        <v>135344</v>
      </c>
      <c r="F37" s="27">
        <v>1143.93</v>
      </c>
      <c r="G37" s="28">
        <v>1.3100000000000001E-2</v>
      </c>
      <c r="H37" s="29"/>
    </row>
    <row r="38" spans="2:8" ht="15.75" customHeight="1" x14ac:dyDescent="0.2">
      <c r="B38" s="25" t="s">
        <v>142</v>
      </c>
      <c r="C38" s="25" t="s">
        <v>143</v>
      </c>
      <c r="D38" s="25" t="s">
        <v>127</v>
      </c>
      <c r="E38" s="26">
        <v>20875</v>
      </c>
      <c r="F38" s="27">
        <v>1137.3800000000001</v>
      </c>
      <c r="G38" s="28">
        <v>1.2999999999999999E-2</v>
      </c>
      <c r="H38" s="29"/>
    </row>
    <row r="39" spans="2:8" ht="15.75" customHeight="1" x14ac:dyDescent="0.2">
      <c r="B39" s="25" t="s">
        <v>642</v>
      </c>
      <c r="C39" s="25" t="s">
        <v>643</v>
      </c>
      <c r="D39" s="25" t="s">
        <v>361</v>
      </c>
      <c r="E39" s="26">
        <v>203118</v>
      </c>
      <c r="F39" s="27">
        <v>1108.92</v>
      </c>
      <c r="G39" s="28">
        <v>1.2699999999999999E-2</v>
      </c>
      <c r="H39" s="29"/>
    </row>
    <row r="40" spans="2:8" ht="15.75" customHeight="1" x14ac:dyDescent="0.2">
      <c r="B40" s="25" t="s">
        <v>183</v>
      </c>
      <c r="C40" s="25" t="s">
        <v>184</v>
      </c>
      <c r="D40" s="25" t="s">
        <v>141</v>
      </c>
      <c r="E40" s="26">
        <v>10844</v>
      </c>
      <c r="F40" s="27">
        <v>1104.67</v>
      </c>
      <c r="G40" s="28">
        <v>1.26E-2</v>
      </c>
      <c r="H40" s="29"/>
    </row>
    <row r="41" spans="2:8" ht="15.75" customHeight="1" x14ac:dyDescent="0.2">
      <c r="B41" s="25" t="s">
        <v>368</v>
      </c>
      <c r="C41" s="25" t="s">
        <v>369</v>
      </c>
      <c r="D41" s="25" t="s">
        <v>303</v>
      </c>
      <c r="E41" s="26">
        <v>34335</v>
      </c>
      <c r="F41" s="27">
        <v>1096.3499999999999</v>
      </c>
      <c r="G41" s="28">
        <v>1.2500000000000001E-2</v>
      </c>
      <c r="H41" s="29"/>
    </row>
    <row r="42" spans="2:8" ht="15.75" customHeight="1" x14ac:dyDescent="0.2">
      <c r="B42" s="25" t="s">
        <v>278</v>
      </c>
      <c r="C42" s="25" t="s">
        <v>279</v>
      </c>
      <c r="D42" s="25" t="s">
        <v>204</v>
      </c>
      <c r="E42" s="26">
        <v>43231</v>
      </c>
      <c r="F42" s="27">
        <v>1094.22</v>
      </c>
      <c r="G42" s="28">
        <v>1.2500000000000001E-2</v>
      </c>
      <c r="H42" s="29"/>
    </row>
    <row r="43" spans="2:8" ht="15.75" customHeight="1" x14ac:dyDescent="0.2">
      <c r="B43" s="25" t="s">
        <v>346</v>
      </c>
      <c r="C43" s="25" t="s">
        <v>347</v>
      </c>
      <c r="D43" s="25" t="s">
        <v>207</v>
      </c>
      <c r="E43" s="26">
        <v>780873</v>
      </c>
      <c r="F43" s="27">
        <v>1089.71</v>
      </c>
      <c r="G43" s="28">
        <v>1.24E-2</v>
      </c>
      <c r="H43" s="29"/>
    </row>
    <row r="44" spans="2:8" ht="15.75" customHeight="1" x14ac:dyDescent="0.2">
      <c r="B44" s="25" t="s">
        <v>374</v>
      </c>
      <c r="C44" s="25" t="s">
        <v>375</v>
      </c>
      <c r="D44" s="25" t="s">
        <v>165</v>
      </c>
      <c r="E44" s="26">
        <v>112631</v>
      </c>
      <c r="F44" s="27">
        <v>1057.27</v>
      </c>
      <c r="G44" s="28">
        <v>1.21E-2</v>
      </c>
      <c r="H44" s="29"/>
    </row>
    <row r="45" spans="2:8" ht="15.75" customHeight="1" x14ac:dyDescent="0.2">
      <c r="B45" s="25" t="s">
        <v>216</v>
      </c>
      <c r="C45" s="25" t="s">
        <v>217</v>
      </c>
      <c r="D45" s="25" t="s">
        <v>212</v>
      </c>
      <c r="E45" s="26">
        <v>28390</v>
      </c>
      <c r="F45" s="27">
        <v>1049.73</v>
      </c>
      <c r="G45" s="28">
        <v>1.2E-2</v>
      </c>
      <c r="H45" s="29"/>
    </row>
    <row r="46" spans="2:8" ht="15.75" customHeight="1" x14ac:dyDescent="0.2">
      <c r="B46" s="25" t="s">
        <v>166</v>
      </c>
      <c r="C46" s="25" t="s">
        <v>167</v>
      </c>
      <c r="D46" s="25" t="s">
        <v>124</v>
      </c>
      <c r="E46" s="26">
        <v>97555</v>
      </c>
      <c r="F46" s="27">
        <v>1041.6400000000001</v>
      </c>
      <c r="G46" s="28">
        <v>1.1900000000000001E-2</v>
      </c>
      <c r="H46" s="29"/>
    </row>
    <row r="47" spans="2:8" ht="15.75" customHeight="1" x14ac:dyDescent="0.2">
      <c r="B47" s="25" t="s">
        <v>405</v>
      </c>
      <c r="C47" s="25" t="s">
        <v>406</v>
      </c>
      <c r="D47" s="25" t="s">
        <v>170</v>
      </c>
      <c r="E47" s="26">
        <v>590940</v>
      </c>
      <c r="F47" s="27">
        <v>1023.51</v>
      </c>
      <c r="G47" s="28">
        <v>1.17E-2</v>
      </c>
      <c r="H47" s="29"/>
    </row>
    <row r="48" spans="2:8" ht="15.75" customHeight="1" x14ac:dyDescent="0.2">
      <c r="B48" s="25" t="s">
        <v>473</v>
      </c>
      <c r="C48" s="25" t="s">
        <v>474</v>
      </c>
      <c r="D48" s="25" t="s">
        <v>308</v>
      </c>
      <c r="E48" s="26">
        <v>68683</v>
      </c>
      <c r="F48" s="27">
        <v>1015.99</v>
      </c>
      <c r="G48" s="28">
        <v>1.1599999999999999E-2</v>
      </c>
      <c r="H48" s="29"/>
    </row>
    <row r="49" spans="2:8" ht="15.75" customHeight="1" x14ac:dyDescent="0.2">
      <c r="B49" s="25" t="s">
        <v>348</v>
      </c>
      <c r="C49" s="25" t="s">
        <v>349</v>
      </c>
      <c r="D49" s="25" t="s">
        <v>204</v>
      </c>
      <c r="E49" s="26">
        <v>681124</v>
      </c>
      <c r="F49" s="27">
        <v>982.52</v>
      </c>
      <c r="G49" s="28">
        <v>1.12E-2</v>
      </c>
      <c r="H49" s="29"/>
    </row>
    <row r="50" spans="2:8" ht="15.75" customHeight="1" x14ac:dyDescent="0.2">
      <c r="B50" s="25" t="s">
        <v>362</v>
      </c>
      <c r="C50" s="25" t="s">
        <v>363</v>
      </c>
      <c r="D50" s="25" t="s">
        <v>361</v>
      </c>
      <c r="E50" s="26">
        <v>143555</v>
      </c>
      <c r="F50" s="27">
        <v>978.9</v>
      </c>
      <c r="G50" s="28">
        <v>1.12E-2</v>
      </c>
      <c r="H50" s="29"/>
    </row>
    <row r="51" spans="2:8" ht="15.75" customHeight="1" x14ac:dyDescent="0.2">
      <c r="B51" s="25" t="s">
        <v>750</v>
      </c>
      <c r="C51" s="25" t="s">
        <v>751</v>
      </c>
      <c r="D51" s="25" t="s">
        <v>226</v>
      </c>
      <c r="E51" s="26">
        <v>195752</v>
      </c>
      <c r="F51" s="27">
        <v>978.47</v>
      </c>
      <c r="G51" s="28">
        <v>1.12E-2</v>
      </c>
      <c r="H51" s="29"/>
    </row>
    <row r="52" spans="2:8" ht="15.75" customHeight="1" x14ac:dyDescent="0.2">
      <c r="B52" s="25" t="s">
        <v>734</v>
      </c>
      <c r="C52" s="25" t="s">
        <v>735</v>
      </c>
      <c r="D52" s="25" t="s">
        <v>308</v>
      </c>
      <c r="E52" s="26">
        <v>166850</v>
      </c>
      <c r="F52" s="27">
        <v>969.9</v>
      </c>
      <c r="G52" s="28">
        <v>1.11E-2</v>
      </c>
      <c r="H52" s="29"/>
    </row>
    <row r="53" spans="2:8" ht="15.75" customHeight="1" x14ac:dyDescent="0.2">
      <c r="B53" s="25" t="s">
        <v>269</v>
      </c>
      <c r="C53" s="25" t="s">
        <v>270</v>
      </c>
      <c r="D53" s="25" t="s">
        <v>127</v>
      </c>
      <c r="E53" s="26">
        <v>61125</v>
      </c>
      <c r="F53" s="27">
        <v>963.33</v>
      </c>
      <c r="G53" s="28">
        <v>1.0999999999999999E-2</v>
      </c>
      <c r="H53" s="29"/>
    </row>
    <row r="54" spans="2:8" ht="15.75" customHeight="1" x14ac:dyDescent="0.2">
      <c r="B54" s="25" t="s">
        <v>190</v>
      </c>
      <c r="C54" s="25" t="s">
        <v>191</v>
      </c>
      <c r="D54" s="25" t="s">
        <v>135</v>
      </c>
      <c r="E54" s="26">
        <v>215041</v>
      </c>
      <c r="F54" s="27">
        <v>949.51</v>
      </c>
      <c r="G54" s="28">
        <v>1.0800000000000001E-2</v>
      </c>
      <c r="H54" s="29"/>
    </row>
    <row r="55" spans="2:8" ht="15.75" customHeight="1" x14ac:dyDescent="0.2">
      <c r="B55" s="25" t="s">
        <v>282</v>
      </c>
      <c r="C55" s="25" t="s">
        <v>283</v>
      </c>
      <c r="D55" s="25" t="s">
        <v>215</v>
      </c>
      <c r="E55" s="26">
        <v>40761</v>
      </c>
      <c r="F55" s="27">
        <v>947.73</v>
      </c>
      <c r="G55" s="28">
        <v>1.0800000000000001E-2</v>
      </c>
      <c r="H55" s="29"/>
    </row>
    <row r="56" spans="2:8" ht="15.75" customHeight="1" x14ac:dyDescent="0.2">
      <c r="B56" s="25" t="s">
        <v>407</v>
      </c>
      <c r="C56" s="25" t="s">
        <v>408</v>
      </c>
      <c r="D56" s="25" t="s">
        <v>124</v>
      </c>
      <c r="E56" s="26">
        <v>678918</v>
      </c>
      <c r="F56" s="27">
        <v>939.28</v>
      </c>
      <c r="G56" s="28">
        <v>1.0699999999999999E-2</v>
      </c>
      <c r="H56" s="29"/>
    </row>
    <row r="57" spans="2:8" ht="15.75" customHeight="1" x14ac:dyDescent="0.2">
      <c r="B57" s="25" t="s">
        <v>654</v>
      </c>
      <c r="C57" s="25" t="s">
        <v>655</v>
      </c>
      <c r="D57" s="25" t="s">
        <v>196</v>
      </c>
      <c r="E57" s="26">
        <v>149337</v>
      </c>
      <c r="F57" s="27">
        <v>932.98</v>
      </c>
      <c r="G57" s="28">
        <v>1.0699999999999999E-2</v>
      </c>
      <c r="H57" s="29"/>
    </row>
    <row r="58" spans="2:8" ht="15.75" customHeight="1" x14ac:dyDescent="0.2">
      <c r="B58" s="25" t="s">
        <v>752</v>
      </c>
      <c r="C58" s="25" t="s">
        <v>753</v>
      </c>
      <c r="D58" s="25" t="s">
        <v>212</v>
      </c>
      <c r="E58" s="26">
        <v>65732</v>
      </c>
      <c r="F58" s="27">
        <v>909.73</v>
      </c>
      <c r="G58" s="28">
        <v>1.04E-2</v>
      </c>
      <c r="H58" s="29"/>
    </row>
    <row r="59" spans="2:8" ht="15.75" customHeight="1" x14ac:dyDescent="0.2">
      <c r="B59" s="25" t="s">
        <v>662</v>
      </c>
      <c r="C59" s="25" t="s">
        <v>663</v>
      </c>
      <c r="D59" s="25" t="s">
        <v>212</v>
      </c>
      <c r="E59" s="26">
        <v>100001</v>
      </c>
      <c r="F59" s="27">
        <v>862.41</v>
      </c>
      <c r="G59" s="28">
        <v>9.7999999999999997E-3</v>
      </c>
      <c r="H59" s="29"/>
    </row>
    <row r="60" spans="2:8" ht="15.75" customHeight="1" x14ac:dyDescent="0.2">
      <c r="B60" s="25" t="s">
        <v>666</v>
      </c>
      <c r="C60" s="25" t="s">
        <v>667</v>
      </c>
      <c r="D60" s="25" t="s">
        <v>215</v>
      </c>
      <c r="E60" s="26">
        <v>24985</v>
      </c>
      <c r="F60" s="27">
        <v>853.86</v>
      </c>
      <c r="G60" s="28">
        <v>9.7000000000000003E-3</v>
      </c>
      <c r="H60" s="29"/>
    </row>
    <row r="61" spans="2:8" ht="15.75" customHeight="1" x14ac:dyDescent="0.2">
      <c r="B61" s="25" t="s">
        <v>273</v>
      </c>
      <c r="C61" s="25" t="s">
        <v>274</v>
      </c>
      <c r="D61" s="25" t="s">
        <v>204</v>
      </c>
      <c r="E61" s="26">
        <v>59632</v>
      </c>
      <c r="F61" s="27">
        <v>845.85</v>
      </c>
      <c r="G61" s="28">
        <v>9.7000000000000003E-3</v>
      </c>
      <c r="H61" s="29"/>
    </row>
    <row r="62" spans="2:8" ht="15.75" customHeight="1" x14ac:dyDescent="0.2">
      <c r="B62" s="25" t="s">
        <v>736</v>
      </c>
      <c r="C62" s="25" t="s">
        <v>737</v>
      </c>
      <c r="D62" s="25" t="s">
        <v>212</v>
      </c>
      <c r="E62" s="26">
        <v>244000</v>
      </c>
      <c r="F62" s="27">
        <v>833.87</v>
      </c>
      <c r="G62" s="28">
        <v>9.4999999999999998E-3</v>
      </c>
      <c r="H62" s="29"/>
    </row>
    <row r="63" spans="2:8" ht="15.75" customHeight="1" x14ac:dyDescent="0.2">
      <c r="B63" s="25" t="s">
        <v>590</v>
      </c>
      <c r="C63" s="25" t="s">
        <v>591</v>
      </c>
      <c r="D63" s="25" t="s">
        <v>592</v>
      </c>
      <c r="E63" s="26">
        <v>123962</v>
      </c>
      <c r="F63" s="27">
        <v>831.85</v>
      </c>
      <c r="G63" s="28">
        <v>9.4999999999999998E-3</v>
      </c>
      <c r="H63" s="29"/>
    </row>
    <row r="64" spans="2:8" ht="15.75" customHeight="1" x14ac:dyDescent="0.2">
      <c r="B64" s="25" t="s">
        <v>742</v>
      </c>
      <c r="C64" s="25" t="s">
        <v>743</v>
      </c>
      <c r="D64" s="25" t="s">
        <v>316</v>
      </c>
      <c r="E64" s="26">
        <v>137844</v>
      </c>
      <c r="F64" s="27">
        <v>797.91</v>
      </c>
      <c r="G64" s="28">
        <v>9.1000000000000004E-3</v>
      </c>
      <c r="H64" s="29"/>
    </row>
    <row r="65" spans="2:16" ht="15.75" customHeight="1" x14ac:dyDescent="0.2">
      <c r="B65" s="25" t="s">
        <v>290</v>
      </c>
      <c r="C65" s="25" t="s">
        <v>291</v>
      </c>
      <c r="D65" s="25" t="s">
        <v>124</v>
      </c>
      <c r="E65" s="26">
        <v>567806</v>
      </c>
      <c r="F65" s="27">
        <v>788.97</v>
      </c>
      <c r="G65" s="28">
        <v>8.9999999999999993E-3</v>
      </c>
      <c r="H65" s="29"/>
    </row>
    <row r="66" spans="2:16" ht="15.75" customHeight="1" x14ac:dyDescent="0.2">
      <c r="B66" s="25" t="s">
        <v>526</v>
      </c>
      <c r="C66" s="25" t="s">
        <v>527</v>
      </c>
      <c r="D66" s="25" t="s">
        <v>252</v>
      </c>
      <c r="E66" s="26">
        <v>24256</v>
      </c>
      <c r="F66" s="27">
        <v>759.5</v>
      </c>
      <c r="G66" s="28">
        <v>8.6999999999999994E-3</v>
      </c>
      <c r="H66" s="29"/>
    </row>
    <row r="67" spans="2:16" ht="15.75" customHeight="1" x14ac:dyDescent="0.2">
      <c r="B67" s="25" t="s">
        <v>754</v>
      </c>
      <c r="C67" s="25" t="s">
        <v>755</v>
      </c>
      <c r="D67" s="25" t="s">
        <v>607</v>
      </c>
      <c r="E67" s="26">
        <v>216463</v>
      </c>
      <c r="F67" s="27">
        <v>754.27</v>
      </c>
      <c r="G67" s="28">
        <v>8.6E-3</v>
      </c>
      <c r="H67" s="29"/>
    </row>
    <row r="68" spans="2:16" ht="15.75" customHeight="1" x14ac:dyDescent="0.2">
      <c r="B68" s="25" t="s">
        <v>438</v>
      </c>
      <c r="C68" s="25" t="s">
        <v>439</v>
      </c>
      <c r="D68" s="25" t="s">
        <v>252</v>
      </c>
      <c r="E68" s="26">
        <v>79612</v>
      </c>
      <c r="F68" s="27">
        <v>740.23</v>
      </c>
      <c r="G68" s="28">
        <v>8.5000000000000006E-3</v>
      </c>
      <c r="H68" s="29"/>
      <c r="L68" s="3"/>
    </row>
    <row r="69" spans="2:16" ht="15.75" customHeight="1" x14ac:dyDescent="0.2">
      <c r="B69" s="25" t="s">
        <v>448</v>
      </c>
      <c r="C69" s="25" t="s">
        <v>449</v>
      </c>
      <c r="D69" s="25" t="s">
        <v>212</v>
      </c>
      <c r="E69" s="26">
        <v>151550</v>
      </c>
      <c r="F69" s="27">
        <v>732.14</v>
      </c>
      <c r="G69" s="28">
        <v>8.3999999999999995E-3</v>
      </c>
      <c r="H69" s="29"/>
    </row>
    <row r="70" spans="2:16" ht="15.75" customHeight="1" x14ac:dyDescent="0.2">
      <c r="B70" s="25" t="s">
        <v>540</v>
      </c>
      <c r="C70" s="25" t="s">
        <v>541</v>
      </c>
      <c r="D70" s="25" t="s">
        <v>252</v>
      </c>
      <c r="E70" s="26">
        <v>28635</v>
      </c>
      <c r="F70" s="27">
        <v>702.77</v>
      </c>
      <c r="G70" s="28">
        <v>8.0000000000000002E-3</v>
      </c>
      <c r="H70" s="29"/>
      <c r="L70" s="3"/>
    </row>
    <row r="71" spans="2:16" ht="15.75" customHeight="1" x14ac:dyDescent="0.2">
      <c r="B71" s="25" t="s">
        <v>708</v>
      </c>
      <c r="C71" s="25" t="s">
        <v>709</v>
      </c>
      <c r="D71" s="25" t="s">
        <v>162</v>
      </c>
      <c r="E71" s="26">
        <v>93541</v>
      </c>
      <c r="F71" s="27">
        <v>701.04</v>
      </c>
      <c r="G71" s="28">
        <v>8.0000000000000002E-3</v>
      </c>
      <c r="H71" s="29"/>
      <c r="L71" s="3"/>
    </row>
    <row r="72" spans="2:16" ht="15.75" customHeight="1" x14ac:dyDescent="0.2">
      <c r="B72" s="25" t="s">
        <v>756</v>
      </c>
      <c r="C72" s="25" t="s">
        <v>757</v>
      </c>
      <c r="D72" s="25" t="s">
        <v>212</v>
      </c>
      <c r="E72" s="26">
        <v>45522</v>
      </c>
      <c r="F72" s="27">
        <v>613.92999999999995</v>
      </c>
      <c r="G72" s="28">
        <v>7.0000000000000001E-3</v>
      </c>
      <c r="H72" s="29"/>
      <c r="L72" s="3"/>
    </row>
    <row r="73" spans="2:16" ht="15.75" customHeight="1" x14ac:dyDescent="0.2">
      <c r="B73" s="25" t="s">
        <v>561</v>
      </c>
      <c r="C73" s="25" t="s">
        <v>562</v>
      </c>
      <c r="D73" s="25" t="s">
        <v>470</v>
      </c>
      <c r="E73" s="26">
        <v>20113</v>
      </c>
      <c r="F73" s="27">
        <v>600.02</v>
      </c>
      <c r="G73" s="28">
        <v>6.8999999999999999E-3</v>
      </c>
      <c r="H73" s="29"/>
      <c r="L73" s="3"/>
    </row>
    <row r="74" spans="2:16" ht="15.75" customHeight="1" x14ac:dyDescent="0.2">
      <c r="B74" s="25" t="s">
        <v>433</v>
      </c>
      <c r="C74" s="25" t="s">
        <v>434</v>
      </c>
      <c r="D74" s="25" t="s">
        <v>138</v>
      </c>
      <c r="E74" s="26">
        <v>95036</v>
      </c>
      <c r="F74" s="27">
        <v>562.33000000000004</v>
      </c>
      <c r="G74" s="28">
        <v>6.4000000000000003E-3</v>
      </c>
      <c r="H74" s="29"/>
      <c r="L74" s="3"/>
    </row>
    <row r="75" spans="2:16" ht="15.75" customHeight="1" x14ac:dyDescent="0.2">
      <c r="B75" s="25" t="s">
        <v>359</v>
      </c>
      <c r="C75" s="25" t="s">
        <v>360</v>
      </c>
      <c r="D75" s="25" t="s">
        <v>361</v>
      </c>
      <c r="E75" s="26">
        <v>56312</v>
      </c>
      <c r="F75" s="27">
        <v>541.29999999999995</v>
      </c>
      <c r="G75" s="28">
        <v>6.1999999999999998E-3</v>
      </c>
      <c r="H75" s="29"/>
      <c r="L75" s="5"/>
      <c r="M75" s="5"/>
      <c r="N75" s="6"/>
      <c r="O75" s="6"/>
      <c r="P75" s="5"/>
    </row>
    <row r="76" spans="2:16" ht="15.75" customHeight="1" x14ac:dyDescent="0.2">
      <c r="B76" s="25" t="s">
        <v>758</v>
      </c>
      <c r="C76" s="25" t="s">
        <v>759</v>
      </c>
      <c r="D76" s="25" t="s">
        <v>303</v>
      </c>
      <c r="E76" s="26">
        <v>57965</v>
      </c>
      <c r="F76" s="27">
        <v>533.1</v>
      </c>
      <c r="G76" s="28">
        <v>6.1000000000000004E-3</v>
      </c>
      <c r="H76" s="29"/>
    </row>
    <row r="77" spans="2:16" ht="15.75" customHeight="1" x14ac:dyDescent="0.2">
      <c r="B77" s="25" t="s">
        <v>760</v>
      </c>
      <c r="C77" s="25" t="s">
        <v>761</v>
      </c>
      <c r="D77" s="25" t="s">
        <v>207</v>
      </c>
      <c r="E77" s="26">
        <v>48599</v>
      </c>
      <c r="F77" s="27">
        <v>487.69</v>
      </c>
      <c r="G77" s="28">
        <v>5.5999999999999999E-3</v>
      </c>
      <c r="H77" s="29"/>
    </row>
    <row r="78" spans="2:16" ht="15.75" customHeight="1" x14ac:dyDescent="0.2">
      <c r="B78" s="25" t="s">
        <v>321</v>
      </c>
      <c r="C78" s="25" t="s">
        <v>322</v>
      </c>
      <c r="D78" s="25" t="s">
        <v>323</v>
      </c>
      <c r="E78" s="26">
        <v>21718</v>
      </c>
      <c r="F78" s="27">
        <v>281.47000000000003</v>
      </c>
      <c r="G78" s="28">
        <v>3.2000000000000002E-3</v>
      </c>
      <c r="H78" s="29"/>
      <c r="L78" s="7"/>
      <c r="M78" s="7"/>
      <c r="N78" s="7"/>
      <c r="O78" s="7"/>
      <c r="P78" s="7"/>
    </row>
    <row r="79" spans="2:16" ht="15.75" customHeight="1" x14ac:dyDescent="0.2">
      <c r="B79" s="25" t="s">
        <v>618</v>
      </c>
      <c r="C79" s="25" t="s">
        <v>619</v>
      </c>
      <c r="D79" s="25" t="s">
        <v>303</v>
      </c>
      <c r="E79" s="26">
        <v>9608</v>
      </c>
      <c r="F79" s="27">
        <v>153.97999999999999</v>
      </c>
      <c r="G79" s="28">
        <v>1.8E-3</v>
      </c>
      <c r="H79" s="29"/>
      <c r="L79" s="7"/>
      <c r="M79" s="7"/>
      <c r="N79" s="7"/>
      <c r="O79" s="7"/>
      <c r="P79" s="7"/>
    </row>
    <row r="80" spans="2:16" ht="15.75" customHeight="1" x14ac:dyDescent="0.2">
      <c r="B80" s="25" t="s">
        <v>335</v>
      </c>
      <c r="C80" s="25" t="s">
        <v>336</v>
      </c>
      <c r="D80" s="25" t="s">
        <v>313</v>
      </c>
      <c r="E80" s="26">
        <v>2460</v>
      </c>
      <c r="F80" s="27">
        <v>20.07</v>
      </c>
      <c r="G80" s="28">
        <v>2.0000000000000001E-4</v>
      </c>
      <c r="H80" s="29"/>
      <c r="L80" s="7"/>
      <c r="M80" s="7"/>
      <c r="N80" s="7"/>
      <c r="O80" s="7"/>
      <c r="P80" s="7"/>
    </row>
    <row r="81" spans="2:16" ht="15.75" customHeight="1" x14ac:dyDescent="0.2">
      <c r="B81" s="24" t="s">
        <v>94</v>
      </c>
      <c r="C81" s="24"/>
      <c r="D81" s="24"/>
      <c r="E81" s="30"/>
      <c r="F81" s="31">
        <v>84403.63</v>
      </c>
      <c r="G81" s="32">
        <v>0.96350000000000002</v>
      </c>
      <c r="H81" s="33"/>
      <c r="L81" s="7"/>
      <c r="M81" s="7"/>
      <c r="N81" s="7"/>
      <c r="O81" s="7"/>
      <c r="P81" s="7"/>
    </row>
    <row r="82" spans="2:16" ht="15.75" customHeight="1" x14ac:dyDescent="0.2">
      <c r="B82" s="24" t="s">
        <v>144</v>
      </c>
      <c r="C82" s="25"/>
      <c r="D82" s="25"/>
      <c r="E82" s="26"/>
      <c r="F82" s="27"/>
      <c r="G82" s="28"/>
      <c r="H82" s="29"/>
      <c r="L82" s="7"/>
      <c r="M82" s="7"/>
      <c r="N82" s="7"/>
      <c r="O82" s="7"/>
      <c r="P82" s="7"/>
    </row>
    <row r="83" spans="2:16" ht="15.75" customHeight="1" x14ac:dyDescent="0.2">
      <c r="B83" s="24" t="s">
        <v>94</v>
      </c>
      <c r="C83" s="25"/>
      <c r="D83" s="25"/>
      <c r="E83" s="26"/>
      <c r="F83" s="34" t="s">
        <v>96</v>
      </c>
      <c r="G83" s="35" t="s">
        <v>96</v>
      </c>
      <c r="H83" s="29"/>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98</v>
      </c>
      <c r="C85" s="36"/>
      <c r="D85" s="36"/>
      <c r="E85" s="37"/>
      <c r="F85" s="31">
        <v>84403.63</v>
      </c>
      <c r="G85" s="32">
        <v>0.96350000000000002</v>
      </c>
      <c r="H85" s="33"/>
    </row>
    <row r="86" spans="2:16" ht="15.75" customHeight="1" x14ac:dyDescent="0.2">
      <c r="B86" s="25"/>
      <c r="C86" s="25"/>
      <c r="D86" s="25"/>
      <c r="E86" s="26"/>
      <c r="F86" s="27"/>
      <c r="G86" s="28"/>
      <c r="H86" s="29"/>
      <c r="L86" s="3"/>
    </row>
    <row r="87" spans="2:16" ht="15.75" customHeight="1" x14ac:dyDescent="0.2">
      <c r="B87" s="25"/>
      <c r="C87" s="25"/>
      <c r="D87" s="25"/>
      <c r="E87" s="26"/>
      <c r="F87" s="27"/>
      <c r="G87" s="28"/>
      <c r="H87" s="29"/>
    </row>
    <row r="88" spans="2:16" ht="15.75" customHeight="1" x14ac:dyDescent="0.2">
      <c r="B88" s="24" t="s">
        <v>101</v>
      </c>
      <c r="C88" s="25"/>
      <c r="D88" s="25"/>
      <c r="E88" s="26"/>
      <c r="F88" s="27"/>
      <c r="G88" s="28"/>
      <c r="H88" s="29"/>
    </row>
    <row r="89" spans="2:16" ht="15.75" customHeight="1" x14ac:dyDescent="0.2">
      <c r="B89" s="25" t="s">
        <v>102</v>
      </c>
      <c r="C89" s="25"/>
      <c r="D89" s="25"/>
      <c r="E89" s="26"/>
      <c r="F89" s="27">
        <v>4021.49</v>
      </c>
      <c r="G89" s="28">
        <v>4.5900000000000003E-2</v>
      </c>
      <c r="H89" s="29"/>
    </row>
    <row r="90" spans="2:16" ht="15.75" customHeight="1" x14ac:dyDescent="0.2">
      <c r="B90" s="24" t="s">
        <v>94</v>
      </c>
      <c r="C90" s="24"/>
      <c r="D90" s="24"/>
      <c r="E90" s="30"/>
      <c r="F90" s="31">
        <v>4021.49</v>
      </c>
      <c r="G90" s="32">
        <v>4.5900000000000003E-2</v>
      </c>
      <c r="H90" s="33"/>
    </row>
    <row r="91" spans="2:16" ht="15.75" customHeight="1" x14ac:dyDescent="0.2">
      <c r="B91" s="25"/>
      <c r="C91" s="25"/>
      <c r="D91" s="25"/>
      <c r="E91" s="26"/>
      <c r="F91" s="27"/>
      <c r="G91" s="28"/>
      <c r="H91" s="29"/>
    </row>
    <row r="92" spans="2:16" ht="15.75" customHeight="1" x14ac:dyDescent="0.2">
      <c r="B92" s="36" t="s">
        <v>98</v>
      </c>
      <c r="C92" s="36"/>
      <c r="D92" s="36"/>
      <c r="E92" s="37"/>
      <c r="F92" s="31">
        <v>4021.49</v>
      </c>
      <c r="G92" s="32">
        <v>4.5900000000000003E-2</v>
      </c>
      <c r="H92" s="33"/>
    </row>
    <row r="93" spans="2:16" ht="15.75" customHeight="1" x14ac:dyDescent="0.2">
      <c r="B93" s="25" t="s">
        <v>103</v>
      </c>
      <c r="C93" s="25"/>
      <c r="D93" s="25"/>
      <c r="E93" s="26"/>
      <c r="F93" s="38">
        <v>-831.61</v>
      </c>
      <c r="G93" s="39">
        <v>-9.400000000000075E-3</v>
      </c>
      <c r="H93" s="29"/>
    </row>
    <row r="94" spans="2:16" ht="15.75" customHeight="1" x14ac:dyDescent="0.2">
      <c r="B94" s="40" t="s">
        <v>104</v>
      </c>
      <c r="C94" s="40"/>
      <c r="D94" s="40"/>
      <c r="E94" s="41"/>
      <c r="F94" s="42">
        <v>87593.51</v>
      </c>
      <c r="G94" s="43">
        <v>1</v>
      </c>
      <c r="H94" s="44"/>
    </row>
    <row r="95" spans="2:16" ht="15.75" customHeight="1" x14ac:dyDescent="0.2">
      <c r="B95" s="2"/>
    </row>
    <row r="96" spans="2:16" ht="15.75" customHeight="1" x14ac:dyDescent="0.2">
      <c r="B96" s="12" t="s">
        <v>119</v>
      </c>
    </row>
    <row r="97" spans="2:8" ht="15.75" customHeight="1" thickBot="1" x14ac:dyDescent="0.25"/>
    <row r="98" spans="2:8" ht="27" customHeight="1" thickBot="1" x14ac:dyDescent="0.25">
      <c r="B98" s="57" t="s">
        <v>829</v>
      </c>
      <c r="C98" s="58" t="s">
        <v>830</v>
      </c>
      <c r="D98" s="58" t="s">
        <v>831</v>
      </c>
      <c r="E98" s="63" t="s">
        <v>832</v>
      </c>
      <c r="G98" s="2"/>
      <c r="H98" s="2"/>
    </row>
    <row r="99" spans="2:8" ht="27.75" customHeight="1" x14ac:dyDescent="0.2">
      <c r="B99" s="70" t="s">
        <v>20</v>
      </c>
      <c r="C99" s="82"/>
      <c r="D99" s="85" t="s">
        <v>914</v>
      </c>
      <c r="E99" s="87"/>
      <c r="G99" s="2"/>
      <c r="H99" s="2"/>
    </row>
    <row r="100" spans="2:8" ht="31.5" customHeight="1" x14ac:dyDescent="0.2">
      <c r="B100" s="66" t="s">
        <v>912</v>
      </c>
      <c r="C100" s="83"/>
      <c r="D100" s="86"/>
      <c r="E100" s="83"/>
      <c r="G100" s="2"/>
      <c r="H100" s="2"/>
    </row>
    <row r="101" spans="2:8" ht="39.950000000000003" customHeight="1" x14ac:dyDescent="0.2">
      <c r="B101" s="66" t="s">
        <v>915</v>
      </c>
      <c r="C101" s="83"/>
      <c r="D101" s="86"/>
      <c r="E101" s="83"/>
      <c r="G101" s="2"/>
      <c r="H101" s="2"/>
    </row>
    <row r="102" spans="2:8" ht="21.75" customHeight="1" thickBot="1" x14ac:dyDescent="0.25">
      <c r="B102" s="68" t="s">
        <v>871</v>
      </c>
      <c r="C102" s="84"/>
      <c r="D102" s="71" t="s">
        <v>871</v>
      </c>
      <c r="E102" s="88"/>
      <c r="G102" s="2"/>
      <c r="H102" s="2"/>
    </row>
    <row r="103" spans="2:8" ht="24.95" customHeight="1" x14ac:dyDescent="0.2">
      <c r="B103" s="59" t="s">
        <v>833</v>
      </c>
      <c r="C103" s="60"/>
      <c r="D103" s="61"/>
      <c r="E103" s="62"/>
      <c r="G103" s="2"/>
      <c r="H103" s="2"/>
    </row>
    <row r="105" spans="2:8" ht="12" x14ac:dyDescent="0.2">
      <c r="B105" s="2" t="s">
        <v>834</v>
      </c>
      <c r="C105" s="2"/>
      <c r="D105" s="2"/>
      <c r="G105" s="2"/>
      <c r="H105" s="2"/>
    </row>
    <row r="106" spans="2:8" ht="12" x14ac:dyDescent="0.2">
      <c r="B106" s="3" t="s">
        <v>835</v>
      </c>
      <c r="C106" s="2"/>
      <c r="D106" s="2"/>
      <c r="G106" s="2"/>
      <c r="H106" s="2"/>
    </row>
  </sheetData>
  <mergeCells count="3">
    <mergeCell ref="C99:C102"/>
    <mergeCell ref="D99:D101"/>
    <mergeCell ref="E99:E102"/>
  </mergeCells>
  <hyperlinks>
    <hyperlink ref="I1" location="'Sheet1'!A1" display="Index" xr:uid="{3D31BFDC-790E-4929-8AB7-BDED2F07913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3854-D2AF-4E4A-8CA6-E4C4A3DE27B6}">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288</v>
      </c>
      <c r="C7" s="25" t="s">
        <v>289</v>
      </c>
      <c r="D7" s="25" t="s">
        <v>170</v>
      </c>
      <c r="E7" s="26">
        <v>11083</v>
      </c>
      <c r="F7" s="27">
        <v>273.39999999999998</v>
      </c>
      <c r="G7" s="28">
        <v>4.0899999999999999E-2</v>
      </c>
      <c r="H7" s="29"/>
    </row>
    <row r="8" spans="2:9" ht="15.75" customHeight="1" x14ac:dyDescent="0.2">
      <c r="B8" s="25" t="s">
        <v>205</v>
      </c>
      <c r="C8" s="25" t="s">
        <v>206</v>
      </c>
      <c r="D8" s="25" t="s">
        <v>207</v>
      </c>
      <c r="E8" s="26">
        <v>8789</v>
      </c>
      <c r="F8" s="27">
        <v>271.31</v>
      </c>
      <c r="G8" s="28">
        <v>4.0599999999999997E-2</v>
      </c>
      <c r="H8" s="29"/>
    </row>
    <row r="9" spans="2:9" ht="15.75" customHeight="1" x14ac:dyDescent="0.2">
      <c r="B9" s="25" t="s">
        <v>185</v>
      </c>
      <c r="C9" s="25" t="s">
        <v>186</v>
      </c>
      <c r="D9" s="25" t="s">
        <v>187</v>
      </c>
      <c r="E9" s="26">
        <v>143161</v>
      </c>
      <c r="F9" s="27">
        <v>266.14</v>
      </c>
      <c r="G9" s="28">
        <v>3.9899999999999998E-2</v>
      </c>
      <c r="H9" s="29"/>
    </row>
    <row r="10" spans="2:9" ht="15.75" customHeight="1" x14ac:dyDescent="0.2">
      <c r="B10" s="25" t="s">
        <v>227</v>
      </c>
      <c r="C10" s="25" t="s">
        <v>228</v>
      </c>
      <c r="D10" s="25" t="s">
        <v>229</v>
      </c>
      <c r="E10" s="26">
        <v>67827</v>
      </c>
      <c r="F10" s="27">
        <v>264.36</v>
      </c>
      <c r="G10" s="28">
        <v>3.9600000000000003E-2</v>
      </c>
      <c r="H10" s="29"/>
    </row>
    <row r="11" spans="2:9" ht="15.75" customHeight="1" x14ac:dyDescent="0.2">
      <c r="B11" s="25" t="s">
        <v>696</v>
      </c>
      <c r="C11" s="25" t="s">
        <v>697</v>
      </c>
      <c r="D11" s="25" t="s">
        <v>187</v>
      </c>
      <c r="E11" s="26">
        <v>7483</v>
      </c>
      <c r="F11" s="27">
        <v>224.45</v>
      </c>
      <c r="G11" s="28">
        <v>3.3599999999999998E-2</v>
      </c>
      <c r="H11" s="29"/>
    </row>
    <row r="12" spans="2:9" ht="15.75" customHeight="1" x14ac:dyDescent="0.2">
      <c r="B12" s="25" t="s">
        <v>762</v>
      </c>
      <c r="C12" s="25" t="s">
        <v>763</v>
      </c>
      <c r="D12" s="25" t="s">
        <v>132</v>
      </c>
      <c r="E12" s="26">
        <v>146397</v>
      </c>
      <c r="F12" s="27">
        <v>215.13</v>
      </c>
      <c r="G12" s="28">
        <v>3.2199999999999999E-2</v>
      </c>
      <c r="H12" s="29"/>
    </row>
    <row r="13" spans="2:9" ht="15.75" customHeight="1" x14ac:dyDescent="0.2">
      <c r="B13" s="25" t="s">
        <v>764</v>
      </c>
      <c r="C13" s="25" t="s">
        <v>765</v>
      </c>
      <c r="D13" s="25" t="s">
        <v>328</v>
      </c>
      <c r="E13" s="26">
        <v>25749</v>
      </c>
      <c r="F13" s="27">
        <v>206.66</v>
      </c>
      <c r="G13" s="28">
        <v>3.09E-2</v>
      </c>
      <c r="H13" s="29"/>
    </row>
    <row r="14" spans="2:9" ht="15.75" customHeight="1" x14ac:dyDescent="0.2">
      <c r="B14" s="25" t="s">
        <v>538</v>
      </c>
      <c r="C14" s="25" t="s">
        <v>539</v>
      </c>
      <c r="D14" s="25" t="s">
        <v>170</v>
      </c>
      <c r="E14" s="26">
        <v>16102</v>
      </c>
      <c r="F14" s="27">
        <v>190.67</v>
      </c>
      <c r="G14" s="28">
        <v>2.86E-2</v>
      </c>
      <c r="H14" s="29"/>
    </row>
    <row r="15" spans="2:9" ht="15.75" customHeight="1" x14ac:dyDescent="0.2">
      <c r="B15" s="25" t="s">
        <v>306</v>
      </c>
      <c r="C15" s="25" t="s">
        <v>307</v>
      </c>
      <c r="D15" s="25" t="s">
        <v>308</v>
      </c>
      <c r="E15" s="26">
        <v>107877</v>
      </c>
      <c r="F15" s="27">
        <v>186.2</v>
      </c>
      <c r="G15" s="28">
        <v>2.7900000000000001E-2</v>
      </c>
      <c r="H15" s="29"/>
    </row>
    <row r="16" spans="2:9" ht="15.75" customHeight="1" x14ac:dyDescent="0.2">
      <c r="B16" s="25" t="s">
        <v>524</v>
      </c>
      <c r="C16" s="25" t="s">
        <v>525</v>
      </c>
      <c r="D16" s="25" t="s">
        <v>141</v>
      </c>
      <c r="E16" s="26">
        <v>9285</v>
      </c>
      <c r="F16" s="27">
        <v>185.83</v>
      </c>
      <c r="G16" s="28">
        <v>2.7799999999999998E-2</v>
      </c>
      <c r="H16" s="29"/>
    </row>
    <row r="17" spans="2:8" ht="15.75" customHeight="1" x14ac:dyDescent="0.2">
      <c r="B17" s="25" t="s">
        <v>158</v>
      </c>
      <c r="C17" s="25" t="s">
        <v>159</v>
      </c>
      <c r="D17" s="25" t="s">
        <v>124</v>
      </c>
      <c r="E17" s="26">
        <v>74677</v>
      </c>
      <c r="F17" s="27">
        <v>184.9</v>
      </c>
      <c r="G17" s="28">
        <v>2.7699999999999999E-2</v>
      </c>
      <c r="H17" s="29"/>
    </row>
    <row r="18" spans="2:8" ht="15.75" customHeight="1" x14ac:dyDescent="0.2">
      <c r="B18" s="25" t="s">
        <v>224</v>
      </c>
      <c r="C18" s="25" t="s">
        <v>225</v>
      </c>
      <c r="D18" s="25" t="s">
        <v>226</v>
      </c>
      <c r="E18" s="26">
        <v>15163</v>
      </c>
      <c r="F18" s="27">
        <v>176.53</v>
      </c>
      <c r="G18" s="28">
        <v>2.64E-2</v>
      </c>
      <c r="H18" s="29"/>
    </row>
    <row r="19" spans="2:8" ht="15.75" customHeight="1" x14ac:dyDescent="0.2">
      <c r="B19" s="25" t="s">
        <v>603</v>
      </c>
      <c r="C19" s="25" t="s">
        <v>604</v>
      </c>
      <c r="D19" s="25" t="s">
        <v>165</v>
      </c>
      <c r="E19" s="26">
        <v>5731</v>
      </c>
      <c r="F19" s="27">
        <v>169.71</v>
      </c>
      <c r="G19" s="28">
        <v>2.5399999999999999E-2</v>
      </c>
      <c r="H19" s="29"/>
    </row>
    <row r="20" spans="2:8" ht="15.75" customHeight="1" x14ac:dyDescent="0.2">
      <c r="B20" s="25" t="s">
        <v>766</v>
      </c>
      <c r="C20" s="25" t="s">
        <v>767</v>
      </c>
      <c r="D20" s="25" t="s">
        <v>313</v>
      </c>
      <c r="E20" s="26">
        <v>29970</v>
      </c>
      <c r="F20" s="27">
        <v>167.92</v>
      </c>
      <c r="G20" s="28">
        <v>2.5100000000000001E-2</v>
      </c>
      <c r="H20" s="29"/>
    </row>
    <row r="21" spans="2:8" ht="15.75" customHeight="1" x14ac:dyDescent="0.2">
      <c r="B21" s="25" t="s">
        <v>532</v>
      </c>
      <c r="C21" s="25" t="s">
        <v>533</v>
      </c>
      <c r="D21" s="25" t="s">
        <v>207</v>
      </c>
      <c r="E21" s="26">
        <v>3092</v>
      </c>
      <c r="F21" s="27">
        <v>155.58000000000001</v>
      </c>
      <c r="G21" s="28">
        <v>2.3300000000000001E-2</v>
      </c>
      <c r="H21" s="29"/>
    </row>
    <row r="22" spans="2:8" ht="15.75" customHeight="1" x14ac:dyDescent="0.2">
      <c r="B22" s="25" t="s">
        <v>213</v>
      </c>
      <c r="C22" s="25" t="s">
        <v>214</v>
      </c>
      <c r="D22" s="25" t="s">
        <v>215</v>
      </c>
      <c r="E22" s="26">
        <v>6072</v>
      </c>
      <c r="F22" s="27">
        <v>153.81</v>
      </c>
      <c r="G22" s="28">
        <v>2.3E-2</v>
      </c>
      <c r="H22" s="29"/>
    </row>
    <row r="23" spans="2:8" ht="15.75" customHeight="1" x14ac:dyDescent="0.2">
      <c r="B23" s="25" t="s">
        <v>768</v>
      </c>
      <c r="C23" s="25" t="s">
        <v>769</v>
      </c>
      <c r="D23" s="25" t="s">
        <v>316</v>
      </c>
      <c r="E23" s="26">
        <v>10260</v>
      </c>
      <c r="F23" s="27">
        <v>153.6</v>
      </c>
      <c r="G23" s="28">
        <v>2.3E-2</v>
      </c>
      <c r="H23" s="29"/>
    </row>
    <row r="24" spans="2:8" ht="15.75" customHeight="1" x14ac:dyDescent="0.2">
      <c r="B24" s="25" t="s">
        <v>770</v>
      </c>
      <c r="C24" s="25" t="s">
        <v>771</v>
      </c>
      <c r="D24" s="25" t="s">
        <v>313</v>
      </c>
      <c r="E24" s="26">
        <v>534</v>
      </c>
      <c r="F24" s="27">
        <v>152.49</v>
      </c>
      <c r="G24" s="28">
        <v>2.2800000000000001E-2</v>
      </c>
      <c r="H24" s="29"/>
    </row>
    <row r="25" spans="2:8" ht="15.75" customHeight="1" x14ac:dyDescent="0.2">
      <c r="B25" s="25" t="s">
        <v>378</v>
      </c>
      <c r="C25" s="25" t="s">
        <v>379</v>
      </c>
      <c r="D25" s="25" t="s">
        <v>361</v>
      </c>
      <c r="E25" s="26">
        <v>3577</v>
      </c>
      <c r="F25" s="27">
        <v>148.1</v>
      </c>
      <c r="G25" s="28">
        <v>2.2200000000000001E-2</v>
      </c>
      <c r="H25" s="29"/>
    </row>
    <row r="26" spans="2:8" ht="15.75" customHeight="1" x14ac:dyDescent="0.2">
      <c r="B26" s="25" t="s">
        <v>199</v>
      </c>
      <c r="C26" s="25" t="s">
        <v>200</v>
      </c>
      <c r="D26" s="25" t="s">
        <v>201</v>
      </c>
      <c r="E26" s="26">
        <v>53645</v>
      </c>
      <c r="F26" s="27">
        <v>146.91</v>
      </c>
      <c r="G26" s="28">
        <v>2.1999999999999999E-2</v>
      </c>
      <c r="H26" s="29"/>
    </row>
    <row r="27" spans="2:8" ht="15.75" customHeight="1" x14ac:dyDescent="0.2">
      <c r="B27" s="25" t="s">
        <v>772</v>
      </c>
      <c r="C27" s="25" t="s">
        <v>773</v>
      </c>
      <c r="D27" s="25" t="s">
        <v>226</v>
      </c>
      <c r="E27" s="26">
        <v>5331</v>
      </c>
      <c r="F27" s="27">
        <v>136.96</v>
      </c>
      <c r="G27" s="28">
        <v>2.0500000000000001E-2</v>
      </c>
      <c r="H27" s="29"/>
    </row>
    <row r="28" spans="2:8" ht="15.75" customHeight="1" x14ac:dyDescent="0.2">
      <c r="B28" s="25" t="s">
        <v>774</v>
      </c>
      <c r="C28" s="25" t="s">
        <v>775</v>
      </c>
      <c r="D28" s="25" t="s">
        <v>124</v>
      </c>
      <c r="E28" s="26">
        <v>118851</v>
      </c>
      <c r="F28" s="27">
        <v>135.97</v>
      </c>
      <c r="G28" s="28">
        <v>2.0400000000000001E-2</v>
      </c>
      <c r="H28" s="29"/>
    </row>
    <row r="29" spans="2:8" ht="15.75" customHeight="1" x14ac:dyDescent="0.2">
      <c r="B29" s="25" t="s">
        <v>282</v>
      </c>
      <c r="C29" s="25" t="s">
        <v>283</v>
      </c>
      <c r="D29" s="25" t="s">
        <v>215</v>
      </c>
      <c r="E29" s="26">
        <v>5814</v>
      </c>
      <c r="F29" s="27">
        <v>135.18</v>
      </c>
      <c r="G29" s="28">
        <v>2.0199999999999999E-2</v>
      </c>
      <c r="H29" s="29"/>
    </row>
    <row r="30" spans="2:8" ht="15.75" customHeight="1" x14ac:dyDescent="0.2">
      <c r="B30" s="25" t="s">
        <v>565</v>
      </c>
      <c r="C30" s="25" t="s">
        <v>566</v>
      </c>
      <c r="D30" s="25" t="s">
        <v>124</v>
      </c>
      <c r="E30" s="26">
        <v>26886</v>
      </c>
      <c r="F30" s="27">
        <v>129.59</v>
      </c>
      <c r="G30" s="28">
        <v>1.9400000000000001E-2</v>
      </c>
      <c r="H30" s="29"/>
    </row>
    <row r="31" spans="2:8" ht="15.75" customHeight="1" x14ac:dyDescent="0.2">
      <c r="B31" s="25" t="s">
        <v>222</v>
      </c>
      <c r="C31" s="25" t="s">
        <v>223</v>
      </c>
      <c r="D31" s="25" t="s">
        <v>212</v>
      </c>
      <c r="E31" s="26">
        <v>9997</v>
      </c>
      <c r="F31" s="27">
        <v>129.4</v>
      </c>
      <c r="G31" s="28">
        <v>1.9400000000000001E-2</v>
      </c>
      <c r="H31" s="29"/>
    </row>
    <row r="32" spans="2:8" ht="15.75" customHeight="1" x14ac:dyDescent="0.2">
      <c r="B32" s="25" t="s">
        <v>776</v>
      </c>
      <c r="C32" s="25" t="s">
        <v>777</v>
      </c>
      <c r="D32" s="25" t="s">
        <v>693</v>
      </c>
      <c r="E32" s="26">
        <v>11653</v>
      </c>
      <c r="F32" s="27">
        <v>126.99</v>
      </c>
      <c r="G32" s="28">
        <v>1.9E-2</v>
      </c>
      <c r="H32" s="29"/>
    </row>
    <row r="33" spans="2:8" ht="15.75" customHeight="1" x14ac:dyDescent="0.2">
      <c r="B33" s="25" t="s">
        <v>575</v>
      </c>
      <c r="C33" s="25" t="s">
        <v>576</v>
      </c>
      <c r="D33" s="25" t="s">
        <v>226</v>
      </c>
      <c r="E33" s="26">
        <v>23355</v>
      </c>
      <c r="F33" s="27">
        <v>126.02</v>
      </c>
      <c r="G33" s="28">
        <v>1.89E-2</v>
      </c>
      <c r="H33" s="29"/>
    </row>
    <row r="34" spans="2:8" ht="15.75" customHeight="1" x14ac:dyDescent="0.2">
      <c r="B34" s="25" t="s">
        <v>346</v>
      </c>
      <c r="C34" s="25" t="s">
        <v>347</v>
      </c>
      <c r="D34" s="25" t="s">
        <v>207</v>
      </c>
      <c r="E34" s="26">
        <v>87938</v>
      </c>
      <c r="F34" s="27">
        <v>122.72</v>
      </c>
      <c r="G34" s="28">
        <v>1.84E-2</v>
      </c>
      <c r="H34" s="29"/>
    </row>
    <row r="35" spans="2:8" ht="15.75" customHeight="1" x14ac:dyDescent="0.2">
      <c r="B35" s="25" t="s">
        <v>356</v>
      </c>
      <c r="C35" s="25" t="s">
        <v>357</v>
      </c>
      <c r="D35" s="25" t="s">
        <v>358</v>
      </c>
      <c r="E35" s="26">
        <v>12140</v>
      </c>
      <c r="F35" s="27">
        <v>118.63</v>
      </c>
      <c r="G35" s="28">
        <v>1.78E-2</v>
      </c>
      <c r="H35" s="29"/>
    </row>
    <row r="36" spans="2:8" ht="15.75" customHeight="1" x14ac:dyDescent="0.2">
      <c r="B36" s="25" t="s">
        <v>178</v>
      </c>
      <c r="C36" s="25" t="s">
        <v>179</v>
      </c>
      <c r="D36" s="25" t="s">
        <v>180</v>
      </c>
      <c r="E36" s="26">
        <v>14650</v>
      </c>
      <c r="F36" s="27">
        <v>110.92</v>
      </c>
      <c r="G36" s="28">
        <v>1.66E-2</v>
      </c>
      <c r="H36" s="29"/>
    </row>
    <row r="37" spans="2:8" ht="15.75" customHeight="1" x14ac:dyDescent="0.2">
      <c r="B37" s="25" t="s">
        <v>778</v>
      </c>
      <c r="C37" s="25" t="s">
        <v>779</v>
      </c>
      <c r="D37" s="25" t="s">
        <v>592</v>
      </c>
      <c r="E37" s="26">
        <v>20632</v>
      </c>
      <c r="F37" s="27">
        <v>108.91</v>
      </c>
      <c r="G37" s="28">
        <v>1.6299999999999999E-2</v>
      </c>
      <c r="H37" s="29"/>
    </row>
    <row r="38" spans="2:8" ht="15.75" customHeight="1" x14ac:dyDescent="0.2">
      <c r="B38" s="25" t="s">
        <v>462</v>
      </c>
      <c r="C38" s="25" t="s">
        <v>463</v>
      </c>
      <c r="D38" s="25" t="s">
        <v>196</v>
      </c>
      <c r="E38" s="26">
        <v>3211</v>
      </c>
      <c r="F38" s="27">
        <v>108.3</v>
      </c>
      <c r="G38" s="28">
        <v>1.6199999999999999E-2</v>
      </c>
      <c r="H38" s="29"/>
    </row>
    <row r="39" spans="2:8" ht="15.75" customHeight="1" x14ac:dyDescent="0.2">
      <c r="B39" s="25" t="s">
        <v>250</v>
      </c>
      <c r="C39" s="25" t="s">
        <v>251</v>
      </c>
      <c r="D39" s="25" t="s">
        <v>252</v>
      </c>
      <c r="E39" s="26">
        <v>94941</v>
      </c>
      <c r="F39" s="27">
        <v>107.52</v>
      </c>
      <c r="G39" s="28">
        <v>1.61E-2</v>
      </c>
      <c r="H39" s="29"/>
    </row>
    <row r="40" spans="2:8" ht="15.75" customHeight="1" x14ac:dyDescent="0.2">
      <c r="B40" s="25" t="s">
        <v>691</v>
      </c>
      <c r="C40" s="25" t="s">
        <v>692</v>
      </c>
      <c r="D40" s="25" t="s">
        <v>693</v>
      </c>
      <c r="E40" s="26">
        <v>7992</v>
      </c>
      <c r="F40" s="27">
        <v>102.33</v>
      </c>
      <c r="G40" s="28">
        <v>1.5299999999999999E-2</v>
      </c>
      <c r="H40" s="29"/>
    </row>
    <row r="41" spans="2:8" ht="15.75" customHeight="1" x14ac:dyDescent="0.2">
      <c r="B41" s="25" t="s">
        <v>780</v>
      </c>
      <c r="C41" s="25" t="s">
        <v>781</v>
      </c>
      <c r="D41" s="25" t="s">
        <v>229</v>
      </c>
      <c r="E41" s="26">
        <v>6051</v>
      </c>
      <c r="F41" s="27">
        <v>101.02</v>
      </c>
      <c r="G41" s="28">
        <v>1.5100000000000001E-2</v>
      </c>
      <c r="H41" s="29"/>
    </row>
    <row r="42" spans="2:8" ht="15.75" customHeight="1" x14ac:dyDescent="0.2">
      <c r="B42" s="25" t="s">
        <v>782</v>
      </c>
      <c r="C42" s="25" t="s">
        <v>783</v>
      </c>
      <c r="D42" s="25" t="s">
        <v>361</v>
      </c>
      <c r="E42" s="26">
        <v>2115</v>
      </c>
      <c r="F42" s="27">
        <v>98.8</v>
      </c>
      <c r="G42" s="28">
        <v>1.4800000000000001E-2</v>
      </c>
      <c r="H42" s="29"/>
    </row>
    <row r="43" spans="2:8" ht="15.75" customHeight="1" x14ac:dyDescent="0.2">
      <c r="B43" s="25" t="s">
        <v>684</v>
      </c>
      <c r="C43" s="25" t="s">
        <v>685</v>
      </c>
      <c r="D43" s="25" t="s">
        <v>207</v>
      </c>
      <c r="E43" s="26">
        <v>2486</v>
      </c>
      <c r="F43" s="27">
        <v>94.29</v>
      </c>
      <c r="G43" s="28">
        <v>1.41E-2</v>
      </c>
      <c r="H43" s="29"/>
    </row>
    <row r="44" spans="2:8" ht="15.75" customHeight="1" x14ac:dyDescent="0.2">
      <c r="B44" s="25" t="s">
        <v>278</v>
      </c>
      <c r="C44" s="25" t="s">
        <v>279</v>
      </c>
      <c r="D44" s="25" t="s">
        <v>204</v>
      </c>
      <c r="E44" s="26">
        <v>3648</v>
      </c>
      <c r="F44" s="27">
        <v>92.33</v>
      </c>
      <c r="G44" s="28">
        <v>1.38E-2</v>
      </c>
      <c r="H44" s="29"/>
    </row>
    <row r="45" spans="2:8" ht="15.75" customHeight="1" x14ac:dyDescent="0.2">
      <c r="B45" s="25" t="s">
        <v>421</v>
      </c>
      <c r="C45" s="25" t="s">
        <v>422</v>
      </c>
      <c r="D45" s="25" t="s">
        <v>170</v>
      </c>
      <c r="E45" s="26">
        <v>11768</v>
      </c>
      <c r="F45" s="27">
        <v>84.18</v>
      </c>
      <c r="G45" s="28">
        <v>1.26E-2</v>
      </c>
      <c r="H45" s="29"/>
    </row>
    <row r="46" spans="2:8" ht="15.75" customHeight="1" x14ac:dyDescent="0.2">
      <c r="B46" s="25" t="s">
        <v>694</v>
      </c>
      <c r="C46" s="25" t="s">
        <v>695</v>
      </c>
      <c r="D46" s="25" t="s">
        <v>252</v>
      </c>
      <c r="E46" s="26">
        <v>341</v>
      </c>
      <c r="F46" s="27">
        <v>80.37</v>
      </c>
      <c r="G46" s="28">
        <v>1.2E-2</v>
      </c>
      <c r="H46" s="29"/>
    </row>
    <row r="47" spans="2:8" ht="15.75" customHeight="1" x14ac:dyDescent="0.2">
      <c r="B47" s="25" t="s">
        <v>314</v>
      </c>
      <c r="C47" s="25" t="s">
        <v>315</v>
      </c>
      <c r="D47" s="25" t="s">
        <v>316</v>
      </c>
      <c r="E47" s="26">
        <v>15571</v>
      </c>
      <c r="F47" s="27">
        <v>78.36</v>
      </c>
      <c r="G47" s="28">
        <v>1.17E-2</v>
      </c>
      <c r="H47" s="29"/>
    </row>
    <row r="48" spans="2:8" ht="15.75" customHeight="1" x14ac:dyDescent="0.2">
      <c r="B48" s="25" t="s">
        <v>230</v>
      </c>
      <c r="C48" s="25" t="s">
        <v>231</v>
      </c>
      <c r="D48" s="25" t="s">
        <v>204</v>
      </c>
      <c r="E48" s="26">
        <v>10114</v>
      </c>
      <c r="F48" s="27">
        <v>76.95</v>
      </c>
      <c r="G48" s="28">
        <v>1.15E-2</v>
      </c>
      <c r="H48" s="29"/>
    </row>
    <row r="49" spans="2:8" ht="15.75" customHeight="1" x14ac:dyDescent="0.2">
      <c r="B49" s="25" t="s">
        <v>612</v>
      </c>
      <c r="C49" s="25" t="s">
        <v>613</v>
      </c>
      <c r="D49" s="25" t="s">
        <v>212</v>
      </c>
      <c r="E49" s="26">
        <v>11172</v>
      </c>
      <c r="F49" s="27">
        <v>63.14</v>
      </c>
      <c r="G49" s="28">
        <v>9.4999999999999998E-3</v>
      </c>
      <c r="H49" s="29"/>
    </row>
    <row r="50" spans="2:8" ht="15.75" customHeight="1" x14ac:dyDescent="0.2">
      <c r="B50" s="25" t="s">
        <v>417</v>
      </c>
      <c r="C50" s="25" t="s">
        <v>418</v>
      </c>
      <c r="D50" s="25" t="s">
        <v>170</v>
      </c>
      <c r="E50" s="26">
        <v>4345</v>
      </c>
      <c r="F50" s="27">
        <v>60.61</v>
      </c>
      <c r="G50" s="28">
        <v>9.1000000000000004E-3</v>
      </c>
      <c r="H50" s="29"/>
    </row>
    <row r="51" spans="2:8" ht="15.75" customHeight="1" x14ac:dyDescent="0.2">
      <c r="B51" s="25" t="s">
        <v>784</v>
      </c>
      <c r="C51" s="25" t="s">
        <v>785</v>
      </c>
      <c r="D51" s="25" t="s">
        <v>170</v>
      </c>
      <c r="E51" s="26">
        <v>721</v>
      </c>
      <c r="F51" s="27">
        <v>60.32</v>
      </c>
      <c r="G51" s="28">
        <v>8.9999999999999993E-3</v>
      </c>
      <c r="H51" s="29"/>
    </row>
    <row r="52" spans="2:8" ht="15.75" customHeight="1" x14ac:dyDescent="0.2">
      <c r="B52" s="25" t="s">
        <v>786</v>
      </c>
      <c r="C52" s="25" t="s">
        <v>787</v>
      </c>
      <c r="D52" s="25" t="s">
        <v>229</v>
      </c>
      <c r="E52" s="26">
        <v>5011</v>
      </c>
      <c r="F52" s="27">
        <v>53.51</v>
      </c>
      <c r="G52" s="28">
        <v>8.0000000000000002E-3</v>
      </c>
      <c r="H52" s="29"/>
    </row>
    <row r="53" spans="2:8" ht="15.75" customHeight="1" x14ac:dyDescent="0.2">
      <c r="B53" s="25" t="s">
        <v>788</v>
      </c>
      <c r="C53" s="25" t="s">
        <v>789</v>
      </c>
      <c r="D53" s="25" t="s">
        <v>308</v>
      </c>
      <c r="E53" s="26">
        <v>4579</v>
      </c>
      <c r="F53" s="27">
        <v>46.36</v>
      </c>
      <c r="G53" s="28">
        <v>6.8999999999999999E-3</v>
      </c>
      <c r="H53" s="29"/>
    </row>
    <row r="54" spans="2:8" ht="15.75" customHeight="1" x14ac:dyDescent="0.2">
      <c r="B54" s="25" t="s">
        <v>790</v>
      </c>
      <c r="C54" s="25" t="s">
        <v>791</v>
      </c>
      <c r="D54" s="25" t="s">
        <v>316</v>
      </c>
      <c r="E54" s="26">
        <v>4205</v>
      </c>
      <c r="F54" s="27">
        <v>39.94</v>
      </c>
      <c r="G54" s="28">
        <v>6.0000000000000001E-3</v>
      </c>
      <c r="H54" s="29"/>
    </row>
    <row r="55" spans="2:8" ht="15.75" customHeight="1" x14ac:dyDescent="0.2">
      <c r="B55" s="25" t="s">
        <v>792</v>
      </c>
      <c r="C55" s="25" t="s">
        <v>793</v>
      </c>
      <c r="D55" s="25" t="s">
        <v>226</v>
      </c>
      <c r="E55" s="26">
        <v>156</v>
      </c>
      <c r="F55" s="27">
        <v>26.9</v>
      </c>
      <c r="G55" s="28">
        <v>4.0000000000000001E-3</v>
      </c>
      <c r="H55" s="29"/>
    </row>
    <row r="56" spans="2:8" ht="15.75" customHeight="1" x14ac:dyDescent="0.2">
      <c r="B56" s="25" t="s">
        <v>794</v>
      </c>
      <c r="C56" s="25" t="s">
        <v>795</v>
      </c>
      <c r="D56" s="25" t="s">
        <v>592</v>
      </c>
      <c r="E56" s="26">
        <v>2589</v>
      </c>
      <c r="F56" s="27">
        <v>9.1999999999999993</v>
      </c>
      <c r="G56" s="28">
        <v>1.4E-3</v>
      </c>
      <c r="H56" s="29"/>
    </row>
    <row r="57" spans="2:8" ht="15.75" customHeight="1" x14ac:dyDescent="0.2">
      <c r="B57" s="24" t="s">
        <v>94</v>
      </c>
      <c r="C57" s="24"/>
      <c r="D57" s="24"/>
      <c r="E57" s="30"/>
      <c r="F57" s="31">
        <v>6659.42</v>
      </c>
      <c r="G57" s="32">
        <v>0.99709999999999999</v>
      </c>
      <c r="H57" s="33"/>
    </row>
    <row r="58" spans="2:8" ht="15.75" customHeight="1" x14ac:dyDescent="0.2">
      <c r="B58" s="24" t="s">
        <v>144</v>
      </c>
      <c r="C58" s="25"/>
      <c r="D58" s="25"/>
      <c r="E58" s="26"/>
      <c r="F58" s="27"/>
      <c r="G58" s="28"/>
      <c r="H58" s="29"/>
    </row>
    <row r="59" spans="2:8" ht="15.75" customHeight="1" x14ac:dyDescent="0.2">
      <c r="B59" s="24" t="s">
        <v>94</v>
      </c>
      <c r="C59" s="25"/>
      <c r="D59" s="25"/>
      <c r="E59" s="26"/>
      <c r="F59" s="34" t="s">
        <v>96</v>
      </c>
      <c r="G59" s="35" t="s">
        <v>96</v>
      </c>
      <c r="H59" s="29"/>
    </row>
    <row r="60" spans="2:8" ht="15.75" customHeight="1" x14ac:dyDescent="0.2">
      <c r="B60" s="25"/>
      <c r="C60" s="25"/>
      <c r="D60" s="25"/>
      <c r="E60" s="26"/>
      <c r="F60" s="27"/>
      <c r="G60" s="28"/>
      <c r="H60" s="29"/>
    </row>
    <row r="61" spans="2:8" ht="15.75" customHeight="1" x14ac:dyDescent="0.2">
      <c r="B61" s="36" t="s">
        <v>98</v>
      </c>
      <c r="C61" s="36"/>
      <c r="D61" s="36"/>
      <c r="E61" s="37"/>
      <c r="F61" s="31">
        <v>6659.42</v>
      </c>
      <c r="G61" s="32">
        <v>0.99709999999999999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101</v>
      </c>
      <c r="C64" s="25"/>
      <c r="D64" s="25"/>
      <c r="E64" s="26"/>
      <c r="F64" s="27"/>
      <c r="G64" s="28"/>
      <c r="H64" s="29"/>
    </row>
    <row r="65" spans="2:12" ht="15.75" customHeight="1" x14ac:dyDescent="0.2">
      <c r="B65" s="25" t="s">
        <v>102</v>
      </c>
      <c r="C65" s="25"/>
      <c r="D65" s="25"/>
      <c r="E65" s="26"/>
      <c r="F65" s="27">
        <v>26.67</v>
      </c>
      <c r="G65" s="28">
        <v>4.0000000000000001E-3</v>
      </c>
      <c r="H65" s="29"/>
    </row>
    <row r="66" spans="2:12" ht="15.75" customHeight="1" x14ac:dyDescent="0.2">
      <c r="B66" s="24" t="s">
        <v>94</v>
      </c>
      <c r="C66" s="24"/>
      <c r="D66" s="24"/>
      <c r="E66" s="30"/>
      <c r="F66" s="31">
        <v>26.67</v>
      </c>
      <c r="G66" s="32">
        <v>4.0000000000000001E-3</v>
      </c>
      <c r="H66" s="33"/>
    </row>
    <row r="67" spans="2:12" ht="15.75" customHeight="1" x14ac:dyDescent="0.2">
      <c r="B67" s="25"/>
      <c r="C67" s="25"/>
      <c r="D67" s="25"/>
      <c r="E67" s="26"/>
      <c r="F67" s="27"/>
      <c r="G67" s="28"/>
      <c r="H67" s="29"/>
    </row>
    <row r="68" spans="2:12" ht="15.75" customHeight="1" x14ac:dyDescent="0.2">
      <c r="B68" s="36" t="s">
        <v>98</v>
      </c>
      <c r="C68" s="36"/>
      <c r="D68" s="36"/>
      <c r="E68" s="37"/>
      <c r="F68" s="31">
        <v>26.67</v>
      </c>
      <c r="G68" s="32">
        <v>4.0000000000000001E-3</v>
      </c>
      <c r="H68" s="33"/>
      <c r="L68" s="3"/>
    </row>
    <row r="69" spans="2:12" ht="15.75" customHeight="1" x14ac:dyDescent="0.2">
      <c r="B69" s="25" t="s">
        <v>103</v>
      </c>
      <c r="C69" s="25"/>
      <c r="D69" s="25"/>
      <c r="E69" s="26"/>
      <c r="F69" s="38">
        <v>-7.76</v>
      </c>
      <c r="G69" s="39">
        <v>-1.0999999999998789E-3</v>
      </c>
      <c r="H69" s="29"/>
    </row>
    <row r="70" spans="2:12" ht="15.75" customHeight="1" x14ac:dyDescent="0.2">
      <c r="B70" s="40" t="s">
        <v>104</v>
      </c>
      <c r="C70" s="40"/>
      <c r="D70" s="40"/>
      <c r="E70" s="41"/>
      <c r="F70" s="42">
        <v>6678.33</v>
      </c>
      <c r="G70" s="43">
        <v>1</v>
      </c>
      <c r="H70" s="44"/>
      <c r="L70" s="3"/>
    </row>
    <row r="71" spans="2:12" ht="15.75" customHeight="1" thickBot="1" x14ac:dyDescent="0.25">
      <c r="B71" s="2"/>
      <c r="L71" s="3"/>
    </row>
    <row r="72" spans="2:12" ht="27" customHeight="1" thickBot="1" x14ac:dyDescent="0.25">
      <c r="B72" s="57" t="s">
        <v>829</v>
      </c>
      <c r="C72" s="58" t="s">
        <v>830</v>
      </c>
      <c r="D72" s="58" t="s">
        <v>831</v>
      </c>
      <c r="E72" s="63" t="s">
        <v>832</v>
      </c>
      <c r="G72" s="2"/>
      <c r="H72" s="2"/>
    </row>
    <row r="73" spans="2:12" ht="29.25" customHeight="1" x14ac:dyDescent="0.2">
      <c r="B73" s="64" t="s">
        <v>21</v>
      </c>
      <c r="C73" s="82"/>
      <c r="D73" s="85" t="s">
        <v>916</v>
      </c>
      <c r="E73" s="87"/>
      <c r="G73" s="2"/>
      <c r="H73" s="2"/>
    </row>
    <row r="74" spans="2:12" ht="39.950000000000003" customHeight="1" x14ac:dyDescent="0.2">
      <c r="B74" s="66" t="s">
        <v>917</v>
      </c>
      <c r="C74" s="83"/>
      <c r="D74" s="86"/>
      <c r="E74" s="83"/>
      <c r="G74" s="2"/>
      <c r="H74" s="2"/>
    </row>
    <row r="75" spans="2:12" ht="45" customHeight="1" x14ac:dyDescent="0.2">
      <c r="B75" s="66" t="s">
        <v>918</v>
      </c>
      <c r="C75" s="83"/>
      <c r="D75" s="86"/>
      <c r="E75" s="83"/>
      <c r="G75" s="2"/>
      <c r="H75" s="2"/>
    </row>
    <row r="76" spans="2:12" ht="23.25" customHeight="1" thickBot="1" x14ac:dyDescent="0.25">
      <c r="B76" s="68" t="s">
        <v>866</v>
      </c>
      <c r="C76" s="84"/>
      <c r="D76" s="71" t="s">
        <v>866</v>
      </c>
      <c r="E76" s="88"/>
      <c r="G76" s="2"/>
      <c r="H76" s="2"/>
    </row>
    <row r="77" spans="2:12" ht="24.95" customHeight="1" x14ac:dyDescent="0.2">
      <c r="B77" s="59" t="s">
        <v>833</v>
      </c>
      <c r="C77" s="60"/>
      <c r="D77" s="61"/>
      <c r="E77" s="62"/>
      <c r="G77" s="2"/>
      <c r="H77" s="2"/>
    </row>
    <row r="79" spans="2:12" ht="12" x14ac:dyDescent="0.2">
      <c r="B79" s="2" t="s">
        <v>834</v>
      </c>
      <c r="C79" s="2"/>
      <c r="D79" s="2"/>
      <c r="G79" s="2"/>
      <c r="H79" s="2"/>
    </row>
    <row r="80" spans="2:12" ht="12" x14ac:dyDescent="0.2">
      <c r="B80" s="3" t="s">
        <v>835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F130615F-558D-4997-B59C-907C53CA814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4D2C-AAD1-4B4C-AD98-1C49C2A89F3C}">
  <dimension ref="B1:P131"/>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6.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t="s">
        <v>846</v>
      </c>
      <c r="D1" s="1" t="s">
        <v>847</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451320</v>
      </c>
      <c r="F7" s="27">
        <v>6600.78</v>
      </c>
      <c r="G7" s="28">
        <v>9.6199999999999994E-2</v>
      </c>
      <c r="H7" s="29"/>
    </row>
    <row r="8" spans="2:9" ht="15.75" customHeight="1" x14ac:dyDescent="0.2">
      <c r="B8" s="25" t="s">
        <v>130</v>
      </c>
      <c r="C8" s="25" t="s">
        <v>131</v>
      </c>
      <c r="D8" s="25" t="s">
        <v>132</v>
      </c>
      <c r="E8" s="26">
        <v>203168</v>
      </c>
      <c r="F8" s="27">
        <v>5796.89</v>
      </c>
      <c r="G8" s="28">
        <v>8.4500000000000006E-2</v>
      </c>
      <c r="H8" s="29"/>
    </row>
    <row r="9" spans="2:9" ht="15.75" customHeight="1" x14ac:dyDescent="0.2">
      <c r="B9" s="25" t="s">
        <v>122</v>
      </c>
      <c r="C9" s="25" t="s">
        <v>123</v>
      </c>
      <c r="D9" s="25" t="s">
        <v>124</v>
      </c>
      <c r="E9" s="26">
        <v>422882</v>
      </c>
      <c r="F9" s="27">
        <v>4347.8599999999997</v>
      </c>
      <c r="G9" s="28">
        <v>6.3299999999999995E-2</v>
      </c>
      <c r="H9" s="29"/>
    </row>
    <row r="10" spans="2:9" ht="15.75" customHeight="1" x14ac:dyDescent="0.2">
      <c r="B10" s="25" t="s">
        <v>125</v>
      </c>
      <c r="C10" s="25" t="s">
        <v>126</v>
      </c>
      <c r="D10" s="25" t="s">
        <v>127</v>
      </c>
      <c r="E10" s="26">
        <v>214345</v>
      </c>
      <c r="F10" s="27">
        <v>3560.06</v>
      </c>
      <c r="G10" s="28">
        <v>5.1900000000000002E-2</v>
      </c>
      <c r="H10" s="29"/>
    </row>
    <row r="11" spans="2:9" ht="15.75" customHeight="1" x14ac:dyDescent="0.2">
      <c r="B11" s="25" t="s">
        <v>160</v>
      </c>
      <c r="C11" s="25" t="s">
        <v>161</v>
      </c>
      <c r="D11" s="25" t="s">
        <v>162</v>
      </c>
      <c r="E11" s="26">
        <v>70931</v>
      </c>
      <c r="F11" s="27">
        <v>2468.2199999999998</v>
      </c>
      <c r="G11" s="28">
        <v>3.5999999999999997E-2</v>
      </c>
      <c r="H11" s="29"/>
    </row>
    <row r="12" spans="2:9" ht="15.75" customHeight="1" x14ac:dyDescent="0.2">
      <c r="B12" s="25" t="s">
        <v>190</v>
      </c>
      <c r="C12" s="25" t="s">
        <v>191</v>
      </c>
      <c r="D12" s="25" t="s">
        <v>135</v>
      </c>
      <c r="E12" s="26">
        <v>534183</v>
      </c>
      <c r="F12" s="27">
        <v>2358.69</v>
      </c>
      <c r="G12" s="28">
        <v>3.44E-2</v>
      </c>
      <c r="H12" s="29"/>
    </row>
    <row r="13" spans="2:9" ht="15.75" customHeight="1" x14ac:dyDescent="0.2">
      <c r="B13" s="25" t="s">
        <v>171</v>
      </c>
      <c r="C13" s="25" t="s">
        <v>172</v>
      </c>
      <c r="D13" s="25" t="s">
        <v>127</v>
      </c>
      <c r="E13" s="26">
        <v>60914</v>
      </c>
      <c r="F13" s="27">
        <v>2324.4499999999998</v>
      </c>
      <c r="G13" s="28">
        <v>3.39E-2</v>
      </c>
      <c r="H13" s="29"/>
    </row>
    <row r="14" spans="2:9" ht="15.75" customHeight="1" x14ac:dyDescent="0.2">
      <c r="B14" s="25" t="s">
        <v>350</v>
      </c>
      <c r="C14" s="25" t="s">
        <v>351</v>
      </c>
      <c r="D14" s="25" t="s">
        <v>259</v>
      </c>
      <c r="E14" s="26">
        <v>152382</v>
      </c>
      <c r="F14" s="27">
        <v>1783.94</v>
      </c>
      <c r="G14" s="28">
        <v>2.5999999999999999E-2</v>
      </c>
      <c r="H14" s="29"/>
    </row>
    <row r="15" spans="2:9" ht="15.75" customHeight="1" x14ac:dyDescent="0.2">
      <c r="B15" s="25" t="s">
        <v>166</v>
      </c>
      <c r="C15" s="25" t="s">
        <v>167</v>
      </c>
      <c r="D15" s="25" t="s">
        <v>124</v>
      </c>
      <c r="E15" s="26">
        <v>166467</v>
      </c>
      <c r="F15" s="27">
        <v>1777.45</v>
      </c>
      <c r="G15" s="28">
        <v>2.5899999999999999E-2</v>
      </c>
      <c r="H15" s="29"/>
    </row>
    <row r="16" spans="2:9" ht="15.75" customHeight="1" x14ac:dyDescent="0.2">
      <c r="B16" s="25" t="s">
        <v>192</v>
      </c>
      <c r="C16" s="25" t="s">
        <v>193</v>
      </c>
      <c r="D16" s="25" t="s">
        <v>124</v>
      </c>
      <c r="E16" s="26">
        <v>88482</v>
      </c>
      <c r="F16" s="27">
        <v>1615.02</v>
      </c>
      <c r="G16" s="28">
        <v>2.35E-2</v>
      </c>
      <c r="H16" s="29"/>
    </row>
    <row r="17" spans="2:8" ht="15.75" customHeight="1" x14ac:dyDescent="0.2">
      <c r="B17" s="25" t="s">
        <v>188</v>
      </c>
      <c r="C17" s="25" t="s">
        <v>189</v>
      </c>
      <c r="D17" s="25" t="s">
        <v>124</v>
      </c>
      <c r="E17" s="26">
        <v>230069</v>
      </c>
      <c r="F17" s="27">
        <v>1473.59</v>
      </c>
      <c r="G17" s="28">
        <v>2.1499999999999998E-2</v>
      </c>
      <c r="H17" s="29"/>
    </row>
    <row r="18" spans="2:8" ht="15.75" customHeight="1" x14ac:dyDescent="0.2">
      <c r="B18" s="25" t="s">
        <v>133</v>
      </c>
      <c r="C18" s="25" t="s">
        <v>134</v>
      </c>
      <c r="D18" s="25" t="s">
        <v>135</v>
      </c>
      <c r="E18" s="26">
        <v>53570</v>
      </c>
      <c r="F18" s="27">
        <v>1329.37</v>
      </c>
      <c r="G18" s="28">
        <v>1.9400000000000001E-2</v>
      </c>
      <c r="H18" s="29"/>
    </row>
    <row r="19" spans="2:8" ht="15.75" customHeight="1" x14ac:dyDescent="0.2">
      <c r="B19" s="25" t="s">
        <v>168</v>
      </c>
      <c r="C19" s="25" t="s">
        <v>169</v>
      </c>
      <c r="D19" s="25" t="s">
        <v>170</v>
      </c>
      <c r="E19" s="26">
        <v>16644</v>
      </c>
      <c r="F19" s="27">
        <v>1142.26</v>
      </c>
      <c r="G19" s="28">
        <v>1.66E-2</v>
      </c>
      <c r="H19" s="29"/>
    </row>
    <row r="20" spans="2:8" ht="15.75" customHeight="1" x14ac:dyDescent="0.2">
      <c r="B20" s="25" t="s">
        <v>269</v>
      </c>
      <c r="C20" s="25" t="s">
        <v>270</v>
      </c>
      <c r="D20" s="25" t="s">
        <v>127</v>
      </c>
      <c r="E20" s="26">
        <v>63666</v>
      </c>
      <c r="F20" s="27">
        <v>1003.38</v>
      </c>
      <c r="G20" s="28">
        <v>1.46E-2</v>
      </c>
      <c r="H20" s="29"/>
    </row>
    <row r="21" spans="2:8" ht="15.75" customHeight="1" x14ac:dyDescent="0.2">
      <c r="B21" s="25" t="s">
        <v>442</v>
      </c>
      <c r="C21" s="25" t="s">
        <v>443</v>
      </c>
      <c r="D21" s="25" t="s">
        <v>141</v>
      </c>
      <c r="E21" s="26">
        <v>105754</v>
      </c>
      <c r="F21" s="27">
        <v>935.08</v>
      </c>
      <c r="G21" s="28">
        <v>1.3599999999999999E-2</v>
      </c>
      <c r="H21" s="29"/>
    </row>
    <row r="22" spans="2:8" ht="15.75" customHeight="1" x14ac:dyDescent="0.2">
      <c r="B22" s="25" t="s">
        <v>216</v>
      </c>
      <c r="C22" s="25" t="s">
        <v>217</v>
      </c>
      <c r="D22" s="25" t="s">
        <v>212</v>
      </c>
      <c r="E22" s="26">
        <v>25003</v>
      </c>
      <c r="F22" s="27">
        <v>924.5</v>
      </c>
      <c r="G22" s="28">
        <v>1.35E-2</v>
      </c>
      <c r="H22" s="29"/>
    </row>
    <row r="23" spans="2:8" ht="15.75" customHeight="1" x14ac:dyDescent="0.2">
      <c r="B23" s="25" t="s">
        <v>273</v>
      </c>
      <c r="C23" s="25" t="s">
        <v>274</v>
      </c>
      <c r="D23" s="25" t="s">
        <v>204</v>
      </c>
      <c r="E23" s="26">
        <v>64852</v>
      </c>
      <c r="F23" s="27">
        <v>919.89</v>
      </c>
      <c r="G23" s="28">
        <v>1.34E-2</v>
      </c>
      <c r="H23" s="29"/>
    </row>
    <row r="24" spans="2:8" ht="15.75" customHeight="1" x14ac:dyDescent="0.2">
      <c r="B24" s="25" t="s">
        <v>280</v>
      </c>
      <c r="C24" s="25" t="s">
        <v>281</v>
      </c>
      <c r="D24" s="25" t="s">
        <v>229</v>
      </c>
      <c r="E24" s="26">
        <v>285786</v>
      </c>
      <c r="F24" s="27">
        <v>907.37</v>
      </c>
      <c r="G24" s="28">
        <v>1.32E-2</v>
      </c>
      <c r="H24" s="29"/>
    </row>
    <row r="25" spans="2:8" ht="15.75" customHeight="1" x14ac:dyDescent="0.2">
      <c r="B25" s="25" t="s">
        <v>139</v>
      </c>
      <c r="C25" s="25" t="s">
        <v>140</v>
      </c>
      <c r="D25" s="25" t="s">
        <v>141</v>
      </c>
      <c r="E25" s="26">
        <v>53804</v>
      </c>
      <c r="F25" s="27">
        <v>888.6</v>
      </c>
      <c r="G25" s="28">
        <v>1.29E-2</v>
      </c>
      <c r="H25" s="29"/>
    </row>
    <row r="26" spans="2:8" ht="15.75" customHeight="1" x14ac:dyDescent="0.2">
      <c r="B26" s="25" t="s">
        <v>183</v>
      </c>
      <c r="C26" s="25" t="s">
        <v>184</v>
      </c>
      <c r="D26" s="25" t="s">
        <v>141</v>
      </c>
      <c r="E26" s="26">
        <v>7912</v>
      </c>
      <c r="F26" s="27">
        <v>805.99</v>
      </c>
      <c r="G26" s="28">
        <v>1.17E-2</v>
      </c>
      <c r="H26" s="29"/>
    </row>
    <row r="27" spans="2:8" ht="15.75" customHeight="1" x14ac:dyDescent="0.2">
      <c r="B27" s="25" t="s">
        <v>210</v>
      </c>
      <c r="C27" s="25" t="s">
        <v>211</v>
      </c>
      <c r="D27" s="25" t="s">
        <v>212</v>
      </c>
      <c r="E27" s="26">
        <v>27044</v>
      </c>
      <c r="F27" s="27">
        <v>799.92</v>
      </c>
      <c r="G27" s="28">
        <v>1.17E-2</v>
      </c>
      <c r="H27" s="29"/>
    </row>
    <row r="28" spans="2:8" ht="15.75" customHeight="1" x14ac:dyDescent="0.2">
      <c r="B28" s="25" t="s">
        <v>284</v>
      </c>
      <c r="C28" s="25" t="s">
        <v>285</v>
      </c>
      <c r="D28" s="25" t="s">
        <v>229</v>
      </c>
      <c r="E28" s="26">
        <v>273515</v>
      </c>
      <c r="F28" s="27">
        <v>709.22</v>
      </c>
      <c r="G28" s="28">
        <v>1.03E-2</v>
      </c>
      <c r="H28" s="29"/>
    </row>
    <row r="29" spans="2:8" ht="15.75" customHeight="1" x14ac:dyDescent="0.2">
      <c r="B29" s="25" t="s">
        <v>331</v>
      </c>
      <c r="C29" s="25" t="s">
        <v>332</v>
      </c>
      <c r="D29" s="25" t="s">
        <v>313</v>
      </c>
      <c r="E29" s="26">
        <v>6888</v>
      </c>
      <c r="F29" s="27">
        <v>700.33</v>
      </c>
      <c r="G29" s="28">
        <v>1.0200000000000001E-2</v>
      </c>
      <c r="H29" s="29"/>
    </row>
    <row r="30" spans="2:8" ht="15.75" customHeight="1" x14ac:dyDescent="0.2">
      <c r="B30" s="25" t="s">
        <v>237</v>
      </c>
      <c r="C30" s="25" t="s">
        <v>238</v>
      </c>
      <c r="D30" s="25" t="s">
        <v>180</v>
      </c>
      <c r="E30" s="26">
        <v>484246</v>
      </c>
      <c r="F30" s="27">
        <v>658.33</v>
      </c>
      <c r="G30" s="28">
        <v>9.5999999999999992E-3</v>
      </c>
      <c r="H30" s="29"/>
    </row>
    <row r="31" spans="2:8" ht="15.75" customHeight="1" x14ac:dyDescent="0.2">
      <c r="B31" s="25" t="s">
        <v>689</v>
      </c>
      <c r="C31" s="25" t="s">
        <v>690</v>
      </c>
      <c r="D31" s="25" t="s">
        <v>124</v>
      </c>
      <c r="E31" s="26">
        <v>39492</v>
      </c>
      <c r="F31" s="27">
        <v>605.83000000000004</v>
      </c>
      <c r="G31" s="28">
        <v>8.8000000000000005E-3</v>
      </c>
      <c r="H31" s="29"/>
    </row>
    <row r="32" spans="2:8" ht="15.75" customHeight="1" x14ac:dyDescent="0.2">
      <c r="B32" s="25" t="s">
        <v>716</v>
      </c>
      <c r="C32" s="25" t="s">
        <v>717</v>
      </c>
      <c r="D32" s="25" t="s">
        <v>718</v>
      </c>
      <c r="E32" s="26">
        <v>234577</v>
      </c>
      <c r="F32" s="27">
        <v>591.72</v>
      </c>
      <c r="G32" s="28">
        <v>8.6E-3</v>
      </c>
      <c r="H32" s="29"/>
    </row>
    <row r="33" spans="2:8" ht="15.75" customHeight="1" x14ac:dyDescent="0.2">
      <c r="B33" s="25" t="s">
        <v>686</v>
      </c>
      <c r="C33" s="25" t="s">
        <v>687</v>
      </c>
      <c r="D33" s="25" t="s">
        <v>688</v>
      </c>
      <c r="E33" s="26">
        <v>137677</v>
      </c>
      <c r="F33" s="27">
        <v>559.17999999999995</v>
      </c>
      <c r="G33" s="28">
        <v>8.0999999999999996E-3</v>
      </c>
      <c r="H33" s="29"/>
    </row>
    <row r="34" spans="2:8" ht="15.75" customHeight="1" x14ac:dyDescent="0.2">
      <c r="B34" s="25" t="s">
        <v>136</v>
      </c>
      <c r="C34" s="25" t="s">
        <v>137</v>
      </c>
      <c r="D34" s="25" t="s">
        <v>138</v>
      </c>
      <c r="E34" s="26">
        <v>21400</v>
      </c>
      <c r="F34" s="27">
        <v>536.28</v>
      </c>
      <c r="G34" s="28">
        <v>7.7999999999999996E-3</v>
      </c>
      <c r="H34" s="29"/>
    </row>
    <row r="35" spans="2:8" ht="15.75" customHeight="1" x14ac:dyDescent="0.2">
      <c r="B35" s="25" t="s">
        <v>719</v>
      </c>
      <c r="C35" s="25" t="s">
        <v>720</v>
      </c>
      <c r="D35" s="25" t="s">
        <v>234</v>
      </c>
      <c r="E35" s="26">
        <v>44116</v>
      </c>
      <c r="F35" s="27">
        <v>532.77</v>
      </c>
      <c r="G35" s="28">
        <v>7.7999999999999996E-3</v>
      </c>
      <c r="H35" s="29"/>
    </row>
    <row r="36" spans="2:8" ht="15.75" customHeight="1" x14ac:dyDescent="0.2">
      <c r="B36" s="25" t="s">
        <v>197</v>
      </c>
      <c r="C36" s="25" t="s">
        <v>198</v>
      </c>
      <c r="D36" s="25" t="s">
        <v>170</v>
      </c>
      <c r="E36" s="26">
        <v>32525</v>
      </c>
      <c r="F36" s="27">
        <v>529.28</v>
      </c>
      <c r="G36" s="28">
        <v>7.7000000000000002E-3</v>
      </c>
      <c r="H36" s="29"/>
    </row>
    <row r="37" spans="2:8" ht="15.75" customHeight="1" x14ac:dyDescent="0.2">
      <c r="B37" s="25" t="s">
        <v>485</v>
      </c>
      <c r="C37" s="25" t="s">
        <v>486</v>
      </c>
      <c r="D37" s="25" t="s">
        <v>141</v>
      </c>
      <c r="E37" s="26">
        <v>6789</v>
      </c>
      <c r="F37" s="27">
        <v>520.54999999999995</v>
      </c>
      <c r="G37" s="28">
        <v>7.6E-3</v>
      </c>
      <c r="H37" s="29"/>
    </row>
    <row r="38" spans="2:8" ht="15.75" customHeight="1" x14ac:dyDescent="0.2">
      <c r="B38" s="25" t="s">
        <v>175</v>
      </c>
      <c r="C38" s="25" t="s">
        <v>176</v>
      </c>
      <c r="D38" s="25" t="s">
        <v>177</v>
      </c>
      <c r="E38" s="26">
        <v>87933</v>
      </c>
      <c r="F38" s="27">
        <v>509.44</v>
      </c>
      <c r="G38" s="28">
        <v>7.4000000000000003E-3</v>
      </c>
      <c r="H38" s="29"/>
    </row>
    <row r="39" spans="2:8" ht="15.75" customHeight="1" x14ac:dyDescent="0.2">
      <c r="B39" s="25" t="s">
        <v>242</v>
      </c>
      <c r="C39" s="25" t="s">
        <v>243</v>
      </c>
      <c r="D39" s="25" t="s">
        <v>127</v>
      </c>
      <c r="E39" s="26">
        <v>37576</v>
      </c>
      <c r="F39" s="27">
        <v>501.13</v>
      </c>
      <c r="G39" s="28">
        <v>7.3000000000000001E-3</v>
      </c>
      <c r="H39" s="29"/>
    </row>
    <row r="40" spans="2:8" ht="15.75" customHeight="1" x14ac:dyDescent="0.2">
      <c r="B40" s="25" t="s">
        <v>721</v>
      </c>
      <c r="C40" s="25" t="s">
        <v>722</v>
      </c>
      <c r="D40" s="25" t="s">
        <v>723</v>
      </c>
      <c r="E40" s="26">
        <v>15572</v>
      </c>
      <c r="F40" s="27">
        <v>489.27</v>
      </c>
      <c r="G40" s="28">
        <v>7.1000000000000004E-3</v>
      </c>
      <c r="H40" s="29"/>
    </row>
    <row r="41" spans="2:8" ht="15.75" customHeight="1" x14ac:dyDescent="0.2">
      <c r="B41" s="25" t="s">
        <v>311</v>
      </c>
      <c r="C41" s="25" t="s">
        <v>312</v>
      </c>
      <c r="D41" s="25" t="s">
        <v>313</v>
      </c>
      <c r="E41" s="26">
        <v>22100</v>
      </c>
      <c r="F41" s="27">
        <v>480.68</v>
      </c>
      <c r="G41" s="28">
        <v>7.0000000000000001E-3</v>
      </c>
      <c r="H41" s="29"/>
    </row>
    <row r="42" spans="2:8" ht="15.75" customHeight="1" x14ac:dyDescent="0.2">
      <c r="B42" s="25" t="s">
        <v>248</v>
      </c>
      <c r="C42" s="25" t="s">
        <v>249</v>
      </c>
      <c r="D42" s="25" t="s">
        <v>180</v>
      </c>
      <c r="E42" s="26">
        <v>57510</v>
      </c>
      <c r="F42" s="27">
        <v>470.81</v>
      </c>
      <c r="G42" s="28">
        <v>6.8999999999999999E-3</v>
      </c>
      <c r="H42" s="29"/>
    </row>
    <row r="43" spans="2:8" ht="15.75" customHeight="1" x14ac:dyDescent="0.2">
      <c r="B43" s="25" t="s">
        <v>244</v>
      </c>
      <c r="C43" s="25" t="s">
        <v>245</v>
      </c>
      <c r="D43" s="25" t="s">
        <v>204</v>
      </c>
      <c r="E43" s="26">
        <v>7310</v>
      </c>
      <c r="F43" s="27">
        <v>447.46</v>
      </c>
      <c r="G43" s="28">
        <v>6.4999999999999997E-3</v>
      </c>
      <c r="H43" s="29"/>
    </row>
    <row r="44" spans="2:8" ht="15.75" customHeight="1" x14ac:dyDescent="0.2">
      <c r="B44" s="25" t="s">
        <v>346</v>
      </c>
      <c r="C44" s="25" t="s">
        <v>347</v>
      </c>
      <c r="D44" s="25" t="s">
        <v>207</v>
      </c>
      <c r="E44" s="26">
        <v>316030</v>
      </c>
      <c r="F44" s="27">
        <v>441.02</v>
      </c>
      <c r="G44" s="28">
        <v>6.4000000000000003E-3</v>
      </c>
      <c r="H44" s="29"/>
    </row>
    <row r="45" spans="2:8" ht="15.75" customHeight="1" x14ac:dyDescent="0.2">
      <c r="B45" s="25" t="s">
        <v>271</v>
      </c>
      <c r="C45" s="25" t="s">
        <v>272</v>
      </c>
      <c r="D45" s="25" t="s">
        <v>204</v>
      </c>
      <c r="E45" s="26">
        <v>31448</v>
      </c>
      <c r="F45" s="27">
        <v>424.86</v>
      </c>
      <c r="G45" s="28">
        <v>6.1999999999999998E-3</v>
      </c>
      <c r="H45" s="29"/>
    </row>
    <row r="46" spans="2:8" ht="15.75" customHeight="1" x14ac:dyDescent="0.2">
      <c r="B46" s="25" t="s">
        <v>682</v>
      </c>
      <c r="C46" s="25" t="s">
        <v>683</v>
      </c>
      <c r="D46" s="25" t="s">
        <v>592</v>
      </c>
      <c r="E46" s="26">
        <v>37294</v>
      </c>
      <c r="F46" s="27">
        <v>416.95</v>
      </c>
      <c r="G46" s="28">
        <v>6.1000000000000004E-3</v>
      </c>
      <c r="H46" s="29"/>
    </row>
    <row r="47" spans="2:8" ht="15.75" customHeight="1" x14ac:dyDescent="0.2">
      <c r="B47" s="25" t="s">
        <v>288</v>
      </c>
      <c r="C47" s="25" t="s">
        <v>289</v>
      </c>
      <c r="D47" s="25" t="s">
        <v>170</v>
      </c>
      <c r="E47" s="26">
        <v>16667</v>
      </c>
      <c r="F47" s="27">
        <v>411.14</v>
      </c>
      <c r="G47" s="28">
        <v>6.0000000000000001E-3</v>
      </c>
      <c r="H47" s="29"/>
    </row>
    <row r="48" spans="2:8" ht="15.75" customHeight="1" x14ac:dyDescent="0.2">
      <c r="B48" s="25" t="s">
        <v>205</v>
      </c>
      <c r="C48" s="25" t="s">
        <v>206</v>
      </c>
      <c r="D48" s="25" t="s">
        <v>207</v>
      </c>
      <c r="E48" s="26">
        <v>13186</v>
      </c>
      <c r="F48" s="27">
        <v>407.05</v>
      </c>
      <c r="G48" s="28">
        <v>5.8999999999999999E-3</v>
      </c>
      <c r="H48" s="29"/>
    </row>
    <row r="49" spans="2:8" ht="15.75" customHeight="1" x14ac:dyDescent="0.2">
      <c r="B49" s="25" t="s">
        <v>724</v>
      </c>
      <c r="C49" s="25" t="s">
        <v>725</v>
      </c>
      <c r="D49" s="25" t="s">
        <v>127</v>
      </c>
      <c r="E49" s="26">
        <v>84761</v>
      </c>
      <c r="F49" s="27">
        <v>405.28</v>
      </c>
      <c r="G49" s="28">
        <v>5.8999999999999999E-3</v>
      </c>
      <c r="H49" s="29"/>
    </row>
    <row r="50" spans="2:8" ht="15.75" customHeight="1" x14ac:dyDescent="0.2">
      <c r="B50" s="25" t="s">
        <v>185</v>
      </c>
      <c r="C50" s="25" t="s">
        <v>186</v>
      </c>
      <c r="D50" s="25" t="s">
        <v>187</v>
      </c>
      <c r="E50" s="26">
        <v>214860</v>
      </c>
      <c r="F50" s="27">
        <v>399.42</v>
      </c>
      <c r="G50" s="28">
        <v>5.7999999999999996E-3</v>
      </c>
      <c r="H50" s="29"/>
    </row>
    <row r="51" spans="2:8" ht="15.75" customHeight="1" x14ac:dyDescent="0.2">
      <c r="B51" s="25" t="s">
        <v>227</v>
      </c>
      <c r="C51" s="25" t="s">
        <v>228</v>
      </c>
      <c r="D51" s="25" t="s">
        <v>229</v>
      </c>
      <c r="E51" s="26">
        <v>99612</v>
      </c>
      <c r="F51" s="27">
        <v>388.24</v>
      </c>
      <c r="G51" s="28">
        <v>5.7000000000000002E-3</v>
      </c>
      <c r="H51" s="29"/>
    </row>
    <row r="52" spans="2:8" ht="15.75" customHeight="1" x14ac:dyDescent="0.2">
      <c r="B52" s="25" t="s">
        <v>275</v>
      </c>
      <c r="C52" s="25" t="s">
        <v>276</v>
      </c>
      <c r="D52" s="25" t="s">
        <v>277</v>
      </c>
      <c r="E52" s="26">
        <v>6043</v>
      </c>
      <c r="F52" s="27">
        <v>383.91</v>
      </c>
      <c r="G52" s="28">
        <v>5.5999999999999999E-3</v>
      </c>
      <c r="H52" s="29"/>
    </row>
    <row r="53" spans="2:8" ht="15.75" customHeight="1" x14ac:dyDescent="0.2">
      <c r="B53" s="25" t="s">
        <v>319</v>
      </c>
      <c r="C53" s="25" t="s">
        <v>320</v>
      </c>
      <c r="D53" s="25" t="s">
        <v>316</v>
      </c>
      <c r="E53" s="26">
        <v>27038</v>
      </c>
      <c r="F53" s="27">
        <v>378.84</v>
      </c>
      <c r="G53" s="28">
        <v>5.4999999999999997E-3</v>
      </c>
      <c r="H53" s="29"/>
    </row>
    <row r="54" spans="2:8" ht="15.75" customHeight="1" x14ac:dyDescent="0.2">
      <c r="B54" s="25" t="s">
        <v>691</v>
      </c>
      <c r="C54" s="25" t="s">
        <v>692</v>
      </c>
      <c r="D54" s="25" t="s">
        <v>693</v>
      </c>
      <c r="E54" s="26">
        <v>28715</v>
      </c>
      <c r="F54" s="27">
        <v>367.67</v>
      </c>
      <c r="G54" s="28">
        <v>5.4000000000000003E-3</v>
      </c>
      <c r="H54" s="29"/>
    </row>
    <row r="55" spans="2:8" ht="15.75" customHeight="1" x14ac:dyDescent="0.2">
      <c r="B55" s="25" t="s">
        <v>454</v>
      </c>
      <c r="C55" s="25" t="s">
        <v>455</v>
      </c>
      <c r="D55" s="25" t="s">
        <v>138</v>
      </c>
      <c r="E55" s="26">
        <v>7072</v>
      </c>
      <c r="F55" s="27">
        <v>367.63</v>
      </c>
      <c r="G55" s="28">
        <v>5.4000000000000003E-3</v>
      </c>
      <c r="H55" s="29"/>
    </row>
    <row r="56" spans="2:8" ht="15.75" customHeight="1" x14ac:dyDescent="0.2">
      <c r="B56" s="25" t="s">
        <v>726</v>
      </c>
      <c r="C56" s="25" t="s">
        <v>727</v>
      </c>
      <c r="D56" s="25" t="s">
        <v>316</v>
      </c>
      <c r="E56" s="26">
        <v>63625</v>
      </c>
      <c r="F56" s="27">
        <v>366.86</v>
      </c>
      <c r="G56" s="28">
        <v>5.3E-3</v>
      </c>
      <c r="H56" s="29"/>
    </row>
    <row r="57" spans="2:8" ht="15.75" customHeight="1" x14ac:dyDescent="0.2">
      <c r="B57" s="25" t="s">
        <v>780</v>
      </c>
      <c r="C57" s="25" t="s">
        <v>781</v>
      </c>
      <c r="D57" s="25" t="s">
        <v>229</v>
      </c>
      <c r="E57" s="26">
        <v>21836</v>
      </c>
      <c r="F57" s="27">
        <v>364.54</v>
      </c>
      <c r="G57" s="28">
        <v>5.3E-3</v>
      </c>
      <c r="H57" s="29"/>
    </row>
    <row r="58" spans="2:8" ht="15.75" customHeight="1" x14ac:dyDescent="0.2">
      <c r="B58" s="25" t="s">
        <v>286</v>
      </c>
      <c r="C58" s="25" t="s">
        <v>287</v>
      </c>
      <c r="D58" s="25" t="s">
        <v>141</v>
      </c>
      <c r="E58" s="26">
        <v>7799</v>
      </c>
      <c r="F58" s="27">
        <v>360.43</v>
      </c>
      <c r="G58" s="28">
        <v>5.3E-3</v>
      </c>
      <c r="H58" s="29"/>
    </row>
    <row r="59" spans="2:8" ht="15.75" customHeight="1" x14ac:dyDescent="0.2">
      <c r="B59" s="25" t="s">
        <v>684</v>
      </c>
      <c r="C59" s="25" t="s">
        <v>685</v>
      </c>
      <c r="D59" s="25" t="s">
        <v>207</v>
      </c>
      <c r="E59" s="26">
        <v>8949</v>
      </c>
      <c r="F59" s="27">
        <v>339.41</v>
      </c>
      <c r="G59" s="28">
        <v>4.8999999999999998E-3</v>
      </c>
      <c r="H59" s="29"/>
    </row>
    <row r="60" spans="2:8" ht="15.75" customHeight="1" x14ac:dyDescent="0.2">
      <c r="B60" s="25" t="s">
        <v>696</v>
      </c>
      <c r="C60" s="25" t="s">
        <v>697</v>
      </c>
      <c r="D60" s="25" t="s">
        <v>187</v>
      </c>
      <c r="E60" s="26">
        <v>11225</v>
      </c>
      <c r="F60" s="27">
        <v>336.68</v>
      </c>
      <c r="G60" s="28">
        <v>4.8999999999999998E-3</v>
      </c>
      <c r="H60" s="29"/>
    </row>
    <row r="61" spans="2:8" ht="15.75" customHeight="1" x14ac:dyDescent="0.2">
      <c r="B61" s="25" t="s">
        <v>762</v>
      </c>
      <c r="C61" s="25" t="s">
        <v>763</v>
      </c>
      <c r="D61" s="25" t="s">
        <v>132</v>
      </c>
      <c r="E61" s="26">
        <v>220488</v>
      </c>
      <c r="F61" s="27">
        <v>324.01</v>
      </c>
      <c r="G61" s="28">
        <v>4.7000000000000002E-3</v>
      </c>
      <c r="H61" s="29"/>
    </row>
    <row r="62" spans="2:8" ht="15.75" customHeight="1" x14ac:dyDescent="0.2">
      <c r="B62" s="25" t="s">
        <v>333</v>
      </c>
      <c r="C62" s="25" t="s">
        <v>334</v>
      </c>
      <c r="D62" s="25" t="s">
        <v>141</v>
      </c>
      <c r="E62" s="26">
        <v>8205</v>
      </c>
      <c r="F62" s="27">
        <v>315.04000000000002</v>
      </c>
      <c r="G62" s="28">
        <v>4.5999999999999999E-3</v>
      </c>
      <c r="H62" s="29"/>
    </row>
    <row r="63" spans="2:8" ht="15.75" customHeight="1" x14ac:dyDescent="0.2">
      <c r="B63" s="25" t="s">
        <v>764</v>
      </c>
      <c r="C63" s="25" t="s">
        <v>765</v>
      </c>
      <c r="D63" s="25" t="s">
        <v>328</v>
      </c>
      <c r="E63" s="26">
        <v>39228</v>
      </c>
      <c r="F63" s="27">
        <v>314.83999999999997</v>
      </c>
      <c r="G63" s="28">
        <v>4.5999999999999999E-3</v>
      </c>
      <c r="H63" s="29"/>
    </row>
    <row r="64" spans="2:8" ht="15.75" customHeight="1" x14ac:dyDescent="0.2">
      <c r="B64" s="25" t="s">
        <v>142</v>
      </c>
      <c r="C64" s="25" t="s">
        <v>143</v>
      </c>
      <c r="D64" s="25" t="s">
        <v>127</v>
      </c>
      <c r="E64" s="26">
        <v>5497</v>
      </c>
      <c r="F64" s="27">
        <v>299.51</v>
      </c>
      <c r="G64" s="28">
        <v>4.4000000000000003E-3</v>
      </c>
      <c r="H64" s="29"/>
    </row>
    <row r="65" spans="2:16" ht="15.75" customHeight="1" x14ac:dyDescent="0.2">
      <c r="B65" s="25" t="s">
        <v>538</v>
      </c>
      <c r="C65" s="25" t="s">
        <v>539</v>
      </c>
      <c r="D65" s="25" t="s">
        <v>170</v>
      </c>
      <c r="E65" s="26">
        <v>24397</v>
      </c>
      <c r="F65" s="27">
        <v>288.89999999999998</v>
      </c>
      <c r="G65" s="28">
        <v>4.1999999999999997E-3</v>
      </c>
      <c r="H65" s="29"/>
    </row>
    <row r="66" spans="2:16" ht="15.75" customHeight="1" x14ac:dyDescent="0.2">
      <c r="B66" s="25" t="s">
        <v>173</v>
      </c>
      <c r="C66" s="25" t="s">
        <v>174</v>
      </c>
      <c r="D66" s="25" t="s">
        <v>132</v>
      </c>
      <c r="E66" s="26">
        <v>57422</v>
      </c>
      <c r="F66" s="27">
        <v>288.45999999999998</v>
      </c>
      <c r="G66" s="28">
        <v>4.1999999999999997E-3</v>
      </c>
      <c r="H66" s="29"/>
    </row>
    <row r="67" spans="2:16" ht="15.75" customHeight="1" x14ac:dyDescent="0.2">
      <c r="B67" s="25" t="s">
        <v>477</v>
      </c>
      <c r="C67" s="25" t="s">
        <v>478</v>
      </c>
      <c r="D67" s="25" t="s">
        <v>204</v>
      </c>
      <c r="E67" s="26">
        <v>7649</v>
      </c>
      <c r="F67" s="27">
        <v>280.76</v>
      </c>
      <c r="G67" s="28">
        <v>4.1000000000000003E-3</v>
      </c>
      <c r="H67" s="29"/>
    </row>
    <row r="68" spans="2:16" ht="15.75" customHeight="1" x14ac:dyDescent="0.2">
      <c r="B68" s="25" t="s">
        <v>306</v>
      </c>
      <c r="C68" s="25" t="s">
        <v>307</v>
      </c>
      <c r="D68" s="25" t="s">
        <v>308</v>
      </c>
      <c r="E68" s="26">
        <v>162300</v>
      </c>
      <c r="F68" s="27">
        <v>280.13</v>
      </c>
      <c r="G68" s="28">
        <v>4.1000000000000003E-3</v>
      </c>
      <c r="H68" s="29"/>
      <c r="L68" s="3"/>
    </row>
    <row r="69" spans="2:16" ht="15.75" customHeight="1" x14ac:dyDescent="0.2">
      <c r="B69" s="25" t="s">
        <v>524</v>
      </c>
      <c r="C69" s="25" t="s">
        <v>525</v>
      </c>
      <c r="D69" s="25" t="s">
        <v>141</v>
      </c>
      <c r="E69" s="26">
        <v>13986</v>
      </c>
      <c r="F69" s="27">
        <v>279.91000000000003</v>
      </c>
      <c r="G69" s="28">
        <v>4.1000000000000003E-3</v>
      </c>
      <c r="H69" s="29"/>
    </row>
    <row r="70" spans="2:16" ht="15.75" customHeight="1" x14ac:dyDescent="0.2">
      <c r="B70" s="25" t="s">
        <v>158</v>
      </c>
      <c r="C70" s="25" t="s">
        <v>159</v>
      </c>
      <c r="D70" s="25" t="s">
        <v>124</v>
      </c>
      <c r="E70" s="26">
        <v>111625</v>
      </c>
      <c r="F70" s="27">
        <v>276.38</v>
      </c>
      <c r="G70" s="28">
        <v>4.0000000000000001E-3</v>
      </c>
      <c r="H70" s="29"/>
      <c r="L70" s="3"/>
    </row>
    <row r="71" spans="2:16" ht="15.75" customHeight="1" x14ac:dyDescent="0.2">
      <c r="B71" s="25" t="s">
        <v>224</v>
      </c>
      <c r="C71" s="25" t="s">
        <v>225</v>
      </c>
      <c r="D71" s="25" t="s">
        <v>226</v>
      </c>
      <c r="E71" s="26">
        <v>22774</v>
      </c>
      <c r="F71" s="27">
        <v>265.13</v>
      </c>
      <c r="G71" s="28">
        <v>3.8999999999999998E-3</v>
      </c>
      <c r="H71" s="29"/>
      <c r="L71" s="3"/>
    </row>
    <row r="72" spans="2:16" ht="15.75" customHeight="1" x14ac:dyDescent="0.2">
      <c r="B72" s="25" t="s">
        <v>603</v>
      </c>
      <c r="C72" s="25" t="s">
        <v>604</v>
      </c>
      <c r="D72" s="25" t="s">
        <v>165</v>
      </c>
      <c r="E72" s="26">
        <v>8413</v>
      </c>
      <c r="F72" s="27">
        <v>249.14</v>
      </c>
      <c r="G72" s="28">
        <v>3.5999999999999999E-3</v>
      </c>
      <c r="H72" s="29"/>
      <c r="L72" s="3"/>
    </row>
    <row r="73" spans="2:16" ht="15.75" customHeight="1" x14ac:dyDescent="0.2">
      <c r="B73" s="25" t="s">
        <v>766</v>
      </c>
      <c r="C73" s="25" t="s">
        <v>767</v>
      </c>
      <c r="D73" s="25" t="s">
        <v>313</v>
      </c>
      <c r="E73" s="26">
        <v>44041</v>
      </c>
      <c r="F73" s="27">
        <v>246.76</v>
      </c>
      <c r="G73" s="28">
        <v>3.5999999999999999E-3</v>
      </c>
      <c r="H73" s="29"/>
      <c r="L73" s="3"/>
    </row>
    <row r="74" spans="2:16" ht="15.75" customHeight="1" x14ac:dyDescent="0.2">
      <c r="B74" s="25" t="s">
        <v>532</v>
      </c>
      <c r="C74" s="25" t="s">
        <v>533</v>
      </c>
      <c r="D74" s="25" t="s">
        <v>207</v>
      </c>
      <c r="E74" s="26">
        <v>4653</v>
      </c>
      <c r="F74" s="27">
        <v>234.12</v>
      </c>
      <c r="G74" s="28">
        <v>3.3999999999999998E-3</v>
      </c>
      <c r="H74" s="29"/>
      <c r="L74" s="3"/>
    </row>
    <row r="75" spans="2:16" ht="15.75" customHeight="1" x14ac:dyDescent="0.2">
      <c r="B75" s="25" t="s">
        <v>213</v>
      </c>
      <c r="C75" s="25" t="s">
        <v>214</v>
      </c>
      <c r="D75" s="25" t="s">
        <v>215</v>
      </c>
      <c r="E75" s="26">
        <v>9143</v>
      </c>
      <c r="F75" s="27">
        <v>231.6</v>
      </c>
      <c r="G75" s="28">
        <v>3.3999999999999998E-3</v>
      </c>
      <c r="H75" s="29"/>
      <c r="L75" s="5"/>
      <c r="M75" s="5"/>
      <c r="N75" s="6"/>
      <c r="O75" s="6"/>
      <c r="P75" s="5"/>
    </row>
    <row r="76" spans="2:16" ht="15.75" customHeight="1" x14ac:dyDescent="0.2">
      <c r="B76" s="25" t="s">
        <v>768</v>
      </c>
      <c r="C76" s="25" t="s">
        <v>769</v>
      </c>
      <c r="D76" s="25" t="s">
        <v>316</v>
      </c>
      <c r="E76" s="26">
        <v>15343</v>
      </c>
      <c r="F76" s="27">
        <v>229.7</v>
      </c>
      <c r="G76" s="28">
        <v>3.3E-3</v>
      </c>
      <c r="H76" s="29"/>
    </row>
    <row r="77" spans="2:16" ht="15.75" customHeight="1" x14ac:dyDescent="0.2">
      <c r="B77" s="25" t="s">
        <v>770</v>
      </c>
      <c r="C77" s="25" t="s">
        <v>771</v>
      </c>
      <c r="D77" s="25" t="s">
        <v>313</v>
      </c>
      <c r="E77" s="26">
        <v>800</v>
      </c>
      <c r="F77" s="27">
        <v>228.45</v>
      </c>
      <c r="G77" s="28">
        <v>3.3E-3</v>
      </c>
      <c r="H77" s="29"/>
    </row>
    <row r="78" spans="2:16" ht="15.75" customHeight="1" x14ac:dyDescent="0.2">
      <c r="B78" s="25" t="s">
        <v>378</v>
      </c>
      <c r="C78" s="25" t="s">
        <v>379</v>
      </c>
      <c r="D78" s="25" t="s">
        <v>361</v>
      </c>
      <c r="E78" s="26">
        <v>5339</v>
      </c>
      <c r="F78" s="27">
        <v>221.06</v>
      </c>
      <c r="G78" s="28">
        <v>3.2000000000000002E-3</v>
      </c>
      <c r="H78" s="29"/>
      <c r="L78" s="7"/>
      <c r="M78" s="7"/>
      <c r="N78" s="7"/>
      <c r="O78" s="7"/>
      <c r="P78" s="7"/>
    </row>
    <row r="79" spans="2:16" ht="15.75" customHeight="1" x14ac:dyDescent="0.2">
      <c r="B79" s="25" t="s">
        <v>784</v>
      </c>
      <c r="C79" s="25" t="s">
        <v>785</v>
      </c>
      <c r="D79" s="25" t="s">
        <v>170</v>
      </c>
      <c r="E79" s="26">
        <v>2606</v>
      </c>
      <c r="F79" s="27">
        <v>218.03</v>
      </c>
      <c r="G79" s="28">
        <v>3.2000000000000002E-3</v>
      </c>
      <c r="H79" s="29"/>
      <c r="L79" s="7"/>
      <c r="M79" s="7"/>
      <c r="N79" s="7"/>
      <c r="O79" s="7"/>
      <c r="P79" s="7"/>
    </row>
    <row r="80" spans="2:16" ht="15.75" customHeight="1" x14ac:dyDescent="0.2">
      <c r="B80" s="25" t="s">
        <v>199</v>
      </c>
      <c r="C80" s="25" t="s">
        <v>200</v>
      </c>
      <c r="D80" s="25" t="s">
        <v>201</v>
      </c>
      <c r="E80" s="26">
        <v>79546</v>
      </c>
      <c r="F80" s="27">
        <v>217.84</v>
      </c>
      <c r="G80" s="28">
        <v>3.2000000000000002E-3</v>
      </c>
      <c r="H80" s="29"/>
      <c r="L80" s="7"/>
      <c r="M80" s="7"/>
      <c r="N80" s="7"/>
      <c r="O80" s="7"/>
      <c r="P80" s="7"/>
    </row>
    <row r="81" spans="2:16" ht="15.75" customHeight="1" x14ac:dyDescent="0.2">
      <c r="B81" s="25" t="s">
        <v>772</v>
      </c>
      <c r="C81" s="25" t="s">
        <v>773</v>
      </c>
      <c r="D81" s="25" t="s">
        <v>226</v>
      </c>
      <c r="E81" s="26">
        <v>7994</v>
      </c>
      <c r="F81" s="27">
        <v>205.37</v>
      </c>
      <c r="G81" s="28">
        <v>3.0000000000000001E-3</v>
      </c>
      <c r="H81" s="29"/>
      <c r="L81" s="7"/>
      <c r="M81" s="7"/>
      <c r="N81" s="7"/>
      <c r="O81" s="7"/>
      <c r="P81" s="7"/>
    </row>
    <row r="82" spans="2:16" ht="15.75" customHeight="1" x14ac:dyDescent="0.2">
      <c r="B82" s="25" t="s">
        <v>774</v>
      </c>
      <c r="C82" s="25" t="s">
        <v>775</v>
      </c>
      <c r="D82" s="25" t="s">
        <v>124</v>
      </c>
      <c r="E82" s="26">
        <v>177794</v>
      </c>
      <c r="F82" s="27">
        <v>203.4</v>
      </c>
      <c r="G82" s="28">
        <v>3.0000000000000001E-3</v>
      </c>
      <c r="H82" s="29"/>
      <c r="L82" s="7"/>
      <c r="M82" s="7"/>
      <c r="N82" s="7"/>
      <c r="O82" s="7"/>
      <c r="P82" s="7"/>
    </row>
    <row r="83" spans="2:16" ht="15.75" customHeight="1" x14ac:dyDescent="0.2">
      <c r="B83" s="25" t="s">
        <v>282</v>
      </c>
      <c r="C83" s="25" t="s">
        <v>283</v>
      </c>
      <c r="D83" s="25" t="s">
        <v>215</v>
      </c>
      <c r="E83" s="26">
        <v>8712</v>
      </c>
      <c r="F83" s="27">
        <v>202.56</v>
      </c>
      <c r="G83" s="28">
        <v>3.0000000000000001E-3</v>
      </c>
      <c r="H83" s="29"/>
      <c r="L83" s="7"/>
      <c r="M83" s="7"/>
      <c r="N83" s="7"/>
      <c r="O83" s="7"/>
      <c r="P83" s="7"/>
    </row>
    <row r="84" spans="2:16" ht="15.75" customHeight="1" x14ac:dyDescent="0.2">
      <c r="B84" s="25" t="s">
        <v>222</v>
      </c>
      <c r="C84" s="25" t="s">
        <v>223</v>
      </c>
      <c r="D84" s="25" t="s">
        <v>212</v>
      </c>
      <c r="E84" s="26">
        <v>15020</v>
      </c>
      <c r="F84" s="27">
        <v>194.42</v>
      </c>
      <c r="G84" s="28">
        <v>2.8E-3</v>
      </c>
      <c r="H84" s="29"/>
      <c r="L84" s="7"/>
      <c r="M84" s="7"/>
      <c r="N84" s="7"/>
      <c r="O84" s="7"/>
      <c r="P84" s="7"/>
    </row>
    <row r="85" spans="2:16" ht="15.75" customHeight="1" x14ac:dyDescent="0.2">
      <c r="B85" s="25" t="s">
        <v>565</v>
      </c>
      <c r="C85" s="25" t="s">
        <v>566</v>
      </c>
      <c r="D85" s="25" t="s">
        <v>124</v>
      </c>
      <c r="E85" s="26">
        <v>40243</v>
      </c>
      <c r="F85" s="27">
        <v>193.97</v>
      </c>
      <c r="G85" s="28">
        <v>2.8E-3</v>
      </c>
      <c r="H85" s="29"/>
    </row>
    <row r="86" spans="2:16" ht="15.75" customHeight="1" x14ac:dyDescent="0.2">
      <c r="B86" s="25" t="s">
        <v>786</v>
      </c>
      <c r="C86" s="25" t="s">
        <v>787</v>
      </c>
      <c r="D86" s="25" t="s">
        <v>229</v>
      </c>
      <c r="E86" s="26">
        <v>18134</v>
      </c>
      <c r="F86" s="27">
        <v>193.64</v>
      </c>
      <c r="G86" s="28">
        <v>2.8E-3</v>
      </c>
      <c r="H86" s="29"/>
      <c r="L86" s="3"/>
    </row>
    <row r="87" spans="2:16" ht="15.75" customHeight="1" x14ac:dyDescent="0.2">
      <c r="B87" s="25" t="s">
        <v>776</v>
      </c>
      <c r="C87" s="25" t="s">
        <v>777</v>
      </c>
      <c r="D87" s="25" t="s">
        <v>693</v>
      </c>
      <c r="E87" s="26">
        <v>17451</v>
      </c>
      <c r="F87" s="27">
        <v>190.17</v>
      </c>
      <c r="G87" s="28">
        <v>2.8E-3</v>
      </c>
      <c r="H87" s="29"/>
    </row>
    <row r="88" spans="2:16" ht="15.75" customHeight="1" x14ac:dyDescent="0.2">
      <c r="B88" s="25" t="s">
        <v>575</v>
      </c>
      <c r="C88" s="25" t="s">
        <v>576</v>
      </c>
      <c r="D88" s="25" t="s">
        <v>226</v>
      </c>
      <c r="E88" s="26">
        <v>35056</v>
      </c>
      <c r="F88" s="27">
        <v>189.16</v>
      </c>
      <c r="G88" s="28">
        <v>2.8E-3</v>
      </c>
      <c r="H88" s="29"/>
    </row>
    <row r="89" spans="2:16" ht="15.75" customHeight="1" x14ac:dyDescent="0.2">
      <c r="B89" s="25" t="s">
        <v>356</v>
      </c>
      <c r="C89" s="25" t="s">
        <v>357</v>
      </c>
      <c r="D89" s="25" t="s">
        <v>358</v>
      </c>
      <c r="E89" s="26">
        <v>18239</v>
      </c>
      <c r="F89" s="27">
        <v>178.23</v>
      </c>
      <c r="G89" s="28">
        <v>2.5999999999999999E-3</v>
      </c>
      <c r="H89" s="29"/>
    </row>
    <row r="90" spans="2:16" ht="15.75" customHeight="1" x14ac:dyDescent="0.2">
      <c r="B90" s="25" t="s">
        <v>788</v>
      </c>
      <c r="C90" s="25" t="s">
        <v>789</v>
      </c>
      <c r="D90" s="25" t="s">
        <v>308</v>
      </c>
      <c r="E90" s="26">
        <v>16497</v>
      </c>
      <c r="F90" s="27">
        <v>167.01</v>
      </c>
      <c r="G90" s="28">
        <v>2.3999999999999998E-3</v>
      </c>
      <c r="H90" s="29"/>
    </row>
    <row r="91" spans="2:16" ht="15.75" customHeight="1" x14ac:dyDescent="0.2">
      <c r="B91" s="25" t="s">
        <v>178</v>
      </c>
      <c r="C91" s="25" t="s">
        <v>179</v>
      </c>
      <c r="D91" s="25" t="s">
        <v>180</v>
      </c>
      <c r="E91" s="26">
        <v>22029</v>
      </c>
      <c r="F91" s="27">
        <v>166.79</v>
      </c>
      <c r="G91" s="28">
        <v>2.3999999999999998E-3</v>
      </c>
      <c r="H91" s="29"/>
    </row>
    <row r="92" spans="2:16" ht="15.75" customHeight="1" x14ac:dyDescent="0.2">
      <c r="B92" s="25" t="s">
        <v>778</v>
      </c>
      <c r="C92" s="25" t="s">
        <v>779</v>
      </c>
      <c r="D92" s="25" t="s">
        <v>592</v>
      </c>
      <c r="E92" s="26">
        <v>31206</v>
      </c>
      <c r="F92" s="27">
        <v>164.72</v>
      </c>
      <c r="G92" s="28">
        <v>2.3999999999999998E-3</v>
      </c>
      <c r="H92" s="29"/>
    </row>
    <row r="93" spans="2:16" ht="15.75" customHeight="1" x14ac:dyDescent="0.2">
      <c r="B93" s="25" t="s">
        <v>796</v>
      </c>
      <c r="C93" s="25" t="s">
        <v>797</v>
      </c>
      <c r="D93" s="25" t="s">
        <v>141</v>
      </c>
      <c r="E93" s="26">
        <v>28089</v>
      </c>
      <c r="F93" s="27">
        <v>164.04</v>
      </c>
      <c r="G93" s="28">
        <v>2.3999999999999998E-3</v>
      </c>
      <c r="H93" s="29"/>
    </row>
    <row r="94" spans="2:16" ht="15.75" customHeight="1" x14ac:dyDescent="0.2">
      <c r="B94" s="25" t="s">
        <v>462</v>
      </c>
      <c r="C94" s="25" t="s">
        <v>463</v>
      </c>
      <c r="D94" s="25" t="s">
        <v>196</v>
      </c>
      <c r="E94" s="26">
        <v>4829</v>
      </c>
      <c r="F94" s="27">
        <v>162.87</v>
      </c>
      <c r="G94" s="28">
        <v>2.3999999999999998E-3</v>
      </c>
      <c r="H94" s="29"/>
    </row>
    <row r="95" spans="2:16" ht="15.75" customHeight="1" x14ac:dyDescent="0.2">
      <c r="B95" s="25" t="s">
        <v>728</v>
      </c>
      <c r="C95" s="25" t="s">
        <v>729</v>
      </c>
      <c r="D95" s="25" t="s">
        <v>196</v>
      </c>
      <c r="E95" s="26">
        <v>30212</v>
      </c>
      <c r="F95" s="27">
        <v>162.44999999999999</v>
      </c>
      <c r="G95" s="28">
        <v>2.3999999999999998E-3</v>
      </c>
      <c r="H95" s="29"/>
    </row>
    <row r="96" spans="2:16" ht="15.75" customHeight="1" x14ac:dyDescent="0.2">
      <c r="B96" s="25" t="s">
        <v>250</v>
      </c>
      <c r="C96" s="25" t="s">
        <v>251</v>
      </c>
      <c r="D96" s="25" t="s">
        <v>252</v>
      </c>
      <c r="E96" s="26">
        <v>142199</v>
      </c>
      <c r="F96" s="27">
        <v>161.04</v>
      </c>
      <c r="G96" s="28">
        <v>2.3E-3</v>
      </c>
      <c r="H96" s="29"/>
    </row>
    <row r="97" spans="2:8" ht="15.75" customHeight="1" x14ac:dyDescent="0.2">
      <c r="B97" s="25" t="s">
        <v>782</v>
      </c>
      <c r="C97" s="25" t="s">
        <v>783</v>
      </c>
      <c r="D97" s="25" t="s">
        <v>361</v>
      </c>
      <c r="E97" s="26">
        <v>3176</v>
      </c>
      <c r="F97" s="27">
        <v>148.37</v>
      </c>
      <c r="G97" s="28">
        <v>2.2000000000000001E-3</v>
      </c>
      <c r="H97" s="29"/>
    </row>
    <row r="98" spans="2:8" ht="15.75" customHeight="1" x14ac:dyDescent="0.2">
      <c r="B98" s="25" t="s">
        <v>790</v>
      </c>
      <c r="C98" s="25" t="s">
        <v>791</v>
      </c>
      <c r="D98" s="25" t="s">
        <v>316</v>
      </c>
      <c r="E98" s="26">
        <v>15167</v>
      </c>
      <c r="F98" s="27">
        <v>144.05000000000001</v>
      </c>
      <c r="G98" s="28">
        <v>2.0999999999999999E-3</v>
      </c>
      <c r="H98" s="29"/>
    </row>
    <row r="99" spans="2:8" ht="15.75" customHeight="1" x14ac:dyDescent="0.2">
      <c r="B99" s="25" t="s">
        <v>278</v>
      </c>
      <c r="C99" s="25" t="s">
        <v>279</v>
      </c>
      <c r="D99" s="25" t="s">
        <v>204</v>
      </c>
      <c r="E99" s="26">
        <v>5480</v>
      </c>
      <c r="F99" s="27">
        <v>138.69999999999999</v>
      </c>
      <c r="G99" s="28">
        <v>2E-3</v>
      </c>
      <c r="H99" s="29"/>
    </row>
    <row r="100" spans="2:8" ht="15.75" customHeight="1" x14ac:dyDescent="0.2">
      <c r="B100" s="25" t="s">
        <v>421</v>
      </c>
      <c r="C100" s="25" t="s">
        <v>422</v>
      </c>
      <c r="D100" s="25" t="s">
        <v>170</v>
      </c>
      <c r="E100" s="26">
        <v>17597</v>
      </c>
      <c r="F100" s="27">
        <v>125.88</v>
      </c>
      <c r="G100" s="28">
        <v>1.8E-3</v>
      </c>
      <c r="H100" s="29"/>
    </row>
    <row r="101" spans="2:8" ht="15.75" customHeight="1" x14ac:dyDescent="0.2">
      <c r="B101" s="25" t="s">
        <v>694</v>
      </c>
      <c r="C101" s="25" t="s">
        <v>695</v>
      </c>
      <c r="D101" s="25" t="s">
        <v>252</v>
      </c>
      <c r="E101" s="26">
        <v>514</v>
      </c>
      <c r="F101" s="27">
        <v>121.14</v>
      </c>
      <c r="G101" s="28">
        <v>1.8E-3</v>
      </c>
      <c r="H101" s="29"/>
    </row>
    <row r="102" spans="2:8" ht="15.75" customHeight="1" x14ac:dyDescent="0.2">
      <c r="B102" s="25" t="s">
        <v>314</v>
      </c>
      <c r="C102" s="25" t="s">
        <v>315</v>
      </c>
      <c r="D102" s="25" t="s">
        <v>316</v>
      </c>
      <c r="E102" s="26">
        <v>23339</v>
      </c>
      <c r="F102" s="27">
        <v>117.45</v>
      </c>
      <c r="G102" s="28">
        <v>1.6999999999999999E-3</v>
      </c>
      <c r="H102" s="29"/>
    </row>
    <row r="103" spans="2:8" ht="15.75" customHeight="1" x14ac:dyDescent="0.2">
      <c r="B103" s="25" t="s">
        <v>230</v>
      </c>
      <c r="C103" s="25" t="s">
        <v>231</v>
      </c>
      <c r="D103" s="25" t="s">
        <v>204</v>
      </c>
      <c r="E103" s="26">
        <v>15238</v>
      </c>
      <c r="F103" s="27">
        <v>115.93</v>
      </c>
      <c r="G103" s="28">
        <v>1.6999999999999999E-3</v>
      </c>
      <c r="H103" s="29"/>
    </row>
    <row r="104" spans="2:8" ht="15.75" customHeight="1" x14ac:dyDescent="0.2">
      <c r="B104" s="25" t="s">
        <v>792</v>
      </c>
      <c r="C104" s="25" t="s">
        <v>793</v>
      </c>
      <c r="D104" s="25" t="s">
        <v>226</v>
      </c>
      <c r="E104" s="26">
        <v>565</v>
      </c>
      <c r="F104" s="27">
        <v>97.44</v>
      </c>
      <c r="G104" s="28">
        <v>1.4E-3</v>
      </c>
      <c r="H104" s="29"/>
    </row>
    <row r="105" spans="2:8" ht="15.75" customHeight="1" x14ac:dyDescent="0.2">
      <c r="B105" s="25" t="s">
        <v>612</v>
      </c>
      <c r="C105" s="25" t="s">
        <v>613</v>
      </c>
      <c r="D105" s="25" t="s">
        <v>212</v>
      </c>
      <c r="E105" s="26">
        <v>16783</v>
      </c>
      <c r="F105" s="27">
        <v>94.85</v>
      </c>
      <c r="G105" s="28">
        <v>1.4E-3</v>
      </c>
      <c r="H105" s="29"/>
    </row>
    <row r="106" spans="2:8" ht="15.75" customHeight="1" x14ac:dyDescent="0.2">
      <c r="B106" s="25" t="s">
        <v>417</v>
      </c>
      <c r="C106" s="25" t="s">
        <v>418</v>
      </c>
      <c r="D106" s="25" t="s">
        <v>170</v>
      </c>
      <c r="E106" s="26">
        <v>6524</v>
      </c>
      <c r="F106" s="27">
        <v>91.01</v>
      </c>
      <c r="G106" s="28">
        <v>1.2999999999999999E-3</v>
      </c>
      <c r="H106" s="29"/>
    </row>
    <row r="107" spans="2:8" ht="15.75" customHeight="1" x14ac:dyDescent="0.2">
      <c r="B107" s="25" t="s">
        <v>794</v>
      </c>
      <c r="C107" s="25" t="s">
        <v>795</v>
      </c>
      <c r="D107" s="25" t="s">
        <v>592</v>
      </c>
      <c r="E107" s="26">
        <v>9350</v>
      </c>
      <c r="F107" s="27">
        <v>33.229999999999997</v>
      </c>
      <c r="G107" s="28">
        <v>5.0000000000000001E-4</v>
      </c>
      <c r="H107" s="29"/>
    </row>
    <row r="108" spans="2:8" ht="15.75" customHeight="1" x14ac:dyDescent="0.2">
      <c r="B108" s="24" t="s">
        <v>94</v>
      </c>
      <c r="C108" s="24"/>
      <c r="D108" s="24"/>
      <c r="E108" s="30"/>
      <c r="F108" s="31">
        <v>68583.179999999993</v>
      </c>
      <c r="G108" s="32">
        <v>0.99919999999999998</v>
      </c>
      <c r="H108" s="33"/>
    </row>
    <row r="109" spans="2:8" ht="15.75" customHeight="1" x14ac:dyDescent="0.2">
      <c r="B109" s="24" t="s">
        <v>144</v>
      </c>
      <c r="C109" s="25"/>
      <c r="D109" s="25"/>
      <c r="E109" s="26"/>
      <c r="F109" s="27"/>
      <c r="G109" s="28"/>
      <c r="H109" s="29"/>
    </row>
    <row r="110" spans="2:8" ht="15.75" customHeight="1" x14ac:dyDescent="0.2">
      <c r="B110" s="24" t="s">
        <v>94</v>
      </c>
      <c r="C110" s="25"/>
      <c r="D110" s="25"/>
      <c r="E110" s="26"/>
      <c r="F110" s="34" t="s">
        <v>96</v>
      </c>
      <c r="G110" s="35" t="s">
        <v>96</v>
      </c>
      <c r="H110" s="29"/>
    </row>
    <row r="111" spans="2:8" ht="15.75" customHeight="1" x14ac:dyDescent="0.2">
      <c r="B111" s="25"/>
      <c r="C111" s="25"/>
      <c r="D111" s="25"/>
      <c r="E111" s="26"/>
      <c r="F111" s="27"/>
      <c r="G111" s="28"/>
      <c r="H111" s="29"/>
    </row>
    <row r="112" spans="2:8" ht="15.75" customHeight="1" x14ac:dyDescent="0.2">
      <c r="B112" s="36" t="s">
        <v>98</v>
      </c>
      <c r="C112" s="36"/>
      <c r="D112" s="36"/>
      <c r="E112" s="37"/>
      <c r="F112" s="31">
        <v>68583.179999999993</v>
      </c>
      <c r="G112" s="32">
        <v>0.99919999999999998</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101</v>
      </c>
      <c r="C115" s="25"/>
      <c r="D115" s="25"/>
      <c r="E115" s="26"/>
      <c r="F115" s="27"/>
      <c r="G115" s="28"/>
      <c r="H115" s="29"/>
    </row>
    <row r="116" spans="2:8" ht="15.75" customHeight="1" x14ac:dyDescent="0.2">
      <c r="B116" s="25" t="s">
        <v>102</v>
      </c>
      <c r="C116" s="25"/>
      <c r="D116" s="25"/>
      <c r="E116" s="26"/>
      <c r="F116" s="27">
        <v>40.43</v>
      </c>
      <c r="G116" s="28">
        <v>5.9999999999999995E-4</v>
      </c>
      <c r="H116" s="29"/>
    </row>
    <row r="117" spans="2:8" ht="15.75" customHeight="1" x14ac:dyDescent="0.2">
      <c r="B117" s="24" t="s">
        <v>94</v>
      </c>
      <c r="C117" s="24"/>
      <c r="D117" s="24"/>
      <c r="E117" s="30"/>
      <c r="F117" s="31">
        <v>40.43</v>
      </c>
      <c r="G117" s="32">
        <v>5.9999999999999995E-4</v>
      </c>
      <c r="H117" s="33"/>
    </row>
    <row r="118" spans="2:8" ht="15.75" customHeight="1" x14ac:dyDescent="0.2">
      <c r="B118" s="25"/>
      <c r="C118" s="25"/>
      <c r="D118" s="25"/>
      <c r="E118" s="26"/>
      <c r="F118" s="27"/>
      <c r="G118" s="28"/>
      <c r="H118" s="29"/>
    </row>
    <row r="119" spans="2:8" ht="15.75" customHeight="1" x14ac:dyDescent="0.2">
      <c r="B119" s="36" t="s">
        <v>98</v>
      </c>
      <c r="C119" s="36"/>
      <c r="D119" s="36"/>
      <c r="E119" s="37"/>
      <c r="F119" s="31">
        <v>40.43</v>
      </c>
      <c r="G119" s="32">
        <v>5.9999999999999995E-4</v>
      </c>
      <c r="H119" s="33"/>
    </row>
    <row r="120" spans="2:8" ht="15.75" customHeight="1" x14ac:dyDescent="0.2">
      <c r="B120" s="25" t="s">
        <v>103</v>
      </c>
      <c r="C120" s="25"/>
      <c r="D120" s="25"/>
      <c r="E120" s="26"/>
      <c r="F120" s="27">
        <v>13.36</v>
      </c>
      <c r="G120" s="28">
        <v>1.9999999999997797E-4</v>
      </c>
      <c r="H120" s="29"/>
    </row>
    <row r="121" spans="2:8" ht="15.75" customHeight="1" x14ac:dyDescent="0.2">
      <c r="B121" s="40" t="s">
        <v>104</v>
      </c>
      <c r="C121" s="40"/>
      <c r="D121" s="40"/>
      <c r="E121" s="41"/>
      <c r="F121" s="42">
        <v>68636.97</v>
      </c>
      <c r="G121" s="43">
        <v>1</v>
      </c>
      <c r="H121" s="44"/>
    </row>
    <row r="122" spans="2:8" ht="15.75" customHeight="1" thickBot="1" x14ac:dyDescent="0.25">
      <c r="B122" s="2"/>
    </row>
    <row r="123" spans="2:8" ht="27" customHeight="1" thickBot="1" x14ac:dyDescent="0.25">
      <c r="B123" s="57" t="s">
        <v>829</v>
      </c>
      <c r="C123" s="58" t="s">
        <v>830</v>
      </c>
      <c r="D123" s="58" t="s">
        <v>831</v>
      </c>
      <c r="E123" s="63" t="s">
        <v>832</v>
      </c>
      <c r="G123" s="2"/>
      <c r="H123" s="2"/>
    </row>
    <row r="124" spans="2:8" ht="21.75" customHeight="1" x14ac:dyDescent="0.2">
      <c r="B124" s="70" t="s">
        <v>69</v>
      </c>
      <c r="C124" s="82"/>
      <c r="D124" s="85" t="s">
        <v>898</v>
      </c>
      <c r="E124" s="87"/>
      <c r="G124" s="2"/>
      <c r="H124" s="2"/>
    </row>
    <row r="125" spans="2:8" ht="31.5" customHeight="1" x14ac:dyDescent="0.2">
      <c r="B125" s="66" t="s">
        <v>919</v>
      </c>
      <c r="C125" s="83"/>
      <c r="D125" s="86"/>
      <c r="E125" s="83"/>
      <c r="G125" s="2"/>
      <c r="H125" s="2"/>
    </row>
    <row r="126" spans="2:8" ht="48.75" customHeight="1" x14ac:dyDescent="0.2">
      <c r="B126" s="66" t="s">
        <v>920</v>
      </c>
      <c r="C126" s="83"/>
      <c r="D126" s="86"/>
      <c r="E126" s="83"/>
      <c r="G126" s="2"/>
      <c r="H126" s="2"/>
    </row>
    <row r="127" spans="2:8" ht="28.5" customHeight="1" thickBot="1" x14ac:dyDescent="0.25">
      <c r="B127" s="68" t="s">
        <v>921</v>
      </c>
      <c r="C127" s="84"/>
      <c r="D127" s="71" t="s">
        <v>921</v>
      </c>
      <c r="E127" s="88"/>
      <c r="G127" s="2"/>
      <c r="H127" s="2"/>
    </row>
    <row r="128" spans="2:8" ht="24.95" customHeight="1" x14ac:dyDescent="0.2">
      <c r="B128" s="59" t="s">
        <v>833</v>
      </c>
      <c r="C128" s="60"/>
      <c r="D128" s="61"/>
      <c r="E128" s="62"/>
      <c r="G128" s="2"/>
      <c r="H128" s="2"/>
    </row>
    <row r="130" spans="2:8" ht="12" x14ac:dyDescent="0.2">
      <c r="B130" s="2" t="s">
        <v>834</v>
      </c>
      <c r="C130" s="2"/>
      <c r="D130" s="2"/>
      <c r="G130" s="2"/>
      <c r="H130" s="2"/>
    </row>
    <row r="131" spans="2:8" ht="12" x14ac:dyDescent="0.2">
      <c r="B131" s="3" t="s">
        <v>835</v>
      </c>
      <c r="C131" s="2"/>
      <c r="D131" s="2"/>
      <c r="G131" s="2"/>
      <c r="H131" s="2"/>
    </row>
  </sheetData>
  <mergeCells count="3">
    <mergeCell ref="C124:C127"/>
    <mergeCell ref="D124:D126"/>
    <mergeCell ref="E124:E127"/>
  </mergeCells>
  <hyperlinks>
    <hyperlink ref="I1" location="'Sheet1'!A1" display="Index" xr:uid="{6EAE4B72-82DF-4852-B02E-2040C46C686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5329-1001-4E55-980A-6E6C5606225D}">
  <dimension ref="B1:P88"/>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4.7109375" style="9" customWidth="1"/>
    <col min="4" max="4" width="26.5703125" style="9" customWidth="1"/>
    <col min="5" max="5" width="29.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848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122</v>
      </c>
      <c r="C7" s="25" t="s">
        <v>123</v>
      </c>
      <c r="D7" s="25" t="s">
        <v>124</v>
      </c>
      <c r="E7" s="26">
        <v>712339</v>
      </c>
      <c r="F7" s="27">
        <v>7323.91</v>
      </c>
      <c r="G7" s="28">
        <v>7.3499999999999996E-2</v>
      </c>
      <c r="H7" s="29"/>
    </row>
    <row r="8" spans="2:9" ht="15.75" customHeight="1" x14ac:dyDescent="0.2">
      <c r="B8" s="25" t="s">
        <v>128</v>
      </c>
      <c r="C8" s="25" t="s">
        <v>129</v>
      </c>
      <c r="D8" s="25" t="s">
        <v>124</v>
      </c>
      <c r="E8" s="26">
        <v>462949</v>
      </c>
      <c r="F8" s="27">
        <v>6770.86</v>
      </c>
      <c r="G8" s="28">
        <v>6.8000000000000005E-2</v>
      </c>
      <c r="H8" s="29"/>
    </row>
    <row r="9" spans="2:9" ht="15.75" customHeight="1" x14ac:dyDescent="0.2">
      <c r="B9" s="25" t="s">
        <v>125</v>
      </c>
      <c r="C9" s="25" t="s">
        <v>126</v>
      </c>
      <c r="D9" s="25" t="s">
        <v>127</v>
      </c>
      <c r="E9" s="26">
        <v>207379</v>
      </c>
      <c r="F9" s="27">
        <v>3444.36</v>
      </c>
      <c r="G9" s="28">
        <v>3.4599999999999999E-2</v>
      </c>
      <c r="H9" s="29"/>
    </row>
    <row r="10" spans="2:9" ht="15.75" customHeight="1" x14ac:dyDescent="0.2">
      <c r="B10" s="25" t="s">
        <v>188</v>
      </c>
      <c r="C10" s="25" t="s">
        <v>189</v>
      </c>
      <c r="D10" s="25" t="s">
        <v>124</v>
      </c>
      <c r="E10" s="26">
        <v>526034</v>
      </c>
      <c r="F10" s="27">
        <v>3369.25</v>
      </c>
      <c r="G10" s="28">
        <v>3.3799999999999997E-2</v>
      </c>
      <c r="H10" s="29"/>
    </row>
    <row r="11" spans="2:9" ht="15.75" customHeight="1" x14ac:dyDescent="0.2">
      <c r="B11" s="25" t="s">
        <v>166</v>
      </c>
      <c r="C11" s="25" t="s">
        <v>167</v>
      </c>
      <c r="D11" s="25" t="s">
        <v>124</v>
      </c>
      <c r="E11" s="26">
        <v>277288</v>
      </c>
      <c r="F11" s="27">
        <v>2960.74</v>
      </c>
      <c r="G11" s="28">
        <v>2.9700000000000001E-2</v>
      </c>
      <c r="H11" s="29"/>
    </row>
    <row r="12" spans="2:9" ht="15.75" customHeight="1" x14ac:dyDescent="0.2">
      <c r="B12" s="25" t="s">
        <v>538</v>
      </c>
      <c r="C12" s="25" t="s">
        <v>539</v>
      </c>
      <c r="D12" s="25" t="s">
        <v>170</v>
      </c>
      <c r="E12" s="26">
        <v>247804</v>
      </c>
      <c r="F12" s="27">
        <v>2934.37</v>
      </c>
      <c r="G12" s="28">
        <v>2.9499999999999998E-2</v>
      </c>
      <c r="H12" s="29"/>
    </row>
    <row r="13" spans="2:9" ht="15.75" customHeight="1" x14ac:dyDescent="0.2">
      <c r="B13" s="25" t="s">
        <v>205</v>
      </c>
      <c r="C13" s="25" t="s">
        <v>206</v>
      </c>
      <c r="D13" s="25" t="s">
        <v>207</v>
      </c>
      <c r="E13" s="26">
        <v>84106</v>
      </c>
      <c r="F13" s="27">
        <v>2596.31</v>
      </c>
      <c r="G13" s="28">
        <v>2.6100000000000002E-2</v>
      </c>
      <c r="H13" s="29"/>
    </row>
    <row r="14" spans="2:9" ht="15.75" customHeight="1" x14ac:dyDescent="0.2">
      <c r="B14" s="25" t="s">
        <v>160</v>
      </c>
      <c r="C14" s="25" t="s">
        <v>161</v>
      </c>
      <c r="D14" s="25" t="s">
        <v>162</v>
      </c>
      <c r="E14" s="26">
        <v>69655</v>
      </c>
      <c r="F14" s="27">
        <v>2423.8200000000002</v>
      </c>
      <c r="G14" s="28">
        <v>2.4299999999999999E-2</v>
      </c>
      <c r="H14" s="29"/>
    </row>
    <row r="15" spans="2:9" ht="15.75" customHeight="1" x14ac:dyDescent="0.2">
      <c r="B15" s="25" t="s">
        <v>216</v>
      </c>
      <c r="C15" s="25" t="s">
        <v>217</v>
      </c>
      <c r="D15" s="25" t="s">
        <v>212</v>
      </c>
      <c r="E15" s="26">
        <v>65475</v>
      </c>
      <c r="F15" s="27">
        <v>2420.9699999999998</v>
      </c>
      <c r="G15" s="28">
        <v>2.4299999999999999E-2</v>
      </c>
      <c r="H15" s="29"/>
    </row>
    <row r="16" spans="2:9" ht="15.75" customHeight="1" x14ac:dyDescent="0.2">
      <c r="B16" s="25" t="s">
        <v>462</v>
      </c>
      <c r="C16" s="25" t="s">
        <v>463</v>
      </c>
      <c r="D16" s="25" t="s">
        <v>196</v>
      </c>
      <c r="E16" s="26">
        <v>66197</v>
      </c>
      <c r="F16" s="27">
        <v>2232.59</v>
      </c>
      <c r="G16" s="28">
        <v>2.24E-2</v>
      </c>
      <c r="H16" s="29"/>
    </row>
    <row r="17" spans="2:8" ht="15.75" customHeight="1" x14ac:dyDescent="0.2">
      <c r="B17" s="25" t="s">
        <v>130</v>
      </c>
      <c r="C17" s="25" t="s">
        <v>131</v>
      </c>
      <c r="D17" s="25" t="s">
        <v>132</v>
      </c>
      <c r="E17" s="26">
        <v>77980</v>
      </c>
      <c r="F17" s="27">
        <v>2224.96</v>
      </c>
      <c r="G17" s="28">
        <v>2.23E-2</v>
      </c>
      <c r="H17" s="29"/>
    </row>
    <row r="18" spans="2:8" ht="15.75" customHeight="1" x14ac:dyDescent="0.2">
      <c r="B18" s="25" t="s">
        <v>782</v>
      </c>
      <c r="C18" s="25" t="s">
        <v>783</v>
      </c>
      <c r="D18" s="25" t="s">
        <v>361</v>
      </c>
      <c r="E18" s="26">
        <v>46960</v>
      </c>
      <c r="F18" s="27">
        <v>2193.7800000000002</v>
      </c>
      <c r="G18" s="28">
        <v>2.1999999999999999E-2</v>
      </c>
      <c r="H18" s="29"/>
    </row>
    <row r="19" spans="2:8" ht="15.75" customHeight="1" x14ac:dyDescent="0.2">
      <c r="B19" s="25" t="s">
        <v>352</v>
      </c>
      <c r="C19" s="25" t="s">
        <v>353</v>
      </c>
      <c r="D19" s="25" t="s">
        <v>124</v>
      </c>
      <c r="E19" s="26">
        <v>1994289</v>
      </c>
      <c r="F19" s="27">
        <v>2069.0700000000002</v>
      </c>
      <c r="G19" s="28">
        <v>2.0799999999999999E-2</v>
      </c>
      <c r="H19" s="29"/>
    </row>
    <row r="20" spans="2:8" ht="15.75" customHeight="1" x14ac:dyDescent="0.2">
      <c r="B20" s="25" t="s">
        <v>294</v>
      </c>
      <c r="C20" s="25" t="s">
        <v>295</v>
      </c>
      <c r="D20" s="25" t="s">
        <v>170</v>
      </c>
      <c r="E20" s="26">
        <v>433523</v>
      </c>
      <c r="F20" s="27">
        <v>1921.59</v>
      </c>
      <c r="G20" s="28">
        <v>1.9300000000000001E-2</v>
      </c>
      <c r="H20" s="29"/>
    </row>
    <row r="21" spans="2:8" ht="15.75" customHeight="1" x14ac:dyDescent="0.2">
      <c r="B21" s="25" t="s">
        <v>282</v>
      </c>
      <c r="C21" s="25" t="s">
        <v>283</v>
      </c>
      <c r="D21" s="25" t="s">
        <v>215</v>
      </c>
      <c r="E21" s="26">
        <v>79455</v>
      </c>
      <c r="F21" s="27">
        <v>1847.41</v>
      </c>
      <c r="G21" s="28">
        <v>1.8499999999999999E-2</v>
      </c>
      <c r="H21" s="29"/>
    </row>
    <row r="22" spans="2:8" ht="15.75" customHeight="1" x14ac:dyDescent="0.2">
      <c r="B22" s="25" t="s">
        <v>269</v>
      </c>
      <c r="C22" s="25" t="s">
        <v>270</v>
      </c>
      <c r="D22" s="25" t="s">
        <v>127</v>
      </c>
      <c r="E22" s="26">
        <v>116618</v>
      </c>
      <c r="F22" s="27">
        <v>1837.9</v>
      </c>
      <c r="G22" s="28">
        <v>1.84E-2</v>
      </c>
      <c r="H22" s="29"/>
    </row>
    <row r="23" spans="2:8" ht="15.75" customHeight="1" x14ac:dyDescent="0.2">
      <c r="B23" s="25" t="s">
        <v>190</v>
      </c>
      <c r="C23" s="25" t="s">
        <v>191</v>
      </c>
      <c r="D23" s="25" t="s">
        <v>135</v>
      </c>
      <c r="E23" s="26">
        <v>413205</v>
      </c>
      <c r="F23" s="27">
        <v>1824.51</v>
      </c>
      <c r="G23" s="28">
        <v>1.83E-2</v>
      </c>
      <c r="H23" s="29"/>
    </row>
    <row r="24" spans="2:8" ht="15.75" customHeight="1" x14ac:dyDescent="0.2">
      <c r="B24" s="25" t="s">
        <v>168</v>
      </c>
      <c r="C24" s="25" t="s">
        <v>169</v>
      </c>
      <c r="D24" s="25" t="s">
        <v>170</v>
      </c>
      <c r="E24" s="26">
        <v>26160</v>
      </c>
      <c r="F24" s="27">
        <v>1795.33</v>
      </c>
      <c r="G24" s="28">
        <v>1.7999999999999999E-2</v>
      </c>
      <c r="H24" s="29"/>
    </row>
    <row r="25" spans="2:8" ht="15.75" customHeight="1" x14ac:dyDescent="0.2">
      <c r="B25" s="25" t="s">
        <v>691</v>
      </c>
      <c r="C25" s="25" t="s">
        <v>692</v>
      </c>
      <c r="D25" s="25" t="s">
        <v>693</v>
      </c>
      <c r="E25" s="26">
        <v>130936</v>
      </c>
      <c r="F25" s="27">
        <v>1676.5</v>
      </c>
      <c r="G25" s="28">
        <v>1.6799999999999999E-2</v>
      </c>
      <c r="H25" s="29"/>
    </row>
    <row r="26" spans="2:8" ht="15.75" customHeight="1" x14ac:dyDescent="0.2">
      <c r="B26" s="25" t="s">
        <v>370</v>
      </c>
      <c r="C26" s="25" t="s">
        <v>371</v>
      </c>
      <c r="D26" s="25" t="s">
        <v>303</v>
      </c>
      <c r="E26" s="26">
        <v>134720</v>
      </c>
      <c r="F26" s="27">
        <v>1664.13</v>
      </c>
      <c r="G26" s="28">
        <v>1.67E-2</v>
      </c>
      <c r="H26" s="29"/>
    </row>
    <row r="27" spans="2:8" ht="15.75" customHeight="1" x14ac:dyDescent="0.2">
      <c r="B27" s="25" t="s">
        <v>333</v>
      </c>
      <c r="C27" s="25" t="s">
        <v>334</v>
      </c>
      <c r="D27" s="25" t="s">
        <v>141</v>
      </c>
      <c r="E27" s="26">
        <v>42699</v>
      </c>
      <c r="F27" s="27">
        <v>1639.47</v>
      </c>
      <c r="G27" s="28">
        <v>1.6500000000000001E-2</v>
      </c>
      <c r="H27" s="29"/>
    </row>
    <row r="28" spans="2:8" ht="15.75" customHeight="1" x14ac:dyDescent="0.2">
      <c r="B28" s="25" t="s">
        <v>520</v>
      </c>
      <c r="C28" s="25" t="s">
        <v>521</v>
      </c>
      <c r="D28" s="25" t="s">
        <v>358</v>
      </c>
      <c r="E28" s="26">
        <v>330609</v>
      </c>
      <c r="F28" s="27">
        <v>1628.75</v>
      </c>
      <c r="G28" s="28">
        <v>1.6299999999999999E-2</v>
      </c>
      <c r="H28" s="29"/>
    </row>
    <row r="29" spans="2:8" ht="15.75" customHeight="1" x14ac:dyDescent="0.2">
      <c r="B29" s="25" t="s">
        <v>311</v>
      </c>
      <c r="C29" s="25" t="s">
        <v>312</v>
      </c>
      <c r="D29" s="25" t="s">
        <v>313</v>
      </c>
      <c r="E29" s="26">
        <v>74242</v>
      </c>
      <c r="F29" s="27">
        <v>1614.76</v>
      </c>
      <c r="G29" s="28">
        <v>1.6199999999999999E-2</v>
      </c>
      <c r="H29" s="29"/>
    </row>
    <row r="30" spans="2:8" ht="15.75" customHeight="1" x14ac:dyDescent="0.2">
      <c r="B30" s="25" t="s">
        <v>197</v>
      </c>
      <c r="C30" s="25" t="s">
        <v>198</v>
      </c>
      <c r="D30" s="25" t="s">
        <v>170</v>
      </c>
      <c r="E30" s="26">
        <v>97317</v>
      </c>
      <c r="F30" s="27">
        <v>1583.64</v>
      </c>
      <c r="G30" s="28">
        <v>1.5900000000000001E-2</v>
      </c>
      <c r="H30" s="29"/>
    </row>
    <row r="31" spans="2:8" ht="15.75" customHeight="1" x14ac:dyDescent="0.2">
      <c r="B31" s="25" t="s">
        <v>636</v>
      </c>
      <c r="C31" s="25" t="s">
        <v>637</v>
      </c>
      <c r="D31" s="25" t="s">
        <v>212</v>
      </c>
      <c r="E31" s="26">
        <v>137222</v>
      </c>
      <c r="F31" s="27">
        <v>1563.64</v>
      </c>
      <c r="G31" s="28">
        <v>1.5699999999999999E-2</v>
      </c>
      <c r="H31" s="29"/>
    </row>
    <row r="32" spans="2:8" ht="15.75" customHeight="1" x14ac:dyDescent="0.2">
      <c r="B32" s="25" t="s">
        <v>183</v>
      </c>
      <c r="C32" s="25" t="s">
        <v>184</v>
      </c>
      <c r="D32" s="25" t="s">
        <v>141</v>
      </c>
      <c r="E32" s="26">
        <v>15229</v>
      </c>
      <c r="F32" s="27">
        <v>1551.36</v>
      </c>
      <c r="G32" s="28">
        <v>1.5599999999999999E-2</v>
      </c>
      <c r="H32" s="29"/>
    </row>
    <row r="33" spans="2:8" ht="15.75" customHeight="1" x14ac:dyDescent="0.2">
      <c r="B33" s="25" t="s">
        <v>133</v>
      </c>
      <c r="C33" s="25" t="s">
        <v>134</v>
      </c>
      <c r="D33" s="25" t="s">
        <v>135</v>
      </c>
      <c r="E33" s="26">
        <v>62212</v>
      </c>
      <c r="F33" s="27">
        <v>1543.82</v>
      </c>
      <c r="G33" s="28">
        <v>1.55E-2</v>
      </c>
      <c r="H33" s="29"/>
    </row>
    <row r="34" spans="2:8" ht="15.75" customHeight="1" x14ac:dyDescent="0.2">
      <c r="B34" s="25" t="s">
        <v>798</v>
      </c>
      <c r="C34" s="25" t="s">
        <v>799</v>
      </c>
      <c r="D34" s="25" t="s">
        <v>127</v>
      </c>
      <c r="E34" s="26">
        <v>98996</v>
      </c>
      <c r="F34" s="27">
        <v>1535.23</v>
      </c>
      <c r="G34" s="28">
        <v>1.54E-2</v>
      </c>
      <c r="H34" s="29"/>
    </row>
    <row r="35" spans="2:8" ht="15.75" customHeight="1" x14ac:dyDescent="0.2">
      <c r="B35" s="25" t="s">
        <v>331</v>
      </c>
      <c r="C35" s="25" t="s">
        <v>332</v>
      </c>
      <c r="D35" s="25" t="s">
        <v>313</v>
      </c>
      <c r="E35" s="26">
        <v>14839</v>
      </c>
      <c r="F35" s="27">
        <v>1508.73</v>
      </c>
      <c r="G35" s="28">
        <v>1.5100000000000001E-2</v>
      </c>
      <c r="H35" s="29"/>
    </row>
    <row r="36" spans="2:8" ht="15.75" customHeight="1" x14ac:dyDescent="0.2">
      <c r="B36" s="25" t="s">
        <v>646</v>
      </c>
      <c r="C36" s="25" t="s">
        <v>647</v>
      </c>
      <c r="D36" s="25" t="s">
        <v>212</v>
      </c>
      <c r="E36" s="26">
        <v>177791</v>
      </c>
      <c r="F36" s="27">
        <v>1395.93</v>
      </c>
      <c r="G36" s="28">
        <v>1.4E-2</v>
      </c>
      <c r="H36" s="29"/>
    </row>
    <row r="37" spans="2:8" ht="15.75" customHeight="1" x14ac:dyDescent="0.2">
      <c r="B37" s="25" t="s">
        <v>139</v>
      </c>
      <c r="C37" s="25" t="s">
        <v>140</v>
      </c>
      <c r="D37" s="25" t="s">
        <v>141</v>
      </c>
      <c r="E37" s="26">
        <v>83222</v>
      </c>
      <c r="F37" s="27">
        <v>1374.45</v>
      </c>
      <c r="G37" s="28">
        <v>1.38E-2</v>
      </c>
      <c r="H37" s="29"/>
    </row>
    <row r="38" spans="2:8" ht="15.75" customHeight="1" x14ac:dyDescent="0.2">
      <c r="B38" s="25" t="s">
        <v>136</v>
      </c>
      <c r="C38" s="25" t="s">
        <v>137</v>
      </c>
      <c r="D38" s="25" t="s">
        <v>138</v>
      </c>
      <c r="E38" s="26">
        <v>52220</v>
      </c>
      <c r="F38" s="27">
        <v>1308.6300000000001</v>
      </c>
      <c r="G38" s="28">
        <v>1.3100000000000001E-2</v>
      </c>
      <c r="H38" s="29"/>
    </row>
    <row r="39" spans="2:8" ht="15.75" customHeight="1" x14ac:dyDescent="0.2">
      <c r="B39" s="25" t="s">
        <v>630</v>
      </c>
      <c r="C39" s="25" t="s">
        <v>631</v>
      </c>
      <c r="D39" s="25" t="s">
        <v>303</v>
      </c>
      <c r="E39" s="26">
        <v>177919</v>
      </c>
      <c r="F39" s="27">
        <v>1264.83</v>
      </c>
      <c r="G39" s="28">
        <v>1.2699999999999999E-2</v>
      </c>
      <c r="H39" s="29"/>
    </row>
    <row r="40" spans="2:8" ht="15.75" customHeight="1" x14ac:dyDescent="0.2">
      <c r="B40" s="25" t="s">
        <v>230</v>
      </c>
      <c r="C40" s="25" t="s">
        <v>231</v>
      </c>
      <c r="D40" s="25" t="s">
        <v>204</v>
      </c>
      <c r="E40" s="26">
        <v>159425</v>
      </c>
      <c r="F40" s="27">
        <v>1212.9100000000001</v>
      </c>
      <c r="G40" s="28">
        <v>1.2200000000000001E-2</v>
      </c>
      <c r="H40" s="29"/>
    </row>
    <row r="41" spans="2:8" ht="15.75" customHeight="1" x14ac:dyDescent="0.2">
      <c r="B41" s="25" t="s">
        <v>346</v>
      </c>
      <c r="C41" s="25" t="s">
        <v>347</v>
      </c>
      <c r="D41" s="25" t="s">
        <v>207</v>
      </c>
      <c r="E41" s="26">
        <v>853703</v>
      </c>
      <c r="F41" s="27">
        <v>1191.3399999999999</v>
      </c>
      <c r="G41" s="28">
        <v>1.2E-2</v>
      </c>
      <c r="H41" s="29"/>
    </row>
    <row r="42" spans="2:8" ht="15.75" customHeight="1" x14ac:dyDescent="0.2">
      <c r="B42" s="25" t="s">
        <v>800</v>
      </c>
      <c r="C42" s="25" t="s">
        <v>801</v>
      </c>
      <c r="D42" s="25" t="s">
        <v>361</v>
      </c>
      <c r="E42" s="26">
        <v>37419</v>
      </c>
      <c r="F42" s="27">
        <v>1190.3900000000001</v>
      </c>
      <c r="G42" s="28">
        <v>1.1900000000000001E-2</v>
      </c>
      <c r="H42" s="29"/>
    </row>
    <row r="43" spans="2:8" ht="15.75" customHeight="1" x14ac:dyDescent="0.2">
      <c r="B43" s="25" t="s">
        <v>557</v>
      </c>
      <c r="C43" s="25" t="s">
        <v>558</v>
      </c>
      <c r="D43" s="25" t="s">
        <v>212</v>
      </c>
      <c r="E43" s="26">
        <v>105795</v>
      </c>
      <c r="F43" s="27">
        <v>1159.94</v>
      </c>
      <c r="G43" s="28">
        <v>1.1599999999999999E-2</v>
      </c>
      <c r="H43" s="29"/>
    </row>
    <row r="44" spans="2:8" ht="15.75" customHeight="1" x14ac:dyDescent="0.2">
      <c r="B44" s="25" t="s">
        <v>382</v>
      </c>
      <c r="C44" s="25" t="s">
        <v>383</v>
      </c>
      <c r="D44" s="25" t="s">
        <v>127</v>
      </c>
      <c r="E44" s="26">
        <v>18377</v>
      </c>
      <c r="F44" s="27">
        <v>1148.58</v>
      </c>
      <c r="G44" s="28">
        <v>1.15E-2</v>
      </c>
      <c r="H44" s="29"/>
    </row>
    <row r="45" spans="2:8" ht="15.75" customHeight="1" x14ac:dyDescent="0.2">
      <c r="B45" s="25" t="s">
        <v>666</v>
      </c>
      <c r="C45" s="25" t="s">
        <v>667</v>
      </c>
      <c r="D45" s="25" t="s">
        <v>215</v>
      </c>
      <c r="E45" s="26">
        <v>33466</v>
      </c>
      <c r="F45" s="27">
        <v>1143.7</v>
      </c>
      <c r="G45" s="28">
        <v>1.15E-2</v>
      </c>
      <c r="H45" s="29"/>
    </row>
    <row r="46" spans="2:8" ht="15.75" customHeight="1" x14ac:dyDescent="0.2">
      <c r="B46" s="25" t="s">
        <v>142</v>
      </c>
      <c r="C46" s="25" t="s">
        <v>143</v>
      </c>
      <c r="D46" s="25" t="s">
        <v>127</v>
      </c>
      <c r="E46" s="26">
        <v>20985</v>
      </c>
      <c r="F46" s="27">
        <v>1143.3800000000001</v>
      </c>
      <c r="G46" s="28">
        <v>1.15E-2</v>
      </c>
      <c r="H46" s="29"/>
    </row>
    <row r="47" spans="2:8" ht="15.75" customHeight="1" x14ac:dyDescent="0.2">
      <c r="B47" s="25" t="s">
        <v>704</v>
      </c>
      <c r="C47" s="25" t="s">
        <v>705</v>
      </c>
      <c r="D47" s="25" t="s">
        <v>165</v>
      </c>
      <c r="E47" s="26">
        <v>16642</v>
      </c>
      <c r="F47" s="27">
        <v>1083.26</v>
      </c>
      <c r="G47" s="28">
        <v>1.09E-2</v>
      </c>
      <c r="H47" s="29"/>
    </row>
    <row r="48" spans="2:8" ht="15.75" customHeight="1" x14ac:dyDescent="0.2">
      <c r="B48" s="25" t="s">
        <v>674</v>
      </c>
      <c r="C48" s="25" t="s">
        <v>675</v>
      </c>
      <c r="D48" s="25" t="s">
        <v>212</v>
      </c>
      <c r="E48" s="26">
        <v>13066</v>
      </c>
      <c r="F48" s="27">
        <v>1078.43</v>
      </c>
      <c r="G48" s="28">
        <v>1.0800000000000001E-2</v>
      </c>
      <c r="H48" s="29"/>
    </row>
    <row r="49" spans="2:8" ht="15.75" customHeight="1" x14ac:dyDescent="0.2">
      <c r="B49" s="25" t="s">
        <v>802</v>
      </c>
      <c r="C49" s="25" t="s">
        <v>803</v>
      </c>
      <c r="D49" s="25" t="s">
        <v>138</v>
      </c>
      <c r="E49" s="26">
        <v>90072</v>
      </c>
      <c r="F49" s="27">
        <v>1071.27</v>
      </c>
      <c r="G49" s="28">
        <v>1.0800000000000001E-2</v>
      </c>
      <c r="H49" s="29"/>
    </row>
    <row r="50" spans="2:8" ht="15.75" customHeight="1" x14ac:dyDescent="0.2">
      <c r="B50" s="25" t="s">
        <v>804</v>
      </c>
      <c r="C50" s="25" t="s">
        <v>805</v>
      </c>
      <c r="D50" s="25" t="s">
        <v>303</v>
      </c>
      <c r="E50" s="26">
        <v>25678</v>
      </c>
      <c r="F50" s="27">
        <v>1054.69</v>
      </c>
      <c r="G50" s="28">
        <v>1.06E-2</v>
      </c>
      <c r="H50" s="29"/>
    </row>
    <row r="51" spans="2:8" ht="15.75" customHeight="1" x14ac:dyDescent="0.2">
      <c r="B51" s="25" t="s">
        <v>806</v>
      </c>
      <c r="C51" s="25" t="s">
        <v>807</v>
      </c>
      <c r="D51" s="25" t="s">
        <v>212</v>
      </c>
      <c r="E51" s="26">
        <v>51772</v>
      </c>
      <c r="F51" s="27">
        <v>1051.96</v>
      </c>
      <c r="G51" s="28">
        <v>1.06E-2</v>
      </c>
      <c r="H51" s="29"/>
    </row>
    <row r="52" spans="2:8" ht="15.75" customHeight="1" x14ac:dyDescent="0.2">
      <c r="B52" s="25" t="s">
        <v>808</v>
      </c>
      <c r="C52" s="25" t="s">
        <v>809</v>
      </c>
      <c r="D52" s="25" t="s">
        <v>252</v>
      </c>
      <c r="E52" s="26">
        <v>23097</v>
      </c>
      <c r="F52" s="27">
        <v>1010.79</v>
      </c>
      <c r="G52" s="28">
        <v>1.01E-2</v>
      </c>
      <c r="H52" s="29"/>
    </row>
    <row r="53" spans="2:8" ht="15.75" customHeight="1" x14ac:dyDescent="0.2">
      <c r="B53" s="25" t="s">
        <v>590</v>
      </c>
      <c r="C53" s="25" t="s">
        <v>591</v>
      </c>
      <c r="D53" s="25" t="s">
        <v>592</v>
      </c>
      <c r="E53" s="26">
        <v>148276</v>
      </c>
      <c r="F53" s="27">
        <v>995.01</v>
      </c>
      <c r="G53" s="28">
        <v>0.01</v>
      </c>
      <c r="H53" s="29"/>
    </row>
    <row r="54" spans="2:8" ht="15.75" customHeight="1" x14ac:dyDescent="0.2">
      <c r="B54" s="25" t="s">
        <v>551</v>
      </c>
      <c r="C54" s="25" t="s">
        <v>552</v>
      </c>
      <c r="D54" s="25" t="s">
        <v>127</v>
      </c>
      <c r="E54" s="26">
        <v>12915</v>
      </c>
      <c r="F54" s="27">
        <v>982.21</v>
      </c>
      <c r="G54" s="28">
        <v>9.9000000000000008E-3</v>
      </c>
      <c r="H54" s="29"/>
    </row>
    <row r="55" spans="2:8" ht="15.75" customHeight="1" x14ac:dyDescent="0.2">
      <c r="B55" s="25" t="s">
        <v>526</v>
      </c>
      <c r="C55" s="25" t="s">
        <v>527</v>
      </c>
      <c r="D55" s="25" t="s">
        <v>252</v>
      </c>
      <c r="E55" s="26">
        <v>26985</v>
      </c>
      <c r="F55" s="27">
        <v>844.95</v>
      </c>
      <c r="G55" s="28">
        <v>8.5000000000000006E-3</v>
      </c>
      <c r="H55" s="29"/>
    </row>
    <row r="56" spans="2:8" ht="15.75" customHeight="1" x14ac:dyDescent="0.2">
      <c r="B56" s="25" t="s">
        <v>810</v>
      </c>
      <c r="C56" s="25" t="s">
        <v>811</v>
      </c>
      <c r="D56" s="25" t="s">
        <v>252</v>
      </c>
      <c r="E56" s="26">
        <v>5038</v>
      </c>
      <c r="F56" s="27">
        <v>823.04</v>
      </c>
      <c r="G56" s="28">
        <v>8.3000000000000001E-3</v>
      </c>
      <c r="H56" s="29"/>
    </row>
    <row r="57" spans="2:8" ht="15.75" customHeight="1" x14ac:dyDescent="0.2">
      <c r="B57" s="25" t="s">
        <v>506</v>
      </c>
      <c r="C57" s="25" t="s">
        <v>507</v>
      </c>
      <c r="D57" s="25" t="s">
        <v>204</v>
      </c>
      <c r="E57" s="26">
        <v>3004</v>
      </c>
      <c r="F57" s="27">
        <v>778.24</v>
      </c>
      <c r="G57" s="28">
        <v>7.7999999999999996E-3</v>
      </c>
      <c r="H57" s="29"/>
    </row>
    <row r="58" spans="2:8" ht="15.75" customHeight="1" x14ac:dyDescent="0.2">
      <c r="B58" s="25" t="s">
        <v>450</v>
      </c>
      <c r="C58" s="25" t="s">
        <v>451</v>
      </c>
      <c r="D58" s="25" t="s">
        <v>196</v>
      </c>
      <c r="E58" s="26">
        <v>67276</v>
      </c>
      <c r="F58" s="27">
        <v>706.33</v>
      </c>
      <c r="G58" s="28">
        <v>7.1000000000000004E-3</v>
      </c>
      <c r="H58" s="29"/>
    </row>
    <row r="59" spans="2:8" ht="15.75" customHeight="1" x14ac:dyDescent="0.2">
      <c r="B59" s="25" t="s">
        <v>634</v>
      </c>
      <c r="C59" s="25" t="s">
        <v>635</v>
      </c>
      <c r="D59" s="25" t="s">
        <v>303</v>
      </c>
      <c r="E59" s="26">
        <v>29166</v>
      </c>
      <c r="F59" s="27">
        <v>690.81</v>
      </c>
      <c r="G59" s="28">
        <v>6.8999999999999999E-3</v>
      </c>
      <c r="H59" s="29"/>
    </row>
    <row r="60" spans="2:8" ht="15.75" customHeight="1" x14ac:dyDescent="0.2">
      <c r="B60" s="25" t="s">
        <v>684</v>
      </c>
      <c r="C60" s="25" t="s">
        <v>685</v>
      </c>
      <c r="D60" s="25" t="s">
        <v>207</v>
      </c>
      <c r="E60" s="26">
        <v>15644</v>
      </c>
      <c r="F60" s="27">
        <v>593.33000000000004</v>
      </c>
      <c r="G60" s="28">
        <v>6.0000000000000001E-3</v>
      </c>
      <c r="H60" s="29"/>
    </row>
    <row r="61" spans="2:8" ht="15.75" customHeight="1" x14ac:dyDescent="0.2">
      <c r="B61" s="25" t="s">
        <v>553</v>
      </c>
      <c r="C61" s="25" t="s">
        <v>554</v>
      </c>
      <c r="D61" s="25" t="s">
        <v>303</v>
      </c>
      <c r="E61" s="26">
        <v>11023</v>
      </c>
      <c r="F61" s="27">
        <v>455.24</v>
      </c>
      <c r="G61" s="28">
        <v>4.5999999999999999E-3</v>
      </c>
      <c r="H61" s="29"/>
    </row>
    <row r="62" spans="2:8" ht="15.75" customHeight="1" x14ac:dyDescent="0.2">
      <c r="B62" s="25" t="s">
        <v>335</v>
      </c>
      <c r="C62" s="25" t="s">
        <v>336</v>
      </c>
      <c r="D62" s="25" t="s">
        <v>313</v>
      </c>
      <c r="E62" s="26">
        <v>2488</v>
      </c>
      <c r="F62" s="27">
        <v>20.3</v>
      </c>
      <c r="G62" s="28">
        <v>2.0000000000000001E-4</v>
      </c>
      <c r="H62" s="29"/>
    </row>
    <row r="63" spans="2:8" ht="15.75" customHeight="1" x14ac:dyDescent="0.2">
      <c r="B63" s="24" t="s">
        <v>94</v>
      </c>
      <c r="C63" s="24"/>
      <c r="D63" s="24"/>
      <c r="E63" s="30"/>
      <c r="F63" s="31">
        <v>96475.7</v>
      </c>
      <c r="G63" s="32">
        <v>0.96830000000000005</v>
      </c>
      <c r="H63" s="33"/>
    </row>
    <row r="64" spans="2:8" ht="15.75" customHeight="1" x14ac:dyDescent="0.2">
      <c r="B64" s="24" t="s">
        <v>144</v>
      </c>
      <c r="C64" s="25"/>
      <c r="D64" s="25"/>
      <c r="E64" s="26"/>
      <c r="F64" s="27"/>
      <c r="G64" s="28"/>
      <c r="H64" s="29"/>
    </row>
    <row r="65" spans="2:16" ht="15.75" customHeight="1" x14ac:dyDescent="0.2">
      <c r="B65" s="24" t="s">
        <v>94</v>
      </c>
      <c r="C65" s="25"/>
      <c r="D65" s="25"/>
      <c r="E65" s="26"/>
      <c r="F65" s="34" t="s">
        <v>96</v>
      </c>
      <c r="G65" s="35" t="s">
        <v>96</v>
      </c>
      <c r="H65" s="29"/>
    </row>
    <row r="66" spans="2:16" ht="15.75" customHeight="1" x14ac:dyDescent="0.2">
      <c r="B66" s="25"/>
      <c r="C66" s="25"/>
      <c r="D66" s="25"/>
      <c r="E66" s="26"/>
      <c r="F66" s="27"/>
      <c r="G66" s="28"/>
      <c r="H66" s="29"/>
    </row>
    <row r="67" spans="2:16" ht="15.75" customHeight="1" x14ac:dyDescent="0.2">
      <c r="B67" s="36" t="s">
        <v>98</v>
      </c>
      <c r="C67" s="36"/>
      <c r="D67" s="36"/>
      <c r="E67" s="37"/>
      <c r="F67" s="31">
        <v>96475.7</v>
      </c>
      <c r="G67" s="32">
        <v>0.96830000000000005</v>
      </c>
      <c r="H67" s="33"/>
    </row>
    <row r="68" spans="2:16" ht="15.75" customHeight="1" x14ac:dyDescent="0.2">
      <c r="B68" s="25"/>
      <c r="C68" s="25"/>
      <c r="D68" s="25"/>
      <c r="E68" s="26"/>
      <c r="F68" s="27"/>
      <c r="G68" s="28"/>
      <c r="H68" s="29"/>
      <c r="L68" s="3"/>
    </row>
    <row r="69" spans="2:16" ht="15.75" customHeight="1" x14ac:dyDescent="0.2">
      <c r="B69" s="25"/>
      <c r="C69" s="25"/>
      <c r="D69" s="25"/>
      <c r="E69" s="26"/>
      <c r="F69" s="27"/>
      <c r="G69" s="28"/>
      <c r="H69" s="29"/>
    </row>
    <row r="70" spans="2:16" ht="15.75" customHeight="1" x14ac:dyDescent="0.2">
      <c r="B70" s="24" t="s">
        <v>101</v>
      </c>
      <c r="C70" s="25"/>
      <c r="D70" s="25"/>
      <c r="E70" s="26"/>
      <c r="F70" s="27"/>
      <c r="G70" s="28"/>
      <c r="H70" s="29"/>
      <c r="L70" s="3"/>
    </row>
    <row r="71" spans="2:16" ht="15.75" customHeight="1" x14ac:dyDescent="0.2">
      <c r="B71" s="25" t="s">
        <v>102</v>
      </c>
      <c r="C71" s="25"/>
      <c r="D71" s="25"/>
      <c r="E71" s="26"/>
      <c r="F71" s="27">
        <v>3595.8</v>
      </c>
      <c r="G71" s="28">
        <v>3.61E-2</v>
      </c>
      <c r="H71" s="29"/>
      <c r="L71" s="3"/>
    </row>
    <row r="72" spans="2:16" ht="15.75" customHeight="1" x14ac:dyDescent="0.2">
      <c r="B72" s="24" t="s">
        <v>94</v>
      </c>
      <c r="C72" s="24"/>
      <c r="D72" s="24"/>
      <c r="E72" s="30"/>
      <c r="F72" s="31">
        <v>3595.8</v>
      </c>
      <c r="G72" s="32">
        <v>3.61E-2</v>
      </c>
      <c r="H72" s="33"/>
      <c r="L72" s="3"/>
    </row>
    <row r="73" spans="2:16" ht="15.75" customHeight="1" x14ac:dyDescent="0.2">
      <c r="B73" s="25"/>
      <c r="C73" s="25"/>
      <c r="D73" s="25"/>
      <c r="E73" s="26"/>
      <c r="F73" s="27"/>
      <c r="G73" s="28"/>
      <c r="H73" s="29"/>
      <c r="L73" s="3"/>
    </row>
    <row r="74" spans="2:16" ht="15.75" customHeight="1" x14ac:dyDescent="0.2">
      <c r="B74" s="36" t="s">
        <v>98</v>
      </c>
      <c r="C74" s="36"/>
      <c r="D74" s="36"/>
      <c r="E74" s="37"/>
      <c r="F74" s="31">
        <v>3595.8</v>
      </c>
      <c r="G74" s="32">
        <v>3.61E-2</v>
      </c>
      <c r="H74" s="33"/>
      <c r="L74" s="3"/>
    </row>
    <row r="75" spans="2:16" ht="15.75" customHeight="1" x14ac:dyDescent="0.2">
      <c r="B75" s="25" t="s">
        <v>103</v>
      </c>
      <c r="C75" s="25"/>
      <c r="D75" s="25"/>
      <c r="E75" s="26"/>
      <c r="F75" s="38">
        <v>-439.56</v>
      </c>
      <c r="G75" s="39">
        <v>-4.3999999999999595E-3</v>
      </c>
      <c r="H75" s="29"/>
      <c r="L75" s="5"/>
      <c r="M75" s="5"/>
      <c r="N75" s="6"/>
      <c r="O75" s="6"/>
      <c r="P75" s="5"/>
    </row>
    <row r="76" spans="2:16" ht="15.75" customHeight="1" x14ac:dyDescent="0.2">
      <c r="B76" s="40" t="s">
        <v>104</v>
      </c>
      <c r="C76" s="40"/>
      <c r="D76" s="40"/>
      <c r="E76" s="41"/>
      <c r="F76" s="42">
        <v>99631.94</v>
      </c>
      <c r="G76" s="43">
        <v>1</v>
      </c>
      <c r="H76" s="44"/>
    </row>
    <row r="77" spans="2:16" ht="15.75" customHeight="1" x14ac:dyDescent="0.2">
      <c r="B77" s="2"/>
    </row>
    <row r="78" spans="2:16" ht="15.75" customHeight="1" x14ac:dyDescent="0.2">
      <c r="B78" s="12" t="s">
        <v>119</v>
      </c>
      <c r="L78" s="7"/>
      <c r="M78" s="7"/>
      <c r="N78" s="7"/>
      <c r="O78" s="7"/>
      <c r="P78" s="7"/>
    </row>
    <row r="79" spans="2:16" ht="15.75" customHeight="1" thickBot="1" x14ac:dyDescent="0.25">
      <c r="L79" s="7"/>
      <c r="M79" s="7"/>
      <c r="N79" s="7"/>
      <c r="O79" s="7"/>
      <c r="P79" s="7"/>
    </row>
    <row r="80" spans="2:16" ht="27" customHeight="1" thickBot="1" x14ac:dyDescent="0.25">
      <c r="B80" s="57" t="s">
        <v>829</v>
      </c>
      <c r="C80" s="58" t="s">
        <v>830</v>
      </c>
      <c r="D80" s="58" t="s">
        <v>831</v>
      </c>
      <c r="E80" s="63" t="s">
        <v>832</v>
      </c>
      <c r="G80" s="2"/>
      <c r="H80" s="2"/>
    </row>
    <row r="81" spans="2:8" ht="28.5" customHeight="1" x14ac:dyDescent="0.2">
      <c r="B81" s="70" t="s">
        <v>922</v>
      </c>
      <c r="C81" s="82"/>
      <c r="D81" s="85" t="s">
        <v>887</v>
      </c>
      <c r="E81" s="87"/>
      <c r="G81" s="2"/>
      <c r="H81" s="2"/>
    </row>
    <row r="82" spans="2:8" ht="30" customHeight="1" x14ac:dyDescent="0.2">
      <c r="B82" s="66" t="s">
        <v>905</v>
      </c>
      <c r="C82" s="83"/>
      <c r="D82" s="86"/>
      <c r="E82" s="83"/>
      <c r="G82" s="2"/>
      <c r="H82" s="2"/>
    </row>
    <row r="83" spans="2:8" ht="30.75" customHeight="1" x14ac:dyDescent="0.2">
      <c r="B83" s="66" t="s">
        <v>923</v>
      </c>
      <c r="C83" s="83"/>
      <c r="D83" s="86"/>
      <c r="E83" s="83"/>
      <c r="G83" s="2"/>
      <c r="H83" s="2"/>
    </row>
    <row r="84" spans="2:8" ht="30" customHeight="1" thickBot="1" x14ac:dyDescent="0.25">
      <c r="B84" s="68" t="s">
        <v>866</v>
      </c>
      <c r="C84" s="84"/>
      <c r="D84" s="71" t="s">
        <v>866</v>
      </c>
      <c r="E84" s="88"/>
      <c r="G84" s="2"/>
      <c r="H84" s="2"/>
    </row>
    <row r="85" spans="2:8" ht="24.95" customHeight="1" x14ac:dyDescent="0.2">
      <c r="B85" s="59" t="s">
        <v>833</v>
      </c>
      <c r="C85" s="60"/>
      <c r="D85" s="61"/>
      <c r="E85" s="62"/>
      <c r="G85" s="2"/>
      <c r="H85" s="2"/>
    </row>
    <row r="87" spans="2:8" ht="12" x14ac:dyDescent="0.2">
      <c r="B87" s="2" t="s">
        <v>834</v>
      </c>
      <c r="C87" s="2"/>
      <c r="D87" s="2"/>
      <c r="G87" s="2"/>
      <c r="H87" s="2"/>
    </row>
    <row r="88" spans="2:8" ht="12" x14ac:dyDescent="0.2">
      <c r="B88" s="3" t="s">
        <v>835</v>
      </c>
      <c r="C88" s="2"/>
      <c r="D88" s="2"/>
      <c r="G88" s="2"/>
      <c r="H88" s="2"/>
    </row>
  </sheetData>
  <mergeCells count="3">
    <mergeCell ref="C81:C84"/>
    <mergeCell ref="D81:D83"/>
    <mergeCell ref="E81:E84"/>
  </mergeCells>
  <hyperlinks>
    <hyperlink ref="I1" location="'Sheet1'!A1" display="Index" xr:uid="{56F006D2-C833-438F-96E3-F06B9C0D7AE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F353-E8FE-48EB-B588-476E3634A3D7}">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5.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849</v>
      </c>
      <c r="D1" s="1" t="s">
        <v>850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635795</v>
      </c>
      <c r="F7" s="27">
        <v>9298.82</v>
      </c>
      <c r="G7" s="28">
        <v>0.11559999999999999</v>
      </c>
      <c r="H7" s="29"/>
    </row>
    <row r="8" spans="2:9" ht="15.75" customHeight="1" x14ac:dyDescent="0.2">
      <c r="B8" s="25" t="s">
        <v>130</v>
      </c>
      <c r="C8" s="25" t="s">
        <v>131</v>
      </c>
      <c r="D8" s="25" t="s">
        <v>132</v>
      </c>
      <c r="E8" s="26">
        <v>286773</v>
      </c>
      <c r="F8" s="27">
        <v>8182.35</v>
      </c>
      <c r="G8" s="28">
        <v>0.1017</v>
      </c>
      <c r="H8" s="29"/>
    </row>
    <row r="9" spans="2:9" ht="15.75" customHeight="1" x14ac:dyDescent="0.2">
      <c r="B9" s="25" t="s">
        <v>122</v>
      </c>
      <c r="C9" s="25" t="s">
        <v>123</v>
      </c>
      <c r="D9" s="25" t="s">
        <v>124</v>
      </c>
      <c r="E9" s="26">
        <v>593806</v>
      </c>
      <c r="F9" s="27">
        <v>6105.22</v>
      </c>
      <c r="G9" s="28">
        <v>7.5899999999999995E-2</v>
      </c>
      <c r="H9" s="29"/>
    </row>
    <row r="10" spans="2:9" ht="15.75" customHeight="1" x14ac:dyDescent="0.2">
      <c r="B10" s="25" t="s">
        <v>125</v>
      </c>
      <c r="C10" s="25" t="s">
        <v>126</v>
      </c>
      <c r="D10" s="25" t="s">
        <v>127</v>
      </c>
      <c r="E10" s="26">
        <v>302028</v>
      </c>
      <c r="F10" s="27">
        <v>5016.38</v>
      </c>
      <c r="G10" s="28">
        <v>6.2399999999999997E-2</v>
      </c>
      <c r="H10" s="29"/>
    </row>
    <row r="11" spans="2:9" ht="15.75" customHeight="1" x14ac:dyDescent="0.2">
      <c r="B11" s="25" t="s">
        <v>160</v>
      </c>
      <c r="C11" s="25" t="s">
        <v>161</v>
      </c>
      <c r="D11" s="25" t="s">
        <v>162</v>
      </c>
      <c r="E11" s="26">
        <v>99946</v>
      </c>
      <c r="F11" s="27">
        <v>3477.87</v>
      </c>
      <c r="G11" s="28">
        <v>4.3200000000000002E-2</v>
      </c>
      <c r="H11" s="29"/>
    </row>
    <row r="12" spans="2:9" ht="15.75" customHeight="1" x14ac:dyDescent="0.2">
      <c r="B12" s="25" t="s">
        <v>190</v>
      </c>
      <c r="C12" s="25" t="s">
        <v>191</v>
      </c>
      <c r="D12" s="25" t="s">
        <v>135</v>
      </c>
      <c r="E12" s="26">
        <v>750374</v>
      </c>
      <c r="F12" s="27">
        <v>3313.28</v>
      </c>
      <c r="G12" s="28">
        <v>4.1200000000000001E-2</v>
      </c>
      <c r="H12" s="29"/>
    </row>
    <row r="13" spans="2:9" ht="15.75" customHeight="1" x14ac:dyDescent="0.2">
      <c r="B13" s="25" t="s">
        <v>171</v>
      </c>
      <c r="C13" s="25" t="s">
        <v>172</v>
      </c>
      <c r="D13" s="25" t="s">
        <v>127</v>
      </c>
      <c r="E13" s="26">
        <v>86042</v>
      </c>
      <c r="F13" s="27">
        <v>3283.32</v>
      </c>
      <c r="G13" s="28">
        <v>4.0800000000000003E-2</v>
      </c>
      <c r="H13" s="29"/>
    </row>
    <row r="14" spans="2:9" ht="15.75" customHeight="1" x14ac:dyDescent="0.2">
      <c r="B14" s="25" t="s">
        <v>166</v>
      </c>
      <c r="C14" s="25" t="s">
        <v>167</v>
      </c>
      <c r="D14" s="25" t="s">
        <v>124</v>
      </c>
      <c r="E14" s="26">
        <v>235191</v>
      </c>
      <c r="F14" s="27">
        <v>2511.25</v>
      </c>
      <c r="G14" s="28">
        <v>3.1199999999999999E-2</v>
      </c>
      <c r="H14" s="29"/>
    </row>
    <row r="15" spans="2:9" ht="15.75" customHeight="1" x14ac:dyDescent="0.2">
      <c r="B15" s="25" t="s">
        <v>350</v>
      </c>
      <c r="C15" s="25" t="s">
        <v>351</v>
      </c>
      <c r="D15" s="25" t="s">
        <v>259</v>
      </c>
      <c r="E15" s="26">
        <v>214154</v>
      </c>
      <c r="F15" s="27">
        <v>2507.1</v>
      </c>
      <c r="G15" s="28">
        <v>3.1199999999999999E-2</v>
      </c>
      <c r="H15" s="29"/>
    </row>
    <row r="16" spans="2:9" ht="15.75" customHeight="1" x14ac:dyDescent="0.2">
      <c r="B16" s="25" t="s">
        <v>192</v>
      </c>
      <c r="C16" s="25" t="s">
        <v>193</v>
      </c>
      <c r="D16" s="25" t="s">
        <v>124</v>
      </c>
      <c r="E16" s="26">
        <v>124731</v>
      </c>
      <c r="F16" s="27">
        <v>2276.65</v>
      </c>
      <c r="G16" s="28">
        <v>2.8299999999999999E-2</v>
      </c>
      <c r="H16" s="29"/>
    </row>
    <row r="17" spans="2:8" ht="15.75" customHeight="1" x14ac:dyDescent="0.2">
      <c r="B17" s="25" t="s">
        <v>188</v>
      </c>
      <c r="C17" s="25" t="s">
        <v>189</v>
      </c>
      <c r="D17" s="25" t="s">
        <v>124</v>
      </c>
      <c r="E17" s="26">
        <v>323626</v>
      </c>
      <c r="F17" s="27">
        <v>2072.8200000000002</v>
      </c>
      <c r="G17" s="28">
        <v>2.58E-2</v>
      </c>
      <c r="H17" s="29"/>
    </row>
    <row r="18" spans="2:8" ht="15.75" customHeight="1" x14ac:dyDescent="0.2">
      <c r="B18" s="25" t="s">
        <v>133</v>
      </c>
      <c r="C18" s="25" t="s">
        <v>134</v>
      </c>
      <c r="D18" s="25" t="s">
        <v>135</v>
      </c>
      <c r="E18" s="26">
        <v>75571</v>
      </c>
      <c r="F18" s="27">
        <v>1875.33</v>
      </c>
      <c r="G18" s="28">
        <v>2.3300000000000001E-2</v>
      </c>
      <c r="H18" s="29"/>
    </row>
    <row r="19" spans="2:8" ht="15.75" customHeight="1" x14ac:dyDescent="0.2">
      <c r="B19" s="25" t="s">
        <v>168</v>
      </c>
      <c r="C19" s="25" t="s">
        <v>169</v>
      </c>
      <c r="D19" s="25" t="s">
        <v>170</v>
      </c>
      <c r="E19" s="26">
        <v>23526</v>
      </c>
      <c r="F19" s="27">
        <v>1614.57</v>
      </c>
      <c r="G19" s="28">
        <v>2.01E-2</v>
      </c>
      <c r="H19" s="29"/>
    </row>
    <row r="20" spans="2:8" ht="15.75" customHeight="1" x14ac:dyDescent="0.2">
      <c r="B20" s="25" t="s">
        <v>269</v>
      </c>
      <c r="C20" s="25" t="s">
        <v>270</v>
      </c>
      <c r="D20" s="25" t="s">
        <v>127</v>
      </c>
      <c r="E20" s="26">
        <v>89390</v>
      </c>
      <c r="F20" s="27">
        <v>1408.79</v>
      </c>
      <c r="G20" s="28">
        <v>1.7500000000000002E-2</v>
      </c>
      <c r="H20" s="29"/>
    </row>
    <row r="21" spans="2:8" ht="15.75" customHeight="1" x14ac:dyDescent="0.2">
      <c r="B21" s="25" t="s">
        <v>442</v>
      </c>
      <c r="C21" s="25" t="s">
        <v>443</v>
      </c>
      <c r="D21" s="25" t="s">
        <v>141</v>
      </c>
      <c r="E21" s="26">
        <v>148899</v>
      </c>
      <c r="F21" s="27">
        <v>1316.56</v>
      </c>
      <c r="G21" s="28">
        <v>1.6400000000000001E-2</v>
      </c>
      <c r="H21" s="29"/>
    </row>
    <row r="22" spans="2:8" ht="15.75" customHeight="1" x14ac:dyDescent="0.2">
      <c r="B22" s="25" t="s">
        <v>216</v>
      </c>
      <c r="C22" s="25" t="s">
        <v>217</v>
      </c>
      <c r="D22" s="25" t="s">
        <v>212</v>
      </c>
      <c r="E22" s="26">
        <v>35325</v>
      </c>
      <c r="F22" s="27">
        <v>1306.1600000000001</v>
      </c>
      <c r="G22" s="28">
        <v>1.6199999999999999E-2</v>
      </c>
      <c r="H22" s="29"/>
    </row>
    <row r="23" spans="2:8" ht="15.75" customHeight="1" x14ac:dyDescent="0.2">
      <c r="B23" s="25" t="s">
        <v>273</v>
      </c>
      <c r="C23" s="25" t="s">
        <v>274</v>
      </c>
      <c r="D23" s="25" t="s">
        <v>204</v>
      </c>
      <c r="E23" s="26">
        <v>90834</v>
      </c>
      <c r="F23" s="27">
        <v>1288.43</v>
      </c>
      <c r="G23" s="28">
        <v>1.6E-2</v>
      </c>
      <c r="H23" s="29"/>
    </row>
    <row r="24" spans="2:8" ht="15.75" customHeight="1" x14ac:dyDescent="0.2">
      <c r="B24" s="25" t="s">
        <v>280</v>
      </c>
      <c r="C24" s="25" t="s">
        <v>281</v>
      </c>
      <c r="D24" s="25" t="s">
        <v>229</v>
      </c>
      <c r="E24" s="26">
        <v>404072</v>
      </c>
      <c r="F24" s="27">
        <v>1282.93</v>
      </c>
      <c r="G24" s="28">
        <v>1.5900000000000001E-2</v>
      </c>
      <c r="H24" s="29"/>
    </row>
    <row r="25" spans="2:8" ht="15.75" customHeight="1" x14ac:dyDescent="0.2">
      <c r="B25" s="25" t="s">
        <v>139</v>
      </c>
      <c r="C25" s="25" t="s">
        <v>140</v>
      </c>
      <c r="D25" s="25" t="s">
        <v>141</v>
      </c>
      <c r="E25" s="26">
        <v>75392</v>
      </c>
      <c r="F25" s="27">
        <v>1245.1400000000001</v>
      </c>
      <c r="G25" s="28">
        <v>1.55E-2</v>
      </c>
      <c r="H25" s="29"/>
    </row>
    <row r="26" spans="2:8" ht="15.75" customHeight="1" x14ac:dyDescent="0.2">
      <c r="B26" s="25" t="s">
        <v>183</v>
      </c>
      <c r="C26" s="25" t="s">
        <v>184</v>
      </c>
      <c r="D26" s="25" t="s">
        <v>141</v>
      </c>
      <c r="E26" s="26">
        <v>11198</v>
      </c>
      <c r="F26" s="27">
        <v>1140.73</v>
      </c>
      <c r="G26" s="28">
        <v>1.4200000000000001E-2</v>
      </c>
      <c r="H26" s="29"/>
    </row>
    <row r="27" spans="2:8" ht="15.75" customHeight="1" x14ac:dyDescent="0.2">
      <c r="B27" s="25" t="s">
        <v>210</v>
      </c>
      <c r="C27" s="25" t="s">
        <v>211</v>
      </c>
      <c r="D27" s="25" t="s">
        <v>212</v>
      </c>
      <c r="E27" s="26">
        <v>38121</v>
      </c>
      <c r="F27" s="27">
        <v>1127.56</v>
      </c>
      <c r="G27" s="28">
        <v>1.4E-2</v>
      </c>
      <c r="H27" s="29"/>
    </row>
    <row r="28" spans="2:8" ht="15.75" customHeight="1" x14ac:dyDescent="0.2">
      <c r="B28" s="25" t="s">
        <v>284</v>
      </c>
      <c r="C28" s="25" t="s">
        <v>285</v>
      </c>
      <c r="D28" s="25" t="s">
        <v>229</v>
      </c>
      <c r="E28" s="26">
        <v>386491</v>
      </c>
      <c r="F28" s="27">
        <v>1002.17</v>
      </c>
      <c r="G28" s="28">
        <v>1.2500000000000001E-2</v>
      </c>
      <c r="H28" s="29"/>
    </row>
    <row r="29" spans="2:8" ht="15.75" customHeight="1" x14ac:dyDescent="0.2">
      <c r="B29" s="25" t="s">
        <v>331</v>
      </c>
      <c r="C29" s="25" t="s">
        <v>332</v>
      </c>
      <c r="D29" s="25" t="s">
        <v>313</v>
      </c>
      <c r="E29" s="26">
        <v>9700</v>
      </c>
      <c r="F29" s="27">
        <v>986.23</v>
      </c>
      <c r="G29" s="28">
        <v>1.23E-2</v>
      </c>
      <c r="H29" s="29"/>
    </row>
    <row r="30" spans="2:8" ht="15.75" customHeight="1" x14ac:dyDescent="0.2">
      <c r="B30" s="25" t="s">
        <v>237</v>
      </c>
      <c r="C30" s="25" t="s">
        <v>238</v>
      </c>
      <c r="D30" s="25" t="s">
        <v>180</v>
      </c>
      <c r="E30" s="26">
        <v>687230</v>
      </c>
      <c r="F30" s="27">
        <v>934.29</v>
      </c>
      <c r="G30" s="28">
        <v>1.1599999999999999E-2</v>
      </c>
      <c r="H30" s="29"/>
    </row>
    <row r="31" spans="2:8" ht="15.75" customHeight="1" x14ac:dyDescent="0.2">
      <c r="B31" s="25" t="s">
        <v>689</v>
      </c>
      <c r="C31" s="25" t="s">
        <v>690</v>
      </c>
      <c r="D31" s="25" t="s">
        <v>124</v>
      </c>
      <c r="E31" s="26">
        <v>55587</v>
      </c>
      <c r="F31" s="27">
        <v>852.73</v>
      </c>
      <c r="G31" s="28">
        <v>1.06E-2</v>
      </c>
      <c r="H31" s="29"/>
    </row>
    <row r="32" spans="2:8" ht="15.75" customHeight="1" x14ac:dyDescent="0.2">
      <c r="B32" s="25" t="s">
        <v>716</v>
      </c>
      <c r="C32" s="25" t="s">
        <v>717</v>
      </c>
      <c r="D32" s="25" t="s">
        <v>718</v>
      </c>
      <c r="E32" s="26">
        <v>330163</v>
      </c>
      <c r="F32" s="27">
        <v>832.84</v>
      </c>
      <c r="G32" s="28">
        <v>1.04E-2</v>
      </c>
      <c r="H32" s="29"/>
    </row>
    <row r="33" spans="2:8" ht="15.75" customHeight="1" x14ac:dyDescent="0.2">
      <c r="B33" s="25" t="s">
        <v>686</v>
      </c>
      <c r="C33" s="25" t="s">
        <v>687</v>
      </c>
      <c r="D33" s="25" t="s">
        <v>688</v>
      </c>
      <c r="E33" s="26">
        <v>193598</v>
      </c>
      <c r="F33" s="27">
        <v>786.3</v>
      </c>
      <c r="G33" s="28">
        <v>9.7999999999999997E-3</v>
      </c>
      <c r="H33" s="29"/>
    </row>
    <row r="34" spans="2:8" ht="15.75" customHeight="1" x14ac:dyDescent="0.2">
      <c r="B34" s="25" t="s">
        <v>136</v>
      </c>
      <c r="C34" s="25" t="s">
        <v>137</v>
      </c>
      <c r="D34" s="25" t="s">
        <v>138</v>
      </c>
      <c r="E34" s="26">
        <v>30094</v>
      </c>
      <c r="F34" s="27">
        <v>754.16</v>
      </c>
      <c r="G34" s="28">
        <v>9.4000000000000004E-3</v>
      </c>
      <c r="H34" s="29"/>
    </row>
    <row r="35" spans="2:8" ht="15.75" customHeight="1" x14ac:dyDescent="0.2">
      <c r="B35" s="25" t="s">
        <v>719</v>
      </c>
      <c r="C35" s="25" t="s">
        <v>720</v>
      </c>
      <c r="D35" s="25" t="s">
        <v>234</v>
      </c>
      <c r="E35" s="26">
        <v>62135</v>
      </c>
      <c r="F35" s="27">
        <v>750.37</v>
      </c>
      <c r="G35" s="28">
        <v>9.2999999999999992E-3</v>
      </c>
      <c r="H35" s="29"/>
    </row>
    <row r="36" spans="2:8" ht="15.75" customHeight="1" x14ac:dyDescent="0.2">
      <c r="B36" s="25" t="s">
        <v>197</v>
      </c>
      <c r="C36" s="25" t="s">
        <v>198</v>
      </c>
      <c r="D36" s="25" t="s">
        <v>170</v>
      </c>
      <c r="E36" s="26">
        <v>45843</v>
      </c>
      <c r="F36" s="27">
        <v>746</v>
      </c>
      <c r="G36" s="28">
        <v>9.2999999999999992E-3</v>
      </c>
      <c r="H36" s="29"/>
    </row>
    <row r="37" spans="2:8" ht="15.75" customHeight="1" x14ac:dyDescent="0.2">
      <c r="B37" s="25" t="s">
        <v>485</v>
      </c>
      <c r="C37" s="25" t="s">
        <v>486</v>
      </c>
      <c r="D37" s="25" t="s">
        <v>141</v>
      </c>
      <c r="E37" s="26">
        <v>9523</v>
      </c>
      <c r="F37" s="27">
        <v>730.18</v>
      </c>
      <c r="G37" s="28">
        <v>9.1000000000000004E-3</v>
      </c>
      <c r="H37" s="29"/>
    </row>
    <row r="38" spans="2:8" ht="15.75" customHeight="1" x14ac:dyDescent="0.2">
      <c r="B38" s="25" t="s">
        <v>175</v>
      </c>
      <c r="C38" s="25" t="s">
        <v>176</v>
      </c>
      <c r="D38" s="25" t="s">
        <v>177</v>
      </c>
      <c r="E38" s="26">
        <v>122986</v>
      </c>
      <c r="F38" s="27">
        <v>712.52</v>
      </c>
      <c r="G38" s="28">
        <v>8.8999999999999999E-3</v>
      </c>
      <c r="H38" s="29"/>
    </row>
    <row r="39" spans="2:8" ht="15.75" customHeight="1" x14ac:dyDescent="0.2">
      <c r="B39" s="25" t="s">
        <v>242</v>
      </c>
      <c r="C39" s="25" t="s">
        <v>243</v>
      </c>
      <c r="D39" s="25" t="s">
        <v>127</v>
      </c>
      <c r="E39" s="26">
        <v>52834</v>
      </c>
      <c r="F39" s="27">
        <v>704.62</v>
      </c>
      <c r="G39" s="28">
        <v>8.8000000000000005E-3</v>
      </c>
      <c r="H39" s="29"/>
    </row>
    <row r="40" spans="2:8" ht="15.75" customHeight="1" x14ac:dyDescent="0.2">
      <c r="B40" s="25" t="s">
        <v>721</v>
      </c>
      <c r="C40" s="25" t="s">
        <v>722</v>
      </c>
      <c r="D40" s="25" t="s">
        <v>723</v>
      </c>
      <c r="E40" s="26">
        <v>22132</v>
      </c>
      <c r="F40" s="27">
        <v>695.39</v>
      </c>
      <c r="G40" s="28">
        <v>8.6E-3</v>
      </c>
      <c r="H40" s="29"/>
    </row>
    <row r="41" spans="2:8" ht="15.75" customHeight="1" x14ac:dyDescent="0.2">
      <c r="B41" s="25" t="s">
        <v>311</v>
      </c>
      <c r="C41" s="25" t="s">
        <v>312</v>
      </c>
      <c r="D41" s="25" t="s">
        <v>313</v>
      </c>
      <c r="E41" s="26">
        <v>31021</v>
      </c>
      <c r="F41" s="27">
        <v>674.71</v>
      </c>
      <c r="G41" s="28">
        <v>8.3999999999999995E-3</v>
      </c>
      <c r="H41" s="29"/>
    </row>
    <row r="42" spans="2:8" ht="15.75" customHeight="1" x14ac:dyDescent="0.2">
      <c r="B42" s="25" t="s">
        <v>248</v>
      </c>
      <c r="C42" s="25" t="s">
        <v>249</v>
      </c>
      <c r="D42" s="25" t="s">
        <v>180</v>
      </c>
      <c r="E42" s="26">
        <v>80305</v>
      </c>
      <c r="F42" s="27">
        <v>657.42</v>
      </c>
      <c r="G42" s="28">
        <v>8.2000000000000007E-3</v>
      </c>
      <c r="H42" s="29"/>
    </row>
    <row r="43" spans="2:8" ht="15.75" customHeight="1" x14ac:dyDescent="0.2">
      <c r="B43" s="25" t="s">
        <v>244</v>
      </c>
      <c r="C43" s="25" t="s">
        <v>245</v>
      </c>
      <c r="D43" s="25" t="s">
        <v>204</v>
      </c>
      <c r="E43" s="26">
        <v>10313</v>
      </c>
      <c r="F43" s="27">
        <v>631.27</v>
      </c>
      <c r="G43" s="28">
        <v>7.7999999999999996E-3</v>
      </c>
      <c r="H43" s="29"/>
    </row>
    <row r="44" spans="2:8" ht="15.75" customHeight="1" x14ac:dyDescent="0.2">
      <c r="B44" s="25" t="s">
        <v>271</v>
      </c>
      <c r="C44" s="25" t="s">
        <v>272</v>
      </c>
      <c r="D44" s="25" t="s">
        <v>204</v>
      </c>
      <c r="E44" s="26">
        <v>44367</v>
      </c>
      <c r="F44" s="27">
        <v>599.4</v>
      </c>
      <c r="G44" s="28">
        <v>7.4999999999999997E-3</v>
      </c>
      <c r="H44" s="29"/>
    </row>
    <row r="45" spans="2:8" ht="15.75" customHeight="1" x14ac:dyDescent="0.2">
      <c r="B45" s="25" t="s">
        <v>682</v>
      </c>
      <c r="C45" s="25" t="s">
        <v>683</v>
      </c>
      <c r="D45" s="25" t="s">
        <v>592</v>
      </c>
      <c r="E45" s="26">
        <v>52598</v>
      </c>
      <c r="F45" s="27">
        <v>588.04999999999995</v>
      </c>
      <c r="G45" s="28">
        <v>7.3000000000000001E-3</v>
      </c>
      <c r="H45" s="29"/>
    </row>
    <row r="46" spans="2:8" ht="15.75" customHeight="1" x14ac:dyDescent="0.2">
      <c r="B46" s="25" t="s">
        <v>724</v>
      </c>
      <c r="C46" s="25" t="s">
        <v>725</v>
      </c>
      <c r="D46" s="25" t="s">
        <v>127</v>
      </c>
      <c r="E46" s="26">
        <v>119004</v>
      </c>
      <c r="F46" s="27">
        <v>569.02</v>
      </c>
      <c r="G46" s="28">
        <v>7.1000000000000004E-3</v>
      </c>
      <c r="H46" s="29"/>
    </row>
    <row r="47" spans="2:8" ht="15.75" customHeight="1" x14ac:dyDescent="0.2">
      <c r="B47" s="25" t="s">
        <v>275</v>
      </c>
      <c r="C47" s="25" t="s">
        <v>276</v>
      </c>
      <c r="D47" s="25" t="s">
        <v>277</v>
      </c>
      <c r="E47" s="26">
        <v>8513</v>
      </c>
      <c r="F47" s="27">
        <v>540.83000000000004</v>
      </c>
      <c r="G47" s="28">
        <v>6.7000000000000002E-3</v>
      </c>
      <c r="H47" s="29"/>
    </row>
    <row r="48" spans="2:8" ht="15.75" customHeight="1" x14ac:dyDescent="0.2">
      <c r="B48" s="25" t="s">
        <v>319</v>
      </c>
      <c r="C48" s="25" t="s">
        <v>320</v>
      </c>
      <c r="D48" s="25" t="s">
        <v>316</v>
      </c>
      <c r="E48" s="26">
        <v>37984</v>
      </c>
      <c r="F48" s="27">
        <v>532.21</v>
      </c>
      <c r="G48" s="28">
        <v>6.6E-3</v>
      </c>
      <c r="H48" s="29"/>
    </row>
    <row r="49" spans="2:8" ht="15.75" customHeight="1" x14ac:dyDescent="0.2">
      <c r="B49" s="25" t="s">
        <v>454</v>
      </c>
      <c r="C49" s="25" t="s">
        <v>455</v>
      </c>
      <c r="D49" s="25" t="s">
        <v>138</v>
      </c>
      <c r="E49" s="26">
        <v>9953</v>
      </c>
      <c r="F49" s="27">
        <v>517.4</v>
      </c>
      <c r="G49" s="28">
        <v>6.4000000000000003E-3</v>
      </c>
      <c r="H49" s="29"/>
    </row>
    <row r="50" spans="2:8" ht="15.75" customHeight="1" x14ac:dyDescent="0.2">
      <c r="B50" s="25" t="s">
        <v>726</v>
      </c>
      <c r="C50" s="25" t="s">
        <v>727</v>
      </c>
      <c r="D50" s="25" t="s">
        <v>316</v>
      </c>
      <c r="E50" s="26">
        <v>89142</v>
      </c>
      <c r="F50" s="27">
        <v>513.99</v>
      </c>
      <c r="G50" s="28">
        <v>6.4000000000000003E-3</v>
      </c>
      <c r="H50" s="29"/>
    </row>
    <row r="51" spans="2:8" ht="15.75" customHeight="1" x14ac:dyDescent="0.2">
      <c r="B51" s="25" t="s">
        <v>286</v>
      </c>
      <c r="C51" s="25" t="s">
        <v>287</v>
      </c>
      <c r="D51" s="25" t="s">
        <v>141</v>
      </c>
      <c r="E51" s="26">
        <v>11001</v>
      </c>
      <c r="F51" s="27">
        <v>508.42</v>
      </c>
      <c r="G51" s="28">
        <v>6.3E-3</v>
      </c>
      <c r="H51" s="29"/>
    </row>
    <row r="52" spans="2:8" ht="15.75" customHeight="1" x14ac:dyDescent="0.2">
      <c r="B52" s="25" t="s">
        <v>333</v>
      </c>
      <c r="C52" s="25" t="s">
        <v>334</v>
      </c>
      <c r="D52" s="25" t="s">
        <v>141</v>
      </c>
      <c r="E52" s="26">
        <v>11533</v>
      </c>
      <c r="F52" s="27">
        <v>442.82</v>
      </c>
      <c r="G52" s="28">
        <v>5.4999999999999997E-3</v>
      </c>
      <c r="H52" s="29"/>
    </row>
    <row r="53" spans="2:8" ht="15.75" customHeight="1" x14ac:dyDescent="0.2">
      <c r="B53" s="25" t="s">
        <v>142</v>
      </c>
      <c r="C53" s="25" t="s">
        <v>143</v>
      </c>
      <c r="D53" s="25" t="s">
        <v>127</v>
      </c>
      <c r="E53" s="26">
        <v>7761</v>
      </c>
      <c r="F53" s="27">
        <v>422.86</v>
      </c>
      <c r="G53" s="28">
        <v>5.3E-3</v>
      </c>
      <c r="H53" s="29"/>
    </row>
    <row r="54" spans="2:8" ht="15.75" customHeight="1" x14ac:dyDescent="0.2">
      <c r="B54" s="25" t="s">
        <v>173</v>
      </c>
      <c r="C54" s="25" t="s">
        <v>174</v>
      </c>
      <c r="D54" s="25" t="s">
        <v>132</v>
      </c>
      <c r="E54" s="26">
        <v>80775</v>
      </c>
      <c r="F54" s="27">
        <v>405.77</v>
      </c>
      <c r="G54" s="28">
        <v>5.0000000000000001E-3</v>
      </c>
      <c r="H54" s="29"/>
    </row>
    <row r="55" spans="2:8" ht="15.75" customHeight="1" x14ac:dyDescent="0.2">
      <c r="B55" s="25" t="s">
        <v>477</v>
      </c>
      <c r="C55" s="25" t="s">
        <v>478</v>
      </c>
      <c r="D55" s="25" t="s">
        <v>204</v>
      </c>
      <c r="E55" s="26">
        <v>10787</v>
      </c>
      <c r="F55" s="27">
        <v>395.95</v>
      </c>
      <c r="G55" s="28">
        <v>4.8999999999999998E-3</v>
      </c>
      <c r="H55" s="29"/>
    </row>
    <row r="56" spans="2:8" ht="15.75" customHeight="1" x14ac:dyDescent="0.2">
      <c r="B56" s="25" t="s">
        <v>728</v>
      </c>
      <c r="C56" s="25" t="s">
        <v>729</v>
      </c>
      <c r="D56" s="25" t="s">
        <v>196</v>
      </c>
      <c r="E56" s="26">
        <v>42536</v>
      </c>
      <c r="F56" s="27">
        <v>228.72</v>
      </c>
      <c r="G56" s="28">
        <v>2.8E-3</v>
      </c>
      <c r="H56" s="29"/>
    </row>
    <row r="57" spans="2:8" ht="15.75" customHeight="1" x14ac:dyDescent="0.2">
      <c r="B57" s="24" t="s">
        <v>94</v>
      </c>
      <c r="C57" s="24"/>
      <c r="D57" s="24"/>
      <c r="E57" s="30"/>
      <c r="F57" s="31">
        <v>80367.899999999994</v>
      </c>
      <c r="G57" s="32">
        <v>0.99909999999999999</v>
      </c>
      <c r="H57" s="33"/>
    </row>
    <row r="58" spans="2:8" ht="15.75" customHeight="1" x14ac:dyDescent="0.2">
      <c r="B58" s="24" t="s">
        <v>144</v>
      </c>
      <c r="C58" s="25"/>
      <c r="D58" s="25"/>
      <c r="E58" s="26"/>
      <c r="F58" s="27"/>
      <c r="G58" s="28"/>
      <c r="H58" s="29"/>
    </row>
    <row r="59" spans="2:8" ht="15.75" customHeight="1" x14ac:dyDescent="0.2">
      <c r="B59" s="24" t="s">
        <v>94</v>
      </c>
      <c r="C59" s="25"/>
      <c r="D59" s="25"/>
      <c r="E59" s="26"/>
      <c r="F59" s="34" t="s">
        <v>96</v>
      </c>
      <c r="G59" s="35" t="s">
        <v>96</v>
      </c>
      <c r="H59" s="29"/>
    </row>
    <row r="60" spans="2:8" ht="15.75" customHeight="1" x14ac:dyDescent="0.2">
      <c r="B60" s="25"/>
      <c r="C60" s="25"/>
      <c r="D60" s="25"/>
      <c r="E60" s="26"/>
      <c r="F60" s="27"/>
      <c r="G60" s="28"/>
      <c r="H60" s="29"/>
    </row>
    <row r="61" spans="2:8" ht="15.75" customHeight="1" x14ac:dyDescent="0.2">
      <c r="B61" s="36" t="s">
        <v>98</v>
      </c>
      <c r="C61" s="36"/>
      <c r="D61" s="36"/>
      <c r="E61" s="37"/>
      <c r="F61" s="31">
        <v>80367.899999999994</v>
      </c>
      <c r="G61" s="32">
        <v>0.99909999999999999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101</v>
      </c>
      <c r="C64" s="25"/>
      <c r="D64" s="25"/>
      <c r="E64" s="26"/>
      <c r="F64" s="27"/>
      <c r="G64" s="28"/>
      <c r="H64" s="29"/>
    </row>
    <row r="65" spans="2:16" ht="15.75" customHeight="1" x14ac:dyDescent="0.2">
      <c r="B65" s="25" t="s">
        <v>102</v>
      </c>
      <c r="C65" s="25"/>
      <c r="D65" s="25"/>
      <c r="E65" s="26"/>
      <c r="F65" s="27">
        <v>49.88</v>
      </c>
      <c r="G65" s="28">
        <v>5.9999999999999995E-4</v>
      </c>
      <c r="H65" s="29"/>
    </row>
    <row r="66" spans="2:16" ht="15.75" customHeight="1" x14ac:dyDescent="0.2">
      <c r="B66" s="24" t="s">
        <v>94</v>
      </c>
      <c r="C66" s="24"/>
      <c r="D66" s="24"/>
      <c r="E66" s="30"/>
      <c r="F66" s="31">
        <v>49.88</v>
      </c>
      <c r="G66" s="32">
        <v>5.9999999999999995E-4</v>
      </c>
      <c r="H66" s="33"/>
    </row>
    <row r="67" spans="2:16" ht="15.75" customHeight="1" x14ac:dyDescent="0.2">
      <c r="B67" s="25"/>
      <c r="C67" s="25"/>
      <c r="D67" s="25"/>
      <c r="E67" s="26"/>
      <c r="F67" s="27"/>
      <c r="G67" s="28"/>
      <c r="H67" s="29"/>
    </row>
    <row r="68" spans="2:16" ht="15.75" customHeight="1" x14ac:dyDescent="0.2">
      <c r="B68" s="36" t="s">
        <v>98</v>
      </c>
      <c r="C68" s="36"/>
      <c r="D68" s="36"/>
      <c r="E68" s="37"/>
      <c r="F68" s="31">
        <v>49.88</v>
      </c>
      <c r="G68" s="32">
        <v>5.9999999999999995E-4</v>
      </c>
      <c r="H68" s="33"/>
      <c r="L68" s="3"/>
    </row>
    <row r="69" spans="2:16" ht="15.75" customHeight="1" x14ac:dyDescent="0.2">
      <c r="B69" s="25" t="s">
        <v>103</v>
      </c>
      <c r="C69" s="25"/>
      <c r="D69" s="25"/>
      <c r="E69" s="26"/>
      <c r="F69" s="27">
        <v>24.23</v>
      </c>
      <c r="G69" s="28">
        <v>2.9999999999996696E-4</v>
      </c>
      <c r="H69" s="29"/>
    </row>
    <row r="70" spans="2:16" ht="15.75" customHeight="1" x14ac:dyDescent="0.2">
      <c r="B70" s="40" t="s">
        <v>104</v>
      </c>
      <c r="C70" s="40"/>
      <c r="D70" s="40"/>
      <c r="E70" s="41"/>
      <c r="F70" s="42">
        <v>80442.009999999995</v>
      </c>
      <c r="G70" s="43">
        <v>1</v>
      </c>
      <c r="H70" s="44"/>
      <c r="L70" s="3"/>
    </row>
    <row r="71" spans="2:16" ht="15.75" customHeight="1" thickBot="1" x14ac:dyDescent="0.25">
      <c r="B71" s="2"/>
      <c r="L71" s="3"/>
    </row>
    <row r="72" spans="2:16" ht="27" customHeight="1" thickBot="1" x14ac:dyDescent="0.25">
      <c r="B72" s="57" t="s">
        <v>829</v>
      </c>
      <c r="C72" s="58" t="s">
        <v>830</v>
      </c>
      <c r="D72" s="58" t="s">
        <v>831</v>
      </c>
      <c r="E72" s="63" t="s">
        <v>832</v>
      </c>
      <c r="G72" s="2"/>
      <c r="H72" s="2"/>
    </row>
    <row r="73" spans="2:16" ht="30" customHeight="1" x14ac:dyDescent="0.2">
      <c r="B73" s="70" t="s">
        <v>73</v>
      </c>
      <c r="C73" s="82"/>
      <c r="D73" s="85" t="s">
        <v>904</v>
      </c>
      <c r="E73" s="87"/>
      <c r="G73" s="2"/>
      <c r="H73" s="2"/>
    </row>
    <row r="74" spans="2:16" ht="28.5" customHeight="1" x14ac:dyDescent="0.2">
      <c r="B74" s="66" t="s">
        <v>919</v>
      </c>
      <c r="C74" s="83"/>
      <c r="D74" s="86"/>
      <c r="E74" s="83"/>
      <c r="G74" s="2"/>
      <c r="H74" s="2"/>
    </row>
    <row r="75" spans="2:16" ht="39.950000000000003" customHeight="1" x14ac:dyDescent="0.2">
      <c r="B75" s="66" t="s">
        <v>924</v>
      </c>
      <c r="C75" s="83"/>
      <c r="D75" s="86"/>
      <c r="E75" s="83"/>
      <c r="G75" s="2"/>
      <c r="H75" s="2"/>
    </row>
    <row r="76" spans="2:16" ht="30" customHeight="1" thickBot="1" x14ac:dyDescent="0.25">
      <c r="B76" s="68" t="s">
        <v>925</v>
      </c>
      <c r="C76" s="84"/>
      <c r="D76" s="71" t="s">
        <v>925</v>
      </c>
      <c r="E76" s="88"/>
      <c r="G76" s="2"/>
      <c r="H76" s="2"/>
    </row>
    <row r="77" spans="2:16" ht="24.95" customHeight="1" x14ac:dyDescent="0.2">
      <c r="B77" s="59" t="s">
        <v>833</v>
      </c>
      <c r="C77" s="60"/>
      <c r="D77" s="61"/>
      <c r="E77" s="62"/>
      <c r="G77" s="2"/>
      <c r="H77" s="2"/>
    </row>
    <row r="78" spans="2:16" ht="15.75" customHeight="1" x14ac:dyDescent="0.2">
      <c r="L78" s="7"/>
      <c r="M78" s="7"/>
      <c r="N78" s="7"/>
      <c r="O78" s="7"/>
      <c r="P78" s="7"/>
    </row>
    <row r="79" spans="2:16" ht="12" x14ac:dyDescent="0.2">
      <c r="B79" s="2" t="s">
        <v>834</v>
      </c>
      <c r="C79" s="2"/>
      <c r="D79" s="2"/>
      <c r="G79" s="2"/>
      <c r="H79" s="2"/>
    </row>
    <row r="80" spans="2:16" ht="12" x14ac:dyDescent="0.2">
      <c r="B80" s="3" t="s">
        <v>835</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F4BEF08F-2DA1-4CB9-8DF6-C67A89BFC44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65A4-DC53-4F7B-83E0-FA731152D0D8}">
  <dimension ref="B1:P86"/>
  <sheetViews>
    <sheetView topLeftCell="B1"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7109375" style="9" customWidth="1"/>
    <col min="4" max="4" width="26.5703125" style="9" customWidth="1"/>
    <col min="5" max="5" width="24"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851</v>
      </c>
      <c r="D1" s="1" t="s">
        <v>852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128</v>
      </c>
      <c r="C7" s="25" t="s">
        <v>129</v>
      </c>
      <c r="D7" s="25" t="s">
        <v>124</v>
      </c>
      <c r="E7" s="26">
        <v>700873</v>
      </c>
      <c r="F7" s="27">
        <v>10248.52</v>
      </c>
      <c r="G7" s="28">
        <v>0.1353</v>
      </c>
      <c r="H7" s="29"/>
    </row>
    <row r="8" spans="2:9" ht="15.75" customHeight="1" x14ac:dyDescent="0.2">
      <c r="B8" s="25" t="s">
        <v>130</v>
      </c>
      <c r="C8" s="25" t="s">
        <v>131</v>
      </c>
      <c r="D8" s="25" t="s">
        <v>132</v>
      </c>
      <c r="E8" s="26">
        <v>319556</v>
      </c>
      <c r="F8" s="27">
        <v>9117.57</v>
      </c>
      <c r="G8" s="28">
        <v>0.1203</v>
      </c>
      <c r="H8" s="29"/>
    </row>
    <row r="9" spans="2:9" ht="15.75" customHeight="1" x14ac:dyDescent="0.2">
      <c r="B9" s="25" t="s">
        <v>122</v>
      </c>
      <c r="C9" s="25" t="s">
        <v>123</v>
      </c>
      <c r="D9" s="25" t="s">
        <v>124</v>
      </c>
      <c r="E9" s="26">
        <v>648875</v>
      </c>
      <c r="F9" s="27">
        <v>6669.79</v>
      </c>
      <c r="G9" s="28">
        <v>8.7999999999999995E-2</v>
      </c>
      <c r="H9" s="29"/>
    </row>
    <row r="10" spans="2:9" ht="15.75" customHeight="1" x14ac:dyDescent="0.2">
      <c r="B10" s="25" t="s">
        <v>125</v>
      </c>
      <c r="C10" s="25" t="s">
        <v>126</v>
      </c>
      <c r="D10" s="25" t="s">
        <v>127</v>
      </c>
      <c r="E10" s="26">
        <v>330044</v>
      </c>
      <c r="F10" s="27">
        <v>5485.66</v>
      </c>
      <c r="G10" s="28">
        <v>7.2400000000000006E-2</v>
      </c>
      <c r="H10" s="29"/>
    </row>
    <row r="11" spans="2:9" ht="15.75" customHeight="1" x14ac:dyDescent="0.2">
      <c r="B11" s="25" t="s">
        <v>160</v>
      </c>
      <c r="C11" s="25" t="s">
        <v>161</v>
      </c>
      <c r="D11" s="25" t="s">
        <v>162</v>
      </c>
      <c r="E11" s="26">
        <v>111459</v>
      </c>
      <c r="F11" s="27">
        <v>3878.94</v>
      </c>
      <c r="G11" s="28">
        <v>5.1200000000000002E-2</v>
      </c>
      <c r="H11" s="29"/>
    </row>
    <row r="12" spans="2:9" ht="15.75" customHeight="1" x14ac:dyDescent="0.2">
      <c r="B12" s="25" t="s">
        <v>190</v>
      </c>
      <c r="C12" s="25" t="s">
        <v>191</v>
      </c>
      <c r="D12" s="25" t="s">
        <v>135</v>
      </c>
      <c r="E12" s="26">
        <v>819921</v>
      </c>
      <c r="F12" s="27">
        <v>3619.54</v>
      </c>
      <c r="G12" s="28">
        <v>4.7800000000000002E-2</v>
      </c>
      <c r="H12" s="29"/>
    </row>
    <row r="13" spans="2:9" ht="15.75" customHeight="1" x14ac:dyDescent="0.2">
      <c r="B13" s="25" t="s">
        <v>171</v>
      </c>
      <c r="C13" s="25" t="s">
        <v>172</v>
      </c>
      <c r="D13" s="25" t="s">
        <v>127</v>
      </c>
      <c r="E13" s="26">
        <v>94798</v>
      </c>
      <c r="F13" s="27">
        <v>3616.31</v>
      </c>
      <c r="G13" s="28">
        <v>4.7699999999999999E-2</v>
      </c>
      <c r="H13" s="29"/>
    </row>
    <row r="14" spans="2:9" ht="15.75" customHeight="1" x14ac:dyDescent="0.2">
      <c r="B14" s="25" t="s">
        <v>166</v>
      </c>
      <c r="C14" s="25" t="s">
        <v>167</v>
      </c>
      <c r="D14" s="25" t="s">
        <v>124</v>
      </c>
      <c r="E14" s="26">
        <v>261418</v>
      </c>
      <c r="F14" s="27">
        <v>2790.51</v>
      </c>
      <c r="G14" s="28">
        <v>3.6799999999999999E-2</v>
      </c>
      <c r="H14" s="29"/>
    </row>
    <row r="15" spans="2:9" ht="15.75" customHeight="1" x14ac:dyDescent="0.2">
      <c r="B15" s="25" t="s">
        <v>350</v>
      </c>
      <c r="C15" s="25" t="s">
        <v>351</v>
      </c>
      <c r="D15" s="25" t="s">
        <v>259</v>
      </c>
      <c r="E15" s="26">
        <v>234140</v>
      </c>
      <c r="F15" s="27">
        <v>2741.08</v>
      </c>
      <c r="G15" s="28">
        <v>3.6200000000000003E-2</v>
      </c>
      <c r="H15" s="29"/>
    </row>
    <row r="16" spans="2:9" ht="15.75" customHeight="1" x14ac:dyDescent="0.2">
      <c r="B16" s="25" t="s">
        <v>192</v>
      </c>
      <c r="C16" s="25" t="s">
        <v>193</v>
      </c>
      <c r="D16" s="25" t="s">
        <v>124</v>
      </c>
      <c r="E16" s="26">
        <v>131535</v>
      </c>
      <c r="F16" s="27">
        <v>2399.92</v>
      </c>
      <c r="G16" s="28">
        <v>3.1699999999999999E-2</v>
      </c>
      <c r="H16" s="29"/>
    </row>
    <row r="17" spans="2:8" ht="15.75" customHeight="1" x14ac:dyDescent="0.2">
      <c r="B17" s="25" t="s">
        <v>188</v>
      </c>
      <c r="C17" s="25" t="s">
        <v>189</v>
      </c>
      <c r="D17" s="25" t="s">
        <v>124</v>
      </c>
      <c r="E17" s="26">
        <v>353723</v>
      </c>
      <c r="F17" s="27">
        <v>2266.13</v>
      </c>
      <c r="G17" s="28">
        <v>2.9899999999999999E-2</v>
      </c>
      <c r="H17" s="29"/>
    </row>
    <row r="18" spans="2:8" ht="15.75" customHeight="1" x14ac:dyDescent="0.2">
      <c r="B18" s="25" t="s">
        <v>133</v>
      </c>
      <c r="C18" s="25" t="s">
        <v>134</v>
      </c>
      <c r="D18" s="25" t="s">
        <v>135</v>
      </c>
      <c r="E18" s="26">
        <v>82446</v>
      </c>
      <c r="F18" s="27">
        <v>2044.99</v>
      </c>
      <c r="G18" s="28">
        <v>2.7E-2</v>
      </c>
      <c r="H18" s="29"/>
    </row>
    <row r="19" spans="2:8" ht="15.75" customHeight="1" x14ac:dyDescent="0.2">
      <c r="B19" s="25" t="s">
        <v>168</v>
      </c>
      <c r="C19" s="25" t="s">
        <v>169</v>
      </c>
      <c r="D19" s="25" t="s">
        <v>170</v>
      </c>
      <c r="E19" s="26">
        <v>25687</v>
      </c>
      <c r="F19" s="27">
        <v>1763.1</v>
      </c>
      <c r="G19" s="28">
        <v>2.3300000000000001E-2</v>
      </c>
      <c r="H19" s="29"/>
    </row>
    <row r="20" spans="2:8" ht="15.75" customHeight="1" x14ac:dyDescent="0.2">
      <c r="B20" s="25" t="s">
        <v>269</v>
      </c>
      <c r="C20" s="25" t="s">
        <v>270</v>
      </c>
      <c r="D20" s="25" t="s">
        <v>127</v>
      </c>
      <c r="E20" s="26">
        <v>97679</v>
      </c>
      <c r="F20" s="27">
        <v>1539.23</v>
      </c>
      <c r="G20" s="28">
        <v>2.0299999999999999E-2</v>
      </c>
      <c r="H20" s="29"/>
    </row>
    <row r="21" spans="2:8" ht="15.75" customHeight="1" x14ac:dyDescent="0.2">
      <c r="B21" s="25" t="s">
        <v>442</v>
      </c>
      <c r="C21" s="25" t="s">
        <v>443</v>
      </c>
      <c r="D21" s="25" t="s">
        <v>141</v>
      </c>
      <c r="E21" s="26">
        <v>165879</v>
      </c>
      <c r="F21" s="27">
        <v>1466.7</v>
      </c>
      <c r="G21" s="28">
        <v>1.9400000000000001E-2</v>
      </c>
      <c r="H21" s="29"/>
    </row>
    <row r="22" spans="2:8" ht="15.75" customHeight="1" x14ac:dyDescent="0.2">
      <c r="B22" s="25" t="s">
        <v>139</v>
      </c>
      <c r="C22" s="25" t="s">
        <v>140</v>
      </c>
      <c r="D22" s="25" t="s">
        <v>141</v>
      </c>
      <c r="E22" s="26">
        <v>88121</v>
      </c>
      <c r="F22" s="27">
        <v>1457.39</v>
      </c>
      <c r="G22" s="28">
        <v>1.9199999999999998E-2</v>
      </c>
      <c r="H22" s="29"/>
    </row>
    <row r="23" spans="2:8" ht="15.75" customHeight="1" x14ac:dyDescent="0.2">
      <c r="B23" s="25" t="s">
        <v>216</v>
      </c>
      <c r="C23" s="25" t="s">
        <v>217</v>
      </c>
      <c r="D23" s="25" t="s">
        <v>212</v>
      </c>
      <c r="E23" s="26">
        <v>38592</v>
      </c>
      <c r="F23" s="27">
        <v>1426.9</v>
      </c>
      <c r="G23" s="28">
        <v>1.8800000000000001E-2</v>
      </c>
      <c r="H23" s="29"/>
    </row>
    <row r="24" spans="2:8" ht="15.75" customHeight="1" x14ac:dyDescent="0.2">
      <c r="B24" s="25" t="s">
        <v>273</v>
      </c>
      <c r="C24" s="25" t="s">
        <v>274</v>
      </c>
      <c r="D24" s="25" t="s">
        <v>204</v>
      </c>
      <c r="E24" s="26">
        <v>99223</v>
      </c>
      <c r="F24" s="27">
        <v>1407.48</v>
      </c>
      <c r="G24" s="28">
        <v>1.8599999999999998E-2</v>
      </c>
      <c r="H24" s="29"/>
    </row>
    <row r="25" spans="2:8" ht="15.75" customHeight="1" x14ac:dyDescent="0.2">
      <c r="B25" s="25" t="s">
        <v>280</v>
      </c>
      <c r="C25" s="25" t="s">
        <v>281</v>
      </c>
      <c r="D25" s="25" t="s">
        <v>229</v>
      </c>
      <c r="E25" s="26">
        <v>441444</v>
      </c>
      <c r="F25" s="27">
        <v>1401.81</v>
      </c>
      <c r="G25" s="28">
        <v>1.8499999999999999E-2</v>
      </c>
      <c r="H25" s="29"/>
    </row>
    <row r="26" spans="2:8" ht="15.75" customHeight="1" x14ac:dyDescent="0.2">
      <c r="B26" s="25" t="s">
        <v>183</v>
      </c>
      <c r="C26" s="25" t="s">
        <v>184</v>
      </c>
      <c r="D26" s="25" t="s">
        <v>141</v>
      </c>
      <c r="E26" s="26">
        <v>12327</v>
      </c>
      <c r="F26" s="27">
        <v>1255.3</v>
      </c>
      <c r="G26" s="28">
        <v>1.66E-2</v>
      </c>
      <c r="H26" s="29"/>
    </row>
    <row r="27" spans="2:8" ht="15.75" customHeight="1" x14ac:dyDescent="0.2">
      <c r="B27" s="25" t="s">
        <v>210</v>
      </c>
      <c r="C27" s="25" t="s">
        <v>211</v>
      </c>
      <c r="D27" s="25" t="s">
        <v>212</v>
      </c>
      <c r="E27" s="26">
        <v>41653</v>
      </c>
      <c r="F27" s="27">
        <v>1232.0999999999999</v>
      </c>
      <c r="G27" s="28">
        <v>1.6299999999999999E-2</v>
      </c>
      <c r="H27" s="29"/>
    </row>
    <row r="28" spans="2:8" ht="15.75" customHeight="1" x14ac:dyDescent="0.2">
      <c r="B28" s="25" t="s">
        <v>284</v>
      </c>
      <c r="C28" s="25" t="s">
        <v>285</v>
      </c>
      <c r="D28" s="25" t="s">
        <v>229</v>
      </c>
      <c r="E28" s="26">
        <v>421791</v>
      </c>
      <c r="F28" s="27">
        <v>1093.9100000000001</v>
      </c>
      <c r="G28" s="28">
        <v>1.44E-2</v>
      </c>
      <c r="H28" s="29"/>
    </row>
    <row r="29" spans="2:8" ht="15.75" customHeight="1" x14ac:dyDescent="0.2">
      <c r="B29" s="25" t="s">
        <v>331</v>
      </c>
      <c r="C29" s="25" t="s">
        <v>332</v>
      </c>
      <c r="D29" s="25" t="s">
        <v>313</v>
      </c>
      <c r="E29" s="26">
        <v>10599</v>
      </c>
      <c r="F29" s="27">
        <v>1077.7</v>
      </c>
      <c r="G29" s="28">
        <v>1.4200000000000001E-2</v>
      </c>
      <c r="H29" s="29"/>
    </row>
    <row r="30" spans="2:8" ht="15.75" customHeight="1" x14ac:dyDescent="0.2">
      <c r="B30" s="25" t="s">
        <v>237</v>
      </c>
      <c r="C30" s="25" t="s">
        <v>238</v>
      </c>
      <c r="D30" s="25" t="s">
        <v>180</v>
      </c>
      <c r="E30" s="26">
        <v>746685</v>
      </c>
      <c r="F30" s="27">
        <v>1014.74</v>
      </c>
      <c r="G30" s="28">
        <v>1.34E-2</v>
      </c>
      <c r="H30" s="29"/>
    </row>
    <row r="31" spans="2:8" ht="15.75" customHeight="1" x14ac:dyDescent="0.2">
      <c r="B31" s="25" t="s">
        <v>689</v>
      </c>
      <c r="C31" s="25" t="s">
        <v>690</v>
      </c>
      <c r="D31" s="25" t="s">
        <v>124</v>
      </c>
      <c r="E31" s="26">
        <v>60064</v>
      </c>
      <c r="F31" s="27">
        <v>921.44</v>
      </c>
      <c r="G31" s="28">
        <v>1.2200000000000001E-2</v>
      </c>
      <c r="H31" s="29"/>
    </row>
    <row r="32" spans="2:8" ht="15.75" customHeight="1" x14ac:dyDescent="0.2">
      <c r="B32" s="25" t="s">
        <v>136</v>
      </c>
      <c r="C32" s="25" t="s">
        <v>137</v>
      </c>
      <c r="D32" s="25" t="s">
        <v>138</v>
      </c>
      <c r="E32" s="26">
        <v>32872</v>
      </c>
      <c r="F32" s="27">
        <v>823.61</v>
      </c>
      <c r="G32" s="28">
        <v>1.09E-2</v>
      </c>
      <c r="H32" s="29"/>
    </row>
    <row r="33" spans="2:8" ht="15.75" customHeight="1" x14ac:dyDescent="0.2">
      <c r="B33" s="25" t="s">
        <v>197</v>
      </c>
      <c r="C33" s="25" t="s">
        <v>198</v>
      </c>
      <c r="D33" s="25" t="s">
        <v>170</v>
      </c>
      <c r="E33" s="26">
        <v>49977</v>
      </c>
      <c r="F33" s="27">
        <v>813.2</v>
      </c>
      <c r="G33" s="28">
        <v>1.0699999999999999E-2</v>
      </c>
      <c r="H33" s="29"/>
    </row>
    <row r="34" spans="2:8" ht="15.75" customHeight="1" x14ac:dyDescent="0.2">
      <c r="B34" s="25" t="s">
        <v>242</v>
      </c>
      <c r="C34" s="25" t="s">
        <v>243</v>
      </c>
      <c r="D34" s="25" t="s">
        <v>127</v>
      </c>
      <c r="E34" s="26">
        <v>57683</v>
      </c>
      <c r="F34" s="27">
        <v>769.17</v>
      </c>
      <c r="G34" s="28">
        <v>1.0200000000000001E-2</v>
      </c>
      <c r="H34" s="29"/>
    </row>
    <row r="35" spans="2:8" ht="15.75" customHeight="1" x14ac:dyDescent="0.2">
      <c r="B35" s="25" t="s">
        <v>248</v>
      </c>
      <c r="C35" s="25" t="s">
        <v>249</v>
      </c>
      <c r="D35" s="25" t="s">
        <v>180</v>
      </c>
      <c r="E35" s="26">
        <v>87993</v>
      </c>
      <c r="F35" s="27">
        <v>720.18</v>
      </c>
      <c r="G35" s="28">
        <v>9.4999999999999998E-3</v>
      </c>
      <c r="H35" s="29"/>
    </row>
    <row r="36" spans="2:8" ht="15.75" customHeight="1" x14ac:dyDescent="0.2">
      <c r="B36" s="25" t="s">
        <v>724</v>
      </c>
      <c r="C36" s="25" t="s">
        <v>725</v>
      </c>
      <c r="D36" s="25" t="s">
        <v>127</v>
      </c>
      <c r="E36" s="26">
        <v>130068</v>
      </c>
      <c r="F36" s="27">
        <v>621.46</v>
      </c>
      <c r="G36" s="28">
        <v>8.2000000000000007E-3</v>
      </c>
      <c r="H36" s="29"/>
    </row>
    <row r="37" spans="2:8" ht="15.75" customHeight="1" x14ac:dyDescent="0.2">
      <c r="B37" s="24" t="s">
        <v>94</v>
      </c>
      <c r="C37" s="24"/>
      <c r="D37" s="24"/>
      <c r="E37" s="30"/>
      <c r="F37" s="31">
        <v>75684.38</v>
      </c>
      <c r="G37" s="32">
        <v>0.999</v>
      </c>
      <c r="H37" s="33"/>
    </row>
    <row r="38" spans="2:8" ht="15.75" customHeight="1" x14ac:dyDescent="0.2">
      <c r="B38" s="24" t="s">
        <v>144</v>
      </c>
      <c r="C38" s="25"/>
      <c r="D38" s="25"/>
      <c r="E38" s="26"/>
      <c r="F38" s="27"/>
      <c r="G38" s="28"/>
      <c r="H38" s="29"/>
    </row>
    <row r="39" spans="2:8" ht="15.75" customHeight="1" x14ac:dyDescent="0.2">
      <c r="B39" s="24" t="s">
        <v>94</v>
      </c>
      <c r="C39" s="25"/>
      <c r="D39" s="25"/>
      <c r="E39" s="26"/>
      <c r="F39" s="34" t="s">
        <v>96</v>
      </c>
      <c r="G39" s="35" t="s">
        <v>96</v>
      </c>
      <c r="H39" s="29"/>
    </row>
    <row r="40" spans="2:8" ht="15.75" customHeight="1" x14ac:dyDescent="0.2">
      <c r="B40" s="25"/>
      <c r="C40" s="25"/>
      <c r="D40" s="25"/>
      <c r="E40" s="26"/>
      <c r="F40" s="27"/>
      <c r="G40" s="28"/>
      <c r="H40" s="29"/>
    </row>
    <row r="41" spans="2:8" ht="15.75" customHeight="1" x14ac:dyDescent="0.2">
      <c r="B41" s="36" t="s">
        <v>98</v>
      </c>
      <c r="C41" s="36"/>
      <c r="D41" s="36"/>
      <c r="E41" s="37"/>
      <c r="F41" s="31">
        <v>75684.38</v>
      </c>
      <c r="G41" s="32">
        <v>0.999</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101</v>
      </c>
      <c r="C44" s="25"/>
      <c r="D44" s="25"/>
      <c r="E44" s="26"/>
      <c r="F44" s="27"/>
      <c r="G44" s="28"/>
      <c r="H44" s="29"/>
    </row>
    <row r="45" spans="2:8" ht="15.75" customHeight="1" x14ac:dyDescent="0.2">
      <c r="B45" s="25" t="s">
        <v>102</v>
      </c>
      <c r="C45" s="25"/>
      <c r="D45" s="25"/>
      <c r="E45" s="26"/>
      <c r="F45" s="27">
        <v>34.03</v>
      </c>
      <c r="G45" s="28">
        <v>4.0000000000000002E-4</v>
      </c>
      <c r="H45" s="29"/>
    </row>
    <row r="46" spans="2:8" ht="15.75" customHeight="1" x14ac:dyDescent="0.2">
      <c r="B46" s="24" t="s">
        <v>94</v>
      </c>
      <c r="C46" s="24"/>
      <c r="D46" s="24"/>
      <c r="E46" s="30"/>
      <c r="F46" s="31">
        <v>34.03</v>
      </c>
      <c r="G46" s="32">
        <v>4.0000000000000002E-4</v>
      </c>
      <c r="H46" s="33"/>
    </row>
    <row r="47" spans="2:8" ht="15.75" customHeight="1" x14ac:dyDescent="0.2">
      <c r="B47" s="25"/>
      <c r="C47" s="25"/>
      <c r="D47" s="25"/>
      <c r="E47" s="26"/>
      <c r="F47" s="27"/>
      <c r="G47" s="28"/>
      <c r="H47" s="29"/>
    </row>
    <row r="48" spans="2:8" ht="15.75" customHeight="1" x14ac:dyDescent="0.2">
      <c r="B48" s="36" t="s">
        <v>98</v>
      </c>
      <c r="C48" s="36"/>
      <c r="D48" s="36"/>
      <c r="E48" s="37"/>
      <c r="F48" s="31">
        <v>34.03</v>
      </c>
      <c r="G48" s="32">
        <v>4.0000000000000002E-4</v>
      </c>
      <c r="H48" s="33"/>
    </row>
    <row r="49" spans="2:8" ht="15.75" customHeight="1" x14ac:dyDescent="0.2">
      <c r="B49" s="25" t="s">
        <v>103</v>
      </c>
      <c r="C49" s="25"/>
      <c r="D49" s="25"/>
      <c r="E49" s="26"/>
      <c r="F49" s="27">
        <v>42.32</v>
      </c>
      <c r="G49" s="28">
        <v>6.0000000000004494E-4</v>
      </c>
      <c r="H49" s="29"/>
    </row>
    <row r="50" spans="2:8" ht="15.75" customHeight="1" x14ac:dyDescent="0.2">
      <c r="B50" s="40" t="s">
        <v>104</v>
      </c>
      <c r="C50" s="40"/>
      <c r="D50" s="40"/>
      <c r="E50" s="41"/>
      <c r="F50" s="42">
        <v>75760.73</v>
      </c>
      <c r="G50" s="43">
        <v>1</v>
      </c>
      <c r="H50" s="44"/>
    </row>
    <row r="51" spans="2:8" ht="15.75" customHeight="1" thickBot="1" x14ac:dyDescent="0.25">
      <c r="B51" s="2"/>
    </row>
    <row r="52" spans="2:8" ht="27" customHeight="1" thickBot="1" x14ac:dyDescent="0.25">
      <c r="B52" s="57" t="s">
        <v>829</v>
      </c>
      <c r="C52" s="58" t="s">
        <v>830</v>
      </c>
      <c r="D52" s="58" t="s">
        <v>831</v>
      </c>
      <c r="E52" s="63" t="s">
        <v>832</v>
      </c>
      <c r="G52" s="2"/>
      <c r="H52" s="2"/>
    </row>
    <row r="53" spans="2:8" ht="30" customHeight="1" x14ac:dyDescent="0.2">
      <c r="B53" s="70" t="s">
        <v>75</v>
      </c>
      <c r="C53" s="82"/>
      <c r="D53" s="85" t="s">
        <v>907</v>
      </c>
      <c r="E53" s="87"/>
      <c r="G53" s="2"/>
      <c r="H53" s="2"/>
    </row>
    <row r="54" spans="2:8" ht="34.5" customHeight="1" x14ac:dyDescent="0.2">
      <c r="B54" s="66" t="s">
        <v>919</v>
      </c>
      <c r="C54" s="83"/>
      <c r="D54" s="86"/>
      <c r="E54" s="83"/>
      <c r="G54" s="2"/>
      <c r="H54" s="2"/>
    </row>
    <row r="55" spans="2:8" ht="39.950000000000003" customHeight="1" x14ac:dyDescent="0.2">
      <c r="B55" s="66" t="s">
        <v>926</v>
      </c>
      <c r="C55" s="83"/>
      <c r="D55" s="86"/>
      <c r="E55" s="83"/>
      <c r="G55" s="2"/>
      <c r="H55" s="2"/>
    </row>
    <row r="56" spans="2:8" ht="29.25" customHeight="1" thickBot="1" x14ac:dyDescent="0.25">
      <c r="B56" s="68" t="s">
        <v>925</v>
      </c>
      <c r="C56" s="84"/>
      <c r="D56" s="71" t="s">
        <v>925</v>
      </c>
      <c r="E56" s="88"/>
      <c r="G56" s="2"/>
      <c r="H56" s="2"/>
    </row>
    <row r="57" spans="2:8" ht="24.95" customHeight="1" x14ac:dyDescent="0.2">
      <c r="B57" s="59" t="s">
        <v>833</v>
      </c>
      <c r="C57" s="60"/>
      <c r="D57" s="61"/>
      <c r="E57" s="62"/>
      <c r="G57" s="2"/>
      <c r="H57" s="2"/>
    </row>
    <row r="59" spans="2:8" ht="12" x14ac:dyDescent="0.2">
      <c r="B59" s="2" t="s">
        <v>834</v>
      </c>
      <c r="C59" s="2"/>
      <c r="D59" s="2"/>
      <c r="G59" s="2"/>
      <c r="H59" s="2"/>
    </row>
    <row r="60" spans="2:8" ht="12" x14ac:dyDescent="0.2">
      <c r="B60" s="3" t="s">
        <v>835</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606539C9-1630-4802-AE21-346B3CE77FF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CC9F-8799-4FF1-8F55-3D4150DBD53B}">
  <dimension ref="B1:P94"/>
  <sheetViews>
    <sheetView topLeftCell="B1" zoomScaleNormal="100"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4.5703125" style="9" customWidth="1"/>
    <col min="4" max="4" width="26.5703125" style="9" customWidth="1"/>
    <col min="5" max="5" width="29"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120</v>
      </c>
      <c r="C5" s="19"/>
      <c r="D5" s="19"/>
      <c r="E5" s="20"/>
      <c r="F5" s="21"/>
      <c r="G5" s="22"/>
      <c r="H5" s="23"/>
    </row>
    <row r="6" spans="2:9" ht="15.75" customHeight="1" x14ac:dyDescent="0.2">
      <c r="B6" s="24" t="s">
        <v>121</v>
      </c>
      <c r="C6" s="25"/>
      <c r="D6" s="25"/>
      <c r="E6" s="26"/>
      <c r="F6" s="27"/>
      <c r="G6" s="28"/>
      <c r="H6" s="29"/>
    </row>
    <row r="7" spans="2:9" ht="15.75" customHeight="1" x14ac:dyDescent="0.2">
      <c r="B7" s="25" t="s">
        <v>122</v>
      </c>
      <c r="C7" s="25" t="s">
        <v>123</v>
      </c>
      <c r="D7" s="25" t="s">
        <v>124</v>
      </c>
      <c r="E7" s="26">
        <v>351932</v>
      </c>
      <c r="F7" s="27">
        <v>3618.39</v>
      </c>
      <c r="G7" s="28">
        <v>7.5999999999999998E-2</v>
      </c>
      <c r="H7" s="29"/>
    </row>
    <row r="8" spans="2:9" ht="15.75" customHeight="1" x14ac:dyDescent="0.2">
      <c r="B8" s="25" t="s">
        <v>125</v>
      </c>
      <c r="C8" s="25" t="s">
        <v>126</v>
      </c>
      <c r="D8" s="25" t="s">
        <v>127</v>
      </c>
      <c r="E8" s="26">
        <v>163266</v>
      </c>
      <c r="F8" s="27">
        <v>2711.68</v>
      </c>
      <c r="G8" s="28">
        <v>5.6899999999999999E-2</v>
      </c>
      <c r="H8" s="29"/>
    </row>
    <row r="9" spans="2:9" ht="15.75" customHeight="1" x14ac:dyDescent="0.2">
      <c r="B9" s="25" t="s">
        <v>128</v>
      </c>
      <c r="C9" s="25" t="s">
        <v>129</v>
      </c>
      <c r="D9" s="25" t="s">
        <v>124</v>
      </c>
      <c r="E9" s="26">
        <v>158134</v>
      </c>
      <c r="F9" s="27">
        <v>2312.79</v>
      </c>
      <c r="G9" s="28">
        <v>4.8599999999999997E-2</v>
      </c>
      <c r="H9" s="29"/>
    </row>
    <row r="10" spans="2:9" ht="15.75" customHeight="1" x14ac:dyDescent="0.2">
      <c r="B10" s="25" t="s">
        <v>171</v>
      </c>
      <c r="C10" s="25" t="s">
        <v>172</v>
      </c>
      <c r="D10" s="25" t="s">
        <v>127</v>
      </c>
      <c r="E10" s="26">
        <v>42065</v>
      </c>
      <c r="F10" s="27">
        <v>1605.18</v>
      </c>
      <c r="G10" s="28">
        <v>3.3700000000000001E-2</v>
      </c>
      <c r="H10" s="29"/>
    </row>
    <row r="11" spans="2:9" ht="15.75" customHeight="1" x14ac:dyDescent="0.2">
      <c r="B11" s="25" t="s">
        <v>205</v>
      </c>
      <c r="C11" s="25" t="s">
        <v>206</v>
      </c>
      <c r="D11" s="25" t="s">
        <v>207</v>
      </c>
      <c r="E11" s="26">
        <v>49642</v>
      </c>
      <c r="F11" s="27">
        <v>1532.42</v>
      </c>
      <c r="G11" s="28">
        <v>3.2199999999999999E-2</v>
      </c>
      <c r="H11" s="29"/>
    </row>
    <row r="12" spans="2:9" ht="15.75" customHeight="1" x14ac:dyDescent="0.2">
      <c r="B12" s="25" t="s">
        <v>216</v>
      </c>
      <c r="C12" s="25" t="s">
        <v>217</v>
      </c>
      <c r="D12" s="25" t="s">
        <v>212</v>
      </c>
      <c r="E12" s="26">
        <v>37729</v>
      </c>
      <c r="F12" s="27">
        <v>1395.05</v>
      </c>
      <c r="G12" s="28">
        <v>2.93E-2</v>
      </c>
      <c r="H12" s="29"/>
    </row>
    <row r="13" spans="2:9" ht="15.75" customHeight="1" x14ac:dyDescent="0.2">
      <c r="B13" s="25" t="s">
        <v>638</v>
      </c>
      <c r="C13" s="25" t="s">
        <v>639</v>
      </c>
      <c r="D13" s="25" t="s">
        <v>303</v>
      </c>
      <c r="E13" s="26">
        <v>36098</v>
      </c>
      <c r="F13" s="27">
        <v>1316.95</v>
      </c>
      <c r="G13" s="28">
        <v>2.76E-2</v>
      </c>
      <c r="H13" s="29"/>
    </row>
    <row r="14" spans="2:9" ht="15.75" customHeight="1" x14ac:dyDescent="0.2">
      <c r="B14" s="25" t="s">
        <v>166</v>
      </c>
      <c r="C14" s="25" t="s">
        <v>167</v>
      </c>
      <c r="D14" s="25" t="s">
        <v>124</v>
      </c>
      <c r="E14" s="26">
        <v>110264</v>
      </c>
      <c r="F14" s="27">
        <v>1177.3399999999999</v>
      </c>
      <c r="G14" s="28">
        <v>2.47E-2</v>
      </c>
      <c r="H14" s="29"/>
    </row>
    <row r="15" spans="2:9" ht="15.75" customHeight="1" x14ac:dyDescent="0.2">
      <c r="B15" s="25" t="s">
        <v>684</v>
      </c>
      <c r="C15" s="25" t="s">
        <v>685</v>
      </c>
      <c r="D15" s="25" t="s">
        <v>207</v>
      </c>
      <c r="E15" s="26">
        <v>29606</v>
      </c>
      <c r="F15" s="27">
        <v>1122.8699999999999</v>
      </c>
      <c r="G15" s="28">
        <v>2.3599999999999999E-2</v>
      </c>
      <c r="H15" s="29"/>
    </row>
    <row r="16" spans="2:9" ht="15.75" customHeight="1" x14ac:dyDescent="0.2">
      <c r="B16" s="25" t="s">
        <v>168</v>
      </c>
      <c r="C16" s="25" t="s">
        <v>169</v>
      </c>
      <c r="D16" s="25" t="s">
        <v>170</v>
      </c>
      <c r="E16" s="26">
        <v>16354</v>
      </c>
      <c r="F16" s="27">
        <v>1122.3599999999999</v>
      </c>
      <c r="G16" s="28">
        <v>2.3599999999999999E-2</v>
      </c>
      <c r="H16" s="29"/>
    </row>
    <row r="17" spans="2:8" ht="15.75" customHeight="1" x14ac:dyDescent="0.2">
      <c r="B17" s="25" t="s">
        <v>431</v>
      </c>
      <c r="C17" s="25" t="s">
        <v>432</v>
      </c>
      <c r="D17" s="25" t="s">
        <v>298</v>
      </c>
      <c r="E17" s="26">
        <v>164723</v>
      </c>
      <c r="F17" s="27">
        <v>1080.3399999999999</v>
      </c>
      <c r="G17" s="28">
        <v>2.2700000000000001E-2</v>
      </c>
      <c r="H17" s="29"/>
    </row>
    <row r="18" spans="2:8" ht="15.75" customHeight="1" x14ac:dyDescent="0.2">
      <c r="B18" s="25" t="s">
        <v>282</v>
      </c>
      <c r="C18" s="25" t="s">
        <v>283</v>
      </c>
      <c r="D18" s="25" t="s">
        <v>215</v>
      </c>
      <c r="E18" s="26">
        <v>45240</v>
      </c>
      <c r="F18" s="27">
        <v>1051.8800000000001</v>
      </c>
      <c r="G18" s="28">
        <v>2.2100000000000002E-2</v>
      </c>
      <c r="H18" s="29"/>
    </row>
    <row r="19" spans="2:8" ht="15.75" customHeight="1" x14ac:dyDescent="0.2">
      <c r="B19" s="25" t="s">
        <v>130</v>
      </c>
      <c r="C19" s="25" t="s">
        <v>131</v>
      </c>
      <c r="D19" s="25" t="s">
        <v>132</v>
      </c>
      <c r="E19" s="26">
        <v>31150</v>
      </c>
      <c r="F19" s="27">
        <v>888.79</v>
      </c>
      <c r="G19" s="28">
        <v>1.8700000000000001E-2</v>
      </c>
      <c r="H19" s="29"/>
    </row>
    <row r="20" spans="2:8" ht="15.75" customHeight="1" x14ac:dyDescent="0.2">
      <c r="B20" s="25" t="s">
        <v>477</v>
      </c>
      <c r="C20" s="25" t="s">
        <v>478</v>
      </c>
      <c r="D20" s="25" t="s">
        <v>204</v>
      </c>
      <c r="E20" s="26">
        <v>23804</v>
      </c>
      <c r="F20" s="27">
        <v>873.75</v>
      </c>
      <c r="G20" s="28">
        <v>1.83E-2</v>
      </c>
      <c r="H20" s="29"/>
    </row>
    <row r="21" spans="2:8" ht="15.75" customHeight="1" x14ac:dyDescent="0.2">
      <c r="B21" s="25" t="s">
        <v>479</v>
      </c>
      <c r="C21" s="25" t="s">
        <v>480</v>
      </c>
      <c r="D21" s="25" t="s">
        <v>303</v>
      </c>
      <c r="E21" s="26">
        <v>71359</v>
      </c>
      <c r="F21" s="27">
        <v>802.54</v>
      </c>
      <c r="G21" s="28">
        <v>1.6799999999999999E-2</v>
      </c>
      <c r="H21" s="29"/>
    </row>
    <row r="22" spans="2:8" ht="15.75" customHeight="1" x14ac:dyDescent="0.2">
      <c r="B22" s="25" t="s">
        <v>682</v>
      </c>
      <c r="C22" s="25" t="s">
        <v>683</v>
      </c>
      <c r="D22" s="25" t="s">
        <v>592</v>
      </c>
      <c r="E22" s="26">
        <v>69748</v>
      </c>
      <c r="F22" s="27">
        <v>779.78</v>
      </c>
      <c r="G22" s="28">
        <v>1.6400000000000001E-2</v>
      </c>
      <c r="H22" s="29"/>
    </row>
    <row r="23" spans="2:8" ht="15.75" customHeight="1" x14ac:dyDescent="0.2">
      <c r="B23" s="25" t="s">
        <v>350</v>
      </c>
      <c r="C23" s="25" t="s">
        <v>351</v>
      </c>
      <c r="D23" s="25" t="s">
        <v>259</v>
      </c>
      <c r="E23" s="26">
        <v>64673</v>
      </c>
      <c r="F23" s="27">
        <v>757.13</v>
      </c>
      <c r="G23" s="28">
        <v>1.5900000000000001E-2</v>
      </c>
      <c r="H23" s="29"/>
    </row>
    <row r="24" spans="2:8" ht="15.75" customHeight="1" x14ac:dyDescent="0.2">
      <c r="B24" s="25" t="s">
        <v>185</v>
      </c>
      <c r="C24" s="25" t="s">
        <v>186</v>
      </c>
      <c r="D24" s="25" t="s">
        <v>187</v>
      </c>
      <c r="E24" s="26">
        <v>398749</v>
      </c>
      <c r="F24" s="27">
        <v>741.27</v>
      </c>
      <c r="G24" s="28">
        <v>1.5599999999999999E-2</v>
      </c>
      <c r="H24" s="29"/>
    </row>
    <row r="25" spans="2:8" ht="15.75" customHeight="1" x14ac:dyDescent="0.2">
      <c r="B25" s="25" t="s">
        <v>674</v>
      </c>
      <c r="C25" s="25" t="s">
        <v>675</v>
      </c>
      <c r="D25" s="25" t="s">
        <v>212</v>
      </c>
      <c r="E25" s="26">
        <v>8840</v>
      </c>
      <c r="F25" s="27">
        <v>729.63</v>
      </c>
      <c r="G25" s="28">
        <v>1.5299999999999999E-2</v>
      </c>
      <c r="H25" s="29"/>
    </row>
    <row r="26" spans="2:8" ht="15.75" customHeight="1" x14ac:dyDescent="0.2">
      <c r="B26" s="25" t="s">
        <v>197</v>
      </c>
      <c r="C26" s="25" t="s">
        <v>198</v>
      </c>
      <c r="D26" s="25" t="s">
        <v>170</v>
      </c>
      <c r="E26" s="26">
        <v>43125</v>
      </c>
      <c r="F26" s="27">
        <v>701.77</v>
      </c>
      <c r="G26" s="28">
        <v>1.47E-2</v>
      </c>
      <c r="H26" s="29"/>
    </row>
    <row r="27" spans="2:8" ht="15.75" customHeight="1" x14ac:dyDescent="0.2">
      <c r="B27" s="25" t="s">
        <v>133</v>
      </c>
      <c r="C27" s="25" t="s">
        <v>134</v>
      </c>
      <c r="D27" s="25" t="s">
        <v>135</v>
      </c>
      <c r="E27" s="26">
        <v>27025</v>
      </c>
      <c r="F27" s="27">
        <v>670.64</v>
      </c>
      <c r="G27" s="28">
        <v>1.41E-2</v>
      </c>
      <c r="H27" s="29"/>
    </row>
    <row r="28" spans="2:8" ht="15.75" customHeight="1" x14ac:dyDescent="0.2">
      <c r="B28" s="25" t="s">
        <v>456</v>
      </c>
      <c r="C28" s="25" t="s">
        <v>457</v>
      </c>
      <c r="D28" s="25" t="s">
        <v>204</v>
      </c>
      <c r="E28" s="26">
        <v>13006</v>
      </c>
      <c r="F28" s="27">
        <v>649.79</v>
      </c>
      <c r="G28" s="28">
        <v>1.3599999999999999E-2</v>
      </c>
      <c r="H28" s="29"/>
    </row>
    <row r="29" spans="2:8" ht="15.75" customHeight="1" x14ac:dyDescent="0.2">
      <c r="B29" s="25" t="s">
        <v>403</v>
      </c>
      <c r="C29" s="25" t="s">
        <v>404</v>
      </c>
      <c r="D29" s="25" t="s">
        <v>170</v>
      </c>
      <c r="E29" s="26">
        <v>40543</v>
      </c>
      <c r="F29" s="27">
        <v>644.54999999999995</v>
      </c>
      <c r="G29" s="28">
        <v>1.35E-2</v>
      </c>
      <c r="H29" s="29"/>
    </row>
    <row r="30" spans="2:8" ht="15.75" customHeight="1" x14ac:dyDescent="0.2">
      <c r="B30" s="25" t="s">
        <v>183</v>
      </c>
      <c r="C30" s="25" t="s">
        <v>184</v>
      </c>
      <c r="D30" s="25" t="s">
        <v>141</v>
      </c>
      <c r="E30" s="26">
        <v>6270</v>
      </c>
      <c r="F30" s="27">
        <v>638.72</v>
      </c>
      <c r="G30" s="28">
        <v>1.34E-2</v>
      </c>
      <c r="H30" s="29"/>
    </row>
    <row r="31" spans="2:8" ht="15.75" customHeight="1" x14ac:dyDescent="0.2">
      <c r="B31" s="25" t="s">
        <v>601</v>
      </c>
      <c r="C31" s="25" t="s">
        <v>602</v>
      </c>
      <c r="D31" s="25" t="s">
        <v>215</v>
      </c>
      <c r="E31" s="26">
        <v>36495</v>
      </c>
      <c r="F31" s="27">
        <v>632.6</v>
      </c>
      <c r="G31" s="28">
        <v>1.3299999999999999E-2</v>
      </c>
      <c r="H31" s="29"/>
    </row>
    <row r="32" spans="2:8" ht="15.75" customHeight="1" x14ac:dyDescent="0.2">
      <c r="B32" s="25" t="s">
        <v>658</v>
      </c>
      <c r="C32" s="25" t="s">
        <v>659</v>
      </c>
      <c r="D32" s="25" t="s">
        <v>212</v>
      </c>
      <c r="E32" s="26">
        <v>60098</v>
      </c>
      <c r="F32" s="27">
        <v>629.74</v>
      </c>
      <c r="G32" s="28">
        <v>1.32E-2</v>
      </c>
      <c r="H32" s="29"/>
    </row>
    <row r="33" spans="2:8" ht="15.75" customHeight="1" x14ac:dyDescent="0.2">
      <c r="B33" s="25" t="s">
        <v>435</v>
      </c>
      <c r="C33" s="25" t="s">
        <v>436</v>
      </c>
      <c r="D33" s="25" t="s">
        <v>437</v>
      </c>
      <c r="E33" s="26">
        <v>61488</v>
      </c>
      <c r="F33" s="27">
        <v>570.52</v>
      </c>
      <c r="G33" s="28">
        <v>1.2E-2</v>
      </c>
      <c r="H33" s="29"/>
    </row>
    <row r="34" spans="2:8" ht="15.75" customHeight="1" x14ac:dyDescent="0.2">
      <c r="B34" s="25" t="s">
        <v>405</v>
      </c>
      <c r="C34" s="25" t="s">
        <v>406</v>
      </c>
      <c r="D34" s="25" t="s">
        <v>170</v>
      </c>
      <c r="E34" s="26">
        <v>321191</v>
      </c>
      <c r="F34" s="27">
        <v>556.29999999999995</v>
      </c>
      <c r="G34" s="28">
        <v>1.17E-2</v>
      </c>
      <c r="H34" s="29"/>
    </row>
    <row r="35" spans="2:8" ht="15.75" customHeight="1" x14ac:dyDescent="0.2">
      <c r="B35" s="25" t="s">
        <v>188</v>
      </c>
      <c r="C35" s="25" t="s">
        <v>189</v>
      </c>
      <c r="D35" s="25" t="s">
        <v>124</v>
      </c>
      <c r="E35" s="26">
        <v>78088</v>
      </c>
      <c r="F35" s="27">
        <v>500.15</v>
      </c>
      <c r="G35" s="28">
        <v>1.0500000000000001E-2</v>
      </c>
      <c r="H35" s="29"/>
    </row>
    <row r="36" spans="2:8" ht="15.75" customHeight="1" x14ac:dyDescent="0.2">
      <c r="B36" s="25" t="s">
        <v>444</v>
      </c>
      <c r="C36" s="25" t="s">
        <v>445</v>
      </c>
      <c r="D36" s="25" t="s">
        <v>207</v>
      </c>
      <c r="E36" s="26">
        <v>204237</v>
      </c>
      <c r="F36" s="27">
        <v>498.24</v>
      </c>
      <c r="G36" s="28">
        <v>1.0500000000000001E-2</v>
      </c>
      <c r="H36" s="29"/>
    </row>
    <row r="37" spans="2:8" ht="15.75" customHeight="1" x14ac:dyDescent="0.2">
      <c r="B37" s="25" t="s">
        <v>666</v>
      </c>
      <c r="C37" s="25" t="s">
        <v>667</v>
      </c>
      <c r="D37" s="25" t="s">
        <v>215</v>
      </c>
      <c r="E37" s="26">
        <v>13640</v>
      </c>
      <c r="F37" s="27">
        <v>466.15</v>
      </c>
      <c r="G37" s="28">
        <v>9.7999999999999997E-3</v>
      </c>
      <c r="H37" s="29"/>
    </row>
    <row r="38" spans="2:8" ht="15.75" customHeight="1" x14ac:dyDescent="0.2">
      <c r="B38" s="25" t="s">
        <v>382</v>
      </c>
      <c r="C38" s="25" t="s">
        <v>383</v>
      </c>
      <c r="D38" s="25" t="s">
        <v>127</v>
      </c>
      <c r="E38" s="26">
        <v>7433</v>
      </c>
      <c r="F38" s="27">
        <v>464.57</v>
      </c>
      <c r="G38" s="28">
        <v>9.7999999999999997E-3</v>
      </c>
      <c r="H38" s="29"/>
    </row>
    <row r="39" spans="2:8" ht="15.75" customHeight="1" x14ac:dyDescent="0.2">
      <c r="B39" s="25" t="s">
        <v>192</v>
      </c>
      <c r="C39" s="25" t="s">
        <v>193</v>
      </c>
      <c r="D39" s="25" t="s">
        <v>124</v>
      </c>
      <c r="E39" s="26">
        <v>24596</v>
      </c>
      <c r="F39" s="27">
        <v>448.94</v>
      </c>
      <c r="G39" s="28">
        <v>9.4000000000000004E-3</v>
      </c>
      <c r="H39" s="29"/>
    </row>
    <row r="40" spans="2:8" ht="15.75" customHeight="1" x14ac:dyDescent="0.2">
      <c r="B40" s="25" t="s">
        <v>812</v>
      </c>
      <c r="C40" s="25" t="s">
        <v>813</v>
      </c>
      <c r="D40" s="25" t="s">
        <v>303</v>
      </c>
      <c r="E40" s="26">
        <v>9080</v>
      </c>
      <c r="F40" s="27">
        <v>426.02</v>
      </c>
      <c r="G40" s="28">
        <v>8.8999999999999999E-3</v>
      </c>
      <c r="H40" s="29"/>
    </row>
    <row r="41" spans="2:8" ht="15.75" customHeight="1" x14ac:dyDescent="0.2">
      <c r="B41" s="25" t="s">
        <v>213</v>
      </c>
      <c r="C41" s="25" t="s">
        <v>214</v>
      </c>
      <c r="D41" s="25" t="s">
        <v>215</v>
      </c>
      <c r="E41" s="26">
        <v>16516</v>
      </c>
      <c r="F41" s="27">
        <v>418.36</v>
      </c>
      <c r="G41" s="28">
        <v>8.8000000000000005E-3</v>
      </c>
      <c r="H41" s="29"/>
    </row>
    <row r="42" spans="2:8" ht="15.75" customHeight="1" x14ac:dyDescent="0.2">
      <c r="B42" s="25" t="s">
        <v>742</v>
      </c>
      <c r="C42" s="25" t="s">
        <v>743</v>
      </c>
      <c r="D42" s="25" t="s">
        <v>316</v>
      </c>
      <c r="E42" s="26">
        <v>69652</v>
      </c>
      <c r="F42" s="27">
        <v>403.18</v>
      </c>
      <c r="G42" s="28">
        <v>8.5000000000000006E-3</v>
      </c>
      <c r="H42" s="29"/>
    </row>
    <row r="43" spans="2:8" ht="15.75" customHeight="1" x14ac:dyDescent="0.2">
      <c r="B43" s="25" t="s">
        <v>814</v>
      </c>
      <c r="C43" s="25" t="s">
        <v>815</v>
      </c>
      <c r="D43" s="25" t="s">
        <v>303</v>
      </c>
      <c r="E43" s="26">
        <v>46315</v>
      </c>
      <c r="F43" s="27">
        <v>335.71</v>
      </c>
      <c r="G43" s="28">
        <v>7.0000000000000001E-3</v>
      </c>
      <c r="H43" s="29"/>
    </row>
    <row r="44" spans="2:8" ht="15.75" customHeight="1" x14ac:dyDescent="0.2">
      <c r="B44" s="25" t="s">
        <v>816</v>
      </c>
      <c r="C44" s="25" t="s">
        <v>817</v>
      </c>
      <c r="D44" s="25" t="s">
        <v>437</v>
      </c>
      <c r="E44" s="26">
        <v>18726</v>
      </c>
      <c r="F44" s="27">
        <v>332.45</v>
      </c>
      <c r="G44" s="28">
        <v>7.0000000000000001E-3</v>
      </c>
      <c r="H44" s="29"/>
    </row>
    <row r="45" spans="2:8" ht="15.75" customHeight="1" x14ac:dyDescent="0.2">
      <c r="B45" s="25" t="s">
        <v>401</v>
      </c>
      <c r="C45" s="25" t="s">
        <v>402</v>
      </c>
      <c r="D45" s="25" t="s">
        <v>124</v>
      </c>
      <c r="E45" s="26">
        <v>216751</v>
      </c>
      <c r="F45" s="27">
        <v>319.27</v>
      </c>
      <c r="G45" s="28">
        <v>6.7000000000000002E-3</v>
      </c>
      <c r="H45" s="29"/>
    </row>
    <row r="46" spans="2:8" ht="15.75" customHeight="1" x14ac:dyDescent="0.2">
      <c r="B46" s="25" t="s">
        <v>374</v>
      </c>
      <c r="C46" s="25" t="s">
        <v>375</v>
      </c>
      <c r="D46" s="25" t="s">
        <v>165</v>
      </c>
      <c r="E46" s="26">
        <v>33108</v>
      </c>
      <c r="F46" s="27">
        <v>310.77999999999997</v>
      </c>
      <c r="G46" s="28">
        <v>6.4999999999999997E-3</v>
      </c>
      <c r="H46" s="29"/>
    </row>
    <row r="47" spans="2:8" ht="15.75" customHeight="1" x14ac:dyDescent="0.2">
      <c r="B47" s="25" t="s">
        <v>421</v>
      </c>
      <c r="C47" s="25" t="s">
        <v>422</v>
      </c>
      <c r="D47" s="25" t="s">
        <v>170</v>
      </c>
      <c r="E47" s="26">
        <v>42265</v>
      </c>
      <c r="F47" s="27">
        <v>302.33999999999997</v>
      </c>
      <c r="G47" s="28">
        <v>6.3E-3</v>
      </c>
      <c r="H47" s="29"/>
    </row>
    <row r="48" spans="2:8" ht="15.75" customHeight="1" x14ac:dyDescent="0.2">
      <c r="B48" s="25" t="s">
        <v>758</v>
      </c>
      <c r="C48" s="25" t="s">
        <v>759</v>
      </c>
      <c r="D48" s="25" t="s">
        <v>303</v>
      </c>
      <c r="E48" s="26">
        <v>32323</v>
      </c>
      <c r="F48" s="27">
        <v>297.27</v>
      </c>
      <c r="G48" s="28">
        <v>6.1999999999999998E-3</v>
      </c>
      <c r="H48" s="29"/>
    </row>
    <row r="49" spans="2:8" ht="15.75" customHeight="1" x14ac:dyDescent="0.2">
      <c r="B49" s="25" t="s">
        <v>364</v>
      </c>
      <c r="C49" s="25" t="s">
        <v>365</v>
      </c>
      <c r="D49" s="25" t="s">
        <v>170</v>
      </c>
      <c r="E49" s="26">
        <v>34955</v>
      </c>
      <c r="F49" s="27">
        <v>266.29000000000002</v>
      </c>
      <c r="G49" s="28">
        <v>5.5999999999999999E-3</v>
      </c>
      <c r="H49" s="29"/>
    </row>
    <row r="50" spans="2:8" ht="15.75" customHeight="1" x14ac:dyDescent="0.2">
      <c r="B50" s="25" t="s">
        <v>818</v>
      </c>
      <c r="C50" s="25" t="s">
        <v>819</v>
      </c>
      <c r="D50" s="25" t="s">
        <v>229</v>
      </c>
      <c r="E50" s="26">
        <v>62643</v>
      </c>
      <c r="F50" s="27">
        <v>114.17</v>
      </c>
      <c r="G50" s="28">
        <v>2.3999999999999998E-3</v>
      </c>
      <c r="H50" s="29"/>
    </row>
    <row r="51" spans="2:8" ht="15.75" customHeight="1" x14ac:dyDescent="0.2">
      <c r="B51" s="25" t="s">
        <v>820</v>
      </c>
      <c r="C51" s="25" t="s">
        <v>821</v>
      </c>
      <c r="D51" s="25" t="s">
        <v>259</v>
      </c>
      <c r="E51" s="26">
        <v>4625</v>
      </c>
      <c r="F51" s="27">
        <v>35.61</v>
      </c>
      <c r="G51" s="28">
        <v>6.9999999999999999E-4</v>
      </c>
      <c r="H51" s="29"/>
    </row>
    <row r="52" spans="2:8" ht="15.75" customHeight="1" x14ac:dyDescent="0.2">
      <c r="B52" s="24" t="s">
        <v>94</v>
      </c>
      <c r="C52" s="24"/>
      <c r="D52" s="24"/>
      <c r="E52" s="30"/>
      <c r="F52" s="31">
        <v>37254.269999999997</v>
      </c>
      <c r="G52" s="32">
        <v>0.78210000000000002</v>
      </c>
      <c r="H52" s="33"/>
    </row>
    <row r="53" spans="2:8" ht="15.75" customHeight="1" x14ac:dyDescent="0.2">
      <c r="B53" s="24" t="s">
        <v>144</v>
      </c>
      <c r="C53" s="25"/>
      <c r="D53" s="25"/>
      <c r="E53" s="26"/>
      <c r="F53" s="27"/>
      <c r="G53" s="28"/>
      <c r="H53" s="29"/>
    </row>
    <row r="54" spans="2:8" ht="15.75" customHeight="1" x14ac:dyDescent="0.2">
      <c r="B54" s="24" t="s">
        <v>94</v>
      </c>
      <c r="C54" s="25"/>
      <c r="D54" s="25"/>
      <c r="E54" s="26"/>
      <c r="F54" s="34" t="s">
        <v>96</v>
      </c>
      <c r="G54" s="35" t="s">
        <v>96</v>
      </c>
      <c r="H54" s="29"/>
    </row>
    <row r="55" spans="2:8" ht="15.75" customHeight="1" x14ac:dyDescent="0.2">
      <c r="B55" s="25"/>
      <c r="C55" s="25"/>
      <c r="D55" s="25"/>
      <c r="E55" s="26"/>
      <c r="F55" s="27"/>
      <c r="G55" s="28"/>
      <c r="H55" s="29"/>
    </row>
    <row r="56" spans="2:8" ht="15.75" customHeight="1" x14ac:dyDescent="0.2">
      <c r="B56" s="36" t="s">
        <v>98</v>
      </c>
      <c r="C56" s="36"/>
      <c r="D56" s="36"/>
      <c r="E56" s="37"/>
      <c r="F56" s="31">
        <v>37254.269999999997</v>
      </c>
      <c r="G56" s="32">
        <v>0.78210000000000002</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145</v>
      </c>
      <c r="C60" s="25" t="s">
        <v>146</v>
      </c>
      <c r="D60" s="25" t="s">
        <v>85</v>
      </c>
      <c r="E60" s="26">
        <v>8000000</v>
      </c>
      <c r="F60" s="27">
        <v>8148.78</v>
      </c>
      <c r="G60" s="28">
        <v>0.1711</v>
      </c>
      <c r="H60" s="29">
        <v>7.1563000000000002E-2</v>
      </c>
    </row>
    <row r="61" spans="2:8" ht="15.75" customHeight="1" x14ac:dyDescent="0.2">
      <c r="B61" s="25" t="s">
        <v>822</v>
      </c>
      <c r="C61" s="25" t="s">
        <v>823</v>
      </c>
      <c r="D61" s="25" t="s">
        <v>85</v>
      </c>
      <c r="E61" s="26">
        <v>500000</v>
      </c>
      <c r="F61" s="27">
        <v>489.96</v>
      </c>
      <c r="G61" s="28">
        <v>1.03E-2</v>
      </c>
      <c r="H61" s="29">
        <v>7.1496000000000004E-2</v>
      </c>
    </row>
    <row r="62" spans="2:8" ht="15.75" customHeight="1" x14ac:dyDescent="0.2">
      <c r="B62" s="25" t="s">
        <v>112</v>
      </c>
      <c r="C62" s="25" t="s">
        <v>113</v>
      </c>
      <c r="D62" s="25" t="s">
        <v>85</v>
      </c>
      <c r="E62" s="26">
        <v>200000</v>
      </c>
      <c r="F62" s="27">
        <v>197.9</v>
      </c>
      <c r="G62" s="28">
        <v>4.1999999999999997E-3</v>
      </c>
      <c r="H62" s="29">
        <v>7.1212999999999999E-2</v>
      </c>
    </row>
    <row r="63" spans="2:8" ht="15.75" customHeight="1" x14ac:dyDescent="0.2">
      <c r="B63" s="25" t="s">
        <v>88</v>
      </c>
      <c r="C63" s="25" t="s">
        <v>93</v>
      </c>
      <c r="D63" s="25" t="s">
        <v>85</v>
      </c>
      <c r="E63" s="26">
        <v>100000</v>
      </c>
      <c r="F63" s="27">
        <v>104.07</v>
      </c>
      <c r="G63" s="28">
        <v>2.2000000000000001E-3</v>
      </c>
      <c r="H63" s="29">
        <v>7.3058999999999999E-2</v>
      </c>
    </row>
    <row r="64" spans="2:8" ht="15.75" customHeight="1" x14ac:dyDescent="0.2">
      <c r="B64" s="25" t="s">
        <v>88</v>
      </c>
      <c r="C64" s="25" t="s">
        <v>89</v>
      </c>
      <c r="D64" s="25" t="s">
        <v>85</v>
      </c>
      <c r="E64" s="26">
        <v>100000</v>
      </c>
      <c r="F64" s="27">
        <v>103.75</v>
      </c>
      <c r="G64" s="28">
        <v>2.2000000000000001E-3</v>
      </c>
      <c r="H64" s="29">
        <v>7.3009000000000004E-2</v>
      </c>
    </row>
    <row r="65" spans="2:16" ht="15.75" customHeight="1" x14ac:dyDescent="0.2">
      <c r="B65" s="25" t="s">
        <v>153</v>
      </c>
      <c r="C65" s="25" t="s">
        <v>154</v>
      </c>
      <c r="D65" s="25" t="s">
        <v>85</v>
      </c>
      <c r="E65" s="26">
        <v>100000</v>
      </c>
      <c r="F65" s="27">
        <v>102.23</v>
      </c>
      <c r="G65" s="28">
        <v>2.0999999999999999E-3</v>
      </c>
      <c r="H65" s="29">
        <v>7.1654999999999996E-2</v>
      </c>
    </row>
    <row r="66" spans="2:16" ht="15.75" customHeight="1" x14ac:dyDescent="0.2">
      <c r="B66" s="25" t="s">
        <v>149</v>
      </c>
      <c r="C66" s="25" t="s">
        <v>150</v>
      </c>
      <c r="D66" s="25" t="s">
        <v>85</v>
      </c>
      <c r="E66" s="26">
        <v>50000</v>
      </c>
      <c r="F66" s="27">
        <v>51.06</v>
      </c>
      <c r="G66" s="28">
        <v>1.1000000000000001E-3</v>
      </c>
      <c r="H66" s="29">
        <v>7.2029999999999997E-2</v>
      </c>
    </row>
    <row r="67" spans="2:16" ht="15.75" customHeight="1" x14ac:dyDescent="0.2">
      <c r="B67" s="24" t="s">
        <v>94</v>
      </c>
      <c r="C67" s="24"/>
      <c r="D67" s="24"/>
      <c r="E67" s="30"/>
      <c r="F67" s="31">
        <v>9197.75</v>
      </c>
      <c r="G67" s="32">
        <v>0.19320000000000001</v>
      </c>
      <c r="H67" s="33"/>
    </row>
    <row r="68" spans="2:16" ht="15.75" customHeight="1" x14ac:dyDescent="0.2">
      <c r="B68" s="25"/>
      <c r="C68" s="25"/>
      <c r="D68" s="25"/>
      <c r="E68" s="26"/>
      <c r="F68" s="27"/>
      <c r="G68" s="28"/>
      <c r="H68" s="29"/>
      <c r="L68" s="3"/>
    </row>
    <row r="69" spans="2:16" ht="15.75" customHeight="1" x14ac:dyDescent="0.2">
      <c r="B69" s="24" t="s">
        <v>95</v>
      </c>
      <c r="C69" s="25"/>
      <c r="D69" s="25"/>
      <c r="E69" s="26"/>
      <c r="F69" s="27"/>
      <c r="G69" s="28"/>
      <c r="H69" s="29"/>
    </row>
    <row r="70" spans="2:16" ht="15.75" customHeight="1" x14ac:dyDescent="0.2">
      <c r="B70" s="24" t="s">
        <v>94</v>
      </c>
      <c r="C70" s="25"/>
      <c r="D70" s="25"/>
      <c r="E70" s="26"/>
      <c r="F70" s="34" t="s">
        <v>96</v>
      </c>
      <c r="G70" s="35" t="s">
        <v>96</v>
      </c>
      <c r="H70" s="29"/>
      <c r="L70" s="3"/>
    </row>
    <row r="71" spans="2:16" ht="15.75" customHeight="1" x14ac:dyDescent="0.2">
      <c r="B71" s="25"/>
      <c r="C71" s="25"/>
      <c r="D71" s="25"/>
      <c r="E71" s="26"/>
      <c r="F71" s="27"/>
      <c r="G71" s="28"/>
      <c r="H71" s="29"/>
      <c r="L71" s="3"/>
    </row>
    <row r="72" spans="2:16" ht="15.75" customHeight="1" x14ac:dyDescent="0.2">
      <c r="B72" s="24" t="s">
        <v>97</v>
      </c>
      <c r="C72" s="25"/>
      <c r="D72" s="25"/>
      <c r="E72" s="26"/>
      <c r="F72" s="27"/>
      <c r="G72" s="28"/>
      <c r="H72" s="29"/>
      <c r="L72" s="3"/>
    </row>
    <row r="73" spans="2:16" ht="15.75" customHeight="1" x14ac:dyDescent="0.2">
      <c r="B73" s="24" t="s">
        <v>94</v>
      </c>
      <c r="C73" s="25"/>
      <c r="D73" s="25"/>
      <c r="E73" s="26"/>
      <c r="F73" s="34" t="s">
        <v>96</v>
      </c>
      <c r="G73" s="35" t="s">
        <v>96</v>
      </c>
      <c r="H73" s="29"/>
      <c r="L73" s="3"/>
    </row>
    <row r="74" spans="2:16" ht="15.75" customHeight="1" x14ac:dyDescent="0.2">
      <c r="B74" s="25"/>
      <c r="C74" s="25"/>
      <c r="D74" s="25"/>
      <c r="E74" s="26"/>
      <c r="F74" s="27"/>
      <c r="G74" s="28"/>
      <c r="H74" s="29"/>
      <c r="L74" s="3"/>
    </row>
    <row r="75" spans="2:16" ht="15.75" customHeight="1" x14ac:dyDescent="0.2">
      <c r="B75" s="36" t="s">
        <v>98</v>
      </c>
      <c r="C75" s="36"/>
      <c r="D75" s="36"/>
      <c r="E75" s="37"/>
      <c r="F75" s="31">
        <v>9197.75</v>
      </c>
      <c r="G75" s="32">
        <v>0.19309999999999999</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101</v>
      </c>
      <c r="C78" s="25"/>
      <c r="D78" s="25"/>
      <c r="E78" s="26"/>
      <c r="F78" s="27"/>
      <c r="G78" s="28"/>
      <c r="H78" s="29"/>
      <c r="L78" s="7"/>
      <c r="M78" s="7"/>
      <c r="N78" s="7"/>
      <c r="O78" s="7"/>
      <c r="P78" s="7"/>
    </row>
    <row r="79" spans="2:16" ht="15.75" customHeight="1" x14ac:dyDescent="0.2">
      <c r="B79" s="25" t="s">
        <v>102</v>
      </c>
      <c r="C79" s="25"/>
      <c r="D79" s="25"/>
      <c r="E79" s="26"/>
      <c r="F79" s="27">
        <v>1461.98</v>
      </c>
      <c r="G79" s="28">
        <v>3.0700000000000002E-2</v>
      </c>
      <c r="H79" s="29"/>
      <c r="L79" s="7"/>
      <c r="M79" s="7"/>
      <c r="N79" s="7"/>
      <c r="O79" s="7"/>
      <c r="P79" s="7"/>
    </row>
    <row r="80" spans="2:16" ht="15.75" customHeight="1" x14ac:dyDescent="0.2">
      <c r="B80" s="24" t="s">
        <v>94</v>
      </c>
      <c r="C80" s="24"/>
      <c r="D80" s="24"/>
      <c r="E80" s="30"/>
      <c r="F80" s="31">
        <v>1461.98</v>
      </c>
      <c r="G80" s="32">
        <v>3.0700000000000002E-2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98</v>
      </c>
      <c r="C82" s="36"/>
      <c r="D82" s="36"/>
      <c r="E82" s="37"/>
      <c r="F82" s="31">
        <v>1461.98</v>
      </c>
      <c r="G82" s="32">
        <v>3.0700000000000002E-2</v>
      </c>
      <c r="H82" s="33"/>
      <c r="L82" s="7"/>
      <c r="M82" s="7"/>
      <c r="N82" s="7"/>
      <c r="O82" s="7"/>
      <c r="P82" s="7"/>
    </row>
    <row r="83" spans="2:16" ht="15.75" customHeight="1" x14ac:dyDescent="0.2">
      <c r="B83" s="25" t="s">
        <v>103</v>
      </c>
      <c r="C83" s="25"/>
      <c r="D83" s="25"/>
      <c r="E83" s="26"/>
      <c r="F83" s="38">
        <v>-283.97000000000003</v>
      </c>
      <c r="G83" s="39">
        <v>-5.9000000000000163E-3</v>
      </c>
      <c r="H83" s="29"/>
      <c r="L83" s="7"/>
      <c r="M83" s="7"/>
      <c r="N83" s="7"/>
      <c r="O83" s="7"/>
      <c r="P83" s="7"/>
    </row>
    <row r="84" spans="2:16" ht="15.75" customHeight="1" x14ac:dyDescent="0.2">
      <c r="B84" s="40" t="s">
        <v>104</v>
      </c>
      <c r="C84" s="40"/>
      <c r="D84" s="40"/>
      <c r="E84" s="41"/>
      <c r="F84" s="42">
        <v>47630.03</v>
      </c>
      <c r="G84" s="43">
        <v>1</v>
      </c>
      <c r="H84" s="44"/>
      <c r="L84" s="7"/>
      <c r="M84" s="7"/>
      <c r="N84" s="7"/>
      <c r="O84" s="7"/>
      <c r="P84" s="7"/>
    </row>
    <row r="85" spans="2:16" ht="15.75" customHeight="1" thickBot="1" x14ac:dyDescent="0.25">
      <c r="B85" s="2"/>
    </row>
    <row r="86" spans="2:16" ht="27" customHeight="1" thickBot="1" x14ac:dyDescent="0.25">
      <c r="B86" s="57" t="s">
        <v>829</v>
      </c>
      <c r="C86" s="58" t="s">
        <v>830</v>
      </c>
      <c r="D86" s="58" t="s">
        <v>831</v>
      </c>
      <c r="E86" s="63" t="s">
        <v>832</v>
      </c>
      <c r="G86" s="2"/>
      <c r="H86" s="2"/>
    </row>
    <row r="87" spans="2:16" ht="29.25" customHeight="1" x14ac:dyDescent="0.2">
      <c r="B87" s="70" t="s">
        <v>77</v>
      </c>
      <c r="C87" s="82"/>
      <c r="D87" s="85" t="s">
        <v>863</v>
      </c>
      <c r="E87" s="87"/>
      <c r="G87" s="2"/>
      <c r="H87" s="2"/>
    </row>
    <row r="88" spans="2:16" ht="39.950000000000003" customHeight="1" x14ac:dyDescent="0.2">
      <c r="B88" s="66" t="s">
        <v>927</v>
      </c>
      <c r="C88" s="83"/>
      <c r="D88" s="86"/>
      <c r="E88" s="83"/>
      <c r="G88" s="2"/>
      <c r="H88" s="2"/>
    </row>
    <row r="89" spans="2:16" ht="39.950000000000003" customHeight="1" x14ac:dyDescent="0.2">
      <c r="B89" s="66" t="s">
        <v>928</v>
      </c>
      <c r="C89" s="83"/>
      <c r="D89" s="86"/>
      <c r="E89" s="83"/>
      <c r="G89" s="2"/>
      <c r="H89" s="2"/>
    </row>
    <row r="90" spans="2:16" ht="23.25" customHeight="1" thickBot="1" x14ac:dyDescent="0.25">
      <c r="B90" s="68" t="s">
        <v>866</v>
      </c>
      <c r="C90" s="84"/>
      <c r="D90" s="71" t="s">
        <v>866</v>
      </c>
      <c r="E90" s="88"/>
      <c r="G90" s="2"/>
      <c r="H90" s="2"/>
    </row>
    <row r="91" spans="2:16" ht="24.95" customHeight="1" x14ac:dyDescent="0.2">
      <c r="B91" s="59" t="s">
        <v>833</v>
      </c>
      <c r="C91" s="60"/>
      <c r="D91" s="61"/>
      <c r="E91" s="62"/>
      <c r="G91" s="2"/>
      <c r="H91" s="2"/>
    </row>
    <row r="93" spans="2:16" ht="12" x14ac:dyDescent="0.2">
      <c r="B93" s="2" t="s">
        <v>834</v>
      </c>
      <c r="C93" s="2"/>
      <c r="D93" s="2"/>
      <c r="G93" s="2"/>
      <c r="H93" s="2"/>
    </row>
    <row r="94" spans="2:16" ht="12" x14ac:dyDescent="0.2">
      <c r="B94" s="3" t="s">
        <v>835</v>
      </c>
      <c r="C94" s="2"/>
      <c r="D94" s="2"/>
      <c r="G94" s="2"/>
      <c r="H94" s="2"/>
    </row>
  </sheetData>
  <mergeCells count="3">
    <mergeCell ref="C87:C90"/>
    <mergeCell ref="D87:D89"/>
    <mergeCell ref="E87:E90"/>
  </mergeCells>
  <hyperlinks>
    <hyperlink ref="I1" location="'Sheet1'!A1" display="Index" xr:uid="{B0A3A099-16A6-4685-A4D4-558A3200E351}"/>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81</vt:i4>
      </vt:variant>
    </vt:vector>
  </HeadingPairs>
  <TitlesOfParts>
    <vt:vector size="109"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LICMFGOLDETF</vt:lpstr>
      <vt:lpstr>LEGROW</vt:lpstr>
      <vt:lpstr>LEINFA</vt:lpstr>
      <vt:lpstr>LEINNF</vt:lpstr>
      <vt:lpstr>LEINSX</vt:lpstr>
      <vt:lpstr>LELTVF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2024-02-03T10:22:57Z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