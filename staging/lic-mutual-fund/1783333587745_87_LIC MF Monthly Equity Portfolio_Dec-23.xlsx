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T:\INVESTMENTS_VALUATION\2 Regulatory Monthly-Half yearly ReportIng\9 Dec 2023\Portfolio Monthly\"/>
    </mc:Choice>
  </mc:AlternateContent>
  <xr:revisionPtr revIDLastSave="0" documentId="13_ncr:1_{17B32534-71DA-48C0-AE94-14E8A6C2F09C}" xr6:coauthVersionLast="47" xr6:coauthVersionMax="47" xr10:uidLastSave="{00000000-0000-0000-0000-000000000000}"/>
  <bookViews>
    <workbookView xWindow="-120" yWindow="-120" windowWidth="24240" windowHeight="13140" xr2:uid="{00000000-000D-0000-FFFF-FFFF00000000}"/>
  </bookViews>
  <sheets>
    <sheet name="Sheet1" sheetId="39"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ICMFGOLDETF" sheetId="40" r:id="rId15"/>
    <sheet name="LEGROW" sheetId="24" r:id="rId16"/>
    <sheet name="LEINFA" sheetId="25" r:id="rId17"/>
    <sheet name="LEINNF" sheetId="26" r:id="rId18"/>
    <sheet name="LEINSX" sheetId="27" r:id="rId19"/>
    <sheet name="LELTVF" sheetId="28" r:id="rId20"/>
    <sheet name="LEMIDF" sheetId="29" r:id="rId21"/>
    <sheet name="LEMUCF" sheetId="30" r:id="rId22"/>
    <sheet name="LENI50" sheetId="31" r:id="rId23"/>
    <sheet name="LET100" sheetId="32" r:id="rId24"/>
    <sheet name="LETAXP" sheetId="33" r:id="rId25"/>
    <sheet name="LETF50" sheetId="34" r:id="rId26"/>
    <sheet name="LETFSX" sheetId="35" r:id="rId27"/>
    <sheet name="LEULIS" sheetId="36" r:id="rId28"/>
  </sheets>
  <definedNames>
    <definedName name="_xlnm._FilterDatabase" localSheetId="1" hidden="1">LEARBF!$B$5:$P$67</definedName>
    <definedName name="_xlnm._FilterDatabase" localSheetId="2" hidden="1">LEBADF!$B$5:$P$86</definedName>
    <definedName name="_xlnm._FilterDatabase" localSheetId="3" hidden="1">LEBALF!$B$5:$P$94</definedName>
    <definedName name="_xlnm._FilterDatabase" localSheetId="4" hidden="1">LEBFSF!$B$5:$P$40</definedName>
    <definedName name="_xlnm._FilterDatabase" localSheetId="5" hidden="1">LECHID!$B$5:$P$78</definedName>
    <definedName name="_xlnm._FilterDatabase" localSheetId="6" hidden="1">LEDDYF!$B$5:$P$54</definedName>
    <definedName name="_xlnm._FilterDatabase" localSheetId="7" hidden="1">LEDHCF!$B$5:$P$37</definedName>
    <definedName name="_xlnm._FilterDatabase" localSheetId="8" hidden="1">LEEMCF!$B$5:$P$73</definedName>
    <definedName name="_xlnm._FilterDatabase" localSheetId="9" hidden="1">LEEQSF!$B$5:$P$73</definedName>
    <definedName name="_xlnm._FilterDatabase" localSheetId="10" hidden="1">LEEQTF!$B$5:$P$84</definedName>
    <definedName name="_xlnm._FilterDatabase" localSheetId="11" hidden="1">LEESCF!$B$5:$P$79</definedName>
    <definedName name="_xlnm._FilterDatabase" localSheetId="12" hidden="1">LEFE30!$B$5:$P$49</definedName>
    <definedName name="_xlnm._FilterDatabase" localSheetId="13" hidden="1">LEGFOF!$B$5:$P$20</definedName>
    <definedName name="_xlnm._FilterDatabase" localSheetId="15" hidden="1">LEGROW!$B$5:$P$73</definedName>
    <definedName name="_xlnm._FilterDatabase" localSheetId="16" hidden="1">LEINFA!$B$5:$P$63</definedName>
    <definedName name="_xlnm._FilterDatabase" localSheetId="17" hidden="1">LEINNF!$B$5:$P$70</definedName>
    <definedName name="_xlnm._FilterDatabase" localSheetId="18" hidden="1">LEINSX!$B$5:$P$50</definedName>
    <definedName name="_xlnm._FilterDatabase" localSheetId="19" hidden="1">LELTVF!$B$5:$P$57</definedName>
    <definedName name="_xlnm._FilterDatabase" localSheetId="20" hidden="1">LEMIDF!$B$5:$P$86</definedName>
    <definedName name="_xlnm._FilterDatabase" localSheetId="21" hidden="1">LEMUCF!$B$5:$P$90</definedName>
    <definedName name="_xlnm._FilterDatabase" localSheetId="22" hidden="1">LENI50!$B$5:$P$70</definedName>
    <definedName name="_xlnm._FilterDatabase" localSheetId="23" hidden="1">'LET100'!$B$5:$P$121</definedName>
    <definedName name="_xlnm._FilterDatabase" localSheetId="24" hidden="1">LETAXP!$B$5:$P$76</definedName>
    <definedName name="_xlnm._FilterDatabase" localSheetId="25" hidden="1">LETF50!$B$5:$P$70</definedName>
    <definedName name="_xlnm._FilterDatabase" localSheetId="26" hidden="1">LETFSX!$B$5:$P$50</definedName>
    <definedName name="_xlnm._FilterDatabase" localSheetId="27" hidden="1">LEULIS!$B$5:$P$84</definedName>
    <definedName name="_xlnm._FilterDatabase" localSheetId="14" hidden="1">LICMFGOLDETF!$B$5:$P$20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LEDDYF!$L$68:$P$84</definedName>
    <definedName name="Hedging_Positions_through_Futures_AS_ON_MMMM_DD__YYYY___NIL" localSheetId="7">LEDHCF!$L$68:$P$84</definedName>
    <definedName name="Hedging_Positions_through_Futures_AS_ON_MMMM_DD__YYYY___NIL" localSheetId="8">LEEMCF!$L$68:$P$84</definedName>
    <definedName name="Hedging_Positions_through_Futures_AS_ON_MMMM_DD__YYYY___NIL" localSheetId="9">LEEQSF!$L$68:$P$84</definedName>
    <definedName name="Hedging_Positions_through_Futures_AS_ON_MMMM_DD__YYYY___NIL" localSheetId="10">LEEQTF!$L$68:$P$84</definedName>
    <definedName name="Hedging_Positions_through_Futures_AS_ON_MMMM_DD__YYYY___NIL" localSheetId="11">LEESCF!$L$68:$P$84</definedName>
    <definedName name="Hedging_Positions_through_Futures_AS_ON_MMMM_DD__YYYY___NIL" localSheetId="12">LEFE30!$L$68:$P$84</definedName>
    <definedName name="Hedging_Positions_through_Futures_AS_ON_MMMM_DD__YYYY___NIL" localSheetId="13">LEGFOF!$L$68:$P$84</definedName>
    <definedName name="Hedging_Positions_through_Futures_AS_ON_MMMM_DD__YYYY___NIL" localSheetId="15">LEGROW!$L$68:$P$84</definedName>
    <definedName name="Hedging_Positions_through_Futures_AS_ON_MMMM_DD__YYYY___NIL" localSheetId="16">LEINFA!$L$68:$P$84</definedName>
    <definedName name="Hedging_Positions_through_Futures_AS_ON_MMMM_DD__YYYY___NIL" localSheetId="17">LEINNF!$L$68:$P$84</definedName>
    <definedName name="Hedging_Positions_through_Futures_AS_ON_MMMM_DD__YYYY___NIL" localSheetId="18">LEINSX!$L$68:$P$84</definedName>
    <definedName name="Hedging_Positions_through_Futures_AS_ON_MMMM_DD__YYYY___NIL" localSheetId="19">LELTVF!$L$68:$P$84</definedName>
    <definedName name="Hedging_Positions_through_Futures_AS_ON_MMMM_DD__YYYY___NIL" localSheetId="20">LEMIDF!$L$68:$P$84</definedName>
    <definedName name="Hedging_Positions_through_Futures_AS_ON_MMMM_DD__YYYY___NIL" localSheetId="21">LEMUCF!$L$68:$P$84</definedName>
    <definedName name="Hedging_Positions_through_Futures_AS_ON_MMMM_DD__YYYY___NIL" localSheetId="22">LENI50!$L$68:$P$84</definedName>
    <definedName name="Hedging_Positions_through_Futures_AS_ON_MMMM_DD__YYYY___NIL" localSheetId="23">'LET100'!$L$68:$P$84</definedName>
    <definedName name="Hedging_Positions_through_Futures_AS_ON_MMMM_DD__YYYY___NIL" localSheetId="24">LETAXP!$L$68:$P$84</definedName>
    <definedName name="Hedging_Positions_through_Futures_AS_ON_MMMM_DD__YYYY___NIL" localSheetId="25">LETF50!$L$68:$P$84</definedName>
    <definedName name="Hedging_Positions_through_Futures_AS_ON_MMMM_DD__YYYY___NIL" localSheetId="26">LETFSX!$L$68:$P$84</definedName>
    <definedName name="Hedging_Positions_through_Futures_AS_ON_MMMM_DD__YYYY___NIL" localSheetId="27">LEULIS!$L$68:$P$84</definedName>
    <definedName name="Hedging_Positions_through_Futures_AS_ON_MMMM_DD__YYYY___NIL" localSheetId="14">LICMFGOLDETF!$L$68:$P$84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LEDDYF!$L$74:$P$84</definedName>
    <definedName name="JPM_Footer_disp" localSheetId="7">LEDHCF!$L$74:$P$84</definedName>
    <definedName name="JPM_Footer_disp" localSheetId="8">LEEMCF!$L$74:$P$84</definedName>
    <definedName name="JPM_Footer_disp" localSheetId="9">LEEQSF!$L$74:$P$84</definedName>
    <definedName name="JPM_Footer_disp" localSheetId="10">LEEQTF!$L$74:$P$84</definedName>
    <definedName name="JPM_Footer_disp" localSheetId="11">LEESCF!$L$74:$P$84</definedName>
    <definedName name="JPM_Footer_disp" localSheetId="12">LEFE30!$L$74:$P$84</definedName>
    <definedName name="JPM_Footer_disp" localSheetId="13">LEGFOF!$L$74:$P$84</definedName>
    <definedName name="JPM_Footer_disp" localSheetId="15">LEGROW!$L$74:$P$84</definedName>
    <definedName name="JPM_Footer_disp" localSheetId="16">LEINFA!$L$74:$P$84</definedName>
    <definedName name="JPM_Footer_disp" localSheetId="17">LEINNF!$L$74:$P$84</definedName>
    <definedName name="JPM_Footer_disp" localSheetId="18">LEINSX!$L$74:$P$84</definedName>
    <definedName name="JPM_Footer_disp" localSheetId="19">LELTVF!$L$74:$P$84</definedName>
    <definedName name="JPM_Footer_disp" localSheetId="20">LEMIDF!$L$74:$P$84</definedName>
    <definedName name="JPM_Footer_disp" localSheetId="21">LEMUCF!$L$74:$P$84</definedName>
    <definedName name="JPM_Footer_disp" localSheetId="22">LENI50!$L$74:$P$84</definedName>
    <definedName name="JPM_Footer_disp" localSheetId="23">'LET100'!$L$74:$P$84</definedName>
    <definedName name="JPM_Footer_disp" localSheetId="24">LETAXP!$L$74:$P$84</definedName>
    <definedName name="JPM_Footer_disp" localSheetId="25">LETF50!$L$74:$P$84</definedName>
    <definedName name="JPM_Footer_disp" localSheetId="26">LETFSX!$L$74:$P$84</definedName>
    <definedName name="JPM_Footer_disp" localSheetId="27">LEULIS!$L$74:$P$84</definedName>
    <definedName name="JPM_Footer_disp" localSheetId="14">LICMFGOLDETF!$L$74:$P$84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LEDDYF!$L$68:$P$86</definedName>
    <definedName name="JPM_Footer_disp12" localSheetId="7">LEDHCF!$L$68:$P$86</definedName>
    <definedName name="JPM_Footer_disp12" localSheetId="8">LEEMCF!$L$68:$P$86</definedName>
    <definedName name="JPM_Footer_disp12" localSheetId="9">LEEQSF!$L$68:$P$86</definedName>
    <definedName name="JPM_Footer_disp12" localSheetId="10">LEEQTF!$L$68:$P$86</definedName>
    <definedName name="JPM_Footer_disp12" localSheetId="11">LEESCF!$L$68:$P$86</definedName>
    <definedName name="JPM_Footer_disp12" localSheetId="12">LEFE30!$L$68:$P$86</definedName>
    <definedName name="JPM_Footer_disp12" localSheetId="13">LEGFOF!$L$68:$P$86</definedName>
    <definedName name="JPM_Footer_disp12" localSheetId="15">LEGROW!$L$68:$P$86</definedName>
    <definedName name="JPM_Footer_disp12" localSheetId="16">LEINFA!$L$68:$P$86</definedName>
    <definedName name="JPM_Footer_disp12" localSheetId="17">LEINNF!$L$68:$P$86</definedName>
    <definedName name="JPM_Footer_disp12" localSheetId="18">LEINSX!$L$68:$P$86</definedName>
    <definedName name="JPM_Footer_disp12" localSheetId="19">LELTVF!$L$68:$P$86</definedName>
    <definedName name="JPM_Footer_disp12" localSheetId="20">LEMIDF!$L$68:$P$86</definedName>
    <definedName name="JPM_Footer_disp12" localSheetId="21">LEMUCF!$L$68:$P$86</definedName>
    <definedName name="JPM_Footer_disp12" localSheetId="22">LENI50!$L$68:$P$86</definedName>
    <definedName name="JPM_Footer_disp12" localSheetId="23">'LET100'!$L$68:$P$86</definedName>
    <definedName name="JPM_Footer_disp12" localSheetId="24">LETAXP!$L$68:$P$86</definedName>
    <definedName name="JPM_Footer_disp12" localSheetId="25">LETF50!$L$68:$P$86</definedName>
    <definedName name="JPM_Footer_disp12" localSheetId="26">LETFSX!$L$68:$P$86</definedName>
    <definedName name="JPM_Footer_disp12" localSheetId="27">LEULIS!$L$68:$P$86</definedName>
    <definedName name="JPM_Footer_disp12" localSheetId="14">LICMFGOLDETF!$L$68:$P$86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0" l="1"/>
  <c r="G18" i="40" s="1"/>
  <c r="F16" i="40"/>
  <c r="F18" i="40" s="1"/>
  <c r="G10" i="40"/>
  <c r="G12" i="40" s="1"/>
  <c r="F10" i="40"/>
  <c r="F12" i="40" s="1"/>
  <c r="G20" i="40" l="1"/>
  <c r="F20" i="40"/>
</calcChain>
</file>

<file path=xl/sharedStrings.xml><?xml version="1.0" encoding="utf-8"?>
<sst xmlns="http://schemas.openxmlformats.org/spreadsheetml/2006/main" count="4825" uniqueCount="916">
  <si>
    <t>Name of the Instrument</t>
  </si>
  <si>
    <t>ISIN</t>
  </si>
  <si>
    <t>Quantity</t>
  </si>
  <si>
    <t>Market/Fair Value (Rounded, Rs. In Lacs)</t>
  </si>
  <si>
    <t>Rounded, % to Net Assets</t>
  </si>
  <si>
    <t>Industry / Rating</t>
  </si>
  <si>
    <t>Yield</t>
  </si>
  <si>
    <t>Monthly Portfolio Statement as on December 31,2023</t>
  </si>
  <si>
    <t>Index</t>
  </si>
  <si>
    <t>LIC MF ARBITRAGE FUND</t>
  </si>
  <si>
    <t>LIC MF BALANCED ADVANTAGE FUND</t>
  </si>
  <si>
    <t>LIC MF AGGRESSIVE HYBRID FUND</t>
  </si>
  <si>
    <t>LIC MF BANKING AND FINANCIAL SERVICES FUND</t>
  </si>
  <si>
    <t>LIC MF CHILDREN’S GIFT FUND</t>
  </si>
  <si>
    <t>LIC MF FLEXI CAP FUND</t>
  </si>
  <si>
    <t>LIC MF LARGE CAP FUND</t>
  </si>
  <si>
    <t>LIC MF INFRASTRUCTURE FUND</t>
  </si>
  <si>
    <t>LIC MF NIFTY 50 INDEX FUND</t>
  </si>
  <si>
    <t>LIC MF S &amp; P BSE SENSEX INDEX FUND</t>
  </si>
  <si>
    <t>LIC MF LARGE &amp; MID CAP FUND</t>
  </si>
  <si>
    <t>LIC MF MULTI CAP FUND</t>
  </si>
  <si>
    <t>LIC MF NIFTY NEXT 50 INDEX FUND</t>
  </si>
  <si>
    <t>LIC MF NIFTY 100 ETF</t>
  </si>
  <si>
    <t>LIC MF NIFTY 50 ETF</t>
  </si>
  <si>
    <t>LIC MF S &amp; P BSE SENSEX ETF</t>
  </si>
  <si>
    <t>LIC MF UNIT LINKED INSURANCE SCHEME</t>
  </si>
  <si>
    <t>LEARBF</t>
  </si>
  <si>
    <t>LIC MF Arbitrage Fund</t>
  </si>
  <si>
    <t>LEBADF</t>
  </si>
  <si>
    <t>LIC MF Balanced Advantage Fund</t>
  </si>
  <si>
    <t>LEBALF</t>
  </si>
  <si>
    <t>LIC MF Aggressive Hybrid Fund</t>
  </si>
  <si>
    <t>LEBFSF</t>
  </si>
  <si>
    <t>LIC MF Banking and Financial Services Fund</t>
  </si>
  <si>
    <t>LECHID</t>
  </si>
  <si>
    <t>LIC MF Children’s Gift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</si>
  <si>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</si>
  <si>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</si>
  <si>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</si>
  <si>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</si>
  <si>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</si>
  <si>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</si>
  <si>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</si>
  <si>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</si>
  <si>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</si>
  <si>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</si>
  <si>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</si>
  <si>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</si>
  <si>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</si>
  <si>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30 Equity Fund</t>
  </si>
  <si>
    <t>LEGFOF</t>
  </si>
  <si>
    <t>LIC MF Gold ETF Fund of Fund</t>
  </si>
  <si>
    <t>LEGROW</t>
  </si>
  <si>
    <t>LIC MF Large Cap Fund</t>
  </si>
  <si>
    <t>LEINFA</t>
  </si>
  <si>
    <t>LIC MF Infrastructure Fund</t>
  </si>
  <si>
    <t>LEINNF</t>
  </si>
  <si>
    <t>LIC MF Nifty 50 Index Fund</t>
  </si>
  <si>
    <t>LEINSX</t>
  </si>
  <si>
    <t>LIC MF S &amp; P BSE Sensex Index Fund</t>
  </si>
  <si>
    <t>LELTVF</t>
  </si>
  <si>
    <t>LIC MF Long Term Value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</si>
  <si>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</si>
  <si>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</si>
  <si>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</si>
  <si>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</si>
  <si>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</si>
  <si>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</si>
  <si>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</si>
  <si>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</si>
  <si>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</si>
  <si>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</si>
  <si>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</si>
  <si>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</si>
  <si>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</si>
  <si>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S &amp; P BSE Sensex ETF</t>
  </si>
  <si>
    <t>LEULIS</t>
  </si>
  <si>
    <t>LIC MF Unit Linked Insurance Scheme</t>
  </si>
  <si>
    <t>INDEX</t>
  </si>
  <si>
    <t>Monthly Portfolio Statement as on December 31, 2023</t>
  </si>
  <si>
    <t>Scheme</t>
  </si>
  <si>
    <t>Scheme Name</t>
  </si>
  <si>
    <t>Debt Instruments</t>
  </si>
  <si>
    <t>(a)Listed / Awaiting listing on stock Exchanges</t>
  </si>
  <si>
    <t>SOVEREIGN</t>
  </si>
  <si>
    <t>7.71% State Government of Maharashtra</t>
  </si>
  <si>
    <t>IN2220230139</t>
  </si>
  <si>
    <t>7.26% Government of India</t>
  </si>
  <si>
    <t>IN0020220060</t>
  </si>
  <si>
    <t>8.0% HDFC Bank Ltd. **</t>
  </si>
  <si>
    <t>INE040A08807</t>
  </si>
  <si>
    <t>CRISIL AAA</t>
  </si>
  <si>
    <t>IN0020220151</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</si>
  <si>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</si>
  <si>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</si>
  <si>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</si>
  <si>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</si>
  <si>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</si>
  <si>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</si>
  <si>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</si>
  <si>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</si>
  <si>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</si>
  <si>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</si>
  <si>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</si>
  <si>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</si>
  <si>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ICRA AAA</t>
  </si>
  <si>
    <t>7.4% National Bk for Agriculture &amp; Rural Dev. **</t>
  </si>
  <si>
    <t>INE261F08DO9</t>
  </si>
  <si>
    <t>7.74% Power Finance Corporation Ltd. **</t>
  </si>
  <si>
    <t>INE134E08JI0</t>
  </si>
  <si>
    <t>7.06% Government of India</t>
  </si>
  <si>
    <t>IN0020230010</t>
  </si>
  <si>
    <t>5.63% Government of India</t>
  </si>
  <si>
    <t>IN0020210012</t>
  </si>
  <si>
    <t>Money Market Instruments</t>
  </si>
  <si>
    <t>CRISIL A1+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</si>
  <si>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</si>
  <si>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</si>
  <si>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</si>
  <si>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</si>
  <si>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</si>
  <si>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</si>
  <si>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</si>
  <si>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</si>
  <si>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</si>
  <si>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</si>
  <si>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</si>
  <si>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</si>
  <si>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</si>
  <si>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</si>
  <si>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Reliance Industries Ltd.</t>
  </si>
  <si>
    <t>INE002A01018</t>
  </si>
  <si>
    <t>Petroleum Products</t>
  </si>
  <si>
    <t>Nestle India Ltd.</t>
  </si>
  <si>
    <t>INE239A01016</t>
  </si>
  <si>
    <t>Food Products</t>
  </si>
  <si>
    <t>Mahindra &amp; Mahindra Ltd.</t>
  </si>
  <si>
    <t>INE101A01026</t>
  </si>
  <si>
    <t>Automobiles</t>
  </si>
  <si>
    <t>LTIMindtree Ltd.</t>
  </si>
  <si>
    <t>INE214T01019</t>
  </si>
  <si>
    <t>(b) Unlisted</t>
  </si>
  <si>
    <t>7.38% Government of India</t>
  </si>
  <si>
    <t>IN0020220037</t>
  </si>
  <si>
    <t>8.03% State Government of Karnataka</t>
  </si>
  <si>
    <t>IN1920170165</t>
  </si>
  <si>
    <t>7.1% Government of India</t>
  </si>
  <si>
    <t>IN0020220011</t>
  </si>
  <si>
    <t>8.49% NTPC Ltd. **</t>
  </si>
  <si>
    <t>INE733E07JP6</t>
  </si>
  <si>
    <t>Commercial Paper</t>
  </si>
  <si>
    <t>Tata Capital Housing Finance Ltd. **</t>
  </si>
  <si>
    <t>INE033L14MN1</t>
  </si>
  <si>
    <t>8.3% Tata Capital Financial Services Ltd. **</t>
  </si>
  <si>
    <t>INE306N07NL3</t>
  </si>
  <si>
    <t>RBL Bank Ltd.</t>
  </si>
  <si>
    <t>INE976G01028</t>
  </si>
  <si>
    <t>ITC Ltd.</t>
  </si>
  <si>
    <t>INE154A01025</t>
  </si>
  <si>
    <t>Chambal Fertilizers &amp; Chemicals Ltd.</t>
  </si>
  <si>
    <t>INE085A01013</t>
  </si>
  <si>
    <t>Fertilizers &amp; Agrochemicals</t>
  </si>
  <si>
    <t>The Indian Hotels Company Ltd.</t>
  </si>
  <si>
    <t>INE053A01029</t>
  </si>
  <si>
    <t>Leisure Services</t>
  </si>
  <si>
    <t>Trent Ltd.</t>
  </si>
  <si>
    <t>INE849A01020</t>
  </si>
  <si>
    <t>Retailing</t>
  </si>
  <si>
    <t>Jindal Steel &amp; Power Ltd.</t>
  </si>
  <si>
    <t>INE749A01030</t>
  </si>
  <si>
    <t>Ferrous Metals</t>
  </si>
  <si>
    <t>Pidilite Industries Ltd.</t>
  </si>
  <si>
    <t>INE318A01026</t>
  </si>
  <si>
    <t>Chemicals &amp; Petrochemicals</t>
  </si>
  <si>
    <t>Aditya Birla Capital Ltd.</t>
  </si>
  <si>
    <t>INE674K01013</t>
  </si>
  <si>
    <t>Finance</t>
  </si>
  <si>
    <t>Tata Motors Ltd.</t>
  </si>
  <si>
    <t>INE155A01022</t>
  </si>
  <si>
    <t>Bank of Baroda</t>
  </si>
  <si>
    <t>INE028A01039</t>
  </si>
  <si>
    <t>Vedanta Ltd.</t>
  </si>
  <si>
    <t>INE205A01025</t>
  </si>
  <si>
    <t>Diversified Metals</t>
  </si>
  <si>
    <t>Kotak Mahindra Bank Ltd.</t>
  </si>
  <si>
    <t>INE237A01028</t>
  </si>
  <si>
    <t>Havells India Ltd.</t>
  </si>
  <si>
    <t>INE176B01034</t>
  </si>
  <si>
    <t>Consumer Durables</t>
  </si>
  <si>
    <t>Siemens Ltd.</t>
  </si>
  <si>
    <t>INE003A01024</t>
  </si>
  <si>
    <t>Electrical Equipment</t>
  </si>
  <si>
    <t>Aurobindo Pharma Ltd.</t>
  </si>
  <si>
    <t>INE406A01037</t>
  </si>
  <si>
    <t>Pharmaceuticals &amp; Biotechnology</t>
  </si>
  <si>
    <t>Godrej Consumer Products Ltd.</t>
  </si>
  <si>
    <t>INE102D01028</t>
  </si>
  <si>
    <t>Personal Products</t>
  </si>
  <si>
    <t>Lupin Ltd.</t>
  </si>
  <si>
    <t>INE326A01037</t>
  </si>
  <si>
    <t>Tata Power Company Ltd.</t>
  </si>
  <si>
    <t>INE245A01021</t>
  </si>
  <si>
    <t>Power</t>
  </si>
  <si>
    <t>Zydus Lifesciences Ltd.</t>
  </si>
  <si>
    <t>INE010B01027</t>
  </si>
  <si>
    <t>JSW Steel Ltd.</t>
  </si>
  <si>
    <t>INE019A01038</t>
  </si>
  <si>
    <t>Petronet LNG Ltd.</t>
  </si>
  <si>
    <t>INE347G01014</t>
  </si>
  <si>
    <t>Gas</t>
  </si>
  <si>
    <t>Tata Steel Ltd.</t>
  </si>
  <si>
    <t>INE081A01020</t>
  </si>
  <si>
    <t>Indian Energy Exchange Ltd.</t>
  </si>
  <si>
    <t>INE022Q01020</t>
  </si>
  <si>
    <t>Capital Markets</t>
  </si>
  <si>
    <t>Tata Consumer Products Ltd.</t>
  </si>
  <si>
    <t>INE192A01025</t>
  </si>
  <si>
    <t>Agricultural Food &amp; other Products</t>
  </si>
  <si>
    <t>Punjab National Bank</t>
  </si>
  <si>
    <t>INE160A01022</t>
  </si>
  <si>
    <t>Tech Mahindra Ltd.</t>
  </si>
  <si>
    <t>INE669C01036</t>
  </si>
  <si>
    <t>Dr. Reddy's Laboratories Ltd.</t>
  </si>
  <si>
    <t>INE089A01023</t>
  </si>
  <si>
    <t>Grasim Industries Ltd.</t>
  </si>
  <si>
    <t>INE047A01021</t>
  </si>
  <si>
    <t>Cement &amp; Cement Products</t>
  </si>
  <si>
    <t>Tata Consultancy Services Ltd.</t>
  </si>
  <si>
    <t>INE467B01029</t>
  </si>
  <si>
    <t>Marico Ltd.</t>
  </si>
  <si>
    <t>INE196A01026</t>
  </si>
  <si>
    <t>Aarti Industries Ltd.</t>
  </si>
  <si>
    <t>INE769A01020</t>
  </si>
  <si>
    <t>Bharat Petroleum Corporation Ltd.</t>
  </si>
  <si>
    <t>INE029A01011</t>
  </si>
  <si>
    <t>Apollo Hospitals Enterprise Ltd.</t>
  </si>
  <si>
    <t>INE437A01024</t>
  </si>
  <si>
    <t>Healthcare Services</t>
  </si>
  <si>
    <t>Piramal Enterprises Ltd.</t>
  </si>
  <si>
    <t>INE140A01024</t>
  </si>
  <si>
    <t>Asian Paints Ltd.</t>
  </si>
  <si>
    <t>INE021A01026</t>
  </si>
  <si>
    <t>Indus Towers Ltd.</t>
  </si>
  <si>
    <t>INE121J01017</t>
  </si>
  <si>
    <t>Telecom - Services</t>
  </si>
  <si>
    <t>Hindustan Petroleum Corporation Ltd.</t>
  </si>
  <si>
    <t>INE094A01015</t>
  </si>
  <si>
    <t>Bajaj Finance Ltd.</t>
  </si>
  <si>
    <t>INE296A01024</t>
  </si>
  <si>
    <t>LIC MF LIQUID FUND-DR PLN-GR</t>
  </si>
  <si>
    <t>INF767K01DN1</t>
  </si>
  <si>
    <t>Disclosure in Devrivtives</t>
  </si>
  <si>
    <t>Rounded,% TO Net Assets)</t>
  </si>
  <si>
    <t>Total</t>
  </si>
  <si>
    <t>Total outstanding position(as at 31 December 2023 ) in Derivative Instruments(Gross National) 2131.52 lacs.</t>
  </si>
  <si>
    <t>Total percentage of existing assets hedge through futures is 68.13%.</t>
  </si>
  <si>
    <t>State Bank of India</t>
  </si>
  <si>
    <t>INE062A01020</t>
  </si>
  <si>
    <t>Axis Bank Ltd.</t>
  </si>
  <si>
    <t>INE238A01034</t>
  </si>
  <si>
    <t>Eicher Motors Ltd.</t>
  </si>
  <si>
    <t>INE066A01021</t>
  </si>
  <si>
    <t>HCL Technologies Ltd.</t>
  </si>
  <si>
    <t>INE860A01027</t>
  </si>
  <si>
    <t>Maruti Suzuki India Ltd.</t>
  </si>
  <si>
    <t>INE585B01010</t>
  </si>
  <si>
    <t>Cipla Ltd.</t>
  </si>
  <si>
    <t>INE059A01026</t>
  </si>
  <si>
    <t>Sun Pharmaceutical Industries Ltd.</t>
  </si>
  <si>
    <t>INE044A01036</t>
  </si>
  <si>
    <t>Shriram Finance Ltd.</t>
  </si>
  <si>
    <t>INE721A01013</t>
  </si>
  <si>
    <t>Samvardhana Motherson International Ltd.</t>
  </si>
  <si>
    <t>INE775A01035</t>
  </si>
  <si>
    <t>Auto Components</t>
  </si>
  <si>
    <t>Hero MotoCorp Ltd.</t>
  </si>
  <si>
    <t>INE158A01026</t>
  </si>
  <si>
    <t>NTPC Ltd.</t>
  </si>
  <si>
    <t>INE733E01010</t>
  </si>
  <si>
    <t>Crompton Greaves Cons Electrical Ltd.</t>
  </si>
  <si>
    <t>INE299U01018</t>
  </si>
  <si>
    <t>Power Grid Corporation of India Ltd.</t>
  </si>
  <si>
    <t>INE752E01010</t>
  </si>
  <si>
    <t>Bank of India</t>
  </si>
  <si>
    <t>INE084A01016</t>
  </si>
  <si>
    <t>SRF Ltd.</t>
  </si>
  <si>
    <t>INE647A01010</t>
  </si>
  <si>
    <t>Bharat Electronics Ltd.</t>
  </si>
  <si>
    <t>INE263A01024</t>
  </si>
  <si>
    <t>Aerospace &amp; Defense</t>
  </si>
  <si>
    <t>Texmaco Rail &amp; Engineering Ltd.</t>
  </si>
  <si>
    <t>INE621L01012</t>
  </si>
  <si>
    <t>Industrial Manufacturing</t>
  </si>
  <si>
    <t>ICICI Prudential Life Insurance Co Ltd.</t>
  </si>
  <si>
    <t>INE726G01019</t>
  </si>
  <si>
    <t>Insurance</t>
  </si>
  <si>
    <t>APL Apollo Tubes Ltd.</t>
  </si>
  <si>
    <t>INE702C01027</t>
  </si>
  <si>
    <t>Industrial Products</t>
  </si>
  <si>
    <t>Protean eGov Technologies Ltd.</t>
  </si>
  <si>
    <t>INE004A01022</t>
  </si>
  <si>
    <t>IT - Services</t>
  </si>
  <si>
    <t>Arvind Fashions Ltd.</t>
  </si>
  <si>
    <t>INE955V01021</t>
  </si>
  <si>
    <t>Power Finance Corporation Ltd.</t>
  </si>
  <si>
    <t>INE134E01011</t>
  </si>
  <si>
    <t>Ultratech Cement Ltd.</t>
  </si>
  <si>
    <t>INE481G01011</t>
  </si>
  <si>
    <t>7.8% State Government of Tamil Nadu</t>
  </si>
  <si>
    <t>IN3120220097</t>
  </si>
  <si>
    <t>7.68% State Government of Karnataka</t>
  </si>
  <si>
    <t>IN1920230159</t>
  </si>
  <si>
    <t>6.54% Government of India</t>
  </si>
  <si>
    <t>IN0020210244</t>
  </si>
  <si>
    <t>7.54% Government of India</t>
  </si>
  <si>
    <t>IN0020220029</t>
  </si>
  <si>
    <t>Total outstanding position(as at 31 December 2023 ) in Derivative Instruments(Gross National) 18880.32 lacs.</t>
  </si>
  <si>
    <t>Total percentage of existing assets hedge through futures is 19.28%.</t>
  </si>
  <si>
    <t>Larsen &amp; Toubro Ltd.</t>
  </si>
  <si>
    <t>INE018A01030</t>
  </si>
  <si>
    <t>Construction</t>
  </si>
  <si>
    <t>Piramal Pharma Ltd.</t>
  </si>
  <si>
    <t>INE0DK501011</t>
  </si>
  <si>
    <t>Zomato Ltd.</t>
  </si>
  <si>
    <t>INE758T01015</t>
  </si>
  <si>
    <t>Bharti Airtel Ltd.</t>
  </si>
  <si>
    <t>INE397D01024</t>
  </si>
  <si>
    <t>Equitas Small Finance Bank Ltd.</t>
  </si>
  <si>
    <t>INE063P01018</t>
  </si>
  <si>
    <t>Titan Company Ltd.</t>
  </si>
  <si>
    <t>INE280A01028</t>
  </si>
  <si>
    <t>The Federal Bank Ltd.</t>
  </si>
  <si>
    <t>INE171A01029</t>
  </si>
  <si>
    <t>Five Star Business Finance Ltd.</t>
  </si>
  <si>
    <t>INE128S01021</t>
  </si>
  <si>
    <t>Indian Railway Catering &amp;Tou. Corp. Ltd.</t>
  </si>
  <si>
    <t>INE335Y01020</t>
  </si>
  <si>
    <t>Bharat Forge Ltd.</t>
  </si>
  <si>
    <t>INE465A01025</t>
  </si>
  <si>
    <t>Jubilant Foodworks Ltd.</t>
  </si>
  <si>
    <t>INE797F01020</t>
  </si>
  <si>
    <t>Birla Corporation Ltd.</t>
  </si>
  <si>
    <t>INE340A01012</t>
  </si>
  <si>
    <t>Transport Corporation Of India Ltd.</t>
  </si>
  <si>
    <t>INE688A01022</t>
  </si>
  <si>
    <t>Transport Services</t>
  </si>
  <si>
    <t>TD Power Systems Ltd.</t>
  </si>
  <si>
    <t>INE419M01027</t>
  </si>
  <si>
    <t>Coforge Ltd.</t>
  </si>
  <si>
    <t>INE591G01017</t>
  </si>
  <si>
    <t>KEI Industries Ltd.</t>
  </si>
  <si>
    <t>INE878B01027</t>
  </si>
  <si>
    <t>Sundram Fasteners Ltd.</t>
  </si>
  <si>
    <t>INE387A01021</t>
  </si>
  <si>
    <t>Azad Engineering Ltd.</t>
  </si>
  <si>
    <t>INE02IJ01035</t>
  </si>
  <si>
    <t>CIE Automotive India Ltd.</t>
  </si>
  <si>
    <t>INE536H01010</t>
  </si>
  <si>
    <t>BSE Ltd.</t>
  </si>
  <si>
    <t>INE118H01025</t>
  </si>
  <si>
    <t>The Ramco Cements Ltd.</t>
  </si>
  <si>
    <t>INE331A01037</t>
  </si>
  <si>
    <t>6.1% Government of India</t>
  </si>
  <si>
    <t>IN0020210095</t>
  </si>
  <si>
    <t>7.73% State Government of Karnataka</t>
  </si>
  <si>
    <t>IN1920230084</t>
  </si>
  <si>
    <t>7.725% Larsen &amp; Toubro Ltd. **</t>
  </si>
  <si>
    <t>INE018A08BE9</t>
  </si>
  <si>
    <t>Creditaccess Grameen Ltd.</t>
  </si>
  <si>
    <t>INE741K01010</t>
  </si>
  <si>
    <t>L&amp;T Finance Holdings Ltd.</t>
  </si>
  <si>
    <t>INE498L01015</t>
  </si>
  <si>
    <t>DCB Bank Ltd.</t>
  </si>
  <si>
    <t>INE503A01015</t>
  </si>
  <si>
    <t>CSB Bank Ltd.</t>
  </si>
  <si>
    <t>INE679A01013</t>
  </si>
  <si>
    <t>360 One Wam Ltd.</t>
  </si>
  <si>
    <t>INE466L01038</t>
  </si>
  <si>
    <t>Aavas Financiers Ltd.</t>
  </si>
  <si>
    <t>INE216P01012</t>
  </si>
  <si>
    <t>MAS Financial Services Ltd.</t>
  </si>
  <si>
    <t>INE348L01012</t>
  </si>
  <si>
    <t>Muthoot Finance Ltd.</t>
  </si>
  <si>
    <t>INE414G01012</t>
  </si>
  <si>
    <t>Karur Vysya Bank Ltd.</t>
  </si>
  <si>
    <t>INE036D01028</t>
  </si>
  <si>
    <t>SBI Cards &amp; Payment Services Ltd.</t>
  </si>
  <si>
    <t>INE018E01016</t>
  </si>
  <si>
    <t>Mahindra &amp; Mahindra Financial Serv Ltd.</t>
  </si>
  <si>
    <t>INE774D01024</t>
  </si>
  <si>
    <t>Pitti Engineering Ltd.</t>
  </si>
  <si>
    <t>INE450D01021</t>
  </si>
  <si>
    <t>Elecon Engineering Company Ltd.</t>
  </si>
  <si>
    <t>INE205B01023</t>
  </si>
  <si>
    <t>Bikaji Foods International Ltd.</t>
  </si>
  <si>
    <t>INE00E101023</t>
  </si>
  <si>
    <t>Divgi Torqtransfer Systems Ltd.</t>
  </si>
  <si>
    <t>INE753U01022</t>
  </si>
  <si>
    <t>Syrma Sgs Technology Ltd.</t>
  </si>
  <si>
    <t>INE0DYJ01015</t>
  </si>
  <si>
    <t>Alkem Laboratories Ltd.</t>
  </si>
  <si>
    <t>INE540L01014</t>
  </si>
  <si>
    <t>Gokaldas Exports Ltd.</t>
  </si>
  <si>
    <t>INE887G01027</t>
  </si>
  <si>
    <t>Textiles &amp; Apparels</t>
  </si>
  <si>
    <t>Coromandel International Ltd.</t>
  </si>
  <si>
    <t>INE169A01031</t>
  </si>
  <si>
    <t>Hindware Home Innovation Ltd.</t>
  </si>
  <si>
    <t>INE05AN01011</t>
  </si>
  <si>
    <t>Aditya Birla Fashion and Retail Ltd.</t>
  </si>
  <si>
    <t>INE647O01011</t>
  </si>
  <si>
    <t>Cyient Ltd.</t>
  </si>
  <si>
    <t>INE136B01020</t>
  </si>
  <si>
    <t>Somany Ceramics Ltd.</t>
  </si>
  <si>
    <t>INE355A01028</t>
  </si>
  <si>
    <t>Britannia Industries Ltd.</t>
  </si>
  <si>
    <t>INE216A01030</t>
  </si>
  <si>
    <t>Kennametal India Ltd.</t>
  </si>
  <si>
    <t>INE717A01029</t>
  </si>
  <si>
    <t>P I INDUSTRIES LIMITED</t>
  </si>
  <si>
    <t>INE603J01030</t>
  </si>
  <si>
    <t>Motherson Sumi Wiring India Ltd.</t>
  </si>
  <si>
    <t>INE0FS801015</t>
  </si>
  <si>
    <t>Torrent Pharmaceuticals Ltd.</t>
  </si>
  <si>
    <t>INE685A01028</t>
  </si>
  <si>
    <t>NHPC Ltd.</t>
  </si>
  <si>
    <t>INE848E01016</t>
  </si>
  <si>
    <t>Mahanagar Gas Ltd.</t>
  </si>
  <si>
    <t>INE002S01010</t>
  </si>
  <si>
    <t>BEML Ltd.</t>
  </si>
  <si>
    <t>INE258A01016</t>
  </si>
  <si>
    <t>Agricultural, Commercial &amp; Construction Vehicles</t>
  </si>
  <si>
    <t>Divi's Laboratories Ltd.</t>
  </si>
  <si>
    <t>INE361B01024</t>
  </si>
  <si>
    <t>Bajaj Auto Ltd.</t>
  </si>
  <si>
    <t>INE917I01010</t>
  </si>
  <si>
    <t>Sanofi India Ltd.</t>
  </si>
  <si>
    <t>INE058A01010</t>
  </si>
  <si>
    <t>Akzo Nobel India Ltd.</t>
  </si>
  <si>
    <t>INE133A01011</t>
  </si>
  <si>
    <t>Carborundum Universal Ltd.</t>
  </si>
  <si>
    <t>INE120A01034</t>
  </si>
  <si>
    <t>PCBL Ltd.</t>
  </si>
  <si>
    <t>INE602A01031</t>
  </si>
  <si>
    <t>Torrent Power Ltd.</t>
  </si>
  <si>
    <t>INE813H01021</t>
  </si>
  <si>
    <t>Bajaj Consumer Care Ltd.</t>
  </si>
  <si>
    <t>INE933K01021</t>
  </si>
  <si>
    <t>Hindustan Zinc Ltd.</t>
  </si>
  <si>
    <t>INE267A01025</t>
  </si>
  <si>
    <t>Non - Ferrous Metals</t>
  </si>
  <si>
    <t>NLC India Ltd.</t>
  </si>
  <si>
    <t>INE589A01014</t>
  </si>
  <si>
    <t>EIH Ltd.</t>
  </si>
  <si>
    <t>INE230A01023</t>
  </si>
  <si>
    <t>Artemis Medicare Services Ltd.</t>
  </si>
  <si>
    <t>INE025R01021</t>
  </si>
  <si>
    <t>JB Chemicals &amp; Pharmaceuticals Ltd.</t>
  </si>
  <si>
    <t>INE572A01036</t>
  </si>
  <si>
    <t>IPCA Laboratories Ltd.</t>
  </si>
  <si>
    <t>INE571A01038</t>
  </si>
  <si>
    <t>Abbott India Ltd.</t>
  </si>
  <si>
    <t>INE358A01014</t>
  </si>
  <si>
    <t>Metropolis Healthcare Ltd.</t>
  </si>
  <si>
    <t>INE112L01020</t>
  </si>
  <si>
    <t>Global Health Ltd.</t>
  </si>
  <si>
    <t>INE474Q01031</t>
  </si>
  <si>
    <t>Laurus Labs Ltd.</t>
  </si>
  <si>
    <t>INE947Q01028</t>
  </si>
  <si>
    <t>Syngene International Ltd.</t>
  </si>
  <si>
    <t>INE398R01022</t>
  </si>
  <si>
    <t>$0.00%</t>
  </si>
  <si>
    <t>$ Less Than 0.01% of Net Asset Value</t>
  </si>
  <si>
    <t>UNO Minda Ltd.</t>
  </si>
  <si>
    <t>INE405E01023</t>
  </si>
  <si>
    <t>Dalmia Bharat Ltd.</t>
  </si>
  <si>
    <t>INE00R701025</t>
  </si>
  <si>
    <t>TVS Motor Company Ltd.</t>
  </si>
  <si>
    <t>INE494B01023</t>
  </si>
  <si>
    <t>Endurance Technologies Ltd.</t>
  </si>
  <si>
    <t>INE913H01037</t>
  </si>
  <si>
    <t>Oberoi Realty Ltd.</t>
  </si>
  <si>
    <t>INE093I01010</t>
  </si>
  <si>
    <t>Realty</t>
  </si>
  <si>
    <t>Schaeffler India Ltd.</t>
  </si>
  <si>
    <t>INE513A01022</t>
  </si>
  <si>
    <t>Voltas Ltd.</t>
  </si>
  <si>
    <t>INE226A01021</t>
  </si>
  <si>
    <t>Ashok Leyland Ltd.</t>
  </si>
  <si>
    <t>INE208A01029</t>
  </si>
  <si>
    <t>Balkrishna Industries Ltd.</t>
  </si>
  <si>
    <t>INE787D01026</t>
  </si>
  <si>
    <t>Astral Ltd.</t>
  </si>
  <si>
    <t>INE006I01046</t>
  </si>
  <si>
    <t>Info Edge (India) Ltd.</t>
  </si>
  <si>
    <t>INE663F01024</t>
  </si>
  <si>
    <t>Container Corporation Of India Ltd.</t>
  </si>
  <si>
    <t>INE111A01025</t>
  </si>
  <si>
    <t>Cholamandalam Investment &amp; Fin Co Ltd.</t>
  </si>
  <si>
    <t>INE121A01024</t>
  </si>
  <si>
    <t>Sumitomo Chemical India Ltd.</t>
  </si>
  <si>
    <t>INE258G01013</t>
  </si>
  <si>
    <t>3M India Ltd.</t>
  </si>
  <si>
    <t>INE470A01017</t>
  </si>
  <si>
    <t>Diversified</t>
  </si>
  <si>
    <t>K.P.R. Mill Ltd.</t>
  </si>
  <si>
    <t>INE930H01031</t>
  </si>
  <si>
    <t>Supreme Industries Ltd.</t>
  </si>
  <si>
    <t>INE195A01028</t>
  </si>
  <si>
    <t>Metro Brands Ltd.</t>
  </si>
  <si>
    <t>INE317I01021</t>
  </si>
  <si>
    <t>REC Ltd.</t>
  </si>
  <si>
    <t>INE020B01018</t>
  </si>
  <si>
    <t>Apollo Tyres Ltd.</t>
  </si>
  <si>
    <t>INE438A01022</t>
  </si>
  <si>
    <t>Tata Elxsi Ltd.</t>
  </si>
  <si>
    <t>INE670A01012</t>
  </si>
  <si>
    <t>ACC Ltd.</t>
  </si>
  <si>
    <t>INE012A01025</t>
  </si>
  <si>
    <t>Honeywell Automation India Ltd.</t>
  </si>
  <si>
    <t>INE671A01010</t>
  </si>
  <si>
    <t>Sai Silk (Kalamandir) Ltd.</t>
  </si>
  <si>
    <t>INE438K01021</t>
  </si>
  <si>
    <t>Suzlon Energy Ltd.</t>
  </si>
  <si>
    <t>INE040H01021</t>
  </si>
  <si>
    <t>Polycab India Ltd.</t>
  </si>
  <si>
    <t>INE455K01017</t>
  </si>
  <si>
    <t>Canara Bank</t>
  </si>
  <si>
    <t>INE476A01014</t>
  </si>
  <si>
    <t>Heidelbergcement India Ltd.</t>
  </si>
  <si>
    <t>INE578A01017</t>
  </si>
  <si>
    <t>Bharat Dynamics Ltd.</t>
  </si>
  <si>
    <t>INE171Z01018</t>
  </si>
  <si>
    <t>Godrej Agrovet Ltd.</t>
  </si>
  <si>
    <t>INE850D01014</t>
  </si>
  <si>
    <t>Campus Activewear Ltd.</t>
  </si>
  <si>
    <t>INE278Y01022</t>
  </si>
  <si>
    <t>Dabur India Ltd.</t>
  </si>
  <si>
    <t>INE016A01026</t>
  </si>
  <si>
    <t>Total outstanding position(as at 31 December 2023 ) in Derivative Instruments(Gross National) 283.66 lacs.</t>
  </si>
  <si>
    <t>Total percentage of existing assets hedge through futures is 26.06%.</t>
  </si>
  <si>
    <t>L&amp;T Technology Services Ltd.</t>
  </si>
  <si>
    <t>INE010V01017</t>
  </si>
  <si>
    <t>Oracle Financial Services Software Ltd.</t>
  </si>
  <si>
    <t>INE881D01027</t>
  </si>
  <si>
    <t>Page Industries Ltd.</t>
  </si>
  <si>
    <t>INE761H01022</t>
  </si>
  <si>
    <t>Gabriel India Ltd.</t>
  </si>
  <si>
    <t>INE524A01029</t>
  </si>
  <si>
    <t>Avenue Supermarts Ltd.</t>
  </si>
  <si>
    <t>INE192R01011</t>
  </si>
  <si>
    <t>TCI Express Ltd.</t>
  </si>
  <si>
    <t>INE586V01016</t>
  </si>
  <si>
    <t>VA Tech Wabag Ltd.</t>
  </si>
  <si>
    <t>INE956G01038</t>
  </si>
  <si>
    <t>Other Utilities</t>
  </si>
  <si>
    <t>Kirloskar Oil Engines Ltd.</t>
  </si>
  <si>
    <t>INE146L01010</t>
  </si>
  <si>
    <t>TVS Holdings Ltd.</t>
  </si>
  <si>
    <t>INE105A01035</t>
  </si>
  <si>
    <t>Elgi Equipments Ltd.</t>
  </si>
  <si>
    <t>INE285A01027</t>
  </si>
  <si>
    <t>CCL Products (India) Ltd.</t>
  </si>
  <si>
    <t>INE421D01022</t>
  </si>
  <si>
    <t>Emami Ltd.</t>
  </si>
  <si>
    <t>INE548C01032</t>
  </si>
  <si>
    <t>Godfrey Phillips India Ltd.</t>
  </si>
  <si>
    <t>INE260B01028</t>
  </si>
  <si>
    <t>Cigarettes &amp; Tobacco Products</t>
  </si>
  <si>
    <t>GMM Pfaudler Ltd.</t>
  </si>
  <si>
    <t>INE541A01023</t>
  </si>
  <si>
    <t>PVR Inox Ltd.</t>
  </si>
  <si>
    <t>INE191H01014</t>
  </si>
  <si>
    <t>Entertainment</t>
  </si>
  <si>
    <t>Apar Industries Ltd.</t>
  </si>
  <si>
    <t>INE372A01015</t>
  </si>
  <si>
    <t>Wendt India Ltd.</t>
  </si>
  <si>
    <t>INE274C01019</t>
  </si>
  <si>
    <t>InterGlobe Aviation Ltd.</t>
  </si>
  <si>
    <t>INE646L01027</t>
  </si>
  <si>
    <t>Alicon Castalloy Ltd.</t>
  </si>
  <si>
    <t>INE062D01024</t>
  </si>
  <si>
    <t>Sundaram Clayton Ltd.</t>
  </si>
  <si>
    <t>INE0Q3R01026</t>
  </si>
  <si>
    <t>Disa India Ltd.</t>
  </si>
  <si>
    <t>INE131C01011</t>
  </si>
  <si>
    <t>Ador Welding Ltd.</t>
  </si>
  <si>
    <t>INE045A01017</t>
  </si>
  <si>
    <t>5.5% Britannia Industries Ltd. **</t>
  </si>
  <si>
    <t>INE216A08027</t>
  </si>
  <si>
    <t>Garware Hi-Tech Films Ltd.</t>
  </si>
  <si>
    <t>INE291A01017</t>
  </si>
  <si>
    <t>Grindwell Norton Ltd.</t>
  </si>
  <si>
    <t>INE536A01023</t>
  </si>
  <si>
    <t>Lemon Tree Hotels Ltd.</t>
  </si>
  <si>
    <t>INE970X01018</t>
  </si>
  <si>
    <t>Hitachi Energy India Ltd.</t>
  </si>
  <si>
    <t>INE07Y701011</t>
  </si>
  <si>
    <t>KSB Ltd.</t>
  </si>
  <si>
    <t>INE999A01015</t>
  </si>
  <si>
    <t>Avalon Technologies Ltd.</t>
  </si>
  <si>
    <t>INE0LCL01028</t>
  </si>
  <si>
    <t>Bharat Bijlee Ltd.</t>
  </si>
  <si>
    <t>INE464A01028</t>
  </si>
  <si>
    <t>Blue Star Ltd.</t>
  </si>
  <si>
    <t>INE472A01039</t>
  </si>
  <si>
    <t>Greenpanel Industries Ltd.</t>
  </si>
  <si>
    <t>INE08ZM01014</t>
  </si>
  <si>
    <t>Timken India Ltd.</t>
  </si>
  <si>
    <t>INE325A01013</t>
  </si>
  <si>
    <t>Ratnamani Metals &amp; Tubes Ltd.</t>
  </si>
  <si>
    <t>INE703B01027</t>
  </si>
  <si>
    <t>Birlasoft Ltd.</t>
  </si>
  <si>
    <t>INE836A01035</t>
  </si>
  <si>
    <t>Century Plyboards (India) Ltd.</t>
  </si>
  <si>
    <t>INE348B01021</t>
  </si>
  <si>
    <t>EID Parry India Ltd.</t>
  </si>
  <si>
    <t>INE126A01031</t>
  </si>
  <si>
    <t>Huhtamaki India Ltd.</t>
  </si>
  <si>
    <t>INE275B01026</t>
  </si>
  <si>
    <t>Deepak Nitrite Ltd.</t>
  </si>
  <si>
    <t>INE288B01029</t>
  </si>
  <si>
    <t>Carysil Ltd.</t>
  </si>
  <si>
    <t>INE482D01024</t>
  </si>
  <si>
    <t>Bajaj Electricals Ltd.</t>
  </si>
  <si>
    <t>INE193E01025</t>
  </si>
  <si>
    <t>Navin Fluorine International Ltd.</t>
  </si>
  <si>
    <t>INE048G01026</t>
  </si>
  <si>
    <t>Sheela Foam Ltd.</t>
  </si>
  <si>
    <t>INE916U01025</t>
  </si>
  <si>
    <t>Galaxy Surfactants Ltd.</t>
  </si>
  <si>
    <t>INE600K01018</t>
  </si>
  <si>
    <t>IDFC First Bank Ltd.</t>
  </si>
  <si>
    <t>INE092T01019</t>
  </si>
  <si>
    <t>PNC Infratech Ltd.</t>
  </si>
  <si>
    <t>INE195J01029</t>
  </si>
  <si>
    <t>Zaggle Prepaid Ocean Service</t>
  </si>
  <si>
    <t>INE07K301024</t>
  </si>
  <si>
    <t>Cera Sanitaryware Ltd.</t>
  </si>
  <si>
    <t>INE739E01017</t>
  </si>
  <si>
    <t>SP Apparels Ltd.</t>
  </si>
  <si>
    <t>INE212I01016</t>
  </si>
  <si>
    <t>Shoppers Stop Ltd.</t>
  </si>
  <si>
    <t>INE498B01024</t>
  </si>
  <si>
    <t>Inox India Ltd.</t>
  </si>
  <si>
    <t>INE616N01034</t>
  </si>
  <si>
    <t>Bajel Projects Ltd.</t>
  </si>
  <si>
    <t>INE0KQN01018</t>
  </si>
  <si>
    <t>Sudarshan Chemical Industries Ltd.</t>
  </si>
  <si>
    <t>INE659A01023</t>
  </si>
  <si>
    <t>Mahindra Logistics Ltd.</t>
  </si>
  <si>
    <t>INE766P01016</t>
  </si>
  <si>
    <t>LIC Mutual Fund</t>
  </si>
  <si>
    <t>INF397L01554</t>
  </si>
  <si>
    <t>SBI Life Insurance Company Ltd.</t>
  </si>
  <si>
    <t>INE123W01016</t>
  </si>
  <si>
    <t>Hindalco Industries Ltd.</t>
  </si>
  <si>
    <t>INE038A01020</t>
  </si>
  <si>
    <t>Bajaj Finserv Ltd.</t>
  </si>
  <si>
    <t>INE918I01026</t>
  </si>
  <si>
    <t>Coal India Ltd.</t>
  </si>
  <si>
    <t>INE522F01014</t>
  </si>
  <si>
    <t>Consumable Fuels</t>
  </si>
  <si>
    <t>Bosch Ltd.</t>
  </si>
  <si>
    <t>INE323A01026</t>
  </si>
  <si>
    <t>Hindustan Aeronautics Ltd.</t>
  </si>
  <si>
    <t>INE066F01020</t>
  </si>
  <si>
    <t>Cummins India Ltd.</t>
  </si>
  <si>
    <t>INE298A01020</t>
  </si>
  <si>
    <t>Blue Dart Express Ltd.</t>
  </si>
  <si>
    <t>INE233B01017</t>
  </si>
  <si>
    <t>Ashoka Buildcon Ltd.</t>
  </si>
  <si>
    <t>INE442H01029</t>
  </si>
  <si>
    <t>Gujarat State Petronet Ltd.</t>
  </si>
  <si>
    <t>INE246F01010</t>
  </si>
  <si>
    <t>Foseco India Ltd.</t>
  </si>
  <si>
    <t>INE519A01011</t>
  </si>
  <si>
    <t>Schneider Electric Infrastructure Ltd.</t>
  </si>
  <si>
    <t>INE839M01018</t>
  </si>
  <si>
    <t>Kirloskar Pneumatic Co.Ltd.</t>
  </si>
  <si>
    <t>INE811A01020</t>
  </si>
  <si>
    <t>Vascon Engineers Ltd.</t>
  </si>
  <si>
    <t>INE893I01013</t>
  </si>
  <si>
    <t>CESC Ltd.</t>
  </si>
  <si>
    <t>INE486A01021</t>
  </si>
  <si>
    <t>IndusInd Bank Ltd.</t>
  </si>
  <si>
    <t>INE095A01012</t>
  </si>
  <si>
    <t>Oil &amp; Natural Gas Corporation Ltd.</t>
  </si>
  <si>
    <t>INE213A01029</t>
  </si>
  <si>
    <t>Oil</t>
  </si>
  <si>
    <t>Adani Ports &amp; Special Economic Zone Ltd.</t>
  </si>
  <si>
    <t>INE742F01042</t>
  </si>
  <si>
    <t>Transport Infrastructure</t>
  </si>
  <si>
    <t>Adani Enterprises Ltd.</t>
  </si>
  <si>
    <t>INE423A01024</t>
  </si>
  <si>
    <t>Metals &amp; Minerals Trading</t>
  </si>
  <si>
    <t>HDFC Life Insurance Company Ltd.</t>
  </si>
  <si>
    <t>INE795G01014</t>
  </si>
  <si>
    <t>Wipro Ltd.</t>
  </si>
  <si>
    <t>INE075A01022</t>
  </si>
  <si>
    <t>UPL Ltd.</t>
  </si>
  <si>
    <t>INE628A01036</t>
  </si>
  <si>
    <t>VARUN BEVERAGES LIMITED</t>
  </si>
  <si>
    <t>INE200M01021</t>
  </si>
  <si>
    <t>Beverages</t>
  </si>
  <si>
    <t>Persistent Systems Ltd.</t>
  </si>
  <si>
    <t>INE262H01013</t>
  </si>
  <si>
    <t>KNR Constructions Ltd.</t>
  </si>
  <si>
    <t>INE634I01029</t>
  </si>
  <si>
    <t>United Spirits Ltd.</t>
  </si>
  <si>
    <t>INE854D01024</t>
  </si>
  <si>
    <t>Amber Enterprises India Ltd.</t>
  </si>
  <si>
    <t>INE371P01015</t>
  </si>
  <si>
    <t>Gujarat Gas Ltd.</t>
  </si>
  <si>
    <t>INE844O01030</t>
  </si>
  <si>
    <t>Kansai Nerolac Paints Ltd.</t>
  </si>
  <si>
    <t>INE531A01024</t>
  </si>
  <si>
    <t>Indian Renewable Energy Dev Agency Ltd.</t>
  </si>
  <si>
    <t>INE202E01016</t>
  </si>
  <si>
    <t>Cyient DLM Ltd.</t>
  </si>
  <si>
    <t>INE055S01018</t>
  </si>
  <si>
    <t>Kajaria Ceramics Ltd.</t>
  </si>
  <si>
    <t>INE217B01036</t>
  </si>
  <si>
    <t>JSW Infrastructure Ltd.</t>
  </si>
  <si>
    <t>INE880J01026</t>
  </si>
  <si>
    <t>Sundaram Finance Ltd.</t>
  </si>
  <si>
    <t>INE660A01013</t>
  </si>
  <si>
    <t>Cello World Ltd.</t>
  </si>
  <si>
    <t>INE0LMW01024</t>
  </si>
  <si>
    <t>Saregama India Ltd.</t>
  </si>
  <si>
    <t>INE979A01025</t>
  </si>
  <si>
    <t>MM Forgings Ltd.</t>
  </si>
  <si>
    <t>INE227C01017</t>
  </si>
  <si>
    <t>Indian Bank</t>
  </si>
  <si>
    <t>INE562A01011</t>
  </si>
  <si>
    <t>Whirlpool of India Ltd.</t>
  </si>
  <si>
    <t>INE716A01013</t>
  </si>
  <si>
    <t>Digidrive Distributors Ltd. #</t>
  </si>
  <si>
    <t>INE0PSC01016</t>
  </si>
  <si>
    <t>Indian Oil Corporation Ltd.</t>
  </si>
  <si>
    <t>INE242A01010</t>
  </si>
  <si>
    <t>DLF Ltd.</t>
  </si>
  <si>
    <t>INE271C01023</t>
  </si>
  <si>
    <t>GAIL (India) Ltd.</t>
  </si>
  <si>
    <t>INE129A01019</t>
  </si>
  <si>
    <t>Shree Cement Ltd.</t>
  </si>
  <si>
    <t>INE070A01015</t>
  </si>
  <si>
    <t>Ambuja Cements Ltd.</t>
  </si>
  <si>
    <t>INE079A01024</t>
  </si>
  <si>
    <t>ICICI Lombard General Insurance Co. Ltd.</t>
  </si>
  <si>
    <t>INE765G01017</t>
  </si>
  <si>
    <t>Colgate Palmolive (India) Ltd.</t>
  </si>
  <si>
    <t>INE259A01022</t>
  </si>
  <si>
    <t>ABB India Ltd.</t>
  </si>
  <si>
    <t>INE117A01022</t>
  </si>
  <si>
    <t>Adani Green Energy Ltd.</t>
  </si>
  <si>
    <t>INE364U01010</t>
  </si>
  <si>
    <t>Berger Paints (I) Ltd.</t>
  </si>
  <si>
    <t>INE463A01038</t>
  </si>
  <si>
    <t>Bajaj Holdings &amp; Investment Ltd.</t>
  </si>
  <si>
    <t>INE118A01012</t>
  </si>
  <si>
    <t>Adani Energy Solutions Ltd.</t>
  </si>
  <si>
    <t>INE931S01010</t>
  </si>
  <si>
    <t>Adani Total Gas Ltd.</t>
  </si>
  <si>
    <t>INE399L01023</t>
  </si>
  <si>
    <t>Life Insurance Corporation of India</t>
  </si>
  <si>
    <t>INE0J1Y01017</t>
  </si>
  <si>
    <t>Procter &amp; Gamble Hygiene&amp;HealthCare Ltd.</t>
  </si>
  <si>
    <t>INE179A01014</t>
  </si>
  <si>
    <t>Adani Wilmar Ltd.</t>
  </si>
  <si>
    <t>INE699H01024</t>
  </si>
  <si>
    <t>Tata Motors Ltd (DVR)</t>
  </si>
  <si>
    <t>IN9155A01020</t>
  </si>
  <si>
    <t>KPIT Technologies Ltd.</t>
  </si>
  <si>
    <t>INE04I401011</t>
  </si>
  <si>
    <t>Craftsman Automation Ltd.</t>
  </si>
  <si>
    <t>INE00LO01017</t>
  </si>
  <si>
    <t>Thermax Ltd.</t>
  </si>
  <si>
    <t>INE152A01029</t>
  </si>
  <si>
    <t>Safari Industries India Ltd.</t>
  </si>
  <si>
    <t>INE429E01023</t>
  </si>
  <si>
    <t>MRS Bectors Food Specialities Ltd.</t>
  </si>
  <si>
    <t>INE495P01012</t>
  </si>
  <si>
    <t>AIA Engineering Ltd.</t>
  </si>
  <si>
    <t>INE212H01026</t>
  </si>
  <si>
    <t>ZF Commercial Vehicle Ctrl Sys Ind Ltd.</t>
  </si>
  <si>
    <t>INE342J01019</t>
  </si>
  <si>
    <t>Vinati Organics Ltd.</t>
  </si>
  <si>
    <t>INE410B01037</t>
  </si>
  <si>
    <t>SKF India Ltd.</t>
  </si>
  <si>
    <t>INE640A01023</t>
  </si>
  <si>
    <t>RHI Magnesita India Ltd.</t>
  </si>
  <si>
    <t>INE743M01012</t>
  </si>
  <si>
    <t>Star Health &amp; Allied Insurance Co Ltd.</t>
  </si>
  <si>
    <t>INE575P01011</t>
  </si>
  <si>
    <t>Raymond Ltd.</t>
  </si>
  <si>
    <t>INE301A01014</t>
  </si>
  <si>
    <t>Bharti Airtel Ltd. PARTLY PAID UP FV 1.25</t>
  </si>
  <si>
    <t>IN9397D01014</t>
  </si>
  <si>
    <t>5.74% Government of India</t>
  </si>
  <si>
    <t>IN0020210186</t>
  </si>
  <si>
    <t>Riskometer</t>
  </si>
  <si>
    <t>Low</t>
  </si>
  <si>
    <t>Very High</t>
  </si>
  <si>
    <t>Moderately High</t>
  </si>
  <si>
    <t>High</t>
  </si>
  <si>
    <t>The product is suitable for investors who are seeking*</t>
  </si>
  <si>
    <t>Riskometer - Scheme</t>
  </si>
  <si>
    <t>First Tier Benchmark</t>
  </si>
  <si>
    <t>Riskometer - First Tier Benchmark</t>
  </si>
  <si>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</si>
  <si>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</si>
  <si>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</si>
  <si>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</si>
  <si>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</si>
  <si>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</si>
  <si>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</si>
  <si>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</si>
  <si>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NIFTY 50 Hybrid Composite Debt 50:50 Index</t>
  </si>
  <si>
    <t>•Capital appreciation over a long period of time</t>
  </si>
  <si>
    <t>•Investments in a dynamically managed portfolio of equity and equity related instruments, debt and money market instruments</t>
  </si>
  <si>
    <r>
      <t>•</t>
    </r>
    <r>
      <rPr>
        <b/>
        <sz val="9"/>
        <color rgb="FF000000"/>
        <rFont val="Arial"/>
        <family val="2"/>
      </rPr>
      <t>Risk - High</t>
    </r>
  </si>
  <si>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</si>
  <si>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</si>
  <si>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</si>
  <si>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</si>
  <si>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</si>
  <si>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</si>
  <si>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</si>
  <si>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</si>
  <si>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</si>
  <si>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</si>
  <si>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</si>
  <si>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</si>
  <si>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</si>
  <si>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</si>
  <si>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</si>
  <si>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•Investment predominantly in dividend yielding equity and equity related instruments.</t>
  </si>
  <si>
    <t>S&amp;P BSE Healthcare -  (TRI)</t>
  </si>
  <si>
    <t>•Investment predominantly in equity and equity related instruments of companies engaged in Healthcare &amp; Allied Sectors</t>
  </si>
  <si>
    <t>LIC MF Midcap Fund</t>
  </si>
  <si>
    <t>NIFTY Midcap 150 - TRI</t>
  </si>
  <si>
    <t>•Investment predominantly in equity and equity related instruments of Midcap companies.</t>
  </si>
  <si>
    <t>NIFTY Equity Savings Index</t>
  </si>
  <si>
    <t>•Regular income &amp; Capital appreciation over Medium to Long term</t>
  </si>
  <si>
    <t>•Investment in equity and equity related Instruments including equity derivatives, arbitrage and debt and money market instruments</t>
  </si>
  <si>
    <r>
      <t>•</t>
    </r>
    <r>
      <rPr>
        <b/>
        <sz val="9"/>
        <color rgb="FF000000"/>
        <rFont val="Arial"/>
        <family val="2"/>
      </rPr>
      <t>Risk - Moderately High</t>
    </r>
  </si>
  <si>
    <t>•Risk - Moderate</t>
  </si>
  <si>
    <t>Nifty 500 TRI</t>
  </si>
  <si>
    <t>•Investing across Large, Mid &amp; Small Cap stocks.</t>
  </si>
  <si>
    <t>LIC MF SmallCap Fund</t>
  </si>
  <si>
    <t>NIFTY Smallcap 250 - TRI</t>
  </si>
  <si>
    <t>•Investment predominantly in equity and equity related instruments of Smallcap companies.</t>
  </si>
  <si>
    <t>LIC  MF Focused 30 Equity Fund</t>
  </si>
  <si>
    <t>NIFTY 500 - TRI</t>
  </si>
  <si>
    <t>• Investment predominantly in large cap focused equity &amp; equity related instruments of up to 30 ompanies and balance in debt &amp; money market instruments.</t>
  </si>
  <si>
    <t>Domestic Price of Gold</t>
  </si>
  <si>
    <t>•To replicate returns of LIC MF Gold ETF FOF with at least medium term horizon</t>
  </si>
  <si>
    <t>•Investments in units of LIC MF Gold ETF / Money Market Instruments/ LIC MF Liquid Fund Scheme</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</si>
  <si>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</si>
  <si>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</si>
  <si>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</si>
  <si>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</si>
  <si>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</si>
  <si>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</si>
  <si>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</si>
  <si>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</si>
  <si>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</si>
  <si>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</si>
  <si>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</si>
  <si>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•Long term capital growth.</t>
  </si>
  <si>
    <t>•Investment in equity and equity related instruments by following value investment strategy.</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</si>
  <si>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</si>
  <si>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</si>
  <si>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</si>
  <si>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</si>
  <si>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</si>
  <si>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</si>
  <si>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</si>
  <si>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</si>
  <si>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</si>
  <si>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</si>
  <si>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</si>
  <si>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LIC MF ELSS</t>
  </si>
  <si>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</si>
  <si>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</si>
  <si>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</si>
  <si>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</si>
  <si>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</si>
  <si>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</si>
  <si>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r>
      <t xml:space="preserve">NSE Symbol: </t>
    </r>
    <r>
      <rPr>
        <b/>
        <sz val="9"/>
        <color theme="1"/>
        <rFont val="Arial"/>
        <family val="2"/>
      </rPr>
      <t>LICNETFSEN</t>
    </r>
  </si>
  <si>
    <r>
      <t xml:space="preserve">BSE Scrip Code: </t>
    </r>
    <r>
      <rPr>
        <b/>
        <sz val="9"/>
        <color theme="1"/>
        <rFont val="Arial"/>
        <family val="2"/>
      </rPr>
      <t>539487</t>
    </r>
  </si>
  <si>
    <r>
      <t xml:space="preserve">NSE Symbol: </t>
    </r>
    <r>
      <rPr>
        <b/>
        <sz val="9"/>
        <color theme="1"/>
        <rFont val="Arial"/>
        <family val="2"/>
      </rPr>
      <t>LICNETFN50</t>
    </r>
  </si>
  <si>
    <r>
      <t xml:space="preserve">BSE Scrip Code: </t>
    </r>
    <r>
      <rPr>
        <b/>
        <sz val="9"/>
        <color theme="1"/>
        <rFont val="Arial"/>
        <family val="2"/>
      </rPr>
      <t>539480</t>
    </r>
  </si>
  <si>
    <t>LIC MF ELSS TAX SAVER ( FORMERLY LIC MF ELSS )</t>
  </si>
  <si>
    <r>
      <t xml:space="preserve">NSE Symbol: </t>
    </r>
    <r>
      <rPr>
        <b/>
        <sz val="9"/>
        <color theme="1"/>
        <rFont val="Arial"/>
        <family val="2"/>
      </rPr>
      <t>LICNFNHGP</t>
    </r>
  </si>
  <si>
    <r>
      <t xml:space="preserve">BSE Scrip Code: </t>
    </r>
    <r>
      <rPr>
        <b/>
        <sz val="9"/>
        <color theme="1"/>
        <rFont val="Arial"/>
        <family val="2"/>
      </rPr>
      <t>539784</t>
    </r>
  </si>
  <si>
    <t>LIC MF NIFTY NEXT 50 INDEX FUND (FORMERLY IDBI NIFTY NEXT 50 INDEX FUND)</t>
  </si>
  <si>
    <t>LIC MF LONG TERM VALUE FUND (FORMERLY IDBI LONG TERM VALUE FUND)</t>
  </si>
  <si>
    <t>LIC MF GOLD ETF FUND OF FUND (FORMERLY IDBI GOLD FUND)</t>
  </si>
  <si>
    <t>LIC MF FOCUSED 30 EQUITY FUND (FORMERLY IDBI FOCUSED 30 EQUITY FUND)</t>
  </si>
  <si>
    <t>LIC MF SMALL CAP FUND (FORMERLY IDBI SMALL CAP FUND)</t>
  </si>
  <si>
    <t>LIC MF EQUITY SAVINGS FUND (FORMERLY IDBI EQUITY SAVINGS FUND)</t>
  </si>
  <si>
    <t>LIC MF MID CAP FUND (FORMERLY IDBI MIDCAP FUND)</t>
  </si>
  <si>
    <t>LIC MF HEALTHCARE FUND (FORMERLY IDBI HEALTHCARE FUND)</t>
  </si>
  <si>
    <t>LIC MF DIVIDEND YIELD FUND (FORMERLY IDBI DIVIDEND YIELD FUND)</t>
  </si>
  <si>
    <t>LIC MF AGGRESSIVE HYBRID FUND (FORMERLY LIC MF EQUITY HYBRID FUND)</t>
  </si>
  <si>
    <t>•Risk - Moderately High</t>
  </si>
  <si>
    <t>LICMFGOLDETF</t>
  </si>
  <si>
    <t>LIC MF Gold Exchange Traded Fund</t>
  </si>
  <si>
    <t>LIC MF GOLD EXCHANGE TRADED FUND (FORMERLY IDBI GOLD EXCHANGE TRADED FUND)</t>
  </si>
  <si>
    <r>
      <t xml:space="preserve">NSE Symbol: </t>
    </r>
    <r>
      <rPr>
        <b/>
        <sz val="9"/>
        <color theme="1"/>
        <rFont val="Arial"/>
        <family val="2"/>
      </rPr>
      <t>LICMFGOLD</t>
    </r>
  </si>
  <si>
    <r>
      <t xml:space="preserve">BSE Scrip Code: </t>
    </r>
    <r>
      <rPr>
        <b/>
        <sz val="9"/>
        <color theme="1"/>
        <rFont val="Arial"/>
        <family val="2"/>
      </rPr>
      <t>533719</t>
    </r>
  </si>
  <si>
    <t>Gold</t>
  </si>
  <si>
    <t>• To replicate the performance of gold in domestic prices with at least medium term horizon.</t>
  </si>
  <si>
    <t>• Investments in physical gold and gold related instruments / debt &amp; money market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</si>
</sst>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sz val="9"/>
      <color rgb="FF000000"/>
      <name val="Arial"/>
      <family val="2"/>
    </font>
    <font>
      <sz val="9"/>
      <name val="Arial"/>
      <family val="2"/>
    </font>
    <font>
      <b/>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indexed="64"/>
      </left>
      <right style="medium">
        <color indexed="64"/>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medium">
        <color rgb="FF000000"/>
      </right>
      <top/>
      <bottom style="medium">
        <color rgb="FF000000"/>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15">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8" fillId="3" borderId="12" xfId="0" applyFont="1" applyFill="1" applyBorder="1" applyAlignment="1">
      <alignment horizontal="center" vertical="center" wrapText="1" readingOrder="1"/>
    </xf>
    <xf numFmtId="2" fontId="9" fillId="0" borderId="13" xfId="0" applyNumberFormat="1" applyFont="1" applyBorder="1" applyAlignment="1">
      <alignment horizontal="left" vertical="center" wrapText="1" readingOrder="1"/>
    </xf>
    <xf numFmtId="0" fontId="11" fillId="0" borderId="16" xfId="0" applyFont="1" applyBorder="1" applyAlignment="1">
      <alignment horizontal="left" vertical="center" wrapText="1" indent="3" readingOrder="1"/>
    </xf>
    <xf numFmtId="0" fontId="11" fillId="0" borderId="19" xfId="0" applyFont="1" applyBorder="1" applyAlignment="1">
      <alignment horizontal="left" vertical="center" wrapText="1" indent="3" readingOrder="1"/>
    </xf>
    <xf numFmtId="0" fontId="11" fillId="0" borderId="21" xfId="0" applyFont="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2" fillId="0" borderId="0" xfId="0" applyFont="1" applyAlignment="1">
      <alignment horizontal="center" vertical="center" readingOrder="1"/>
    </xf>
    <xf numFmtId="0" fontId="10" fillId="0" borderId="0" xfId="0" applyFont="1" applyAlignment="1">
      <alignment horizontal="center" vertical="center" wrapText="1" readingOrder="1"/>
    </xf>
    <xf numFmtId="0" fontId="9" fillId="0" borderId="16" xfId="0" applyFont="1" applyBorder="1" applyAlignment="1">
      <alignment horizontal="left" vertical="center" wrapText="1" indent="3" readingOrder="1"/>
    </xf>
    <xf numFmtId="0" fontId="9" fillId="0" borderId="19" xfId="0" applyFont="1" applyBorder="1" applyAlignment="1">
      <alignment horizontal="left" vertical="center" wrapText="1" indent="3" readingOrder="1"/>
    </xf>
    <xf numFmtId="0" fontId="11" fillId="0" borderId="19"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11" fillId="0" borderId="16" xfId="0" applyFont="1" applyBorder="1" applyAlignment="1">
      <alignment horizontal="center" vertical="center" wrapText="1" readingOrder="1"/>
    </xf>
    <xf numFmtId="0" fontId="12" fillId="0" borderId="27" xfId="0" applyFont="1" applyBorder="1" applyAlignment="1">
      <alignment horizontal="center" vertical="center" wrapText="1" readingOrder="1"/>
    </xf>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0" xfId="0" applyFont="1" applyBorder="1" applyAlignment="1">
      <alignment horizontal="center" vertical="center" wrapText="1" readingOrder="1"/>
    </xf>
    <xf numFmtId="0" fontId="10" fillId="0" borderId="14" xfId="0" applyFont="1" applyBorder="1" applyAlignment="1">
      <alignment horizontal="center" vertical="center" readingOrder="1"/>
    </xf>
    <xf numFmtId="0" fontId="10" fillId="0" borderId="17" xfId="0" applyFont="1" applyBorder="1" applyAlignment="1">
      <alignment horizontal="center" vertical="center" readingOrder="1"/>
    </xf>
    <xf numFmtId="0" fontId="8" fillId="0" borderId="15"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2"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16" xfId="0" applyFont="1" applyBorder="1" applyAlignment="1">
      <alignment horizontal="center" vertical="center" wrapText="1" readingOrder="1"/>
    </xf>
    <xf numFmtId="0" fontId="8" fillId="0" borderId="24" xfId="0" applyFont="1" applyBorder="1" applyAlignment="1">
      <alignment horizontal="center" vertical="center" wrapText="1" readingOrder="1"/>
    </xf>
    <xf numFmtId="0" fontId="10" fillId="0" borderId="13" xfId="0" applyFont="1" applyBorder="1" applyAlignment="1">
      <alignment horizontal="center" vertical="center" wrapText="1" readingOrder="1"/>
    </xf>
    <xf numFmtId="0" fontId="10" fillId="0" borderId="16"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2" fillId="0" borderId="0" xfId="0" applyFont="1" applyAlignment="1">
      <alignment horizontal="left" wrapText="1"/>
    </xf>
    <xf numFmtId="0" fontId="8" fillId="0" borderId="25" xfId="0" applyFont="1" applyBorder="1" applyAlignment="1">
      <alignment horizontal="center" vertical="center" wrapText="1" readingOrder="1"/>
    </xf>
    <xf numFmtId="0" fontId="8" fillId="0" borderId="26" xfId="0" applyFont="1" applyBorder="1" applyAlignment="1">
      <alignment horizontal="center" vertical="center" wrapText="1" readingOrder="1"/>
    </xf>
    <xf numFmtId="0" fontId="5" fillId="0" borderId="0" xfId="2" applyFill="1"/>
    <xf numFmtId="0" fontId="2" fillId="0" borderId="28" xfId="0" applyFont="1" applyBorder="1" applyAlignment="1">
      <alignment horizontal="left"/>
    </xf>
    <xf numFmtId="167" fontId="2" fillId="0" borderId="29" xfId="1" applyNumberFormat="1" applyFont="1" applyBorder="1"/>
    <xf numFmtId="0" fontId="2" fillId="0" borderId="30" xfId="0" applyFont="1" applyBorder="1" applyAlignment="1">
      <alignment horizontal="left"/>
    </xf>
    <xf numFmtId="164" fontId="2" fillId="0" borderId="10" xfId="0" applyNumberFormat="1" applyFont="1" applyBorder="1"/>
    <xf numFmtId="4" fontId="2" fillId="0" borderId="10" xfId="0" applyNumberFormat="1" applyFont="1" applyBorder="1"/>
    <xf numFmtId="10" fontId="2" fillId="0" borderId="10" xfId="0" applyNumberFormat="1" applyFont="1" applyBorder="1" applyAlignment="1">
      <alignment horizontal="right"/>
    </xf>
    <xf numFmtId="10" fontId="2" fillId="0" borderId="31" xfId="1" applyNumberFormat="1" applyFont="1" applyBorder="1"/>
    <xf numFmtId="0" fontId="3" fillId="0" borderId="30" xfId="0" applyFont="1" applyBorder="1" applyAlignment="1">
      <alignment horizontal="left"/>
    </xf>
    <xf numFmtId="0" fontId="3" fillId="0" borderId="10" xfId="0" applyFont="1" applyBorder="1" applyAlignment="1">
      <alignment horizontal="left"/>
    </xf>
    <xf numFmtId="164" fontId="3" fillId="0" borderId="10" xfId="0" applyNumberFormat="1" applyFont="1" applyBorder="1"/>
    <xf numFmtId="10" fontId="3" fillId="0" borderId="8" xfId="1" applyNumberFormat="1" applyFont="1" applyBorder="1"/>
    <xf numFmtId="10" fontId="3" fillId="0" borderId="31" xfId="1" applyNumberFormat="1" applyFont="1" applyBorder="1"/>
    <xf numFmtId="0" fontId="3" fillId="0" borderId="32" xfId="0" applyFont="1" applyBorder="1" applyAlignment="1">
      <alignment horizontal="left"/>
    </xf>
    <xf numFmtId="166" fontId="2" fillId="0" borderId="10" xfId="0" applyNumberFormat="1" applyFont="1" applyBorder="1"/>
    <xf numFmtId="167" fontId="2" fillId="0" borderId="10" xfId="0" applyNumberFormat="1" applyFont="1" applyBorder="1" applyAlignment="1">
      <alignment horizontal="right"/>
    </xf>
    <xf numFmtId="0" fontId="3" fillId="0" borderId="33" xfId="0" applyFont="1" applyBorder="1" applyAlignment="1">
      <alignment horizontal="left"/>
    </xf>
    <xf numFmtId="0" fontId="3" fillId="0" borderId="34" xfId="0" applyFont="1" applyBorder="1" applyAlignment="1">
      <alignment horizontal="left"/>
    </xf>
    <xf numFmtId="164" fontId="3" fillId="0" borderId="34" xfId="0" applyNumberFormat="1" applyFont="1" applyBorder="1"/>
    <xf numFmtId="4" fontId="3" fillId="0" borderId="34" xfId="0" applyNumberFormat="1" applyFont="1" applyBorder="1"/>
    <xf numFmtId="10" fontId="3" fillId="0" borderId="34" xfId="0" applyNumberFormat="1" applyFont="1" applyBorder="1" applyAlignment="1">
      <alignment horizontal="right"/>
    </xf>
    <xf numFmtId="10" fontId="3" fillId="0" borderId="35" xfId="1" applyNumberFormat="1" applyFont="1" applyBorder="1"/>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116</xdr:row>
      <xdr:rowOff>66675</xdr:rowOff>
    </xdr:from>
    <xdr:to>
      <xdr:col>4</xdr:col>
      <xdr:colOff>1882775</xdr:colOff>
      <xdr:row>119</xdr:row>
      <xdr:rowOff>330200</xdr:rowOff>
    </xdr:to>
    <xdr:pic>
      <xdr:nvPicPr>
        <xdr:cNvPr id="2" name="Picture 1">
          <a:extLst>
            <a:ext uri="{FF2B5EF4-FFF2-40B4-BE49-F238E27FC236}">
              <a16:creationId xmlns:a16="http://schemas.microsoft.com/office/drawing/2014/main" id="{49F3C9D9-6CBE-48FB-AD04-8D4CC03E8212}"/>
            </a:ext>
          </a:extLst>
        </xdr:cNvPr>
        <xdr:cNvPicPr>
          <a:picLocks noChangeAspect="1"/>
        </xdr:cNvPicPr>
      </xdr:nvPicPr>
      <xdr:blipFill>
        <a:blip xmlns:r="http://schemas.openxmlformats.org/officeDocument/2006/relationships" r:embed="rId1"/>
        <a:stretch>
          <a:fillRect/>
        </a:stretch>
      </xdr:blipFill>
      <xdr:spPr>
        <a:xfrm>
          <a:off x="7480300" y="23314025"/>
          <a:ext cx="1844675" cy="1692275"/>
        </a:xfrm>
        <a:prstGeom prst="rect">
          <a:avLst/>
        </a:prstGeom>
      </xdr:spPr>
    </xdr:pic>
    <xdr:clientData/>
  </xdr:twoCellAnchor>
  <xdr:twoCellAnchor editAs="oneCell">
    <xdr:from>
      <xdr:col>2</xdr:col>
      <xdr:colOff>31750</xdr:colOff>
      <xdr:row>116</xdr:row>
      <xdr:rowOff>34925</xdr:rowOff>
    </xdr:from>
    <xdr:to>
      <xdr:col>2</xdr:col>
      <xdr:colOff>1787237</xdr:colOff>
      <xdr:row>119</xdr:row>
      <xdr:rowOff>292100</xdr:rowOff>
    </xdr:to>
    <xdr:pic>
      <xdr:nvPicPr>
        <xdr:cNvPr id="3" name="Picture 2">
          <a:extLst>
            <a:ext uri="{FF2B5EF4-FFF2-40B4-BE49-F238E27FC236}">
              <a16:creationId xmlns:a16="http://schemas.microsoft.com/office/drawing/2014/main" id="{5C73A731-BB65-4101-B316-9AE38DA62F45}"/>
            </a:ext>
          </a:extLst>
        </xdr:cNvPr>
        <xdr:cNvPicPr>
          <a:picLocks noChangeAspect="1"/>
        </xdr:cNvPicPr>
      </xdr:nvPicPr>
      <xdr:blipFill rotWithShape="1">
        <a:blip xmlns:r="http://schemas.openxmlformats.org/officeDocument/2006/relationships" r:embed="rId2"/>
        <a:srcRect l="9293" r="8881"/>
        <a:stretch/>
      </xdr:blipFill>
      <xdr:spPr>
        <a:xfrm>
          <a:off x="3327400" y="23282275"/>
          <a:ext cx="1755487" cy="1685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50800</xdr:colOff>
      <xdr:row>115</xdr:row>
      <xdr:rowOff>28575</xdr:rowOff>
    </xdr:from>
    <xdr:to>
      <xdr:col>4</xdr:col>
      <xdr:colOff>2247900</xdr:colOff>
      <xdr:row>118</xdr:row>
      <xdr:rowOff>273050</xdr:rowOff>
    </xdr:to>
    <xdr:pic>
      <xdr:nvPicPr>
        <xdr:cNvPr id="2" name="Picture 1">
          <a:extLst>
            <a:ext uri="{FF2B5EF4-FFF2-40B4-BE49-F238E27FC236}">
              <a16:creationId xmlns:a16="http://schemas.microsoft.com/office/drawing/2014/main" id="{FDE600CB-850E-497E-9EF0-8BB33330548F}"/>
            </a:ext>
          </a:extLst>
        </xdr:cNvPr>
        <xdr:cNvPicPr>
          <a:picLocks noChangeAspect="1"/>
        </xdr:cNvPicPr>
      </xdr:nvPicPr>
      <xdr:blipFill>
        <a:blip xmlns:r="http://schemas.openxmlformats.org/officeDocument/2006/relationships" r:embed="rId1"/>
        <a:stretch>
          <a:fillRect/>
        </a:stretch>
      </xdr:blipFill>
      <xdr:spPr>
        <a:xfrm>
          <a:off x="7493000" y="23079075"/>
          <a:ext cx="2197100" cy="1590675"/>
        </a:xfrm>
        <a:prstGeom prst="rect">
          <a:avLst/>
        </a:prstGeom>
      </xdr:spPr>
    </xdr:pic>
    <xdr:clientData/>
  </xdr:twoCellAnchor>
  <xdr:twoCellAnchor editAs="oneCell">
    <xdr:from>
      <xdr:col>2</xdr:col>
      <xdr:colOff>57150</xdr:colOff>
      <xdr:row>115</xdr:row>
      <xdr:rowOff>71486</xdr:rowOff>
    </xdr:from>
    <xdr:to>
      <xdr:col>2</xdr:col>
      <xdr:colOff>1765300</xdr:colOff>
      <xdr:row>118</xdr:row>
      <xdr:rowOff>253999</xdr:rowOff>
    </xdr:to>
    <xdr:pic>
      <xdr:nvPicPr>
        <xdr:cNvPr id="4" name="Picture 3">
          <a:extLst>
            <a:ext uri="{FF2B5EF4-FFF2-40B4-BE49-F238E27FC236}">
              <a16:creationId xmlns:a16="http://schemas.microsoft.com/office/drawing/2014/main" id="{A2015236-0083-4583-BA8D-2DF89E4EA3D9}"/>
            </a:ext>
          </a:extLst>
        </xdr:cNvPr>
        <xdr:cNvPicPr>
          <a:picLocks noChangeAspect="1"/>
        </xdr:cNvPicPr>
      </xdr:nvPicPr>
      <xdr:blipFill rotWithShape="1">
        <a:blip xmlns:r="http://schemas.openxmlformats.org/officeDocument/2006/relationships" r:embed="rId2"/>
        <a:srcRect l="9732" t="2084" r="9305" b="2765"/>
        <a:stretch/>
      </xdr:blipFill>
      <xdr:spPr>
        <a:xfrm>
          <a:off x="3352800" y="23121986"/>
          <a:ext cx="1708150" cy="15287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xdr:colOff>
      <xdr:row>98</xdr:row>
      <xdr:rowOff>34925</xdr:rowOff>
    </xdr:from>
    <xdr:to>
      <xdr:col>4</xdr:col>
      <xdr:colOff>1758950</xdr:colOff>
      <xdr:row>101</xdr:row>
      <xdr:rowOff>203200</xdr:rowOff>
    </xdr:to>
    <xdr:pic>
      <xdr:nvPicPr>
        <xdr:cNvPr id="2" name="Picture 1">
          <a:extLst>
            <a:ext uri="{FF2B5EF4-FFF2-40B4-BE49-F238E27FC236}">
              <a16:creationId xmlns:a16="http://schemas.microsoft.com/office/drawing/2014/main" id="{4F6B3758-734C-4618-9492-8CEE0A0528E7}"/>
            </a:ext>
          </a:extLst>
        </xdr:cNvPr>
        <xdr:cNvPicPr>
          <a:picLocks noChangeAspect="1"/>
        </xdr:cNvPicPr>
      </xdr:nvPicPr>
      <xdr:blipFill>
        <a:blip xmlns:r="http://schemas.openxmlformats.org/officeDocument/2006/relationships" r:embed="rId1"/>
        <a:stretch>
          <a:fillRect/>
        </a:stretch>
      </xdr:blipFill>
      <xdr:spPr>
        <a:xfrm>
          <a:off x="7667625" y="19738975"/>
          <a:ext cx="1704975" cy="1311275"/>
        </a:xfrm>
        <a:prstGeom prst="rect">
          <a:avLst/>
        </a:prstGeom>
      </xdr:spPr>
    </xdr:pic>
    <xdr:clientData/>
  </xdr:twoCellAnchor>
  <xdr:twoCellAnchor editAs="oneCell">
    <xdr:from>
      <xdr:col>2</xdr:col>
      <xdr:colOff>25400</xdr:colOff>
      <xdr:row>98</xdr:row>
      <xdr:rowOff>28575</xdr:rowOff>
    </xdr:from>
    <xdr:to>
      <xdr:col>2</xdr:col>
      <xdr:colOff>1939925</xdr:colOff>
      <xdr:row>101</xdr:row>
      <xdr:rowOff>209550</xdr:rowOff>
    </xdr:to>
    <xdr:pic>
      <xdr:nvPicPr>
        <xdr:cNvPr id="3" name="Picture 2">
          <a:extLst>
            <a:ext uri="{FF2B5EF4-FFF2-40B4-BE49-F238E27FC236}">
              <a16:creationId xmlns:a16="http://schemas.microsoft.com/office/drawing/2014/main" id="{81DABC25-E338-401E-B91B-9B76149B59F7}"/>
            </a:ext>
          </a:extLst>
        </xdr:cNvPr>
        <xdr:cNvPicPr>
          <a:picLocks noChangeAspect="1"/>
        </xdr:cNvPicPr>
      </xdr:nvPicPr>
      <xdr:blipFill rotWithShape="1">
        <a:blip xmlns:r="http://schemas.openxmlformats.org/officeDocument/2006/relationships" r:embed="rId2"/>
        <a:srcRect l="10000" r="8947"/>
        <a:stretch/>
      </xdr:blipFill>
      <xdr:spPr>
        <a:xfrm>
          <a:off x="3803650" y="19732625"/>
          <a:ext cx="1914525" cy="13239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38100</xdr:colOff>
      <xdr:row>42</xdr:row>
      <xdr:rowOff>50800</xdr:rowOff>
    </xdr:from>
    <xdr:to>
      <xdr:col>4</xdr:col>
      <xdr:colOff>2054225</xdr:colOff>
      <xdr:row>45</xdr:row>
      <xdr:rowOff>355600</xdr:rowOff>
    </xdr:to>
    <xdr:pic>
      <xdr:nvPicPr>
        <xdr:cNvPr id="2" name="Picture 1">
          <a:extLst>
            <a:ext uri="{FF2B5EF4-FFF2-40B4-BE49-F238E27FC236}">
              <a16:creationId xmlns:a16="http://schemas.microsoft.com/office/drawing/2014/main" id="{65A95FA4-CCED-4CAC-B23A-3DAD2FA2C8BC}"/>
            </a:ext>
          </a:extLst>
        </xdr:cNvPr>
        <xdr:cNvPicPr>
          <a:picLocks noChangeAspect="1"/>
        </xdr:cNvPicPr>
      </xdr:nvPicPr>
      <xdr:blipFill>
        <a:blip xmlns:r="http://schemas.openxmlformats.org/officeDocument/2006/relationships" r:embed="rId1"/>
        <a:stretch>
          <a:fillRect/>
        </a:stretch>
      </xdr:blipFill>
      <xdr:spPr>
        <a:xfrm>
          <a:off x="7670800" y="8731250"/>
          <a:ext cx="2016125" cy="1625600"/>
        </a:xfrm>
        <a:prstGeom prst="rect">
          <a:avLst/>
        </a:prstGeom>
      </xdr:spPr>
    </xdr:pic>
    <xdr:clientData/>
  </xdr:twoCellAnchor>
  <xdr:twoCellAnchor editAs="oneCell">
    <xdr:from>
      <xdr:col>2</xdr:col>
      <xdr:colOff>69850</xdr:colOff>
      <xdr:row>42</xdr:row>
      <xdr:rowOff>28575</xdr:rowOff>
    </xdr:from>
    <xdr:to>
      <xdr:col>2</xdr:col>
      <xdr:colOff>1901801</xdr:colOff>
      <xdr:row>45</xdr:row>
      <xdr:rowOff>304800</xdr:rowOff>
    </xdr:to>
    <xdr:pic>
      <xdr:nvPicPr>
        <xdr:cNvPr id="3" name="Picture 2">
          <a:extLst>
            <a:ext uri="{FF2B5EF4-FFF2-40B4-BE49-F238E27FC236}">
              <a16:creationId xmlns:a16="http://schemas.microsoft.com/office/drawing/2014/main" id="{C59DC16D-F8BE-4CA0-AD1A-20079BA0238E}"/>
            </a:ext>
          </a:extLst>
        </xdr:cNvPr>
        <xdr:cNvPicPr>
          <a:picLocks noChangeAspect="1"/>
        </xdr:cNvPicPr>
      </xdr:nvPicPr>
      <xdr:blipFill rotWithShape="1">
        <a:blip xmlns:r="http://schemas.openxmlformats.org/officeDocument/2006/relationships" r:embed="rId2"/>
        <a:srcRect l="10000" r="8947"/>
        <a:stretch/>
      </xdr:blipFill>
      <xdr:spPr>
        <a:xfrm>
          <a:off x="3848100" y="8709025"/>
          <a:ext cx="1831951" cy="1597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38100</xdr:colOff>
      <xdr:row>80</xdr:row>
      <xdr:rowOff>50801</xdr:rowOff>
    </xdr:from>
    <xdr:to>
      <xdr:col>4</xdr:col>
      <xdr:colOff>1920875</xdr:colOff>
      <xdr:row>83</xdr:row>
      <xdr:rowOff>260350</xdr:rowOff>
    </xdr:to>
    <xdr:pic>
      <xdr:nvPicPr>
        <xdr:cNvPr id="2" name="Picture 1">
          <a:extLst>
            <a:ext uri="{FF2B5EF4-FFF2-40B4-BE49-F238E27FC236}">
              <a16:creationId xmlns:a16="http://schemas.microsoft.com/office/drawing/2014/main" id="{6A2DBD49-479B-4A7B-A504-EFE9A54316DE}"/>
            </a:ext>
          </a:extLst>
        </xdr:cNvPr>
        <xdr:cNvPicPr>
          <a:picLocks noChangeAspect="1"/>
        </xdr:cNvPicPr>
      </xdr:nvPicPr>
      <xdr:blipFill>
        <a:blip xmlns:r="http://schemas.openxmlformats.org/officeDocument/2006/relationships" r:embed="rId1"/>
        <a:stretch>
          <a:fillRect/>
        </a:stretch>
      </xdr:blipFill>
      <xdr:spPr>
        <a:xfrm>
          <a:off x="7524750" y="16211551"/>
          <a:ext cx="1882775" cy="1593849"/>
        </a:xfrm>
        <a:prstGeom prst="rect">
          <a:avLst/>
        </a:prstGeom>
      </xdr:spPr>
    </xdr:pic>
    <xdr:clientData/>
  </xdr:twoCellAnchor>
  <xdr:twoCellAnchor editAs="oneCell">
    <xdr:from>
      <xdr:col>2</xdr:col>
      <xdr:colOff>57150</xdr:colOff>
      <xdr:row>80</xdr:row>
      <xdr:rowOff>31751</xdr:rowOff>
    </xdr:from>
    <xdr:to>
      <xdr:col>2</xdr:col>
      <xdr:colOff>1789439</xdr:colOff>
      <xdr:row>83</xdr:row>
      <xdr:rowOff>215900</xdr:rowOff>
    </xdr:to>
    <xdr:pic>
      <xdr:nvPicPr>
        <xdr:cNvPr id="3" name="Picture 2">
          <a:extLst>
            <a:ext uri="{FF2B5EF4-FFF2-40B4-BE49-F238E27FC236}">
              <a16:creationId xmlns:a16="http://schemas.microsoft.com/office/drawing/2014/main" id="{7D3C0129-61B3-4F0F-8278-D5F9DFEB656B}"/>
            </a:ext>
          </a:extLst>
        </xdr:cNvPr>
        <xdr:cNvPicPr>
          <a:picLocks noChangeAspect="1"/>
        </xdr:cNvPicPr>
      </xdr:nvPicPr>
      <xdr:blipFill rotWithShape="1">
        <a:blip xmlns:r="http://schemas.openxmlformats.org/officeDocument/2006/relationships" r:embed="rId2"/>
        <a:srcRect l="10000" r="8947"/>
        <a:stretch/>
      </xdr:blipFill>
      <xdr:spPr>
        <a:xfrm>
          <a:off x="3835400" y="16192501"/>
          <a:ext cx="1732289" cy="15684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44450</xdr:colOff>
      <xdr:row>56</xdr:row>
      <xdr:rowOff>50801</xdr:rowOff>
    </xdr:from>
    <xdr:to>
      <xdr:col>4</xdr:col>
      <xdr:colOff>1854200</xdr:colOff>
      <xdr:row>59</xdr:row>
      <xdr:rowOff>273050</xdr:rowOff>
    </xdr:to>
    <xdr:pic>
      <xdr:nvPicPr>
        <xdr:cNvPr id="2" name="Picture 1">
          <a:extLst>
            <a:ext uri="{FF2B5EF4-FFF2-40B4-BE49-F238E27FC236}">
              <a16:creationId xmlns:a16="http://schemas.microsoft.com/office/drawing/2014/main" id="{FE069FC9-9272-4E45-A3F0-E316E938952D}"/>
            </a:ext>
          </a:extLst>
        </xdr:cNvPr>
        <xdr:cNvPicPr>
          <a:picLocks noChangeAspect="1"/>
        </xdr:cNvPicPr>
      </xdr:nvPicPr>
      <xdr:blipFill>
        <a:blip xmlns:r="http://schemas.openxmlformats.org/officeDocument/2006/relationships" r:embed="rId1"/>
        <a:stretch>
          <a:fillRect/>
        </a:stretch>
      </xdr:blipFill>
      <xdr:spPr>
        <a:xfrm>
          <a:off x="7486650" y="11487151"/>
          <a:ext cx="1809750" cy="1606549"/>
        </a:xfrm>
        <a:prstGeom prst="rect">
          <a:avLst/>
        </a:prstGeom>
      </xdr:spPr>
    </xdr:pic>
    <xdr:clientData/>
  </xdr:twoCellAnchor>
  <xdr:twoCellAnchor editAs="oneCell">
    <xdr:from>
      <xdr:col>2</xdr:col>
      <xdr:colOff>57150</xdr:colOff>
      <xdr:row>56</xdr:row>
      <xdr:rowOff>31751</xdr:rowOff>
    </xdr:from>
    <xdr:to>
      <xdr:col>2</xdr:col>
      <xdr:colOff>1741814</xdr:colOff>
      <xdr:row>59</xdr:row>
      <xdr:rowOff>254000</xdr:rowOff>
    </xdr:to>
    <xdr:pic>
      <xdr:nvPicPr>
        <xdr:cNvPr id="3" name="Picture 2">
          <a:extLst>
            <a:ext uri="{FF2B5EF4-FFF2-40B4-BE49-F238E27FC236}">
              <a16:creationId xmlns:a16="http://schemas.microsoft.com/office/drawing/2014/main" id="{2D8D222B-A5EC-4AC3-BD5F-6BF80801E6A1}"/>
            </a:ext>
          </a:extLst>
        </xdr:cNvPr>
        <xdr:cNvPicPr>
          <a:picLocks noChangeAspect="1"/>
        </xdr:cNvPicPr>
      </xdr:nvPicPr>
      <xdr:blipFill rotWithShape="1">
        <a:blip xmlns:r="http://schemas.openxmlformats.org/officeDocument/2006/relationships" r:embed="rId2"/>
        <a:srcRect l="10000" r="8947"/>
        <a:stretch/>
      </xdr:blipFill>
      <xdr:spPr>
        <a:xfrm>
          <a:off x="3835400" y="11468101"/>
          <a:ext cx="1684664" cy="16065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57150</xdr:colOff>
      <xdr:row>41</xdr:row>
      <xdr:rowOff>50801</xdr:rowOff>
    </xdr:from>
    <xdr:to>
      <xdr:col>4</xdr:col>
      <xdr:colOff>1863725</xdr:colOff>
      <xdr:row>44</xdr:row>
      <xdr:rowOff>247650</xdr:rowOff>
    </xdr:to>
    <xdr:pic>
      <xdr:nvPicPr>
        <xdr:cNvPr id="2" name="Picture 1">
          <a:extLst>
            <a:ext uri="{FF2B5EF4-FFF2-40B4-BE49-F238E27FC236}">
              <a16:creationId xmlns:a16="http://schemas.microsoft.com/office/drawing/2014/main" id="{3B645E62-4F8E-413B-97B4-03651D0C8171}"/>
            </a:ext>
          </a:extLst>
        </xdr:cNvPr>
        <xdr:cNvPicPr>
          <a:picLocks noChangeAspect="1"/>
        </xdr:cNvPicPr>
      </xdr:nvPicPr>
      <xdr:blipFill>
        <a:blip xmlns:r="http://schemas.openxmlformats.org/officeDocument/2006/relationships" r:embed="rId1"/>
        <a:stretch>
          <a:fillRect/>
        </a:stretch>
      </xdr:blipFill>
      <xdr:spPr>
        <a:xfrm>
          <a:off x="7499350" y="8534401"/>
          <a:ext cx="1806575" cy="1581149"/>
        </a:xfrm>
        <a:prstGeom prst="rect">
          <a:avLst/>
        </a:prstGeom>
      </xdr:spPr>
    </xdr:pic>
    <xdr:clientData/>
  </xdr:twoCellAnchor>
  <xdr:twoCellAnchor editAs="oneCell">
    <xdr:from>
      <xdr:col>2</xdr:col>
      <xdr:colOff>57150</xdr:colOff>
      <xdr:row>41</xdr:row>
      <xdr:rowOff>31751</xdr:rowOff>
    </xdr:from>
    <xdr:to>
      <xdr:col>2</xdr:col>
      <xdr:colOff>1741814</xdr:colOff>
      <xdr:row>44</xdr:row>
      <xdr:rowOff>260350</xdr:rowOff>
    </xdr:to>
    <xdr:pic>
      <xdr:nvPicPr>
        <xdr:cNvPr id="3" name="Picture 2">
          <a:extLst>
            <a:ext uri="{FF2B5EF4-FFF2-40B4-BE49-F238E27FC236}">
              <a16:creationId xmlns:a16="http://schemas.microsoft.com/office/drawing/2014/main" id="{FFC97D7B-D901-4B22-B425-23802BFE9189}"/>
            </a:ext>
          </a:extLst>
        </xdr:cNvPr>
        <xdr:cNvPicPr>
          <a:picLocks noChangeAspect="1"/>
        </xdr:cNvPicPr>
      </xdr:nvPicPr>
      <xdr:blipFill rotWithShape="1">
        <a:blip xmlns:r="http://schemas.openxmlformats.org/officeDocument/2006/relationships" r:embed="rId2"/>
        <a:srcRect l="10000" r="8947"/>
        <a:stretch/>
      </xdr:blipFill>
      <xdr:spPr>
        <a:xfrm>
          <a:off x="3835400" y="8515351"/>
          <a:ext cx="1684664" cy="16128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25400</xdr:colOff>
      <xdr:row>75</xdr:row>
      <xdr:rowOff>50801</xdr:rowOff>
    </xdr:from>
    <xdr:to>
      <xdr:col>4</xdr:col>
      <xdr:colOff>1863725</xdr:colOff>
      <xdr:row>78</xdr:row>
      <xdr:rowOff>234950</xdr:rowOff>
    </xdr:to>
    <xdr:pic>
      <xdr:nvPicPr>
        <xdr:cNvPr id="2" name="Picture 1">
          <a:extLst>
            <a:ext uri="{FF2B5EF4-FFF2-40B4-BE49-F238E27FC236}">
              <a16:creationId xmlns:a16="http://schemas.microsoft.com/office/drawing/2014/main" id="{9C38C6E7-1AF2-4DB2-8839-8FF4410F16EF}"/>
            </a:ext>
          </a:extLst>
        </xdr:cNvPr>
        <xdr:cNvPicPr>
          <a:picLocks noChangeAspect="1"/>
        </xdr:cNvPicPr>
      </xdr:nvPicPr>
      <xdr:blipFill>
        <a:blip xmlns:r="http://schemas.openxmlformats.org/officeDocument/2006/relationships" r:embed="rId1"/>
        <a:stretch>
          <a:fillRect/>
        </a:stretch>
      </xdr:blipFill>
      <xdr:spPr>
        <a:xfrm>
          <a:off x="7486650" y="15227301"/>
          <a:ext cx="1838325" cy="1568449"/>
        </a:xfrm>
        <a:prstGeom prst="rect">
          <a:avLst/>
        </a:prstGeom>
      </xdr:spPr>
    </xdr:pic>
    <xdr:clientData/>
  </xdr:twoCellAnchor>
  <xdr:twoCellAnchor editAs="oneCell">
    <xdr:from>
      <xdr:col>2</xdr:col>
      <xdr:colOff>57150</xdr:colOff>
      <xdr:row>75</xdr:row>
      <xdr:rowOff>31751</xdr:rowOff>
    </xdr:from>
    <xdr:to>
      <xdr:col>2</xdr:col>
      <xdr:colOff>1760864</xdr:colOff>
      <xdr:row>78</xdr:row>
      <xdr:rowOff>260350</xdr:rowOff>
    </xdr:to>
    <xdr:pic>
      <xdr:nvPicPr>
        <xdr:cNvPr id="3" name="Picture 2">
          <a:extLst>
            <a:ext uri="{FF2B5EF4-FFF2-40B4-BE49-F238E27FC236}">
              <a16:creationId xmlns:a16="http://schemas.microsoft.com/office/drawing/2014/main" id="{29815707-18C5-4281-A9B8-5A09DFB946CA}"/>
            </a:ext>
          </a:extLst>
        </xdr:cNvPr>
        <xdr:cNvPicPr>
          <a:picLocks noChangeAspect="1"/>
        </xdr:cNvPicPr>
      </xdr:nvPicPr>
      <xdr:blipFill rotWithShape="1">
        <a:blip xmlns:r="http://schemas.openxmlformats.org/officeDocument/2006/relationships" r:embed="rId2"/>
        <a:srcRect l="10000" r="8947"/>
        <a:stretch/>
      </xdr:blipFill>
      <xdr:spPr>
        <a:xfrm>
          <a:off x="3835400" y="15208251"/>
          <a:ext cx="1703714" cy="16128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31750</xdr:colOff>
      <xdr:row>91</xdr:row>
      <xdr:rowOff>31750</xdr:rowOff>
    </xdr:from>
    <xdr:to>
      <xdr:col>2</xdr:col>
      <xdr:colOff>1879600</xdr:colOff>
      <xdr:row>94</xdr:row>
      <xdr:rowOff>247650</xdr:rowOff>
    </xdr:to>
    <xdr:pic>
      <xdr:nvPicPr>
        <xdr:cNvPr id="2" name="Picture 1">
          <a:extLst>
            <a:ext uri="{FF2B5EF4-FFF2-40B4-BE49-F238E27FC236}">
              <a16:creationId xmlns:a16="http://schemas.microsoft.com/office/drawing/2014/main" id="{EF932EC1-D321-46D2-BDCA-9786ED1FBF6A}"/>
            </a:ext>
          </a:extLst>
        </xdr:cNvPr>
        <xdr:cNvPicPr>
          <a:picLocks noChangeAspect="1"/>
        </xdr:cNvPicPr>
      </xdr:nvPicPr>
      <xdr:blipFill rotWithShape="1">
        <a:blip xmlns:r="http://schemas.openxmlformats.org/officeDocument/2006/relationships" r:embed="rId1"/>
        <a:srcRect l="9732" t="2084" r="9305" b="2765"/>
        <a:stretch/>
      </xdr:blipFill>
      <xdr:spPr>
        <a:xfrm>
          <a:off x="3327400" y="18357850"/>
          <a:ext cx="1847850" cy="1600200"/>
        </a:xfrm>
        <a:prstGeom prst="rect">
          <a:avLst/>
        </a:prstGeom>
      </xdr:spPr>
    </xdr:pic>
    <xdr:clientData/>
  </xdr:twoCellAnchor>
  <xdr:twoCellAnchor editAs="oneCell">
    <xdr:from>
      <xdr:col>4</xdr:col>
      <xdr:colOff>38100</xdr:colOff>
      <xdr:row>91</xdr:row>
      <xdr:rowOff>57150</xdr:rowOff>
    </xdr:from>
    <xdr:to>
      <xdr:col>4</xdr:col>
      <xdr:colOff>1638300</xdr:colOff>
      <xdr:row>94</xdr:row>
      <xdr:rowOff>273050</xdr:rowOff>
    </xdr:to>
    <xdr:pic>
      <xdr:nvPicPr>
        <xdr:cNvPr id="3" name="Picture 2">
          <a:extLst>
            <a:ext uri="{FF2B5EF4-FFF2-40B4-BE49-F238E27FC236}">
              <a16:creationId xmlns:a16="http://schemas.microsoft.com/office/drawing/2014/main" id="{F28BD033-E9C7-48EE-B9E2-098E7A847811}"/>
            </a:ext>
          </a:extLst>
        </xdr:cNvPr>
        <xdr:cNvPicPr>
          <a:picLocks noChangeAspect="1"/>
        </xdr:cNvPicPr>
      </xdr:nvPicPr>
      <xdr:blipFill>
        <a:blip xmlns:r="http://schemas.openxmlformats.org/officeDocument/2006/relationships" r:embed="rId2"/>
        <a:stretch>
          <a:fillRect/>
        </a:stretch>
      </xdr:blipFill>
      <xdr:spPr>
        <a:xfrm>
          <a:off x="7581900" y="18383250"/>
          <a:ext cx="1600200" cy="16002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25401</xdr:colOff>
      <xdr:row>89</xdr:row>
      <xdr:rowOff>47627</xdr:rowOff>
    </xdr:from>
    <xdr:to>
      <xdr:col>4</xdr:col>
      <xdr:colOff>1989407</xdr:colOff>
      <xdr:row>92</xdr:row>
      <xdr:rowOff>323850</xdr:rowOff>
    </xdr:to>
    <xdr:pic>
      <xdr:nvPicPr>
        <xdr:cNvPr id="2" name="Picture 1">
          <a:extLst>
            <a:ext uri="{FF2B5EF4-FFF2-40B4-BE49-F238E27FC236}">
              <a16:creationId xmlns:a16="http://schemas.microsoft.com/office/drawing/2014/main" id="{6A0E4241-EFE7-4956-8082-F6CA8DDB4300}"/>
            </a:ext>
          </a:extLst>
        </xdr:cNvPr>
        <xdr:cNvPicPr>
          <a:picLocks noChangeAspect="1"/>
        </xdr:cNvPicPr>
      </xdr:nvPicPr>
      <xdr:blipFill>
        <a:blip xmlns:r="http://schemas.openxmlformats.org/officeDocument/2006/relationships" r:embed="rId1"/>
        <a:stretch>
          <a:fillRect/>
        </a:stretch>
      </xdr:blipFill>
      <xdr:spPr>
        <a:xfrm>
          <a:off x="7620001" y="17980027"/>
          <a:ext cx="1964006" cy="1584323"/>
        </a:xfrm>
        <a:prstGeom prst="rect">
          <a:avLst/>
        </a:prstGeom>
      </xdr:spPr>
    </xdr:pic>
    <xdr:clientData/>
  </xdr:twoCellAnchor>
  <xdr:twoCellAnchor editAs="oneCell">
    <xdr:from>
      <xdr:col>2</xdr:col>
      <xdr:colOff>25400</xdr:colOff>
      <xdr:row>89</xdr:row>
      <xdr:rowOff>57150</xdr:rowOff>
    </xdr:from>
    <xdr:to>
      <xdr:col>2</xdr:col>
      <xdr:colOff>1882775</xdr:colOff>
      <xdr:row>92</xdr:row>
      <xdr:rowOff>317500</xdr:rowOff>
    </xdr:to>
    <xdr:pic>
      <xdr:nvPicPr>
        <xdr:cNvPr id="3" name="Picture 2">
          <a:extLst>
            <a:ext uri="{FF2B5EF4-FFF2-40B4-BE49-F238E27FC236}">
              <a16:creationId xmlns:a16="http://schemas.microsoft.com/office/drawing/2014/main" id="{71A5B13A-D1B2-4089-9C48-FED8DC9C0FB4}"/>
            </a:ext>
          </a:extLst>
        </xdr:cNvPr>
        <xdr:cNvPicPr>
          <a:picLocks noChangeAspect="1"/>
        </xdr:cNvPicPr>
      </xdr:nvPicPr>
      <xdr:blipFill rotWithShape="1">
        <a:blip xmlns:r="http://schemas.openxmlformats.org/officeDocument/2006/relationships" r:embed="rId2"/>
        <a:srcRect l="10000" r="8947"/>
        <a:stretch/>
      </xdr:blipFill>
      <xdr:spPr>
        <a:xfrm>
          <a:off x="3803650" y="17989550"/>
          <a:ext cx="1857375" cy="15684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44450</xdr:colOff>
      <xdr:row>81</xdr:row>
      <xdr:rowOff>50801</xdr:rowOff>
    </xdr:from>
    <xdr:to>
      <xdr:col>4</xdr:col>
      <xdr:colOff>1873250</xdr:colOff>
      <xdr:row>84</xdr:row>
      <xdr:rowOff>266700</xdr:rowOff>
    </xdr:to>
    <xdr:pic>
      <xdr:nvPicPr>
        <xdr:cNvPr id="2" name="Picture 1">
          <a:extLst>
            <a:ext uri="{FF2B5EF4-FFF2-40B4-BE49-F238E27FC236}">
              <a16:creationId xmlns:a16="http://schemas.microsoft.com/office/drawing/2014/main" id="{C5B707F2-D764-413D-918B-595561040506}"/>
            </a:ext>
          </a:extLst>
        </xdr:cNvPr>
        <xdr:cNvPicPr>
          <a:picLocks noChangeAspect="1"/>
        </xdr:cNvPicPr>
      </xdr:nvPicPr>
      <xdr:blipFill>
        <a:blip xmlns:r="http://schemas.openxmlformats.org/officeDocument/2006/relationships" r:embed="rId1"/>
        <a:stretch>
          <a:fillRect/>
        </a:stretch>
      </xdr:blipFill>
      <xdr:spPr>
        <a:xfrm>
          <a:off x="7467600" y="16408401"/>
          <a:ext cx="1828800" cy="1600199"/>
        </a:xfrm>
        <a:prstGeom prst="rect">
          <a:avLst/>
        </a:prstGeom>
      </xdr:spPr>
    </xdr:pic>
    <xdr:clientData/>
  </xdr:twoCellAnchor>
  <xdr:twoCellAnchor editAs="oneCell">
    <xdr:from>
      <xdr:col>2</xdr:col>
      <xdr:colOff>57150</xdr:colOff>
      <xdr:row>81</xdr:row>
      <xdr:rowOff>31751</xdr:rowOff>
    </xdr:from>
    <xdr:to>
      <xdr:col>2</xdr:col>
      <xdr:colOff>1741814</xdr:colOff>
      <xdr:row>84</xdr:row>
      <xdr:rowOff>203200</xdr:rowOff>
    </xdr:to>
    <xdr:pic>
      <xdr:nvPicPr>
        <xdr:cNvPr id="3" name="Picture 2">
          <a:extLst>
            <a:ext uri="{FF2B5EF4-FFF2-40B4-BE49-F238E27FC236}">
              <a16:creationId xmlns:a16="http://schemas.microsoft.com/office/drawing/2014/main" id="{D43C184E-CD39-4592-A934-757C21E4621D}"/>
            </a:ext>
          </a:extLst>
        </xdr:cNvPr>
        <xdr:cNvPicPr>
          <a:picLocks noChangeAspect="1"/>
        </xdr:cNvPicPr>
      </xdr:nvPicPr>
      <xdr:blipFill rotWithShape="1">
        <a:blip xmlns:r="http://schemas.openxmlformats.org/officeDocument/2006/relationships" r:embed="rId2"/>
        <a:srcRect l="10000" r="8947"/>
        <a:stretch/>
      </xdr:blipFill>
      <xdr:spPr>
        <a:xfrm>
          <a:off x="3835400" y="16389351"/>
          <a:ext cx="1684664" cy="155574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31750</xdr:colOff>
      <xdr:row>51</xdr:row>
      <xdr:rowOff>50801</xdr:rowOff>
    </xdr:from>
    <xdr:to>
      <xdr:col>4</xdr:col>
      <xdr:colOff>1873250</xdr:colOff>
      <xdr:row>54</xdr:row>
      <xdr:rowOff>247650</xdr:rowOff>
    </xdr:to>
    <xdr:pic>
      <xdr:nvPicPr>
        <xdr:cNvPr id="2" name="Picture 1">
          <a:extLst>
            <a:ext uri="{FF2B5EF4-FFF2-40B4-BE49-F238E27FC236}">
              <a16:creationId xmlns:a16="http://schemas.microsoft.com/office/drawing/2014/main" id="{6B20A152-B67F-4A9C-8F8E-D442DA1431D6}"/>
            </a:ext>
          </a:extLst>
        </xdr:cNvPr>
        <xdr:cNvPicPr>
          <a:picLocks noChangeAspect="1"/>
        </xdr:cNvPicPr>
      </xdr:nvPicPr>
      <xdr:blipFill>
        <a:blip xmlns:r="http://schemas.openxmlformats.org/officeDocument/2006/relationships" r:embed="rId1"/>
        <a:stretch>
          <a:fillRect/>
        </a:stretch>
      </xdr:blipFill>
      <xdr:spPr>
        <a:xfrm>
          <a:off x="7480300" y="10502901"/>
          <a:ext cx="1841500" cy="1581149"/>
        </a:xfrm>
        <a:prstGeom prst="rect">
          <a:avLst/>
        </a:prstGeom>
      </xdr:spPr>
    </xdr:pic>
    <xdr:clientData/>
  </xdr:twoCellAnchor>
  <xdr:twoCellAnchor editAs="oneCell">
    <xdr:from>
      <xdr:col>2</xdr:col>
      <xdr:colOff>57150</xdr:colOff>
      <xdr:row>51</xdr:row>
      <xdr:rowOff>31751</xdr:rowOff>
    </xdr:from>
    <xdr:to>
      <xdr:col>2</xdr:col>
      <xdr:colOff>1713239</xdr:colOff>
      <xdr:row>54</xdr:row>
      <xdr:rowOff>241300</xdr:rowOff>
    </xdr:to>
    <xdr:pic>
      <xdr:nvPicPr>
        <xdr:cNvPr id="3" name="Picture 2">
          <a:extLst>
            <a:ext uri="{FF2B5EF4-FFF2-40B4-BE49-F238E27FC236}">
              <a16:creationId xmlns:a16="http://schemas.microsoft.com/office/drawing/2014/main" id="{5111767C-B813-4A2F-88A9-12B84570FF8E}"/>
            </a:ext>
          </a:extLst>
        </xdr:cNvPr>
        <xdr:cNvPicPr>
          <a:picLocks noChangeAspect="1"/>
        </xdr:cNvPicPr>
      </xdr:nvPicPr>
      <xdr:blipFill rotWithShape="1">
        <a:blip xmlns:r="http://schemas.openxmlformats.org/officeDocument/2006/relationships" r:embed="rId2"/>
        <a:srcRect l="10000" r="8947"/>
        <a:stretch/>
      </xdr:blipFill>
      <xdr:spPr>
        <a:xfrm>
          <a:off x="3835400" y="10483851"/>
          <a:ext cx="1656089" cy="159384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57150</xdr:colOff>
      <xdr:row>22</xdr:row>
      <xdr:rowOff>38101</xdr:rowOff>
    </xdr:from>
    <xdr:to>
      <xdr:col>2</xdr:col>
      <xdr:colOff>1803400</xdr:colOff>
      <xdr:row>25</xdr:row>
      <xdr:rowOff>215900</xdr:rowOff>
    </xdr:to>
    <xdr:pic>
      <xdr:nvPicPr>
        <xdr:cNvPr id="2" name="Picture 1">
          <a:extLst>
            <a:ext uri="{FF2B5EF4-FFF2-40B4-BE49-F238E27FC236}">
              <a16:creationId xmlns:a16="http://schemas.microsoft.com/office/drawing/2014/main" id="{6CDEEA8E-7FF1-417C-B0E8-2EE4AD53DCB5}"/>
            </a:ext>
          </a:extLst>
        </xdr:cNvPr>
        <xdr:cNvPicPr>
          <a:picLocks noChangeAspect="1"/>
        </xdr:cNvPicPr>
      </xdr:nvPicPr>
      <xdr:blipFill rotWithShape="1">
        <a:blip xmlns:r="http://schemas.openxmlformats.org/officeDocument/2006/relationships" r:embed="rId1"/>
        <a:srcRect l="9939" t="2788" r="8892" b="2091"/>
        <a:stretch/>
      </xdr:blipFill>
      <xdr:spPr>
        <a:xfrm>
          <a:off x="3835400" y="4781551"/>
          <a:ext cx="1746250" cy="1562099"/>
        </a:xfrm>
        <a:prstGeom prst="rect">
          <a:avLst/>
        </a:prstGeom>
      </xdr:spPr>
    </xdr:pic>
    <xdr:clientData/>
  </xdr:twoCellAnchor>
  <xdr:twoCellAnchor editAs="oneCell">
    <xdr:from>
      <xdr:col>4</xdr:col>
      <xdr:colOff>38100</xdr:colOff>
      <xdr:row>22</xdr:row>
      <xdr:rowOff>19050</xdr:rowOff>
    </xdr:from>
    <xdr:to>
      <xdr:col>4</xdr:col>
      <xdr:colOff>1892300</xdr:colOff>
      <xdr:row>25</xdr:row>
      <xdr:rowOff>247650</xdr:rowOff>
    </xdr:to>
    <xdr:pic>
      <xdr:nvPicPr>
        <xdr:cNvPr id="3" name="Picture 2">
          <a:extLst>
            <a:ext uri="{FF2B5EF4-FFF2-40B4-BE49-F238E27FC236}">
              <a16:creationId xmlns:a16="http://schemas.microsoft.com/office/drawing/2014/main" id="{C5B9A241-A5E5-43E2-BE28-1820895A0F45}"/>
            </a:ext>
          </a:extLst>
        </xdr:cNvPr>
        <xdr:cNvPicPr>
          <a:picLocks noChangeAspect="1"/>
        </xdr:cNvPicPr>
      </xdr:nvPicPr>
      <xdr:blipFill>
        <a:blip xmlns:r="http://schemas.openxmlformats.org/officeDocument/2006/relationships" r:embed="rId2"/>
        <a:stretch>
          <a:fillRect/>
        </a:stretch>
      </xdr:blipFill>
      <xdr:spPr>
        <a:xfrm>
          <a:off x="7543800" y="4762500"/>
          <a:ext cx="1854200" cy="16129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123826</xdr:colOff>
      <xdr:row>23</xdr:row>
      <xdr:rowOff>94040</xdr:rowOff>
    </xdr:from>
    <xdr:to>
      <xdr:col>4</xdr:col>
      <xdr:colOff>1685926</xdr:colOff>
      <xdr:row>24</xdr:row>
      <xdr:rowOff>485775</xdr:rowOff>
    </xdr:to>
    <xdr:pic>
      <xdr:nvPicPr>
        <xdr:cNvPr id="2" name="Picture 1">
          <a:extLst>
            <a:ext uri="{FF2B5EF4-FFF2-40B4-BE49-F238E27FC236}">
              <a16:creationId xmlns:a16="http://schemas.microsoft.com/office/drawing/2014/main" id="{0CD1E9F0-8C76-4796-9FE6-3A873E7C19E6}"/>
            </a:ext>
          </a:extLst>
        </xdr:cNvPr>
        <xdr:cNvPicPr>
          <a:picLocks noChangeAspect="1"/>
        </xdr:cNvPicPr>
      </xdr:nvPicPr>
      <xdr:blipFill>
        <a:blip xmlns:r="http://schemas.openxmlformats.org/officeDocument/2006/relationships" r:embed="rId1"/>
        <a:stretch>
          <a:fillRect/>
        </a:stretch>
      </xdr:blipFill>
      <xdr:spPr>
        <a:xfrm>
          <a:off x="7258051" y="5275640"/>
          <a:ext cx="1562100" cy="896560"/>
        </a:xfrm>
        <a:prstGeom prst="rect">
          <a:avLst/>
        </a:prstGeom>
      </xdr:spPr>
    </xdr:pic>
    <xdr:clientData/>
  </xdr:twoCellAnchor>
  <xdr:twoCellAnchor editAs="oneCell">
    <xdr:from>
      <xdr:col>2</xdr:col>
      <xdr:colOff>47625</xdr:colOff>
      <xdr:row>22</xdr:row>
      <xdr:rowOff>323850</xdr:rowOff>
    </xdr:from>
    <xdr:to>
      <xdr:col>2</xdr:col>
      <xdr:colOff>1709127</xdr:colOff>
      <xdr:row>25</xdr:row>
      <xdr:rowOff>99842</xdr:rowOff>
    </xdr:to>
    <xdr:pic>
      <xdr:nvPicPr>
        <xdr:cNvPr id="3" name="Picture 2">
          <a:extLst>
            <a:ext uri="{FF2B5EF4-FFF2-40B4-BE49-F238E27FC236}">
              <a16:creationId xmlns:a16="http://schemas.microsoft.com/office/drawing/2014/main" id="{6227BEE3-4826-4826-A123-F11B14C74610}"/>
            </a:ext>
          </a:extLst>
        </xdr:cNvPr>
        <xdr:cNvPicPr>
          <a:picLocks noChangeAspect="1"/>
        </xdr:cNvPicPr>
      </xdr:nvPicPr>
      <xdr:blipFill rotWithShape="1">
        <a:blip xmlns:r="http://schemas.openxmlformats.org/officeDocument/2006/relationships" r:embed="rId2"/>
        <a:srcRect l="9939" t="2788" r="8892" b="2091"/>
        <a:stretch/>
      </xdr:blipFill>
      <xdr:spPr>
        <a:xfrm>
          <a:off x="3648075" y="5133975"/>
          <a:ext cx="1661502" cy="115711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44094</xdr:colOff>
      <xdr:row>75</xdr:row>
      <xdr:rowOff>25400</xdr:rowOff>
    </xdr:from>
    <xdr:to>
      <xdr:col>4</xdr:col>
      <xdr:colOff>2432050</xdr:colOff>
      <xdr:row>78</xdr:row>
      <xdr:rowOff>304800</xdr:rowOff>
    </xdr:to>
    <xdr:pic>
      <xdr:nvPicPr>
        <xdr:cNvPr id="2" name="Picture 1">
          <a:extLst>
            <a:ext uri="{FF2B5EF4-FFF2-40B4-BE49-F238E27FC236}">
              <a16:creationId xmlns:a16="http://schemas.microsoft.com/office/drawing/2014/main" id="{74B0450D-1D9F-4263-9F41-DA612B528EFA}"/>
            </a:ext>
          </a:extLst>
        </xdr:cNvPr>
        <xdr:cNvPicPr>
          <a:picLocks noChangeAspect="1"/>
        </xdr:cNvPicPr>
      </xdr:nvPicPr>
      <xdr:blipFill>
        <a:blip xmlns:r="http://schemas.openxmlformats.org/officeDocument/2006/relationships" r:embed="rId1"/>
        <a:stretch>
          <a:fillRect/>
        </a:stretch>
      </xdr:blipFill>
      <xdr:spPr>
        <a:xfrm>
          <a:off x="7486294" y="15201900"/>
          <a:ext cx="2387956" cy="1644650"/>
        </a:xfrm>
        <a:prstGeom prst="rect">
          <a:avLst/>
        </a:prstGeom>
      </xdr:spPr>
    </xdr:pic>
    <xdr:clientData/>
  </xdr:twoCellAnchor>
  <xdr:twoCellAnchor editAs="oneCell">
    <xdr:from>
      <xdr:col>2</xdr:col>
      <xdr:colOff>22225</xdr:colOff>
      <xdr:row>75</xdr:row>
      <xdr:rowOff>15875</xdr:rowOff>
    </xdr:from>
    <xdr:to>
      <xdr:col>2</xdr:col>
      <xdr:colOff>1758950</xdr:colOff>
      <xdr:row>78</xdr:row>
      <xdr:rowOff>285750</xdr:rowOff>
    </xdr:to>
    <xdr:pic>
      <xdr:nvPicPr>
        <xdr:cNvPr id="3" name="Picture 2">
          <a:extLst>
            <a:ext uri="{FF2B5EF4-FFF2-40B4-BE49-F238E27FC236}">
              <a16:creationId xmlns:a16="http://schemas.microsoft.com/office/drawing/2014/main" id="{3B9B90D7-B780-45AD-BE7C-D8D5A52CDDBC}"/>
            </a:ext>
          </a:extLst>
        </xdr:cNvPr>
        <xdr:cNvPicPr>
          <a:picLocks noChangeAspect="1"/>
        </xdr:cNvPicPr>
      </xdr:nvPicPr>
      <xdr:blipFill rotWithShape="1">
        <a:blip xmlns:r="http://schemas.openxmlformats.org/officeDocument/2006/relationships" r:embed="rId2"/>
        <a:srcRect l="10000" r="8947"/>
        <a:stretch/>
      </xdr:blipFill>
      <xdr:spPr>
        <a:xfrm>
          <a:off x="3800475" y="15192375"/>
          <a:ext cx="1736725" cy="16351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47625</xdr:colOff>
      <xdr:row>65</xdr:row>
      <xdr:rowOff>31751</xdr:rowOff>
    </xdr:from>
    <xdr:to>
      <xdr:col>4</xdr:col>
      <xdr:colOff>2082800</xdr:colOff>
      <xdr:row>68</xdr:row>
      <xdr:rowOff>336550</xdr:rowOff>
    </xdr:to>
    <xdr:pic>
      <xdr:nvPicPr>
        <xdr:cNvPr id="2" name="Picture 1">
          <a:extLst>
            <a:ext uri="{FF2B5EF4-FFF2-40B4-BE49-F238E27FC236}">
              <a16:creationId xmlns:a16="http://schemas.microsoft.com/office/drawing/2014/main" id="{81E63E96-BBE3-4737-A558-7DA502ECAA97}"/>
            </a:ext>
          </a:extLst>
        </xdr:cNvPr>
        <xdr:cNvPicPr>
          <a:picLocks noChangeAspect="1"/>
        </xdr:cNvPicPr>
      </xdr:nvPicPr>
      <xdr:blipFill>
        <a:blip xmlns:r="http://schemas.openxmlformats.org/officeDocument/2006/relationships" r:embed="rId1"/>
        <a:stretch>
          <a:fillRect/>
        </a:stretch>
      </xdr:blipFill>
      <xdr:spPr>
        <a:xfrm>
          <a:off x="7559675" y="13239751"/>
          <a:ext cx="2035175" cy="1517649"/>
        </a:xfrm>
        <a:prstGeom prst="rect">
          <a:avLst/>
        </a:prstGeom>
      </xdr:spPr>
    </xdr:pic>
    <xdr:clientData/>
  </xdr:twoCellAnchor>
  <xdr:twoCellAnchor editAs="oneCell">
    <xdr:from>
      <xdr:col>2</xdr:col>
      <xdr:colOff>50800</xdr:colOff>
      <xdr:row>65</xdr:row>
      <xdr:rowOff>44451</xdr:rowOff>
    </xdr:from>
    <xdr:to>
      <xdr:col>2</xdr:col>
      <xdr:colOff>1807046</xdr:colOff>
      <xdr:row>68</xdr:row>
      <xdr:rowOff>336550</xdr:rowOff>
    </xdr:to>
    <xdr:pic>
      <xdr:nvPicPr>
        <xdr:cNvPr id="3" name="Picture 2">
          <a:extLst>
            <a:ext uri="{FF2B5EF4-FFF2-40B4-BE49-F238E27FC236}">
              <a16:creationId xmlns:a16="http://schemas.microsoft.com/office/drawing/2014/main" id="{6CA9BAA1-C5E6-4BA8-9ABB-2CAF717E361A}"/>
            </a:ext>
          </a:extLst>
        </xdr:cNvPr>
        <xdr:cNvPicPr>
          <a:picLocks noChangeAspect="1"/>
        </xdr:cNvPicPr>
      </xdr:nvPicPr>
      <xdr:blipFill rotWithShape="1">
        <a:blip xmlns:r="http://schemas.openxmlformats.org/officeDocument/2006/relationships" r:embed="rId2"/>
        <a:srcRect l="10000" r="8947"/>
        <a:stretch/>
      </xdr:blipFill>
      <xdr:spPr>
        <a:xfrm>
          <a:off x="3829050" y="13252451"/>
          <a:ext cx="1756246" cy="150494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50800</xdr:colOff>
      <xdr:row>72</xdr:row>
      <xdr:rowOff>9525</xdr:rowOff>
    </xdr:from>
    <xdr:to>
      <xdr:col>4</xdr:col>
      <xdr:colOff>2111375</xdr:colOff>
      <xdr:row>75</xdr:row>
      <xdr:rowOff>260350</xdr:rowOff>
    </xdr:to>
    <xdr:pic>
      <xdr:nvPicPr>
        <xdr:cNvPr id="2" name="Picture 1">
          <a:extLst>
            <a:ext uri="{FF2B5EF4-FFF2-40B4-BE49-F238E27FC236}">
              <a16:creationId xmlns:a16="http://schemas.microsoft.com/office/drawing/2014/main" id="{9A70F3D5-3DC5-4352-B207-76C3EF3AF9F7}"/>
            </a:ext>
          </a:extLst>
        </xdr:cNvPr>
        <xdr:cNvPicPr>
          <a:picLocks noChangeAspect="1"/>
        </xdr:cNvPicPr>
      </xdr:nvPicPr>
      <xdr:blipFill>
        <a:blip xmlns:r="http://schemas.openxmlformats.org/officeDocument/2006/relationships" r:embed="rId1"/>
        <a:stretch>
          <a:fillRect/>
        </a:stretch>
      </xdr:blipFill>
      <xdr:spPr>
        <a:xfrm>
          <a:off x="7664450" y="14595475"/>
          <a:ext cx="2060575" cy="1508125"/>
        </a:xfrm>
        <a:prstGeom prst="rect">
          <a:avLst/>
        </a:prstGeom>
      </xdr:spPr>
    </xdr:pic>
    <xdr:clientData/>
  </xdr:twoCellAnchor>
  <xdr:twoCellAnchor editAs="oneCell">
    <xdr:from>
      <xdr:col>2</xdr:col>
      <xdr:colOff>85725</xdr:colOff>
      <xdr:row>72</xdr:row>
      <xdr:rowOff>34925</xdr:rowOff>
    </xdr:from>
    <xdr:to>
      <xdr:col>2</xdr:col>
      <xdr:colOff>1856856</xdr:colOff>
      <xdr:row>75</xdr:row>
      <xdr:rowOff>260350</xdr:rowOff>
    </xdr:to>
    <xdr:pic>
      <xdr:nvPicPr>
        <xdr:cNvPr id="3" name="Picture 2">
          <a:extLst>
            <a:ext uri="{FF2B5EF4-FFF2-40B4-BE49-F238E27FC236}">
              <a16:creationId xmlns:a16="http://schemas.microsoft.com/office/drawing/2014/main" id="{8AF10C82-CC3C-475D-801A-D5A559942F81}"/>
            </a:ext>
          </a:extLst>
        </xdr:cNvPr>
        <xdr:cNvPicPr>
          <a:picLocks noChangeAspect="1"/>
        </xdr:cNvPicPr>
      </xdr:nvPicPr>
      <xdr:blipFill rotWithShape="1">
        <a:blip xmlns:r="http://schemas.openxmlformats.org/officeDocument/2006/relationships" r:embed="rId2"/>
        <a:srcRect l="10000" r="8947"/>
        <a:stretch/>
      </xdr:blipFill>
      <xdr:spPr>
        <a:xfrm>
          <a:off x="3863975" y="14620875"/>
          <a:ext cx="1771131" cy="14827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66676</xdr:colOff>
      <xdr:row>52</xdr:row>
      <xdr:rowOff>28575</xdr:rowOff>
    </xdr:from>
    <xdr:to>
      <xdr:col>4</xdr:col>
      <xdr:colOff>1854200</xdr:colOff>
      <xdr:row>55</xdr:row>
      <xdr:rowOff>298450</xdr:rowOff>
    </xdr:to>
    <xdr:pic>
      <xdr:nvPicPr>
        <xdr:cNvPr id="2" name="Picture 1">
          <a:extLst>
            <a:ext uri="{FF2B5EF4-FFF2-40B4-BE49-F238E27FC236}">
              <a16:creationId xmlns:a16="http://schemas.microsoft.com/office/drawing/2014/main" id="{BC5AD841-21B0-4DCF-A24E-CA150897D00E}"/>
            </a:ext>
          </a:extLst>
        </xdr:cNvPr>
        <xdr:cNvPicPr>
          <a:picLocks noChangeAspect="1"/>
        </xdr:cNvPicPr>
      </xdr:nvPicPr>
      <xdr:blipFill>
        <a:blip xmlns:r="http://schemas.openxmlformats.org/officeDocument/2006/relationships" r:embed="rId1"/>
        <a:stretch>
          <a:fillRect/>
        </a:stretch>
      </xdr:blipFill>
      <xdr:spPr>
        <a:xfrm>
          <a:off x="7515226" y="10677525"/>
          <a:ext cx="1787524" cy="1393825"/>
        </a:xfrm>
        <a:prstGeom prst="rect">
          <a:avLst/>
        </a:prstGeom>
      </xdr:spPr>
    </xdr:pic>
    <xdr:clientData/>
  </xdr:twoCellAnchor>
  <xdr:twoCellAnchor editAs="oneCell">
    <xdr:from>
      <xdr:col>2</xdr:col>
      <xdr:colOff>66675</xdr:colOff>
      <xdr:row>52</xdr:row>
      <xdr:rowOff>19051</xdr:rowOff>
    </xdr:from>
    <xdr:to>
      <xdr:col>2</xdr:col>
      <xdr:colOff>1708150</xdr:colOff>
      <xdr:row>55</xdr:row>
      <xdr:rowOff>304800</xdr:rowOff>
    </xdr:to>
    <xdr:pic>
      <xdr:nvPicPr>
        <xdr:cNvPr id="3" name="Picture 2">
          <a:extLst>
            <a:ext uri="{FF2B5EF4-FFF2-40B4-BE49-F238E27FC236}">
              <a16:creationId xmlns:a16="http://schemas.microsoft.com/office/drawing/2014/main" id="{7BEA592C-A9C2-4B6E-AEF3-2092F3BCA59A}"/>
            </a:ext>
          </a:extLst>
        </xdr:cNvPr>
        <xdr:cNvPicPr>
          <a:picLocks noChangeAspect="1"/>
        </xdr:cNvPicPr>
      </xdr:nvPicPr>
      <xdr:blipFill rotWithShape="1">
        <a:blip xmlns:r="http://schemas.openxmlformats.org/officeDocument/2006/relationships" r:embed="rId2"/>
        <a:srcRect l="10000" r="8947"/>
        <a:stretch/>
      </xdr:blipFill>
      <xdr:spPr>
        <a:xfrm>
          <a:off x="3844925" y="10668001"/>
          <a:ext cx="1641475" cy="140969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82550</xdr:colOff>
      <xdr:row>59</xdr:row>
      <xdr:rowOff>50801</xdr:rowOff>
    </xdr:from>
    <xdr:to>
      <xdr:col>4</xdr:col>
      <xdr:colOff>1873250</xdr:colOff>
      <xdr:row>62</xdr:row>
      <xdr:rowOff>254000</xdr:rowOff>
    </xdr:to>
    <xdr:pic>
      <xdr:nvPicPr>
        <xdr:cNvPr id="2" name="Picture 1">
          <a:extLst>
            <a:ext uri="{FF2B5EF4-FFF2-40B4-BE49-F238E27FC236}">
              <a16:creationId xmlns:a16="http://schemas.microsoft.com/office/drawing/2014/main" id="{BDD5A137-7020-45C3-AE15-8A4EAD8965B2}"/>
            </a:ext>
          </a:extLst>
        </xdr:cNvPr>
        <xdr:cNvPicPr>
          <a:picLocks noChangeAspect="1"/>
        </xdr:cNvPicPr>
      </xdr:nvPicPr>
      <xdr:blipFill>
        <a:blip xmlns:r="http://schemas.openxmlformats.org/officeDocument/2006/relationships" r:embed="rId1"/>
        <a:stretch>
          <a:fillRect/>
        </a:stretch>
      </xdr:blipFill>
      <xdr:spPr>
        <a:xfrm>
          <a:off x="7518400" y="12077701"/>
          <a:ext cx="1790700" cy="1587499"/>
        </a:xfrm>
        <a:prstGeom prst="rect">
          <a:avLst/>
        </a:prstGeom>
      </xdr:spPr>
    </xdr:pic>
    <xdr:clientData/>
  </xdr:twoCellAnchor>
  <xdr:twoCellAnchor editAs="oneCell">
    <xdr:from>
      <xdr:col>2</xdr:col>
      <xdr:colOff>57150</xdr:colOff>
      <xdr:row>59</xdr:row>
      <xdr:rowOff>31751</xdr:rowOff>
    </xdr:from>
    <xdr:to>
      <xdr:col>2</xdr:col>
      <xdr:colOff>1722764</xdr:colOff>
      <xdr:row>62</xdr:row>
      <xdr:rowOff>247650</xdr:rowOff>
    </xdr:to>
    <xdr:pic>
      <xdr:nvPicPr>
        <xdr:cNvPr id="3" name="Picture 2">
          <a:extLst>
            <a:ext uri="{FF2B5EF4-FFF2-40B4-BE49-F238E27FC236}">
              <a16:creationId xmlns:a16="http://schemas.microsoft.com/office/drawing/2014/main" id="{60587B65-0D2C-46CE-8F2D-65236F8030EA}"/>
            </a:ext>
          </a:extLst>
        </xdr:cNvPr>
        <xdr:cNvPicPr>
          <a:picLocks noChangeAspect="1"/>
        </xdr:cNvPicPr>
      </xdr:nvPicPr>
      <xdr:blipFill rotWithShape="1">
        <a:blip xmlns:r="http://schemas.openxmlformats.org/officeDocument/2006/relationships" r:embed="rId2"/>
        <a:srcRect l="10000" r="8947"/>
        <a:stretch/>
      </xdr:blipFill>
      <xdr:spPr>
        <a:xfrm>
          <a:off x="3835400" y="12058651"/>
          <a:ext cx="1665614" cy="160019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81546</xdr:colOff>
      <xdr:row>88</xdr:row>
      <xdr:rowOff>28575</xdr:rowOff>
    </xdr:from>
    <xdr:to>
      <xdr:col>4</xdr:col>
      <xdr:colOff>1883255</xdr:colOff>
      <xdr:row>91</xdr:row>
      <xdr:rowOff>203200</xdr:rowOff>
    </xdr:to>
    <xdr:pic>
      <xdr:nvPicPr>
        <xdr:cNvPr id="2" name="Picture 1">
          <a:extLst>
            <a:ext uri="{FF2B5EF4-FFF2-40B4-BE49-F238E27FC236}">
              <a16:creationId xmlns:a16="http://schemas.microsoft.com/office/drawing/2014/main" id="{274675B6-589A-4D23-89E3-9B67AEF8ADE4}"/>
            </a:ext>
          </a:extLst>
        </xdr:cNvPr>
        <xdr:cNvPicPr>
          <a:picLocks noChangeAspect="1"/>
        </xdr:cNvPicPr>
      </xdr:nvPicPr>
      <xdr:blipFill>
        <a:blip xmlns:r="http://schemas.openxmlformats.org/officeDocument/2006/relationships" r:embed="rId1"/>
        <a:stretch>
          <a:fillRect/>
        </a:stretch>
      </xdr:blipFill>
      <xdr:spPr>
        <a:xfrm>
          <a:off x="7695196" y="17764125"/>
          <a:ext cx="1801709" cy="1431925"/>
        </a:xfrm>
        <a:prstGeom prst="rect">
          <a:avLst/>
        </a:prstGeom>
      </xdr:spPr>
    </xdr:pic>
    <xdr:clientData/>
  </xdr:twoCellAnchor>
  <xdr:twoCellAnchor editAs="oneCell">
    <xdr:from>
      <xdr:col>2</xdr:col>
      <xdr:colOff>98425</xdr:colOff>
      <xdr:row>88</xdr:row>
      <xdr:rowOff>38101</xdr:rowOff>
    </xdr:from>
    <xdr:to>
      <xdr:col>2</xdr:col>
      <xdr:colOff>1906171</xdr:colOff>
      <xdr:row>91</xdr:row>
      <xdr:rowOff>215900</xdr:rowOff>
    </xdr:to>
    <xdr:pic>
      <xdr:nvPicPr>
        <xdr:cNvPr id="3" name="Picture 2">
          <a:extLst>
            <a:ext uri="{FF2B5EF4-FFF2-40B4-BE49-F238E27FC236}">
              <a16:creationId xmlns:a16="http://schemas.microsoft.com/office/drawing/2014/main" id="{C9363A65-B980-45C2-AA0C-E9A3FCE0A641}"/>
            </a:ext>
          </a:extLst>
        </xdr:cNvPr>
        <xdr:cNvPicPr>
          <a:picLocks noChangeAspect="1"/>
        </xdr:cNvPicPr>
      </xdr:nvPicPr>
      <xdr:blipFill rotWithShape="1">
        <a:blip xmlns:r="http://schemas.openxmlformats.org/officeDocument/2006/relationships" r:embed="rId2"/>
        <a:srcRect l="10000" r="8947"/>
        <a:stretch/>
      </xdr:blipFill>
      <xdr:spPr>
        <a:xfrm>
          <a:off x="3876675" y="17773651"/>
          <a:ext cx="1807746" cy="143509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62496</xdr:colOff>
      <xdr:row>94</xdr:row>
      <xdr:rowOff>28575</xdr:rowOff>
    </xdr:from>
    <xdr:to>
      <xdr:col>4</xdr:col>
      <xdr:colOff>1949450</xdr:colOff>
      <xdr:row>97</xdr:row>
      <xdr:rowOff>234950</xdr:rowOff>
    </xdr:to>
    <xdr:pic>
      <xdr:nvPicPr>
        <xdr:cNvPr id="2" name="Picture 1">
          <a:extLst>
            <a:ext uri="{FF2B5EF4-FFF2-40B4-BE49-F238E27FC236}">
              <a16:creationId xmlns:a16="http://schemas.microsoft.com/office/drawing/2014/main" id="{FB5C9524-9BB6-41BD-AEA5-2AACE098F09B}"/>
            </a:ext>
          </a:extLst>
        </xdr:cNvPr>
        <xdr:cNvPicPr>
          <a:picLocks noChangeAspect="1"/>
        </xdr:cNvPicPr>
      </xdr:nvPicPr>
      <xdr:blipFill>
        <a:blip xmlns:r="http://schemas.openxmlformats.org/officeDocument/2006/relationships" r:embed="rId1"/>
        <a:stretch>
          <a:fillRect/>
        </a:stretch>
      </xdr:blipFill>
      <xdr:spPr>
        <a:xfrm>
          <a:off x="7479296" y="18945225"/>
          <a:ext cx="1886954" cy="1463675"/>
        </a:xfrm>
        <a:prstGeom prst="rect">
          <a:avLst/>
        </a:prstGeom>
      </xdr:spPr>
    </xdr:pic>
    <xdr:clientData/>
  </xdr:twoCellAnchor>
  <xdr:twoCellAnchor editAs="oneCell">
    <xdr:from>
      <xdr:col>2</xdr:col>
      <xdr:colOff>47625</xdr:colOff>
      <xdr:row>94</xdr:row>
      <xdr:rowOff>38101</xdr:rowOff>
    </xdr:from>
    <xdr:to>
      <xdr:col>2</xdr:col>
      <xdr:colOff>1722021</xdr:colOff>
      <xdr:row>97</xdr:row>
      <xdr:rowOff>209550</xdr:rowOff>
    </xdr:to>
    <xdr:pic>
      <xdr:nvPicPr>
        <xdr:cNvPr id="3" name="Picture 2">
          <a:extLst>
            <a:ext uri="{FF2B5EF4-FFF2-40B4-BE49-F238E27FC236}">
              <a16:creationId xmlns:a16="http://schemas.microsoft.com/office/drawing/2014/main" id="{5527F8B2-5754-447D-AE40-AF18F2FBEC48}"/>
            </a:ext>
          </a:extLst>
        </xdr:cNvPr>
        <xdr:cNvPicPr>
          <a:picLocks noChangeAspect="1"/>
        </xdr:cNvPicPr>
      </xdr:nvPicPr>
      <xdr:blipFill rotWithShape="1">
        <a:blip xmlns:r="http://schemas.openxmlformats.org/officeDocument/2006/relationships" r:embed="rId2"/>
        <a:srcRect l="10000" r="8947"/>
        <a:stretch/>
      </xdr:blipFill>
      <xdr:spPr>
        <a:xfrm>
          <a:off x="3825875" y="18954751"/>
          <a:ext cx="1674396" cy="142874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82550</xdr:colOff>
      <xdr:row>72</xdr:row>
      <xdr:rowOff>50801</xdr:rowOff>
    </xdr:from>
    <xdr:to>
      <xdr:col>4</xdr:col>
      <xdr:colOff>1854200</xdr:colOff>
      <xdr:row>75</xdr:row>
      <xdr:rowOff>266700</xdr:rowOff>
    </xdr:to>
    <xdr:pic>
      <xdr:nvPicPr>
        <xdr:cNvPr id="2" name="Picture 1">
          <a:extLst>
            <a:ext uri="{FF2B5EF4-FFF2-40B4-BE49-F238E27FC236}">
              <a16:creationId xmlns:a16="http://schemas.microsoft.com/office/drawing/2014/main" id="{D6B2F45F-E96D-4FDB-962B-CE19C94BB2D4}"/>
            </a:ext>
          </a:extLst>
        </xdr:cNvPr>
        <xdr:cNvPicPr>
          <a:picLocks noChangeAspect="1"/>
        </xdr:cNvPicPr>
      </xdr:nvPicPr>
      <xdr:blipFill>
        <a:blip xmlns:r="http://schemas.openxmlformats.org/officeDocument/2006/relationships" r:embed="rId1"/>
        <a:stretch>
          <a:fillRect/>
        </a:stretch>
      </xdr:blipFill>
      <xdr:spPr>
        <a:xfrm>
          <a:off x="7518400" y="14636751"/>
          <a:ext cx="1771650" cy="1663699"/>
        </a:xfrm>
        <a:prstGeom prst="rect">
          <a:avLst/>
        </a:prstGeom>
      </xdr:spPr>
    </xdr:pic>
    <xdr:clientData/>
  </xdr:twoCellAnchor>
  <xdr:twoCellAnchor editAs="oneCell">
    <xdr:from>
      <xdr:col>2</xdr:col>
      <xdr:colOff>57150</xdr:colOff>
      <xdr:row>72</xdr:row>
      <xdr:rowOff>31751</xdr:rowOff>
    </xdr:from>
    <xdr:to>
      <xdr:col>2</xdr:col>
      <xdr:colOff>1741814</xdr:colOff>
      <xdr:row>75</xdr:row>
      <xdr:rowOff>273050</xdr:rowOff>
    </xdr:to>
    <xdr:pic>
      <xdr:nvPicPr>
        <xdr:cNvPr id="3" name="Picture 2">
          <a:extLst>
            <a:ext uri="{FF2B5EF4-FFF2-40B4-BE49-F238E27FC236}">
              <a16:creationId xmlns:a16="http://schemas.microsoft.com/office/drawing/2014/main" id="{1A0DE77E-F855-4F52-A36D-AECBDDEC7E6E}"/>
            </a:ext>
          </a:extLst>
        </xdr:cNvPr>
        <xdr:cNvPicPr>
          <a:picLocks noChangeAspect="1"/>
        </xdr:cNvPicPr>
      </xdr:nvPicPr>
      <xdr:blipFill rotWithShape="1">
        <a:blip xmlns:r="http://schemas.openxmlformats.org/officeDocument/2006/relationships" r:embed="rId2"/>
        <a:srcRect l="10000" r="8947"/>
        <a:stretch/>
      </xdr:blipFill>
      <xdr:spPr>
        <a:xfrm>
          <a:off x="3835400" y="14617701"/>
          <a:ext cx="1684664" cy="168909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38100</xdr:colOff>
      <xdr:row>123</xdr:row>
      <xdr:rowOff>50801</xdr:rowOff>
    </xdr:from>
    <xdr:to>
      <xdr:col>4</xdr:col>
      <xdr:colOff>1806575</xdr:colOff>
      <xdr:row>126</xdr:row>
      <xdr:rowOff>317500</xdr:rowOff>
    </xdr:to>
    <xdr:pic>
      <xdr:nvPicPr>
        <xdr:cNvPr id="2" name="Picture 1">
          <a:extLst>
            <a:ext uri="{FF2B5EF4-FFF2-40B4-BE49-F238E27FC236}">
              <a16:creationId xmlns:a16="http://schemas.microsoft.com/office/drawing/2014/main" id="{665984FC-07BC-4C31-BE95-F9DDB0564338}"/>
            </a:ext>
          </a:extLst>
        </xdr:cNvPr>
        <xdr:cNvPicPr>
          <a:picLocks noChangeAspect="1"/>
        </xdr:cNvPicPr>
      </xdr:nvPicPr>
      <xdr:blipFill>
        <a:blip xmlns:r="http://schemas.openxmlformats.org/officeDocument/2006/relationships" r:embed="rId1"/>
        <a:stretch>
          <a:fillRect/>
        </a:stretch>
      </xdr:blipFill>
      <xdr:spPr>
        <a:xfrm>
          <a:off x="7524750" y="24676101"/>
          <a:ext cx="1768475" cy="1555749"/>
        </a:xfrm>
        <a:prstGeom prst="rect">
          <a:avLst/>
        </a:prstGeom>
      </xdr:spPr>
    </xdr:pic>
    <xdr:clientData/>
  </xdr:twoCellAnchor>
  <xdr:twoCellAnchor editAs="oneCell">
    <xdr:from>
      <xdr:col>2</xdr:col>
      <xdr:colOff>44450</xdr:colOff>
      <xdr:row>123</xdr:row>
      <xdr:rowOff>15875</xdr:rowOff>
    </xdr:from>
    <xdr:to>
      <xdr:col>2</xdr:col>
      <xdr:colOff>1755775</xdr:colOff>
      <xdr:row>126</xdr:row>
      <xdr:rowOff>330200</xdr:rowOff>
    </xdr:to>
    <xdr:pic>
      <xdr:nvPicPr>
        <xdr:cNvPr id="3" name="Picture 2">
          <a:extLst>
            <a:ext uri="{FF2B5EF4-FFF2-40B4-BE49-F238E27FC236}">
              <a16:creationId xmlns:a16="http://schemas.microsoft.com/office/drawing/2014/main" id="{F5E5E384-9920-4893-A1A0-CD8FBB0BCBC2}"/>
            </a:ext>
          </a:extLst>
        </xdr:cNvPr>
        <xdr:cNvPicPr>
          <a:picLocks noChangeAspect="1"/>
        </xdr:cNvPicPr>
      </xdr:nvPicPr>
      <xdr:blipFill rotWithShape="1">
        <a:blip xmlns:r="http://schemas.openxmlformats.org/officeDocument/2006/relationships" r:embed="rId2"/>
        <a:srcRect l="10000" r="8947"/>
        <a:stretch/>
      </xdr:blipFill>
      <xdr:spPr>
        <a:xfrm>
          <a:off x="3822700" y="24641175"/>
          <a:ext cx="1711325" cy="16033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78012</xdr:colOff>
      <xdr:row>78</xdr:row>
      <xdr:rowOff>50801</xdr:rowOff>
    </xdr:from>
    <xdr:to>
      <xdr:col>4</xdr:col>
      <xdr:colOff>1958974</xdr:colOff>
      <xdr:row>81</xdr:row>
      <xdr:rowOff>355600</xdr:rowOff>
    </xdr:to>
    <xdr:pic>
      <xdr:nvPicPr>
        <xdr:cNvPr id="2" name="Picture 1">
          <a:extLst>
            <a:ext uri="{FF2B5EF4-FFF2-40B4-BE49-F238E27FC236}">
              <a16:creationId xmlns:a16="http://schemas.microsoft.com/office/drawing/2014/main" id="{2BF8D1ED-375B-49B6-8C24-ED52BAC4F757}"/>
            </a:ext>
          </a:extLst>
        </xdr:cNvPr>
        <xdr:cNvPicPr>
          <a:picLocks noChangeAspect="1"/>
        </xdr:cNvPicPr>
      </xdr:nvPicPr>
      <xdr:blipFill>
        <a:blip xmlns:r="http://schemas.openxmlformats.org/officeDocument/2006/relationships" r:embed="rId1"/>
        <a:stretch>
          <a:fillRect/>
        </a:stretch>
      </xdr:blipFill>
      <xdr:spPr>
        <a:xfrm>
          <a:off x="7431312" y="15817851"/>
          <a:ext cx="1880962" cy="1435099"/>
        </a:xfrm>
        <a:prstGeom prst="rect">
          <a:avLst/>
        </a:prstGeom>
      </xdr:spPr>
    </xdr:pic>
    <xdr:clientData/>
  </xdr:twoCellAnchor>
  <xdr:twoCellAnchor editAs="oneCell">
    <xdr:from>
      <xdr:col>2</xdr:col>
      <xdr:colOff>22225</xdr:colOff>
      <xdr:row>78</xdr:row>
      <xdr:rowOff>31751</xdr:rowOff>
    </xdr:from>
    <xdr:to>
      <xdr:col>2</xdr:col>
      <xdr:colOff>1673226</xdr:colOff>
      <xdr:row>81</xdr:row>
      <xdr:rowOff>323850</xdr:rowOff>
    </xdr:to>
    <xdr:pic>
      <xdr:nvPicPr>
        <xdr:cNvPr id="3" name="Picture 2">
          <a:extLst>
            <a:ext uri="{FF2B5EF4-FFF2-40B4-BE49-F238E27FC236}">
              <a16:creationId xmlns:a16="http://schemas.microsoft.com/office/drawing/2014/main" id="{6978AC8B-A839-49B3-A2BA-75B7581C34D3}"/>
            </a:ext>
          </a:extLst>
        </xdr:cNvPr>
        <xdr:cNvPicPr>
          <a:picLocks noChangeAspect="1"/>
        </xdr:cNvPicPr>
      </xdr:nvPicPr>
      <xdr:blipFill rotWithShape="1">
        <a:blip xmlns:r="http://schemas.openxmlformats.org/officeDocument/2006/relationships" r:embed="rId2"/>
        <a:srcRect l="10000" r="8947"/>
        <a:stretch/>
      </xdr:blipFill>
      <xdr:spPr>
        <a:xfrm>
          <a:off x="3800475" y="15798801"/>
          <a:ext cx="1651001" cy="142239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77876</xdr:colOff>
      <xdr:row>72</xdr:row>
      <xdr:rowOff>9529</xdr:rowOff>
    </xdr:from>
    <xdr:to>
      <xdr:col>4</xdr:col>
      <xdr:colOff>1695449</xdr:colOff>
      <xdr:row>75</xdr:row>
      <xdr:rowOff>336550</xdr:rowOff>
    </xdr:to>
    <xdr:pic>
      <xdr:nvPicPr>
        <xdr:cNvPr id="2" name="Picture 1">
          <a:extLst>
            <a:ext uri="{FF2B5EF4-FFF2-40B4-BE49-F238E27FC236}">
              <a16:creationId xmlns:a16="http://schemas.microsoft.com/office/drawing/2014/main" id="{6F48CDFA-3F0F-4127-8971-35B1799BAE57}"/>
            </a:ext>
          </a:extLst>
        </xdr:cNvPr>
        <xdr:cNvPicPr>
          <a:picLocks noChangeAspect="1"/>
        </xdr:cNvPicPr>
      </xdr:nvPicPr>
      <xdr:blipFill>
        <a:blip xmlns:r="http://schemas.openxmlformats.org/officeDocument/2006/relationships" r:embed="rId1"/>
        <a:stretch>
          <a:fillRect/>
        </a:stretch>
      </xdr:blipFill>
      <xdr:spPr>
        <a:xfrm>
          <a:off x="7539126" y="14595479"/>
          <a:ext cx="1617573" cy="1577971"/>
        </a:xfrm>
        <a:prstGeom prst="rect">
          <a:avLst/>
        </a:prstGeom>
      </xdr:spPr>
    </xdr:pic>
    <xdr:clientData/>
  </xdr:twoCellAnchor>
  <xdr:twoCellAnchor editAs="oneCell">
    <xdr:from>
      <xdr:col>2</xdr:col>
      <xdr:colOff>85725</xdr:colOff>
      <xdr:row>72</xdr:row>
      <xdr:rowOff>15877</xdr:rowOff>
    </xdr:from>
    <xdr:to>
      <xdr:col>2</xdr:col>
      <xdr:colOff>1748863</xdr:colOff>
      <xdr:row>75</xdr:row>
      <xdr:rowOff>323850</xdr:rowOff>
    </xdr:to>
    <xdr:pic>
      <xdr:nvPicPr>
        <xdr:cNvPr id="3" name="Picture 2">
          <a:extLst>
            <a:ext uri="{FF2B5EF4-FFF2-40B4-BE49-F238E27FC236}">
              <a16:creationId xmlns:a16="http://schemas.microsoft.com/office/drawing/2014/main" id="{46AEFDCA-72F4-48C3-8E11-08BB053E3475}"/>
            </a:ext>
          </a:extLst>
        </xdr:cNvPr>
        <xdr:cNvPicPr>
          <a:picLocks noChangeAspect="1"/>
        </xdr:cNvPicPr>
      </xdr:nvPicPr>
      <xdr:blipFill rotWithShape="1">
        <a:blip xmlns:r="http://schemas.openxmlformats.org/officeDocument/2006/relationships" r:embed="rId2"/>
        <a:srcRect l="10000" r="8947"/>
        <a:stretch/>
      </xdr:blipFill>
      <xdr:spPr>
        <a:xfrm>
          <a:off x="3863975" y="14601827"/>
          <a:ext cx="1663138" cy="155892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4</xdr:col>
      <xdr:colOff>38100</xdr:colOff>
      <xdr:row>52</xdr:row>
      <xdr:rowOff>76200</xdr:rowOff>
    </xdr:from>
    <xdr:to>
      <xdr:col>4</xdr:col>
      <xdr:colOff>1635124</xdr:colOff>
      <xdr:row>55</xdr:row>
      <xdr:rowOff>349250</xdr:rowOff>
    </xdr:to>
    <xdr:pic>
      <xdr:nvPicPr>
        <xdr:cNvPr id="2" name="Picture 1">
          <a:extLst>
            <a:ext uri="{FF2B5EF4-FFF2-40B4-BE49-F238E27FC236}">
              <a16:creationId xmlns:a16="http://schemas.microsoft.com/office/drawing/2014/main" id="{A7949765-BD71-4D61-848F-A5D378585AFC}"/>
            </a:ext>
          </a:extLst>
        </xdr:cNvPr>
        <xdr:cNvPicPr>
          <a:picLocks noChangeAspect="1"/>
        </xdr:cNvPicPr>
      </xdr:nvPicPr>
      <xdr:blipFill>
        <a:blip xmlns:r="http://schemas.openxmlformats.org/officeDocument/2006/relationships" r:embed="rId1"/>
        <a:stretch>
          <a:fillRect/>
        </a:stretch>
      </xdr:blipFill>
      <xdr:spPr>
        <a:xfrm>
          <a:off x="7461250" y="10725150"/>
          <a:ext cx="1597024" cy="1600200"/>
        </a:xfrm>
        <a:prstGeom prst="rect">
          <a:avLst/>
        </a:prstGeom>
      </xdr:spPr>
    </xdr:pic>
    <xdr:clientData/>
  </xdr:twoCellAnchor>
  <xdr:twoCellAnchor editAs="oneCell">
    <xdr:from>
      <xdr:col>2</xdr:col>
      <xdr:colOff>9525</xdr:colOff>
      <xdr:row>52</xdr:row>
      <xdr:rowOff>47627</xdr:rowOff>
    </xdr:from>
    <xdr:to>
      <xdr:col>2</xdr:col>
      <xdr:colOff>1733279</xdr:colOff>
      <xdr:row>55</xdr:row>
      <xdr:rowOff>323850</xdr:rowOff>
    </xdr:to>
    <xdr:pic>
      <xdr:nvPicPr>
        <xdr:cNvPr id="3" name="Picture 2">
          <a:extLst>
            <a:ext uri="{FF2B5EF4-FFF2-40B4-BE49-F238E27FC236}">
              <a16:creationId xmlns:a16="http://schemas.microsoft.com/office/drawing/2014/main" id="{A37ED767-EA7C-4B12-A764-8D207ACCAEB1}"/>
            </a:ext>
          </a:extLst>
        </xdr:cNvPr>
        <xdr:cNvPicPr>
          <a:picLocks noChangeAspect="1"/>
        </xdr:cNvPicPr>
      </xdr:nvPicPr>
      <xdr:blipFill rotWithShape="1">
        <a:blip xmlns:r="http://schemas.openxmlformats.org/officeDocument/2006/relationships" r:embed="rId2"/>
        <a:srcRect l="10000" r="8947"/>
        <a:stretch/>
      </xdr:blipFill>
      <xdr:spPr>
        <a:xfrm>
          <a:off x="3787775" y="10696577"/>
          <a:ext cx="1723754" cy="160337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60324</xdr:colOff>
      <xdr:row>86</xdr:row>
      <xdr:rowOff>22225</xdr:rowOff>
    </xdr:from>
    <xdr:to>
      <xdr:col>4</xdr:col>
      <xdr:colOff>1930400</xdr:colOff>
      <xdr:row>89</xdr:row>
      <xdr:rowOff>279400</xdr:rowOff>
    </xdr:to>
    <xdr:pic>
      <xdr:nvPicPr>
        <xdr:cNvPr id="2" name="Picture 1">
          <a:extLst>
            <a:ext uri="{FF2B5EF4-FFF2-40B4-BE49-F238E27FC236}">
              <a16:creationId xmlns:a16="http://schemas.microsoft.com/office/drawing/2014/main" id="{2686CA56-4681-4727-9E10-0BD3973B7B93}"/>
            </a:ext>
          </a:extLst>
        </xdr:cNvPr>
        <xdr:cNvPicPr>
          <a:picLocks noChangeAspect="1"/>
        </xdr:cNvPicPr>
      </xdr:nvPicPr>
      <xdr:blipFill>
        <a:blip xmlns:r="http://schemas.openxmlformats.org/officeDocument/2006/relationships" r:embed="rId1"/>
        <a:stretch>
          <a:fillRect/>
        </a:stretch>
      </xdr:blipFill>
      <xdr:spPr>
        <a:xfrm>
          <a:off x="7356474" y="17364075"/>
          <a:ext cx="1870076" cy="1641475"/>
        </a:xfrm>
        <a:prstGeom prst="rect">
          <a:avLst/>
        </a:prstGeom>
      </xdr:spPr>
    </xdr:pic>
    <xdr:clientData/>
  </xdr:twoCellAnchor>
  <xdr:twoCellAnchor editAs="oneCell">
    <xdr:from>
      <xdr:col>2</xdr:col>
      <xdr:colOff>63500</xdr:colOff>
      <xdr:row>86</xdr:row>
      <xdr:rowOff>38101</xdr:rowOff>
    </xdr:from>
    <xdr:to>
      <xdr:col>2</xdr:col>
      <xdr:colOff>1596308</xdr:colOff>
      <xdr:row>89</xdr:row>
      <xdr:rowOff>254000</xdr:rowOff>
    </xdr:to>
    <xdr:pic>
      <xdr:nvPicPr>
        <xdr:cNvPr id="3" name="Picture 2">
          <a:extLst>
            <a:ext uri="{FF2B5EF4-FFF2-40B4-BE49-F238E27FC236}">
              <a16:creationId xmlns:a16="http://schemas.microsoft.com/office/drawing/2014/main" id="{F57BD868-2EC5-475A-862F-82F59C3BF54E}"/>
            </a:ext>
          </a:extLst>
        </xdr:cNvPr>
        <xdr:cNvPicPr>
          <a:picLocks noChangeAspect="1"/>
        </xdr:cNvPicPr>
      </xdr:nvPicPr>
      <xdr:blipFill rotWithShape="1">
        <a:blip xmlns:r="http://schemas.openxmlformats.org/officeDocument/2006/relationships" r:embed="rId2"/>
        <a:srcRect l="10000" r="8947"/>
        <a:stretch/>
      </xdr:blipFill>
      <xdr:spPr>
        <a:xfrm>
          <a:off x="3841750" y="17379951"/>
          <a:ext cx="1532808" cy="160019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6A9CE-BEA1-42CA-B97D-9EE39CEAAC1F}">
  <dimension ref="A1:C30"/>
  <sheetViews>
    <sheetView tabSelected="1" topLeftCell="A3" workbookViewId="0">
      <selection activeCell="A30" sqref="A30"/>
    </sheetView>
  </sheetViews>
  <sheetFormatPr defaultRowHeight="15" x14ac:dyDescent="0.25"/>
  <cols>
    <col min="1" max="1" width="8.5703125" bestFit="1" customWidth="1"/>
    <col min="2" max="2" width="39.7109375" bestFit="1" customWidth="1"/>
    <col min="3" max="3" width="15.85546875" bestFit="1" customWidth="1"/>
  </cols>
  <sheetData>
    <row r="1" spans="1:3" x14ac:dyDescent="0.25">
      <c r="A1" s="74" t="s">
        <v>78</v>
      </c>
      <c r="B1" s="74"/>
    </row>
    <row r="2" spans="1:3" x14ac:dyDescent="0.25">
      <c r="A2" s="75" t="s">
        <v>79</v>
      </c>
      <c r="B2" s="75"/>
    </row>
    <row r="3" spans="1:3" x14ac:dyDescent="0.25">
      <c r="A3" s="54" t="s">
        <v>80</v>
      </c>
      <c r="B3" s="54" t="s">
        <v>81</v>
      </c>
      <c r="C3" s="54" t="s">
        <v>801</v>
      </c>
    </row>
    <row r="4" spans="1:3" x14ac:dyDescent="0.25">
      <c r="A4" s="55" t="s">
        <v>26</v>
      </c>
      <c r="B4" s="56" t="s">
        <v>27</v>
      </c>
      <c r="C4" s="56" t="s">
        <v>802</v>
      </c>
    </row>
    <row r="5" spans="1:3" x14ac:dyDescent="0.25">
      <c r="A5" s="55" t="s">
        <v>28</v>
      </c>
      <c r="B5" s="56" t="s">
        <v>29</v>
      </c>
      <c r="C5" s="56" t="s">
        <v>804</v>
      </c>
    </row>
    <row r="6" spans="1:3" x14ac:dyDescent="0.25">
      <c r="A6" s="55" t="s">
        <v>30</v>
      </c>
      <c r="B6" s="56" t="s">
        <v>31</v>
      </c>
      <c r="C6" s="56" t="s">
        <v>803</v>
      </c>
    </row>
    <row r="7" spans="1:3" x14ac:dyDescent="0.25">
      <c r="A7" s="55" t="s">
        <v>32</v>
      </c>
      <c r="B7" s="56" t="s">
        <v>33</v>
      </c>
      <c r="C7" s="56" t="s">
        <v>803</v>
      </c>
    </row>
    <row r="8" spans="1:3" x14ac:dyDescent="0.25">
      <c r="A8" s="55" t="s">
        <v>34</v>
      </c>
      <c r="B8" s="56" t="s">
        <v>35</v>
      </c>
      <c r="C8" s="56" t="s">
        <v>803</v>
      </c>
    </row>
    <row r="9" spans="1:3" x14ac:dyDescent="0.25">
      <c r="A9" s="55" t="s">
        <v>36</v>
      </c>
      <c r="B9" s="56" t="s">
        <v>37</v>
      </c>
      <c r="C9" s="56" t="s">
        <v>803</v>
      </c>
    </row>
    <row r="10" spans="1:3" x14ac:dyDescent="0.25">
      <c r="A10" s="55" t="s">
        <v>38</v>
      </c>
      <c r="B10" s="56" t="s">
        <v>39</v>
      </c>
      <c r="C10" s="56" t="s">
        <v>803</v>
      </c>
    </row>
    <row r="11" spans="1:3" x14ac:dyDescent="0.25">
      <c r="A11" s="55" t="s">
        <v>40</v>
      </c>
      <c r="B11" s="56" t="s">
        <v>41</v>
      </c>
      <c r="C11" s="56" t="s">
        <v>803</v>
      </c>
    </row>
    <row r="12" spans="1:3" x14ac:dyDescent="0.25">
      <c r="A12" s="55" t="s">
        <v>42</v>
      </c>
      <c r="B12" s="56" t="s">
        <v>43</v>
      </c>
      <c r="C12" s="56" t="s">
        <v>804</v>
      </c>
    </row>
    <row r="13" spans="1:3" x14ac:dyDescent="0.25">
      <c r="A13" s="55" t="s">
        <v>44</v>
      </c>
      <c r="B13" s="56" t="s">
        <v>45</v>
      </c>
      <c r="C13" s="56" t="s">
        <v>803</v>
      </c>
    </row>
    <row r="14" spans="1:3" x14ac:dyDescent="0.25">
      <c r="A14" s="55" t="s">
        <v>46</v>
      </c>
      <c r="B14" s="56" t="s">
        <v>47</v>
      </c>
      <c r="C14" s="56" t="s">
        <v>803</v>
      </c>
    </row>
    <row r="15" spans="1:3" x14ac:dyDescent="0.25">
      <c r="A15" s="55" t="s">
        <v>48</v>
      </c>
      <c r="B15" s="56" t="s">
        <v>49</v>
      </c>
      <c r="C15" s="56" t="s">
        <v>803</v>
      </c>
    </row>
    <row r="16" spans="1:3" x14ac:dyDescent="0.25">
      <c r="A16" s="55" t="s">
        <v>50</v>
      </c>
      <c r="B16" s="56" t="s">
        <v>51</v>
      </c>
      <c r="C16" s="56" t="s">
        <v>805</v>
      </c>
    </row>
    <row r="17" spans="1:3" x14ac:dyDescent="0.25">
      <c r="A17" s="55" t="s">
        <v>52</v>
      </c>
      <c r="B17" s="56" t="s">
        <v>53</v>
      </c>
      <c r="C17" s="56" t="s">
        <v>803</v>
      </c>
    </row>
    <row r="18" spans="1:3" x14ac:dyDescent="0.25">
      <c r="A18" s="55" t="s">
        <v>54</v>
      </c>
      <c r="B18" s="56" t="s">
        <v>55</v>
      </c>
      <c r="C18" s="56" t="s">
        <v>803</v>
      </c>
    </row>
    <row r="19" spans="1:3" x14ac:dyDescent="0.25">
      <c r="A19" s="55" t="s">
        <v>56</v>
      </c>
      <c r="B19" s="56" t="s">
        <v>57</v>
      </c>
      <c r="C19" s="56" t="s">
        <v>803</v>
      </c>
    </row>
    <row r="20" spans="1:3" x14ac:dyDescent="0.25">
      <c r="A20" s="55" t="s">
        <v>58</v>
      </c>
      <c r="B20" s="56" t="s">
        <v>59</v>
      </c>
      <c r="C20" s="56" t="s">
        <v>803</v>
      </c>
    </row>
    <row r="21" spans="1:3" x14ac:dyDescent="0.25">
      <c r="A21" s="55" t="s">
        <v>60</v>
      </c>
      <c r="B21" s="56" t="s">
        <v>61</v>
      </c>
      <c r="C21" s="56" t="s">
        <v>803</v>
      </c>
    </row>
    <row r="22" spans="1:3" x14ac:dyDescent="0.25">
      <c r="A22" s="55" t="s">
        <v>62</v>
      </c>
      <c r="B22" s="56" t="s">
        <v>63</v>
      </c>
      <c r="C22" s="56" t="s">
        <v>803</v>
      </c>
    </row>
    <row r="23" spans="1:3" x14ac:dyDescent="0.25">
      <c r="A23" s="55" t="s">
        <v>64</v>
      </c>
      <c r="B23" s="56" t="s">
        <v>65</v>
      </c>
      <c r="C23" s="56" t="s">
        <v>803</v>
      </c>
    </row>
    <row r="24" spans="1:3" x14ac:dyDescent="0.25">
      <c r="A24" s="55" t="s">
        <v>66</v>
      </c>
      <c r="B24" s="56" t="s">
        <v>67</v>
      </c>
      <c r="C24" s="56" t="s">
        <v>803</v>
      </c>
    </row>
    <row r="25" spans="1:3" x14ac:dyDescent="0.25">
      <c r="A25" s="55" t="s">
        <v>68</v>
      </c>
      <c r="B25" s="56" t="s">
        <v>69</v>
      </c>
      <c r="C25" s="56" t="s">
        <v>803</v>
      </c>
    </row>
    <row r="26" spans="1:3" x14ac:dyDescent="0.25">
      <c r="A26" s="55" t="s">
        <v>70</v>
      </c>
      <c r="B26" s="56" t="s">
        <v>71</v>
      </c>
      <c r="C26" s="56" t="s">
        <v>803</v>
      </c>
    </row>
    <row r="27" spans="1:3" x14ac:dyDescent="0.25">
      <c r="A27" s="55" t="s">
        <v>72</v>
      </c>
      <c r="B27" s="56" t="s">
        <v>73</v>
      </c>
      <c r="C27" s="56" t="s">
        <v>803</v>
      </c>
    </row>
    <row r="28" spans="1:3" x14ac:dyDescent="0.25">
      <c r="A28" s="55" t="s">
        <v>74</v>
      </c>
      <c r="B28" s="56" t="s">
        <v>75</v>
      </c>
      <c r="C28" s="56" t="s">
        <v>803</v>
      </c>
    </row>
    <row r="29" spans="1:3" x14ac:dyDescent="0.25">
      <c r="A29" s="55" t="s">
        <v>76</v>
      </c>
      <c r="B29" s="56" t="s">
        <v>77</v>
      </c>
      <c r="C29" s="56" t="s">
        <v>803</v>
      </c>
    </row>
    <row r="30" spans="1:3" x14ac:dyDescent="0.25">
      <c r="A30" s="93" t="s">
        <v>908</v>
      </c>
      <c r="B30" s="56" t="s">
        <v>909</v>
      </c>
      <c r="C30" s="56" t="s">
        <v>805</v>
      </c>
    </row>
  </sheetData>
  <mergeCells count="2">
    <mergeCell ref="A1:B1"/>
    <mergeCell ref="A2:B2"/>
  </mergeCells>
  <hyperlinks>
    <hyperlink ref="A4" location="'LEARBF'!A1" display="LEARBF" xr:uid="{D26D6709-854E-4E59-A6AD-715746DA2725}"/>
    <hyperlink ref="A5" location="'LEBADF'!A1" display="LEBADF" xr:uid="{30604AA7-7976-49A6-B3D7-A5B86427AA1E}"/>
    <hyperlink ref="A6" location="'LEBALF'!A1" display="LEBALF" xr:uid="{CD6170D0-A3E6-486D-9D8E-653CDA09D979}"/>
    <hyperlink ref="A7" location="'LEBFSF'!A1" display="LEBFSF" xr:uid="{855CADFA-BB5D-4C60-A3A3-C3CA4687F6D0}"/>
    <hyperlink ref="A8" location="'LECHID'!A1" display="LECHID" xr:uid="{5ACF4264-1EE0-46A2-AA03-31CC4EAB5EE4}"/>
    <hyperlink ref="A9" location="'LEDDYF'!A1" display="LEDDYF" xr:uid="{E0F25387-F6CE-471A-8A94-3FF327208F97}"/>
    <hyperlink ref="A10" location="'LEDHCF'!A1" display="LEDHCF" xr:uid="{E8820342-B4BA-4786-AFF0-37456F7DCB2F}"/>
    <hyperlink ref="A11" location="'LEEMCF'!A1" display="LEEMCF" xr:uid="{2B13EE90-1948-477F-B825-6EACEDB18033}"/>
    <hyperlink ref="A12" location="'LEEQSF'!A1" display="LEEQSF" xr:uid="{D8C1A2B6-001C-4566-90CD-405D21BCF3C6}"/>
    <hyperlink ref="A13" location="'LEEQTF'!A1" display="LEEQTF" xr:uid="{65E722B8-D4C1-4AB7-8B64-7962FA7DC5B9}"/>
    <hyperlink ref="A14" location="'LEESCF'!A1" display="LEESCF" xr:uid="{480D959C-18D0-4732-86F7-D415C16A717F}"/>
    <hyperlink ref="A15" location="'LEFE30'!A1" display="LEFE30" xr:uid="{6D05170D-2D95-45A0-95D9-28D02908C666}"/>
    <hyperlink ref="A16" location="'LEGFOF'!A1" display="LEGFOF" xr:uid="{100E276C-D6F0-4AA2-BD21-21BA3BF73214}"/>
    <hyperlink ref="A17" location="'LEGROW'!A1" display="LEGROW" xr:uid="{51FD1232-4E61-4751-87E4-9AA117445EB1}"/>
    <hyperlink ref="A18" location="'LEINFA'!A1" display="LEINFA" xr:uid="{7A52937D-6F4F-4D9B-81EF-A5D7EBE1BFD5}"/>
    <hyperlink ref="A19" location="'LEINNF'!A1" display="LEINNF" xr:uid="{5B567885-99D8-4B1B-84C4-C0E2C4993F54}"/>
    <hyperlink ref="A20" location="'LEINSX'!A1" display="LEINSX" xr:uid="{9B4A0BED-1F6F-4CA3-8161-95DA4D17132C}"/>
    <hyperlink ref="A21" location="'LELTVF'!A1" display="LELTVF" xr:uid="{9B5B88E4-B535-40C9-A5FE-B14588D4E712}"/>
    <hyperlink ref="A22" location="'LEMIDF'!A1" display="LEMIDF" xr:uid="{0589EFE9-257C-4C5A-AB4F-9E3B6885E94B}"/>
    <hyperlink ref="A23" location="'LEMUCF'!A1" display="LEMUCF" xr:uid="{89D01D8E-C864-42E5-8B3D-6C92A1A51A28}"/>
    <hyperlink ref="A24" location="'LENI50'!A1" display="LENI50" xr:uid="{9D911A05-A4FA-479F-81F5-A57BA699C150}"/>
    <hyperlink ref="A25" location="'LET100'!A1" display="LET100" xr:uid="{0AEE21B2-A3C3-4DD9-B7E6-577763D7BF19}"/>
    <hyperlink ref="A26" location="'LETAXP'!A1" display="LETAXP" xr:uid="{1818C5CF-7DFE-487E-9371-F2927BB49FF6}"/>
    <hyperlink ref="A27" location="'LETF50'!A1" display="LETF50" xr:uid="{17B0AF3B-4214-422D-AA68-5F53CA31E869}"/>
    <hyperlink ref="A28" location="'LETFSX'!A1" display="LETFSX" xr:uid="{3FE62BAD-40DC-46E1-85CD-14FA8D3202A1}"/>
    <hyperlink ref="A29" location="'LEULIS'!A1" display="LEULIS" xr:uid="{F5E2C82D-0010-4237-9303-4AB6AA404AB3}"/>
    <hyperlink ref="A30" location="LICMFGOLDETF!A1" display="LICMFGOLDETF" xr:uid="{C52DF01F-C021-420A-AD03-3CF48BBD26C5}"/>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D32C7-B74B-42B6-97D1-F8DE20CA791A}">
  <dimension ref="B1:P124"/>
  <sheetViews>
    <sheetView workbookViewId="0"/>
  </sheetViews>
  <sheetFormatPr defaultColWidth="9.140625" defaultRowHeight="15.75" customHeight="1" x14ac:dyDescent="0.2"/>
  <cols>
    <col min="1" max="1" width="3.5703125" style="2" customWidth="1"/>
    <col min="2" max="2" width="43.5703125" style="9" bestFit="1" customWidth="1"/>
    <col min="3" max="3" width="25.85546875" style="9" customWidth="1"/>
    <col min="4" max="4" width="33.42578125" style="9" bestFit="1"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155</v>
      </c>
      <c r="C7" s="25" t="s">
        <v>156</v>
      </c>
      <c r="D7" s="25" t="s">
        <v>121</v>
      </c>
      <c r="E7" s="26">
        <v>87500</v>
      </c>
      <c r="F7" s="27">
        <v>244.39</v>
      </c>
      <c r="G7" s="28">
        <v>7.8100000000000003E-2</v>
      </c>
      <c r="H7" s="29"/>
    </row>
    <row r="8" spans="2:9" ht="15.75" customHeight="1" x14ac:dyDescent="0.2">
      <c r="B8" s="25" t="s">
        <v>130</v>
      </c>
      <c r="C8" s="25" t="s">
        <v>131</v>
      </c>
      <c r="D8" s="25" t="s">
        <v>132</v>
      </c>
      <c r="E8" s="26">
        <v>4500</v>
      </c>
      <c r="F8" s="27">
        <v>116.32</v>
      </c>
      <c r="G8" s="28">
        <v>3.7199999999999997E-2</v>
      </c>
      <c r="H8" s="29"/>
    </row>
    <row r="9" spans="2:9" ht="15.75" customHeight="1" x14ac:dyDescent="0.2">
      <c r="B9" s="25" t="s">
        <v>157</v>
      </c>
      <c r="C9" s="25" t="s">
        <v>158</v>
      </c>
      <c r="D9" s="25" t="s">
        <v>129</v>
      </c>
      <c r="E9" s="26">
        <v>24000</v>
      </c>
      <c r="F9" s="27">
        <v>110.9</v>
      </c>
      <c r="G9" s="28">
        <v>3.5400000000000001E-2</v>
      </c>
      <c r="H9" s="29"/>
    </row>
    <row r="10" spans="2:9" ht="15.75" customHeight="1" x14ac:dyDescent="0.2">
      <c r="B10" s="25" t="s">
        <v>159</v>
      </c>
      <c r="C10" s="25" t="s">
        <v>160</v>
      </c>
      <c r="D10" s="25" t="s">
        <v>161</v>
      </c>
      <c r="E10" s="26">
        <v>24700</v>
      </c>
      <c r="F10" s="27">
        <v>92.23</v>
      </c>
      <c r="G10" s="28">
        <v>2.9499999999999998E-2</v>
      </c>
      <c r="H10" s="29"/>
    </row>
    <row r="11" spans="2:9" ht="15.75" customHeight="1" x14ac:dyDescent="0.2">
      <c r="B11" s="25" t="s">
        <v>162</v>
      </c>
      <c r="C11" s="25" t="s">
        <v>163</v>
      </c>
      <c r="D11" s="25" t="s">
        <v>164</v>
      </c>
      <c r="E11" s="26">
        <v>20000</v>
      </c>
      <c r="F11" s="27">
        <v>87.67</v>
      </c>
      <c r="G11" s="28">
        <v>2.8000000000000001E-2</v>
      </c>
      <c r="H11" s="29"/>
    </row>
    <row r="12" spans="2:9" ht="15.75" customHeight="1" x14ac:dyDescent="0.2">
      <c r="B12" s="25" t="s">
        <v>165</v>
      </c>
      <c r="C12" s="25" t="s">
        <v>166</v>
      </c>
      <c r="D12" s="25" t="s">
        <v>167</v>
      </c>
      <c r="E12" s="26">
        <v>2800</v>
      </c>
      <c r="F12" s="27">
        <v>85.54</v>
      </c>
      <c r="G12" s="28">
        <v>2.7300000000000001E-2</v>
      </c>
      <c r="H12" s="29"/>
    </row>
    <row r="13" spans="2:9" ht="15.75" customHeight="1" x14ac:dyDescent="0.2">
      <c r="B13" s="25" t="s">
        <v>168</v>
      </c>
      <c r="C13" s="25" t="s">
        <v>169</v>
      </c>
      <c r="D13" s="25" t="s">
        <v>170</v>
      </c>
      <c r="E13" s="26">
        <v>11250</v>
      </c>
      <c r="F13" s="27">
        <v>84.16</v>
      </c>
      <c r="G13" s="28">
        <v>2.69E-2</v>
      </c>
      <c r="H13" s="29"/>
    </row>
    <row r="14" spans="2:9" ht="15.75" customHeight="1" x14ac:dyDescent="0.2">
      <c r="B14" s="25" t="s">
        <v>171</v>
      </c>
      <c r="C14" s="25" t="s">
        <v>172</v>
      </c>
      <c r="D14" s="25" t="s">
        <v>173</v>
      </c>
      <c r="E14" s="26">
        <v>3000</v>
      </c>
      <c r="F14" s="27">
        <v>81.45</v>
      </c>
      <c r="G14" s="28">
        <v>2.5999999999999999E-2</v>
      </c>
      <c r="H14" s="29"/>
    </row>
    <row r="15" spans="2:9" ht="15.75" customHeight="1" x14ac:dyDescent="0.2">
      <c r="B15" s="25" t="s">
        <v>174</v>
      </c>
      <c r="C15" s="25" t="s">
        <v>175</v>
      </c>
      <c r="D15" s="25" t="s">
        <v>176</v>
      </c>
      <c r="E15" s="26">
        <v>48600</v>
      </c>
      <c r="F15" s="27">
        <v>80.87</v>
      </c>
      <c r="G15" s="28">
        <v>2.58E-2</v>
      </c>
      <c r="H15" s="29"/>
    </row>
    <row r="16" spans="2:9" ht="15.75" customHeight="1" x14ac:dyDescent="0.2">
      <c r="B16" s="25" t="s">
        <v>177</v>
      </c>
      <c r="C16" s="25" t="s">
        <v>178</v>
      </c>
      <c r="D16" s="25" t="s">
        <v>138</v>
      </c>
      <c r="E16" s="26">
        <v>9975</v>
      </c>
      <c r="F16" s="27">
        <v>77.8</v>
      </c>
      <c r="G16" s="28">
        <v>2.4899999999999999E-2</v>
      </c>
      <c r="H16" s="29"/>
    </row>
    <row r="17" spans="2:8" ht="15.75" customHeight="1" x14ac:dyDescent="0.2">
      <c r="B17" s="25" t="s">
        <v>179</v>
      </c>
      <c r="C17" s="25" t="s">
        <v>180</v>
      </c>
      <c r="D17" s="25" t="s">
        <v>121</v>
      </c>
      <c r="E17" s="26">
        <v>32175</v>
      </c>
      <c r="F17" s="27">
        <v>74.36</v>
      </c>
      <c r="G17" s="28">
        <v>2.3800000000000002E-2</v>
      </c>
      <c r="H17" s="29"/>
    </row>
    <row r="18" spans="2:8" ht="15.75" customHeight="1" x14ac:dyDescent="0.2">
      <c r="B18" s="25" t="s">
        <v>181</v>
      </c>
      <c r="C18" s="25" t="s">
        <v>182</v>
      </c>
      <c r="D18" s="25" t="s">
        <v>183</v>
      </c>
      <c r="E18" s="26">
        <v>27600</v>
      </c>
      <c r="F18" s="27">
        <v>71.36</v>
      </c>
      <c r="G18" s="28">
        <v>2.2800000000000001E-2</v>
      </c>
      <c r="H18" s="29"/>
    </row>
    <row r="19" spans="2:8" ht="15.75" customHeight="1" x14ac:dyDescent="0.2">
      <c r="B19" s="25" t="s">
        <v>184</v>
      </c>
      <c r="C19" s="25" t="s">
        <v>185</v>
      </c>
      <c r="D19" s="25" t="s">
        <v>121</v>
      </c>
      <c r="E19" s="26">
        <v>3600</v>
      </c>
      <c r="F19" s="27">
        <v>68.69</v>
      </c>
      <c r="G19" s="28">
        <v>2.1899999999999999E-2</v>
      </c>
      <c r="H19" s="29"/>
    </row>
    <row r="20" spans="2:8" ht="15.75" customHeight="1" x14ac:dyDescent="0.2">
      <c r="B20" s="25" t="s">
        <v>186</v>
      </c>
      <c r="C20" s="25" t="s">
        <v>187</v>
      </c>
      <c r="D20" s="25" t="s">
        <v>188</v>
      </c>
      <c r="E20" s="26">
        <v>4500</v>
      </c>
      <c r="F20" s="27">
        <v>61.56</v>
      </c>
      <c r="G20" s="28">
        <v>1.9699999999999999E-2</v>
      </c>
      <c r="H20" s="29"/>
    </row>
    <row r="21" spans="2:8" ht="15.75" customHeight="1" x14ac:dyDescent="0.2">
      <c r="B21" s="25" t="s">
        <v>189</v>
      </c>
      <c r="C21" s="25" t="s">
        <v>190</v>
      </c>
      <c r="D21" s="25" t="s">
        <v>191</v>
      </c>
      <c r="E21" s="26">
        <v>1500</v>
      </c>
      <c r="F21" s="27">
        <v>60.37</v>
      </c>
      <c r="G21" s="28">
        <v>1.9300000000000001E-2</v>
      </c>
      <c r="H21" s="29"/>
    </row>
    <row r="22" spans="2:8" ht="15.75" customHeight="1" x14ac:dyDescent="0.2">
      <c r="B22" s="25" t="s">
        <v>192</v>
      </c>
      <c r="C22" s="25" t="s">
        <v>193</v>
      </c>
      <c r="D22" s="25" t="s">
        <v>194</v>
      </c>
      <c r="E22" s="26">
        <v>5500</v>
      </c>
      <c r="F22" s="27">
        <v>59.62</v>
      </c>
      <c r="G22" s="28">
        <v>1.9E-2</v>
      </c>
      <c r="H22" s="29"/>
    </row>
    <row r="23" spans="2:8" ht="15.75" customHeight="1" x14ac:dyDescent="0.2">
      <c r="B23" s="25" t="s">
        <v>195</v>
      </c>
      <c r="C23" s="25" t="s">
        <v>196</v>
      </c>
      <c r="D23" s="25" t="s">
        <v>197</v>
      </c>
      <c r="E23" s="26">
        <v>5000</v>
      </c>
      <c r="F23" s="27">
        <v>56.56</v>
      </c>
      <c r="G23" s="28">
        <v>1.8100000000000002E-2</v>
      </c>
      <c r="H23" s="29"/>
    </row>
    <row r="24" spans="2:8" ht="15.75" customHeight="1" x14ac:dyDescent="0.2">
      <c r="B24" s="25" t="s">
        <v>198</v>
      </c>
      <c r="C24" s="25" t="s">
        <v>199</v>
      </c>
      <c r="D24" s="25" t="s">
        <v>194</v>
      </c>
      <c r="E24" s="26">
        <v>4250</v>
      </c>
      <c r="F24" s="27">
        <v>56.23</v>
      </c>
      <c r="G24" s="28">
        <v>1.7999999999999999E-2</v>
      </c>
      <c r="H24" s="29"/>
    </row>
    <row r="25" spans="2:8" ht="15.75" customHeight="1" x14ac:dyDescent="0.2">
      <c r="B25" s="25" t="s">
        <v>200</v>
      </c>
      <c r="C25" s="25" t="s">
        <v>201</v>
      </c>
      <c r="D25" s="25" t="s">
        <v>202</v>
      </c>
      <c r="E25" s="26">
        <v>13500</v>
      </c>
      <c r="F25" s="27">
        <v>44.84</v>
      </c>
      <c r="G25" s="28">
        <v>1.43E-2</v>
      </c>
      <c r="H25" s="29"/>
    </row>
    <row r="26" spans="2:8" ht="15.75" customHeight="1" x14ac:dyDescent="0.2">
      <c r="B26" s="25" t="s">
        <v>203</v>
      </c>
      <c r="C26" s="25" t="s">
        <v>204</v>
      </c>
      <c r="D26" s="25" t="s">
        <v>194</v>
      </c>
      <c r="E26" s="26">
        <v>6300</v>
      </c>
      <c r="F26" s="27">
        <v>43.42</v>
      </c>
      <c r="G26" s="28">
        <v>1.3899999999999999E-2</v>
      </c>
      <c r="H26" s="29"/>
    </row>
    <row r="27" spans="2:8" ht="15.75" customHeight="1" x14ac:dyDescent="0.2">
      <c r="B27" s="25" t="s">
        <v>205</v>
      </c>
      <c r="C27" s="25" t="s">
        <v>206</v>
      </c>
      <c r="D27" s="25" t="s">
        <v>170</v>
      </c>
      <c r="E27" s="26">
        <v>4725</v>
      </c>
      <c r="F27" s="27">
        <v>41.59</v>
      </c>
      <c r="G27" s="28">
        <v>1.3299999999999999E-2</v>
      </c>
      <c r="H27" s="29"/>
    </row>
    <row r="28" spans="2:8" ht="15.75" customHeight="1" x14ac:dyDescent="0.2">
      <c r="B28" s="25" t="s">
        <v>207</v>
      </c>
      <c r="C28" s="25" t="s">
        <v>208</v>
      </c>
      <c r="D28" s="25" t="s">
        <v>209</v>
      </c>
      <c r="E28" s="26">
        <v>18000</v>
      </c>
      <c r="F28" s="27">
        <v>40.08</v>
      </c>
      <c r="G28" s="28">
        <v>1.2800000000000001E-2</v>
      </c>
      <c r="H28" s="29"/>
    </row>
    <row r="29" spans="2:8" ht="15.75" customHeight="1" x14ac:dyDescent="0.2">
      <c r="B29" s="25" t="s">
        <v>210</v>
      </c>
      <c r="C29" s="25" t="s">
        <v>211</v>
      </c>
      <c r="D29" s="25" t="s">
        <v>170</v>
      </c>
      <c r="E29" s="26">
        <v>27500</v>
      </c>
      <c r="F29" s="27">
        <v>38.39</v>
      </c>
      <c r="G29" s="28">
        <v>1.23E-2</v>
      </c>
      <c r="H29" s="29"/>
    </row>
    <row r="30" spans="2:8" ht="15.75" customHeight="1" x14ac:dyDescent="0.2">
      <c r="B30" s="25" t="s">
        <v>212</v>
      </c>
      <c r="C30" s="25" t="s">
        <v>213</v>
      </c>
      <c r="D30" s="25" t="s">
        <v>214</v>
      </c>
      <c r="E30" s="26">
        <v>22500</v>
      </c>
      <c r="F30" s="27">
        <v>37.799999999999997</v>
      </c>
      <c r="G30" s="28">
        <v>1.21E-2</v>
      </c>
      <c r="H30" s="29"/>
    </row>
    <row r="31" spans="2:8" ht="15.75" customHeight="1" x14ac:dyDescent="0.2">
      <c r="B31" s="25" t="s">
        <v>215</v>
      </c>
      <c r="C31" s="25" t="s">
        <v>216</v>
      </c>
      <c r="D31" s="25" t="s">
        <v>217</v>
      </c>
      <c r="E31" s="26">
        <v>2700</v>
      </c>
      <c r="F31" s="27">
        <v>29.34</v>
      </c>
      <c r="G31" s="28">
        <v>9.4000000000000004E-3</v>
      </c>
      <c r="H31" s="29"/>
    </row>
    <row r="32" spans="2:8" ht="15.75" customHeight="1" x14ac:dyDescent="0.2">
      <c r="B32" s="25" t="s">
        <v>127</v>
      </c>
      <c r="C32" s="25" t="s">
        <v>128</v>
      </c>
      <c r="D32" s="25" t="s">
        <v>129</v>
      </c>
      <c r="E32" s="26">
        <v>900</v>
      </c>
      <c r="F32" s="27">
        <v>23.98</v>
      </c>
      <c r="G32" s="28">
        <v>7.7000000000000002E-3</v>
      </c>
      <c r="H32" s="29"/>
    </row>
    <row r="33" spans="2:8" ht="15.75" customHeight="1" x14ac:dyDescent="0.2">
      <c r="B33" s="25" t="s">
        <v>218</v>
      </c>
      <c r="C33" s="25" t="s">
        <v>219</v>
      </c>
      <c r="D33" s="25" t="s">
        <v>121</v>
      </c>
      <c r="E33" s="26">
        <v>24000</v>
      </c>
      <c r="F33" s="27">
        <v>22.98</v>
      </c>
      <c r="G33" s="28">
        <v>7.3000000000000001E-3</v>
      </c>
      <c r="H33" s="29"/>
    </row>
    <row r="34" spans="2:8" ht="15.75" customHeight="1" x14ac:dyDescent="0.2">
      <c r="B34" s="25" t="s">
        <v>220</v>
      </c>
      <c r="C34" s="25" t="s">
        <v>221</v>
      </c>
      <c r="D34" s="25" t="s">
        <v>124</v>
      </c>
      <c r="E34" s="26">
        <v>1800</v>
      </c>
      <c r="F34" s="27">
        <v>22.91</v>
      </c>
      <c r="G34" s="28">
        <v>7.3000000000000001E-3</v>
      </c>
      <c r="H34" s="29"/>
    </row>
    <row r="35" spans="2:8" ht="15.75" customHeight="1" x14ac:dyDescent="0.2">
      <c r="B35" s="25" t="s">
        <v>222</v>
      </c>
      <c r="C35" s="25" t="s">
        <v>223</v>
      </c>
      <c r="D35" s="25" t="s">
        <v>194</v>
      </c>
      <c r="E35" s="26">
        <v>375</v>
      </c>
      <c r="F35" s="27">
        <v>21.74</v>
      </c>
      <c r="G35" s="28">
        <v>6.8999999999999999E-3</v>
      </c>
      <c r="H35" s="29"/>
    </row>
    <row r="36" spans="2:8" ht="15.75" customHeight="1" x14ac:dyDescent="0.2">
      <c r="B36" s="25" t="s">
        <v>224</v>
      </c>
      <c r="C36" s="25" t="s">
        <v>225</v>
      </c>
      <c r="D36" s="25" t="s">
        <v>226</v>
      </c>
      <c r="E36" s="26">
        <v>950</v>
      </c>
      <c r="F36" s="27">
        <v>20.28</v>
      </c>
      <c r="G36" s="28">
        <v>6.4999999999999997E-3</v>
      </c>
      <c r="H36" s="29"/>
    </row>
    <row r="37" spans="2:8" ht="15.75" customHeight="1" x14ac:dyDescent="0.2">
      <c r="B37" s="25" t="s">
        <v>227</v>
      </c>
      <c r="C37" s="25" t="s">
        <v>228</v>
      </c>
      <c r="D37" s="25" t="s">
        <v>124</v>
      </c>
      <c r="E37" s="26">
        <v>525</v>
      </c>
      <c r="F37" s="27">
        <v>19.920000000000002</v>
      </c>
      <c r="G37" s="28">
        <v>6.4000000000000003E-3</v>
      </c>
      <c r="H37" s="29"/>
    </row>
    <row r="38" spans="2:8" ht="15.75" customHeight="1" x14ac:dyDescent="0.2">
      <c r="B38" s="25" t="s">
        <v>229</v>
      </c>
      <c r="C38" s="25" t="s">
        <v>230</v>
      </c>
      <c r="D38" s="25" t="s">
        <v>217</v>
      </c>
      <c r="E38" s="26">
        <v>3600</v>
      </c>
      <c r="F38" s="27">
        <v>19.75</v>
      </c>
      <c r="G38" s="28">
        <v>6.3E-3</v>
      </c>
      <c r="H38" s="29"/>
    </row>
    <row r="39" spans="2:8" ht="15.75" customHeight="1" x14ac:dyDescent="0.2">
      <c r="B39" s="25" t="s">
        <v>231</v>
      </c>
      <c r="C39" s="25" t="s">
        <v>232</v>
      </c>
      <c r="D39" s="25" t="s">
        <v>173</v>
      </c>
      <c r="E39" s="26">
        <v>3000</v>
      </c>
      <c r="F39" s="27">
        <v>19.489999999999998</v>
      </c>
      <c r="G39" s="28">
        <v>6.1999999999999998E-3</v>
      </c>
      <c r="H39" s="29"/>
    </row>
    <row r="40" spans="2:8" ht="15.75" customHeight="1" x14ac:dyDescent="0.2">
      <c r="B40" s="25" t="s">
        <v>233</v>
      </c>
      <c r="C40" s="25" t="s">
        <v>234</v>
      </c>
      <c r="D40" s="25" t="s">
        <v>132</v>
      </c>
      <c r="E40" s="26">
        <v>3600</v>
      </c>
      <c r="F40" s="27">
        <v>16.22</v>
      </c>
      <c r="G40" s="28">
        <v>5.1999999999999998E-3</v>
      </c>
      <c r="H40" s="29"/>
    </row>
    <row r="41" spans="2:8" ht="15.75" customHeight="1" x14ac:dyDescent="0.2">
      <c r="B41" s="25" t="s">
        <v>235</v>
      </c>
      <c r="C41" s="25" t="s">
        <v>236</v>
      </c>
      <c r="D41" s="25" t="s">
        <v>237</v>
      </c>
      <c r="E41" s="26">
        <v>250</v>
      </c>
      <c r="F41" s="27">
        <v>14.26</v>
      </c>
      <c r="G41" s="28">
        <v>4.5999999999999999E-3</v>
      </c>
      <c r="H41" s="29"/>
    </row>
    <row r="42" spans="2:8" ht="15.75" customHeight="1" x14ac:dyDescent="0.2">
      <c r="B42" s="25" t="s">
        <v>238</v>
      </c>
      <c r="C42" s="25" t="s">
        <v>239</v>
      </c>
      <c r="D42" s="25" t="s">
        <v>176</v>
      </c>
      <c r="E42" s="26">
        <v>1500</v>
      </c>
      <c r="F42" s="27">
        <v>13.97</v>
      </c>
      <c r="G42" s="28">
        <v>4.4999999999999997E-3</v>
      </c>
      <c r="H42" s="29"/>
    </row>
    <row r="43" spans="2:8" ht="15.75" customHeight="1" x14ac:dyDescent="0.2">
      <c r="B43" s="25" t="s">
        <v>240</v>
      </c>
      <c r="C43" s="25" t="s">
        <v>241</v>
      </c>
      <c r="D43" s="25" t="s">
        <v>188</v>
      </c>
      <c r="E43" s="26">
        <v>400</v>
      </c>
      <c r="F43" s="27">
        <v>13.61</v>
      </c>
      <c r="G43" s="28">
        <v>4.3E-3</v>
      </c>
      <c r="H43" s="29"/>
    </row>
    <row r="44" spans="2:8" ht="15.75" customHeight="1" x14ac:dyDescent="0.2">
      <c r="B44" s="25" t="s">
        <v>242</v>
      </c>
      <c r="C44" s="25" t="s">
        <v>243</v>
      </c>
      <c r="D44" s="25" t="s">
        <v>244</v>
      </c>
      <c r="E44" s="26">
        <v>6800</v>
      </c>
      <c r="F44" s="27">
        <v>13.54</v>
      </c>
      <c r="G44" s="28">
        <v>4.3E-3</v>
      </c>
      <c r="H44" s="29"/>
    </row>
    <row r="45" spans="2:8" ht="15.75" customHeight="1" x14ac:dyDescent="0.2">
      <c r="B45" s="25" t="s">
        <v>245</v>
      </c>
      <c r="C45" s="25" t="s">
        <v>246</v>
      </c>
      <c r="D45" s="25" t="s">
        <v>132</v>
      </c>
      <c r="E45" s="26">
        <v>2700</v>
      </c>
      <c r="F45" s="27">
        <v>10.77</v>
      </c>
      <c r="G45" s="28">
        <v>3.3999999999999998E-3</v>
      </c>
      <c r="H45" s="29"/>
    </row>
    <row r="46" spans="2:8" ht="15.75" customHeight="1" x14ac:dyDescent="0.2">
      <c r="B46" s="25" t="s">
        <v>247</v>
      </c>
      <c r="C46" s="25" t="s">
        <v>248</v>
      </c>
      <c r="D46" s="25" t="s">
        <v>176</v>
      </c>
      <c r="E46" s="26">
        <v>125</v>
      </c>
      <c r="F46" s="27">
        <v>9.16</v>
      </c>
      <c r="G46" s="28">
        <v>2.8999999999999998E-3</v>
      </c>
      <c r="H46" s="29"/>
    </row>
    <row r="47" spans="2:8" ht="15.75" customHeight="1" x14ac:dyDescent="0.2">
      <c r="B47" s="25" t="s">
        <v>122</v>
      </c>
      <c r="C47" s="25" t="s">
        <v>123</v>
      </c>
      <c r="D47" s="25" t="s">
        <v>124</v>
      </c>
      <c r="E47" s="26">
        <v>400</v>
      </c>
      <c r="F47" s="27">
        <v>6.17</v>
      </c>
      <c r="G47" s="28">
        <v>2E-3</v>
      </c>
      <c r="H47" s="29"/>
    </row>
    <row r="48" spans="2:8" ht="15.75" customHeight="1" x14ac:dyDescent="0.2">
      <c r="B48" s="24" t="s">
        <v>93</v>
      </c>
      <c r="C48" s="24"/>
      <c r="D48" s="24"/>
      <c r="E48" s="30"/>
      <c r="F48" s="31">
        <v>2114.29</v>
      </c>
      <c r="G48" s="32">
        <v>0.67549999999999999</v>
      </c>
      <c r="H48" s="33"/>
    </row>
    <row r="49" spans="2:8" ht="15.75" customHeight="1" x14ac:dyDescent="0.2">
      <c r="B49" s="24" t="s">
        <v>141</v>
      </c>
      <c r="C49" s="25"/>
      <c r="D49" s="25"/>
      <c r="E49" s="26"/>
      <c r="F49" s="27"/>
      <c r="G49" s="28"/>
      <c r="H49" s="29"/>
    </row>
    <row r="50" spans="2:8" ht="15.75" customHeight="1" x14ac:dyDescent="0.2">
      <c r="B50" s="24" t="s">
        <v>93</v>
      </c>
      <c r="C50" s="25"/>
      <c r="D50" s="25"/>
      <c r="E50" s="26"/>
      <c r="F50" s="34" t="s">
        <v>95</v>
      </c>
      <c r="G50" s="35" t="s">
        <v>95</v>
      </c>
      <c r="H50" s="29"/>
    </row>
    <row r="51" spans="2:8" ht="15.75" customHeight="1" x14ac:dyDescent="0.2">
      <c r="B51" s="25"/>
      <c r="C51" s="25"/>
      <c r="D51" s="25"/>
      <c r="E51" s="26"/>
      <c r="F51" s="27"/>
      <c r="G51" s="28"/>
      <c r="H51" s="29"/>
    </row>
    <row r="52" spans="2:8" ht="15.75" customHeight="1" x14ac:dyDescent="0.2">
      <c r="B52" s="36" t="s">
        <v>97</v>
      </c>
      <c r="C52" s="36"/>
      <c r="D52" s="36"/>
      <c r="E52" s="37"/>
      <c r="F52" s="31">
        <v>2114.29</v>
      </c>
      <c r="G52" s="32">
        <v>0.67549999999999999</v>
      </c>
      <c r="H52" s="33"/>
    </row>
    <row r="53" spans="2:8" ht="15.75" customHeight="1" x14ac:dyDescent="0.2">
      <c r="B53" s="25"/>
      <c r="C53" s="25"/>
      <c r="D53" s="25"/>
      <c r="E53" s="26"/>
      <c r="F53" s="27"/>
      <c r="G53" s="28"/>
      <c r="H53" s="29"/>
    </row>
    <row r="54" spans="2:8" ht="15.75" customHeight="1" x14ac:dyDescent="0.2">
      <c r="B54" s="25"/>
      <c r="C54" s="25"/>
      <c r="D54" s="25"/>
      <c r="E54" s="26"/>
      <c r="F54" s="27"/>
      <c r="G54" s="28"/>
      <c r="H54" s="29"/>
    </row>
    <row r="55" spans="2:8" ht="15.75" customHeight="1" x14ac:dyDescent="0.2">
      <c r="B55" s="24" t="s">
        <v>98</v>
      </c>
      <c r="C55" s="25"/>
      <c r="D55" s="25"/>
      <c r="E55" s="26"/>
      <c r="F55" s="27"/>
      <c r="G55" s="28"/>
      <c r="H55" s="29"/>
    </row>
    <row r="56" spans="2:8" ht="15.75" customHeight="1" x14ac:dyDescent="0.2">
      <c r="B56" s="24" t="s">
        <v>99</v>
      </c>
      <c r="C56" s="25"/>
      <c r="D56" s="25"/>
      <c r="E56" s="26"/>
      <c r="F56" s="27"/>
      <c r="G56" s="28"/>
      <c r="H56" s="29"/>
    </row>
    <row r="57" spans="2:8" ht="15.75" customHeight="1" x14ac:dyDescent="0.2">
      <c r="B57" s="25" t="s">
        <v>249</v>
      </c>
      <c r="C57" s="25" t="s">
        <v>250</v>
      </c>
      <c r="D57" s="25"/>
      <c r="E57" s="26">
        <v>16436.810000000001</v>
      </c>
      <c r="F57" s="27">
        <v>707.53</v>
      </c>
      <c r="G57" s="28">
        <v>0.2261</v>
      </c>
      <c r="H57" s="29"/>
    </row>
    <row r="58" spans="2:8" ht="15.75" customHeight="1" x14ac:dyDescent="0.2">
      <c r="B58" s="25"/>
      <c r="C58" s="25"/>
      <c r="D58" s="25"/>
      <c r="E58" s="26"/>
      <c r="F58" s="27"/>
      <c r="G58" s="28"/>
      <c r="H58" s="29"/>
    </row>
    <row r="59" spans="2:8" ht="15.75" customHeight="1" x14ac:dyDescent="0.2">
      <c r="B59" s="36" t="s">
        <v>97</v>
      </c>
      <c r="C59" s="36"/>
      <c r="D59" s="36"/>
      <c r="E59" s="37"/>
      <c r="F59" s="31">
        <v>707.53</v>
      </c>
      <c r="G59" s="32">
        <v>0.2261</v>
      </c>
      <c r="H59" s="33"/>
    </row>
    <row r="60" spans="2:8" ht="15.75" customHeight="1" x14ac:dyDescent="0.2">
      <c r="B60" s="25"/>
      <c r="C60" s="25"/>
      <c r="D60" s="25"/>
      <c r="E60" s="26"/>
      <c r="F60" s="27"/>
      <c r="G60" s="28"/>
      <c r="H60" s="29"/>
    </row>
    <row r="61" spans="2:8" ht="15.75" customHeight="1" x14ac:dyDescent="0.2">
      <c r="B61" s="24" t="s">
        <v>100</v>
      </c>
      <c r="C61" s="25"/>
      <c r="D61" s="25"/>
      <c r="E61" s="26"/>
      <c r="F61" s="27"/>
      <c r="G61" s="28"/>
      <c r="H61" s="29"/>
    </row>
    <row r="62" spans="2:8" ht="15.75" customHeight="1" x14ac:dyDescent="0.2">
      <c r="B62" s="25" t="s">
        <v>101</v>
      </c>
      <c r="C62" s="25"/>
      <c r="D62" s="25"/>
      <c r="E62" s="26"/>
      <c r="F62" s="27">
        <v>329.63</v>
      </c>
      <c r="G62" s="28">
        <v>0.1053</v>
      </c>
      <c r="H62" s="29"/>
    </row>
    <row r="63" spans="2:8" ht="15.75" customHeight="1" x14ac:dyDescent="0.2">
      <c r="B63" s="24" t="s">
        <v>93</v>
      </c>
      <c r="C63" s="24"/>
      <c r="D63" s="24"/>
      <c r="E63" s="30"/>
      <c r="F63" s="31">
        <v>329.63</v>
      </c>
      <c r="G63" s="32">
        <v>0.1053</v>
      </c>
      <c r="H63" s="33"/>
    </row>
    <row r="64" spans="2:8" ht="15.75" customHeight="1" x14ac:dyDescent="0.2">
      <c r="B64" s="25"/>
      <c r="C64" s="25"/>
      <c r="D64" s="25"/>
      <c r="E64" s="26"/>
      <c r="F64" s="27"/>
      <c r="G64" s="28"/>
      <c r="H64" s="29"/>
    </row>
    <row r="65" spans="2:16" ht="15.75" customHeight="1" x14ac:dyDescent="0.2">
      <c r="B65" s="36" t="s">
        <v>97</v>
      </c>
      <c r="C65" s="36"/>
      <c r="D65" s="36"/>
      <c r="E65" s="37"/>
      <c r="F65" s="31">
        <v>329.63</v>
      </c>
      <c r="G65" s="32">
        <v>0.1053</v>
      </c>
      <c r="H65" s="33"/>
    </row>
    <row r="66" spans="2:16" ht="15.75" customHeight="1" x14ac:dyDescent="0.2">
      <c r="B66" s="25" t="s">
        <v>102</v>
      </c>
      <c r="C66" s="25"/>
      <c r="D66" s="25"/>
      <c r="E66" s="26"/>
      <c r="F66" s="38">
        <v>-21.65</v>
      </c>
      <c r="G66" s="39">
        <v>-6.8999999999999062E-3</v>
      </c>
      <c r="H66" s="29"/>
    </row>
    <row r="67" spans="2:16" ht="15.75" customHeight="1" x14ac:dyDescent="0.2">
      <c r="B67" s="40" t="s">
        <v>103</v>
      </c>
      <c r="C67" s="40"/>
      <c r="D67" s="40"/>
      <c r="E67" s="41"/>
      <c r="F67" s="42">
        <v>3129.8</v>
      </c>
      <c r="G67" s="43">
        <v>1</v>
      </c>
      <c r="H67" s="44"/>
    </row>
    <row r="68" spans="2:16" ht="15.75" customHeight="1" x14ac:dyDescent="0.2">
      <c r="B68" s="2"/>
      <c r="L68" s="3"/>
    </row>
    <row r="69" spans="2:16" ht="15.75" customHeight="1" x14ac:dyDescent="0.2">
      <c r="B69" s="53"/>
    </row>
    <row r="70" spans="2:16" ht="15.75" customHeight="1" x14ac:dyDescent="0.2">
      <c r="B70" s="9" t="s">
        <v>254</v>
      </c>
      <c r="L70" s="3"/>
    </row>
    <row r="71" spans="2:16" ht="15.75" customHeight="1" x14ac:dyDescent="0.2">
      <c r="B71" s="9" t="s">
        <v>255</v>
      </c>
      <c r="L71" s="3"/>
    </row>
    <row r="72" spans="2:16" ht="15.75" customHeight="1" x14ac:dyDescent="0.2">
      <c r="B72" s="13" t="s">
        <v>251</v>
      </c>
      <c r="C72" s="50" t="s">
        <v>2</v>
      </c>
      <c r="D72" s="51" t="s">
        <v>3</v>
      </c>
      <c r="E72" s="52" t="s">
        <v>252</v>
      </c>
      <c r="L72" s="3"/>
    </row>
    <row r="73" spans="2:16" ht="15.75" customHeight="1" x14ac:dyDescent="0.2">
      <c r="B73" s="46" t="s">
        <v>159</v>
      </c>
      <c r="C73" s="47">
        <v>-24700</v>
      </c>
      <c r="D73" s="48">
        <v>-93.12</v>
      </c>
      <c r="E73" s="49">
        <v>-2.98E-2</v>
      </c>
      <c r="L73" s="3"/>
    </row>
    <row r="74" spans="2:16" ht="15.75" customHeight="1" x14ac:dyDescent="0.2">
      <c r="B74" s="46" t="s">
        <v>222</v>
      </c>
      <c r="C74" s="47">
        <v>-375</v>
      </c>
      <c r="D74" s="48">
        <v>-21.88</v>
      </c>
      <c r="E74" s="49">
        <v>-7.0000000000000001E-3</v>
      </c>
      <c r="L74" s="3"/>
    </row>
    <row r="75" spans="2:16" ht="15.75" customHeight="1" x14ac:dyDescent="0.2">
      <c r="B75" s="46" t="s">
        <v>186</v>
      </c>
      <c r="C75" s="47">
        <v>-4500</v>
      </c>
      <c r="D75" s="48">
        <v>-62.14</v>
      </c>
      <c r="E75" s="49">
        <v>-1.9900000000000001E-2</v>
      </c>
      <c r="L75" s="5"/>
      <c r="M75" s="5"/>
      <c r="N75" s="6"/>
      <c r="O75" s="6"/>
      <c r="P75" s="5"/>
    </row>
    <row r="76" spans="2:16" ht="15.75" customHeight="1" x14ac:dyDescent="0.2">
      <c r="B76" s="46" t="s">
        <v>245</v>
      </c>
      <c r="C76" s="47">
        <v>-2700</v>
      </c>
      <c r="D76" s="48">
        <v>-10.82</v>
      </c>
      <c r="E76" s="49">
        <v>-3.5000000000000001E-3</v>
      </c>
    </row>
    <row r="77" spans="2:16" ht="15.75" customHeight="1" x14ac:dyDescent="0.2">
      <c r="B77" s="46" t="s">
        <v>122</v>
      </c>
      <c r="C77" s="47">
        <v>-400</v>
      </c>
      <c r="D77" s="48">
        <v>-6.21</v>
      </c>
      <c r="E77" s="49">
        <v>-2E-3</v>
      </c>
    </row>
    <row r="78" spans="2:16" ht="15.75" customHeight="1" x14ac:dyDescent="0.2">
      <c r="B78" s="46" t="s">
        <v>165</v>
      </c>
      <c r="C78" s="47">
        <v>-2800</v>
      </c>
      <c r="D78" s="48">
        <v>-86.28</v>
      </c>
      <c r="E78" s="49">
        <v>-2.76E-2</v>
      </c>
      <c r="L78" s="7"/>
      <c r="M78" s="7"/>
      <c r="N78" s="7"/>
      <c r="O78" s="7"/>
      <c r="P78" s="7"/>
    </row>
    <row r="79" spans="2:16" ht="15.75" customHeight="1" x14ac:dyDescent="0.2">
      <c r="B79" s="46" t="s">
        <v>240</v>
      </c>
      <c r="C79" s="47">
        <v>-400</v>
      </c>
      <c r="D79" s="48">
        <v>-13.72</v>
      </c>
      <c r="E79" s="49">
        <v>-4.4000000000000003E-3</v>
      </c>
      <c r="L79" s="7"/>
      <c r="M79" s="7"/>
      <c r="N79" s="7"/>
      <c r="O79" s="7"/>
      <c r="P79" s="7"/>
    </row>
    <row r="80" spans="2:16" ht="15.75" customHeight="1" x14ac:dyDescent="0.2">
      <c r="B80" s="46" t="s">
        <v>195</v>
      </c>
      <c r="C80" s="47">
        <v>-5000</v>
      </c>
      <c r="D80" s="48">
        <v>-56.92</v>
      </c>
      <c r="E80" s="49">
        <v>-1.8200000000000001E-2</v>
      </c>
      <c r="L80" s="7"/>
      <c r="M80" s="7"/>
      <c r="N80" s="7"/>
      <c r="O80" s="7"/>
      <c r="P80" s="7"/>
    </row>
    <row r="81" spans="2:16" ht="15.75" customHeight="1" x14ac:dyDescent="0.2">
      <c r="B81" s="46" t="s">
        <v>212</v>
      </c>
      <c r="C81" s="47">
        <v>-22500</v>
      </c>
      <c r="D81" s="48">
        <v>-38.15</v>
      </c>
      <c r="E81" s="49">
        <v>-1.2200000000000001E-2</v>
      </c>
      <c r="L81" s="7"/>
      <c r="M81" s="7"/>
      <c r="N81" s="7"/>
      <c r="O81" s="7"/>
      <c r="P81" s="7"/>
    </row>
    <row r="82" spans="2:16" ht="15.75" customHeight="1" x14ac:dyDescent="0.2">
      <c r="B82" s="46" t="s">
        <v>242</v>
      </c>
      <c r="C82" s="47">
        <v>-6800</v>
      </c>
      <c r="D82" s="48">
        <v>-13.65</v>
      </c>
      <c r="E82" s="49">
        <v>-4.4000000000000003E-3</v>
      </c>
      <c r="L82" s="7"/>
      <c r="M82" s="7"/>
      <c r="N82" s="7"/>
      <c r="O82" s="7"/>
      <c r="P82" s="7"/>
    </row>
    <row r="83" spans="2:16" ht="15.75" customHeight="1" x14ac:dyDescent="0.2">
      <c r="B83" s="46" t="s">
        <v>231</v>
      </c>
      <c r="C83" s="47">
        <v>-3000</v>
      </c>
      <c r="D83" s="48">
        <v>-19.670000000000002</v>
      </c>
      <c r="E83" s="49">
        <v>-6.3E-3</v>
      </c>
      <c r="L83" s="7"/>
      <c r="M83" s="7"/>
      <c r="N83" s="7"/>
      <c r="O83" s="7"/>
      <c r="P83" s="7"/>
    </row>
    <row r="84" spans="2:16" ht="15.75" customHeight="1" x14ac:dyDescent="0.2">
      <c r="B84" s="46" t="s">
        <v>229</v>
      </c>
      <c r="C84" s="47">
        <v>-3600</v>
      </c>
      <c r="D84" s="48">
        <v>-19.940000000000001</v>
      </c>
      <c r="E84" s="49">
        <v>-6.4000000000000003E-3</v>
      </c>
      <c r="L84" s="7"/>
      <c r="M84" s="7"/>
      <c r="N84" s="7"/>
      <c r="O84" s="7"/>
      <c r="P84" s="7"/>
    </row>
    <row r="85" spans="2:16" ht="15.75" customHeight="1" x14ac:dyDescent="0.2">
      <c r="B85" s="46" t="s">
        <v>155</v>
      </c>
      <c r="C85" s="47">
        <v>-87500</v>
      </c>
      <c r="D85" s="48">
        <v>-246.75</v>
      </c>
      <c r="E85" s="49">
        <v>-7.8799999999999995E-2</v>
      </c>
    </row>
    <row r="86" spans="2:16" ht="15.75" customHeight="1" x14ac:dyDescent="0.2">
      <c r="B86" s="46" t="s">
        <v>162</v>
      </c>
      <c r="C86" s="47">
        <v>-20000</v>
      </c>
      <c r="D86" s="48">
        <v>-88.4</v>
      </c>
      <c r="E86" s="49">
        <v>-2.8199999999999999E-2</v>
      </c>
      <c r="L86" s="3"/>
    </row>
    <row r="87" spans="2:16" ht="15.75" customHeight="1" x14ac:dyDescent="0.2">
      <c r="B87" s="46" t="s">
        <v>174</v>
      </c>
      <c r="C87" s="47">
        <v>-48600</v>
      </c>
      <c r="D87" s="48">
        <v>-81.599999999999994</v>
      </c>
      <c r="E87" s="49">
        <v>-2.6100000000000002E-2</v>
      </c>
    </row>
    <row r="88" spans="2:16" ht="15.75" customHeight="1" x14ac:dyDescent="0.2">
      <c r="B88" s="46" t="s">
        <v>235</v>
      </c>
      <c r="C88" s="47">
        <v>-250</v>
      </c>
      <c r="D88" s="48">
        <v>-14.39</v>
      </c>
      <c r="E88" s="49">
        <v>-4.5999999999999999E-3</v>
      </c>
    </row>
    <row r="89" spans="2:16" ht="15.75" customHeight="1" x14ac:dyDescent="0.2">
      <c r="B89" s="46" t="s">
        <v>247</v>
      </c>
      <c r="C89" s="47">
        <v>-125</v>
      </c>
      <c r="D89" s="48">
        <v>-9.2200000000000006</v>
      </c>
      <c r="E89" s="49">
        <v>-2.8999999999999998E-3</v>
      </c>
    </row>
    <row r="90" spans="2:16" ht="15.75" customHeight="1" x14ac:dyDescent="0.2">
      <c r="B90" s="46" t="s">
        <v>224</v>
      </c>
      <c r="C90" s="47">
        <v>-950</v>
      </c>
      <c r="D90" s="48">
        <v>-20.47</v>
      </c>
      <c r="E90" s="49">
        <v>-6.4999999999999997E-3</v>
      </c>
    </row>
    <row r="91" spans="2:16" ht="15.75" customHeight="1" x14ac:dyDescent="0.2">
      <c r="B91" s="46" t="s">
        <v>218</v>
      </c>
      <c r="C91" s="47">
        <v>-24000</v>
      </c>
      <c r="D91" s="48">
        <v>-23.14</v>
      </c>
      <c r="E91" s="49">
        <v>-7.4000000000000003E-3</v>
      </c>
    </row>
    <row r="92" spans="2:16" ht="15.75" customHeight="1" x14ac:dyDescent="0.2">
      <c r="B92" s="46" t="s">
        <v>215</v>
      </c>
      <c r="C92" s="47">
        <v>-2700</v>
      </c>
      <c r="D92" s="48">
        <v>-29.26</v>
      </c>
      <c r="E92" s="49">
        <v>-9.4000000000000004E-3</v>
      </c>
    </row>
    <row r="93" spans="2:16" ht="15.75" customHeight="1" x14ac:dyDescent="0.2">
      <c r="B93" s="46" t="s">
        <v>210</v>
      </c>
      <c r="C93" s="47">
        <v>-27500</v>
      </c>
      <c r="D93" s="48">
        <v>-38.68</v>
      </c>
      <c r="E93" s="49">
        <v>-1.24E-2</v>
      </c>
    </row>
    <row r="94" spans="2:16" ht="15.75" customHeight="1" x14ac:dyDescent="0.2">
      <c r="B94" s="46" t="s">
        <v>157</v>
      </c>
      <c r="C94" s="47">
        <v>-24000</v>
      </c>
      <c r="D94" s="48">
        <v>-111.88</v>
      </c>
      <c r="E94" s="49">
        <v>-3.5700000000000003E-2</v>
      </c>
    </row>
    <row r="95" spans="2:16" ht="15.75" customHeight="1" x14ac:dyDescent="0.2">
      <c r="B95" s="46" t="s">
        <v>168</v>
      </c>
      <c r="C95" s="47">
        <v>-11250</v>
      </c>
      <c r="D95" s="48">
        <v>-84.77</v>
      </c>
      <c r="E95" s="49">
        <v>-2.7099999999999999E-2</v>
      </c>
    </row>
    <row r="96" spans="2:16" ht="15.75" customHeight="1" x14ac:dyDescent="0.2">
      <c r="B96" s="46" t="s">
        <v>207</v>
      </c>
      <c r="C96" s="47">
        <v>-18000</v>
      </c>
      <c r="D96" s="48">
        <v>-40.340000000000003</v>
      </c>
      <c r="E96" s="49">
        <v>-1.29E-2</v>
      </c>
    </row>
    <row r="97" spans="2:5" ht="15.75" customHeight="1" x14ac:dyDescent="0.2">
      <c r="B97" s="46" t="s">
        <v>179</v>
      </c>
      <c r="C97" s="47">
        <v>-32175</v>
      </c>
      <c r="D97" s="48">
        <v>-75.02</v>
      </c>
      <c r="E97" s="49">
        <v>-2.4E-2</v>
      </c>
    </row>
    <row r="98" spans="2:5" ht="15.75" customHeight="1" x14ac:dyDescent="0.2">
      <c r="B98" s="46" t="s">
        <v>205</v>
      </c>
      <c r="C98" s="47">
        <v>-4725</v>
      </c>
      <c r="D98" s="48">
        <v>-41.9</v>
      </c>
      <c r="E98" s="49">
        <v>-1.34E-2</v>
      </c>
    </row>
    <row r="99" spans="2:5" ht="15.75" customHeight="1" x14ac:dyDescent="0.2">
      <c r="B99" s="46" t="s">
        <v>127</v>
      </c>
      <c r="C99" s="47">
        <v>-900</v>
      </c>
      <c r="D99" s="48">
        <v>-24.13</v>
      </c>
      <c r="E99" s="49">
        <v>-7.7000000000000002E-3</v>
      </c>
    </row>
    <row r="100" spans="2:5" ht="15.75" customHeight="1" x14ac:dyDescent="0.2">
      <c r="B100" s="46" t="s">
        <v>200</v>
      </c>
      <c r="C100" s="47">
        <v>-13500</v>
      </c>
      <c r="D100" s="48">
        <v>-45.13</v>
      </c>
      <c r="E100" s="49">
        <v>-1.44E-2</v>
      </c>
    </row>
    <row r="101" spans="2:5" ht="15.75" customHeight="1" x14ac:dyDescent="0.2">
      <c r="B101" s="46" t="s">
        <v>227</v>
      </c>
      <c r="C101" s="47">
        <v>-525</v>
      </c>
      <c r="D101" s="48">
        <v>-20.04</v>
      </c>
      <c r="E101" s="49">
        <v>-6.4000000000000003E-3</v>
      </c>
    </row>
    <row r="102" spans="2:5" ht="15.75" customHeight="1" x14ac:dyDescent="0.2">
      <c r="B102" s="46" t="s">
        <v>233</v>
      </c>
      <c r="C102" s="47">
        <v>-3600</v>
      </c>
      <c r="D102" s="48">
        <v>-16.34</v>
      </c>
      <c r="E102" s="49">
        <v>-5.1999999999999998E-3</v>
      </c>
    </row>
    <row r="103" spans="2:5" ht="15.75" customHeight="1" x14ac:dyDescent="0.2">
      <c r="B103" s="46" t="s">
        <v>171</v>
      </c>
      <c r="C103" s="47">
        <v>-3000</v>
      </c>
      <c r="D103" s="48">
        <v>-82.25</v>
      </c>
      <c r="E103" s="49">
        <v>-2.63E-2</v>
      </c>
    </row>
    <row r="104" spans="2:5" ht="15.75" customHeight="1" x14ac:dyDescent="0.2">
      <c r="B104" s="46" t="s">
        <v>238</v>
      </c>
      <c r="C104" s="47">
        <v>-1500</v>
      </c>
      <c r="D104" s="48">
        <v>-14.1</v>
      </c>
      <c r="E104" s="49">
        <v>-4.4999999999999997E-3</v>
      </c>
    </row>
    <row r="105" spans="2:5" ht="15.75" customHeight="1" x14ac:dyDescent="0.2">
      <c r="B105" s="46" t="s">
        <v>130</v>
      </c>
      <c r="C105" s="47">
        <v>-4500</v>
      </c>
      <c r="D105" s="48">
        <v>-117.16</v>
      </c>
      <c r="E105" s="49">
        <v>-3.7400000000000003E-2</v>
      </c>
    </row>
    <row r="106" spans="2:5" ht="15.75" customHeight="1" x14ac:dyDescent="0.2">
      <c r="B106" s="46" t="s">
        <v>184</v>
      </c>
      <c r="C106" s="47">
        <v>-3600</v>
      </c>
      <c r="D106" s="48">
        <v>-69.09</v>
      </c>
      <c r="E106" s="49">
        <v>-2.2100000000000002E-2</v>
      </c>
    </row>
    <row r="107" spans="2:5" ht="15.75" customHeight="1" x14ac:dyDescent="0.2">
      <c r="B107" s="46" t="s">
        <v>198</v>
      </c>
      <c r="C107" s="47">
        <v>-4250</v>
      </c>
      <c r="D107" s="48">
        <v>-56.75</v>
      </c>
      <c r="E107" s="49">
        <v>-1.8100000000000002E-2</v>
      </c>
    </row>
    <row r="108" spans="2:5" ht="15.75" customHeight="1" x14ac:dyDescent="0.2">
      <c r="B108" s="46" t="s">
        <v>189</v>
      </c>
      <c r="C108" s="47">
        <v>-1500</v>
      </c>
      <c r="D108" s="48">
        <v>-60.76</v>
      </c>
      <c r="E108" s="49">
        <v>-1.9400000000000001E-2</v>
      </c>
    </row>
    <row r="109" spans="2:5" ht="15.75" customHeight="1" x14ac:dyDescent="0.2">
      <c r="B109" s="46" t="s">
        <v>177</v>
      </c>
      <c r="C109" s="47">
        <v>-9975</v>
      </c>
      <c r="D109" s="48">
        <v>-78.48</v>
      </c>
      <c r="E109" s="49">
        <v>-2.5100000000000001E-2</v>
      </c>
    </row>
    <row r="110" spans="2:5" ht="15.75" customHeight="1" x14ac:dyDescent="0.2">
      <c r="B110" s="46" t="s">
        <v>220</v>
      </c>
      <c r="C110" s="47">
        <v>-1800</v>
      </c>
      <c r="D110" s="48">
        <v>-23.07</v>
      </c>
      <c r="E110" s="49">
        <v>-7.4000000000000003E-3</v>
      </c>
    </row>
    <row r="111" spans="2:5" ht="15.75" customHeight="1" x14ac:dyDescent="0.2">
      <c r="B111" s="46" t="s">
        <v>181</v>
      </c>
      <c r="C111" s="47">
        <v>-27600</v>
      </c>
      <c r="D111" s="48">
        <v>-72.02</v>
      </c>
      <c r="E111" s="49">
        <v>-2.3E-2</v>
      </c>
    </row>
    <row r="112" spans="2:5" ht="15.75" customHeight="1" x14ac:dyDescent="0.2">
      <c r="B112" s="46" t="s">
        <v>203</v>
      </c>
      <c r="C112" s="47">
        <v>-6300</v>
      </c>
      <c r="D112" s="48">
        <v>-43.82</v>
      </c>
      <c r="E112" s="49">
        <v>-1.4E-2</v>
      </c>
    </row>
    <row r="113" spans="2:8" ht="15.75" customHeight="1" x14ac:dyDescent="0.2">
      <c r="B113" s="46" t="s">
        <v>192</v>
      </c>
      <c r="C113" s="47">
        <v>-5500</v>
      </c>
      <c r="D113" s="48">
        <v>-60.06</v>
      </c>
      <c r="E113" s="49">
        <v>-1.9199999999999998E-2</v>
      </c>
    </row>
    <row r="114" spans="2:8" ht="15.75" customHeight="1" x14ac:dyDescent="0.2">
      <c r="B114" s="13" t="s">
        <v>253</v>
      </c>
      <c r="C114" s="50">
        <v>-466600</v>
      </c>
      <c r="D114" s="51">
        <v>-2131.52</v>
      </c>
      <c r="E114" s="52">
        <v>-0.68130000000000002</v>
      </c>
    </row>
    <row r="115" spans="2:8" ht="15.75" customHeight="1" thickBot="1" x14ac:dyDescent="0.25"/>
    <row r="116" spans="2:8" ht="27" customHeight="1" thickBot="1" x14ac:dyDescent="0.25">
      <c r="B116" s="57" t="s">
        <v>806</v>
      </c>
      <c r="C116" s="58" t="s">
        <v>807</v>
      </c>
      <c r="D116" s="58" t="s">
        <v>808</v>
      </c>
      <c r="E116" s="59" t="s">
        <v>809</v>
      </c>
      <c r="G116" s="2"/>
      <c r="H116" s="2"/>
    </row>
    <row r="117" spans="2:8" ht="28.5" customHeight="1" x14ac:dyDescent="0.2">
      <c r="B117" s="60" t="s">
        <v>810</v>
      </c>
      <c r="C117" s="76"/>
      <c r="D117" s="78" t="s">
        <v>811</v>
      </c>
      <c r="E117" s="80"/>
      <c r="G117" s="2"/>
      <c r="H117" s="2"/>
    </row>
    <row r="118" spans="2:8" ht="28.5" customHeight="1" x14ac:dyDescent="0.2">
      <c r="B118" s="61" t="s">
        <v>812</v>
      </c>
      <c r="C118" s="76"/>
      <c r="D118" s="79"/>
      <c r="E118" s="81"/>
      <c r="G118" s="2"/>
      <c r="H118" s="2"/>
    </row>
    <row r="119" spans="2:8" ht="55.5" customHeight="1" x14ac:dyDescent="0.2">
      <c r="B119" s="61" t="s">
        <v>813</v>
      </c>
      <c r="C119" s="76"/>
      <c r="D119" s="79"/>
      <c r="E119" s="81"/>
      <c r="G119" s="2"/>
      <c r="H119" s="2"/>
    </row>
    <row r="120" spans="2:8" ht="28.5" customHeight="1" thickBot="1" x14ac:dyDescent="0.25">
      <c r="B120" s="62" t="s">
        <v>814</v>
      </c>
      <c r="C120" s="77"/>
      <c r="D120" s="63" t="s">
        <v>814</v>
      </c>
      <c r="E120" s="82"/>
      <c r="G120" s="2"/>
      <c r="H120" s="2"/>
    </row>
    <row r="121" spans="2:8" ht="24.95" customHeight="1" x14ac:dyDescent="0.2">
      <c r="B121" s="64" t="s">
        <v>815</v>
      </c>
      <c r="C121" s="65"/>
      <c r="D121" s="66"/>
      <c r="E121" s="67"/>
      <c r="G121" s="2"/>
      <c r="H121" s="2"/>
    </row>
    <row r="123" spans="2:8" ht="12" x14ac:dyDescent="0.2">
      <c r="B123" s="2" t="s">
        <v>816</v>
      </c>
      <c r="C123" s="2"/>
      <c r="D123" s="2"/>
      <c r="G123" s="2"/>
      <c r="H123" s="2"/>
    </row>
    <row r="124" spans="2:8" ht="12" x14ac:dyDescent="0.2">
      <c r="B124" s="3" t="s">
        <v>817</v>
      </c>
      <c r="C124" s="2"/>
      <c r="D124" s="2"/>
      <c r="G124" s="2"/>
      <c r="H124" s="2"/>
    </row>
  </sheetData>
  <mergeCells count="3">
    <mergeCell ref="C117:C120"/>
    <mergeCell ref="D117:D119"/>
    <mergeCell ref="E117:E120"/>
  </mergeCells>
  <hyperlinks>
    <hyperlink ref="I1" location="'Sheet1'!A1" display="Index" xr:uid="{9C797C36-9504-4B32-AFDB-34F7876BA65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1FE14-4AD7-47D9-9263-27972BC46521}">
  <dimension ref="B1:P127"/>
  <sheetViews>
    <sheetView workbookViewId="0"/>
  </sheetViews>
  <sheetFormatPr defaultColWidth="9.140625" defaultRowHeight="15.75" customHeight="1" x14ac:dyDescent="0.2"/>
  <cols>
    <col min="1" max="1" width="3.5703125" style="2" customWidth="1"/>
    <col min="2" max="2" width="43.5703125" style="9" bestFit="1" customWidth="1"/>
    <col min="3" max="3" width="25.85546875" style="9" customWidth="1"/>
    <col min="4" max="4" width="33.42578125" style="9" bestFit="1" customWidth="1"/>
    <col min="5" max="5" width="33"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562626</v>
      </c>
      <c r="F7" s="27">
        <v>9616.68</v>
      </c>
      <c r="G7" s="28">
        <v>9.8199999999999996E-2</v>
      </c>
      <c r="H7" s="29"/>
    </row>
    <row r="8" spans="2:9" ht="15.75" customHeight="1" x14ac:dyDescent="0.2">
      <c r="B8" s="25" t="s">
        <v>119</v>
      </c>
      <c r="C8" s="25" t="s">
        <v>120</v>
      </c>
      <c r="D8" s="25" t="s">
        <v>121</v>
      </c>
      <c r="E8" s="26">
        <v>829488</v>
      </c>
      <c r="F8" s="27">
        <v>8266.68</v>
      </c>
      <c r="G8" s="28">
        <v>8.4400000000000003E-2</v>
      </c>
      <c r="H8" s="29"/>
    </row>
    <row r="9" spans="2:9" ht="15.75" customHeight="1" x14ac:dyDescent="0.2">
      <c r="B9" s="25" t="s">
        <v>130</v>
      </c>
      <c r="C9" s="25" t="s">
        <v>131</v>
      </c>
      <c r="D9" s="25" t="s">
        <v>132</v>
      </c>
      <c r="E9" s="26">
        <v>217993</v>
      </c>
      <c r="F9" s="27">
        <v>5635.01</v>
      </c>
      <c r="G9" s="28">
        <v>5.7500000000000002E-2</v>
      </c>
      <c r="H9" s="29"/>
    </row>
    <row r="10" spans="2:9" ht="15.75" customHeight="1" x14ac:dyDescent="0.2">
      <c r="B10" s="25" t="s">
        <v>256</v>
      </c>
      <c r="C10" s="25" t="s">
        <v>257</v>
      </c>
      <c r="D10" s="25" t="s">
        <v>121</v>
      </c>
      <c r="E10" s="26">
        <v>816965</v>
      </c>
      <c r="F10" s="27">
        <v>5245.32</v>
      </c>
      <c r="G10" s="28">
        <v>5.3499999999999999E-2</v>
      </c>
      <c r="H10" s="29"/>
    </row>
    <row r="11" spans="2:9" ht="15.75" customHeight="1" x14ac:dyDescent="0.2">
      <c r="B11" s="25" t="s">
        <v>122</v>
      </c>
      <c r="C11" s="25" t="s">
        <v>123</v>
      </c>
      <c r="D11" s="25" t="s">
        <v>124</v>
      </c>
      <c r="E11" s="26">
        <v>267288</v>
      </c>
      <c r="F11" s="27">
        <v>4123.99</v>
      </c>
      <c r="G11" s="28">
        <v>4.2099999999999999E-2</v>
      </c>
      <c r="H11" s="29"/>
    </row>
    <row r="12" spans="2:9" ht="15.75" customHeight="1" x14ac:dyDescent="0.2">
      <c r="B12" s="25" t="s">
        <v>157</v>
      </c>
      <c r="C12" s="25" t="s">
        <v>158</v>
      </c>
      <c r="D12" s="25" t="s">
        <v>129</v>
      </c>
      <c r="E12" s="26">
        <v>837182</v>
      </c>
      <c r="F12" s="27">
        <v>3868.62</v>
      </c>
      <c r="G12" s="28">
        <v>3.95E-2</v>
      </c>
      <c r="H12" s="29"/>
    </row>
    <row r="13" spans="2:9" ht="15.75" customHeight="1" x14ac:dyDescent="0.2">
      <c r="B13" s="25" t="s">
        <v>227</v>
      </c>
      <c r="C13" s="25" t="s">
        <v>228</v>
      </c>
      <c r="D13" s="25" t="s">
        <v>124</v>
      </c>
      <c r="E13" s="26">
        <v>81079</v>
      </c>
      <c r="F13" s="27">
        <v>3075.65</v>
      </c>
      <c r="G13" s="28">
        <v>3.1399999999999997E-2</v>
      </c>
      <c r="H13" s="29"/>
    </row>
    <row r="14" spans="2:9" ht="15.75" customHeight="1" x14ac:dyDescent="0.2">
      <c r="B14" s="25" t="s">
        <v>127</v>
      </c>
      <c r="C14" s="25" t="s">
        <v>128</v>
      </c>
      <c r="D14" s="25" t="s">
        <v>129</v>
      </c>
      <c r="E14" s="26">
        <v>107481</v>
      </c>
      <c r="F14" s="27">
        <v>2863.24</v>
      </c>
      <c r="G14" s="28">
        <v>2.92E-2</v>
      </c>
      <c r="H14" s="29"/>
    </row>
    <row r="15" spans="2:9" ht="15.75" customHeight="1" x14ac:dyDescent="0.2">
      <c r="B15" s="25" t="s">
        <v>136</v>
      </c>
      <c r="C15" s="25" t="s">
        <v>137</v>
      </c>
      <c r="D15" s="25" t="s">
        <v>138</v>
      </c>
      <c r="E15" s="26">
        <v>158647</v>
      </c>
      <c r="F15" s="27">
        <v>2743.64</v>
      </c>
      <c r="G15" s="28">
        <v>2.8000000000000001E-2</v>
      </c>
      <c r="H15" s="29"/>
    </row>
    <row r="16" spans="2:9" ht="15.75" customHeight="1" x14ac:dyDescent="0.2">
      <c r="B16" s="25" t="s">
        <v>184</v>
      </c>
      <c r="C16" s="25" t="s">
        <v>185</v>
      </c>
      <c r="D16" s="25" t="s">
        <v>121</v>
      </c>
      <c r="E16" s="26">
        <v>125198</v>
      </c>
      <c r="F16" s="27">
        <v>2388.9</v>
      </c>
      <c r="G16" s="28">
        <v>2.4400000000000002E-2</v>
      </c>
      <c r="H16" s="29"/>
    </row>
    <row r="17" spans="2:8" ht="15.75" customHeight="1" x14ac:dyDescent="0.2">
      <c r="B17" s="25" t="s">
        <v>258</v>
      </c>
      <c r="C17" s="25" t="s">
        <v>259</v>
      </c>
      <c r="D17" s="25" t="s">
        <v>121</v>
      </c>
      <c r="E17" s="26">
        <v>175849</v>
      </c>
      <c r="F17" s="27">
        <v>1938.38</v>
      </c>
      <c r="G17" s="28">
        <v>1.9800000000000002E-2</v>
      </c>
      <c r="H17" s="29"/>
    </row>
    <row r="18" spans="2:8" ht="15.75" customHeight="1" x14ac:dyDescent="0.2">
      <c r="B18" s="25" t="s">
        <v>247</v>
      </c>
      <c r="C18" s="25" t="s">
        <v>248</v>
      </c>
      <c r="D18" s="25" t="s">
        <v>176</v>
      </c>
      <c r="E18" s="26">
        <v>26123</v>
      </c>
      <c r="F18" s="27">
        <v>1914.23</v>
      </c>
      <c r="G18" s="28">
        <v>1.95E-2</v>
      </c>
      <c r="H18" s="29"/>
    </row>
    <row r="19" spans="2:8" ht="15.75" customHeight="1" x14ac:dyDescent="0.2">
      <c r="B19" s="25" t="s">
        <v>260</v>
      </c>
      <c r="C19" s="25" t="s">
        <v>261</v>
      </c>
      <c r="D19" s="25" t="s">
        <v>138</v>
      </c>
      <c r="E19" s="26">
        <v>36597</v>
      </c>
      <c r="F19" s="27">
        <v>1516.4</v>
      </c>
      <c r="G19" s="28">
        <v>1.55E-2</v>
      </c>
      <c r="H19" s="29"/>
    </row>
    <row r="20" spans="2:8" ht="15.75" customHeight="1" x14ac:dyDescent="0.2">
      <c r="B20" s="25" t="s">
        <v>262</v>
      </c>
      <c r="C20" s="25" t="s">
        <v>263</v>
      </c>
      <c r="D20" s="25" t="s">
        <v>124</v>
      </c>
      <c r="E20" s="26">
        <v>85652</v>
      </c>
      <c r="F20" s="27">
        <v>1255.74</v>
      </c>
      <c r="G20" s="28">
        <v>1.2800000000000001E-2</v>
      </c>
      <c r="H20" s="29"/>
    </row>
    <row r="21" spans="2:8" ht="15.75" customHeight="1" x14ac:dyDescent="0.2">
      <c r="B21" s="25" t="s">
        <v>264</v>
      </c>
      <c r="C21" s="25" t="s">
        <v>265</v>
      </c>
      <c r="D21" s="25" t="s">
        <v>138</v>
      </c>
      <c r="E21" s="26">
        <v>12096</v>
      </c>
      <c r="F21" s="27">
        <v>1246.17</v>
      </c>
      <c r="G21" s="28">
        <v>1.2699999999999999E-2</v>
      </c>
      <c r="H21" s="29"/>
    </row>
    <row r="22" spans="2:8" ht="15.75" customHeight="1" x14ac:dyDescent="0.2">
      <c r="B22" s="25" t="s">
        <v>266</v>
      </c>
      <c r="C22" s="25" t="s">
        <v>267</v>
      </c>
      <c r="D22" s="25" t="s">
        <v>194</v>
      </c>
      <c r="E22" s="26">
        <v>91908</v>
      </c>
      <c r="F22" s="27">
        <v>1145.45</v>
      </c>
      <c r="G22" s="28">
        <v>1.17E-2</v>
      </c>
      <c r="H22" s="29"/>
    </row>
    <row r="23" spans="2:8" ht="15.75" customHeight="1" x14ac:dyDescent="0.2">
      <c r="B23" s="25" t="s">
        <v>268</v>
      </c>
      <c r="C23" s="25" t="s">
        <v>269</v>
      </c>
      <c r="D23" s="25" t="s">
        <v>194</v>
      </c>
      <c r="E23" s="26">
        <v>81100</v>
      </c>
      <c r="F23" s="27">
        <v>1021.41</v>
      </c>
      <c r="G23" s="28">
        <v>1.04E-2</v>
      </c>
      <c r="H23" s="29"/>
    </row>
    <row r="24" spans="2:8" ht="15.75" customHeight="1" x14ac:dyDescent="0.2">
      <c r="B24" s="25" t="s">
        <v>270</v>
      </c>
      <c r="C24" s="25" t="s">
        <v>271</v>
      </c>
      <c r="D24" s="25" t="s">
        <v>176</v>
      </c>
      <c r="E24" s="26">
        <v>46657</v>
      </c>
      <c r="F24" s="27">
        <v>958.01</v>
      </c>
      <c r="G24" s="28">
        <v>9.7999999999999997E-3</v>
      </c>
      <c r="H24" s="29"/>
    </row>
    <row r="25" spans="2:8" ht="15.75" customHeight="1" x14ac:dyDescent="0.2">
      <c r="B25" s="25" t="s">
        <v>235</v>
      </c>
      <c r="C25" s="25" t="s">
        <v>236</v>
      </c>
      <c r="D25" s="25" t="s">
        <v>237</v>
      </c>
      <c r="E25" s="26">
        <v>15469</v>
      </c>
      <c r="F25" s="27">
        <v>882.37</v>
      </c>
      <c r="G25" s="28">
        <v>8.9999999999999993E-3</v>
      </c>
      <c r="H25" s="29"/>
    </row>
    <row r="26" spans="2:8" ht="15.75" customHeight="1" x14ac:dyDescent="0.2">
      <c r="B26" s="25" t="s">
        <v>203</v>
      </c>
      <c r="C26" s="25" t="s">
        <v>204</v>
      </c>
      <c r="D26" s="25" t="s">
        <v>194</v>
      </c>
      <c r="E26" s="26">
        <v>122894</v>
      </c>
      <c r="F26" s="27">
        <v>846.99</v>
      </c>
      <c r="G26" s="28">
        <v>8.6E-3</v>
      </c>
      <c r="H26" s="29"/>
    </row>
    <row r="27" spans="2:8" ht="15.75" customHeight="1" x14ac:dyDescent="0.2">
      <c r="B27" s="25" t="s">
        <v>272</v>
      </c>
      <c r="C27" s="25" t="s">
        <v>273</v>
      </c>
      <c r="D27" s="25" t="s">
        <v>274</v>
      </c>
      <c r="E27" s="26">
        <v>770334</v>
      </c>
      <c r="F27" s="27">
        <v>785.36</v>
      </c>
      <c r="G27" s="28">
        <v>8.0000000000000002E-3</v>
      </c>
      <c r="H27" s="29"/>
    </row>
    <row r="28" spans="2:8" ht="15.75" customHeight="1" x14ac:dyDescent="0.2">
      <c r="B28" s="25" t="s">
        <v>275</v>
      </c>
      <c r="C28" s="25" t="s">
        <v>276</v>
      </c>
      <c r="D28" s="25" t="s">
        <v>138</v>
      </c>
      <c r="E28" s="26">
        <v>16024</v>
      </c>
      <c r="F28" s="27">
        <v>663.32</v>
      </c>
      <c r="G28" s="28">
        <v>6.7999999999999996E-3</v>
      </c>
      <c r="H28" s="29"/>
    </row>
    <row r="29" spans="2:8" ht="15.75" customHeight="1" x14ac:dyDescent="0.2">
      <c r="B29" s="25" t="s">
        <v>277</v>
      </c>
      <c r="C29" s="25" t="s">
        <v>278</v>
      </c>
      <c r="D29" s="25" t="s">
        <v>202</v>
      </c>
      <c r="E29" s="26">
        <v>203406</v>
      </c>
      <c r="F29" s="27">
        <v>632.9</v>
      </c>
      <c r="G29" s="28">
        <v>6.4999999999999997E-3</v>
      </c>
      <c r="H29" s="29"/>
    </row>
    <row r="30" spans="2:8" ht="15.75" customHeight="1" x14ac:dyDescent="0.2">
      <c r="B30" s="25" t="s">
        <v>279</v>
      </c>
      <c r="C30" s="25" t="s">
        <v>280</v>
      </c>
      <c r="D30" s="25" t="s">
        <v>188</v>
      </c>
      <c r="E30" s="26">
        <v>190282</v>
      </c>
      <c r="F30" s="27">
        <v>591.59</v>
      </c>
      <c r="G30" s="28">
        <v>6.0000000000000001E-3</v>
      </c>
      <c r="H30" s="29"/>
    </row>
    <row r="31" spans="2:8" ht="15.75" customHeight="1" x14ac:dyDescent="0.2">
      <c r="B31" s="25" t="s">
        <v>281</v>
      </c>
      <c r="C31" s="25" t="s">
        <v>282</v>
      </c>
      <c r="D31" s="25" t="s">
        <v>202</v>
      </c>
      <c r="E31" s="26">
        <v>229860</v>
      </c>
      <c r="F31" s="27">
        <v>545.23</v>
      </c>
      <c r="G31" s="28">
        <v>5.5999999999999999E-3</v>
      </c>
      <c r="H31" s="29"/>
    </row>
    <row r="32" spans="2:8" ht="15.75" customHeight="1" x14ac:dyDescent="0.2">
      <c r="B32" s="25" t="s">
        <v>283</v>
      </c>
      <c r="C32" s="25" t="s">
        <v>284</v>
      </c>
      <c r="D32" s="25" t="s">
        <v>121</v>
      </c>
      <c r="E32" s="26">
        <v>439584</v>
      </c>
      <c r="F32" s="27">
        <v>494.97</v>
      </c>
      <c r="G32" s="28">
        <v>5.1000000000000004E-3</v>
      </c>
      <c r="H32" s="29"/>
    </row>
    <row r="33" spans="2:8" ht="15.75" customHeight="1" x14ac:dyDescent="0.2">
      <c r="B33" s="25" t="s">
        <v>238</v>
      </c>
      <c r="C33" s="25" t="s">
        <v>239</v>
      </c>
      <c r="D33" s="25" t="s">
        <v>176</v>
      </c>
      <c r="E33" s="26">
        <v>47352</v>
      </c>
      <c r="F33" s="27">
        <v>441.04</v>
      </c>
      <c r="G33" s="28">
        <v>4.4999999999999997E-3</v>
      </c>
      <c r="H33" s="29"/>
    </row>
    <row r="34" spans="2:8" ht="15.75" customHeight="1" x14ac:dyDescent="0.2">
      <c r="B34" s="25" t="s">
        <v>285</v>
      </c>
      <c r="C34" s="25" t="s">
        <v>286</v>
      </c>
      <c r="D34" s="25" t="s">
        <v>173</v>
      </c>
      <c r="E34" s="26">
        <v>16392</v>
      </c>
      <c r="F34" s="27">
        <v>406.4</v>
      </c>
      <c r="G34" s="28">
        <v>4.1000000000000003E-3</v>
      </c>
      <c r="H34" s="29"/>
    </row>
    <row r="35" spans="2:8" ht="15.75" customHeight="1" x14ac:dyDescent="0.2">
      <c r="B35" s="25" t="s">
        <v>224</v>
      </c>
      <c r="C35" s="25" t="s">
        <v>225</v>
      </c>
      <c r="D35" s="25" t="s">
        <v>226</v>
      </c>
      <c r="E35" s="26">
        <v>17742</v>
      </c>
      <c r="F35" s="27">
        <v>378.76</v>
      </c>
      <c r="G35" s="28">
        <v>3.8999999999999998E-3</v>
      </c>
      <c r="H35" s="29"/>
    </row>
    <row r="36" spans="2:8" ht="15.75" customHeight="1" x14ac:dyDescent="0.2">
      <c r="B36" s="25" t="s">
        <v>220</v>
      </c>
      <c r="C36" s="25" t="s">
        <v>221</v>
      </c>
      <c r="D36" s="25" t="s">
        <v>124</v>
      </c>
      <c r="E36" s="26">
        <v>28060</v>
      </c>
      <c r="F36" s="27">
        <v>357.11</v>
      </c>
      <c r="G36" s="28">
        <v>3.5999999999999999E-3</v>
      </c>
      <c r="H36" s="29"/>
    </row>
    <row r="37" spans="2:8" ht="15.75" customHeight="1" x14ac:dyDescent="0.2">
      <c r="B37" s="25" t="s">
        <v>287</v>
      </c>
      <c r="C37" s="25" t="s">
        <v>288</v>
      </c>
      <c r="D37" s="25" t="s">
        <v>289</v>
      </c>
      <c r="E37" s="26">
        <v>164395</v>
      </c>
      <c r="F37" s="27">
        <v>302.82</v>
      </c>
      <c r="G37" s="28">
        <v>3.0999999999999999E-3</v>
      </c>
      <c r="H37" s="29"/>
    </row>
    <row r="38" spans="2:8" ht="15.75" customHeight="1" x14ac:dyDescent="0.2">
      <c r="B38" s="25" t="s">
        <v>290</v>
      </c>
      <c r="C38" s="25" t="s">
        <v>291</v>
      </c>
      <c r="D38" s="25" t="s">
        <v>292</v>
      </c>
      <c r="E38" s="26">
        <v>168909</v>
      </c>
      <c r="F38" s="27">
        <v>289.08999999999997</v>
      </c>
      <c r="G38" s="28">
        <v>3.0000000000000001E-3</v>
      </c>
      <c r="H38" s="29"/>
    </row>
    <row r="39" spans="2:8" ht="15.75" customHeight="1" x14ac:dyDescent="0.2">
      <c r="B39" s="25" t="s">
        <v>293</v>
      </c>
      <c r="C39" s="25" t="s">
        <v>294</v>
      </c>
      <c r="D39" s="25" t="s">
        <v>295</v>
      </c>
      <c r="E39" s="26">
        <v>48123</v>
      </c>
      <c r="F39" s="27">
        <v>257.39</v>
      </c>
      <c r="G39" s="28">
        <v>2.5999999999999999E-3</v>
      </c>
      <c r="H39" s="29"/>
    </row>
    <row r="40" spans="2:8" ht="15.75" customHeight="1" x14ac:dyDescent="0.2">
      <c r="B40" s="25" t="s">
        <v>195</v>
      </c>
      <c r="C40" s="25" t="s">
        <v>196</v>
      </c>
      <c r="D40" s="25" t="s">
        <v>197</v>
      </c>
      <c r="E40" s="26">
        <v>22201</v>
      </c>
      <c r="F40" s="27">
        <v>251.14</v>
      </c>
      <c r="G40" s="28">
        <v>2.5999999999999999E-3</v>
      </c>
      <c r="H40" s="29"/>
    </row>
    <row r="41" spans="2:8" ht="15.75" customHeight="1" x14ac:dyDescent="0.2">
      <c r="B41" s="25" t="s">
        <v>296</v>
      </c>
      <c r="C41" s="25" t="s">
        <v>297</v>
      </c>
      <c r="D41" s="25" t="s">
        <v>298</v>
      </c>
      <c r="E41" s="26">
        <v>15722</v>
      </c>
      <c r="F41" s="27">
        <v>241.62</v>
      </c>
      <c r="G41" s="28">
        <v>2.5000000000000001E-3</v>
      </c>
      <c r="H41" s="29"/>
    </row>
    <row r="42" spans="2:8" ht="15.75" customHeight="1" x14ac:dyDescent="0.2">
      <c r="B42" s="25" t="s">
        <v>299</v>
      </c>
      <c r="C42" s="25" t="s">
        <v>300</v>
      </c>
      <c r="D42" s="25" t="s">
        <v>301</v>
      </c>
      <c r="E42" s="26">
        <v>16572</v>
      </c>
      <c r="F42" s="27">
        <v>198.86</v>
      </c>
      <c r="G42" s="28">
        <v>2E-3</v>
      </c>
      <c r="H42" s="29"/>
    </row>
    <row r="43" spans="2:8" ht="15.75" customHeight="1" x14ac:dyDescent="0.2">
      <c r="B43" s="25" t="s">
        <v>302</v>
      </c>
      <c r="C43" s="25" t="s">
        <v>303</v>
      </c>
      <c r="D43" s="25" t="s">
        <v>167</v>
      </c>
      <c r="E43" s="26">
        <v>48207</v>
      </c>
      <c r="F43" s="27">
        <v>197.72</v>
      </c>
      <c r="G43" s="28">
        <v>2E-3</v>
      </c>
      <c r="H43" s="29"/>
    </row>
    <row r="44" spans="2:8" ht="15.75" customHeight="1" x14ac:dyDescent="0.2">
      <c r="B44" s="25" t="s">
        <v>304</v>
      </c>
      <c r="C44" s="25" t="s">
        <v>305</v>
      </c>
      <c r="D44" s="25" t="s">
        <v>176</v>
      </c>
      <c r="E44" s="26">
        <v>26001</v>
      </c>
      <c r="F44" s="27">
        <v>99.48</v>
      </c>
      <c r="G44" s="28">
        <v>1E-3</v>
      </c>
      <c r="H44" s="29"/>
    </row>
    <row r="45" spans="2:8" ht="15.75" customHeight="1" x14ac:dyDescent="0.2">
      <c r="B45" s="25" t="s">
        <v>306</v>
      </c>
      <c r="C45" s="25" t="s">
        <v>307</v>
      </c>
      <c r="D45" s="25" t="s">
        <v>226</v>
      </c>
      <c r="E45" s="26">
        <v>308</v>
      </c>
      <c r="F45" s="27">
        <v>32.35</v>
      </c>
      <c r="G45" s="28">
        <v>2.9999999999999997E-4</v>
      </c>
      <c r="H45" s="29"/>
    </row>
    <row r="46" spans="2:8" ht="15.75" customHeight="1" x14ac:dyDescent="0.2">
      <c r="B46" s="24" t="s">
        <v>93</v>
      </c>
      <c r="C46" s="24"/>
      <c r="D46" s="24"/>
      <c r="E46" s="30"/>
      <c r="F46" s="31">
        <v>67720.03</v>
      </c>
      <c r="G46" s="32">
        <v>0.69130000000000003</v>
      </c>
      <c r="H46" s="33"/>
    </row>
    <row r="47" spans="2:8" ht="15.75" customHeight="1" x14ac:dyDescent="0.2">
      <c r="B47" s="24" t="s">
        <v>141</v>
      </c>
      <c r="C47" s="25"/>
      <c r="D47" s="25"/>
      <c r="E47" s="26"/>
      <c r="F47" s="27"/>
      <c r="G47" s="28"/>
      <c r="H47" s="29"/>
    </row>
    <row r="48" spans="2:8" ht="15.75" customHeight="1" x14ac:dyDescent="0.2">
      <c r="B48" s="24" t="s">
        <v>93</v>
      </c>
      <c r="C48" s="25"/>
      <c r="D48" s="25"/>
      <c r="E48" s="26"/>
      <c r="F48" s="34" t="s">
        <v>95</v>
      </c>
      <c r="G48" s="35" t="s">
        <v>95</v>
      </c>
      <c r="H48" s="29"/>
    </row>
    <row r="49" spans="2:8" ht="15.75" customHeight="1" x14ac:dyDescent="0.2">
      <c r="B49" s="25"/>
      <c r="C49" s="25"/>
      <c r="D49" s="25"/>
      <c r="E49" s="26"/>
      <c r="F49" s="27"/>
      <c r="G49" s="28"/>
      <c r="H49" s="29"/>
    </row>
    <row r="50" spans="2:8" ht="15.75" customHeight="1" x14ac:dyDescent="0.2">
      <c r="B50" s="36" t="s">
        <v>97</v>
      </c>
      <c r="C50" s="36"/>
      <c r="D50" s="36"/>
      <c r="E50" s="37"/>
      <c r="F50" s="31">
        <v>67720.03</v>
      </c>
      <c r="G50" s="32">
        <v>0.69130000000000003</v>
      </c>
      <c r="H50" s="33"/>
    </row>
    <row r="51" spans="2:8" ht="15.75" customHeight="1" x14ac:dyDescent="0.2">
      <c r="B51" s="25"/>
      <c r="C51" s="25"/>
      <c r="D51" s="25"/>
      <c r="E51" s="26"/>
      <c r="F51" s="27"/>
      <c r="G51" s="28"/>
      <c r="H51" s="29"/>
    </row>
    <row r="52" spans="2:8" ht="15.75" customHeight="1" x14ac:dyDescent="0.2">
      <c r="B52" s="24" t="s">
        <v>82</v>
      </c>
      <c r="C52" s="25"/>
      <c r="D52" s="25"/>
      <c r="E52" s="26"/>
      <c r="F52" s="27"/>
      <c r="G52" s="28"/>
      <c r="H52" s="29"/>
    </row>
    <row r="53" spans="2:8" ht="15.75" customHeight="1" x14ac:dyDescent="0.2">
      <c r="B53" s="24" t="s">
        <v>83</v>
      </c>
      <c r="C53" s="25"/>
      <c r="D53" s="25"/>
      <c r="E53" s="26"/>
      <c r="F53" s="27"/>
      <c r="G53" s="28"/>
      <c r="H53" s="29"/>
    </row>
    <row r="54" spans="2:8" ht="15.75" customHeight="1" x14ac:dyDescent="0.2">
      <c r="B54" s="25" t="s">
        <v>87</v>
      </c>
      <c r="C54" s="25" t="s">
        <v>88</v>
      </c>
      <c r="D54" s="25" t="s">
        <v>84</v>
      </c>
      <c r="E54" s="26">
        <v>9000000</v>
      </c>
      <c r="F54" s="27">
        <v>9260.15</v>
      </c>
      <c r="G54" s="28">
        <v>9.4500000000000001E-2</v>
      </c>
      <c r="H54" s="29">
        <v>7.3424000000000003E-2</v>
      </c>
    </row>
    <row r="55" spans="2:8" ht="15.75" customHeight="1" x14ac:dyDescent="0.2">
      <c r="B55" s="25" t="s">
        <v>308</v>
      </c>
      <c r="C55" s="25" t="s">
        <v>309</v>
      </c>
      <c r="D55" s="25" t="s">
        <v>84</v>
      </c>
      <c r="E55" s="26">
        <v>2500000</v>
      </c>
      <c r="F55" s="27">
        <v>2617.33</v>
      </c>
      <c r="G55" s="28">
        <v>2.6700000000000002E-2</v>
      </c>
      <c r="H55" s="29">
        <v>7.7242000000000005E-2</v>
      </c>
    </row>
    <row r="56" spans="2:8" ht="15.75" customHeight="1" x14ac:dyDescent="0.2">
      <c r="B56" s="25" t="s">
        <v>89</v>
      </c>
      <c r="C56" s="25" t="s">
        <v>90</v>
      </c>
      <c r="D56" s="25" t="s">
        <v>91</v>
      </c>
      <c r="E56" s="26">
        <v>250</v>
      </c>
      <c r="F56" s="27">
        <v>2604.1999999999998</v>
      </c>
      <c r="G56" s="28">
        <v>2.6599999999999999E-2</v>
      </c>
      <c r="H56" s="29">
        <v>7.8700000000000006E-2</v>
      </c>
    </row>
    <row r="57" spans="2:8" ht="15.75" customHeight="1" x14ac:dyDescent="0.2">
      <c r="B57" s="25" t="s">
        <v>85</v>
      </c>
      <c r="C57" s="25" t="s">
        <v>86</v>
      </c>
      <c r="D57" s="25" t="s">
        <v>84</v>
      </c>
      <c r="E57" s="26">
        <v>2500000</v>
      </c>
      <c r="F57" s="27">
        <v>2541.63</v>
      </c>
      <c r="G57" s="28">
        <v>2.5899999999999999E-2</v>
      </c>
      <c r="H57" s="29">
        <v>7.7758999999999995E-2</v>
      </c>
    </row>
    <row r="58" spans="2:8" ht="15.75" customHeight="1" x14ac:dyDescent="0.2">
      <c r="B58" s="25" t="s">
        <v>310</v>
      </c>
      <c r="C58" s="25" t="s">
        <v>311</v>
      </c>
      <c r="D58" s="25" t="s">
        <v>84</v>
      </c>
      <c r="E58" s="26">
        <v>2511400</v>
      </c>
      <c r="F58" s="27">
        <v>2522.2399999999998</v>
      </c>
      <c r="G58" s="28">
        <v>2.5700000000000001E-2</v>
      </c>
      <c r="H58" s="29">
        <v>7.7850000000000003E-2</v>
      </c>
    </row>
    <row r="59" spans="2:8" ht="15.75" customHeight="1" x14ac:dyDescent="0.2">
      <c r="B59" s="25" t="s">
        <v>312</v>
      </c>
      <c r="C59" s="25" t="s">
        <v>313</v>
      </c>
      <c r="D59" s="25" t="s">
        <v>84</v>
      </c>
      <c r="E59" s="26">
        <v>1500000</v>
      </c>
      <c r="F59" s="27">
        <v>1483.9</v>
      </c>
      <c r="G59" s="28">
        <v>1.5100000000000001E-2</v>
      </c>
      <c r="H59" s="29">
        <v>7.3419999999999999E-2</v>
      </c>
    </row>
    <row r="60" spans="2:8" ht="15.75" customHeight="1" x14ac:dyDescent="0.2">
      <c r="B60" s="25" t="s">
        <v>314</v>
      </c>
      <c r="C60" s="25" t="s">
        <v>315</v>
      </c>
      <c r="D60" s="25" t="s">
        <v>84</v>
      </c>
      <c r="E60" s="26">
        <v>1000000</v>
      </c>
      <c r="F60" s="27">
        <v>1026.68</v>
      </c>
      <c r="G60" s="28">
        <v>1.0500000000000001E-2</v>
      </c>
      <c r="H60" s="29">
        <v>7.4399000000000007E-2</v>
      </c>
    </row>
    <row r="61" spans="2:8" ht="15.75" customHeight="1" x14ac:dyDescent="0.2">
      <c r="B61" s="24" t="s">
        <v>93</v>
      </c>
      <c r="C61" s="24"/>
      <c r="D61" s="24"/>
      <c r="E61" s="30"/>
      <c r="F61" s="31">
        <v>22056.13</v>
      </c>
      <c r="G61" s="32">
        <v>0.22500000000000001</v>
      </c>
      <c r="H61" s="33"/>
    </row>
    <row r="62" spans="2:8" ht="15.75" customHeight="1" x14ac:dyDescent="0.2">
      <c r="B62" s="25"/>
      <c r="C62" s="25"/>
      <c r="D62" s="25"/>
      <c r="E62" s="26"/>
      <c r="F62" s="27"/>
      <c r="G62" s="28"/>
      <c r="H62" s="29"/>
    </row>
    <row r="63" spans="2:8" ht="15.75" customHeight="1" x14ac:dyDescent="0.2">
      <c r="B63" s="24" t="s">
        <v>94</v>
      </c>
      <c r="C63" s="25"/>
      <c r="D63" s="25"/>
      <c r="E63" s="26"/>
      <c r="F63" s="27"/>
      <c r="G63" s="28"/>
      <c r="H63" s="29"/>
    </row>
    <row r="64" spans="2:8" ht="15.75" customHeight="1" x14ac:dyDescent="0.2">
      <c r="B64" s="24" t="s">
        <v>93</v>
      </c>
      <c r="C64" s="25"/>
      <c r="D64" s="25"/>
      <c r="E64" s="26"/>
      <c r="F64" s="34" t="s">
        <v>95</v>
      </c>
      <c r="G64" s="35" t="s">
        <v>95</v>
      </c>
      <c r="H64" s="29"/>
    </row>
    <row r="65" spans="2:16" ht="15.75" customHeight="1" x14ac:dyDescent="0.2">
      <c r="B65" s="25"/>
      <c r="C65" s="25"/>
      <c r="D65" s="25"/>
      <c r="E65" s="26"/>
      <c r="F65" s="27"/>
      <c r="G65" s="28"/>
      <c r="H65" s="29"/>
    </row>
    <row r="66" spans="2:16" ht="15.75" customHeight="1" x14ac:dyDescent="0.2">
      <c r="B66" s="24" t="s">
        <v>96</v>
      </c>
      <c r="C66" s="25"/>
      <c r="D66" s="25"/>
      <c r="E66" s="26"/>
      <c r="F66" s="27"/>
      <c r="G66" s="28"/>
      <c r="H66" s="29"/>
    </row>
    <row r="67" spans="2:16" ht="15.75" customHeight="1" x14ac:dyDescent="0.2">
      <c r="B67" s="24" t="s">
        <v>93</v>
      </c>
      <c r="C67" s="25"/>
      <c r="D67" s="25"/>
      <c r="E67" s="26"/>
      <c r="F67" s="34" t="s">
        <v>95</v>
      </c>
      <c r="G67" s="35" t="s">
        <v>95</v>
      </c>
      <c r="H67" s="29"/>
    </row>
    <row r="68" spans="2:16" ht="15.75" customHeight="1" x14ac:dyDescent="0.2">
      <c r="B68" s="25"/>
      <c r="C68" s="25"/>
      <c r="D68" s="25"/>
      <c r="E68" s="26"/>
      <c r="F68" s="27"/>
      <c r="G68" s="28"/>
      <c r="H68" s="29"/>
      <c r="L68" s="3"/>
    </row>
    <row r="69" spans="2:16" ht="15.75" customHeight="1" x14ac:dyDescent="0.2">
      <c r="B69" s="36" t="s">
        <v>97</v>
      </c>
      <c r="C69" s="36"/>
      <c r="D69" s="36"/>
      <c r="E69" s="37"/>
      <c r="F69" s="31">
        <v>22056.13</v>
      </c>
      <c r="G69" s="32">
        <v>0.22509999999999999</v>
      </c>
      <c r="H69" s="33"/>
    </row>
    <row r="70" spans="2:16" ht="15.75" customHeight="1" x14ac:dyDescent="0.2">
      <c r="B70" s="25"/>
      <c r="C70" s="25"/>
      <c r="D70" s="25"/>
      <c r="E70" s="26"/>
      <c r="F70" s="27"/>
      <c r="G70" s="28"/>
      <c r="H70" s="29"/>
      <c r="L70" s="3"/>
    </row>
    <row r="71" spans="2:16" ht="15.75" customHeight="1" x14ac:dyDescent="0.2">
      <c r="B71" s="24" t="s">
        <v>114</v>
      </c>
      <c r="C71" s="25"/>
      <c r="D71" s="25"/>
      <c r="E71" s="26"/>
      <c r="F71" s="27"/>
      <c r="G71" s="28"/>
      <c r="H71" s="29"/>
      <c r="L71" s="3"/>
    </row>
    <row r="72" spans="2:16" ht="15.75" customHeight="1" x14ac:dyDescent="0.2">
      <c r="B72" s="25"/>
      <c r="C72" s="25"/>
      <c r="D72" s="25"/>
      <c r="E72" s="26"/>
      <c r="F72" s="27"/>
      <c r="G72" s="28"/>
      <c r="H72" s="29"/>
      <c r="L72" s="3"/>
    </row>
    <row r="73" spans="2:16" ht="15.75" customHeight="1" x14ac:dyDescent="0.2">
      <c r="B73" s="24" t="s">
        <v>150</v>
      </c>
      <c r="C73" s="25"/>
      <c r="D73" s="25"/>
      <c r="E73" s="26"/>
      <c r="F73" s="27"/>
      <c r="G73" s="28"/>
      <c r="H73" s="29"/>
      <c r="L73" s="3"/>
    </row>
    <row r="74" spans="2:16" ht="15.75" customHeight="1" x14ac:dyDescent="0.2">
      <c r="B74" s="25" t="s">
        <v>151</v>
      </c>
      <c r="C74" s="25" t="s">
        <v>152</v>
      </c>
      <c r="D74" s="25" t="s">
        <v>115</v>
      </c>
      <c r="E74" s="26">
        <v>700</v>
      </c>
      <c r="F74" s="27">
        <v>3356.62</v>
      </c>
      <c r="G74" s="28">
        <v>3.4299999999999997E-2</v>
      </c>
      <c r="H74" s="29">
        <v>7.8350000000000003E-2</v>
      </c>
      <c r="L74" s="3"/>
    </row>
    <row r="75" spans="2:16" ht="15.75" customHeight="1" x14ac:dyDescent="0.2">
      <c r="B75" s="24" t="s">
        <v>93</v>
      </c>
      <c r="C75" s="24"/>
      <c r="D75" s="24"/>
      <c r="E75" s="30"/>
      <c r="F75" s="31">
        <v>3356.62</v>
      </c>
      <c r="G75" s="32">
        <v>3.4299999999999997E-2</v>
      </c>
      <c r="H75" s="33"/>
      <c r="L75" s="5"/>
      <c r="M75" s="5"/>
      <c r="N75" s="6"/>
      <c r="O75" s="6"/>
      <c r="P75" s="5"/>
    </row>
    <row r="76" spans="2:16" ht="15.75" customHeight="1" x14ac:dyDescent="0.2">
      <c r="B76" s="25"/>
      <c r="C76" s="25"/>
      <c r="D76" s="25"/>
      <c r="E76" s="26"/>
      <c r="F76" s="27"/>
      <c r="G76" s="28"/>
      <c r="H76" s="29"/>
    </row>
    <row r="77" spans="2:16" ht="15.75" customHeight="1" x14ac:dyDescent="0.2">
      <c r="B77" s="36" t="s">
        <v>97</v>
      </c>
      <c r="C77" s="36"/>
      <c r="D77" s="36"/>
      <c r="E77" s="37"/>
      <c r="F77" s="31">
        <v>3356.62</v>
      </c>
      <c r="G77" s="32">
        <v>3.4299999999999997E-2</v>
      </c>
      <c r="H77" s="33"/>
    </row>
    <row r="78" spans="2:16" ht="15.75" customHeight="1" x14ac:dyDescent="0.2">
      <c r="B78" s="25"/>
      <c r="C78" s="25"/>
      <c r="D78" s="25"/>
      <c r="E78" s="26"/>
      <c r="F78" s="27"/>
      <c r="G78" s="28"/>
      <c r="H78" s="29"/>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24" t="s">
        <v>100</v>
      </c>
      <c r="C80" s="25"/>
      <c r="D80" s="25"/>
      <c r="E80" s="26"/>
      <c r="F80" s="27"/>
      <c r="G80" s="28"/>
      <c r="H80" s="29"/>
      <c r="L80" s="7"/>
      <c r="M80" s="7"/>
      <c r="N80" s="7"/>
      <c r="O80" s="7"/>
      <c r="P80" s="7"/>
    </row>
    <row r="81" spans="2:16" ht="15.75" customHeight="1" x14ac:dyDescent="0.2">
      <c r="B81" s="25" t="s">
        <v>101</v>
      </c>
      <c r="C81" s="25"/>
      <c r="D81" s="25"/>
      <c r="E81" s="26"/>
      <c r="F81" s="27">
        <v>6404.46</v>
      </c>
      <c r="G81" s="28">
        <v>6.54E-2</v>
      </c>
      <c r="H81" s="29"/>
      <c r="L81" s="7"/>
      <c r="M81" s="7"/>
      <c r="N81" s="7"/>
      <c r="O81" s="7"/>
      <c r="P81" s="7"/>
    </row>
    <row r="82" spans="2:16" ht="15.75" customHeight="1" x14ac:dyDescent="0.2">
      <c r="B82" s="24" t="s">
        <v>93</v>
      </c>
      <c r="C82" s="24"/>
      <c r="D82" s="24"/>
      <c r="E82" s="30"/>
      <c r="F82" s="31">
        <v>6404.46</v>
      </c>
      <c r="G82" s="32">
        <v>6.54E-2</v>
      </c>
      <c r="H82" s="33"/>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36" t="s">
        <v>97</v>
      </c>
      <c r="C84" s="36"/>
      <c r="D84" s="36"/>
      <c r="E84" s="37"/>
      <c r="F84" s="31">
        <v>6404.46</v>
      </c>
      <c r="G84" s="32">
        <v>6.54E-2</v>
      </c>
      <c r="H84" s="33"/>
      <c r="L84" s="7"/>
      <c r="M84" s="7"/>
      <c r="N84" s="7"/>
      <c r="O84" s="7"/>
      <c r="P84" s="7"/>
    </row>
    <row r="85" spans="2:16" ht="15.75" customHeight="1" x14ac:dyDescent="0.2">
      <c r="B85" s="25" t="s">
        <v>102</v>
      </c>
      <c r="C85" s="25"/>
      <c r="D85" s="25"/>
      <c r="E85" s="26"/>
      <c r="F85" s="38">
        <v>-1575.84</v>
      </c>
      <c r="G85" s="39">
        <v>-1.6100000000000003E-2</v>
      </c>
      <c r="H85" s="29"/>
    </row>
    <row r="86" spans="2:16" ht="15.75" customHeight="1" x14ac:dyDescent="0.2">
      <c r="B86" s="40" t="s">
        <v>103</v>
      </c>
      <c r="C86" s="40"/>
      <c r="D86" s="40"/>
      <c r="E86" s="41"/>
      <c r="F86" s="42">
        <v>97961.4</v>
      </c>
      <c r="G86" s="43">
        <v>1</v>
      </c>
      <c r="H86" s="44"/>
      <c r="L86" s="3"/>
    </row>
    <row r="87" spans="2:16" ht="15.75" customHeight="1" x14ac:dyDescent="0.2">
      <c r="B87" s="2"/>
    </row>
    <row r="88" spans="2:16" ht="15.75" customHeight="1" x14ac:dyDescent="0.2">
      <c r="B88" s="12" t="s">
        <v>104</v>
      </c>
    </row>
    <row r="89" spans="2:16" ht="15.75" customHeight="1" x14ac:dyDescent="0.2">
      <c r="B89" s="53"/>
    </row>
    <row r="90" spans="2:16" ht="15.75" customHeight="1" x14ac:dyDescent="0.2">
      <c r="B90" s="9" t="s">
        <v>316</v>
      </c>
    </row>
    <row r="91" spans="2:16" ht="15.75" customHeight="1" x14ac:dyDescent="0.2">
      <c r="B91" s="9" t="s">
        <v>317</v>
      </c>
    </row>
    <row r="92" spans="2:16" ht="15.75" customHeight="1" x14ac:dyDescent="0.2">
      <c r="B92" s="13" t="s">
        <v>251</v>
      </c>
      <c r="C92" s="50" t="s">
        <v>2</v>
      </c>
      <c r="D92" s="51" t="s">
        <v>3</v>
      </c>
      <c r="E92" s="52" t="s">
        <v>252</v>
      </c>
    </row>
    <row r="93" spans="2:16" ht="15.75" customHeight="1" x14ac:dyDescent="0.2">
      <c r="B93" s="46" t="s">
        <v>125</v>
      </c>
      <c r="C93" s="47">
        <v>-28050</v>
      </c>
      <c r="D93" s="48">
        <v>-482.4</v>
      </c>
      <c r="E93" s="49">
        <v>-4.8999999999999998E-3</v>
      </c>
    </row>
    <row r="94" spans="2:16" ht="15.75" customHeight="1" x14ac:dyDescent="0.2">
      <c r="B94" s="46" t="s">
        <v>127</v>
      </c>
      <c r="C94" s="47">
        <v>-38100</v>
      </c>
      <c r="D94" s="48">
        <v>-1021.65</v>
      </c>
      <c r="E94" s="49">
        <v>-1.04E-2</v>
      </c>
    </row>
    <row r="95" spans="2:16" ht="15.75" customHeight="1" x14ac:dyDescent="0.2">
      <c r="B95" s="46" t="s">
        <v>260</v>
      </c>
      <c r="C95" s="47">
        <v>-29750</v>
      </c>
      <c r="D95" s="48">
        <v>-1238.94</v>
      </c>
      <c r="E95" s="49">
        <v>-1.26E-2</v>
      </c>
    </row>
    <row r="96" spans="2:16" ht="15.75" customHeight="1" x14ac:dyDescent="0.2">
      <c r="B96" s="46" t="s">
        <v>224</v>
      </c>
      <c r="C96" s="47">
        <v>-17100</v>
      </c>
      <c r="D96" s="48">
        <v>-368.43</v>
      </c>
      <c r="E96" s="49">
        <v>-3.8E-3</v>
      </c>
    </row>
    <row r="97" spans="2:5" ht="15.75" customHeight="1" x14ac:dyDescent="0.2">
      <c r="B97" s="46" t="s">
        <v>262</v>
      </c>
      <c r="C97" s="47">
        <v>-83300</v>
      </c>
      <c r="D97" s="48">
        <v>-1221.97</v>
      </c>
      <c r="E97" s="49">
        <v>-1.2500000000000001E-2</v>
      </c>
    </row>
    <row r="98" spans="2:5" ht="15.75" customHeight="1" x14ac:dyDescent="0.2">
      <c r="B98" s="46" t="s">
        <v>122</v>
      </c>
      <c r="C98" s="47">
        <v>-46000</v>
      </c>
      <c r="D98" s="48">
        <v>-714.33</v>
      </c>
      <c r="E98" s="49">
        <v>-7.3000000000000001E-3</v>
      </c>
    </row>
    <row r="99" spans="2:5" ht="15.75" customHeight="1" x14ac:dyDescent="0.2">
      <c r="B99" s="46" t="s">
        <v>268</v>
      </c>
      <c r="C99" s="47">
        <v>-58800</v>
      </c>
      <c r="D99" s="48">
        <v>-744.53</v>
      </c>
      <c r="E99" s="49">
        <v>-7.6E-3</v>
      </c>
    </row>
    <row r="100" spans="2:5" ht="15.75" customHeight="1" x14ac:dyDescent="0.2">
      <c r="B100" s="46" t="s">
        <v>136</v>
      </c>
      <c r="C100" s="47">
        <v>-156800</v>
      </c>
      <c r="D100" s="48">
        <v>-2713.74</v>
      </c>
      <c r="E100" s="49">
        <v>-2.7699999999999999E-2</v>
      </c>
    </row>
    <row r="101" spans="2:5" ht="15.75" customHeight="1" x14ac:dyDescent="0.2">
      <c r="B101" s="46" t="s">
        <v>130</v>
      </c>
      <c r="C101" s="47">
        <v>-38250</v>
      </c>
      <c r="D101" s="48">
        <v>-995.84</v>
      </c>
      <c r="E101" s="49">
        <v>-1.0200000000000001E-2</v>
      </c>
    </row>
    <row r="102" spans="2:5" ht="15.75" customHeight="1" x14ac:dyDescent="0.2">
      <c r="B102" s="46" t="s">
        <v>235</v>
      </c>
      <c r="C102" s="47">
        <v>-14500</v>
      </c>
      <c r="D102" s="48">
        <v>-834.85</v>
      </c>
      <c r="E102" s="49">
        <v>-8.5000000000000006E-3</v>
      </c>
    </row>
    <row r="103" spans="2:5" ht="15.75" customHeight="1" x14ac:dyDescent="0.2">
      <c r="B103" s="46" t="s">
        <v>258</v>
      </c>
      <c r="C103" s="47">
        <v>-143750</v>
      </c>
      <c r="D103" s="48">
        <v>-1596.85</v>
      </c>
      <c r="E103" s="49">
        <v>-1.6299999999999999E-2</v>
      </c>
    </row>
    <row r="104" spans="2:5" ht="15.75" customHeight="1" x14ac:dyDescent="0.2">
      <c r="B104" s="46" t="s">
        <v>119</v>
      </c>
      <c r="C104" s="47">
        <v>-192500</v>
      </c>
      <c r="D104" s="48">
        <v>-1935.2</v>
      </c>
      <c r="E104" s="49">
        <v>-1.9800000000000002E-2</v>
      </c>
    </row>
    <row r="105" spans="2:5" ht="15.75" customHeight="1" x14ac:dyDescent="0.2">
      <c r="B105" s="46" t="s">
        <v>281</v>
      </c>
      <c r="C105" s="47">
        <v>-212400</v>
      </c>
      <c r="D105" s="48">
        <v>-507.21</v>
      </c>
      <c r="E105" s="49">
        <v>-5.1999999999999998E-3</v>
      </c>
    </row>
    <row r="106" spans="2:5" ht="15.75" customHeight="1" x14ac:dyDescent="0.2">
      <c r="B106" s="46" t="s">
        <v>275</v>
      </c>
      <c r="C106" s="47">
        <v>-3300</v>
      </c>
      <c r="D106" s="48">
        <v>-137.51</v>
      </c>
      <c r="E106" s="49">
        <v>-1.4E-3</v>
      </c>
    </row>
    <row r="107" spans="2:5" ht="15.75" customHeight="1" x14ac:dyDescent="0.2">
      <c r="B107" s="46" t="s">
        <v>264</v>
      </c>
      <c r="C107" s="47">
        <v>-4100</v>
      </c>
      <c r="D107" s="48">
        <v>-426.15</v>
      </c>
      <c r="E107" s="49">
        <v>-4.4000000000000003E-3</v>
      </c>
    </row>
    <row r="108" spans="2:5" ht="15.75" customHeight="1" x14ac:dyDescent="0.2">
      <c r="B108" s="46" t="s">
        <v>227</v>
      </c>
      <c r="C108" s="47">
        <v>-28000</v>
      </c>
      <c r="D108" s="48">
        <v>-1068.79</v>
      </c>
      <c r="E108" s="49">
        <v>-1.09E-2</v>
      </c>
    </row>
    <row r="109" spans="2:5" ht="15.75" customHeight="1" x14ac:dyDescent="0.2">
      <c r="B109" s="46" t="s">
        <v>266</v>
      </c>
      <c r="C109" s="47">
        <v>-88400</v>
      </c>
      <c r="D109" s="48">
        <v>-1111.98</v>
      </c>
      <c r="E109" s="49">
        <v>-1.14E-2</v>
      </c>
    </row>
    <row r="110" spans="2:5" ht="15.75" customHeight="1" x14ac:dyDescent="0.2">
      <c r="B110" s="46" t="s">
        <v>256</v>
      </c>
      <c r="C110" s="47">
        <v>-139500</v>
      </c>
      <c r="D110" s="48">
        <v>-903.19</v>
      </c>
      <c r="E110" s="49">
        <v>-9.1999999999999998E-3</v>
      </c>
    </row>
    <row r="111" spans="2:5" ht="15.75" customHeight="1" x14ac:dyDescent="0.2">
      <c r="B111" s="46" t="s">
        <v>277</v>
      </c>
      <c r="C111" s="47">
        <v>-195000</v>
      </c>
      <c r="D111" s="48">
        <v>-610.64</v>
      </c>
      <c r="E111" s="49">
        <v>-6.1999999999999998E-3</v>
      </c>
    </row>
    <row r="112" spans="2:5" ht="15.75" customHeight="1" x14ac:dyDescent="0.2">
      <c r="B112" s="46" t="s">
        <v>220</v>
      </c>
      <c r="C112" s="47">
        <v>-19200</v>
      </c>
      <c r="D112" s="48">
        <v>-246.12</v>
      </c>
      <c r="E112" s="49">
        <v>-2.5000000000000001E-3</v>
      </c>
    </row>
    <row r="113" spans="2:8" ht="15.75" customHeight="1" x14ac:dyDescent="0.2">
      <c r="B113" s="13" t="s">
        <v>253</v>
      </c>
      <c r="C113" s="50">
        <v>-1536800</v>
      </c>
      <c r="D113" s="51">
        <v>-18880.32</v>
      </c>
      <c r="E113" s="52">
        <v>-0.1928</v>
      </c>
    </row>
    <row r="114" spans="2:8" ht="15.75" customHeight="1" thickBot="1" x14ac:dyDescent="0.25"/>
    <row r="115" spans="2:8" ht="27" customHeight="1" thickBot="1" x14ac:dyDescent="0.25">
      <c r="B115" s="57" t="s">
        <v>806</v>
      </c>
      <c r="C115" s="58" t="s">
        <v>807</v>
      </c>
      <c r="D115" s="58" t="s">
        <v>808</v>
      </c>
      <c r="E115" s="59" t="s">
        <v>809</v>
      </c>
      <c r="G115" s="2"/>
      <c r="H115" s="2"/>
    </row>
    <row r="116" spans="2:8" ht="29.25" customHeight="1" x14ac:dyDescent="0.2">
      <c r="B116" s="68" t="s">
        <v>29</v>
      </c>
      <c r="C116" s="83"/>
      <c r="D116" s="86" t="s">
        <v>818</v>
      </c>
      <c r="E116" s="88"/>
      <c r="G116" s="2"/>
      <c r="H116" s="2"/>
    </row>
    <row r="117" spans="2:8" ht="26.25" customHeight="1" x14ac:dyDescent="0.2">
      <c r="B117" s="61" t="s">
        <v>819</v>
      </c>
      <c r="C117" s="84"/>
      <c r="D117" s="87"/>
      <c r="E117" s="84"/>
      <c r="G117" s="2"/>
      <c r="H117" s="2"/>
    </row>
    <row r="118" spans="2:8" ht="51" customHeight="1" x14ac:dyDescent="0.2">
      <c r="B118" s="61" t="s">
        <v>820</v>
      </c>
      <c r="C118" s="84"/>
      <c r="D118" s="87"/>
      <c r="E118" s="84"/>
      <c r="G118" s="2"/>
      <c r="H118" s="2"/>
    </row>
    <row r="119" spans="2:8" ht="23.25" customHeight="1" thickBot="1" x14ac:dyDescent="0.25">
      <c r="B119" s="69" t="s">
        <v>907</v>
      </c>
      <c r="C119" s="85"/>
      <c r="D119" s="70" t="s">
        <v>821</v>
      </c>
      <c r="E119" s="89"/>
      <c r="G119" s="2"/>
      <c r="H119" s="2"/>
    </row>
    <row r="120" spans="2:8" ht="24.95" customHeight="1" x14ac:dyDescent="0.2">
      <c r="B120" s="64" t="s">
        <v>815</v>
      </c>
      <c r="C120" s="65"/>
      <c r="D120" s="66"/>
      <c r="E120" s="67"/>
      <c r="G120" s="2"/>
      <c r="H120" s="2"/>
    </row>
    <row r="122" spans="2:8" ht="12" x14ac:dyDescent="0.2">
      <c r="B122" s="2" t="s">
        <v>816</v>
      </c>
      <c r="C122" s="2"/>
      <c r="D122" s="2"/>
      <c r="G122" s="2"/>
      <c r="H122" s="2"/>
    </row>
    <row r="123" spans="2:8" ht="12" x14ac:dyDescent="0.2">
      <c r="B123" s="3" t="s">
        <v>817</v>
      </c>
      <c r="C123" s="2"/>
      <c r="D123" s="2"/>
      <c r="G123" s="2"/>
      <c r="H123" s="2"/>
    </row>
    <row r="125" spans="2:8" ht="15.75" customHeight="1" x14ac:dyDescent="0.2">
      <c r="B125" s="90" t="s">
        <v>822</v>
      </c>
      <c r="C125" s="90"/>
      <c r="D125" s="90"/>
      <c r="E125" s="90"/>
      <c r="F125" s="90"/>
    </row>
    <row r="126" spans="2:8" ht="15.75" customHeight="1" x14ac:dyDescent="0.2">
      <c r="B126" s="90"/>
      <c r="C126" s="90"/>
      <c r="D126" s="90"/>
      <c r="E126" s="90"/>
      <c r="F126" s="90"/>
    </row>
    <row r="127" spans="2:8" ht="15.75" customHeight="1" x14ac:dyDescent="0.2">
      <c r="B127" s="90"/>
      <c r="C127" s="90"/>
      <c r="D127" s="90"/>
      <c r="E127" s="90"/>
      <c r="F127" s="90"/>
    </row>
  </sheetData>
  <mergeCells count="4">
    <mergeCell ref="C116:C119"/>
    <mergeCell ref="D116:D118"/>
    <mergeCell ref="E116:E119"/>
    <mergeCell ref="B125:F127"/>
  </mergeCells>
  <hyperlinks>
    <hyperlink ref="I1" location="'Sheet1'!A1" display="Index" xr:uid="{77428FE2-15C1-4833-B9D8-6CAA8EA7362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11476-9CF8-4906-9FA4-8FD5D90E8B86}">
  <dimension ref="B1:P106"/>
  <sheetViews>
    <sheetView workbookViewId="0"/>
  </sheetViews>
  <sheetFormatPr defaultColWidth="9.140625" defaultRowHeight="15.75" customHeight="1" x14ac:dyDescent="0.2"/>
  <cols>
    <col min="1" max="1" width="3.5703125" style="2" customWidth="1"/>
    <col min="2" max="2" width="50.42578125" style="9" customWidth="1"/>
    <col min="3" max="3" width="28.28515625" style="9" customWidth="1"/>
    <col min="4" max="4" width="26.5703125" style="9" customWidth="1"/>
    <col min="5" max="5" width="26.140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906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204790</v>
      </c>
      <c r="F7" s="27">
        <v>3500.37</v>
      </c>
      <c r="G7" s="28">
        <v>6.7900000000000002E-2</v>
      </c>
      <c r="H7" s="29"/>
    </row>
    <row r="8" spans="2:9" ht="15.75" customHeight="1" x14ac:dyDescent="0.2">
      <c r="B8" s="25" t="s">
        <v>119</v>
      </c>
      <c r="C8" s="25" t="s">
        <v>120</v>
      </c>
      <c r="D8" s="25" t="s">
        <v>121</v>
      </c>
      <c r="E8" s="26">
        <v>253385</v>
      </c>
      <c r="F8" s="27">
        <v>2525.23</v>
      </c>
      <c r="G8" s="28">
        <v>4.9000000000000002E-2</v>
      </c>
      <c r="H8" s="29"/>
    </row>
    <row r="9" spans="2:9" ht="15.75" customHeight="1" x14ac:dyDescent="0.2">
      <c r="B9" s="25" t="s">
        <v>122</v>
      </c>
      <c r="C9" s="25" t="s">
        <v>123</v>
      </c>
      <c r="D9" s="25" t="s">
        <v>124</v>
      </c>
      <c r="E9" s="26">
        <v>129174</v>
      </c>
      <c r="F9" s="27">
        <v>1993.03</v>
      </c>
      <c r="G9" s="28">
        <v>3.8699999999999998E-2</v>
      </c>
      <c r="H9" s="29"/>
    </row>
    <row r="10" spans="2:9" ht="15.75" customHeight="1" x14ac:dyDescent="0.2">
      <c r="B10" s="25" t="s">
        <v>130</v>
      </c>
      <c r="C10" s="25" t="s">
        <v>131</v>
      </c>
      <c r="D10" s="25" t="s">
        <v>132</v>
      </c>
      <c r="E10" s="26">
        <v>64243</v>
      </c>
      <c r="F10" s="27">
        <v>1660.65</v>
      </c>
      <c r="G10" s="28">
        <v>3.2199999999999999E-2</v>
      </c>
      <c r="H10" s="29"/>
    </row>
    <row r="11" spans="2:9" ht="15.75" customHeight="1" x14ac:dyDescent="0.2">
      <c r="B11" s="25" t="s">
        <v>157</v>
      </c>
      <c r="C11" s="25" t="s">
        <v>158</v>
      </c>
      <c r="D11" s="25" t="s">
        <v>129</v>
      </c>
      <c r="E11" s="26">
        <v>291472</v>
      </c>
      <c r="F11" s="27">
        <v>1346.89</v>
      </c>
      <c r="G11" s="28">
        <v>2.6100000000000002E-2</v>
      </c>
      <c r="H11" s="29"/>
    </row>
    <row r="12" spans="2:9" ht="15.75" customHeight="1" x14ac:dyDescent="0.2">
      <c r="B12" s="25" t="s">
        <v>256</v>
      </c>
      <c r="C12" s="25" t="s">
        <v>257</v>
      </c>
      <c r="D12" s="25" t="s">
        <v>121</v>
      </c>
      <c r="E12" s="26">
        <v>198870</v>
      </c>
      <c r="F12" s="27">
        <v>1276.8399999999999</v>
      </c>
      <c r="G12" s="28">
        <v>2.4799999999999999E-2</v>
      </c>
      <c r="H12" s="29"/>
    </row>
    <row r="13" spans="2:9" ht="15.75" customHeight="1" x14ac:dyDescent="0.2">
      <c r="B13" s="25" t="s">
        <v>318</v>
      </c>
      <c r="C13" s="25" t="s">
        <v>319</v>
      </c>
      <c r="D13" s="25" t="s">
        <v>320</v>
      </c>
      <c r="E13" s="26">
        <v>30609</v>
      </c>
      <c r="F13" s="27">
        <v>1079.27</v>
      </c>
      <c r="G13" s="28">
        <v>2.0899999999999998E-2</v>
      </c>
      <c r="H13" s="29"/>
    </row>
    <row r="14" spans="2:9" ht="15.75" customHeight="1" x14ac:dyDescent="0.2">
      <c r="B14" s="25" t="s">
        <v>258</v>
      </c>
      <c r="C14" s="25" t="s">
        <v>259</v>
      </c>
      <c r="D14" s="25" t="s">
        <v>121</v>
      </c>
      <c r="E14" s="26">
        <v>97834</v>
      </c>
      <c r="F14" s="27">
        <v>1078.42</v>
      </c>
      <c r="G14" s="28">
        <v>2.0899999999999998E-2</v>
      </c>
      <c r="H14" s="29"/>
    </row>
    <row r="15" spans="2:9" ht="15.75" customHeight="1" x14ac:dyDescent="0.2">
      <c r="B15" s="25" t="s">
        <v>165</v>
      </c>
      <c r="C15" s="25" t="s">
        <v>166</v>
      </c>
      <c r="D15" s="25" t="s">
        <v>167</v>
      </c>
      <c r="E15" s="26">
        <v>35295</v>
      </c>
      <c r="F15" s="27">
        <v>1078.24</v>
      </c>
      <c r="G15" s="28">
        <v>2.0899999999999998E-2</v>
      </c>
      <c r="H15" s="29"/>
    </row>
    <row r="16" spans="2:9" ht="15.75" customHeight="1" x14ac:dyDescent="0.2">
      <c r="B16" s="25" t="s">
        <v>227</v>
      </c>
      <c r="C16" s="25" t="s">
        <v>228</v>
      </c>
      <c r="D16" s="25" t="s">
        <v>124</v>
      </c>
      <c r="E16" s="26">
        <v>24119</v>
      </c>
      <c r="F16" s="27">
        <v>914.93</v>
      </c>
      <c r="G16" s="28">
        <v>1.78E-2</v>
      </c>
      <c r="H16" s="29"/>
    </row>
    <row r="17" spans="2:8" ht="15.75" customHeight="1" x14ac:dyDescent="0.2">
      <c r="B17" s="25" t="s">
        <v>247</v>
      </c>
      <c r="C17" s="25" t="s">
        <v>248</v>
      </c>
      <c r="D17" s="25" t="s">
        <v>176</v>
      </c>
      <c r="E17" s="26">
        <v>11982</v>
      </c>
      <c r="F17" s="27">
        <v>878.01</v>
      </c>
      <c r="G17" s="28">
        <v>1.7000000000000001E-2</v>
      </c>
      <c r="H17" s="29"/>
    </row>
    <row r="18" spans="2:8" ht="15.75" customHeight="1" x14ac:dyDescent="0.2">
      <c r="B18" s="25" t="s">
        <v>277</v>
      </c>
      <c r="C18" s="25" t="s">
        <v>278</v>
      </c>
      <c r="D18" s="25" t="s">
        <v>202</v>
      </c>
      <c r="E18" s="26">
        <v>281511</v>
      </c>
      <c r="F18" s="27">
        <v>875.92</v>
      </c>
      <c r="G18" s="28">
        <v>1.7000000000000001E-2</v>
      </c>
      <c r="H18" s="29"/>
    </row>
    <row r="19" spans="2:8" ht="15.75" customHeight="1" x14ac:dyDescent="0.2">
      <c r="B19" s="25" t="s">
        <v>321</v>
      </c>
      <c r="C19" s="25" t="s">
        <v>322</v>
      </c>
      <c r="D19" s="25" t="s">
        <v>194</v>
      </c>
      <c r="E19" s="26">
        <v>615746</v>
      </c>
      <c r="F19" s="27">
        <v>854.96</v>
      </c>
      <c r="G19" s="28">
        <v>1.66E-2</v>
      </c>
      <c r="H19" s="29"/>
    </row>
    <row r="20" spans="2:8" ht="15.75" customHeight="1" x14ac:dyDescent="0.2">
      <c r="B20" s="25" t="s">
        <v>323</v>
      </c>
      <c r="C20" s="25" t="s">
        <v>324</v>
      </c>
      <c r="D20" s="25" t="s">
        <v>167</v>
      </c>
      <c r="E20" s="26">
        <v>682480</v>
      </c>
      <c r="F20" s="27">
        <v>844.23</v>
      </c>
      <c r="G20" s="28">
        <v>1.6400000000000001E-2</v>
      </c>
      <c r="H20" s="29"/>
    </row>
    <row r="21" spans="2:8" ht="15.75" customHeight="1" x14ac:dyDescent="0.2">
      <c r="B21" s="25" t="s">
        <v>325</v>
      </c>
      <c r="C21" s="25" t="s">
        <v>326</v>
      </c>
      <c r="D21" s="25" t="s">
        <v>244</v>
      </c>
      <c r="E21" s="26">
        <v>77477</v>
      </c>
      <c r="F21" s="27">
        <v>799.72</v>
      </c>
      <c r="G21" s="28">
        <v>1.55E-2</v>
      </c>
      <c r="H21" s="29"/>
    </row>
    <row r="22" spans="2:8" ht="15.75" customHeight="1" x14ac:dyDescent="0.2">
      <c r="B22" s="25" t="s">
        <v>327</v>
      </c>
      <c r="C22" s="25" t="s">
        <v>328</v>
      </c>
      <c r="D22" s="25" t="s">
        <v>121</v>
      </c>
      <c r="E22" s="26">
        <v>750419</v>
      </c>
      <c r="F22" s="27">
        <v>791.69</v>
      </c>
      <c r="G22" s="28">
        <v>1.54E-2</v>
      </c>
      <c r="H22" s="29"/>
    </row>
    <row r="23" spans="2:8" ht="15.75" customHeight="1" x14ac:dyDescent="0.2">
      <c r="B23" s="25" t="s">
        <v>329</v>
      </c>
      <c r="C23" s="25" t="s">
        <v>330</v>
      </c>
      <c r="D23" s="25" t="s">
        <v>188</v>
      </c>
      <c r="E23" s="26">
        <v>19277</v>
      </c>
      <c r="F23" s="27">
        <v>708.52</v>
      </c>
      <c r="G23" s="28">
        <v>1.38E-2</v>
      </c>
      <c r="H23" s="29"/>
    </row>
    <row r="24" spans="2:8" ht="15.75" customHeight="1" x14ac:dyDescent="0.2">
      <c r="B24" s="25" t="s">
        <v>127</v>
      </c>
      <c r="C24" s="25" t="s">
        <v>128</v>
      </c>
      <c r="D24" s="25" t="s">
        <v>129</v>
      </c>
      <c r="E24" s="26">
        <v>26334</v>
      </c>
      <c r="F24" s="27">
        <v>701.52</v>
      </c>
      <c r="G24" s="28">
        <v>1.3599999999999999E-2</v>
      </c>
      <c r="H24" s="29"/>
    </row>
    <row r="25" spans="2:8" ht="15.75" customHeight="1" x14ac:dyDescent="0.2">
      <c r="B25" s="25" t="s">
        <v>275</v>
      </c>
      <c r="C25" s="25" t="s">
        <v>276</v>
      </c>
      <c r="D25" s="25" t="s">
        <v>138</v>
      </c>
      <c r="E25" s="26">
        <v>16533</v>
      </c>
      <c r="F25" s="27">
        <v>684.39</v>
      </c>
      <c r="G25" s="28">
        <v>1.3299999999999999E-2</v>
      </c>
      <c r="H25" s="29"/>
    </row>
    <row r="26" spans="2:8" ht="15.75" customHeight="1" x14ac:dyDescent="0.2">
      <c r="B26" s="25" t="s">
        <v>331</v>
      </c>
      <c r="C26" s="25" t="s">
        <v>332</v>
      </c>
      <c r="D26" s="25" t="s">
        <v>121</v>
      </c>
      <c r="E26" s="26">
        <v>434129</v>
      </c>
      <c r="F26" s="27">
        <v>677.89</v>
      </c>
      <c r="G26" s="28">
        <v>1.32E-2</v>
      </c>
      <c r="H26" s="29"/>
    </row>
    <row r="27" spans="2:8" ht="15.75" customHeight="1" x14ac:dyDescent="0.2">
      <c r="B27" s="25" t="s">
        <v>136</v>
      </c>
      <c r="C27" s="25" t="s">
        <v>137</v>
      </c>
      <c r="D27" s="25" t="s">
        <v>138</v>
      </c>
      <c r="E27" s="26">
        <v>37976</v>
      </c>
      <c r="F27" s="27">
        <v>656.76</v>
      </c>
      <c r="G27" s="28">
        <v>1.2699999999999999E-2</v>
      </c>
      <c r="H27" s="29"/>
    </row>
    <row r="28" spans="2:8" ht="15.75" customHeight="1" x14ac:dyDescent="0.2">
      <c r="B28" s="25" t="s">
        <v>268</v>
      </c>
      <c r="C28" s="25" t="s">
        <v>269</v>
      </c>
      <c r="D28" s="25" t="s">
        <v>194</v>
      </c>
      <c r="E28" s="26">
        <v>48803</v>
      </c>
      <c r="F28" s="27">
        <v>614.65</v>
      </c>
      <c r="G28" s="28">
        <v>1.1900000000000001E-2</v>
      </c>
      <c r="H28" s="29"/>
    </row>
    <row r="29" spans="2:8" ht="15.75" customHeight="1" x14ac:dyDescent="0.2">
      <c r="B29" s="25" t="s">
        <v>272</v>
      </c>
      <c r="C29" s="25" t="s">
        <v>273</v>
      </c>
      <c r="D29" s="25" t="s">
        <v>274</v>
      </c>
      <c r="E29" s="26">
        <v>600663</v>
      </c>
      <c r="F29" s="27">
        <v>612.38</v>
      </c>
      <c r="G29" s="28">
        <v>1.1900000000000001E-2</v>
      </c>
      <c r="H29" s="29"/>
    </row>
    <row r="30" spans="2:8" ht="15.75" customHeight="1" x14ac:dyDescent="0.2">
      <c r="B30" s="25" t="s">
        <v>133</v>
      </c>
      <c r="C30" s="25" t="s">
        <v>134</v>
      </c>
      <c r="D30" s="25" t="s">
        <v>135</v>
      </c>
      <c r="E30" s="26">
        <v>2289</v>
      </c>
      <c r="F30" s="27">
        <v>608.41999999999996</v>
      </c>
      <c r="G30" s="28">
        <v>1.18E-2</v>
      </c>
      <c r="H30" s="29"/>
    </row>
    <row r="31" spans="2:8" ht="15.75" customHeight="1" x14ac:dyDescent="0.2">
      <c r="B31" s="25" t="s">
        <v>333</v>
      </c>
      <c r="C31" s="25" t="s">
        <v>334</v>
      </c>
      <c r="D31" s="25" t="s">
        <v>176</v>
      </c>
      <c r="E31" s="26">
        <v>78970</v>
      </c>
      <c r="F31" s="27">
        <v>580.35</v>
      </c>
      <c r="G31" s="28">
        <v>1.1299999999999999E-2</v>
      </c>
      <c r="H31" s="29"/>
    </row>
    <row r="32" spans="2:8" ht="15.75" customHeight="1" x14ac:dyDescent="0.2">
      <c r="B32" s="25" t="s">
        <v>285</v>
      </c>
      <c r="C32" s="25" t="s">
        <v>286</v>
      </c>
      <c r="D32" s="25" t="s">
        <v>173</v>
      </c>
      <c r="E32" s="26">
        <v>22982</v>
      </c>
      <c r="F32" s="27">
        <v>569.78</v>
      </c>
      <c r="G32" s="28">
        <v>1.11E-2</v>
      </c>
      <c r="H32" s="29"/>
    </row>
    <row r="33" spans="2:8" ht="15.75" customHeight="1" x14ac:dyDescent="0.2">
      <c r="B33" s="25" t="s">
        <v>296</v>
      </c>
      <c r="C33" s="25" t="s">
        <v>297</v>
      </c>
      <c r="D33" s="25" t="s">
        <v>298</v>
      </c>
      <c r="E33" s="26">
        <v>36913</v>
      </c>
      <c r="F33" s="27">
        <v>567.28</v>
      </c>
      <c r="G33" s="28">
        <v>1.0999999999999999E-2</v>
      </c>
      <c r="H33" s="29"/>
    </row>
    <row r="34" spans="2:8" ht="15.75" customHeight="1" x14ac:dyDescent="0.2">
      <c r="B34" s="25" t="s">
        <v>335</v>
      </c>
      <c r="C34" s="25" t="s">
        <v>336</v>
      </c>
      <c r="D34" s="25" t="s">
        <v>164</v>
      </c>
      <c r="E34" s="26">
        <v>63170</v>
      </c>
      <c r="F34" s="27">
        <v>560.63</v>
      </c>
      <c r="G34" s="28">
        <v>1.09E-2</v>
      </c>
      <c r="H34" s="29"/>
    </row>
    <row r="35" spans="2:8" ht="15.75" customHeight="1" x14ac:dyDescent="0.2">
      <c r="B35" s="25" t="s">
        <v>337</v>
      </c>
      <c r="C35" s="25" t="s">
        <v>338</v>
      </c>
      <c r="D35" s="25" t="s">
        <v>298</v>
      </c>
      <c r="E35" s="26">
        <v>43635</v>
      </c>
      <c r="F35" s="27">
        <v>540.35</v>
      </c>
      <c r="G35" s="28">
        <v>1.0500000000000001E-2</v>
      </c>
      <c r="H35" s="29"/>
    </row>
    <row r="36" spans="2:8" ht="15.75" customHeight="1" x14ac:dyDescent="0.2">
      <c r="B36" s="25" t="s">
        <v>262</v>
      </c>
      <c r="C36" s="25" t="s">
        <v>263</v>
      </c>
      <c r="D36" s="25" t="s">
        <v>124</v>
      </c>
      <c r="E36" s="26">
        <v>36771</v>
      </c>
      <c r="F36" s="27">
        <v>539.1</v>
      </c>
      <c r="G36" s="28">
        <v>1.0500000000000001E-2</v>
      </c>
      <c r="H36" s="29"/>
    </row>
    <row r="37" spans="2:8" ht="15.75" customHeight="1" x14ac:dyDescent="0.2">
      <c r="B37" s="25" t="s">
        <v>264</v>
      </c>
      <c r="C37" s="25" t="s">
        <v>265</v>
      </c>
      <c r="D37" s="25" t="s">
        <v>138</v>
      </c>
      <c r="E37" s="26">
        <v>5159</v>
      </c>
      <c r="F37" s="27">
        <v>531.5</v>
      </c>
      <c r="G37" s="28">
        <v>1.03E-2</v>
      </c>
      <c r="H37" s="29"/>
    </row>
    <row r="38" spans="2:8" ht="15.75" customHeight="1" x14ac:dyDescent="0.2">
      <c r="B38" s="25" t="s">
        <v>235</v>
      </c>
      <c r="C38" s="25" t="s">
        <v>236</v>
      </c>
      <c r="D38" s="25" t="s">
        <v>237</v>
      </c>
      <c r="E38" s="26">
        <v>9295</v>
      </c>
      <c r="F38" s="27">
        <v>530.20000000000005</v>
      </c>
      <c r="G38" s="28">
        <v>1.03E-2</v>
      </c>
      <c r="H38" s="29"/>
    </row>
    <row r="39" spans="2:8" ht="15.75" customHeight="1" x14ac:dyDescent="0.2">
      <c r="B39" s="25" t="s">
        <v>339</v>
      </c>
      <c r="C39" s="25" t="s">
        <v>340</v>
      </c>
      <c r="D39" s="25" t="s">
        <v>164</v>
      </c>
      <c r="E39" s="26">
        <v>93375</v>
      </c>
      <c r="F39" s="27">
        <v>527.62</v>
      </c>
      <c r="G39" s="28">
        <v>1.0200000000000001E-2</v>
      </c>
      <c r="H39" s="29"/>
    </row>
    <row r="40" spans="2:8" ht="15.75" customHeight="1" x14ac:dyDescent="0.2">
      <c r="B40" s="25" t="s">
        <v>341</v>
      </c>
      <c r="C40" s="25" t="s">
        <v>342</v>
      </c>
      <c r="D40" s="25" t="s">
        <v>226</v>
      </c>
      <c r="E40" s="26">
        <v>35224</v>
      </c>
      <c r="F40" s="27">
        <v>507.56</v>
      </c>
      <c r="G40" s="28">
        <v>9.9000000000000008E-3</v>
      </c>
      <c r="H40" s="29"/>
    </row>
    <row r="41" spans="2:8" ht="15.75" customHeight="1" x14ac:dyDescent="0.2">
      <c r="B41" s="25" t="s">
        <v>279</v>
      </c>
      <c r="C41" s="25" t="s">
        <v>280</v>
      </c>
      <c r="D41" s="25" t="s">
        <v>188</v>
      </c>
      <c r="E41" s="26">
        <v>163234</v>
      </c>
      <c r="F41" s="27">
        <v>507.49</v>
      </c>
      <c r="G41" s="28">
        <v>9.7999999999999997E-3</v>
      </c>
      <c r="H41" s="29"/>
    </row>
    <row r="42" spans="2:8" ht="15.75" customHeight="1" x14ac:dyDescent="0.2">
      <c r="B42" s="25" t="s">
        <v>343</v>
      </c>
      <c r="C42" s="25" t="s">
        <v>344</v>
      </c>
      <c r="D42" s="25" t="s">
        <v>345</v>
      </c>
      <c r="E42" s="26">
        <v>61521</v>
      </c>
      <c r="F42" s="27">
        <v>506.19</v>
      </c>
      <c r="G42" s="28">
        <v>9.7999999999999997E-3</v>
      </c>
      <c r="H42" s="29"/>
    </row>
    <row r="43" spans="2:8" ht="15.75" customHeight="1" x14ac:dyDescent="0.2">
      <c r="B43" s="25" t="s">
        <v>346</v>
      </c>
      <c r="C43" s="25" t="s">
        <v>347</v>
      </c>
      <c r="D43" s="25" t="s">
        <v>191</v>
      </c>
      <c r="E43" s="26">
        <v>193777</v>
      </c>
      <c r="F43" s="27">
        <v>503.92</v>
      </c>
      <c r="G43" s="28">
        <v>9.7999999999999997E-3</v>
      </c>
      <c r="H43" s="29"/>
    </row>
    <row r="44" spans="2:8" ht="15.75" customHeight="1" x14ac:dyDescent="0.2">
      <c r="B44" s="25" t="s">
        <v>348</v>
      </c>
      <c r="C44" s="25" t="s">
        <v>349</v>
      </c>
      <c r="D44" s="25" t="s">
        <v>124</v>
      </c>
      <c r="E44" s="26">
        <v>7990</v>
      </c>
      <c r="F44" s="27">
        <v>501.32</v>
      </c>
      <c r="G44" s="28">
        <v>9.7000000000000003E-3</v>
      </c>
      <c r="H44" s="29"/>
    </row>
    <row r="45" spans="2:8" ht="15.75" customHeight="1" x14ac:dyDescent="0.2">
      <c r="B45" s="25" t="s">
        <v>350</v>
      </c>
      <c r="C45" s="25" t="s">
        <v>351</v>
      </c>
      <c r="D45" s="25" t="s">
        <v>298</v>
      </c>
      <c r="E45" s="26">
        <v>14759</v>
      </c>
      <c r="F45" s="27">
        <v>479.59</v>
      </c>
      <c r="G45" s="28">
        <v>9.2999999999999992E-3</v>
      </c>
      <c r="H45" s="29"/>
    </row>
    <row r="46" spans="2:8" ht="15.75" customHeight="1" x14ac:dyDescent="0.2">
      <c r="B46" s="25" t="s">
        <v>352</v>
      </c>
      <c r="C46" s="25" t="s">
        <v>353</v>
      </c>
      <c r="D46" s="25" t="s">
        <v>274</v>
      </c>
      <c r="E46" s="26">
        <v>38059</v>
      </c>
      <c r="F46" s="27">
        <v>475.32</v>
      </c>
      <c r="G46" s="28">
        <v>9.1999999999999998E-3</v>
      </c>
      <c r="H46" s="29"/>
    </row>
    <row r="47" spans="2:8" ht="15.75" customHeight="1" x14ac:dyDescent="0.2">
      <c r="B47" s="25" t="s">
        <v>238</v>
      </c>
      <c r="C47" s="25" t="s">
        <v>239</v>
      </c>
      <c r="D47" s="25" t="s">
        <v>176</v>
      </c>
      <c r="E47" s="26">
        <v>50876</v>
      </c>
      <c r="F47" s="27">
        <v>473.86</v>
      </c>
      <c r="G47" s="28">
        <v>9.1999999999999998E-3</v>
      </c>
      <c r="H47" s="29"/>
    </row>
    <row r="48" spans="2:8" ht="15.75" customHeight="1" x14ac:dyDescent="0.2">
      <c r="B48" s="25" t="s">
        <v>354</v>
      </c>
      <c r="C48" s="25" t="s">
        <v>355</v>
      </c>
      <c r="D48" s="25" t="s">
        <v>191</v>
      </c>
      <c r="E48" s="26">
        <v>67967</v>
      </c>
      <c r="F48" s="27">
        <v>470.37</v>
      </c>
      <c r="G48" s="28">
        <v>9.1000000000000004E-3</v>
      </c>
      <c r="H48" s="29"/>
    </row>
    <row r="49" spans="2:8" ht="15.75" customHeight="1" x14ac:dyDescent="0.2">
      <c r="B49" s="25" t="s">
        <v>304</v>
      </c>
      <c r="C49" s="25" t="s">
        <v>305</v>
      </c>
      <c r="D49" s="25" t="s">
        <v>176</v>
      </c>
      <c r="E49" s="26">
        <v>120109</v>
      </c>
      <c r="F49" s="27">
        <v>459.54</v>
      </c>
      <c r="G49" s="28">
        <v>8.8999999999999999E-3</v>
      </c>
      <c r="H49" s="29"/>
    </row>
    <row r="50" spans="2:8" ht="15.75" customHeight="1" x14ac:dyDescent="0.2">
      <c r="B50" s="25" t="s">
        <v>189</v>
      </c>
      <c r="C50" s="25" t="s">
        <v>190</v>
      </c>
      <c r="D50" s="25" t="s">
        <v>191</v>
      </c>
      <c r="E50" s="26">
        <v>11414</v>
      </c>
      <c r="F50" s="27">
        <v>459.38</v>
      </c>
      <c r="G50" s="28">
        <v>8.8999999999999999E-3</v>
      </c>
      <c r="H50" s="29"/>
    </row>
    <row r="51" spans="2:8" ht="15.75" customHeight="1" x14ac:dyDescent="0.2">
      <c r="B51" s="25" t="s">
        <v>356</v>
      </c>
      <c r="C51" s="25" t="s">
        <v>357</v>
      </c>
      <c r="D51" s="25" t="s">
        <v>274</v>
      </c>
      <c r="E51" s="26">
        <v>96457</v>
      </c>
      <c r="F51" s="27">
        <v>454.02</v>
      </c>
      <c r="G51" s="28">
        <v>8.8000000000000005E-3</v>
      </c>
      <c r="H51" s="29"/>
    </row>
    <row r="52" spans="2:8" ht="15.75" customHeight="1" x14ac:dyDescent="0.2">
      <c r="B52" s="25" t="s">
        <v>283</v>
      </c>
      <c r="C52" s="25" t="s">
        <v>284</v>
      </c>
      <c r="D52" s="25" t="s">
        <v>121</v>
      </c>
      <c r="E52" s="26">
        <v>365117</v>
      </c>
      <c r="F52" s="27">
        <v>411.12</v>
      </c>
      <c r="G52" s="28">
        <v>8.0000000000000002E-3</v>
      </c>
      <c r="H52" s="29"/>
    </row>
    <row r="53" spans="2:8" ht="15.75" customHeight="1" x14ac:dyDescent="0.2">
      <c r="B53" s="25" t="s">
        <v>222</v>
      </c>
      <c r="C53" s="25" t="s">
        <v>223</v>
      </c>
      <c r="D53" s="25" t="s">
        <v>194</v>
      </c>
      <c r="E53" s="26">
        <v>6653</v>
      </c>
      <c r="F53" s="27">
        <v>385.73</v>
      </c>
      <c r="G53" s="28">
        <v>7.4999999999999997E-3</v>
      </c>
      <c r="H53" s="29"/>
    </row>
    <row r="54" spans="2:8" ht="15.75" customHeight="1" x14ac:dyDescent="0.2">
      <c r="B54" s="25" t="s">
        <v>358</v>
      </c>
      <c r="C54" s="25" t="s">
        <v>359</v>
      </c>
      <c r="D54" s="25" t="s">
        <v>214</v>
      </c>
      <c r="E54" s="26">
        <v>16040</v>
      </c>
      <c r="F54" s="27">
        <v>356.28</v>
      </c>
      <c r="G54" s="28">
        <v>6.8999999999999999E-3</v>
      </c>
      <c r="H54" s="29"/>
    </row>
    <row r="55" spans="2:8" ht="15.75" customHeight="1" x14ac:dyDescent="0.2">
      <c r="B55" s="25" t="s">
        <v>360</v>
      </c>
      <c r="C55" s="25" t="s">
        <v>361</v>
      </c>
      <c r="D55" s="25" t="s">
        <v>226</v>
      </c>
      <c r="E55" s="26">
        <v>30695</v>
      </c>
      <c r="F55" s="27">
        <v>313.2</v>
      </c>
      <c r="G55" s="28">
        <v>6.1000000000000004E-3</v>
      </c>
      <c r="H55" s="29"/>
    </row>
    <row r="56" spans="2:8" ht="15.75" customHeight="1" x14ac:dyDescent="0.2">
      <c r="B56" s="25" t="s">
        <v>299</v>
      </c>
      <c r="C56" s="25" t="s">
        <v>300</v>
      </c>
      <c r="D56" s="25" t="s">
        <v>301</v>
      </c>
      <c r="E56" s="26">
        <v>12627</v>
      </c>
      <c r="F56" s="27">
        <v>151.52000000000001</v>
      </c>
      <c r="G56" s="28">
        <v>2.8999999999999998E-3</v>
      </c>
      <c r="H56" s="29"/>
    </row>
    <row r="57" spans="2:8" ht="15.75" customHeight="1" x14ac:dyDescent="0.2">
      <c r="B57" s="24" t="s">
        <v>93</v>
      </c>
      <c r="C57" s="24"/>
      <c r="D57" s="24"/>
      <c r="E57" s="30"/>
      <c r="F57" s="31">
        <v>39126.15</v>
      </c>
      <c r="G57" s="32">
        <v>0.75939999999999996</v>
      </c>
      <c r="H57" s="33"/>
    </row>
    <row r="58" spans="2:8" ht="15.75" customHeight="1" x14ac:dyDescent="0.2">
      <c r="B58" s="24" t="s">
        <v>141</v>
      </c>
      <c r="C58" s="25"/>
      <c r="D58" s="25"/>
      <c r="E58" s="26"/>
      <c r="F58" s="27"/>
      <c r="G58" s="28"/>
      <c r="H58" s="29"/>
    </row>
    <row r="59" spans="2:8" ht="15.75" customHeight="1" x14ac:dyDescent="0.2">
      <c r="B59" s="24" t="s">
        <v>93</v>
      </c>
      <c r="C59" s="25"/>
      <c r="D59" s="25"/>
      <c r="E59" s="26"/>
      <c r="F59" s="34" t="s">
        <v>95</v>
      </c>
      <c r="G59" s="35" t="s">
        <v>95</v>
      </c>
      <c r="H59" s="29"/>
    </row>
    <row r="60" spans="2:8" ht="15.75" customHeight="1" x14ac:dyDescent="0.2">
      <c r="B60" s="25"/>
      <c r="C60" s="25"/>
      <c r="D60" s="25"/>
      <c r="E60" s="26"/>
      <c r="F60" s="27"/>
      <c r="G60" s="28"/>
      <c r="H60" s="29"/>
    </row>
    <row r="61" spans="2:8" ht="15.75" customHeight="1" x14ac:dyDescent="0.2">
      <c r="B61" s="36" t="s">
        <v>97</v>
      </c>
      <c r="C61" s="36"/>
      <c r="D61" s="36"/>
      <c r="E61" s="37"/>
      <c r="F61" s="31">
        <v>39126.15</v>
      </c>
      <c r="G61" s="32">
        <v>0.75939999999999996</v>
      </c>
      <c r="H61" s="33"/>
    </row>
    <row r="62" spans="2:8" ht="15.75" customHeight="1" x14ac:dyDescent="0.2">
      <c r="B62" s="25"/>
      <c r="C62" s="25"/>
      <c r="D62" s="25"/>
      <c r="E62" s="26"/>
      <c r="F62" s="27"/>
      <c r="G62" s="28"/>
      <c r="H62" s="29"/>
    </row>
    <row r="63" spans="2:8" ht="15.75" customHeight="1" x14ac:dyDescent="0.2">
      <c r="B63" s="24" t="s">
        <v>82</v>
      </c>
      <c r="C63" s="25"/>
      <c r="D63" s="25"/>
      <c r="E63" s="26"/>
      <c r="F63" s="27"/>
      <c r="G63" s="28"/>
      <c r="H63" s="29"/>
    </row>
    <row r="64" spans="2:8" ht="15.75" customHeight="1" x14ac:dyDescent="0.2">
      <c r="B64" s="24" t="s">
        <v>83</v>
      </c>
      <c r="C64" s="25"/>
      <c r="D64" s="25"/>
      <c r="E64" s="26"/>
      <c r="F64" s="27"/>
      <c r="G64" s="28"/>
      <c r="H64" s="29"/>
    </row>
    <row r="65" spans="2:16" ht="15.75" customHeight="1" x14ac:dyDescent="0.2">
      <c r="B65" s="25" t="s">
        <v>142</v>
      </c>
      <c r="C65" s="25" t="s">
        <v>143</v>
      </c>
      <c r="D65" s="25" t="s">
        <v>84</v>
      </c>
      <c r="E65" s="26">
        <v>2150000</v>
      </c>
      <c r="F65" s="27">
        <v>2173.91</v>
      </c>
      <c r="G65" s="28">
        <v>4.2200000000000001E-2</v>
      </c>
      <c r="H65" s="29">
        <v>7.2116E-2</v>
      </c>
    </row>
    <row r="66" spans="2:16" ht="15.75" customHeight="1" x14ac:dyDescent="0.2">
      <c r="B66" s="25" t="s">
        <v>362</v>
      </c>
      <c r="C66" s="25" t="s">
        <v>363</v>
      </c>
      <c r="D66" s="25" t="s">
        <v>84</v>
      </c>
      <c r="E66" s="26">
        <v>1500000</v>
      </c>
      <c r="F66" s="27">
        <v>1450.28</v>
      </c>
      <c r="G66" s="28">
        <v>2.81E-2</v>
      </c>
      <c r="H66" s="29">
        <v>7.3043999999999998E-2</v>
      </c>
    </row>
    <row r="67" spans="2:16" ht="15.75" customHeight="1" x14ac:dyDescent="0.2">
      <c r="B67" s="25" t="s">
        <v>153</v>
      </c>
      <c r="C67" s="25" t="s">
        <v>154</v>
      </c>
      <c r="D67" s="25" t="s">
        <v>105</v>
      </c>
      <c r="E67" s="26">
        <v>1300</v>
      </c>
      <c r="F67" s="27">
        <v>1389.68</v>
      </c>
      <c r="G67" s="28">
        <v>2.7E-2</v>
      </c>
      <c r="H67" s="29">
        <v>8.1424999999999997E-2</v>
      </c>
    </row>
    <row r="68" spans="2:16" ht="15.75" customHeight="1" x14ac:dyDescent="0.2">
      <c r="B68" s="25" t="s">
        <v>144</v>
      </c>
      <c r="C68" s="25" t="s">
        <v>145</v>
      </c>
      <c r="D68" s="25" t="s">
        <v>84</v>
      </c>
      <c r="E68" s="26">
        <v>1000000</v>
      </c>
      <c r="F68" s="27">
        <v>1054.31</v>
      </c>
      <c r="G68" s="28">
        <v>2.0500000000000001E-2</v>
      </c>
      <c r="H68" s="29">
        <v>7.5699000000000002E-2</v>
      </c>
      <c r="L68" s="3"/>
    </row>
    <row r="69" spans="2:16" ht="15.75" customHeight="1" x14ac:dyDescent="0.2">
      <c r="B69" s="25" t="s">
        <v>87</v>
      </c>
      <c r="C69" s="25" t="s">
        <v>92</v>
      </c>
      <c r="D69" s="25" t="s">
        <v>84</v>
      </c>
      <c r="E69" s="26">
        <v>1000000</v>
      </c>
      <c r="F69" s="27">
        <v>1033.72</v>
      </c>
      <c r="G69" s="28">
        <v>2.01E-2</v>
      </c>
      <c r="H69" s="29">
        <v>7.3199E-2</v>
      </c>
    </row>
    <row r="70" spans="2:16" ht="15.75" customHeight="1" x14ac:dyDescent="0.2">
      <c r="B70" s="25" t="s">
        <v>364</v>
      </c>
      <c r="C70" s="25" t="s">
        <v>365</v>
      </c>
      <c r="D70" s="25" t="s">
        <v>84</v>
      </c>
      <c r="E70" s="26">
        <v>1000000</v>
      </c>
      <c r="F70" s="27">
        <v>1012.79</v>
      </c>
      <c r="G70" s="28">
        <v>1.9699999999999999E-2</v>
      </c>
      <c r="H70" s="29">
        <v>7.7937000000000006E-2</v>
      </c>
      <c r="L70" s="3"/>
    </row>
    <row r="71" spans="2:16" ht="15.75" customHeight="1" x14ac:dyDescent="0.2">
      <c r="B71" s="25" t="s">
        <v>110</v>
      </c>
      <c r="C71" s="25" t="s">
        <v>111</v>
      </c>
      <c r="D71" s="25" t="s">
        <v>84</v>
      </c>
      <c r="E71" s="26">
        <v>900000</v>
      </c>
      <c r="F71" s="27">
        <v>913.36</v>
      </c>
      <c r="G71" s="28">
        <v>1.77E-2</v>
      </c>
      <c r="H71" s="29">
        <v>7.2098999999999996E-2</v>
      </c>
      <c r="L71" s="3"/>
    </row>
    <row r="72" spans="2:16" ht="15.75" customHeight="1" x14ac:dyDescent="0.2">
      <c r="B72" s="25" t="s">
        <v>108</v>
      </c>
      <c r="C72" s="25" t="s">
        <v>109</v>
      </c>
      <c r="D72" s="25" t="s">
        <v>91</v>
      </c>
      <c r="E72" s="26">
        <v>50</v>
      </c>
      <c r="F72" s="27">
        <v>536.51</v>
      </c>
      <c r="G72" s="28">
        <v>1.04E-2</v>
      </c>
      <c r="H72" s="29">
        <v>7.6817999999999997E-2</v>
      </c>
      <c r="L72" s="3"/>
    </row>
    <row r="73" spans="2:16" ht="15.75" customHeight="1" x14ac:dyDescent="0.2">
      <c r="B73" s="25" t="s">
        <v>106</v>
      </c>
      <c r="C73" s="25" t="s">
        <v>107</v>
      </c>
      <c r="D73" s="25" t="s">
        <v>91</v>
      </c>
      <c r="E73" s="26">
        <v>50</v>
      </c>
      <c r="F73" s="27">
        <v>530.42999999999995</v>
      </c>
      <c r="G73" s="28">
        <v>1.03E-2</v>
      </c>
      <c r="H73" s="29">
        <v>7.7799999999999994E-2</v>
      </c>
      <c r="L73" s="3"/>
    </row>
    <row r="74" spans="2:16" ht="15.75" customHeight="1" x14ac:dyDescent="0.2">
      <c r="B74" s="25" t="s">
        <v>366</v>
      </c>
      <c r="C74" s="25" t="s">
        <v>367</v>
      </c>
      <c r="D74" s="25" t="s">
        <v>91</v>
      </c>
      <c r="E74" s="26">
        <v>500</v>
      </c>
      <c r="F74" s="27">
        <v>526.04</v>
      </c>
      <c r="G74" s="28">
        <v>1.0200000000000001E-2</v>
      </c>
      <c r="H74" s="29">
        <v>7.7149999999999996E-2</v>
      </c>
      <c r="L74" s="3"/>
    </row>
    <row r="75" spans="2:16" ht="15.75" customHeight="1" x14ac:dyDescent="0.2">
      <c r="B75" s="25" t="s">
        <v>87</v>
      </c>
      <c r="C75" s="25" t="s">
        <v>88</v>
      </c>
      <c r="D75" s="25" t="s">
        <v>84</v>
      </c>
      <c r="E75" s="26">
        <v>350000</v>
      </c>
      <c r="F75" s="27">
        <v>360.12</v>
      </c>
      <c r="G75" s="28">
        <v>7.0000000000000001E-3</v>
      </c>
      <c r="H75" s="29">
        <v>7.3424000000000003E-2</v>
      </c>
      <c r="L75" s="5"/>
      <c r="M75" s="5"/>
      <c r="N75" s="6"/>
      <c r="O75" s="6"/>
      <c r="P75" s="5"/>
    </row>
    <row r="76" spans="2:16" ht="15.75" customHeight="1" x14ac:dyDescent="0.2">
      <c r="B76" s="25" t="s">
        <v>148</v>
      </c>
      <c r="C76" s="25" t="s">
        <v>149</v>
      </c>
      <c r="D76" s="25" t="s">
        <v>91</v>
      </c>
      <c r="E76" s="26">
        <v>37500</v>
      </c>
      <c r="F76" s="27">
        <v>3.85</v>
      </c>
      <c r="G76" s="28">
        <v>1E-4</v>
      </c>
      <c r="H76" s="29">
        <v>7.6399999999999996E-2</v>
      </c>
    </row>
    <row r="77" spans="2:16" ht="15.75" customHeight="1" x14ac:dyDescent="0.2">
      <c r="B77" s="24" t="s">
        <v>93</v>
      </c>
      <c r="C77" s="24"/>
      <c r="D77" s="24"/>
      <c r="E77" s="30"/>
      <c r="F77" s="31">
        <v>10985</v>
      </c>
      <c r="G77" s="32">
        <v>0.21329999999999999</v>
      </c>
      <c r="H77" s="33"/>
    </row>
    <row r="78" spans="2:16" ht="15.75" customHeight="1" x14ac:dyDescent="0.2">
      <c r="B78" s="25"/>
      <c r="C78" s="25"/>
      <c r="D78" s="25"/>
      <c r="E78" s="26"/>
      <c r="F78" s="27"/>
      <c r="G78" s="28"/>
      <c r="H78" s="29"/>
      <c r="L78" s="7"/>
      <c r="M78" s="7"/>
      <c r="N78" s="7"/>
      <c r="O78" s="7"/>
      <c r="P78" s="7"/>
    </row>
    <row r="79" spans="2:16" ht="15.75" customHeight="1" x14ac:dyDescent="0.2">
      <c r="B79" s="24" t="s">
        <v>94</v>
      </c>
      <c r="C79" s="25"/>
      <c r="D79" s="25"/>
      <c r="E79" s="26"/>
      <c r="F79" s="27"/>
      <c r="G79" s="28"/>
      <c r="H79" s="29"/>
      <c r="L79" s="7"/>
      <c r="M79" s="7"/>
      <c r="N79" s="7"/>
      <c r="O79" s="7"/>
      <c r="P79" s="7"/>
    </row>
    <row r="80" spans="2:16" ht="15.75" customHeight="1" x14ac:dyDescent="0.2">
      <c r="B80" s="24" t="s">
        <v>93</v>
      </c>
      <c r="C80" s="25"/>
      <c r="D80" s="25"/>
      <c r="E80" s="26"/>
      <c r="F80" s="34" t="s">
        <v>95</v>
      </c>
      <c r="G80" s="35" t="s">
        <v>95</v>
      </c>
      <c r="H80" s="29"/>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24" t="s">
        <v>96</v>
      </c>
      <c r="C82" s="25"/>
      <c r="D82" s="25"/>
      <c r="E82" s="26"/>
      <c r="F82" s="27"/>
      <c r="G82" s="28"/>
      <c r="H82" s="29"/>
      <c r="L82" s="7"/>
      <c r="M82" s="7"/>
      <c r="N82" s="7"/>
      <c r="O82" s="7"/>
      <c r="P82" s="7"/>
    </row>
    <row r="83" spans="2:16" ht="15.75" customHeight="1" x14ac:dyDescent="0.2">
      <c r="B83" s="24" t="s">
        <v>93</v>
      </c>
      <c r="C83" s="25"/>
      <c r="D83" s="25"/>
      <c r="E83" s="26"/>
      <c r="F83" s="34" t="s">
        <v>95</v>
      </c>
      <c r="G83" s="35" t="s">
        <v>95</v>
      </c>
      <c r="H83" s="29"/>
      <c r="L83" s="7"/>
      <c r="M83" s="7"/>
      <c r="N83" s="7"/>
      <c r="O83" s="7"/>
      <c r="P83" s="7"/>
    </row>
    <row r="84" spans="2:16" ht="15.75" customHeight="1" x14ac:dyDescent="0.2">
      <c r="B84" s="25"/>
      <c r="C84" s="25"/>
      <c r="D84" s="25"/>
      <c r="E84" s="26"/>
      <c r="F84" s="27"/>
      <c r="G84" s="28"/>
      <c r="H84" s="29"/>
      <c r="L84" s="7"/>
      <c r="M84" s="7"/>
      <c r="N84" s="7"/>
      <c r="O84" s="7"/>
      <c r="P84" s="7"/>
    </row>
    <row r="85" spans="2:16" ht="15.75" customHeight="1" x14ac:dyDescent="0.2">
      <c r="B85" s="36" t="s">
        <v>97</v>
      </c>
      <c r="C85" s="36"/>
      <c r="D85" s="36"/>
      <c r="E85" s="37"/>
      <c r="F85" s="31">
        <v>10985</v>
      </c>
      <c r="G85" s="32">
        <v>0.2132</v>
      </c>
      <c r="H85" s="33"/>
    </row>
    <row r="86" spans="2:16" ht="15.75" customHeight="1" x14ac:dyDescent="0.2">
      <c r="B86" s="25"/>
      <c r="C86" s="25"/>
      <c r="D86" s="25"/>
      <c r="E86" s="26"/>
      <c r="F86" s="27"/>
      <c r="G86" s="28"/>
      <c r="H86" s="29"/>
      <c r="L86" s="3"/>
    </row>
    <row r="87" spans="2:16" ht="15.75" customHeight="1" x14ac:dyDescent="0.2">
      <c r="B87" s="25"/>
      <c r="C87" s="25"/>
      <c r="D87" s="25"/>
      <c r="E87" s="26"/>
      <c r="F87" s="27"/>
      <c r="G87" s="28"/>
      <c r="H87" s="29"/>
    </row>
    <row r="88" spans="2:16" ht="15.75" customHeight="1" x14ac:dyDescent="0.2">
      <c r="B88" s="24" t="s">
        <v>100</v>
      </c>
      <c r="C88" s="25"/>
      <c r="D88" s="25"/>
      <c r="E88" s="26"/>
      <c r="F88" s="27"/>
      <c r="G88" s="28"/>
      <c r="H88" s="29"/>
    </row>
    <row r="89" spans="2:16" ht="15.75" customHeight="1" x14ac:dyDescent="0.2">
      <c r="B89" s="25" t="s">
        <v>101</v>
      </c>
      <c r="C89" s="25"/>
      <c r="D89" s="25"/>
      <c r="E89" s="26"/>
      <c r="F89" s="27">
        <v>2484.2199999999998</v>
      </c>
      <c r="G89" s="28">
        <v>4.82E-2</v>
      </c>
      <c r="H89" s="29"/>
    </row>
    <row r="90" spans="2:16" ht="15.75" customHeight="1" x14ac:dyDescent="0.2">
      <c r="B90" s="24" t="s">
        <v>93</v>
      </c>
      <c r="C90" s="24"/>
      <c r="D90" s="24"/>
      <c r="E90" s="30"/>
      <c r="F90" s="31">
        <v>2484.2199999999998</v>
      </c>
      <c r="G90" s="32">
        <v>4.82E-2</v>
      </c>
      <c r="H90" s="33"/>
    </row>
    <row r="91" spans="2:16" ht="15.75" customHeight="1" x14ac:dyDescent="0.2">
      <c r="B91" s="25"/>
      <c r="C91" s="25"/>
      <c r="D91" s="25"/>
      <c r="E91" s="26"/>
      <c r="F91" s="27"/>
      <c r="G91" s="28"/>
      <c r="H91" s="29"/>
    </row>
    <row r="92" spans="2:16" ht="15.75" customHeight="1" x14ac:dyDescent="0.2">
      <c r="B92" s="36" t="s">
        <v>97</v>
      </c>
      <c r="C92" s="36"/>
      <c r="D92" s="36"/>
      <c r="E92" s="37"/>
      <c r="F92" s="31">
        <v>2484.2199999999998</v>
      </c>
      <c r="G92" s="32">
        <v>4.82E-2</v>
      </c>
      <c r="H92" s="33"/>
    </row>
    <row r="93" spans="2:16" ht="15.75" customHeight="1" x14ac:dyDescent="0.2">
      <c r="B93" s="25" t="s">
        <v>102</v>
      </c>
      <c r="C93" s="25"/>
      <c r="D93" s="25"/>
      <c r="E93" s="26"/>
      <c r="F93" s="38">
        <v>-1072.72</v>
      </c>
      <c r="G93" s="39">
        <v>-2.079999999999993E-2</v>
      </c>
      <c r="H93" s="29"/>
    </row>
    <row r="94" spans="2:16" ht="15.75" customHeight="1" x14ac:dyDescent="0.2">
      <c r="B94" s="40" t="s">
        <v>103</v>
      </c>
      <c r="C94" s="40"/>
      <c r="D94" s="40"/>
      <c r="E94" s="41"/>
      <c r="F94" s="42">
        <v>51522.65</v>
      </c>
      <c r="G94" s="43">
        <v>1</v>
      </c>
      <c r="H94" s="44"/>
    </row>
    <row r="95" spans="2:16" ht="15.75" customHeight="1" x14ac:dyDescent="0.2">
      <c r="B95" s="2"/>
    </row>
    <row r="96" spans="2:16" ht="15.75" customHeight="1" x14ac:dyDescent="0.2">
      <c r="B96" s="12" t="s">
        <v>104</v>
      </c>
    </row>
    <row r="97" spans="2:8" ht="15.75" customHeight="1" thickBot="1" x14ac:dyDescent="0.25"/>
    <row r="98" spans="2:8" ht="27" customHeight="1" thickBot="1" x14ac:dyDescent="0.25">
      <c r="B98" s="57" t="s">
        <v>806</v>
      </c>
      <c r="C98" s="58" t="s">
        <v>807</v>
      </c>
      <c r="D98" s="58" t="s">
        <v>808</v>
      </c>
      <c r="E98" s="59" t="s">
        <v>809</v>
      </c>
      <c r="G98" s="2"/>
      <c r="H98" s="2"/>
    </row>
    <row r="99" spans="2:8" ht="35.25" customHeight="1" x14ac:dyDescent="0.2">
      <c r="B99" s="71" t="s">
        <v>11</v>
      </c>
      <c r="C99" s="91"/>
      <c r="D99" s="87" t="s">
        <v>823</v>
      </c>
      <c r="E99" s="88"/>
      <c r="G99" s="2"/>
      <c r="H99" s="2"/>
    </row>
    <row r="100" spans="2:8" ht="18.75" customHeight="1" x14ac:dyDescent="0.2">
      <c r="B100" s="61" t="s">
        <v>824</v>
      </c>
      <c r="C100" s="81"/>
      <c r="D100" s="87"/>
      <c r="E100" s="84"/>
      <c r="G100" s="2"/>
      <c r="H100" s="2"/>
    </row>
    <row r="101" spans="2:8" ht="36.75" customHeight="1" x14ac:dyDescent="0.2">
      <c r="B101" s="61" t="s">
        <v>825</v>
      </c>
      <c r="C101" s="81"/>
      <c r="D101" s="87"/>
      <c r="E101" s="84"/>
      <c r="G101" s="2"/>
      <c r="H101" s="2"/>
    </row>
    <row r="102" spans="2:8" ht="20.100000000000001" customHeight="1" thickBot="1" x14ac:dyDescent="0.25">
      <c r="B102" s="62" t="s">
        <v>826</v>
      </c>
      <c r="C102" s="92"/>
      <c r="D102" s="70" t="s">
        <v>826</v>
      </c>
      <c r="E102" s="89"/>
      <c r="G102" s="2"/>
      <c r="H102" s="2"/>
    </row>
    <row r="103" spans="2:8" ht="24.95" customHeight="1" x14ac:dyDescent="0.2">
      <c r="B103" s="64" t="s">
        <v>815</v>
      </c>
      <c r="C103" s="65"/>
      <c r="D103" s="66"/>
      <c r="E103" s="67"/>
      <c r="G103" s="2"/>
      <c r="H103" s="2"/>
    </row>
    <row r="105" spans="2:8" ht="12" x14ac:dyDescent="0.2">
      <c r="B105" s="2" t="s">
        <v>816</v>
      </c>
      <c r="C105" s="2"/>
      <c r="D105" s="2"/>
      <c r="G105" s="2"/>
      <c r="H105" s="2"/>
    </row>
    <row r="106" spans="2:8" ht="12" x14ac:dyDescent="0.2">
      <c r="B106" s="3" t="s">
        <v>817</v>
      </c>
      <c r="C106" s="2"/>
      <c r="D106" s="2"/>
      <c r="G106" s="2"/>
      <c r="H106" s="2"/>
    </row>
  </sheetData>
  <mergeCells count="3">
    <mergeCell ref="C99:C102"/>
    <mergeCell ref="D99:D101"/>
    <mergeCell ref="E99:E102"/>
  </mergeCells>
  <hyperlinks>
    <hyperlink ref="I1" location="'Sheet1'!A1" display="Index" xr:uid="{AD0D111E-55B6-4E2E-A373-E8E2EB8FBAD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A797-984C-4F54-B713-FCAA2745F552}">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5703125" style="9" customWidth="1"/>
    <col min="4" max="4" width="26.5703125" style="9" customWidth="1"/>
    <col min="5" max="5" width="30"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436175</v>
      </c>
      <c r="F7" s="27">
        <v>7455.32</v>
      </c>
      <c r="G7" s="28">
        <v>0.24199999999999999</v>
      </c>
      <c r="H7" s="29"/>
    </row>
    <row r="8" spans="2:9" ht="15.75" customHeight="1" x14ac:dyDescent="0.2">
      <c r="B8" s="25" t="s">
        <v>119</v>
      </c>
      <c r="C8" s="25" t="s">
        <v>120</v>
      </c>
      <c r="D8" s="25" t="s">
        <v>121</v>
      </c>
      <c r="E8" s="26">
        <v>477588</v>
      </c>
      <c r="F8" s="27">
        <v>4759.6400000000003</v>
      </c>
      <c r="G8" s="28">
        <v>0.1545</v>
      </c>
      <c r="H8" s="29"/>
    </row>
    <row r="9" spans="2:9" ht="15.75" customHeight="1" x14ac:dyDescent="0.2">
      <c r="B9" s="25" t="s">
        <v>256</v>
      </c>
      <c r="C9" s="25" t="s">
        <v>257</v>
      </c>
      <c r="D9" s="25" t="s">
        <v>121</v>
      </c>
      <c r="E9" s="26">
        <v>462712</v>
      </c>
      <c r="F9" s="27">
        <v>2970.84</v>
      </c>
      <c r="G9" s="28">
        <v>9.64E-2</v>
      </c>
      <c r="H9" s="29"/>
    </row>
    <row r="10" spans="2:9" ht="15.75" customHeight="1" x14ac:dyDescent="0.2">
      <c r="B10" s="25" t="s">
        <v>258</v>
      </c>
      <c r="C10" s="25" t="s">
        <v>259</v>
      </c>
      <c r="D10" s="25" t="s">
        <v>121</v>
      </c>
      <c r="E10" s="26">
        <v>204142</v>
      </c>
      <c r="F10" s="27">
        <v>2250.2600000000002</v>
      </c>
      <c r="G10" s="28">
        <v>7.3099999999999998E-2</v>
      </c>
      <c r="H10" s="29"/>
    </row>
    <row r="11" spans="2:9" ht="15.75" customHeight="1" x14ac:dyDescent="0.2">
      <c r="B11" s="25" t="s">
        <v>331</v>
      </c>
      <c r="C11" s="25" t="s">
        <v>332</v>
      </c>
      <c r="D11" s="25" t="s">
        <v>121</v>
      </c>
      <c r="E11" s="26">
        <v>1036969</v>
      </c>
      <c r="F11" s="27">
        <v>1619.23</v>
      </c>
      <c r="G11" s="28">
        <v>5.2600000000000001E-2</v>
      </c>
      <c r="H11" s="29"/>
    </row>
    <row r="12" spans="2:9" ht="15.75" customHeight="1" x14ac:dyDescent="0.2">
      <c r="B12" s="25" t="s">
        <v>368</v>
      </c>
      <c r="C12" s="25" t="s">
        <v>369</v>
      </c>
      <c r="D12" s="25" t="s">
        <v>176</v>
      </c>
      <c r="E12" s="26">
        <v>72620</v>
      </c>
      <c r="F12" s="27">
        <v>1159.4100000000001</v>
      </c>
      <c r="G12" s="28">
        <v>3.7600000000000001E-2</v>
      </c>
      <c r="H12" s="29"/>
    </row>
    <row r="13" spans="2:9" ht="15.75" customHeight="1" x14ac:dyDescent="0.2">
      <c r="B13" s="25" t="s">
        <v>370</v>
      </c>
      <c r="C13" s="25" t="s">
        <v>371</v>
      </c>
      <c r="D13" s="25" t="s">
        <v>176</v>
      </c>
      <c r="E13" s="26">
        <v>684295</v>
      </c>
      <c r="F13" s="27">
        <v>1129.43</v>
      </c>
      <c r="G13" s="28">
        <v>3.6700000000000003E-2</v>
      </c>
      <c r="H13" s="29"/>
    </row>
    <row r="14" spans="2:9" ht="15.75" customHeight="1" x14ac:dyDescent="0.2">
      <c r="B14" s="25" t="s">
        <v>372</v>
      </c>
      <c r="C14" s="25" t="s">
        <v>373</v>
      </c>
      <c r="D14" s="25" t="s">
        <v>121</v>
      </c>
      <c r="E14" s="26">
        <v>780100</v>
      </c>
      <c r="F14" s="27">
        <v>1036.3599999999999</v>
      </c>
      <c r="G14" s="28">
        <v>3.3599999999999998E-2</v>
      </c>
      <c r="H14" s="29"/>
    </row>
    <row r="15" spans="2:9" ht="15.75" customHeight="1" x14ac:dyDescent="0.2">
      <c r="B15" s="25" t="s">
        <v>238</v>
      </c>
      <c r="C15" s="25" t="s">
        <v>239</v>
      </c>
      <c r="D15" s="25" t="s">
        <v>176</v>
      </c>
      <c r="E15" s="26">
        <v>107161</v>
      </c>
      <c r="F15" s="27">
        <v>998.1</v>
      </c>
      <c r="G15" s="28">
        <v>3.2399999999999998E-2</v>
      </c>
      <c r="H15" s="29"/>
    </row>
    <row r="16" spans="2:9" ht="15.75" customHeight="1" x14ac:dyDescent="0.2">
      <c r="B16" s="25" t="s">
        <v>374</v>
      </c>
      <c r="C16" s="25" t="s">
        <v>375</v>
      </c>
      <c r="D16" s="25" t="s">
        <v>121</v>
      </c>
      <c r="E16" s="26">
        <v>215387</v>
      </c>
      <c r="F16" s="27">
        <v>901.72</v>
      </c>
      <c r="G16" s="28">
        <v>2.93E-2</v>
      </c>
      <c r="H16" s="29"/>
    </row>
    <row r="17" spans="2:8" ht="15.75" customHeight="1" x14ac:dyDescent="0.2">
      <c r="B17" s="25" t="s">
        <v>333</v>
      </c>
      <c r="C17" s="25" t="s">
        <v>334</v>
      </c>
      <c r="D17" s="25" t="s">
        <v>176</v>
      </c>
      <c r="E17" s="26">
        <v>112996</v>
      </c>
      <c r="F17" s="27">
        <v>830.41</v>
      </c>
      <c r="G17" s="28">
        <v>2.7E-2</v>
      </c>
      <c r="H17" s="29"/>
    </row>
    <row r="18" spans="2:8" ht="15.75" customHeight="1" x14ac:dyDescent="0.2">
      <c r="B18" s="25" t="s">
        <v>327</v>
      </c>
      <c r="C18" s="25" t="s">
        <v>328</v>
      </c>
      <c r="D18" s="25" t="s">
        <v>121</v>
      </c>
      <c r="E18" s="26">
        <v>706823</v>
      </c>
      <c r="F18" s="27">
        <v>745.7</v>
      </c>
      <c r="G18" s="28">
        <v>2.4199999999999999E-2</v>
      </c>
      <c r="H18" s="29"/>
    </row>
    <row r="19" spans="2:8" ht="15.75" customHeight="1" x14ac:dyDescent="0.2">
      <c r="B19" s="25" t="s">
        <v>376</v>
      </c>
      <c r="C19" s="25" t="s">
        <v>377</v>
      </c>
      <c r="D19" s="25" t="s">
        <v>176</v>
      </c>
      <c r="E19" s="26">
        <v>94998</v>
      </c>
      <c r="F19" s="27">
        <v>674.34</v>
      </c>
      <c r="G19" s="28">
        <v>2.1899999999999999E-2</v>
      </c>
      <c r="H19" s="29"/>
    </row>
    <row r="20" spans="2:8" ht="15.75" customHeight="1" x14ac:dyDescent="0.2">
      <c r="B20" s="25" t="s">
        <v>378</v>
      </c>
      <c r="C20" s="25" t="s">
        <v>379</v>
      </c>
      <c r="D20" s="25" t="s">
        <v>176</v>
      </c>
      <c r="E20" s="26">
        <v>41277</v>
      </c>
      <c r="F20" s="27">
        <v>632.47</v>
      </c>
      <c r="G20" s="28">
        <v>2.0500000000000001E-2</v>
      </c>
      <c r="H20" s="29"/>
    </row>
    <row r="21" spans="2:8" ht="15.75" customHeight="1" x14ac:dyDescent="0.2">
      <c r="B21" s="25" t="s">
        <v>380</v>
      </c>
      <c r="C21" s="25" t="s">
        <v>381</v>
      </c>
      <c r="D21" s="25" t="s">
        <v>176</v>
      </c>
      <c r="E21" s="26">
        <v>70190</v>
      </c>
      <c r="F21" s="27">
        <v>610.48</v>
      </c>
      <c r="G21" s="28">
        <v>1.9800000000000002E-2</v>
      </c>
      <c r="H21" s="29"/>
    </row>
    <row r="22" spans="2:8" ht="15.75" customHeight="1" x14ac:dyDescent="0.2">
      <c r="B22" s="25" t="s">
        <v>382</v>
      </c>
      <c r="C22" s="25" t="s">
        <v>383</v>
      </c>
      <c r="D22" s="25" t="s">
        <v>176</v>
      </c>
      <c r="E22" s="26">
        <v>37148</v>
      </c>
      <c r="F22" s="27">
        <v>548.41999999999996</v>
      </c>
      <c r="G22" s="28">
        <v>1.78E-2</v>
      </c>
      <c r="H22" s="29"/>
    </row>
    <row r="23" spans="2:8" ht="15.75" customHeight="1" x14ac:dyDescent="0.2">
      <c r="B23" s="25" t="s">
        <v>384</v>
      </c>
      <c r="C23" s="25" t="s">
        <v>385</v>
      </c>
      <c r="D23" s="25" t="s">
        <v>121</v>
      </c>
      <c r="E23" s="26">
        <v>303261</v>
      </c>
      <c r="F23" s="27">
        <v>512.21</v>
      </c>
      <c r="G23" s="28">
        <v>1.66E-2</v>
      </c>
      <c r="H23" s="29"/>
    </row>
    <row r="24" spans="2:8" ht="15.75" customHeight="1" x14ac:dyDescent="0.2">
      <c r="B24" s="25" t="s">
        <v>304</v>
      </c>
      <c r="C24" s="25" t="s">
        <v>305</v>
      </c>
      <c r="D24" s="25" t="s">
        <v>176</v>
      </c>
      <c r="E24" s="26">
        <v>128221</v>
      </c>
      <c r="F24" s="27">
        <v>490.57</v>
      </c>
      <c r="G24" s="28">
        <v>1.5900000000000001E-2</v>
      </c>
      <c r="H24" s="29"/>
    </row>
    <row r="25" spans="2:8" ht="15.75" customHeight="1" x14ac:dyDescent="0.2">
      <c r="B25" s="25" t="s">
        <v>386</v>
      </c>
      <c r="C25" s="25" t="s">
        <v>387</v>
      </c>
      <c r="D25" s="25" t="s">
        <v>176</v>
      </c>
      <c r="E25" s="26">
        <v>51999</v>
      </c>
      <c r="F25" s="27">
        <v>395.01</v>
      </c>
      <c r="G25" s="28">
        <v>1.2800000000000001E-2</v>
      </c>
      <c r="H25" s="29"/>
    </row>
    <row r="26" spans="2:8" ht="15.75" customHeight="1" x14ac:dyDescent="0.2">
      <c r="B26" s="25" t="s">
        <v>388</v>
      </c>
      <c r="C26" s="25" t="s">
        <v>389</v>
      </c>
      <c r="D26" s="25" t="s">
        <v>176</v>
      </c>
      <c r="E26" s="26">
        <v>138844</v>
      </c>
      <c r="F26" s="27">
        <v>384.18</v>
      </c>
      <c r="G26" s="28">
        <v>1.2500000000000001E-2</v>
      </c>
      <c r="H26" s="29"/>
    </row>
    <row r="27" spans="2:8" ht="15.75" customHeight="1" x14ac:dyDescent="0.2">
      <c r="B27" s="24" t="s">
        <v>93</v>
      </c>
      <c r="C27" s="24"/>
      <c r="D27" s="24"/>
      <c r="E27" s="30"/>
      <c r="F27" s="31">
        <v>30104.1</v>
      </c>
      <c r="G27" s="32">
        <v>0.97729999999999995</v>
      </c>
      <c r="H27" s="33"/>
    </row>
    <row r="28" spans="2:8" ht="15.75" customHeight="1" x14ac:dyDescent="0.2">
      <c r="B28" s="24" t="s">
        <v>141</v>
      </c>
      <c r="C28" s="25"/>
      <c r="D28" s="25"/>
      <c r="E28" s="26"/>
      <c r="F28" s="27"/>
      <c r="G28" s="28"/>
      <c r="H28" s="29"/>
    </row>
    <row r="29" spans="2:8" ht="15.75" customHeight="1" x14ac:dyDescent="0.2">
      <c r="B29" s="24" t="s">
        <v>93</v>
      </c>
      <c r="C29" s="25"/>
      <c r="D29" s="25"/>
      <c r="E29" s="26"/>
      <c r="F29" s="34" t="s">
        <v>95</v>
      </c>
      <c r="G29" s="35" t="s">
        <v>95</v>
      </c>
      <c r="H29" s="29"/>
    </row>
    <row r="30" spans="2:8" ht="15.75" customHeight="1" x14ac:dyDescent="0.2">
      <c r="B30" s="25"/>
      <c r="C30" s="25"/>
      <c r="D30" s="25"/>
      <c r="E30" s="26"/>
      <c r="F30" s="27"/>
      <c r="G30" s="28"/>
      <c r="H30" s="29"/>
    </row>
    <row r="31" spans="2:8" ht="15.75" customHeight="1" x14ac:dyDescent="0.2">
      <c r="B31" s="36" t="s">
        <v>97</v>
      </c>
      <c r="C31" s="36"/>
      <c r="D31" s="36"/>
      <c r="E31" s="37"/>
      <c r="F31" s="31">
        <v>30104.1</v>
      </c>
      <c r="G31" s="32">
        <v>0.97729999999999995</v>
      </c>
      <c r="H31" s="33"/>
    </row>
    <row r="32" spans="2:8" ht="15.75" customHeight="1" x14ac:dyDescent="0.2">
      <c r="B32" s="25"/>
      <c r="C32" s="25"/>
      <c r="D32" s="25"/>
      <c r="E32" s="26"/>
      <c r="F32" s="27"/>
      <c r="G32" s="28"/>
      <c r="H32" s="29"/>
    </row>
    <row r="33" spans="2:8" ht="15.75" customHeight="1" x14ac:dyDescent="0.2">
      <c r="B33" s="25"/>
      <c r="C33" s="25"/>
      <c r="D33" s="25"/>
      <c r="E33" s="26"/>
      <c r="F33" s="27"/>
      <c r="G33" s="28"/>
      <c r="H33" s="29"/>
    </row>
    <row r="34" spans="2:8" ht="15.75" customHeight="1" x14ac:dyDescent="0.2">
      <c r="B34" s="24" t="s">
        <v>100</v>
      </c>
      <c r="C34" s="25"/>
      <c r="D34" s="25"/>
      <c r="E34" s="26"/>
      <c r="F34" s="27"/>
      <c r="G34" s="28"/>
      <c r="H34" s="29"/>
    </row>
    <row r="35" spans="2:8" ht="15.75" customHeight="1" x14ac:dyDescent="0.2">
      <c r="B35" s="25" t="s">
        <v>101</v>
      </c>
      <c r="C35" s="25"/>
      <c r="D35" s="25"/>
      <c r="E35" s="26"/>
      <c r="F35" s="27">
        <v>722.03</v>
      </c>
      <c r="G35" s="28">
        <v>2.3400000000000001E-2</v>
      </c>
      <c r="H35" s="29"/>
    </row>
    <row r="36" spans="2:8" ht="15.75" customHeight="1" x14ac:dyDescent="0.2">
      <c r="B36" s="24" t="s">
        <v>93</v>
      </c>
      <c r="C36" s="24"/>
      <c r="D36" s="24"/>
      <c r="E36" s="30"/>
      <c r="F36" s="31">
        <v>722.03</v>
      </c>
      <c r="G36" s="32">
        <v>2.3400000000000001E-2</v>
      </c>
      <c r="H36" s="33"/>
    </row>
    <row r="37" spans="2:8" ht="15.75" customHeight="1" x14ac:dyDescent="0.2">
      <c r="B37" s="25"/>
      <c r="C37" s="25"/>
      <c r="D37" s="25"/>
      <c r="E37" s="26"/>
      <c r="F37" s="27"/>
      <c r="G37" s="28"/>
      <c r="H37" s="29"/>
    </row>
    <row r="38" spans="2:8" ht="15.75" customHeight="1" x14ac:dyDescent="0.2">
      <c r="B38" s="36" t="s">
        <v>97</v>
      </c>
      <c r="C38" s="36"/>
      <c r="D38" s="36"/>
      <c r="E38" s="37"/>
      <c r="F38" s="31">
        <v>722.03</v>
      </c>
      <c r="G38" s="32">
        <v>2.3400000000000001E-2</v>
      </c>
      <c r="H38" s="33"/>
    </row>
    <row r="39" spans="2:8" ht="15.75" customHeight="1" x14ac:dyDescent="0.2">
      <c r="B39" s="25" t="s">
        <v>102</v>
      </c>
      <c r="C39" s="25"/>
      <c r="D39" s="25"/>
      <c r="E39" s="26"/>
      <c r="F39" s="38">
        <v>-23.91</v>
      </c>
      <c r="G39" s="39">
        <v>-6.9999999999992291E-4</v>
      </c>
      <c r="H39" s="29"/>
    </row>
    <row r="40" spans="2:8" ht="15.75" customHeight="1" x14ac:dyDescent="0.2">
      <c r="B40" s="40" t="s">
        <v>103</v>
      </c>
      <c r="C40" s="40"/>
      <c r="D40" s="40"/>
      <c r="E40" s="41"/>
      <c r="F40" s="42">
        <v>30802.22</v>
      </c>
      <c r="G40" s="43">
        <v>1</v>
      </c>
      <c r="H40" s="44"/>
    </row>
    <row r="41" spans="2:8" ht="15.75" customHeight="1" thickBot="1" x14ac:dyDescent="0.25">
      <c r="B41" s="2"/>
    </row>
    <row r="42" spans="2:8" ht="27" customHeight="1" thickBot="1" x14ac:dyDescent="0.25">
      <c r="B42" s="57" t="s">
        <v>806</v>
      </c>
      <c r="C42" s="58" t="s">
        <v>807</v>
      </c>
      <c r="D42" s="58" t="s">
        <v>808</v>
      </c>
      <c r="E42" s="59" t="s">
        <v>809</v>
      </c>
      <c r="G42" s="2"/>
      <c r="H42" s="2"/>
    </row>
    <row r="43" spans="2:8" ht="20.25" customHeight="1" x14ac:dyDescent="0.2">
      <c r="B43" s="68" t="s">
        <v>827</v>
      </c>
      <c r="C43" s="83"/>
      <c r="D43" s="72"/>
      <c r="E43" s="88"/>
      <c r="G43" s="2"/>
      <c r="H43" s="2"/>
    </row>
    <row r="44" spans="2:8" ht="39.950000000000003" customHeight="1" x14ac:dyDescent="0.2">
      <c r="B44" s="61" t="s">
        <v>828</v>
      </c>
      <c r="C44" s="84"/>
      <c r="D44" s="87" t="s">
        <v>829</v>
      </c>
      <c r="E44" s="84"/>
      <c r="G44" s="2"/>
      <c r="H44" s="2"/>
    </row>
    <row r="45" spans="2:8" ht="44.25" customHeight="1" x14ac:dyDescent="0.2">
      <c r="B45" s="61" t="s">
        <v>830</v>
      </c>
      <c r="C45" s="84"/>
      <c r="D45" s="87"/>
      <c r="E45" s="84"/>
      <c r="G45" s="2"/>
      <c r="H45" s="2"/>
    </row>
    <row r="46" spans="2:8" ht="29.25" customHeight="1" thickBot="1" x14ac:dyDescent="0.25">
      <c r="B46" s="62" t="s">
        <v>831</v>
      </c>
      <c r="C46" s="85"/>
      <c r="D46" s="70" t="s">
        <v>831</v>
      </c>
      <c r="E46" s="89"/>
      <c r="G46" s="2"/>
      <c r="H46" s="2"/>
    </row>
    <row r="47" spans="2:8" ht="24.95" customHeight="1" x14ac:dyDescent="0.2">
      <c r="B47" s="64" t="s">
        <v>815</v>
      </c>
      <c r="C47" s="65"/>
      <c r="D47" s="66"/>
      <c r="E47" s="67"/>
      <c r="G47" s="2"/>
      <c r="H47" s="2"/>
    </row>
    <row r="49" spans="2:8" ht="12" x14ac:dyDescent="0.2">
      <c r="B49" s="2" t="s">
        <v>816</v>
      </c>
      <c r="C49" s="2"/>
      <c r="D49" s="2"/>
      <c r="G49" s="2"/>
      <c r="H49" s="2"/>
    </row>
    <row r="50" spans="2:8" ht="12" x14ac:dyDescent="0.2">
      <c r="B50" s="3" t="s">
        <v>817</v>
      </c>
      <c r="C50" s="2"/>
      <c r="D50" s="2"/>
      <c r="G50" s="2"/>
      <c r="H5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3:C46"/>
    <mergeCell ref="E43:E46"/>
    <mergeCell ref="D44:D45"/>
  </mergeCells>
  <hyperlinks>
    <hyperlink ref="I1" location="'Sheet1'!A1" display="Index" xr:uid="{DF1C2BE3-5072-4CD0-A1BC-58319E13DB7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2B7F-688C-4899-8207-6C9F66FE5B5E}">
  <dimension ref="B1:P88"/>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8.140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6791</v>
      </c>
      <c r="F7" s="27">
        <v>116.08</v>
      </c>
      <c r="G7" s="28">
        <v>7.6300000000000007E-2</v>
      </c>
      <c r="H7" s="29"/>
    </row>
    <row r="8" spans="2:9" ht="15.75" customHeight="1" x14ac:dyDescent="0.2">
      <c r="B8" s="25" t="s">
        <v>119</v>
      </c>
      <c r="C8" s="25" t="s">
        <v>120</v>
      </c>
      <c r="D8" s="25" t="s">
        <v>121</v>
      </c>
      <c r="E8" s="26">
        <v>10354</v>
      </c>
      <c r="F8" s="27">
        <v>103.19</v>
      </c>
      <c r="G8" s="28">
        <v>6.7799999999999999E-2</v>
      </c>
      <c r="H8" s="29"/>
    </row>
    <row r="9" spans="2:9" ht="15.75" customHeight="1" x14ac:dyDescent="0.2">
      <c r="B9" s="25" t="s">
        <v>122</v>
      </c>
      <c r="C9" s="25" t="s">
        <v>123</v>
      </c>
      <c r="D9" s="25" t="s">
        <v>124</v>
      </c>
      <c r="E9" s="26">
        <v>4335</v>
      </c>
      <c r="F9" s="27">
        <v>66.88</v>
      </c>
      <c r="G9" s="28">
        <v>4.3999999999999997E-2</v>
      </c>
      <c r="H9" s="29"/>
    </row>
    <row r="10" spans="2:9" ht="15.75" customHeight="1" x14ac:dyDescent="0.2">
      <c r="B10" s="25" t="s">
        <v>130</v>
      </c>
      <c r="C10" s="25" t="s">
        <v>131</v>
      </c>
      <c r="D10" s="25" t="s">
        <v>132</v>
      </c>
      <c r="E10" s="26">
        <v>2062</v>
      </c>
      <c r="F10" s="27">
        <v>53.3</v>
      </c>
      <c r="G10" s="28">
        <v>3.5000000000000003E-2</v>
      </c>
      <c r="H10" s="29"/>
    </row>
    <row r="11" spans="2:9" ht="15.75" customHeight="1" x14ac:dyDescent="0.2">
      <c r="B11" s="25" t="s">
        <v>318</v>
      </c>
      <c r="C11" s="25" t="s">
        <v>319</v>
      </c>
      <c r="D11" s="25" t="s">
        <v>320</v>
      </c>
      <c r="E11" s="26">
        <v>1302</v>
      </c>
      <c r="F11" s="27">
        <v>45.91</v>
      </c>
      <c r="G11" s="28">
        <v>3.0200000000000001E-2</v>
      </c>
      <c r="H11" s="29"/>
    </row>
    <row r="12" spans="2:9" ht="15.75" customHeight="1" x14ac:dyDescent="0.2">
      <c r="B12" s="25" t="s">
        <v>258</v>
      </c>
      <c r="C12" s="25" t="s">
        <v>259</v>
      </c>
      <c r="D12" s="25" t="s">
        <v>121</v>
      </c>
      <c r="E12" s="26">
        <v>4154</v>
      </c>
      <c r="F12" s="27">
        <v>45.79</v>
      </c>
      <c r="G12" s="28">
        <v>3.0099999999999998E-2</v>
      </c>
      <c r="H12" s="29"/>
    </row>
    <row r="13" spans="2:9" ht="15.75" customHeight="1" x14ac:dyDescent="0.2">
      <c r="B13" s="25" t="s">
        <v>256</v>
      </c>
      <c r="C13" s="25" t="s">
        <v>257</v>
      </c>
      <c r="D13" s="25" t="s">
        <v>121</v>
      </c>
      <c r="E13" s="26">
        <v>7095</v>
      </c>
      <c r="F13" s="27">
        <v>45.55</v>
      </c>
      <c r="G13" s="28">
        <v>2.9899999999999999E-2</v>
      </c>
      <c r="H13" s="29"/>
    </row>
    <row r="14" spans="2:9" ht="15.75" customHeight="1" x14ac:dyDescent="0.2">
      <c r="B14" s="25" t="s">
        <v>390</v>
      </c>
      <c r="C14" s="25" t="s">
        <v>391</v>
      </c>
      <c r="D14" s="25" t="s">
        <v>292</v>
      </c>
      <c r="E14" s="26">
        <v>5390</v>
      </c>
      <c r="F14" s="27">
        <v>38.03</v>
      </c>
      <c r="G14" s="28">
        <v>2.5000000000000001E-2</v>
      </c>
      <c r="H14" s="29"/>
    </row>
    <row r="15" spans="2:9" ht="15.75" customHeight="1" x14ac:dyDescent="0.2">
      <c r="B15" s="25" t="s">
        <v>227</v>
      </c>
      <c r="C15" s="25" t="s">
        <v>228</v>
      </c>
      <c r="D15" s="25" t="s">
        <v>124</v>
      </c>
      <c r="E15" s="26">
        <v>972</v>
      </c>
      <c r="F15" s="27">
        <v>36.869999999999997</v>
      </c>
      <c r="G15" s="28">
        <v>2.4199999999999999E-2</v>
      </c>
      <c r="H15" s="29"/>
    </row>
    <row r="16" spans="2:9" ht="15.75" customHeight="1" x14ac:dyDescent="0.2">
      <c r="B16" s="25" t="s">
        <v>165</v>
      </c>
      <c r="C16" s="25" t="s">
        <v>166</v>
      </c>
      <c r="D16" s="25" t="s">
        <v>167</v>
      </c>
      <c r="E16" s="26">
        <v>1173</v>
      </c>
      <c r="F16" s="27">
        <v>35.83</v>
      </c>
      <c r="G16" s="28">
        <v>2.3599999999999999E-2</v>
      </c>
      <c r="H16" s="29"/>
    </row>
    <row r="17" spans="2:8" ht="15.75" customHeight="1" x14ac:dyDescent="0.2">
      <c r="B17" s="25" t="s">
        <v>392</v>
      </c>
      <c r="C17" s="25" t="s">
        <v>393</v>
      </c>
      <c r="D17" s="25" t="s">
        <v>292</v>
      </c>
      <c r="E17" s="26">
        <v>3481</v>
      </c>
      <c r="F17" s="27">
        <v>32.270000000000003</v>
      </c>
      <c r="G17" s="28">
        <v>2.12E-2</v>
      </c>
      <c r="H17" s="29"/>
    </row>
    <row r="18" spans="2:8" ht="15.75" customHeight="1" x14ac:dyDescent="0.2">
      <c r="B18" s="25" t="s">
        <v>127</v>
      </c>
      <c r="C18" s="25" t="s">
        <v>128</v>
      </c>
      <c r="D18" s="25" t="s">
        <v>129</v>
      </c>
      <c r="E18" s="26">
        <v>1140</v>
      </c>
      <c r="F18" s="27">
        <v>30.37</v>
      </c>
      <c r="G18" s="28">
        <v>0.02</v>
      </c>
      <c r="H18" s="29"/>
    </row>
    <row r="19" spans="2:8" ht="15.75" customHeight="1" x14ac:dyDescent="0.2">
      <c r="B19" s="25" t="s">
        <v>394</v>
      </c>
      <c r="C19" s="25" t="s">
        <v>395</v>
      </c>
      <c r="D19" s="25" t="s">
        <v>135</v>
      </c>
      <c r="E19" s="26">
        <v>5421</v>
      </c>
      <c r="F19" s="27">
        <v>29.6</v>
      </c>
      <c r="G19" s="28">
        <v>1.95E-2</v>
      </c>
      <c r="H19" s="29"/>
    </row>
    <row r="20" spans="2:8" ht="15.75" customHeight="1" x14ac:dyDescent="0.2">
      <c r="B20" s="25" t="s">
        <v>396</v>
      </c>
      <c r="C20" s="25" t="s">
        <v>397</v>
      </c>
      <c r="D20" s="25" t="s">
        <v>274</v>
      </c>
      <c r="E20" s="26">
        <v>2897</v>
      </c>
      <c r="F20" s="27">
        <v>28.41</v>
      </c>
      <c r="G20" s="28">
        <v>1.8700000000000001E-2</v>
      </c>
      <c r="H20" s="29"/>
    </row>
    <row r="21" spans="2:8" ht="15.75" customHeight="1" x14ac:dyDescent="0.2">
      <c r="B21" s="25" t="s">
        <v>398</v>
      </c>
      <c r="C21" s="25" t="s">
        <v>399</v>
      </c>
      <c r="D21" s="25" t="s">
        <v>292</v>
      </c>
      <c r="E21" s="26">
        <v>4174</v>
      </c>
      <c r="F21" s="27">
        <v>28.01</v>
      </c>
      <c r="G21" s="28">
        <v>1.84E-2</v>
      </c>
      <c r="H21" s="29"/>
    </row>
    <row r="22" spans="2:8" ht="15.75" customHeight="1" x14ac:dyDescent="0.2">
      <c r="B22" s="25" t="s">
        <v>306</v>
      </c>
      <c r="C22" s="25" t="s">
        <v>307</v>
      </c>
      <c r="D22" s="25" t="s">
        <v>226</v>
      </c>
      <c r="E22" s="26">
        <v>258</v>
      </c>
      <c r="F22" s="27">
        <v>27.1</v>
      </c>
      <c r="G22" s="28">
        <v>1.78E-2</v>
      </c>
      <c r="H22" s="29"/>
    </row>
    <row r="23" spans="2:8" ht="15.75" customHeight="1" x14ac:dyDescent="0.2">
      <c r="B23" s="25" t="s">
        <v>133</v>
      </c>
      <c r="C23" s="25" t="s">
        <v>134</v>
      </c>
      <c r="D23" s="25" t="s">
        <v>135</v>
      </c>
      <c r="E23" s="26">
        <v>95</v>
      </c>
      <c r="F23" s="27">
        <v>25.25</v>
      </c>
      <c r="G23" s="28">
        <v>1.66E-2</v>
      </c>
      <c r="H23" s="29"/>
    </row>
    <row r="24" spans="2:8" ht="15.75" customHeight="1" x14ac:dyDescent="0.2">
      <c r="B24" s="25" t="s">
        <v>400</v>
      </c>
      <c r="C24" s="25" t="s">
        <v>401</v>
      </c>
      <c r="D24" s="25" t="s">
        <v>194</v>
      </c>
      <c r="E24" s="26">
        <v>481</v>
      </c>
      <c r="F24" s="27">
        <v>25.02</v>
      </c>
      <c r="G24" s="28">
        <v>1.6500000000000001E-2</v>
      </c>
      <c r="H24" s="29"/>
    </row>
    <row r="25" spans="2:8" ht="15.75" customHeight="1" x14ac:dyDescent="0.2">
      <c r="B25" s="25" t="s">
        <v>402</v>
      </c>
      <c r="C25" s="25" t="s">
        <v>403</v>
      </c>
      <c r="D25" s="25" t="s">
        <v>404</v>
      </c>
      <c r="E25" s="26">
        <v>2997</v>
      </c>
      <c r="F25" s="27">
        <v>24.75</v>
      </c>
      <c r="G25" s="28">
        <v>1.6299999999999999E-2</v>
      </c>
      <c r="H25" s="29"/>
    </row>
    <row r="26" spans="2:8" ht="15.75" customHeight="1" x14ac:dyDescent="0.2">
      <c r="B26" s="25" t="s">
        <v>405</v>
      </c>
      <c r="C26" s="25" t="s">
        <v>406</v>
      </c>
      <c r="D26" s="25" t="s">
        <v>161</v>
      </c>
      <c r="E26" s="26">
        <v>1862</v>
      </c>
      <c r="F26" s="27">
        <v>23.31</v>
      </c>
      <c r="G26" s="28">
        <v>1.5299999999999999E-2</v>
      </c>
      <c r="H26" s="29"/>
    </row>
    <row r="27" spans="2:8" ht="15.75" customHeight="1" x14ac:dyDescent="0.2">
      <c r="B27" s="25" t="s">
        <v>139</v>
      </c>
      <c r="C27" s="25" t="s">
        <v>140</v>
      </c>
      <c r="D27" s="25" t="s">
        <v>124</v>
      </c>
      <c r="E27" s="26">
        <v>368</v>
      </c>
      <c r="F27" s="27">
        <v>23.17</v>
      </c>
      <c r="G27" s="28">
        <v>1.52E-2</v>
      </c>
      <c r="H27" s="29"/>
    </row>
    <row r="28" spans="2:8" ht="15.75" customHeight="1" x14ac:dyDescent="0.2">
      <c r="B28" s="25" t="s">
        <v>325</v>
      </c>
      <c r="C28" s="25" t="s">
        <v>326</v>
      </c>
      <c r="D28" s="25" t="s">
        <v>244</v>
      </c>
      <c r="E28" s="26">
        <v>2192</v>
      </c>
      <c r="F28" s="27">
        <v>22.63</v>
      </c>
      <c r="G28" s="28">
        <v>1.49E-2</v>
      </c>
      <c r="H28" s="29"/>
    </row>
    <row r="29" spans="2:8" ht="15.75" customHeight="1" x14ac:dyDescent="0.2">
      <c r="B29" s="25" t="s">
        <v>285</v>
      </c>
      <c r="C29" s="25" t="s">
        <v>286</v>
      </c>
      <c r="D29" s="25" t="s">
        <v>173</v>
      </c>
      <c r="E29" s="26">
        <v>893</v>
      </c>
      <c r="F29" s="27">
        <v>22.14</v>
      </c>
      <c r="G29" s="28">
        <v>1.46E-2</v>
      </c>
      <c r="H29" s="29"/>
    </row>
    <row r="30" spans="2:8" ht="15.75" customHeight="1" x14ac:dyDescent="0.2">
      <c r="B30" s="25" t="s">
        <v>407</v>
      </c>
      <c r="C30" s="25" t="s">
        <v>408</v>
      </c>
      <c r="D30" s="25" t="s">
        <v>188</v>
      </c>
      <c r="E30" s="26">
        <v>4274</v>
      </c>
      <c r="F30" s="27">
        <v>21.75</v>
      </c>
      <c r="G30" s="28">
        <v>1.43E-2</v>
      </c>
      <c r="H30" s="29"/>
    </row>
    <row r="31" spans="2:8" ht="15.75" customHeight="1" x14ac:dyDescent="0.2">
      <c r="B31" s="25" t="s">
        <v>409</v>
      </c>
      <c r="C31" s="25" t="s">
        <v>410</v>
      </c>
      <c r="D31" s="25" t="s">
        <v>167</v>
      </c>
      <c r="E31" s="26">
        <v>9718</v>
      </c>
      <c r="F31" s="27">
        <v>21.74</v>
      </c>
      <c r="G31" s="28">
        <v>1.43E-2</v>
      </c>
      <c r="H31" s="29"/>
    </row>
    <row r="32" spans="2:8" ht="15.75" customHeight="1" x14ac:dyDescent="0.2">
      <c r="B32" s="25" t="s">
        <v>177</v>
      </c>
      <c r="C32" s="25" t="s">
        <v>178</v>
      </c>
      <c r="D32" s="25" t="s">
        <v>138</v>
      </c>
      <c r="E32" s="26">
        <v>2719</v>
      </c>
      <c r="F32" s="27">
        <v>21.21</v>
      </c>
      <c r="G32" s="28">
        <v>1.3899999999999999E-2</v>
      </c>
      <c r="H32" s="29"/>
    </row>
    <row r="33" spans="2:8" ht="15.75" customHeight="1" x14ac:dyDescent="0.2">
      <c r="B33" s="25" t="s">
        <v>411</v>
      </c>
      <c r="C33" s="25" t="s">
        <v>412</v>
      </c>
      <c r="D33" s="25" t="s">
        <v>301</v>
      </c>
      <c r="E33" s="26">
        <v>905</v>
      </c>
      <c r="F33" s="27">
        <v>20.75</v>
      </c>
      <c r="G33" s="28">
        <v>1.3599999999999999E-2</v>
      </c>
      <c r="H33" s="29"/>
    </row>
    <row r="34" spans="2:8" ht="15.75" customHeight="1" x14ac:dyDescent="0.2">
      <c r="B34" s="25" t="s">
        <v>372</v>
      </c>
      <c r="C34" s="25" t="s">
        <v>373</v>
      </c>
      <c r="D34" s="25" t="s">
        <v>121</v>
      </c>
      <c r="E34" s="26">
        <v>14905</v>
      </c>
      <c r="F34" s="27">
        <v>19.8</v>
      </c>
      <c r="G34" s="28">
        <v>1.2999999999999999E-2</v>
      </c>
      <c r="H34" s="29"/>
    </row>
    <row r="35" spans="2:8" ht="15.75" customHeight="1" x14ac:dyDescent="0.2">
      <c r="B35" s="25" t="s">
        <v>184</v>
      </c>
      <c r="C35" s="25" t="s">
        <v>185</v>
      </c>
      <c r="D35" s="25" t="s">
        <v>121</v>
      </c>
      <c r="E35" s="26">
        <v>1029</v>
      </c>
      <c r="F35" s="27">
        <v>19.63</v>
      </c>
      <c r="G35" s="28">
        <v>1.29E-2</v>
      </c>
      <c r="H35" s="29"/>
    </row>
    <row r="36" spans="2:8" ht="15.75" customHeight="1" x14ac:dyDescent="0.2">
      <c r="B36" s="25" t="s">
        <v>264</v>
      </c>
      <c r="C36" s="25" t="s">
        <v>265</v>
      </c>
      <c r="D36" s="25" t="s">
        <v>138</v>
      </c>
      <c r="E36" s="26">
        <v>188</v>
      </c>
      <c r="F36" s="27">
        <v>19.37</v>
      </c>
      <c r="G36" s="28">
        <v>1.2699999999999999E-2</v>
      </c>
      <c r="H36" s="29"/>
    </row>
    <row r="37" spans="2:8" ht="15.75" customHeight="1" x14ac:dyDescent="0.2">
      <c r="B37" s="25" t="s">
        <v>413</v>
      </c>
      <c r="C37" s="25" t="s">
        <v>414</v>
      </c>
      <c r="D37" s="25" t="s">
        <v>188</v>
      </c>
      <c r="E37" s="26">
        <v>2667</v>
      </c>
      <c r="F37" s="27">
        <v>19.13</v>
      </c>
      <c r="G37" s="28">
        <v>1.26E-2</v>
      </c>
      <c r="H37" s="29"/>
    </row>
    <row r="38" spans="2:8" ht="15.75" customHeight="1" x14ac:dyDescent="0.2">
      <c r="B38" s="25" t="s">
        <v>378</v>
      </c>
      <c r="C38" s="25" t="s">
        <v>379</v>
      </c>
      <c r="D38" s="25" t="s">
        <v>176</v>
      </c>
      <c r="E38" s="26">
        <v>1244</v>
      </c>
      <c r="F38" s="27">
        <v>19.059999999999999</v>
      </c>
      <c r="G38" s="28">
        <v>1.2500000000000001E-2</v>
      </c>
      <c r="H38" s="29"/>
    </row>
    <row r="39" spans="2:8" ht="15.75" customHeight="1" x14ac:dyDescent="0.2">
      <c r="B39" s="25" t="s">
        <v>354</v>
      </c>
      <c r="C39" s="25" t="s">
        <v>355</v>
      </c>
      <c r="D39" s="25" t="s">
        <v>191</v>
      </c>
      <c r="E39" s="26">
        <v>2681</v>
      </c>
      <c r="F39" s="27">
        <v>18.55</v>
      </c>
      <c r="G39" s="28">
        <v>1.2200000000000001E-2</v>
      </c>
      <c r="H39" s="29"/>
    </row>
    <row r="40" spans="2:8" ht="15.75" customHeight="1" x14ac:dyDescent="0.2">
      <c r="B40" s="25" t="s">
        <v>268</v>
      </c>
      <c r="C40" s="25" t="s">
        <v>269</v>
      </c>
      <c r="D40" s="25" t="s">
        <v>194</v>
      </c>
      <c r="E40" s="26">
        <v>1418</v>
      </c>
      <c r="F40" s="27">
        <v>17.86</v>
      </c>
      <c r="G40" s="28">
        <v>1.17E-2</v>
      </c>
      <c r="H40" s="29"/>
    </row>
    <row r="41" spans="2:8" ht="15.75" customHeight="1" x14ac:dyDescent="0.2">
      <c r="B41" s="25" t="s">
        <v>415</v>
      </c>
      <c r="C41" s="25" t="s">
        <v>416</v>
      </c>
      <c r="D41" s="25" t="s">
        <v>135</v>
      </c>
      <c r="E41" s="26">
        <v>327</v>
      </c>
      <c r="F41" s="27">
        <v>17.46</v>
      </c>
      <c r="G41" s="28">
        <v>1.15E-2</v>
      </c>
      <c r="H41" s="29"/>
    </row>
    <row r="42" spans="2:8" ht="15.75" customHeight="1" x14ac:dyDescent="0.2">
      <c r="B42" s="25" t="s">
        <v>222</v>
      </c>
      <c r="C42" s="25" t="s">
        <v>223</v>
      </c>
      <c r="D42" s="25" t="s">
        <v>194</v>
      </c>
      <c r="E42" s="26">
        <v>295</v>
      </c>
      <c r="F42" s="27">
        <v>17.100000000000001</v>
      </c>
      <c r="G42" s="28">
        <v>1.12E-2</v>
      </c>
      <c r="H42" s="29"/>
    </row>
    <row r="43" spans="2:8" ht="15.75" customHeight="1" x14ac:dyDescent="0.2">
      <c r="B43" s="25" t="s">
        <v>339</v>
      </c>
      <c r="C43" s="25" t="s">
        <v>340</v>
      </c>
      <c r="D43" s="25" t="s">
        <v>164</v>
      </c>
      <c r="E43" s="26">
        <v>2980</v>
      </c>
      <c r="F43" s="27">
        <v>16.84</v>
      </c>
      <c r="G43" s="28">
        <v>1.11E-2</v>
      </c>
      <c r="H43" s="29"/>
    </row>
    <row r="44" spans="2:8" ht="15.75" customHeight="1" x14ac:dyDescent="0.2">
      <c r="B44" s="25" t="s">
        <v>417</v>
      </c>
      <c r="C44" s="25" t="s">
        <v>418</v>
      </c>
      <c r="D44" s="25" t="s">
        <v>292</v>
      </c>
      <c r="E44" s="26">
        <v>672</v>
      </c>
      <c r="F44" s="27">
        <v>16.690000000000001</v>
      </c>
      <c r="G44" s="28">
        <v>1.0999999999999999E-2</v>
      </c>
      <c r="H44" s="29"/>
    </row>
    <row r="45" spans="2:8" ht="15.75" customHeight="1" x14ac:dyDescent="0.2">
      <c r="B45" s="25" t="s">
        <v>419</v>
      </c>
      <c r="C45" s="25" t="s">
        <v>420</v>
      </c>
      <c r="D45" s="25" t="s">
        <v>161</v>
      </c>
      <c r="E45" s="26">
        <v>473</v>
      </c>
      <c r="F45" s="27">
        <v>16.63</v>
      </c>
      <c r="G45" s="28">
        <v>1.09E-2</v>
      </c>
      <c r="H45" s="29"/>
    </row>
    <row r="46" spans="2:8" ht="15.75" customHeight="1" x14ac:dyDescent="0.2">
      <c r="B46" s="25" t="s">
        <v>235</v>
      </c>
      <c r="C46" s="25" t="s">
        <v>236</v>
      </c>
      <c r="D46" s="25" t="s">
        <v>237</v>
      </c>
      <c r="E46" s="26">
        <v>277</v>
      </c>
      <c r="F46" s="27">
        <v>15.8</v>
      </c>
      <c r="G46" s="28">
        <v>1.04E-2</v>
      </c>
      <c r="H46" s="29"/>
    </row>
    <row r="47" spans="2:8" ht="15.75" customHeight="1" x14ac:dyDescent="0.2">
      <c r="B47" s="25" t="s">
        <v>302</v>
      </c>
      <c r="C47" s="25" t="s">
        <v>303</v>
      </c>
      <c r="D47" s="25" t="s">
        <v>167</v>
      </c>
      <c r="E47" s="26">
        <v>3708</v>
      </c>
      <c r="F47" s="27">
        <v>15.21</v>
      </c>
      <c r="G47" s="28">
        <v>0.01</v>
      </c>
      <c r="H47" s="29"/>
    </row>
    <row r="48" spans="2:8" ht="15.75" customHeight="1" x14ac:dyDescent="0.2">
      <c r="B48" s="25" t="s">
        <v>421</v>
      </c>
      <c r="C48" s="25" t="s">
        <v>422</v>
      </c>
      <c r="D48" s="25" t="s">
        <v>274</v>
      </c>
      <c r="E48" s="26">
        <v>24417</v>
      </c>
      <c r="F48" s="27">
        <v>15.08</v>
      </c>
      <c r="G48" s="28">
        <v>9.9000000000000008E-3</v>
      </c>
      <c r="H48" s="29"/>
    </row>
    <row r="49" spans="2:8" ht="15.75" customHeight="1" x14ac:dyDescent="0.2">
      <c r="B49" s="25" t="s">
        <v>240</v>
      </c>
      <c r="C49" s="25" t="s">
        <v>241</v>
      </c>
      <c r="D49" s="25" t="s">
        <v>188</v>
      </c>
      <c r="E49" s="26">
        <v>400</v>
      </c>
      <c r="F49" s="27">
        <v>13.61</v>
      </c>
      <c r="G49" s="28">
        <v>8.8999999999999999E-3</v>
      </c>
      <c r="H49" s="29"/>
    </row>
    <row r="50" spans="2:8" ht="15.75" customHeight="1" x14ac:dyDescent="0.2">
      <c r="B50" s="25" t="s">
        <v>262</v>
      </c>
      <c r="C50" s="25" t="s">
        <v>263</v>
      </c>
      <c r="D50" s="25" t="s">
        <v>124</v>
      </c>
      <c r="E50" s="26">
        <v>917</v>
      </c>
      <c r="F50" s="27">
        <v>13.44</v>
      </c>
      <c r="G50" s="28">
        <v>8.8000000000000005E-3</v>
      </c>
      <c r="H50" s="29"/>
    </row>
    <row r="51" spans="2:8" ht="15.75" customHeight="1" x14ac:dyDescent="0.2">
      <c r="B51" s="25" t="s">
        <v>423</v>
      </c>
      <c r="C51" s="25" t="s">
        <v>424</v>
      </c>
      <c r="D51" s="25" t="s">
        <v>194</v>
      </c>
      <c r="E51" s="26">
        <v>436</v>
      </c>
      <c r="F51" s="27">
        <v>10.050000000000001</v>
      </c>
      <c r="G51" s="28">
        <v>6.6E-3</v>
      </c>
      <c r="H51" s="29"/>
    </row>
    <row r="52" spans="2:8" ht="15.75" customHeight="1" x14ac:dyDescent="0.2">
      <c r="B52" s="24" t="s">
        <v>93</v>
      </c>
      <c r="C52" s="24"/>
      <c r="D52" s="24"/>
      <c r="E52" s="30"/>
      <c r="F52" s="31">
        <v>1316.22</v>
      </c>
      <c r="G52" s="32">
        <v>0.86519999999999997</v>
      </c>
      <c r="H52" s="33"/>
    </row>
    <row r="53" spans="2:8" ht="15.75" customHeight="1" x14ac:dyDescent="0.2">
      <c r="B53" s="24" t="s">
        <v>141</v>
      </c>
      <c r="C53" s="25"/>
      <c r="D53" s="25"/>
      <c r="E53" s="26"/>
      <c r="F53" s="27"/>
      <c r="G53" s="28"/>
      <c r="H53" s="29"/>
    </row>
    <row r="54" spans="2:8" ht="15.75" customHeight="1" x14ac:dyDescent="0.2">
      <c r="B54" s="24" t="s">
        <v>93</v>
      </c>
      <c r="C54" s="25"/>
      <c r="D54" s="25"/>
      <c r="E54" s="26"/>
      <c r="F54" s="34" t="s">
        <v>95</v>
      </c>
      <c r="G54" s="35" t="s">
        <v>95</v>
      </c>
      <c r="H54" s="29"/>
    </row>
    <row r="55" spans="2:8" ht="15.75" customHeight="1" x14ac:dyDescent="0.2">
      <c r="B55" s="25"/>
      <c r="C55" s="25"/>
      <c r="D55" s="25"/>
      <c r="E55" s="26"/>
      <c r="F55" s="27"/>
      <c r="G55" s="28"/>
      <c r="H55" s="29"/>
    </row>
    <row r="56" spans="2:8" ht="15.75" customHeight="1" x14ac:dyDescent="0.2">
      <c r="B56" s="36" t="s">
        <v>97</v>
      </c>
      <c r="C56" s="36"/>
      <c r="D56" s="36"/>
      <c r="E56" s="37"/>
      <c r="F56" s="31">
        <v>1316.22</v>
      </c>
      <c r="G56" s="32">
        <v>0.86519999999999997</v>
      </c>
      <c r="H56" s="33"/>
    </row>
    <row r="57" spans="2:8" ht="15.75" customHeight="1" x14ac:dyDescent="0.2">
      <c r="B57" s="25"/>
      <c r="C57" s="25"/>
      <c r="D57" s="25"/>
      <c r="E57" s="26"/>
      <c r="F57" s="27"/>
      <c r="G57" s="28"/>
      <c r="H57" s="29"/>
    </row>
    <row r="58" spans="2:8" ht="15.75" customHeight="1" x14ac:dyDescent="0.2">
      <c r="B58" s="24" t="s">
        <v>82</v>
      </c>
      <c r="C58" s="25"/>
      <c r="D58" s="25"/>
      <c r="E58" s="26"/>
      <c r="F58" s="27"/>
      <c r="G58" s="28"/>
      <c r="H58" s="29"/>
    </row>
    <row r="59" spans="2:8" ht="15.75" customHeight="1" x14ac:dyDescent="0.2">
      <c r="B59" s="24" t="s">
        <v>83</v>
      </c>
      <c r="C59" s="25"/>
      <c r="D59" s="25"/>
      <c r="E59" s="26"/>
      <c r="F59" s="27"/>
      <c r="G59" s="28"/>
      <c r="H59" s="29"/>
    </row>
    <row r="60" spans="2:8" ht="15.75" customHeight="1" x14ac:dyDescent="0.2">
      <c r="B60" s="25" t="s">
        <v>142</v>
      </c>
      <c r="C60" s="25" t="s">
        <v>143</v>
      </c>
      <c r="D60" s="25" t="s">
        <v>84</v>
      </c>
      <c r="E60" s="26">
        <v>150000</v>
      </c>
      <c r="F60" s="27">
        <v>151.66999999999999</v>
      </c>
      <c r="G60" s="28">
        <v>9.9699999999999997E-2</v>
      </c>
      <c r="H60" s="29">
        <v>7.2116E-2</v>
      </c>
    </row>
    <row r="61" spans="2:8" ht="15.75" customHeight="1" x14ac:dyDescent="0.2">
      <c r="B61" s="24" t="s">
        <v>93</v>
      </c>
      <c r="C61" s="24"/>
      <c r="D61" s="24"/>
      <c r="E61" s="30"/>
      <c r="F61" s="31">
        <v>151.66999999999999</v>
      </c>
      <c r="G61" s="32">
        <v>9.9699999999999997E-2</v>
      </c>
      <c r="H61" s="33"/>
    </row>
    <row r="62" spans="2:8" ht="15.75" customHeight="1" x14ac:dyDescent="0.2">
      <c r="B62" s="25"/>
      <c r="C62" s="25"/>
      <c r="D62" s="25"/>
      <c r="E62" s="26"/>
      <c r="F62" s="27"/>
      <c r="G62" s="28"/>
      <c r="H62" s="29"/>
    </row>
    <row r="63" spans="2:8" ht="15.75" customHeight="1" x14ac:dyDescent="0.2">
      <c r="B63" s="24" t="s">
        <v>94</v>
      </c>
      <c r="C63" s="25"/>
      <c r="D63" s="25"/>
      <c r="E63" s="26"/>
      <c r="F63" s="27"/>
      <c r="G63" s="28"/>
      <c r="H63" s="29"/>
    </row>
    <row r="64" spans="2:8" ht="15.75" customHeight="1" x14ac:dyDescent="0.2">
      <c r="B64" s="24" t="s">
        <v>93</v>
      </c>
      <c r="C64" s="25"/>
      <c r="D64" s="25"/>
      <c r="E64" s="26"/>
      <c r="F64" s="34" t="s">
        <v>95</v>
      </c>
      <c r="G64" s="35" t="s">
        <v>95</v>
      </c>
      <c r="H64" s="29"/>
    </row>
    <row r="65" spans="2:16" ht="15.75" customHeight="1" x14ac:dyDescent="0.2">
      <c r="B65" s="25"/>
      <c r="C65" s="25"/>
      <c r="D65" s="25"/>
      <c r="E65" s="26"/>
      <c r="F65" s="27"/>
      <c r="G65" s="28"/>
      <c r="H65" s="29"/>
    </row>
    <row r="66" spans="2:16" ht="15.75" customHeight="1" x14ac:dyDescent="0.2">
      <c r="B66" s="24" t="s">
        <v>96</v>
      </c>
      <c r="C66" s="25"/>
      <c r="D66" s="25"/>
      <c r="E66" s="26"/>
      <c r="F66" s="27"/>
      <c r="G66" s="28"/>
      <c r="H66" s="29"/>
    </row>
    <row r="67" spans="2:16" ht="15.75" customHeight="1" x14ac:dyDescent="0.2">
      <c r="B67" s="24" t="s">
        <v>93</v>
      </c>
      <c r="C67" s="25"/>
      <c r="D67" s="25"/>
      <c r="E67" s="26"/>
      <c r="F67" s="34" t="s">
        <v>95</v>
      </c>
      <c r="G67" s="35" t="s">
        <v>95</v>
      </c>
      <c r="H67" s="29"/>
    </row>
    <row r="68" spans="2:16" ht="15.75" customHeight="1" x14ac:dyDescent="0.2">
      <c r="B68" s="25"/>
      <c r="C68" s="25"/>
      <c r="D68" s="25"/>
      <c r="E68" s="26"/>
      <c r="F68" s="27"/>
      <c r="G68" s="28"/>
      <c r="H68" s="29"/>
      <c r="L68" s="3"/>
    </row>
    <row r="69" spans="2:16" ht="15.75" customHeight="1" x14ac:dyDescent="0.2">
      <c r="B69" s="36" t="s">
        <v>97</v>
      </c>
      <c r="C69" s="36"/>
      <c r="D69" s="36"/>
      <c r="E69" s="37"/>
      <c r="F69" s="31">
        <v>151.66999999999999</v>
      </c>
      <c r="G69" s="32">
        <v>9.9699999999999997E-2</v>
      </c>
      <c r="H69" s="33"/>
    </row>
    <row r="70" spans="2:16" ht="15.75" customHeight="1" x14ac:dyDescent="0.2">
      <c r="B70" s="25"/>
      <c r="C70" s="25"/>
      <c r="D70" s="25"/>
      <c r="E70" s="26"/>
      <c r="F70" s="27"/>
      <c r="G70" s="28"/>
      <c r="H70" s="29"/>
      <c r="L70" s="3"/>
    </row>
    <row r="71" spans="2:16" ht="15.75" customHeight="1" x14ac:dyDescent="0.2">
      <c r="B71" s="25"/>
      <c r="C71" s="25"/>
      <c r="D71" s="25"/>
      <c r="E71" s="26"/>
      <c r="F71" s="27"/>
      <c r="G71" s="28"/>
      <c r="H71" s="29"/>
      <c r="L71" s="3"/>
    </row>
    <row r="72" spans="2:16" ht="15.75" customHeight="1" x14ac:dyDescent="0.2">
      <c r="B72" s="24" t="s">
        <v>100</v>
      </c>
      <c r="C72" s="25"/>
      <c r="D72" s="25"/>
      <c r="E72" s="26"/>
      <c r="F72" s="27"/>
      <c r="G72" s="28"/>
      <c r="H72" s="29"/>
      <c r="L72" s="3"/>
    </row>
    <row r="73" spans="2:16" ht="15.75" customHeight="1" x14ac:dyDescent="0.2">
      <c r="B73" s="25" t="s">
        <v>101</v>
      </c>
      <c r="C73" s="25"/>
      <c r="D73" s="25"/>
      <c r="E73" s="26"/>
      <c r="F73" s="27">
        <v>58.66</v>
      </c>
      <c r="G73" s="28">
        <v>3.8600000000000002E-2</v>
      </c>
      <c r="H73" s="29"/>
      <c r="L73" s="3"/>
    </row>
    <row r="74" spans="2:16" ht="15.75" customHeight="1" x14ac:dyDescent="0.2">
      <c r="B74" s="24" t="s">
        <v>93</v>
      </c>
      <c r="C74" s="24"/>
      <c r="D74" s="24"/>
      <c r="E74" s="30"/>
      <c r="F74" s="31">
        <v>58.66</v>
      </c>
      <c r="G74" s="32">
        <v>3.8600000000000002E-2</v>
      </c>
      <c r="H74" s="33"/>
      <c r="L74" s="3"/>
    </row>
    <row r="75" spans="2:16" ht="15.75" customHeight="1" x14ac:dyDescent="0.2">
      <c r="B75" s="25"/>
      <c r="C75" s="25"/>
      <c r="D75" s="25"/>
      <c r="E75" s="26"/>
      <c r="F75" s="27"/>
      <c r="G75" s="28"/>
      <c r="H75" s="29"/>
      <c r="L75" s="5"/>
      <c r="M75" s="5"/>
      <c r="N75" s="6"/>
      <c r="O75" s="6"/>
      <c r="P75" s="5"/>
    </row>
    <row r="76" spans="2:16" ht="15.75" customHeight="1" x14ac:dyDescent="0.2">
      <c r="B76" s="36" t="s">
        <v>97</v>
      </c>
      <c r="C76" s="36"/>
      <c r="D76" s="36"/>
      <c r="E76" s="37"/>
      <c r="F76" s="31">
        <v>58.66</v>
      </c>
      <c r="G76" s="32">
        <v>3.8600000000000002E-2</v>
      </c>
      <c r="H76" s="33"/>
    </row>
    <row r="77" spans="2:16" ht="15.75" customHeight="1" x14ac:dyDescent="0.2">
      <c r="B77" s="25" t="s">
        <v>102</v>
      </c>
      <c r="C77" s="25"/>
      <c r="D77" s="25"/>
      <c r="E77" s="26"/>
      <c r="F77" s="38">
        <v>-5.33</v>
      </c>
      <c r="G77" s="39">
        <v>-3.5000000000000586E-3</v>
      </c>
      <c r="H77" s="29"/>
    </row>
    <row r="78" spans="2:16" ht="15.75" customHeight="1" x14ac:dyDescent="0.2">
      <c r="B78" s="40" t="s">
        <v>103</v>
      </c>
      <c r="C78" s="40"/>
      <c r="D78" s="40"/>
      <c r="E78" s="41"/>
      <c r="F78" s="42">
        <v>1521.22</v>
      </c>
      <c r="G78" s="43">
        <v>1</v>
      </c>
      <c r="H78" s="44"/>
      <c r="L78" s="7"/>
      <c r="M78" s="7"/>
      <c r="N78" s="7"/>
      <c r="O78" s="7"/>
      <c r="P78" s="7"/>
    </row>
    <row r="79" spans="2:16" ht="15.75" customHeight="1" thickBot="1" x14ac:dyDescent="0.25">
      <c r="B79" s="2"/>
      <c r="L79" s="7"/>
      <c r="M79" s="7"/>
      <c r="N79" s="7"/>
      <c r="O79" s="7"/>
      <c r="P79" s="7"/>
    </row>
    <row r="80" spans="2:16" ht="27" customHeight="1" thickBot="1" x14ac:dyDescent="0.25">
      <c r="B80" s="57" t="s">
        <v>806</v>
      </c>
      <c r="C80" s="58" t="s">
        <v>807</v>
      </c>
      <c r="D80" s="58" t="s">
        <v>808</v>
      </c>
      <c r="E80" s="59" t="s">
        <v>809</v>
      </c>
      <c r="G80" s="2"/>
      <c r="H80" s="2"/>
    </row>
    <row r="81" spans="2:8" ht="29.25" customHeight="1" x14ac:dyDescent="0.2">
      <c r="B81" s="71" t="s">
        <v>832</v>
      </c>
      <c r="C81" s="83"/>
      <c r="D81" s="86" t="s">
        <v>823</v>
      </c>
      <c r="E81" s="88"/>
      <c r="G81" s="2"/>
      <c r="H81" s="2"/>
    </row>
    <row r="82" spans="2:8" ht="39.950000000000003" customHeight="1" x14ac:dyDescent="0.2">
      <c r="B82" s="61" t="s">
        <v>833</v>
      </c>
      <c r="C82" s="84"/>
      <c r="D82" s="87"/>
      <c r="E82" s="84"/>
      <c r="G82" s="2"/>
      <c r="H82" s="2"/>
    </row>
    <row r="83" spans="2:8" ht="39.950000000000003" customHeight="1" x14ac:dyDescent="0.2">
      <c r="B83" s="61" t="s">
        <v>834</v>
      </c>
      <c r="C83" s="84"/>
      <c r="D83" s="87"/>
      <c r="E83" s="84"/>
      <c r="G83" s="2"/>
      <c r="H83" s="2"/>
    </row>
    <row r="84" spans="2:8" ht="23.25" customHeight="1" thickBot="1" x14ac:dyDescent="0.25">
      <c r="B84" s="62" t="s">
        <v>826</v>
      </c>
      <c r="C84" s="85"/>
      <c r="D84" s="70" t="s">
        <v>826</v>
      </c>
      <c r="E84" s="89"/>
      <c r="G84" s="2"/>
      <c r="H84" s="2"/>
    </row>
    <row r="85" spans="2:8" ht="24.95" customHeight="1" x14ac:dyDescent="0.2">
      <c r="B85" s="64" t="s">
        <v>815</v>
      </c>
      <c r="C85" s="65"/>
      <c r="D85" s="66"/>
      <c r="E85" s="67"/>
      <c r="G85" s="2"/>
      <c r="H85" s="2"/>
    </row>
    <row r="87" spans="2:8" ht="12" x14ac:dyDescent="0.2">
      <c r="B87" s="2" t="s">
        <v>816</v>
      </c>
      <c r="C87" s="2"/>
      <c r="D87" s="2"/>
      <c r="G87" s="2"/>
      <c r="H87" s="2"/>
    </row>
    <row r="88" spans="2:8" ht="12" x14ac:dyDescent="0.2">
      <c r="B88" s="3" t="s">
        <v>817</v>
      </c>
      <c r="C88" s="2"/>
      <c r="D88" s="2"/>
      <c r="G88" s="2"/>
      <c r="H88" s="2"/>
    </row>
  </sheetData>
  <mergeCells count="3">
    <mergeCell ref="C81:C84"/>
    <mergeCell ref="D81:D83"/>
    <mergeCell ref="E81:E84"/>
  </mergeCells>
  <hyperlinks>
    <hyperlink ref="I1" location="'Sheet1'!A1" display="Index" xr:uid="{008B404E-2107-4F12-9BA0-EA5498686C0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B44E6-895C-4045-9E36-37CFA7DA6445}">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7.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905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122</v>
      </c>
      <c r="C7" s="25" t="s">
        <v>123</v>
      </c>
      <c r="D7" s="25" t="s">
        <v>124</v>
      </c>
      <c r="E7" s="26">
        <v>44000</v>
      </c>
      <c r="F7" s="27">
        <v>678.88</v>
      </c>
      <c r="G7" s="28">
        <v>6.54E-2</v>
      </c>
      <c r="H7" s="29"/>
    </row>
    <row r="8" spans="2:9" ht="15.75" customHeight="1" x14ac:dyDescent="0.2">
      <c r="B8" s="25" t="s">
        <v>277</v>
      </c>
      <c r="C8" s="25" t="s">
        <v>278</v>
      </c>
      <c r="D8" s="25" t="s">
        <v>202</v>
      </c>
      <c r="E8" s="26">
        <v>184655</v>
      </c>
      <c r="F8" s="27">
        <v>574.54999999999995</v>
      </c>
      <c r="G8" s="28">
        <v>5.5300000000000002E-2</v>
      </c>
      <c r="H8" s="29"/>
    </row>
    <row r="9" spans="2:9" ht="15.75" customHeight="1" x14ac:dyDescent="0.2">
      <c r="B9" s="25" t="s">
        <v>119</v>
      </c>
      <c r="C9" s="25" t="s">
        <v>120</v>
      </c>
      <c r="D9" s="25" t="s">
        <v>121</v>
      </c>
      <c r="E9" s="26">
        <v>50000</v>
      </c>
      <c r="F9" s="27">
        <v>498.3</v>
      </c>
      <c r="G9" s="28">
        <v>4.8000000000000001E-2</v>
      </c>
      <c r="H9" s="29"/>
    </row>
    <row r="10" spans="2:9" ht="15.75" customHeight="1" x14ac:dyDescent="0.2">
      <c r="B10" s="25" t="s">
        <v>227</v>
      </c>
      <c r="C10" s="25" t="s">
        <v>228</v>
      </c>
      <c r="D10" s="25" t="s">
        <v>124</v>
      </c>
      <c r="E10" s="26">
        <v>12257</v>
      </c>
      <c r="F10" s="27">
        <v>464.96</v>
      </c>
      <c r="G10" s="28">
        <v>4.48E-2</v>
      </c>
      <c r="H10" s="29"/>
    </row>
    <row r="11" spans="2:9" ht="15.75" customHeight="1" x14ac:dyDescent="0.2">
      <c r="B11" s="25" t="s">
        <v>281</v>
      </c>
      <c r="C11" s="25" t="s">
        <v>282</v>
      </c>
      <c r="D11" s="25" t="s">
        <v>202</v>
      </c>
      <c r="E11" s="26">
        <v>181201</v>
      </c>
      <c r="F11" s="27">
        <v>429.81</v>
      </c>
      <c r="G11" s="28">
        <v>4.1399999999999999E-2</v>
      </c>
      <c r="H11" s="29"/>
    </row>
    <row r="12" spans="2:9" ht="15.75" customHeight="1" x14ac:dyDescent="0.2">
      <c r="B12" s="25" t="s">
        <v>287</v>
      </c>
      <c r="C12" s="25" t="s">
        <v>288</v>
      </c>
      <c r="D12" s="25" t="s">
        <v>289</v>
      </c>
      <c r="E12" s="26">
        <v>228138</v>
      </c>
      <c r="F12" s="27">
        <v>420.23</v>
      </c>
      <c r="G12" s="28">
        <v>4.0500000000000001E-2</v>
      </c>
      <c r="H12" s="29"/>
    </row>
    <row r="13" spans="2:9" ht="15.75" customHeight="1" x14ac:dyDescent="0.2">
      <c r="B13" s="25" t="s">
        <v>304</v>
      </c>
      <c r="C13" s="25" t="s">
        <v>305</v>
      </c>
      <c r="D13" s="25" t="s">
        <v>176</v>
      </c>
      <c r="E13" s="26">
        <v>108766</v>
      </c>
      <c r="F13" s="27">
        <v>416.14</v>
      </c>
      <c r="G13" s="28">
        <v>4.0099999999999997E-2</v>
      </c>
      <c r="H13" s="29"/>
    </row>
    <row r="14" spans="2:9" ht="15.75" customHeight="1" x14ac:dyDescent="0.2">
      <c r="B14" s="25" t="s">
        <v>425</v>
      </c>
      <c r="C14" s="25" t="s">
        <v>426</v>
      </c>
      <c r="D14" s="25" t="s">
        <v>202</v>
      </c>
      <c r="E14" s="26">
        <v>586755</v>
      </c>
      <c r="F14" s="27">
        <v>379.04</v>
      </c>
      <c r="G14" s="28">
        <v>3.6499999999999998E-2</v>
      </c>
      <c r="H14" s="29"/>
    </row>
    <row r="15" spans="2:9" ht="15.75" customHeight="1" x14ac:dyDescent="0.2">
      <c r="B15" s="25" t="s">
        <v>136</v>
      </c>
      <c r="C15" s="25" t="s">
        <v>137</v>
      </c>
      <c r="D15" s="25" t="s">
        <v>138</v>
      </c>
      <c r="E15" s="26">
        <v>20000</v>
      </c>
      <c r="F15" s="27">
        <v>345.88</v>
      </c>
      <c r="G15" s="28">
        <v>3.3300000000000003E-2</v>
      </c>
      <c r="H15" s="29"/>
    </row>
    <row r="16" spans="2:9" ht="15.75" customHeight="1" x14ac:dyDescent="0.2">
      <c r="B16" s="25" t="s">
        <v>264</v>
      </c>
      <c r="C16" s="25" t="s">
        <v>265</v>
      </c>
      <c r="D16" s="25" t="s">
        <v>138</v>
      </c>
      <c r="E16" s="26">
        <v>3306</v>
      </c>
      <c r="F16" s="27">
        <v>340.6</v>
      </c>
      <c r="G16" s="28">
        <v>3.2800000000000003E-2</v>
      </c>
      <c r="H16" s="29"/>
    </row>
    <row r="17" spans="2:8" ht="15.75" customHeight="1" x14ac:dyDescent="0.2">
      <c r="B17" s="25" t="s">
        <v>318</v>
      </c>
      <c r="C17" s="25" t="s">
        <v>319</v>
      </c>
      <c r="D17" s="25" t="s">
        <v>320</v>
      </c>
      <c r="E17" s="26">
        <v>9471</v>
      </c>
      <c r="F17" s="27">
        <v>333.95</v>
      </c>
      <c r="G17" s="28">
        <v>3.2099999999999997E-2</v>
      </c>
      <c r="H17" s="29"/>
    </row>
    <row r="18" spans="2:8" ht="15.75" customHeight="1" x14ac:dyDescent="0.2">
      <c r="B18" s="25" t="s">
        <v>329</v>
      </c>
      <c r="C18" s="25" t="s">
        <v>330</v>
      </c>
      <c r="D18" s="25" t="s">
        <v>188</v>
      </c>
      <c r="E18" s="26">
        <v>9000</v>
      </c>
      <c r="F18" s="27">
        <v>330.79</v>
      </c>
      <c r="G18" s="28">
        <v>3.1800000000000002E-2</v>
      </c>
      <c r="H18" s="29"/>
    </row>
    <row r="19" spans="2:8" ht="15.75" customHeight="1" x14ac:dyDescent="0.2">
      <c r="B19" s="25" t="s">
        <v>256</v>
      </c>
      <c r="C19" s="25" t="s">
        <v>257</v>
      </c>
      <c r="D19" s="25" t="s">
        <v>121</v>
      </c>
      <c r="E19" s="26">
        <v>49951</v>
      </c>
      <c r="F19" s="27">
        <v>320.70999999999998</v>
      </c>
      <c r="G19" s="28">
        <v>3.09E-2</v>
      </c>
      <c r="H19" s="29"/>
    </row>
    <row r="20" spans="2:8" ht="15.75" customHeight="1" x14ac:dyDescent="0.2">
      <c r="B20" s="25" t="s">
        <v>427</v>
      </c>
      <c r="C20" s="25" t="s">
        <v>428</v>
      </c>
      <c r="D20" s="25" t="s">
        <v>209</v>
      </c>
      <c r="E20" s="26">
        <v>25985</v>
      </c>
      <c r="F20" s="27">
        <v>311.95</v>
      </c>
      <c r="G20" s="28">
        <v>0.03</v>
      </c>
      <c r="H20" s="29"/>
    </row>
    <row r="21" spans="2:8" ht="15.75" customHeight="1" x14ac:dyDescent="0.2">
      <c r="B21" s="25" t="s">
        <v>247</v>
      </c>
      <c r="C21" s="25" t="s">
        <v>248</v>
      </c>
      <c r="D21" s="25" t="s">
        <v>176</v>
      </c>
      <c r="E21" s="26">
        <v>4000</v>
      </c>
      <c r="F21" s="27">
        <v>293.11</v>
      </c>
      <c r="G21" s="28">
        <v>2.8199999999999999E-2</v>
      </c>
      <c r="H21" s="29"/>
    </row>
    <row r="22" spans="2:8" ht="15.75" customHeight="1" x14ac:dyDescent="0.2">
      <c r="B22" s="25" t="s">
        <v>429</v>
      </c>
      <c r="C22" s="25" t="s">
        <v>430</v>
      </c>
      <c r="D22" s="25" t="s">
        <v>431</v>
      </c>
      <c r="E22" s="26">
        <v>10000</v>
      </c>
      <c r="F22" s="27">
        <v>282.92</v>
      </c>
      <c r="G22" s="28">
        <v>2.7199999999999998E-2</v>
      </c>
      <c r="H22" s="29"/>
    </row>
    <row r="23" spans="2:8" ht="15.75" customHeight="1" x14ac:dyDescent="0.2">
      <c r="B23" s="25" t="s">
        <v>432</v>
      </c>
      <c r="C23" s="25" t="s">
        <v>433</v>
      </c>
      <c r="D23" s="25" t="s">
        <v>194</v>
      </c>
      <c r="E23" s="26">
        <v>7000</v>
      </c>
      <c r="F23" s="27">
        <v>273.27</v>
      </c>
      <c r="G23" s="28">
        <v>2.63E-2</v>
      </c>
      <c r="H23" s="29"/>
    </row>
    <row r="24" spans="2:8" ht="15.75" customHeight="1" x14ac:dyDescent="0.2">
      <c r="B24" s="25" t="s">
        <v>434</v>
      </c>
      <c r="C24" s="25" t="s">
        <v>435</v>
      </c>
      <c r="D24" s="25" t="s">
        <v>138</v>
      </c>
      <c r="E24" s="26">
        <v>3873</v>
      </c>
      <c r="F24" s="27">
        <v>263.26</v>
      </c>
      <c r="G24" s="28">
        <v>2.53E-2</v>
      </c>
      <c r="H24" s="29"/>
    </row>
    <row r="25" spans="2:8" ht="15.75" customHeight="1" x14ac:dyDescent="0.2">
      <c r="B25" s="25" t="s">
        <v>130</v>
      </c>
      <c r="C25" s="25" t="s">
        <v>131</v>
      </c>
      <c r="D25" s="25" t="s">
        <v>132</v>
      </c>
      <c r="E25" s="26">
        <v>10000</v>
      </c>
      <c r="F25" s="27">
        <v>258.5</v>
      </c>
      <c r="G25" s="28">
        <v>2.4899999999999999E-2</v>
      </c>
      <c r="H25" s="29"/>
    </row>
    <row r="26" spans="2:8" ht="15.75" customHeight="1" x14ac:dyDescent="0.2">
      <c r="B26" s="25" t="s">
        <v>436</v>
      </c>
      <c r="C26" s="25" t="s">
        <v>437</v>
      </c>
      <c r="D26" s="25" t="s">
        <v>194</v>
      </c>
      <c r="E26" s="26">
        <v>3164</v>
      </c>
      <c r="F26" s="27">
        <v>255.26</v>
      </c>
      <c r="G26" s="28">
        <v>2.46E-2</v>
      </c>
      <c r="H26" s="29"/>
    </row>
    <row r="27" spans="2:8" ht="15.75" customHeight="1" x14ac:dyDescent="0.2">
      <c r="B27" s="25" t="s">
        <v>438</v>
      </c>
      <c r="C27" s="25" t="s">
        <v>439</v>
      </c>
      <c r="D27" s="25" t="s">
        <v>188</v>
      </c>
      <c r="E27" s="26">
        <v>9612</v>
      </c>
      <c r="F27" s="27">
        <v>250.63</v>
      </c>
      <c r="G27" s="28">
        <v>2.41E-2</v>
      </c>
      <c r="H27" s="29"/>
    </row>
    <row r="28" spans="2:8" ht="15.75" customHeight="1" x14ac:dyDescent="0.2">
      <c r="B28" s="25" t="s">
        <v>440</v>
      </c>
      <c r="C28" s="25" t="s">
        <v>441</v>
      </c>
      <c r="D28" s="25" t="s">
        <v>298</v>
      </c>
      <c r="E28" s="26">
        <v>22304</v>
      </c>
      <c r="F28" s="27">
        <v>248.33</v>
      </c>
      <c r="G28" s="28">
        <v>2.3900000000000001E-2</v>
      </c>
      <c r="H28" s="29"/>
    </row>
    <row r="29" spans="2:8" ht="15.75" customHeight="1" x14ac:dyDescent="0.2">
      <c r="B29" s="25" t="s">
        <v>337</v>
      </c>
      <c r="C29" s="25" t="s">
        <v>338</v>
      </c>
      <c r="D29" s="25" t="s">
        <v>298</v>
      </c>
      <c r="E29" s="26">
        <v>20000</v>
      </c>
      <c r="F29" s="27">
        <v>247.67</v>
      </c>
      <c r="G29" s="28">
        <v>2.3800000000000002E-2</v>
      </c>
      <c r="H29" s="29"/>
    </row>
    <row r="30" spans="2:8" ht="15.75" customHeight="1" x14ac:dyDescent="0.2">
      <c r="B30" s="25" t="s">
        <v>220</v>
      </c>
      <c r="C30" s="25" t="s">
        <v>221</v>
      </c>
      <c r="D30" s="25" t="s">
        <v>124</v>
      </c>
      <c r="E30" s="26">
        <v>17800</v>
      </c>
      <c r="F30" s="27">
        <v>226.53</v>
      </c>
      <c r="G30" s="28">
        <v>2.18E-2</v>
      </c>
      <c r="H30" s="29"/>
    </row>
    <row r="31" spans="2:8" ht="15.75" customHeight="1" x14ac:dyDescent="0.2">
      <c r="B31" s="25" t="s">
        <v>200</v>
      </c>
      <c r="C31" s="25" t="s">
        <v>201</v>
      </c>
      <c r="D31" s="25" t="s">
        <v>202</v>
      </c>
      <c r="E31" s="26">
        <v>67759</v>
      </c>
      <c r="F31" s="27">
        <v>225.06</v>
      </c>
      <c r="G31" s="28">
        <v>2.1700000000000001E-2</v>
      </c>
      <c r="H31" s="29"/>
    </row>
    <row r="32" spans="2:8" ht="15.75" customHeight="1" x14ac:dyDescent="0.2">
      <c r="B32" s="25" t="s">
        <v>442</v>
      </c>
      <c r="C32" s="25" t="s">
        <v>443</v>
      </c>
      <c r="D32" s="25" t="s">
        <v>173</v>
      </c>
      <c r="E32" s="26">
        <v>83201</v>
      </c>
      <c r="F32" s="27">
        <v>209.29</v>
      </c>
      <c r="G32" s="28">
        <v>2.01E-2</v>
      </c>
      <c r="H32" s="29"/>
    </row>
    <row r="33" spans="2:8" ht="15.75" customHeight="1" x14ac:dyDescent="0.2">
      <c r="B33" s="25" t="s">
        <v>157</v>
      </c>
      <c r="C33" s="25" t="s">
        <v>158</v>
      </c>
      <c r="D33" s="25" t="s">
        <v>129</v>
      </c>
      <c r="E33" s="26">
        <v>43046</v>
      </c>
      <c r="F33" s="27">
        <v>198.92</v>
      </c>
      <c r="G33" s="28">
        <v>1.9099999999999999E-2</v>
      </c>
      <c r="H33" s="29"/>
    </row>
    <row r="34" spans="2:8" ht="15.75" customHeight="1" x14ac:dyDescent="0.2">
      <c r="B34" s="25" t="s">
        <v>444</v>
      </c>
      <c r="C34" s="25" t="s">
        <v>445</v>
      </c>
      <c r="D34" s="25" t="s">
        <v>202</v>
      </c>
      <c r="E34" s="26">
        <v>20000</v>
      </c>
      <c r="F34" s="27">
        <v>186.77</v>
      </c>
      <c r="G34" s="28">
        <v>1.7999999999999999E-2</v>
      </c>
      <c r="H34" s="29"/>
    </row>
    <row r="35" spans="2:8" ht="15.75" customHeight="1" x14ac:dyDescent="0.2">
      <c r="B35" s="25" t="s">
        <v>446</v>
      </c>
      <c r="C35" s="25" t="s">
        <v>447</v>
      </c>
      <c r="D35" s="25" t="s">
        <v>197</v>
      </c>
      <c r="E35" s="26">
        <v>83026</v>
      </c>
      <c r="F35" s="27">
        <v>182.33</v>
      </c>
      <c r="G35" s="28">
        <v>1.7600000000000001E-2</v>
      </c>
      <c r="H35" s="29"/>
    </row>
    <row r="36" spans="2:8" ht="15.75" customHeight="1" x14ac:dyDescent="0.2">
      <c r="B36" s="25" t="s">
        <v>448</v>
      </c>
      <c r="C36" s="25" t="s">
        <v>449</v>
      </c>
      <c r="D36" s="25" t="s">
        <v>450</v>
      </c>
      <c r="E36" s="26">
        <v>51175</v>
      </c>
      <c r="F36" s="27">
        <v>162.76</v>
      </c>
      <c r="G36" s="28">
        <v>1.5699999999999999E-2</v>
      </c>
      <c r="H36" s="29"/>
    </row>
    <row r="37" spans="2:8" ht="15.75" customHeight="1" x14ac:dyDescent="0.2">
      <c r="B37" s="25" t="s">
        <v>451</v>
      </c>
      <c r="C37" s="25" t="s">
        <v>452</v>
      </c>
      <c r="D37" s="25" t="s">
        <v>202</v>
      </c>
      <c r="E37" s="26">
        <v>62992</v>
      </c>
      <c r="F37" s="27">
        <v>159.65</v>
      </c>
      <c r="G37" s="28">
        <v>1.54E-2</v>
      </c>
      <c r="H37" s="29"/>
    </row>
    <row r="38" spans="2:8" ht="15.75" customHeight="1" x14ac:dyDescent="0.2">
      <c r="B38" s="25" t="s">
        <v>421</v>
      </c>
      <c r="C38" s="25" t="s">
        <v>422</v>
      </c>
      <c r="D38" s="25" t="s">
        <v>274</v>
      </c>
      <c r="E38" s="26">
        <v>166794</v>
      </c>
      <c r="F38" s="27">
        <v>103</v>
      </c>
      <c r="G38" s="28">
        <v>9.9000000000000008E-3</v>
      </c>
      <c r="H38" s="29"/>
    </row>
    <row r="39" spans="2:8" ht="15.75" customHeight="1" x14ac:dyDescent="0.2">
      <c r="B39" s="25" t="s">
        <v>453</v>
      </c>
      <c r="C39" s="25" t="s">
        <v>454</v>
      </c>
      <c r="D39" s="25" t="s">
        <v>164</v>
      </c>
      <c r="E39" s="26">
        <v>39827</v>
      </c>
      <c r="F39" s="27">
        <v>99.37</v>
      </c>
      <c r="G39" s="28">
        <v>9.5999999999999992E-3</v>
      </c>
      <c r="H39" s="29"/>
    </row>
    <row r="40" spans="2:8" ht="15.75" customHeight="1" x14ac:dyDescent="0.2">
      <c r="B40" s="25" t="s">
        <v>455</v>
      </c>
      <c r="C40" s="25" t="s">
        <v>456</v>
      </c>
      <c r="D40" s="25" t="s">
        <v>237</v>
      </c>
      <c r="E40" s="26">
        <v>49900</v>
      </c>
      <c r="F40" s="27">
        <v>89.89</v>
      </c>
      <c r="G40" s="28">
        <v>8.6999999999999994E-3</v>
      </c>
      <c r="H40" s="29"/>
    </row>
    <row r="41" spans="2:8" ht="15.75" customHeight="1" x14ac:dyDescent="0.2">
      <c r="B41" s="24" t="s">
        <v>93</v>
      </c>
      <c r="C41" s="24"/>
      <c r="D41" s="24"/>
      <c r="E41" s="30"/>
      <c r="F41" s="31">
        <v>10062.31</v>
      </c>
      <c r="G41" s="32">
        <v>0.96870000000000001</v>
      </c>
      <c r="H41" s="33"/>
    </row>
    <row r="42" spans="2:8" ht="15.75" customHeight="1" x14ac:dyDescent="0.2">
      <c r="B42" s="24" t="s">
        <v>141</v>
      </c>
      <c r="C42" s="25"/>
      <c r="D42" s="25"/>
      <c r="E42" s="26"/>
      <c r="F42" s="27"/>
      <c r="G42" s="28"/>
      <c r="H42" s="29"/>
    </row>
    <row r="43" spans="2:8" ht="15.75" customHeight="1" x14ac:dyDescent="0.2">
      <c r="B43" s="24" t="s">
        <v>93</v>
      </c>
      <c r="C43" s="25"/>
      <c r="D43" s="25"/>
      <c r="E43" s="26"/>
      <c r="F43" s="34" t="s">
        <v>95</v>
      </c>
      <c r="G43" s="35" t="s">
        <v>95</v>
      </c>
      <c r="H43" s="29"/>
    </row>
    <row r="44" spans="2:8" ht="15.75" customHeight="1" x14ac:dyDescent="0.2">
      <c r="B44" s="25"/>
      <c r="C44" s="25"/>
      <c r="D44" s="25"/>
      <c r="E44" s="26"/>
      <c r="F44" s="27"/>
      <c r="G44" s="28"/>
      <c r="H44" s="29"/>
    </row>
    <row r="45" spans="2:8" ht="15.75" customHeight="1" x14ac:dyDescent="0.2">
      <c r="B45" s="36" t="s">
        <v>97</v>
      </c>
      <c r="C45" s="36"/>
      <c r="D45" s="36"/>
      <c r="E45" s="37"/>
      <c r="F45" s="31">
        <v>10062.31</v>
      </c>
      <c r="G45" s="32">
        <v>0.96870000000000001</v>
      </c>
      <c r="H45" s="33"/>
    </row>
    <row r="46" spans="2:8" ht="15.75" customHeight="1" x14ac:dyDescent="0.2">
      <c r="B46" s="25"/>
      <c r="C46" s="25"/>
      <c r="D46" s="25"/>
      <c r="E46" s="26"/>
      <c r="F46" s="27"/>
      <c r="G46" s="28"/>
      <c r="H46" s="29"/>
    </row>
    <row r="47" spans="2:8" ht="15.75" customHeight="1" x14ac:dyDescent="0.2">
      <c r="B47" s="25"/>
      <c r="C47" s="25"/>
      <c r="D47" s="25"/>
      <c r="E47" s="26"/>
      <c r="F47" s="27"/>
      <c r="G47" s="28"/>
      <c r="H47" s="29"/>
    </row>
    <row r="48" spans="2:8" ht="15.75" customHeight="1" x14ac:dyDescent="0.2">
      <c r="B48" s="24" t="s">
        <v>100</v>
      </c>
      <c r="C48" s="25"/>
      <c r="D48" s="25"/>
      <c r="E48" s="26"/>
      <c r="F48" s="27"/>
      <c r="G48" s="28"/>
      <c r="H48" s="29"/>
    </row>
    <row r="49" spans="2:8" ht="15.75" customHeight="1" x14ac:dyDescent="0.2">
      <c r="B49" s="25" t="s">
        <v>101</v>
      </c>
      <c r="C49" s="25"/>
      <c r="D49" s="25"/>
      <c r="E49" s="26"/>
      <c r="F49" s="27">
        <v>330.31</v>
      </c>
      <c r="G49" s="28">
        <v>3.1800000000000002E-2</v>
      </c>
      <c r="H49" s="29"/>
    </row>
    <row r="50" spans="2:8" ht="15.75" customHeight="1" x14ac:dyDescent="0.2">
      <c r="B50" s="24" t="s">
        <v>93</v>
      </c>
      <c r="C50" s="24"/>
      <c r="D50" s="24"/>
      <c r="E50" s="30"/>
      <c r="F50" s="31">
        <v>330.31</v>
      </c>
      <c r="G50" s="32">
        <v>3.1800000000000002E-2</v>
      </c>
      <c r="H50" s="33"/>
    </row>
    <row r="51" spans="2:8" ht="15.75" customHeight="1" x14ac:dyDescent="0.2">
      <c r="B51" s="25"/>
      <c r="C51" s="25"/>
      <c r="D51" s="25"/>
      <c r="E51" s="26"/>
      <c r="F51" s="27"/>
      <c r="G51" s="28"/>
      <c r="H51" s="29"/>
    </row>
    <row r="52" spans="2:8" ht="15.75" customHeight="1" x14ac:dyDescent="0.2">
      <c r="B52" s="36" t="s">
        <v>97</v>
      </c>
      <c r="C52" s="36"/>
      <c r="D52" s="36"/>
      <c r="E52" s="37"/>
      <c r="F52" s="31">
        <v>330.31</v>
      </c>
      <c r="G52" s="32">
        <v>3.1800000000000002E-2</v>
      </c>
      <c r="H52" s="33"/>
    </row>
    <row r="53" spans="2:8" ht="15.75" customHeight="1" x14ac:dyDescent="0.2">
      <c r="B53" s="25" t="s">
        <v>102</v>
      </c>
      <c r="C53" s="25"/>
      <c r="D53" s="25"/>
      <c r="E53" s="26"/>
      <c r="F53" s="38">
        <v>-4.96</v>
      </c>
      <c r="G53" s="39">
        <v>-4.9999999999994493E-4</v>
      </c>
      <c r="H53" s="29"/>
    </row>
    <row r="54" spans="2:8" ht="15.75" customHeight="1" x14ac:dyDescent="0.2">
      <c r="B54" s="40" t="s">
        <v>103</v>
      </c>
      <c r="C54" s="40"/>
      <c r="D54" s="40"/>
      <c r="E54" s="41"/>
      <c r="F54" s="42">
        <v>10387.66</v>
      </c>
      <c r="G54" s="43">
        <v>1</v>
      </c>
      <c r="H54" s="44"/>
    </row>
    <row r="55" spans="2:8" ht="15.75" customHeight="1" thickBot="1" x14ac:dyDescent="0.25">
      <c r="B55" s="2"/>
    </row>
    <row r="56" spans="2:8" ht="27" customHeight="1" thickBot="1" x14ac:dyDescent="0.25">
      <c r="B56" s="57" t="s">
        <v>806</v>
      </c>
      <c r="C56" s="58" t="s">
        <v>807</v>
      </c>
      <c r="D56" s="58" t="s">
        <v>808</v>
      </c>
      <c r="E56" s="59" t="s">
        <v>809</v>
      </c>
      <c r="G56" s="2"/>
      <c r="H56" s="2"/>
    </row>
    <row r="57" spans="2:8" ht="29.25" customHeight="1" x14ac:dyDescent="0.2">
      <c r="B57" s="71" t="s">
        <v>37</v>
      </c>
      <c r="C57" s="83"/>
      <c r="D57" s="86" t="s">
        <v>835</v>
      </c>
      <c r="E57" s="88"/>
      <c r="G57" s="2"/>
      <c r="H57" s="2"/>
    </row>
    <row r="58" spans="2:8" ht="39.950000000000003" customHeight="1" x14ac:dyDescent="0.2">
      <c r="B58" s="61" t="s">
        <v>836</v>
      </c>
      <c r="C58" s="84"/>
      <c r="D58" s="87"/>
      <c r="E58" s="84"/>
      <c r="G58" s="2"/>
      <c r="H58" s="2"/>
    </row>
    <row r="59" spans="2:8" ht="39.950000000000003" customHeight="1" x14ac:dyDescent="0.2">
      <c r="B59" s="61" t="s">
        <v>837</v>
      </c>
      <c r="C59" s="84"/>
      <c r="D59" s="87"/>
      <c r="E59" s="84"/>
      <c r="G59" s="2"/>
      <c r="H59" s="2"/>
    </row>
    <row r="60" spans="2:8" ht="23.25" customHeight="1" thickBot="1" x14ac:dyDescent="0.25">
      <c r="B60" s="62" t="s">
        <v>826</v>
      </c>
      <c r="C60" s="85"/>
      <c r="D60" s="70" t="s">
        <v>826</v>
      </c>
      <c r="E60" s="89"/>
      <c r="G60" s="2"/>
      <c r="H60" s="2"/>
    </row>
    <row r="61" spans="2:8" ht="24.95" customHeight="1" x14ac:dyDescent="0.2">
      <c r="B61" s="64" t="s">
        <v>815</v>
      </c>
      <c r="C61" s="65"/>
      <c r="D61" s="66"/>
      <c r="E61" s="67"/>
      <c r="G61" s="2"/>
      <c r="H61" s="2"/>
    </row>
    <row r="63" spans="2:8" ht="12" x14ac:dyDescent="0.2">
      <c r="B63" s="2" t="s">
        <v>816</v>
      </c>
      <c r="C63" s="2"/>
      <c r="D63" s="2"/>
      <c r="G63" s="2"/>
      <c r="H63" s="2"/>
    </row>
    <row r="64" spans="2:8" ht="12" x14ac:dyDescent="0.2">
      <c r="B64" s="3" t="s">
        <v>817</v>
      </c>
      <c r="C64" s="2"/>
      <c r="D64" s="2"/>
      <c r="G64" s="2"/>
      <c r="H6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7:C60"/>
    <mergeCell ref="D57:D59"/>
    <mergeCell ref="E57:E60"/>
  </mergeCells>
  <hyperlinks>
    <hyperlink ref="I1" location="'Sheet1'!A1" display="Index" xr:uid="{9EA926BC-4A48-43DA-AD59-E8789D6EA7F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F29CF-860C-4FB1-BD8D-38CBDC3554EC}">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8"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904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268</v>
      </c>
      <c r="C7" s="25" t="s">
        <v>269</v>
      </c>
      <c r="D7" s="25" t="s">
        <v>194</v>
      </c>
      <c r="E7" s="26">
        <v>62402</v>
      </c>
      <c r="F7" s="27">
        <v>785.92</v>
      </c>
      <c r="G7" s="28">
        <v>0.14330000000000001</v>
      </c>
      <c r="H7" s="29"/>
    </row>
    <row r="8" spans="2:9" ht="15.75" customHeight="1" x14ac:dyDescent="0.2">
      <c r="B8" s="25" t="s">
        <v>222</v>
      </c>
      <c r="C8" s="25" t="s">
        <v>223</v>
      </c>
      <c r="D8" s="25" t="s">
        <v>194</v>
      </c>
      <c r="E8" s="26">
        <v>7351</v>
      </c>
      <c r="F8" s="27">
        <v>426.2</v>
      </c>
      <c r="G8" s="28">
        <v>7.7700000000000005E-2</v>
      </c>
      <c r="H8" s="29"/>
    </row>
    <row r="9" spans="2:9" ht="15.75" customHeight="1" x14ac:dyDescent="0.2">
      <c r="B9" s="25" t="s">
        <v>235</v>
      </c>
      <c r="C9" s="25" t="s">
        <v>236</v>
      </c>
      <c r="D9" s="25" t="s">
        <v>237</v>
      </c>
      <c r="E9" s="26">
        <v>7349</v>
      </c>
      <c r="F9" s="27">
        <v>419.19</v>
      </c>
      <c r="G9" s="28">
        <v>7.6399999999999996E-2</v>
      </c>
      <c r="H9" s="29"/>
    </row>
    <row r="10" spans="2:9" ht="15.75" customHeight="1" x14ac:dyDescent="0.2">
      <c r="B10" s="25" t="s">
        <v>457</v>
      </c>
      <c r="C10" s="25" t="s">
        <v>458</v>
      </c>
      <c r="D10" s="25" t="s">
        <v>194</v>
      </c>
      <c r="E10" s="26">
        <v>23433</v>
      </c>
      <c r="F10" s="27">
        <v>380.7</v>
      </c>
      <c r="G10" s="28">
        <v>6.9400000000000003E-2</v>
      </c>
      <c r="H10" s="29"/>
    </row>
    <row r="11" spans="2:9" ht="15.75" customHeight="1" x14ac:dyDescent="0.2">
      <c r="B11" s="25" t="s">
        <v>321</v>
      </c>
      <c r="C11" s="25" t="s">
        <v>322</v>
      </c>
      <c r="D11" s="25" t="s">
        <v>194</v>
      </c>
      <c r="E11" s="26">
        <v>251827</v>
      </c>
      <c r="F11" s="27">
        <v>349.66</v>
      </c>
      <c r="G11" s="28">
        <v>6.3700000000000007E-2</v>
      </c>
      <c r="H11" s="29"/>
    </row>
    <row r="12" spans="2:9" ht="15.75" customHeight="1" x14ac:dyDescent="0.2">
      <c r="B12" s="25" t="s">
        <v>432</v>
      </c>
      <c r="C12" s="25" t="s">
        <v>433</v>
      </c>
      <c r="D12" s="25" t="s">
        <v>194</v>
      </c>
      <c r="E12" s="26">
        <v>8304</v>
      </c>
      <c r="F12" s="27">
        <v>324.18</v>
      </c>
      <c r="G12" s="28">
        <v>5.91E-2</v>
      </c>
      <c r="H12" s="29"/>
    </row>
    <row r="13" spans="2:9" ht="15.75" customHeight="1" x14ac:dyDescent="0.2">
      <c r="B13" s="25" t="s">
        <v>266</v>
      </c>
      <c r="C13" s="25" t="s">
        <v>267</v>
      </c>
      <c r="D13" s="25" t="s">
        <v>194</v>
      </c>
      <c r="E13" s="26">
        <v>25629</v>
      </c>
      <c r="F13" s="27">
        <v>319.41000000000003</v>
      </c>
      <c r="G13" s="28">
        <v>5.8200000000000002E-2</v>
      </c>
      <c r="H13" s="29"/>
    </row>
    <row r="14" spans="2:9" ht="15.75" customHeight="1" x14ac:dyDescent="0.2">
      <c r="B14" s="25" t="s">
        <v>203</v>
      </c>
      <c r="C14" s="25" t="s">
        <v>204</v>
      </c>
      <c r="D14" s="25" t="s">
        <v>194</v>
      </c>
      <c r="E14" s="26">
        <v>45937</v>
      </c>
      <c r="F14" s="27">
        <v>316.60000000000002</v>
      </c>
      <c r="G14" s="28">
        <v>5.7700000000000001E-2</v>
      </c>
      <c r="H14" s="29"/>
    </row>
    <row r="15" spans="2:9" ht="15.75" customHeight="1" x14ac:dyDescent="0.2">
      <c r="B15" s="25" t="s">
        <v>423</v>
      </c>
      <c r="C15" s="25" t="s">
        <v>424</v>
      </c>
      <c r="D15" s="25" t="s">
        <v>194</v>
      </c>
      <c r="E15" s="26">
        <v>12401</v>
      </c>
      <c r="F15" s="27">
        <v>285.91000000000003</v>
      </c>
      <c r="G15" s="28">
        <v>5.21E-2</v>
      </c>
      <c r="H15" s="29"/>
    </row>
    <row r="16" spans="2:9" ht="15.75" customHeight="1" x14ac:dyDescent="0.2">
      <c r="B16" s="25" t="s">
        <v>400</v>
      </c>
      <c r="C16" s="25" t="s">
        <v>401</v>
      </c>
      <c r="D16" s="25" t="s">
        <v>194</v>
      </c>
      <c r="E16" s="26">
        <v>4829</v>
      </c>
      <c r="F16" s="27">
        <v>251.23</v>
      </c>
      <c r="G16" s="28">
        <v>4.58E-2</v>
      </c>
      <c r="H16" s="29"/>
    </row>
    <row r="17" spans="2:8" ht="15.75" customHeight="1" x14ac:dyDescent="0.2">
      <c r="B17" s="25" t="s">
        <v>459</v>
      </c>
      <c r="C17" s="25" t="s">
        <v>460</v>
      </c>
      <c r="D17" s="25" t="s">
        <v>194</v>
      </c>
      <c r="E17" s="26">
        <v>21440</v>
      </c>
      <c r="F17" s="27">
        <v>238.66</v>
      </c>
      <c r="G17" s="28">
        <v>4.3499999999999997E-2</v>
      </c>
      <c r="H17" s="29"/>
    </row>
    <row r="18" spans="2:8" ht="15.75" customHeight="1" x14ac:dyDescent="0.2">
      <c r="B18" s="25" t="s">
        <v>461</v>
      </c>
      <c r="C18" s="25" t="s">
        <v>462</v>
      </c>
      <c r="D18" s="25" t="s">
        <v>194</v>
      </c>
      <c r="E18" s="26">
        <v>1026</v>
      </c>
      <c r="F18" s="27">
        <v>234.45</v>
      </c>
      <c r="G18" s="28">
        <v>4.2700000000000002E-2</v>
      </c>
      <c r="H18" s="29"/>
    </row>
    <row r="19" spans="2:8" ht="15.75" customHeight="1" x14ac:dyDescent="0.2">
      <c r="B19" s="25" t="s">
        <v>463</v>
      </c>
      <c r="C19" s="25" t="s">
        <v>464</v>
      </c>
      <c r="D19" s="25" t="s">
        <v>237</v>
      </c>
      <c r="E19" s="26">
        <v>13698</v>
      </c>
      <c r="F19" s="27">
        <v>229.87</v>
      </c>
      <c r="G19" s="28">
        <v>4.19E-2</v>
      </c>
      <c r="H19" s="29"/>
    </row>
    <row r="20" spans="2:8" ht="15.75" customHeight="1" x14ac:dyDescent="0.2">
      <c r="B20" s="25" t="s">
        <v>455</v>
      </c>
      <c r="C20" s="25" t="s">
        <v>456</v>
      </c>
      <c r="D20" s="25" t="s">
        <v>237</v>
      </c>
      <c r="E20" s="26">
        <v>122435</v>
      </c>
      <c r="F20" s="27">
        <v>220.57</v>
      </c>
      <c r="G20" s="28">
        <v>4.02E-2</v>
      </c>
      <c r="H20" s="29"/>
    </row>
    <row r="21" spans="2:8" ht="15.75" customHeight="1" x14ac:dyDescent="0.2">
      <c r="B21" s="25" t="s">
        <v>465</v>
      </c>
      <c r="C21" s="25" t="s">
        <v>466</v>
      </c>
      <c r="D21" s="25" t="s">
        <v>237</v>
      </c>
      <c r="E21" s="26">
        <v>20185</v>
      </c>
      <c r="F21" s="27">
        <v>193.6</v>
      </c>
      <c r="G21" s="28">
        <v>3.5299999999999998E-2</v>
      </c>
      <c r="H21" s="29"/>
    </row>
    <row r="22" spans="2:8" ht="15.75" customHeight="1" x14ac:dyDescent="0.2">
      <c r="B22" s="25" t="s">
        <v>467</v>
      </c>
      <c r="C22" s="25" t="s">
        <v>468</v>
      </c>
      <c r="D22" s="25" t="s">
        <v>194</v>
      </c>
      <c r="E22" s="26">
        <v>44836</v>
      </c>
      <c r="F22" s="27">
        <v>192.88</v>
      </c>
      <c r="G22" s="28">
        <v>3.5200000000000002E-2</v>
      </c>
      <c r="H22" s="29"/>
    </row>
    <row r="23" spans="2:8" ht="15.75" customHeight="1" x14ac:dyDescent="0.2">
      <c r="B23" s="25" t="s">
        <v>469</v>
      </c>
      <c r="C23" s="25" t="s">
        <v>470</v>
      </c>
      <c r="D23" s="25" t="s">
        <v>237</v>
      </c>
      <c r="E23" s="26">
        <v>22773</v>
      </c>
      <c r="F23" s="27">
        <v>159.74</v>
      </c>
      <c r="G23" s="28">
        <v>2.9100000000000001E-2</v>
      </c>
      <c r="H23" s="29"/>
    </row>
    <row r="24" spans="2:8" ht="15.75" customHeight="1" x14ac:dyDescent="0.2">
      <c r="B24" s="24" t="s">
        <v>93</v>
      </c>
      <c r="C24" s="24"/>
      <c r="D24" s="24"/>
      <c r="E24" s="30"/>
      <c r="F24" s="31">
        <v>5328.77</v>
      </c>
      <c r="G24" s="32">
        <v>0.97140000000000004</v>
      </c>
      <c r="H24" s="33"/>
    </row>
    <row r="25" spans="2:8" ht="15.75" customHeight="1" x14ac:dyDescent="0.2">
      <c r="B25" s="24" t="s">
        <v>141</v>
      </c>
      <c r="C25" s="25"/>
      <c r="D25" s="25"/>
      <c r="E25" s="26"/>
      <c r="F25" s="27"/>
      <c r="G25" s="28"/>
      <c r="H25" s="29"/>
    </row>
    <row r="26" spans="2:8" ht="15.75" customHeight="1" x14ac:dyDescent="0.2">
      <c r="B26" s="24" t="s">
        <v>93</v>
      </c>
      <c r="C26" s="25"/>
      <c r="D26" s="25"/>
      <c r="E26" s="26"/>
      <c r="F26" s="34" t="s">
        <v>95</v>
      </c>
      <c r="G26" s="35" t="s">
        <v>95</v>
      </c>
      <c r="H26" s="29"/>
    </row>
    <row r="27" spans="2:8" ht="15.75" customHeight="1" x14ac:dyDescent="0.2">
      <c r="B27" s="25"/>
      <c r="C27" s="25"/>
      <c r="D27" s="25"/>
      <c r="E27" s="26"/>
      <c r="F27" s="27"/>
      <c r="G27" s="28"/>
      <c r="H27" s="29"/>
    </row>
    <row r="28" spans="2:8" ht="15.75" customHeight="1" x14ac:dyDescent="0.2">
      <c r="B28" s="36" t="s">
        <v>97</v>
      </c>
      <c r="C28" s="36"/>
      <c r="D28" s="36"/>
      <c r="E28" s="37"/>
      <c r="F28" s="31">
        <v>5328.77</v>
      </c>
      <c r="G28" s="32">
        <v>0.97140000000000004</v>
      </c>
      <c r="H28" s="33"/>
    </row>
    <row r="29" spans="2:8" ht="15.75" customHeight="1" x14ac:dyDescent="0.2">
      <c r="B29" s="25"/>
      <c r="C29" s="25"/>
      <c r="D29" s="25"/>
      <c r="E29" s="26"/>
      <c r="F29" s="27"/>
      <c r="G29" s="28"/>
      <c r="H29" s="29"/>
    </row>
    <row r="30" spans="2:8" ht="15.75" customHeight="1" x14ac:dyDescent="0.2">
      <c r="B30" s="25"/>
      <c r="C30" s="25"/>
      <c r="D30" s="25"/>
      <c r="E30" s="26"/>
      <c r="F30" s="27"/>
      <c r="G30" s="28"/>
      <c r="H30" s="29"/>
    </row>
    <row r="31" spans="2:8" ht="15.75" customHeight="1" x14ac:dyDescent="0.2">
      <c r="B31" s="24" t="s">
        <v>100</v>
      </c>
      <c r="C31" s="25"/>
      <c r="D31" s="25"/>
      <c r="E31" s="26"/>
      <c r="F31" s="27"/>
      <c r="G31" s="28"/>
      <c r="H31" s="29"/>
    </row>
    <row r="32" spans="2:8" ht="15.75" customHeight="1" x14ac:dyDescent="0.2">
      <c r="B32" s="25" t="s">
        <v>101</v>
      </c>
      <c r="C32" s="25"/>
      <c r="D32" s="25"/>
      <c r="E32" s="26"/>
      <c r="F32" s="27">
        <v>157.55000000000001</v>
      </c>
      <c r="G32" s="28">
        <v>2.87E-2</v>
      </c>
      <c r="H32" s="29"/>
    </row>
    <row r="33" spans="2:8" ht="15.75" customHeight="1" x14ac:dyDescent="0.2">
      <c r="B33" s="24" t="s">
        <v>93</v>
      </c>
      <c r="C33" s="24"/>
      <c r="D33" s="24"/>
      <c r="E33" s="30"/>
      <c r="F33" s="31">
        <v>157.55000000000001</v>
      </c>
      <c r="G33" s="32">
        <v>2.87E-2</v>
      </c>
      <c r="H33" s="33"/>
    </row>
    <row r="34" spans="2:8" ht="15.75" customHeight="1" x14ac:dyDescent="0.2">
      <c r="B34" s="25"/>
      <c r="C34" s="25"/>
      <c r="D34" s="25"/>
      <c r="E34" s="26"/>
      <c r="F34" s="27"/>
      <c r="G34" s="28"/>
      <c r="H34" s="29"/>
    </row>
    <row r="35" spans="2:8" ht="15.75" customHeight="1" x14ac:dyDescent="0.2">
      <c r="B35" s="36" t="s">
        <v>97</v>
      </c>
      <c r="C35" s="36"/>
      <c r="D35" s="36"/>
      <c r="E35" s="37"/>
      <c r="F35" s="31">
        <v>157.55000000000001</v>
      </c>
      <c r="G35" s="32">
        <v>2.87E-2</v>
      </c>
      <c r="H35" s="33"/>
    </row>
    <row r="36" spans="2:8" ht="15.75" customHeight="1" x14ac:dyDescent="0.2">
      <c r="B36" s="25" t="s">
        <v>102</v>
      </c>
      <c r="C36" s="25"/>
      <c r="D36" s="25"/>
      <c r="E36" s="26"/>
      <c r="F36" s="38">
        <v>-0.77</v>
      </c>
      <c r="G36" s="39">
        <v>-9.9999999999988987E-5</v>
      </c>
      <c r="H36" s="29"/>
    </row>
    <row r="37" spans="2:8" ht="15.75" customHeight="1" x14ac:dyDescent="0.2">
      <c r="B37" s="40" t="s">
        <v>103</v>
      </c>
      <c r="C37" s="40"/>
      <c r="D37" s="40"/>
      <c r="E37" s="41"/>
      <c r="F37" s="42">
        <v>5485.55</v>
      </c>
      <c r="G37" s="43">
        <v>1</v>
      </c>
      <c r="H37" s="44"/>
    </row>
    <row r="38" spans="2:8" ht="15.75" customHeight="1" x14ac:dyDescent="0.2">
      <c r="B38" s="2"/>
    </row>
    <row r="39" spans="2:8" ht="15.75" customHeight="1" x14ac:dyDescent="0.2">
      <c r="B39" s="12" t="s">
        <v>472</v>
      </c>
    </row>
    <row r="40" spans="2:8" ht="15.75" customHeight="1" thickBot="1" x14ac:dyDescent="0.25"/>
    <row r="41" spans="2:8" ht="27" customHeight="1" thickBot="1" x14ac:dyDescent="0.25">
      <c r="B41" s="57" t="s">
        <v>806</v>
      </c>
      <c r="C41" s="58" t="s">
        <v>807</v>
      </c>
      <c r="D41" s="58" t="s">
        <v>808</v>
      </c>
      <c r="E41" s="59" t="s">
        <v>809</v>
      </c>
      <c r="G41" s="2"/>
      <c r="H41" s="2"/>
    </row>
    <row r="42" spans="2:8" ht="29.25" customHeight="1" x14ac:dyDescent="0.2">
      <c r="B42" s="71" t="s">
        <v>39</v>
      </c>
      <c r="C42" s="83"/>
      <c r="D42" s="86" t="s">
        <v>838</v>
      </c>
      <c r="E42" s="88"/>
      <c r="G42" s="2"/>
      <c r="H42" s="2"/>
    </row>
    <row r="43" spans="2:8" ht="39.950000000000003" customHeight="1" x14ac:dyDescent="0.2">
      <c r="B43" s="61" t="s">
        <v>836</v>
      </c>
      <c r="C43" s="84"/>
      <c r="D43" s="87"/>
      <c r="E43" s="84"/>
      <c r="G43" s="2"/>
      <c r="H43" s="2"/>
    </row>
    <row r="44" spans="2:8" ht="39.950000000000003" customHeight="1" x14ac:dyDescent="0.2">
      <c r="B44" s="61" t="s">
        <v>839</v>
      </c>
      <c r="C44" s="84"/>
      <c r="D44" s="87"/>
      <c r="E44" s="84"/>
      <c r="G44" s="2"/>
      <c r="H44" s="2"/>
    </row>
    <row r="45" spans="2:8" ht="23.25" customHeight="1" thickBot="1" x14ac:dyDescent="0.25">
      <c r="B45" s="62" t="s">
        <v>826</v>
      </c>
      <c r="C45" s="85"/>
      <c r="D45" s="70" t="s">
        <v>826</v>
      </c>
      <c r="E45" s="89"/>
      <c r="G45" s="2"/>
      <c r="H45" s="2"/>
    </row>
    <row r="46" spans="2:8" ht="24.95" customHeight="1" x14ac:dyDescent="0.2">
      <c r="B46" s="64" t="s">
        <v>815</v>
      </c>
      <c r="C46" s="65"/>
      <c r="D46" s="66"/>
      <c r="E46" s="67"/>
      <c r="G46" s="2"/>
      <c r="H46" s="2"/>
    </row>
    <row r="48" spans="2:8" ht="12" x14ac:dyDescent="0.2">
      <c r="B48" s="2" t="s">
        <v>816</v>
      </c>
      <c r="C48" s="2"/>
      <c r="D48" s="2"/>
      <c r="G48" s="2"/>
      <c r="H48" s="2"/>
    </row>
    <row r="49" spans="2:8" ht="12" x14ac:dyDescent="0.2">
      <c r="B49" s="3" t="s">
        <v>817</v>
      </c>
      <c r="C49" s="2"/>
      <c r="D49" s="2"/>
      <c r="G49" s="2"/>
      <c r="H4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2:C45"/>
    <mergeCell ref="D42:D44"/>
    <mergeCell ref="E42:E45"/>
  </mergeCells>
  <hyperlinks>
    <hyperlink ref="I1" location="'Sheet1'!A1" display="Index" xr:uid="{192A23A1-B2D0-4AE7-9C2A-0E743FE4F4A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2DB44-85B4-4F52-B272-FE2C65ADBA5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7.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903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473</v>
      </c>
      <c r="C7" s="25" t="s">
        <v>474</v>
      </c>
      <c r="D7" s="25" t="s">
        <v>274</v>
      </c>
      <c r="E7" s="26">
        <v>146060</v>
      </c>
      <c r="F7" s="27">
        <v>1004.38</v>
      </c>
      <c r="G7" s="28">
        <v>4.2599999999999999E-2</v>
      </c>
      <c r="H7" s="29"/>
    </row>
    <row r="8" spans="2:9" ht="15.75" customHeight="1" x14ac:dyDescent="0.2">
      <c r="B8" s="25" t="s">
        <v>165</v>
      </c>
      <c r="C8" s="25" t="s">
        <v>166</v>
      </c>
      <c r="D8" s="25" t="s">
        <v>167</v>
      </c>
      <c r="E8" s="26">
        <v>29376</v>
      </c>
      <c r="F8" s="27">
        <v>897.42</v>
      </c>
      <c r="G8" s="28">
        <v>3.7999999999999999E-2</v>
      </c>
      <c r="H8" s="29"/>
    </row>
    <row r="9" spans="2:9" ht="15.75" customHeight="1" x14ac:dyDescent="0.2">
      <c r="B9" s="25" t="s">
        <v>119</v>
      </c>
      <c r="C9" s="25" t="s">
        <v>120</v>
      </c>
      <c r="D9" s="25" t="s">
        <v>121</v>
      </c>
      <c r="E9" s="26">
        <v>74682</v>
      </c>
      <c r="F9" s="27">
        <v>744.28</v>
      </c>
      <c r="G9" s="28">
        <v>3.15E-2</v>
      </c>
      <c r="H9" s="29"/>
    </row>
    <row r="10" spans="2:9" ht="15.75" customHeight="1" x14ac:dyDescent="0.2">
      <c r="B10" s="25" t="s">
        <v>287</v>
      </c>
      <c r="C10" s="25" t="s">
        <v>288</v>
      </c>
      <c r="D10" s="25" t="s">
        <v>289</v>
      </c>
      <c r="E10" s="26">
        <v>393332</v>
      </c>
      <c r="F10" s="27">
        <v>724.52</v>
      </c>
      <c r="G10" s="28">
        <v>3.0700000000000002E-2</v>
      </c>
      <c r="H10" s="29"/>
    </row>
    <row r="11" spans="2:9" ht="15.75" customHeight="1" x14ac:dyDescent="0.2">
      <c r="B11" s="25" t="s">
        <v>348</v>
      </c>
      <c r="C11" s="25" t="s">
        <v>349</v>
      </c>
      <c r="D11" s="25" t="s">
        <v>124</v>
      </c>
      <c r="E11" s="26">
        <v>11425</v>
      </c>
      <c r="F11" s="27">
        <v>716.85</v>
      </c>
      <c r="G11" s="28">
        <v>3.04E-2</v>
      </c>
      <c r="H11" s="29"/>
    </row>
    <row r="12" spans="2:9" ht="15.75" customHeight="1" x14ac:dyDescent="0.2">
      <c r="B12" s="25" t="s">
        <v>331</v>
      </c>
      <c r="C12" s="25" t="s">
        <v>332</v>
      </c>
      <c r="D12" s="25" t="s">
        <v>121</v>
      </c>
      <c r="E12" s="26">
        <v>433372</v>
      </c>
      <c r="F12" s="27">
        <v>676.71</v>
      </c>
      <c r="G12" s="28">
        <v>2.87E-2</v>
      </c>
      <c r="H12" s="29"/>
    </row>
    <row r="13" spans="2:9" ht="15.75" customHeight="1" x14ac:dyDescent="0.2">
      <c r="B13" s="25" t="s">
        <v>400</v>
      </c>
      <c r="C13" s="25" t="s">
        <v>401</v>
      </c>
      <c r="D13" s="25" t="s">
        <v>194</v>
      </c>
      <c r="E13" s="26">
        <v>12978</v>
      </c>
      <c r="F13" s="27">
        <v>675.19</v>
      </c>
      <c r="G13" s="28">
        <v>2.86E-2</v>
      </c>
      <c r="H13" s="29"/>
    </row>
    <row r="14" spans="2:9" ht="15.75" customHeight="1" x14ac:dyDescent="0.2">
      <c r="B14" s="25" t="s">
        <v>419</v>
      </c>
      <c r="C14" s="25" t="s">
        <v>420</v>
      </c>
      <c r="D14" s="25" t="s">
        <v>161</v>
      </c>
      <c r="E14" s="26">
        <v>17254</v>
      </c>
      <c r="F14" s="27">
        <v>606.63</v>
      </c>
      <c r="G14" s="28">
        <v>2.5700000000000001E-2</v>
      </c>
      <c r="H14" s="29"/>
    </row>
    <row r="15" spans="2:9" ht="15.75" customHeight="1" x14ac:dyDescent="0.2">
      <c r="B15" s="25" t="s">
        <v>304</v>
      </c>
      <c r="C15" s="25" t="s">
        <v>305</v>
      </c>
      <c r="D15" s="25" t="s">
        <v>176</v>
      </c>
      <c r="E15" s="26">
        <v>149792</v>
      </c>
      <c r="F15" s="27">
        <v>573.1</v>
      </c>
      <c r="G15" s="28">
        <v>2.4299999999999999E-2</v>
      </c>
      <c r="H15" s="29"/>
    </row>
    <row r="16" spans="2:9" ht="15.75" customHeight="1" x14ac:dyDescent="0.2">
      <c r="B16" s="25" t="s">
        <v>179</v>
      </c>
      <c r="C16" s="25" t="s">
        <v>180</v>
      </c>
      <c r="D16" s="25" t="s">
        <v>121</v>
      </c>
      <c r="E16" s="26">
        <v>233500</v>
      </c>
      <c r="F16" s="27">
        <v>539.62</v>
      </c>
      <c r="G16" s="28">
        <v>2.29E-2</v>
      </c>
      <c r="H16" s="29"/>
    </row>
    <row r="17" spans="2:8" ht="15.75" customHeight="1" x14ac:dyDescent="0.2">
      <c r="B17" s="25" t="s">
        <v>475</v>
      </c>
      <c r="C17" s="25" t="s">
        <v>476</v>
      </c>
      <c r="D17" s="25" t="s">
        <v>226</v>
      </c>
      <c r="E17" s="26">
        <v>22667</v>
      </c>
      <c r="F17" s="27">
        <v>515.72</v>
      </c>
      <c r="G17" s="28">
        <v>2.18E-2</v>
      </c>
      <c r="H17" s="29"/>
    </row>
    <row r="18" spans="2:8" ht="15.75" customHeight="1" x14ac:dyDescent="0.2">
      <c r="B18" s="25" t="s">
        <v>477</v>
      </c>
      <c r="C18" s="25" t="s">
        <v>478</v>
      </c>
      <c r="D18" s="25" t="s">
        <v>138</v>
      </c>
      <c r="E18" s="26">
        <v>24850</v>
      </c>
      <c r="F18" s="27">
        <v>503.41</v>
      </c>
      <c r="G18" s="28">
        <v>2.1299999999999999E-2</v>
      </c>
      <c r="H18" s="29"/>
    </row>
    <row r="19" spans="2:8" ht="15.75" customHeight="1" x14ac:dyDescent="0.2">
      <c r="B19" s="25" t="s">
        <v>256</v>
      </c>
      <c r="C19" s="25" t="s">
        <v>257</v>
      </c>
      <c r="D19" s="25" t="s">
        <v>121</v>
      </c>
      <c r="E19" s="26">
        <v>78315</v>
      </c>
      <c r="F19" s="27">
        <v>502.82</v>
      </c>
      <c r="G19" s="28">
        <v>2.1299999999999999E-2</v>
      </c>
      <c r="H19" s="29"/>
    </row>
    <row r="20" spans="2:8" ht="15.75" customHeight="1" x14ac:dyDescent="0.2">
      <c r="B20" s="25" t="s">
        <v>279</v>
      </c>
      <c r="C20" s="25" t="s">
        <v>280</v>
      </c>
      <c r="D20" s="25" t="s">
        <v>188</v>
      </c>
      <c r="E20" s="26">
        <v>157154</v>
      </c>
      <c r="F20" s="27">
        <v>488.59</v>
      </c>
      <c r="G20" s="28">
        <v>2.07E-2</v>
      </c>
      <c r="H20" s="29"/>
    </row>
    <row r="21" spans="2:8" ht="15.75" customHeight="1" x14ac:dyDescent="0.2">
      <c r="B21" s="25" t="s">
        <v>479</v>
      </c>
      <c r="C21" s="25" t="s">
        <v>480</v>
      </c>
      <c r="D21" s="25" t="s">
        <v>274</v>
      </c>
      <c r="E21" s="26">
        <v>24473</v>
      </c>
      <c r="F21" s="27">
        <v>473.11</v>
      </c>
      <c r="G21" s="28">
        <v>0.02</v>
      </c>
      <c r="H21" s="29"/>
    </row>
    <row r="22" spans="2:8" ht="15.75" customHeight="1" x14ac:dyDescent="0.2">
      <c r="B22" s="25" t="s">
        <v>481</v>
      </c>
      <c r="C22" s="25" t="s">
        <v>482</v>
      </c>
      <c r="D22" s="25" t="s">
        <v>483</v>
      </c>
      <c r="E22" s="26">
        <v>32604</v>
      </c>
      <c r="F22" s="27">
        <v>470.59</v>
      </c>
      <c r="G22" s="28">
        <v>1.9900000000000001E-2</v>
      </c>
      <c r="H22" s="29"/>
    </row>
    <row r="23" spans="2:8" ht="15.75" customHeight="1" x14ac:dyDescent="0.2">
      <c r="B23" s="25" t="s">
        <v>360</v>
      </c>
      <c r="C23" s="25" t="s">
        <v>361</v>
      </c>
      <c r="D23" s="25" t="s">
        <v>226</v>
      </c>
      <c r="E23" s="26">
        <v>45525</v>
      </c>
      <c r="F23" s="27">
        <v>464.51</v>
      </c>
      <c r="G23" s="28">
        <v>1.9699999999999999E-2</v>
      </c>
      <c r="H23" s="29"/>
    </row>
    <row r="24" spans="2:8" ht="15.75" customHeight="1" x14ac:dyDescent="0.2">
      <c r="B24" s="25" t="s">
        <v>484</v>
      </c>
      <c r="C24" s="25" t="s">
        <v>485</v>
      </c>
      <c r="D24" s="25" t="s">
        <v>274</v>
      </c>
      <c r="E24" s="26">
        <v>14429</v>
      </c>
      <c r="F24" s="27">
        <v>462.16</v>
      </c>
      <c r="G24" s="28">
        <v>1.9599999999999999E-2</v>
      </c>
      <c r="H24" s="29"/>
    </row>
    <row r="25" spans="2:8" ht="15.75" customHeight="1" x14ac:dyDescent="0.2">
      <c r="B25" s="25" t="s">
        <v>296</v>
      </c>
      <c r="C25" s="25" t="s">
        <v>297</v>
      </c>
      <c r="D25" s="25" t="s">
        <v>298</v>
      </c>
      <c r="E25" s="26">
        <v>29186</v>
      </c>
      <c r="F25" s="27">
        <v>448.53</v>
      </c>
      <c r="G25" s="28">
        <v>1.9E-2</v>
      </c>
      <c r="H25" s="29"/>
    </row>
    <row r="26" spans="2:8" ht="15.75" customHeight="1" x14ac:dyDescent="0.2">
      <c r="B26" s="25" t="s">
        <v>337</v>
      </c>
      <c r="C26" s="25" t="s">
        <v>338</v>
      </c>
      <c r="D26" s="25" t="s">
        <v>298</v>
      </c>
      <c r="E26" s="26">
        <v>36000</v>
      </c>
      <c r="F26" s="27">
        <v>445.81</v>
      </c>
      <c r="G26" s="28">
        <v>1.89E-2</v>
      </c>
      <c r="H26" s="29"/>
    </row>
    <row r="27" spans="2:8" ht="15.75" customHeight="1" x14ac:dyDescent="0.2">
      <c r="B27" s="25" t="s">
        <v>486</v>
      </c>
      <c r="C27" s="25" t="s">
        <v>487</v>
      </c>
      <c r="D27" s="25" t="s">
        <v>188</v>
      </c>
      <c r="E27" s="26">
        <v>44853</v>
      </c>
      <c r="F27" s="27">
        <v>438.82</v>
      </c>
      <c r="G27" s="28">
        <v>1.8599999999999998E-2</v>
      </c>
      <c r="H27" s="29"/>
    </row>
    <row r="28" spans="2:8" ht="15.75" customHeight="1" x14ac:dyDescent="0.2">
      <c r="B28" s="25" t="s">
        <v>488</v>
      </c>
      <c r="C28" s="25" t="s">
        <v>489</v>
      </c>
      <c r="D28" s="25" t="s">
        <v>431</v>
      </c>
      <c r="E28" s="26">
        <v>240000</v>
      </c>
      <c r="F28" s="27">
        <v>435.72</v>
      </c>
      <c r="G28" s="28">
        <v>1.8499999999999999E-2</v>
      </c>
      <c r="H28" s="29"/>
    </row>
    <row r="29" spans="2:8" ht="15.75" customHeight="1" x14ac:dyDescent="0.2">
      <c r="B29" s="25" t="s">
        <v>490</v>
      </c>
      <c r="C29" s="25" t="s">
        <v>491</v>
      </c>
      <c r="D29" s="25" t="s">
        <v>274</v>
      </c>
      <c r="E29" s="26">
        <v>16916</v>
      </c>
      <c r="F29" s="27">
        <v>434.5</v>
      </c>
      <c r="G29" s="28">
        <v>1.84E-2</v>
      </c>
      <c r="H29" s="29"/>
    </row>
    <row r="30" spans="2:8" ht="15.75" customHeight="1" x14ac:dyDescent="0.2">
      <c r="B30" s="25" t="s">
        <v>323</v>
      </c>
      <c r="C30" s="25" t="s">
        <v>324</v>
      </c>
      <c r="D30" s="25" t="s">
        <v>167</v>
      </c>
      <c r="E30" s="26">
        <v>342902</v>
      </c>
      <c r="F30" s="27">
        <v>424.17</v>
      </c>
      <c r="G30" s="28">
        <v>1.7999999999999999E-2</v>
      </c>
      <c r="H30" s="29"/>
    </row>
    <row r="31" spans="2:8" ht="15.75" customHeight="1" x14ac:dyDescent="0.2">
      <c r="B31" s="25" t="s">
        <v>492</v>
      </c>
      <c r="C31" s="25" t="s">
        <v>493</v>
      </c>
      <c r="D31" s="25" t="s">
        <v>298</v>
      </c>
      <c r="E31" s="26">
        <v>22151</v>
      </c>
      <c r="F31" s="27">
        <v>422.54</v>
      </c>
      <c r="G31" s="28">
        <v>1.7899999999999999E-2</v>
      </c>
      <c r="H31" s="29"/>
    </row>
    <row r="32" spans="2:8" ht="15.75" customHeight="1" x14ac:dyDescent="0.2">
      <c r="B32" s="25" t="s">
        <v>494</v>
      </c>
      <c r="C32" s="25" t="s">
        <v>495</v>
      </c>
      <c r="D32" s="25" t="s">
        <v>167</v>
      </c>
      <c r="E32" s="26">
        <v>8219</v>
      </c>
      <c r="F32" s="27">
        <v>422.47</v>
      </c>
      <c r="G32" s="28">
        <v>1.7899999999999999E-2</v>
      </c>
      <c r="H32" s="29"/>
    </row>
    <row r="33" spans="2:8" ht="15.75" customHeight="1" x14ac:dyDescent="0.2">
      <c r="B33" s="25" t="s">
        <v>162</v>
      </c>
      <c r="C33" s="25" t="s">
        <v>163</v>
      </c>
      <c r="D33" s="25" t="s">
        <v>164</v>
      </c>
      <c r="E33" s="26">
        <v>96224</v>
      </c>
      <c r="F33" s="27">
        <v>421.8</v>
      </c>
      <c r="G33" s="28">
        <v>1.7899999999999999E-2</v>
      </c>
      <c r="H33" s="29"/>
    </row>
    <row r="34" spans="2:8" ht="15.75" customHeight="1" x14ac:dyDescent="0.2">
      <c r="B34" s="25" t="s">
        <v>496</v>
      </c>
      <c r="C34" s="25" t="s">
        <v>497</v>
      </c>
      <c r="D34" s="25" t="s">
        <v>345</v>
      </c>
      <c r="E34" s="26">
        <v>47706</v>
      </c>
      <c r="F34" s="27">
        <v>410.1</v>
      </c>
      <c r="G34" s="28">
        <v>1.7399999999999999E-2</v>
      </c>
      <c r="H34" s="29"/>
    </row>
    <row r="35" spans="2:8" ht="15.75" customHeight="1" x14ac:dyDescent="0.2">
      <c r="B35" s="25" t="s">
        <v>498</v>
      </c>
      <c r="C35" s="25" t="s">
        <v>499</v>
      </c>
      <c r="D35" s="25" t="s">
        <v>176</v>
      </c>
      <c r="E35" s="26">
        <v>32538</v>
      </c>
      <c r="F35" s="27">
        <v>409.91</v>
      </c>
      <c r="G35" s="28">
        <v>1.7399999999999999E-2</v>
      </c>
      <c r="H35" s="29"/>
    </row>
    <row r="36" spans="2:8" ht="15.75" customHeight="1" x14ac:dyDescent="0.2">
      <c r="B36" s="25" t="s">
        <v>442</v>
      </c>
      <c r="C36" s="25" t="s">
        <v>443</v>
      </c>
      <c r="D36" s="25" t="s">
        <v>173</v>
      </c>
      <c r="E36" s="26">
        <v>156384</v>
      </c>
      <c r="F36" s="27">
        <v>393.38</v>
      </c>
      <c r="G36" s="28">
        <v>1.67E-2</v>
      </c>
      <c r="H36" s="29"/>
    </row>
    <row r="37" spans="2:8" ht="15.75" customHeight="1" x14ac:dyDescent="0.2">
      <c r="B37" s="25" t="s">
        <v>500</v>
      </c>
      <c r="C37" s="25" t="s">
        <v>501</v>
      </c>
      <c r="D37" s="25" t="s">
        <v>161</v>
      </c>
      <c r="E37" s="26">
        <v>96192</v>
      </c>
      <c r="F37" s="27">
        <v>388.66</v>
      </c>
      <c r="G37" s="28">
        <v>1.6500000000000001E-2</v>
      </c>
      <c r="H37" s="29"/>
    </row>
    <row r="38" spans="2:8" ht="15.75" customHeight="1" x14ac:dyDescent="0.2">
      <c r="B38" s="25" t="s">
        <v>444</v>
      </c>
      <c r="C38" s="25" t="s">
        <v>445</v>
      </c>
      <c r="D38" s="25" t="s">
        <v>202</v>
      </c>
      <c r="E38" s="26">
        <v>40692</v>
      </c>
      <c r="F38" s="27">
        <v>380</v>
      </c>
      <c r="G38" s="28">
        <v>1.61E-2</v>
      </c>
      <c r="H38" s="29"/>
    </row>
    <row r="39" spans="2:8" ht="15.75" customHeight="1" x14ac:dyDescent="0.2">
      <c r="B39" s="25" t="s">
        <v>502</v>
      </c>
      <c r="C39" s="25" t="s">
        <v>503</v>
      </c>
      <c r="D39" s="25" t="s">
        <v>504</v>
      </c>
      <c r="E39" s="26">
        <v>1006</v>
      </c>
      <c r="F39" s="27">
        <v>375.33</v>
      </c>
      <c r="G39" s="28">
        <v>1.5900000000000001E-2</v>
      </c>
      <c r="H39" s="29"/>
    </row>
    <row r="40" spans="2:8" ht="15.75" customHeight="1" x14ac:dyDescent="0.2">
      <c r="B40" s="25" t="s">
        <v>505</v>
      </c>
      <c r="C40" s="25" t="s">
        <v>506</v>
      </c>
      <c r="D40" s="25" t="s">
        <v>404</v>
      </c>
      <c r="E40" s="26">
        <v>43414</v>
      </c>
      <c r="F40" s="27">
        <v>358.08</v>
      </c>
      <c r="G40" s="28">
        <v>1.52E-2</v>
      </c>
      <c r="H40" s="29"/>
    </row>
    <row r="41" spans="2:8" ht="15.75" customHeight="1" x14ac:dyDescent="0.2">
      <c r="B41" s="25" t="s">
        <v>382</v>
      </c>
      <c r="C41" s="25" t="s">
        <v>383</v>
      </c>
      <c r="D41" s="25" t="s">
        <v>176</v>
      </c>
      <c r="E41" s="26">
        <v>23590</v>
      </c>
      <c r="F41" s="27">
        <v>348.26</v>
      </c>
      <c r="G41" s="28">
        <v>1.4800000000000001E-2</v>
      </c>
      <c r="H41" s="29"/>
    </row>
    <row r="42" spans="2:8" ht="15.75" customHeight="1" x14ac:dyDescent="0.2">
      <c r="B42" s="25" t="s">
        <v>405</v>
      </c>
      <c r="C42" s="25" t="s">
        <v>406</v>
      </c>
      <c r="D42" s="25" t="s">
        <v>161</v>
      </c>
      <c r="E42" s="26">
        <v>27611</v>
      </c>
      <c r="F42" s="27">
        <v>345.59</v>
      </c>
      <c r="G42" s="28">
        <v>1.46E-2</v>
      </c>
      <c r="H42" s="29"/>
    </row>
    <row r="43" spans="2:8" ht="15.75" customHeight="1" x14ac:dyDescent="0.2">
      <c r="B43" s="25" t="s">
        <v>507</v>
      </c>
      <c r="C43" s="25" t="s">
        <v>508</v>
      </c>
      <c r="D43" s="25" t="s">
        <v>298</v>
      </c>
      <c r="E43" s="26">
        <v>7568</v>
      </c>
      <c r="F43" s="27">
        <v>343.81</v>
      </c>
      <c r="G43" s="28">
        <v>1.46E-2</v>
      </c>
      <c r="H43" s="29"/>
    </row>
    <row r="44" spans="2:8" ht="15.75" customHeight="1" x14ac:dyDescent="0.2">
      <c r="B44" s="25" t="s">
        <v>238</v>
      </c>
      <c r="C44" s="25" t="s">
        <v>239</v>
      </c>
      <c r="D44" s="25" t="s">
        <v>176</v>
      </c>
      <c r="E44" s="26">
        <v>34708</v>
      </c>
      <c r="F44" s="27">
        <v>323.27</v>
      </c>
      <c r="G44" s="28">
        <v>1.37E-2</v>
      </c>
      <c r="H44" s="29"/>
    </row>
    <row r="45" spans="2:8" ht="15.75" customHeight="1" x14ac:dyDescent="0.2">
      <c r="B45" s="25" t="s">
        <v>509</v>
      </c>
      <c r="C45" s="25" t="s">
        <v>510</v>
      </c>
      <c r="D45" s="25" t="s">
        <v>188</v>
      </c>
      <c r="E45" s="26">
        <v>25120</v>
      </c>
      <c r="F45" s="27">
        <v>319.58</v>
      </c>
      <c r="G45" s="28">
        <v>1.35E-2</v>
      </c>
      <c r="H45" s="29"/>
    </row>
    <row r="46" spans="2:8" ht="15.75" customHeight="1" x14ac:dyDescent="0.2">
      <c r="B46" s="25" t="s">
        <v>339</v>
      </c>
      <c r="C46" s="25" t="s">
        <v>340</v>
      </c>
      <c r="D46" s="25" t="s">
        <v>164</v>
      </c>
      <c r="E46" s="26">
        <v>55047</v>
      </c>
      <c r="F46" s="27">
        <v>311.04000000000002</v>
      </c>
      <c r="G46" s="28">
        <v>1.32E-2</v>
      </c>
      <c r="H46" s="29"/>
    </row>
    <row r="47" spans="2:8" ht="15.75" customHeight="1" x14ac:dyDescent="0.2">
      <c r="B47" s="25" t="s">
        <v>511</v>
      </c>
      <c r="C47" s="25" t="s">
        <v>512</v>
      </c>
      <c r="D47" s="25" t="s">
        <v>176</v>
      </c>
      <c r="E47" s="26">
        <v>72213</v>
      </c>
      <c r="F47" s="27">
        <v>298.13</v>
      </c>
      <c r="G47" s="28">
        <v>1.26E-2</v>
      </c>
      <c r="H47" s="29"/>
    </row>
    <row r="48" spans="2:8" ht="15.75" customHeight="1" x14ac:dyDescent="0.2">
      <c r="B48" s="25" t="s">
        <v>513</v>
      </c>
      <c r="C48" s="25" t="s">
        <v>514</v>
      </c>
      <c r="D48" s="25" t="s">
        <v>274</v>
      </c>
      <c r="E48" s="26">
        <v>61154</v>
      </c>
      <c r="F48" s="27">
        <v>277.67</v>
      </c>
      <c r="G48" s="28">
        <v>1.18E-2</v>
      </c>
      <c r="H48" s="29"/>
    </row>
    <row r="49" spans="2:8" ht="15.75" customHeight="1" x14ac:dyDescent="0.2">
      <c r="B49" s="25" t="s">
        <v>515</v>
      </c>
      <c r="C49" s="25" t="s">
        <v>516</v>
      </c>
      <c r="D49" s="25" t="s">
        <v>124</v>
      </c>
      <c r="E49" s="26">
        <v>2876</v>
      </c>
      <c r="F49" s="27">
        <v>251.75</v>
      </c>
      <c r="G49" s="28">
        <v>1.0699999999999999E-2</v>
      </c>
      <c r="H49" s="29"/>
    </row>
    <row r="50" spans="2:8" ht="15.75" customHeight="1" x14ac:dyDescent="0.2">
      <c r="B50" s="25" t="s">
        <v>467</v>
      </c>
      <c r="C50" s="25" t="s">
        <v>468</v>
      </c>
      <c r="D50" s="25" t="s">
        <v>194</v>
      </c>
      <c r="E50" s="26">
        <v>55991</v>
      </c>
      <c r="F50" s="27">
        <v>240.87</v>
      </c>
      <c r="G50" s="28">
        <v>1.0200000000000001E-2</v>
      </c>
      <c r="H50" s="29"/>
    </row>
    <row r="51" spans="2:8" ht="15.75" customHeight="1" x14ac:dyDescent="0.2">
      <c r="B51" s="25" t="s">
        <v>335</v>
      </c>
      <c r="C51" s="25" t="s">
        <v>336</v>
      </c>
      <c r="D51" s="25" t="s">
        <v>164</v>
      </c>
      <c r="E51" s="26">
        <v>26730</v>
      </c>
      <c r="F51" s="27">
        <v>237.23</v>
      </c>
      <c r="G51" s="28">
        <v>1.01E-2</v>
      </c>
      <c r="H51" s="29"/>
    </row>
    <row r="52" spans="2:8" ht="15.75" customHeight="1" x14ac:dyDescent="0.2">
      <c r="B52" s="25" t="s">
        <v>517</v>
      </c>
      <c r="C52" s="25" t="s">
        <v>518</v>
      </c>
      <c r="D52" s="25" t="s">
        <v>226</v>
      </c>
      <c r="E52" s="26">
        <v>10330</v>
      </c>
      <c r="F52" s="27">
        <v>228.42</v>
      </c>
      <c r="G52" s="28">
        <v>9.7000000000000003E-3</v>
      </c>
      <c r="H52" s="29"/>
    </row>
    <row r="53" spans="2:8" ht="15.75" customHeight="1" x14ac:dyDescent="0.2">
      <c r="B53" s="25" t="s">
        <v>270</v>
      </c>
      <c r="C53" s="25" t="s">
        <v>271</v>
      </c>
      <c r="D53" s="25" t="s">
        <v>176</v>
      </c>
      <c r="E53" s="26">
        <v>10657</v>
      </c>
      <c r="F53" s="27">
        <v>218.82</v>
      </c>
      <c r="G53" s="28">
        <v>9.2999999999999992E-3</v>
      </c>
      <c r="H53" s="29"/>
    </row>
    <row r="54" spans="2:8" ht="15.75" customHeight="1" x14ac:dyDescent="0.2">
      <c r="B54" s="25" t="s">
        <v>519</v>
      </c>
      <c r="C54" s="25" t="s">
        <v>520</v>
      </c>
      <c r="D54" s="25" t="s">
        <v>292</v>
      </c>
      <c r="E54" s="26">
        <v>570</v>
      </c>
      <c r="F54" s="27">
        <v>210.03</v>
      </c>
      <c r="G54" s="28">
        <v>8.8999999999999999E-3</v>
      </c>
      <c r="H54" s="29"/>
    </row>
    <row r="55" spans="2:8" ht="15.75" customHeight="1" x14ac:dyDescent="0.2">
      <c r="B55" s="25" t="s">
        <v>521</v>
      </c>
      <c r="C55" s="25" t="s">
        <v>522</v>
      </c>
      <c r="D55" s="25" t="s">
        <v>167</v>
      </c>
      <c r="E55" s="26">
        <v>74612</v>
      </c>
      <c r="F55" s="27">
        <v>205.18</v>
      </c>
      <c r="G55" s="28">
        <v>8.6999999999999994E-3</v>
      </c>
      <c r="H55" s="29"/>
    </row>
    <row r="56" spans="2:8" ht="15.75" customHeight="1" x14ac:dyDescent="0.2">
      <c r="B56" s="25" t="s">
        <v>523</v>
      </c>
      <c r="C56" s="25" t="s">
        <v>524</v>
      </c>
      <c r="D56" s="25" t="s">
        <v>191</v>
      </c>
      <c r="E56" s="26">
        <v>513587</v>
      </c>
      <c r="F56" s="27">
        <v>196.19</v>
      </c>
      <c r="G56" s="28">
        <v>8.3000000000000001E-3</v>
      </c>
      <c r="H56" s="29"/>
    </row>
    <row r="57" spans="2:8" ht="15.75" customHeight="1" x14ac:dyDescent="0.2">
      <c r="B57" s="25" t="s">
        <v>350</v>
      </c>
      <c r="C57" s="25" t="s">
        <v>351</v>
      </c>
      <c r="D57" s="25" t="s">
        <v>298</v>
      </c>
      <c r="E57" s="26">
        <v>5921</v>
      </c>
      <c r="F57" s="27">
        <v>192.4</v>
      </c>
      <c r="G57" s="28">
        <v>8.2000000000000007E-3</v>
      </c>
      <c r="H57" s="29"/>
    </row>
    <row r="58" spans="2:8" ht="15.75" customHeight="1" x14ac:dyDescent="0.2">
      <c r="B58" s="25" t="s">
        <v>525</v>
      </c>
      <c r="C58" s="25" t="s">
        <v>526</v>
      </c>
      <c r="D58" s="25" t="s">
        <v>298</v>
      </c>
      <c r="E58" s="26">
        <v>2613</v>
      </c>
      <c r="F58" s="27">
        <v>143.32</v>
      </c>
      <c r="G58" s="28">
        <v>6.1000000000000004E-3</v>
      </c>
      <c r="H58" s="29"/>
    </row>
    <row r="59" spans="2:8" ht="15.75" customHeight="1" x14ac:dyDescent="0.2">
      <c r="B59" s="25" t="s">
        <v>299</v>
      </c>
      <c r="C59" s="25" t="s">
        <v>300</v>
      </c>
      <c r="D59" s="25" t="s">
        <v>301</v>
      </c>
      <c r="E59" s="26">
        <v>9468</v>
      </c>
      <c r="F59" s="27">
        <v>113.61</v>
      </c>
      <c r="G59" s="28">
        <v>4.7999999999999996E-3</v>
      </c>
      <c r="H59" s="29"/>
    </row>
    <row r="60" spans="2:8" ht="15.75" customHeight="1" x14ac:dyDescent="0.2">
      <c r="B60" s="24" t="s">
        <v>93</v>
      </c>
      <c r="C60" s="24"/>
      <c r="D60" s="24"/>
      <c r="E60" s="30"/>
      <c r="F60" s="31">
        <v>22454.6</v>
      </c>
      <c r="G60" s="32">
        <v>0.95130000000000003</v>
      </c>
      <c r="H60" s="33"/>
    </row>
    <row r="61" spans="2:8" ht="15.75" customHeight="1" x14ac:dyDescent="0.2">
      <c r="B61" s="24" t="s">
        <v>141</v>
      </c>
      <c r="C61" s="25"/>
      <c r="D61" s="25"/>
      <c r="E61" s="26"/>
      <c r="F61" s="27"/>
      <c r="G61" s="28"/>
      <c r="H61" s="29"/>
    </row>
    <row r="62" spans="2:8" ht="15.75" customHeight="1" x14ac:dyDescent="0.2">
      <c r="B62" s="24" t="s">
        <v>93</v>
      </c>
      <c r="C62" s="25"/>
      <c r="D62" s="25"/>
      <c r="E62" s="26"/>
      <c r="F62" s="34" t="s">
        <v>95</v>
      </c>
      <c r="G62" s="35" t="s">
        <v>95</v>
      </c>
      <c r="H62" s="29"/>
    </row>
    <row r="63" spans="2:8" ht="15.75" customHeight="1" x14ac:dyDescent="0.2">
      <c r="B63" s="25"/>
      <c r="C63" s="25"/>
      <c r="D63" s="25"/>
      <c r="E63" s="26"/>
      <c r="F63" s="27"/>
      <c r="G63" s="28"/>
      <c r="H63" s="29"/>
    </row>
    <row r="64" spans="2:8" ht="15.75" customHeight="1" x14ac:dyDescent="0.2">
      <c r="B64" s="36" t="s">
        <v>97</v>
      </c>
      <c r="C64" s="36"/>
      <c r="D64" s="36"/>
      <c r="E64" s="37"/>
      <c r="F64" s="31">
        <v>22454.6</v>
      </c>
      <c r="G64" s="32">
        <v>0.95130000000000003</v>
      </c>
      <c r="H64" s="33"/>
    </row>
    <row r="65" spans="2:12" ht="15.75" customHeight="1" x14ac:dyDescent="0.2">
      <c r="B65" s="25"/>
      <c r="C65" s="25"/>
      <c r="D65" s="25"/>
      <c r="E65" s="26"/>
      <c r="F65" s="27"/>
      <c r="G65" s="28"/>
      <c r="H65" s="29"/>
    </row>
    <row r="66" spans="2:12" ht="15.75" customHeight="1" x14ac:dyDescent="0.2">
      <c r="B66" s="25"/>
      <c r="C66" s="25"/>
      <c r="D66" s="25"/>
      <c r="E66" s="26"/>
      <c r="F66" s="27"/>
      <c r="G66" s="28"/>
      <c r="H66" s="29"/>
    </row>
    <row r="67" spans="2:12" ht="15.75" customHeight="1" x14ac:dyDescent="0.2">
      <c r="B67" s="24" t="s">
        <v>100</v>
      </c>
      <c r="C67" s="25"/>
      <c r="D67" s="25"/>
      <c r="E67" s="26"/>
      <c r="F67" s="27"/>
      <c r="G67" s="28"/>
      <c r="H67" s="29"/>
    </row>
    <row r="68" spans="2:12" ht="15.75" customHeight="1" x14ac:dyDescent="0.2">
      <c r="B68" s="25" t="s">
        <v>101</v>
      </c>
      <c r="C68" s="25"/>
      <c r="D68" s="25"/>
      <c r="E68" s="26"/>
      <c r="F68" s="27">
        <v>1231.19</v>
      </c>
      <c r="G68" s="28">
        <v>5.2200000000000003E-2</v>
      </c>
      <c r="H68" s="29"/>
      <c r="L68" s="3"/>
    </row>
    <row r="69" spans="2:12" ht="15.75" customHeight="1" x14ac:dyDescent="0.2">
      <c r="B69" s="24" t="s">
        <v>93</v>
      </c>
      <c r="C69" s="24"/>
      <c r="D69" s="24"/>
      <c r="E69" s="30"/>
      <c r="F69" s="31">
        <v>1231.19</v>
      </c>
      <c r="G69" s="32">
        <v>5.2200000000000003E-2</v>
      </c>
      <c r="H69" s="33"/>
    </row>
    <row r="70" spans="2:12" ht="15.75" customHeight="1" x14ac:dyDescent="0.2">
      <c r="B70" s="25"/>
      <c r="C70" s="25"/>
      <c r="D70" s="25"/>
      <c r="E70" s="26"/>
      <c r="F70" s="27"/>
      <c r="G70" s="28"/>
      <c r="H70" s="29"/>
      <c r="L70" s="3"/>
    </row>
    <row r="71" spans="2:12" ht="15.75" customHeight="1" x14ac:dyDescent="0.2">
      <c r="B71" s="36" t="s">
        <v>97</v>
      </c>
      <c r="C71" s="36"/>
      <c r="D71" s="36"/>
      <c r="E71" s="37"/>
      <c r="F71" s="31">
        <v>1231.19</v>
      </c>
      <c r="G71" s="32">
        <v>5.2200000000000003E-2</v>
      </c>
      <c r="H71" s="33"/>
      <c r="L71" s="3"/>
    </row>
    <row r="72" spans="2:12" ht="15.75" customHeight="1" x14ac:dyDescent="0.2">
      <c r="B72" s="25" t="s">
        <v>102</v>
      </c>
      <c r="C72" s="25"/>
      <c r="D72" s="25"/>
      <c r="E72" s="26"/>
      <c r="F72" s="38">
        <v>-81.73</v>
      </c>
      <c r="G72" s="39">
        <v>-3.5000000000000586E-3</v>
      </c>
      <c r="H72" s="29"/>
      <c r="L72" s="3"/>
    </row>
    <row r="73" spans="2:12" ht="15.75" customHeight="1" x14ac:dyDescent="0.2">
      <c r="B73" s="40" t="s">
        <v>103</v>
      </c>
      <c r="C73" s="40"/>
      <c r="D73" s="40"/>
      <c r="E73" s="41"/>
      <c r="F73" s="42">
        <v>23604.06</v>
      </c>
      <c r="G73" s="43">
        <v>1</v>
      </c>
      <c r="H73" s="44"/>
      <c r="L73" s="3"/>
    </row>
    <row r="74" spans="2:12" ht="15.75" customHeight="1" thickBot="1" x14ac:dyDescent="0.25">
      <c r="B74" s="2"/>
      <c r="L74" s="3"/>
    </row>
    <row r="75" spans="2:12" ht="27" customHeight="1" thickBot="1" x14ac:dyDescent="0.25">
      <c r="B75" s="57" t="s">
        <v>806</v>
      </c>
      <c r="C75" s="58" t="s">
        <v>807</v>
      </c>
      <c r="D75" s="58" t="s">
        <v>808</v>
      </c>
      <c r="E75" s="59" t="s">
        <v>809</v>
      </c>
      <c r="G75" s="2"/>
      <c r="H75" s="2"/>
    </row>
    <row r="76" spans="2:12" ht="29.25" customHeight="1" x14ac:dyDescent="0.2">
      <c r="B76" s="71" t="s">
        <v>840</v>
      </c>
      <c r="C76" s="83"/>
      <c r="D76" s="86" t="s">
        <v>841</v>
      </c>
      <c r="E76" s="88"/>
      <c r="G76" s="2"/>
      <c r="H76" s="2"/>
    </row>
    <row r="77" spans="2:12" ht="39.950000000000003" customHeight="1" x14ac:dyDescent="0.2">
      <c r="B77" s="61" t="s">
        <v>836</v>
      </c>
      <c r="C77" s="84"/>
      <c r="D77" s="87"/>
      <c r="E77" s="84"/>
      <c r="G77" s="2"/>
      <c r="H77" s="2"/>
    </row>
    <row r="78" spans="2:12" ht="39.950000000000003" customHeight="1" x14ac:dyDescent="0.2">
      <c r="B78" s="61" t="s">
        <v>842</v>
      </c>
      <c r="C78" s="84"/>
      <c r="D78" s="87"/>
      <c r="E78" s="84"/>
      <c r="G78" s="2"/>
      <c r="H78" s="2"/>
    </row>
    <row r="79" spans="2:12" ht="23.25" customHeight="1" thickBot="1" x14ac:dyDescent="0.25">
      <c r="B79" s="62" t="s">
        <v>826</v>
      </c>
      <c r="C79" s="85"/>
      <c r="D79" s="70" t="s">
        <v>826</v>
      </c>
      <c r="E79" s="89"/>
      <c r="G79" s="2"/>
      <c r="H79" s="2"/>
    </row>
    <row r="80" spans="2:12" ht="24.95" customHeight="1" x14ac:dyDescent="0.2">
      <c r="B80" s="64" t="s">
        <v>815</v>
      </c>
      <c r="C80" s="65"/>
      <c r="D80" s="66"/>
      <c r="E80" s="67"/>
      <c r="G80" s="2"/>
      <c r="H80" s="2"/>
    </row>
    <row r="82" spans="2:16" ht="12" x14ac:dyDescent="0.2">
      <c r="B82" s="2" t="s">
        <v>816</v>
      </c>
      <c r="C82" s="2"/>
      <c r="D82" s="2"/>
      <c r="G82" s="2"/>
      <c r="H82" s="2"/>
    </row>
    <row r="83" spans="2:16" ht="12" x14ac:dyDescent="0.2">
      <c r="B83" s="3" t="s">
        <v>817</v>
      </c>
      <c r="C83" s="2"/>
      <c r="D83" s="2"/>
      <c r="G83" s="2"/>
      <c r="H83" s="2"/>
    </row>
    <row r="84" spans="2:16" ht="15.75" customHeight="1" x14ac:dyDescent="0.2">
      <c r="L84" s="7"/>
      <c r="M84" s="7"/>
      <c r="N84" s="7"/>
      <c r="O84" s="7"/>
      <c r="P84" s="7"/>
    </row>
    <row r="86" spans="2:16" ht="15.75" customHeight="1" x14ac:dyDescent="0.2">
      <c r="L86" s="3"/>
    </row>
  </sheetData>
  <mergeCells count="3">
    <mergeCell ref="C76:C79"/>
    <mergeCell ref="D76:D78"/>
    <mergeCell ref="E76:E79"/>
  </mergeCells>
  <hyperlinks>
    <hyperlink ref="I1" location="'Sheet1'!A1" display="Index" xr:uid="{C3074F2F-24B0-4502-95F4-4C20A1404A1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49DE-AC42-42E8-815B-6B5949DC8C68}">
  <dimension ref="B1:P99"/>
  <sheetViews>
    <sheetView topLeftCell="A83" workbookViewId="0">
      <selection activeCell="B95" sqref="B95"/>
    </sheetView>
  </sheetViews>
  <sheetFormatPr defaultColWidth="9.140625" defaultRowHeight="15.75" customHeight="1" x14ac:dyDescent="0.2"/>
  <cols>
    <col min="1" max="1" width="3.5703125" style="2" customWidth="1"/>
    <col min="2" max="2" width="43.5703125" style="9" bestFit="1" customWidth="1"/>
    <col min="3" max="3" width="27.42578125" style="9" customWidth="1"/>
    <col min="4" max="4" width="33.42578125" style="9" bestFit="1" customWidth="1"/>
    <col min="5" max="5" width="24.28515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902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210</v>
      </c>
      <c r="C7" s="25" t="s">
        <v>211</v>
      </c>
      <c r="D7" s="25" t="s">
        <v>170</v>
      </c>
      <c r="E7" s="26">
        <v>49500</v>
      </c>
      <c r="F7" s="27">
        <v>69.099999999999994</v>
      </c>
      <c r="G7" s="28">
        <v>6.3500000000000001E-2</v>
      </c>
      <c r="H7" s="29"/>
    </row>
    <row r="8" spans="2:9" ht="15.75" customHeight="1" x14ac:dyDescent="0.2">
      <c r="B8" s="25" t="s">
        <v>119</v>
      </c>
      <c r="C8" s="25" t="s">
        <v>120</v>
      </c>
      <c r="D8" s="25" t="s">
        <v>121</v>
      </c>
      <c r="E8" s="26">
        <v>5847</v>
      </c>
      <c r="F8" s="27">
        <v>58.27</v>
      </c>
      <c r="G8" s="28">
        <v>5.3600000000000002E-2</v>
      </c>
      <c r="H8" s="29"/>
    </row>
    <row r="9" spans="2:9" ht="15.75" customHeight="1" x14ac:dyDescent="0.2">
      <c r="B9" s="25" t="s">
        <v>227</v>
      </c>
      <c r="C9" s="25" t="s">
        <v>228</v>
      </c>
      <c r="D9" s="25" t="s">
        <v>124</v>
      </c>
      <c r="E9" s="26">
        <v>1400</v>
      </c>
      <c r="F9" s="27">
        <v>53.11</v>
      </c>
      <c r="G9" s="28">
        <v>4.8800000000000003E-2</v>
      </c>
      <c r="H9" s="29"/>
    </row>
    <row r="10" spans="2:9" ht="15.75" customHeight="1" x14ac:dyDescent="0.2">
      <c r="B10" s="25" t="s">
        <v>125</v>
      </c>
      <c r="C10" s="25" t="s">
        <v>126</v>
      </c>
      <c r="D10" s="25" t="s">
        <v>121</v>
      </c>
      <c r="E10" s="26">
        <v>2844</v>
      </c>
      <c r="F10" s="27">
        <v>48.61</v>
      </c>
      <c r="G10" s="28">
        <v>4.4699999999999997E-2</v>
      </c>
      <c r="H10" s="29"/>
    </row>
    <row r="11" spans="2:9" ht="15.75" customHeight="1" x14ac:dyDescent="0.2">
      <c r="B11" s="25" t="s">
        <v>256</v>
      </c>
      <c r="C11" s="25" t="s">
        <v>257</v>
      </c>
      <c r="D11" s="25" t="s">
        <v>121</v>
      </c>
      <c r="E11" s="26">
        <v>6008</v>
      </c>
      <c r="F11" s="27">
        <v>38.57</v>
      </c>
      <c r="G11" s="28">
        <v>3.5499999999999997E-2</v>
      </c>
      <c r="H11" s="29"/>
    </row>
    <row r="12" spans="2:9" ht="15.75" customHeight="1" x14ac:dyDescent="0.2">
      <c r="B12" s="25" t="s">
        <v>262</v>
      </c>
      <c r="C12" s="25" t="s">
        <v>263</v>
      </c>
      <c r="D12" s="25" t="s">
        <v>124</v>
      </c>
      <c r="E12" s="26">
        <v>2135</v>
      </c>
      <c r="F12" s="27">
        <v>31.3</v>
      </c>
      <c r="G12" s="28">
        <v>2.8799999999999999E-2</v>
      </c>
      <c r="H12" s="29"/>
    </row>
    <row r="13" spans="2:9" ht="15.75" customHeight="1" x14ac:dyDescent="0.2">
      <c r="B13" s="25" t="s">
        <v>184</v>
      </c>
      <c r="C13" s="25" t="s">
        <v>185</v>
      </c>
      <c r="D13" s="25" t="s">
        <v>121</v>
      </c>
      <c r="E13" s="26">
        <v>1600</v>
      </c>
      <c r="F13" s="27">
        <v>30.53</v>
      </c>
      <c r="G13" s="28">
        <v>2.81E-2</v>
      </c>
      <c r="H13" s="29"/>
    </row>
    <row r="14" spans="2:9" ht="15.75" customHeight="1" x14ac:dyDescent="0.2">
      <c r="B14" s="25" t="s">
        <v>258</v>
      </c>
      <c r="C14" s="25" t="s">
        <v>259</v>
      </c>
      <c r="D14" s="25" t="s">
        <v>121</v>
      </c>
      <c r="E14" s="26">
        <v>2500</v>
      </c>
      <c r="F14" s="27">
        <v>27.56</v>
      </c>
      <c r="G14" s="28">
        <v>2.53E-2</v>
      </c>
      <c r="H14" s="29"/>
    </row>
    <row r="15" spans="2:9" ht="15.75" customHeight="1" x14ac:dyDescent="0.2">
      <c r="B15" s="25" t="s">
        <v>268</v>
      </c>
      <c r="C15" s="25" t="s">
        <v>269</v>
      </c>
      <c r="D15" s="25" t="s">
        <v>194</v>
      </c>
      <c r="E15" s="26">
        <v>2100</v>
      </c>
      <c r="F15" s="27">
        <v>26.45</v>
      </c>
      <c r="G15" s="28">
        <v>2.4299999999999999E-2</v>
      </c>
      <c r="H15" s="29"/>
    </row>
    <row r="16" spans="2:9" ht="15.75" customHeight="1" x14ac:dyDescent="0.2">
      <c r="B16" s="25" t="s">
        <v>224</v>
      </c>
      <c r="C16" s="25" t="s">
        <v>225</v>
      </c>
      <c r="D16" s="25" t="s">
        <v>226</v>
      </c>
      <c r="E16" s="26">
        <v>1193</v>
      </c>
      <c r="F16" s="27">
        <v>25.47</v>
      </c>
      <c r="G16" s="28">
        <v>2.3400000000000001E-2</v>
      </c>
      <c r="H16" s="29"/>
    </row>
    <row r="17" spans="2:8" ht="15.75" customHeight="1" x14ac:dyDescent="0.2">
      <c r="B17" s="25" t="s">
        <v>527</v>
      </c>
      <c r="C17" s="25" t="s">
        <v>528</v>
      </c>
      <c r="D17" s="25" t="s">
        <v>121</v>
      </c>
      <c r="E17" s="26">
        <v>5400</v>
      </c>
      <c r="F17" s="27">
        <v>23.63</v>
      </c>
      <c r="G17" s="28">
        <v>2.1700000000000001E-2</v>
      </c>
      <c r="H17" s="29"/>
    </row>
    <row r="18" spans="2:8" ht="15.75" customHeight="1" x14ac:dyDescent="0.2">
      <c r="B18" s="25" t="s">
        <v>372</v>
      </c>
      <c r="C18" s="25" t="s">
        <v>373</v>
      </c>
      <c r="D18" s="25" t="s">
        <v>121</v>
      </c>
      <c r="E18" s="26">
        <v>17500</v>
      </c>
      <c r="F18" s="27">
        <v>23.25</v>
      </c>
      <c r="G18" s="28">
        <v>2.1399999999999999E-2</v>
      </c>
      <c r="H18" s="29"/>
    </row>
    <row r="19" spans="2:8" ht="15.75" customHeight="1" x14ac:dyDescent="0.2">
      <c r="B19" s="25" t="s">
        <v>331</v>
      </c>
      <c r="C19" s="25" t="s">
        <v>332</v>
      </c>
      <c r="D19" s="25" t="s">
        <v>121</v>
      </c>
      <c r="E19" s="26">
        <v>14818</v>
      </c>
      <c r="F19" s="27">
        <v>23.14</v>
      </c>
      <c r="G19" s="28">
        <v>2.1299999999999999E-2</v>
      </c>
      <c r="H19" s="29"/>
    </row>
    <row r="20" spans="2:8" ht="15.75" customHeight="1" x14ac:dyDescent="0.2">
      <c r="B20" s="25" t="s">
        <v>130</v>
      </c>
      <c r="C20" s="25" t="s">
        <v>131</v>
      </c>
      <c r="D20" s="25" t="s">
        <v>132</v>
      </c>
      <c r="E20" s="26">
        <v>861</v>
      </c>
      <c r="F20" s="27">
        <v>22.26</v>
      </c>
      <c r="G20" s="28">
        <v>2.0500000000000001E-2</v>
      </c>
      <c r="H20" s="29"/>
    </row>
    <row r="21" spans="2:8" ht="15.75" customHeight="1" x14ac:dyDescent="0.2">
      <c r="B21" s="25" t="s">
        <v>335</v>
      </c>
      <c r="C21" s="25" t="s">
        <v>336</v>
      </c>
      <c r="D21" s="25" t="s">
        <v>164</v>
      </c>
      <c r="E21" s="26">
        <v>2466</v>
      </c>
      <c r="F21" s="27">
        <v>21.89</v>
      </c>
      <c r="G21" s="28">
        <v>2.01E-2</v>
      </c>
      <c r="H21" s="29"/>
    </row>
    <row r="22" spans="2:8" ht="15.75" customHeight="1" x14ac:dyDescent="0.2">
      <c r="B22" s="25" t="s">
        <v>157</v>
      </c>
      <c r="C22" s="25" t="s">
        <v>158</v>
      </c>
      <c r="D22" s="25" t="s">
        <v>129</v>
      </c>
      <c r="E22" s="26">
        <v>4699</v>
      </c>
      <c r="F22" s="27">
        <v>21.71</v>
      </c>
      <c r="G22" s="28">
        <v>0.02</v>
      </c>
      <c r="H22" s="29"/>
    </row>
    <row r="23" spans="2:8" ht="15.75" customHeight="1" x14ac:dyDescent="0.2">
      <c r="B23" s="25" t="s">
        <v>306</v>
      </c>
      <c r="C23" s="25" t="s">
        <v>307</v>
      </c>
      <c r="D23" s="25" t="s">
        <v>226</v>
      </c>
      <c r="E23" s="26">
        <v>200</v>
      </c>
      <c r="F23" s="27">
        <v>21.01</v>
      </c>
      <c r="G23" s="28">
        <v>1.9300000000000001E-2</v>
      </c>
      <c r="H23" s="29"/>
    </row>
    <row r="24" spans="2:8" ht="15.75" customHeight="1" x14ac:dyDescent="0.2">
      <c r="B24" s="25" t="s">
        <v>122</v>
      </c>
      <c r="C24" s="25" t="s">
        <v>123</v>
      </c>
      <c r="D24" s="25" t="s">
        <v>124</v>
      </c>
      <c r="E24" s="26">
        <v>1200</v>
      </c>
      <c r="F24" s="27">
        <v>18.510000000000002</v>
      </c>
      <c r="G24" s="28">
        <v>1.7000000000000001E-2</v>
      </c>
      <c r="H24" s="29"/>
    </row>
    <row r="25" spans="2:8" ht="15.75" customHeight="1" x14ac:dyDescent="0.2">
      <c r="B25" s="25" t="s">
        <v>529</v>
      </c>
      <c r="C25" s="25" t="s">
        <v>530</v>
      </c>
      <c r="D25" s="25" t="s">
        <v>226</v>
      </c>
      <c r="E25" s="26">
        <v>7728</v>
      </c>
      <c r="F25" s="27">
        <v>17.98</v>
      </c>
      <c r="G25" s="28">
        <v>1.6500000000000001E-2</v>
      </c>
      <c r="H25" s="29"/>
    </row>
    <row r="26" spans="2:8" ht="15.75" customHeight="1" x14ac:dyDescent="0.2">
      <c r="B26" s="25" t="s">
        <v>531</v>
      </c>
      <c r="C26" s="25" t="s">
        <v>532</v>
      </c>
      <c r="D26" s="25" t="s">
        <v>289</v>
      </c>
      <c r="E26" s="26">
        <v>884</v>
      </c>
      <c r="F26" s="27">
        <v>15.14</v>
      </c>
      <c r="G26" s="28">
        <v>1.3899999999999999E-2</v>
      </c>
      <c r="H26" s="29"/>
    </row>
    <row r="27" spans="2:8" ht="15.75" customHeight="1" x14ac:dyDescent="0.2">
      <c r="B27" s="25" t="s">
        <v>136</v>
      </c>
      <c r="C27" s="25" t="s">
        <v>137</v>
      </c>
      <c r="D27" s="25" t="s">
        <v>138</v>
      </c>
      <c r="E27" s="26">
        <v>700</v>
      </c>
      <c r="F27" s="27">
        <v>12.11</v>
      </c>
      <c r="G27" s="28">
        <v>1.11E-2</v>
      </c>
      <c r="H27" s="29"/>
    </row>
    <row r="28" spans="2:8" ht="15.75" customHeight="1" x14ac:dyDescent="0.2">
      <c r="B28" s="25" t="s">
        <v>533</v>
      </c>
      <c r="C28" s="25" t="s">
        <v>534</v>
      </c>
      <c r="D28" s="25" t="s">
        <v>135</v>
      </c>
      <c r="E28" s="26">
        <v>2114</v>
      </c>
      <c r="F28" s="27">
        <v>11.78</v>
      </c>
      <c r="G28" s="28">
        <v>1.0800000000000001E-2</v>
      </c>
      <c r="H28" s="29"/>
    </row>
    <row r="29" spans="2:8" ht="15.75" customHeight="1" x14ac:dyDescent="0.2">
      <c r="B29" s="25" t="s">
        <v>388</v>
      </c>
      <c r="C29" s="25" t="s">
        <v>389</v>
      </c>
      <c r="D29" s="25" t="s">
        <v>176</v>
      </c>
      <c r="E29" s="26">
        <v>4010</v>
      </c>
      <c r="F29" s="27">
        <v>11.1</v>
      </c>
      <c r="G29" s="28">
        <v>1.0200000000000001E-2</v>
      </c>
      <c r="H29" s="29"/>
    </row>
    <row r="30" spans="2:8" ht="15.75" customHeight="1" x14ac:dyDescent="0.2">
      <c r="B30" s="25" t="s">
        <v>453</v>
      </c>
      <c r="C30" s="25" t="s">
        <v>454</v>
      </c>
      <c r="D30" s="25" t="s">
        <v>164</v>
      </c>
      <c r="E30" s="26">
        <v>4368</v>
      </c>
      <c r="F30" s="27">
        <v>10.9</v>
      </c>
      <c r="G30" s="28">
        <v>0.01</v>
      </c>
      <c r="H30" s="29"/>
    </row>
    <row r="31" spans="2:8" ht="15.75" customHeight="1" x14ac:dyDescent="0.2">
      <c r="B31" s="25" t="s">
        <v>535</v>
      </c>
      <c r="C31" s="25" t="s">
        <v>536</v>
      </c>
      <c r="D31" s="25" t="s">
        <v>188</v>
      </c>
      <c r="E31" s="26">
        <v>3890</v>
      </c>
      <c r="F31" s="27">
        <v>10.89</v>
      </c>
      <c r="G31" s="28">
        <v>0.01</v>
      </c>
      <c r="H31" s="29"/>
    </row>
    <row r="32" spans="2:8" ht="15.75" customHeight="1" x14ac:dyDescent="0.2">
      <c r="B32" s="25" t="s">
        <v>455</v>
      </c>
      <c r="C32" s="25" t="s">
        <v>456</v>
      </c>
      <c r="D32" s="25" t="s">
        <v>237</v>
      </c>
      <c r="E32" s="26">
        <v>5880</v>
      </c>
      <c r="F32" s="27">
        <v>10.59</v>
      </c>
      <c r="G32" s="28">
        <v>9.7000000000000003E-3</v>
      </c>
      <c r="H32" s="29"/>
    </row>
    <row r="33" spans="2:8" ht="15.75" customHeight="1" x14ac:dyDescent="0.2">
      <c r="B33" s="25" t="s">
        <v>537</v>
      </c>
      <c r="C33" s="25" t="s">
        <v>538</v>
      </c>
      <c r="D33" s="25" t="s">
        <v>197</v>
      </c>
      <c r="E33" s="26">
        <v>1798</v>
      </c>
      <c r="F33" s="27">
        <v>10.02</v>
      </c>
      <c r="G33" s="28">
        <v>9.1999999999999998E-3</v>
      </c>
      <c r="H33" s="29"/>
    </row>
    <row r="34" spans="2:8" ht="15.75" customHeight="1" x14ac:dyDescent="0.2">
      <c r="B34" s="25" t="s">
        <v>409</v>
      </c>
      <c r="C34" s="25" t="s">
        <v>410</v>
      </c>
      <c r="D34" s="25" t="s">
        <v>167</v>
      </c>
      <c r="E34" s="26">
        <v>4374</v>
      </c>
      <c r="F34" s="27">
        <v>9.7799999999999994</v>
      </c>
      <c r="G34" s="28">
        <v>8.9999999999999993E-3</v>
      </c>
      <c r="H34" s="29"/>
    </row>
    <row r="35" spans="2:8" ht="15.75" customHeight="1" x14ac:dyDescent="0.2">
      <c r="B35" s="25" t="s">
        <v>360</v>
      </c>
      <c r="C35" s="25" t="s">
        <v>361</v>
      </c>
      <c r="D35" s="25" t="s">
        <v>226</v>
      </c>
      <c r="E35" s="26">
        <v>930</v>
      </c>
      <c r="F35" s="27">
        <v>9.49</v>
      </c>
      <c r="G35" s="28">
        <v>8.6999999999999994E-3</v>
      </c>
      <c r="H35" s="29"/>
    </row>
    <row r="36" spans="2:8" ht="15.75" customHeight="1" x14ac:dyDescent="0.2">
      <c r="B36" s="25" t="s">
        <v>463</v>
      </c>
      <c r="C36" s="25" t="s">
        <v>464</v>
      </c>
      <c r="D36" s="25" t="s">
        <v>237</v>
      </c>
      <c r="E36" s="26">
        <v>361</v>
      </c>
      <c r="F36" s="27">
        <v>6.06</v>
      </c>
      <c r="G36" s="28">
        <v>5.5999999999999999E-3</v>
      </c>
      <c r="H36" s="29"/>
    </row>
    <row r="37" spans="2:8" ht="15.75" customHeight="1" x14ac:dyDescent="0.2">
      <c r="B37" s="25" t="s">
        <v>220</v>
      </c>
      <c r="C37" s="25" t="s">
        <v>221</v>
      </c>
      <c r="D37" s="25" t="s">
        <v>124</v>
      </c>
      <c r="E37" s="26">
        <v>419</v>
      </c>
      <c r="F37" s="27">
        <v>5.33</v>
      </c>
      <c r="G37" s="28">
        <v>4.8999999999999998E-3</v>
      </c>
      <c r="H37" s="29"/>
    </row>
    <row r="38" spans="2:8" ht="15.75" customHeight="1" x14ac:dyDescent="0.2">
      <c r="B38" s="25" t="s">
        <v>378</v>
      </c>
      <c r="C38" s="25" t="s">
        <v>379</v>
      </c>
      <c r="D38" s="25" t="s">
        <v>176</v>
      </c>
      <c r="E38" s="26">
        <v>295</v>
      </c>
      <c r="F38" s="27">
        <v>4.5199999999999996</v>
      </c>
      <c r="G38" s="28">
        <v>4.1999999999999997E-3</v>
      </c>
      <c r="H38" s="29"/>
    </row>
    <row r="39" spans="2:8" ht="15.75" customHeight="1" x14ac:dyDescent="0.2">
      <c r="B39" s="25" t="s">
        <v>287</v>
      </c>
      <c r="C39" s="25" t="s">
        <v>288</v>
      </c>
      <c r="D39" s="25" t="s">
        <v>289</v>
      </c>
      <c r="E39" s="26">
        <v>1765</v>
      </c>
      <c r="F39" s="27">
        <v>3.25</v>
      </c>
      <c r="G39" s="28">
        <v>3.0000000000000001E-3</v>
      </c>
      <c r="H39" s="29"/>
    </row>
    <row r="40" spans="2:8" ht="15.75" customHeight="1" x14ac:dyDescent="0.2">
      <c r="B40" s="25" t="s">
        <v>279</v>
      </c>
      <c r="C40" s="25" t="s">
        <v>280</v>
      </c>
      <c r="D40" s="25" t="s">
        <v>188</v>
      </c>
      <c r="E40" s="26">
        <v>1000</v>
      </c>
      <c r="F40" s="27">
        <v>3.11</v>
      </c>
      <c r="G40" s="28">
        <v>2.8999999999999998E-3</v>
      </c>
      <c r="H40" s="29"/>
    </row>
    <row r="41" spans="2:8" ht="15.75" customHeight="1" x14ac:dyDescent="0.2">
      <c r="B41" s="24" t="s">
        <v>93</v>
      </c>
      <c r="C41" s="24"/>
      <c r="D41" s="24"/>
      <c r="E41" s="30"/>
      <c r="F41" s="31">
        <v>736.42</v>
      </c>
      <c r="G41" s="32">
        <v>0.67679999999999996</v>
      </c>
      <c r="H41" s="33"/>
    </row>
    <row r="42" spans="2:8" ht="15.75" customHeight="1" x14ac:dyDescent="0.2">
      <c r="B42" s="24" t="s">
        <v>141</v>
      </c>
      <c r="C42" s="25"/>
      <c r="D42" s="25"/>
      <c r="E42" s="26"/>
      <c r="F42" s="27"/>
      <c r="G42" s="28"/>
      <c r="H42" s="29"/>
    </row>
    <row r="43" spans="2:8" ht="15.75" customHeight="1" x14ac:dyDescent="0.2">
      <c r="B43" s="24" t="s">
        <v>93</v>
      </c>
      <c r="C43" s="25"/>
      <c r="D43" s="25"/>
      <c r="E43" s="26"/>
      <c r="F43" s="34" t="s">
        <v>95</v>
      </c>
      <c r="G43" s="35" t="s">
        <v>95</v>
      </c>
      <c r="H43" s="29"/>
    </row>
    <row r="44" spans="2:8" ht="15.75" customHeight="1" x14ac:dyDescent="0.2">
      <c r="B44" s="25"/>
      <c r="C44" s="25"/>
      <c r="D44" s="25"/>
      <c r="E44" s="26"/>
      <c r="F44" s="27"/>
      <c r="G44" s="28"/>
      <c r="H44" s="29"/>
    </row>
    <row r="45" spans="2:8" ht="15.75" customHeight="1" x14ac:dyDescent="0.2">
      <c r="B45" s="36" t="s">
        <v>97</v>
      </c>
      <c r="C45" s="36"/>
      <c r="D45" s="36"/>
      <c r="E45" s="37"/>
      <c r="F45" s="31">
        <v>736.42</v>
      </c>
      <c r="G45" s="32">
        <v>0.67679999999999996</v>
      </c>
      <c r="H45" s="33"/>
    </row>
    <row r="46" spans="2:8" ht="15.75" customHeight="1" x14ac:dyDescent="0.2">
      <c r="B46" s="25"/>
      <c r="C46" s="25"/>
      <c r="D46" s="25"/>
      <c r="E46" s="26"/>
      <c r="F46" s="27"/>
      <c r="G46" s="28"/>
      <c r="H46" s="29"/>
    </row>
    <row r="47" spans="2:8" ht="15.75" customHeight="1" x14ac:dyDescent="0.2">
      <c r="B47" s="24" t="s">
        <v>82</v>
      </c>
      <c r="C47" s="25"/>
      <c r="D47" s="25"/>
      <c r="E47" s="26"/>
      <c r="F47" s="27"/>
      <c r="G47" s="28"/>
      <c r="H47" s="29"/>
    </row>
    <row r="48" spans="2:8" ht="15.75" customHeight="1" x14ac:dyDescent="0.2">
      <c r="B48" s="24" t="s">
        <v>83</v>
      </c>
      <c r="C48" s="25"/>
      <c r="D48" s="25"/>
      <c r="E48" s="26"/>
      <c r="F48" s="27"/>
      <c r="G48" s="28"/>
      <c r="H48" s="29"/>
    </row>
    <row r="49" spans="2:8" ht="15.75" customHeight="1" x14ac:dyDescent="0.2">
      <c r="B49" s="25" t="s">
        <v>148</v>
      </c>
      <c r="C49" s="25" t="s">
        <v>149</v>
      </c>
      <c r="D49" s="25" t="s">
        <v>91</v>
      </c>
      <c r="E49" s="26">
        <v>70223.958333333299</v>
      </c>
      <c r="F49" s="27">
        <v>7.22</v>
      </c>
      <c r="G49" s="28">
        <v>6.6E-3</v>
      </c>
      <c r="H49" s="29">
        <v>7.6399999999999996E-2</v>
      </c>
    </row>
    <row r="50" spans="2:8" ht="15.75" customHeight="1" x14ac:dyDescent="0.2">
      <c r="B50" s="24" t="s">
        <v>93</v>
      </c>
      <c r="C50" s="24"/>
      <c r="D50" s="24"/>
      <c r="E50" s="30"/>
      <c r="F50" s="31">
        <v>7.22</v>
      </c>
      <c r="G50" s="32">
        <v>6.6E-3</v>
      </c>
      <c r="H50" s="33"/>
    </row>
    <row r="51" spans="2:8" ht="15.75" customHeight="1" x14ac:dyDescent="0.2">
      <c r="B51" s="25"/>
      <c r="C51" s="25"/>
      <c r="D51" s="25"/>
      <c r="E51" s="26"/>
      <c r="F51" s="27"/>
      <c r="G51" s="28"/>
      <c r="H51" s="29"/>
    </row>
    <row r="52" spans="2:8" ht="15.75" customHeight="1" x14ac:dyDescent="0.2">
      <c r="B52" s="24" t="s">
        <v>94</v>
      </c>
      <c r="C52" s="25"/>
      <c r="D52" s="25"/>
      <c r="E52" s="26"/>
      <c r="F52" s="27"/>
      <c r="G52" s="28"/>
      <c r="H52" s="29"/>
    </row>
    <row r="53" spans="2:8" ht="15.75" customHeight="1" x14ac:dyDescent="0.2">
      <c r="B53" s="24" t="s">
        <v>93</v>
      </c>
      <c r="C53" s="25"/>
      <c r="D53" s="25"/>
      <c r="E53" s="26"/>
      <c r="F53" s="34" t="s">
        <v>95</v>
      </c>
      <c r="G53" s="35" t="s">
        <v>95</v>
      </c>
      <c r="H53" s="29"/>
    </row>
    <row r="54" spans="2:8" ht="15.75" customHeight="1" x14ac:dyDescent="0.2">
      <c r="B54" s="25"/>
      <c r="C54" s="25"/>
      <c r="D54" s="25"/>
      <c r="E54" s="26"/>
      <c r="F54" s="27"/>
      <c r="G54" s="28"/>
      <c r="H54" s="29"/>
    </row>
    <row r="55" spans="2:8" ht="15.75" customHeight="1" x14ac:dyDescent="0.2">
      <c r="B55" s="24" t="s">
        <v>96</v>
      </c>
      <c r="C55" s="25"/>
      <c r="D55" s="25"/>
      <c r="E55" s="26"/>
      <c r="F55" s="27"/>
      <c r="G55" s="28"/>
      <c r="H55" s="29"/>
    </row>
    <row r="56" spans="2:8" ht="15.75" customHeight="1" x14ac:dyDescent="0.2">
      <c r="B56" s="24" t="s">
        <v>93</v>
      </c>
      <c r="C56" s="25"/>
      <c r="D56" s="25"/>
      <c r="E56" s="26"/>
      <c r="F56" s="34" t="s">
        <v>95</v>
      </c>
      <c r="G56" s="35" t="s">
        <v>95</v>
      </c>
      <c r="H56" s="29"/>
    </row>
    <row r="57" spans="2:8" ht="15.75" customHeight="1" x14ac:dyDescent="0.2">
      <c r="B57" s="25"/>
      <c r="C57" s="25"/>
      <c r="D57" s="25"/>
      <c r="E57" s="26"/>
      <c r="F57" s="27"/>
      <c r="G57" s="28"/>
      <c r="H57" s="29"/>
    </row>
    <row r="58" spans="2:8" ht="15.75" customHeight="1" x14ac:dyDescent="0.2">
      <c r="B58" s="36" t="s">
        <v>97</v>
      </c>
      <c r="C58" s="36"/>
      <c r="D58" s="36"/>
      <c r="E58" s="37"/>
      <c r="F58" s="31">
        <v>7.22</v>
      </c>
      <c r="G58" s="32">
        <v>6.6E-3</v>
      </c>
      <c r="H58" s="33"/>
    </row>
    <row r="59" spans="2:8" ht="15.75" customHeight="1" x14ac:dyDescent="0.2">
      <c r="B59" s="25"/>
      <c r="C59" s="25"/>
      <c r="D59" s="25"/>
      <c r="E59" s="26"/>
      <c r="F59" s="27"/>
      <c r="G59" s="28"/>
      <c r="H59" s="29"/>
    </row>
    <row r="60" spans="2:8" ht="15.75" customHeight="1" x14ac:dyDescent="0.2">
      <c r="B60" s="25"/>
      <c r="C60" s="25"/>
      <c r="D60" s="25"/>
      <c r="E60" s="26"/>
      <c r="F60" s="27"/>
      <c r="G60" s="28"/>
      <c r="H60" s="29"/>
    </row>
    <row r="61" spans="2:8" ht="15.75" customHeight="1" x14ac:dyDescent="0.2">
      <c r="B61" s="24" t="s">
        <v>98</v>
      </c>
      <c r="C61" s="25"/>
      <c r="D61" s="25"/>
      <c r="E61" s="26"/>
      <c r="F61" s="27"/>
      <c r="G61" s="28"/>
      <c r="H61" s="29"/>
    </row>
    <row r="62" spans="2:8" ht="15.75" customHeight="1" x14ac:dyDescent="0.2">
      <c r="B62" s="24" t="s">
        <v>99</v>
      </c>
      <c r="C62" s="25"/>
      <c r="D62" s="25"/>
      <c r="E62" s="26"/>
      <c r="F62" s="27"/>
      <c r="G62" s="28"/>
      <c r="H62" s="29"/>
    </row>
    <row r="63" spans="2:8" ht="15.75" customHeight="1" x14ac:dyDescent="0.2">
      <c r="B63" s="25" t="s">
        <v>249</v>
      </c>
      <c r="C63" s="25" t="s">
        <v>250</v>
      </c>
      <c r="D63" s="25"/>
      <c r="E63" s="26">
        <v>2858.2260000000001</v>
      </c>
      <c r="F63" s="27">
        <v>123.03</v>
      </c>
      <c r="G63" s="28">
        <v>0.11310000000000001</v>
      </c>
      <c r="H63" s="29"/>
    </row>
    <row r="64" spans="2:8" ht="15.75" customHeight="1" x14ac:dyDescent="0.2">
      <c r="B64" s="25"/>
      <c r="C64" s="25"/>
      <c r="D64" s="25"/>
      <c r="E64" s="26"/>
      <c r="F64" s="27"/>
      <c r="G64" s="28"/>
      <c r="H64" s="29"/>
    </row>
    <row r="65" spans="2:16" ht="15.75" customHeight="1" x14ac:dyDescent="0.2">
      <c r="B65" s="36" t="s">
        <v>97</v>
      </c>
      <c r="C65" s="36"/>
      <c r="D65" s="36"/>
      <c r="E65" s="37"/>
      <c r="F65" s="31">
        <v>123.03</v>
      </c>
      <c r="G65" s="32">
        <v>0.11310000000000001</v>
      </c>
      <c r="H65" s="33"/>
    </row>
    <row r="66" spans="2:16" ht="15.75" customHeight="1" x14ac:dyDescent="0.2">
      <c r="B66" s="25"/>
      <c r="C66" s="25"/>
      <c r="D66" s="25"/>
      <c r="E66" s="26"/>
      <c r="F66" s="27"/>
      <c r="G66" s="28"/>
      <c r="H66" s="29"/>
    </row>
    <row r="67" spans="2:16" ht="15.75" customHeight="1" x14ac:dyDescent="0.2">
      <c r="B67" s="24" t="s">
        <v>100</v>
      </c>
      <c r="C67" s="25"/>
      <c r="D67" s="25"/>
      <c r="E67" s="26"/>
      <c r="F67" s="27"/>
      <c r="G67" s="28"/>
      <c r="H67" s="29"/>
    </row>
    <row r="68" spans="2:16" ht="15.75" customHeight="1" x14ac:dyDescent="0.2">
      <c r="B68" s="25" t="s">
        <v>101</v>
      </c>
      <c r="C68" s="25"/>
      <c r="D68" s="25"/>
      <c r="E68" s="26"/>
      <c r="F68" s="27">
        <v>235.85</v>
      </c>
      <c r="G68" s="28">
        <v>0.21679999999999999</v>
      </c>
      <c r="H68" s="29"/>
      <c r="L68" s="3"/>
    </row>
    <row r="69" spans="2:16" ht="15.75" customHeight="1" x14ac:dyDescent="0.2">
      <c r="B69" s="24" t="s">
        <v>93</v>
      </c>
      <c r="C69" s="24"/>
      <c r="D69" s="24"/>
      <c r="E69" s="30"/>
      <c r="F69" s="31">
        <v>235.85</v>
      </c>
      <c r="G69" s="32">
        <v>0.21679999999999999</v>
      </c>
      <c r="H69" s="33"/>
    </row>
    <row r="70" spans="2:16" ht="15.75" customHeight="1" x14ac:dyDescent="0.2">
      <c r="B70" s="25"/>
      <c r="C70" s="25"/>
      <c r="D70" s="25"/>
      <c r="E70" s="26"/>
      <c r="F70" s="27"/>
      <c r="G70" s="28"/>
      <c r="H70" s="29"/>
      <c r="L70" s="3"/>
    </row>
    <row r="71" spans="2:16" ht="15.75" customHeight="1" x14ac:dyDescent="0.2">
      <c r="B71" s="36" t="s">
        <v>97</v>
      </c>
      <c r="C71" s="36"/>
      <c r="D71" s="36"/>
      <c r="E71" s="37"/>
      <c r="F71" s="31">
        <v>235.85</v>
      </c>
      <c r="G71" s="32">
        <v>0.21679999999999999</v>
      </c>
      <c r="H71" s="33"/>
      <c r="L71" s="3"/>
    </row>
    <row r="72" spans="2:16" ht="15.75" customHeight="1" x14ac:dyDescent="0.2">
      <c r="B72" s="25" t="s">
        <v>102</v>
      </c>
      <c r="C72" s="25"/>
      <c r="D72" s="25"/>
      <c r="E72" s="26"/>
      <c r="F72" s="38">
        <v>-14.5</v>
      </c>
      <c r="G72" s="39">
        <v>-1.330000000000009E-2</v>
      </c>
      <c r="H72" s="29"/>
      <c r="L72" s="3"/>
    </row>
    <row r="73" spans="2:16" ht="15.75" customHeight="1" x14ac:dyDescent="0.2">
      <c r="B73" s="40" t="s">
        <v>103</v>
      </c>
      <c r="C73" s="40"/>
      <c r="D73" s="40"/>
      <c r="E73" s="41"/>
      <c r="F73" s="42">
        <v>1088.02</v>
      </c>
      <c r="G73" s="43">
        <v>1</v>
      </c>
      <c r="H73" s="44"/>
      <c r="L73" s="3"/>
    </row>
    <row r="74" spans="2:16" ht="15.75" customHeight="1" x14ac:dyDescent="0.2">
      <c r="B74" s="2"/>
      <c r="L74" s="3"/>
    </row>
    <row r="75" spans="2:16" ht="15.75" customHeight="1" x14ac:dyDescent="0.2">
      <c r="B75" s="12" t="s">
        <v>104</v>
      </c>
      <c r="L75" s="5"/>
      <c r="M75" s="5"/>
      <c r="N75" s="6"/>
      <c r="O75" s="6"/>
      <c r="P75" s="5"/>
    </row>
    <row r="76" spans="2:16" ht="15.75" customHeight="1" x14ac:dyDescent="0.2">
      <c r="B76" s="53"/>
    </row>
    <row r="77" spans="2:16" ht="15.75" customHeight="1" x14ac:dyDescent="0.2">
      <c r="B77" s="9" t="s">
        <v>539</v>
      </c>
    </row>
    <row r="78" spans="2:16" ht="15.75" customHeight="1" x14ac:dyDescent="0.2">
      <c r="B78" s="9" t="s">
        <v>540</v>
      </c>
      <c r="L78" s="7"/>
      <c r="M78" s="7"/>
      <c r="N78" s="7"/>
      <c r="O78" s="7"/>
      <c r="P78" s="7"/>
    </row>
    <row r="79" spans="2:16" ht="15.75" customHeight="1" x14ac:dyDescent="0.2">
      <c r="B79" s="13" t="s">
        <v>251</v>
      </c>
      <c r="C79" s="50" t="s">
        <v>2</v>
      </c>
      <c r="D79" s="51" t="s">
        <v>3</v>
      </c>
      <c r="E79" s="52" t="s">
        <v>252</v>
      </c>
      <c r="L79" s="7"/>
      <c r="M79" s="7"/>
      <c r="N79" s="7"/>
      <c r="O79" s="7"/>
      <c r="P79" s="7"/>
    </row>
    <row r="80" spans="2:16" ht="15.75" customHeight="1" x14ac:dyDescent="0.2">
      <c r="B80" s="46" t="s">
        <v>227</v>
      </c>
      <c r="C80" s="47">
        <v>-1400</v>
      </c>
      <c r="D80" s="48">
        <v>-53.44</v>
      </c>
      <c r="E80" s="49">
        <v>-4.9099999999999998E-2</v>
      </c>
      <c r="L80" s="7"/>
      <c r="M80" s="7"/>
      <c r="N80" s="7"/>
      <c r="O80" s="7"/>
      <c r="P80" s="7"/>
    </row>
    <row r="81" spans="2:16" ht="15.75" customHeight="1" x14ac:dyDescent="0.2">
      <c r="B81" s="46" t="s">
        <v>527</v>
      </c>
      <c r="C81" s="47">
        <v>-5400</v>
      </c>
      <c r="D81" s="48">
        <v>-23.83</v>
      </c>
      <c r="E81" s="49">
        <v>-2.1899999999999999E-2</v>
      </c>
      <c r="L81" s="7"/>
      <c r="M81" s="7"/>
      <c r="N81" s="7"/>
      <c r="O81" s="7"/>
      <c r="P81" s="7"/>
    </row>
    <row r="82" spans="2:16" ht="15.75" customHeight="1" x14ac:dyDescent="0.2">
      <c r="B82" s="46" t="s">
        <v>136</v>
      </c>
      <c r="C82" s="47">
        <v>-700</v>
      </c>
      <c r="D82" s="48">
        <v>-12.11</v>
      </c>
      <c r="E82" s="49">
        <v>-1.11E-2</v>
      </c>
      <c r="L82" s="7"/>
      <c r="M82" s="7"/>
      <c r="N82" s="7"/>
      <c r="O82" s="7"/>
      <c r="P82" s="7"/>
    </row>
    <row r="83" spans="2:16" ht="15.75" customHeight="1" x14ac:dyDescent="0.2">
      <c r="B83" s="46" t="s">
        <v>122</v>
      </c>
      <c r="C83" s="47">
        <v>-1200</v>
      </c>
      <c r="D83" s="48">
        <v>-18.63</v>
      </c>
      <c r="E83" s="49">
        <v>-1.7100000000000001E-2</v>
      </c>
      <c r="L83" s="7"/>
      <c r="M83" s="7"/>
      <c r="N83" s="7"/>
      <c r="O83" s="7"/>
      <c r="P83" s="7"/>
    </row>
    <row r="84" spans="2:16" ht="15.75" customHeight="1" x14ac:dyDescent="0.2">
      <c r="B84" s="46" t="s">
        <v>210</v>
      </c>
      <c r="C84" s="47">
        <v>-49500</v>
      </c>
      <c r="D84" s="48">
        <v>-69.62</v>
      </c>
      <c r="E84" s="49">
        <v>-6.4000000000000001E-2</v>
      </c>
      <c r="L84" s="7"/>
      <c r="M84" s="7"/>
      <c r="N84" s="7"/>
      <c r="O84" s="7"/>
      <c r="P84" s="7"/>
    </row>
    <row r="85" spans="2:16" ht="15.75" customHeight="1" x14ac:dyDescent="0.2">
      <c r="B85" s="46" t="s">
        <v>306</v>
      </c>
      <c r="C85" s="47">
        <v>-200</v>
      </c>
      <c r="D85" s="48">
        <v>-20.96</v>
      </c>
      <c r="E85" s="49">
        <v>-1.9300000000000001E-2</v>
      </c>
    </row>
    <row r="86" spans="2:16" ht="15.75" customHeight="1" x14ac:dyDescent="0.2">
      <c r="B86" s="46" t="s">
        <v>258</v>
      </c>
      <c r="C86" s="47">
        <v>-2500</v>
      </c>
      <c r="D86" s="48">
        <v>-27.77</v>
      </c>
      <c r="E86" s="49">
        <v>-2.5499999999999998E-2</v>
      </c>
      <c r="L86" s="3"/>
    </row>
    <row r="87" spans="2:16" ht="15.75" customHeight="1" x14ac:dyDescent="0.2">
      <c r="B87" s="46" t="s">
        <v>184</v>
      </c>
      <c r="C87" s="47">
        <v>-1600</v>
      </c>
      <c r="D87" s="48">
        <v>-30.71</v>
      </c>
      <c r="E87" s="49">
        <v>-2.8199999999999999E-2</v>
      </c>
    </row>
    <row r="88" spans="2:16" ht="15.75" customHeight="1" x14ac:dyDescent="0.2">
      <c r="B88" s="46" t="s">
        <v>268</v>
      </c>
      <c r="C88" s="47">
        <v>-2100</v>
      </c>
      <c r="D88" s="48">
        <v>-26.59</v>
      </c>
      <c r="E88" s="49">
        <v>-2.4400000000000002E-2</v>
      </c>
    </row>
    <row r="89" spans="2:16" ht="15.75" customHeight="1" x14ac:dyDescent="0.2">
      <c r="B89" s="13" t="s">
        <v>253</v>
      </c>
      <c r="C89" s="50">
        <v>-64600</v>
      </c>
      <c r="D89" s="51">
        <v>-283.66000000000003</v>
      </c>
      <c r="E89" s="52">
        <v>-0.2606</v>
      </c>
    </row>
    <row r="90" spans="2:16" ht="15.75" customHeight="1" thickBot="1" x14ac:dyDescent="0.25"/>
    <row r="91" spans="2:16" ht="27" customHeight="1" thickBot="1" x14ac:dyDescent="0.25">
      <c r="B91" s="57" t="s">
        <v>806</v>
      </c>
      <c r="C91" s="58" t="s">
        <v>807</v>
      </c>
      <c r="D91" s="58" t="s">
        <v>808</v>
      </c>
      <c r="E91" s="59" t="s">
        <v>809</v>
      </c>
      <c r="G91" s="2"/>
      <c r="H91" s="2"/>
    </row>
    <row r="92" spans="2:16" ht="29.25" customHeight="1" x14ac:dyDescent="0.2">
      <c r="B92" s="71" t="s">
        <v>43</v>
      </c>
      <c r="C92" s="83"/>
      <c r="D92" s="86" t="s">
        <v>843</v>
      </c>
      <c r="E92" s="88"/>
      <c r="G92" s="2"/>
      <c r="H92" s="2"/>
    </row>
    <row r="93" spans="2:16" ht="39.950000000000003" customHeight="1" x14ac:dyDescent="0.2">
      <c r="B93" s="61" t="s">
        <v>844</v>
      </c>
      <c r="C93" s="84"/>
      <c r="D93" s="87"/>
      <c r="E93" s="84"/>
      <c r="G93" s="2"/>
      <c r="H93" s="2"/>
    </row>
    <row r="94" spans="2:16" ht="39.950000000000003" customHeight="1" x14ac:dyDescent="0.2">
      <c r="B94" s="61" t="s">
        <v>845</v>
      </c>
      <c r="C94" s="84"/>
      <c r="D94" s="87"/>
      <c r="E94" s="84"/>
      <c r="G94" s="2"/>
      <c r="H94" s="2"/>
    </row>
    <row r="95" spans="2:16" ht="23.25" customHeight="1" thickBot="1" x14ac:dyDescent="0.25">
      <c r="B95" s="62" t="s">
        <v>846</v>
      </c>
      <c r="C95" s="85"/>
      <c r="D95" s="73" t="s">
        <v>847</v>
      </c>
      <c r="E95" s="89"/>
      <c r="G95" s="2"/>
      <c r="H95" s="2"/>
    </row>
    <row r="96" spans="2:16" ht="24.95" customHeight="1" x14ac:dyDescent="0.2">
      <c r="B96" s="64" t="s">
        <v>815</v>
      </c>
      <c r="C96" s="65"/>
      <c r="D96" s="66"/>
      <c r="E96" s="67"/>
      <c r="G96" s="2"/>
      <c r="H96" s="2"/>
    </row>
    <row r="98" spans="2:8" ht="12" x14ac:dyDescent="0.2">
      <c r="B98" s="2" t="s">
        <v>816</v>
      </c>
      <c r="C98" s="2"/>
      <c r="D98" s="2"/>
      <c r="G98" s="2"/>
      <c r="H98" s="2"/>
    </row>
    <row r="99" spans="2:8" ht="12" x14ac:dyDescent="0.2">
      <c r="B99" s="3" t="s">
        <v>817</v>
      </c>
      <c r="C99" s="2"/>
      <c r="D99" s="2"/>
      <c r="G99" s="2"/>
      <c r="H99" s="2"/>
    </row>
  </sheetData>
  <mergeCells count="3">
    <mergeCell ref="C92:C95"/>
    <mergeCell ref="D92:D94"/>
    <mergeCell ref="E92:E95"/>
  </mergeCells>
  <hyperlinks>
    <hyperlink ref="I1" location="'Sheet1'!A1" display="Index" xr:uid="{EAB682A0-CC7E-44FD-8ECA-630783D46D6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7D64E-3797-4462-9706-CB3B37426060}">
  <dimension ref="B1:P97"/>
  <sheetViews>
    <sheetView workbookViewId="0"/>
  </sheetViews>
  <sheetFormatPr defaultColWidth="9.140625" defaultRowHeight="15.75" customHeight="1" x14ac:dyDescent="0.2"/>
  <cols>
    <col min="1" max="1" width="3.5703125" style="2" customWidth="1"/>
    <col min="2" max="2" width="50.42578125" style="9" customWidth="1"/>
    <col min="3" max="3" width="28" style="9" customWidth="1"/>
    <col min="4" max="4" width="26.5703125" style="9" customWidth="1"/>
    <col min="5" max="5" width="28.710937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489903</v>
      </c>
      <c r="F7" s="27">
        <v>8373.67</v>
      </c>
      <c r="G7" s="28">
        <v>8.9300000000000004E-2</v>
      </c>
      <c r="H7" s="29"/>
    </row>
    <row r="8" spans="2:9" ht="15.75" customHeight="1" x14ac:dyDescent="0.2">
      <c r="B8" s="25" t="s">
        <v>119</v>
      </c>
      <c r="C8" s="25" t="s">
        <v>120</v>
      </c>
      <c r="D8" s="25" t="s">
        <v>121</v>
      </c>
      <c r="E8" s="26">
        <v>734994</v>
      </c>
      <c r="F8" s="27">
        <v>7324.95</v>
      </c>
      <c r="G8" s="28">
        <v>7.8100000000000003E-2</v>
      </c>
      <c r="H8" s="29"/>
    </row>
    <row r="9" spans="2:9" ht="15.75" customHeight="1" x14ac:dyDescent="0.2">
      <c r="B9" s="25" t="s">
        <v>256</v>
      </c>
      <c r="C9" s="25" t="s">
        <v>257</v>
      </c>
      <c r="D9" s="25" t="s">
        <v>121</v>
      </c>
      <c r="E9" s="26">
        <v>822686</v>
      </c>
      <c r="F9" s="27">
        <v>5282.06</v>
      </c>
      <c r="G9" s="28">
        <v>5.6300000000000003E-2</v>
      </c>
      <c r="H9" s="29"/>
    </row>
    <row r="10" spans="2:9" ht="15.75" customHeight="1" x14ac:dyDescent="0.2">
      <c r="B10" s="25" t="s">
        <v>127</v>
      </c>
      <c r="C10" s="25" t="s">
        <v>128</v>
      </c>
      <c r="D10" s="25" t="s">
        <v>129</v>
      </c>
      <c r="E10" s="26">
        <v>162187</v>
      </c>
      <c r="F10" s="27">
        <v>4320.58</v>
      </c>
      <c r="G10" s="28">
        <v>4.6100000000000002E-2</v>
      </c>
      <c r="H10" s="29"/>
    </row>
    <row r="11" spans="2:9" ht="15.75" customHeight="1" x14ac:dyDescent="0.2">
      <c r="B11" s="25" t="s">
        <v>247</v>
      </c>
      <c r="C11" s="25" t="s">
        <v>248</v>
      </c>
      <c r="D11" s="25" t="s">
        <v>176</v>
      </c>
      <c r="E11" s="26">
        <v>42822</v>
      </c>
      <c r="F11" s="27">
        <v>3137.89</v>
      </c>
      <c r="G11" s="28">
        <v>3.3399999999999999E-2</v>
      </c>
      <c r="H11" s="29"/>
    </row>
    <row r="12" spans="2:9" ht="15.75" customHeight="1" x14ac:dyDescent="0.2">
      <c r="B12" s="25" t="s">
        <v>331</v>
      </c>
      <c r="C12" s="25" t="s">
        <v>332</v>
      </c>
      <c r="D12" s="25" t="s">
        <v>121</v>
      </c>
      <c r="E12" s="26">
        <v>1750427</v>
      </c>
      <c r="F12" s="27">
        <v>2733.29</v>
      </c>
      <c r="G12" s="28">
        <v>2.9100000000000001E-2</v>
      </c>
      <c r="H12" s="29"/>
    </row>
    <row r="13" spans="2:9" ht="15.75" customHeight="1" x14ac:dyDescent="0.2">
      <c r="B13" s="25" t="s">
        <v>272</v>
      </c>
      <c r="C13" s="25" t="s">
        <v>273</v>
      </c>
      <c r="D13" s="25" t="s">
        <v>274</v>
      </c>
      <c r="E13" s="26">
        <v>2557718</v>
      </c>
      <c r="F13" s="27">
        <v>2607.59</v>
      </c>
      <c r="G13" s="28">
        <v>2.7799999999999998E-2</v>
      </c>
      <c r="H13" s="29"/>
    </row>
    <row r="14" spans="2:9" ht="15.75" customHeight="1" x14ac:dyDescent="0.2">
      <c r="B14" s="25" t="s">
        <v>157</v>
      </c>
      <c r="C14" s="25" t="s">
        <v>158</v>
      </c>
      <c r="D14" s="25" t="s">
        <v>129</v>
      </c>
      <c r="E14" s="26">
        <v>561723</v>
      </c>
      <c r="F14" s="27">
        <v>2595.7199999999998</v>
      </c>
      <c r="G14" s="28">
        <v>2.7699999999999999E-2</v>
      </c>
      <c r="H14" s="29"/>
    </row>
    <row r="15" spans="2:9" ht="15.75" customHeight="1" x14ac:dyDescent="0.2">
      <c r="B15" s="25" t="s">
        <v>321</v>
      </c>
      <c r="C15" s="25" t="s">
        <v>322</v>
      </c>
      <c r="D15" s="25" t="s">
        <v>194</v>
      </c>
      <c r="E15" s="26">
        <v>1855273</v>
      </c>
      <c r="F15" s="27">
        <v>2576.0500000000002</v>
      </c>
      <c r="G15" s="28">
        <v>2.75E-2</v>
      </c>
      <c r="H15" s="29"/>
    </row>
    <row r="16" spans="2:9" ht="15.75" customHeight="1" x14ac:dyDescent="0.2">
      <c r="B16" s="25" t="s">
        <v>407</v>
      </c>
      <c r="C16" s="25" t="s">
        <v>408</v>
      </c>
      <c r="D16" s="25" t="s">
        <v>188</v>
      </c>
      <c r="E16" s="26">
        <v>502889</v>
      </c>
      <c r="F16" s="27">
        <v>2559.1999999999998</v>
      </c>
      <c r="G16" s="28">
        <v>2.7300000000000001E-2</v>
      </c>
      <c r="H16" s="29"/>
    </row>
    <row r="17" spans="2:8" ht="15.75" customHeight="1" x14ac:dyDescent="0.2">
      <c r="B17" s="25" t="s">
        <v>370</v>
      </c>
      <c r="C17" s="25" t="s">
        <v>371</v>
      </c>
      <c r="D17" s="25" t="s">
        <v>176</v>
      </c>
      <c r="E17" s="26">
        <v>1488333</v>
      </c>
      <c r="F17" s="27">
        <v>2456.4899999999998</v>
      </c>
      <c r="G17" s="28">
        <v>2.6200000000000001E-2</v>
      </c>
      <c r="H17" s="29"/>
    </row>
    <row r="18" spans="2:8" ht="15.75" customHeight="1" x14ac:dyDescent="0.2">
      <c r="B18" s="25" t="s">
        <v>258</v>
      </c>
      <c r="C18" s="25" t="s">
        <v>259</v>
      </c>
      <c r="D18" s="25" t="s">
        <v>121</v>
      </c>
      <c r="E18" s="26">
        <v>222567</v>
      </c>
      <c r="F18" s="27">
        <v>2453.36</v>
      </c>
      <c r="G18" s="28">
        <v>2.6200000000000001E-2</v>
      </c>
      <c r="H18" s="29"/>
    </row>
    <row r="19" spans="2:8" ht="15.75" customHeight="1" x14ac:dyDescent="0.2">
      <c r="B19" s="25" t="s">
        <v>372</v>
      </c>
      <c r="C19" s="25" t="s">
        <v>373</v>
      </c>
      <c r="D19" s="25" t="s">
        <v>121</v>
      </c>
      <c r="E19" s="26">
        <v>1702044</v>
      </c>
      <c r="F19" s="27">
        <v>2261.17</v>
      </c>
      <c r="G19" s="28">
        <v>2.41E-2</v>
      </c>
      <c r="H19" s="29"/>
    </row>
    <row r="20" spans="2:8" ht="15.75" customHeight="1" x14ac:dyDescent="0.2">
      <c r="B20" s="25" t="s">
        <v>285</v>
      </c>
      <c r="C20" s="25" t="s">
        <v>286</v>
      </c>
      <c r="D20" s="25" t="s">
        <v>173</v>
      </c>
      <c r="E20" s="26">
        <v>90654</v>
      </c>
      <c r="F20" s="27">
        <v>2247.54</v>
      </c>
      <c r="G20" s="28">
        <v>2.4E-2</v>
      </c>
      <c r="H20" s="29"/>
    </row>
    <row r="21" spans="2:8" ht="15.75" customHeight="1" x14ac:dyDescent="0.2">
      <c r="B21" s="25" t="s">
        <v>541</v>
      </c>
      <c r="C21" s="25" t="s">
        <v>542</v>
      </c>
      <c r="D21" s="25" t="s">
        <v>301</v>
      </c>
      <c r="E21" s="26">
        <v>32293</v>
      </c>
      <c r="F21" s="27">
        <v>1696.98</v>
      </c>
      <c r="G21" s="28">
        <v>1.8100000000000002E-2</v>
      </c>
      <c r="H21" s="29"/>
    </row>
    <row r="22" spans="2:8" ht="15.75" customHeight="1" x14ac:dyDescent="0.2">
      <c r="B22" s="25" t="s">
        <v>543</v>
      </c>
      <c r="C22" s="25" t="s">
        <v>544</v>
      </c>
      <c r="D22" s="25" t="s">
        <v>124</v>
      </c>
      <c r="E22" s="26">
        <v>39814</v>
      </c>
      <c r="F22" s="27">
        <v>1677.28</v>
      </c>
      <c r="G22" s="28">
        <v>1.7899999999999999E-2</v>
      </c>
      <c r="H22" s="29"/>
    </row>
    <row r="23" spans="2:8" ht="15.75" customHeight="1" x14ac:dyDescent="0.2">
      <c r="B23" s="25" t="s">
        <v>453</v>
      </c>
      <c r="C23" s="25" t="s">
        <v>454</v>
      </c>
      <c r="D23" s="25" t="s">
        <v>164</v>
      </c>
      <c r="E23" s="26">
        <v>660902</v>
      </c>
      <c r="F23" s="27">
        <v>1648.95</v>
      </c>
      <c r="G23" s="28">
        <v>1.7600000000000001E-2</v>
      </c>
      <c r="H23" s="29"/>
    </row>
    <row r="24" spans="2:8" ht="15.75" customHeight="1" x14ac:dyDescent="0.2">
      <c r="B24" s="25" t="s">
        <v>264</v>
      </c>
      <c r="C24" s="25" t="s">
        <v>265</v>
      </c>
      <c r="D24" s="25" t="s">
        <v>138</v>
      </c>
      <c r="E24" s="26">
        <v>15802</v>
      </c>
      <c r="F24" s="27">
        <v>1627.98</v>
      </c>
      <c r="G24" s="28">
        <v>1.7399999999999999E-2</v>
      </c>
      <c r="H24" s="29"/>
    </row>
    <row r="25" spans="2:8" ht="15.75" customHeight="1" x14ac:dyDescent="0.2">
      <c r="B25" s="25" t="s">
        <v>220</v>
      </c>
      <c r="C25" s="25" t="s">
        <v>221</v>
      </c>
      <c r="D25" s="25" t="s">
        <v>124</v>
      </c>
      <c r="E25" s="26">
        <v>117936</v>
      </c>
      <c r="F25" s="27">
        <v>1500.91</v>
      </c>
      <c r="G25" s="28">
        <v>1.6E-2</v>
      </c>
      <c r="H25" s="29"/>
    </row>
    <row r="26" spans="2:8" ht="15.75" customHeight="1" x14ac:dyDescent="0.2">
      <c r="B26" s="25" t="s">
        <v>262</v>
      </c>
      <c r="C26" s="25" t="s">
        <v>263</v>
      </c>
      <c r="D26" s="25" t="s">
        <v>124</v>
      </c>
      <c r="E26" s="26">
        <v>101144</v>
      </c>
      <c r="F26" s="27">
        <v>1482.87</v>
      </c>
      <c r="G26" s="28">
        <v>1.5800000000000002E-2</v>
      </c>
      <c r="H26" s="29"/>
    </row>
    <row r="27" spans="2:8" ht="15.75" customHeight="1" x14ac:dyDescent="0.2">
      <c r="B27" s="25" t="s">
        <v>162</v>
      </c>
      <c r="C27" s="25" t="s">
        <v>163</v>
      </c>
      <c r="D27" s="25" t="s">
        <v>164</v>
      </c>
      <c r="E27" s="26">
        <v>324886</v>
      </c>
      <c r="F27" s="27">
        <v>1424.14</v>
      </c>
      <c r="G27" s="28">
        <v>1.52E-2</v>
      </c>
      <c r="H27" s="29"/>
    </row>
    <row r="28" spans="2:8" ht="15.75" customHeight="1" x14ac:dyDescent="0.2">
      <c r="B28" s="25" t="s">
        <v>545</v>
      </c>
      <c r="C28" s="25" t="s">
        <v>546</v>
      </c>
      <c r="D28" s="25" t="s">
        <v>404</v>
      </c>
      <c r="E28" s="26">
        <v>3656</v>
      </c>
      <c r="F28" s="27">
        <v>1408.03</v>
      </c>
      <c r="G28" s="28">
        <v>1.4999999999999999E-2</v>
      </c>
      <c r="H28" s="29"/>
    </row>
    <row r="29" spans="2:8" ht="15.75" customHeight="1" x14ac:dyDescent="0.2">
      <c r="B29" s="25" t="s">
        <v>547</v>
      </c>
      <c r="C29" s="25" t="s">
        <v>548</v>
      </c>
      <c r="D29" s="25" t="s">
        <v>274</v>
      </c>
      <c r="E29" s="26">
        <v>336805</v>
      </c>
      <c r="F29" s="27">
        <v>1323.98</v>
      </c>
      <c r="G29" s="28">
        <v>1.41E-2</v>
      </c>
      <c r="H29" s="29"/>
    </row>
    <row r="30" spans="2:8" ht="15.75" customHeight="1" x14ac:dyDescent="0.2">
      <c r="B30" s="25" t="s">
        <v>279</v>
      </c>
      <c r="C30" s="25" t="s">
        <v>280</v>
      </c>
      <c r="D30" s="25" t="s">
        <v>188</v>
      </c>
      <c r="E30" s="26">
        <v>420200</v>
      </c>
      <c r="F30" s="27">
        <v>1306.4000000000001</v>
      </c>
      <c r="G30" s="28">
        <v>1.3899999999999999E-2</v>
      </c>
      <c r="H30" s="29"/>
    </row>
    <row r="31" spans="2:8" ht="15.75" customHeight="1" x14ac:dyDescent="0.2">
      <c r="B31" s="25" t="s">
        <v>549</v>
      </c>
      <c r="C31" s="25" t="s">
        <v>550</v>
      </c>
      <c r="D31" s="25" t="s">
        <v>167</v>
      </c>
      <c r="E31" s="26">
        <v>29528</v>
      </c>
      <c r="F31" s="27">
        <v>1205.52</v>
      </c>
      <c r="G31" s="28">
        <v>1.29E-2</v>
      </c>
      <c r="H31" s="29"/>
    </row>
    <row r="32" spans="2:8" ht="15.75" customHeight="1" x14ac:dyDescent="0.2">
      <c r="B32" s="25" t="s">
        <v>551</v>
      </c>
      <c r="C32" s="25" t="s">
        <v>552</v>
      </c>
      <c r="D32" s="25" t="s">
        <v>345</v>
      </c>
      <c r="E32" s="26">
        <v>86133</v>
      </c>
      <c r="F32" s="27">
        <v>1183.81</v>
      </c>
      <c r="G32" s="28">
        <v>1.26E-2</v>
      </c>
      <c r="H32" s="29"/>
    </row>
    <row r="33" spans="2:8" ht="15.75" customHeight="1" x14ac:dyDescent="0.2">
      <c r="B33" s="25" t="s">
        <v>533</v>
      </c>
      <c r="C33" s="25" t="s">
        <v>534</v>
      </c>
      <c r="D33" s="25" t="s">
        <v>135</v>
      </c>
      <c r="E33" s="26">
        <v>211021</v>
      </c>
      <c r="F33" s="27">
        <v>1176.3399999999999</v>
      </c>
      <c r="G33" s="28">
        <v>1.2500000000000001E-2</v>
      </c>
      <c r="H33" s="29"/>
    </row>
    <row r="34" spans="2:8" ht="15.75" customHeight="1" x14ac:dyDescent="0.2">
      <c r="B34" s="25" t="s">
        <v>374</v>
      </c>
      <c r="C34" s="25" t="s">
        <v>375</v>
      </c>
      <c r="D34" s="25" t="s">
        <v>121</v>
      </c>
      <c r="E34" s="26">
        <v>275332</v>
      </c>
      <c r="F34" s="27">
        <v>1152.68</v>
      </c>
      <c r="G34" s="28">
        <v>1.23E-2</v>
      </c>
      <c r="H34" s="29"/>
    </row>
    <row r="35" spans="2:8" ht="15.75" customHeight="1" x14ac:dyDescent="0.2">
      <c r="B35" s="25" t="s">
        <v>553</v>
      </c>
      <c r="C35" s="25" t="s">
        <v>554</v>
      </c>
      <c r="D35" s="25" t="s">
        <v>555</v>
      </c>
      <c r="E35" s="26">
        <v>182240</v>
      </c>
      <c r="F35" s="27">
        <v>1144.0999999999999</v>
      </c>
      <c r="G35" s="28">
        <v>1.2200000000000001E-2</v>
      </c>
      <c r="H35" s="29"/>
    </row>
    <row r="36" spans="2:8" ht="15.75" customHeight="1" x14ac:dyDescent="0.2">
      <c r="B36" s="25" t="s">
        <v>556</v>
      </c>
      <c r="C36" s="25" t="s">
        <v>557</v>
      </c>
      <c r="D36" s="25" t="s">
        <v>298</v>
      </c>
      <c r="E36" s="26">
        <v>173872</v>
      </c>
      <c r="F36" s="27">
        <v>1139.6400000000001</v>
      </c>
      <c r="G36" s="28">
        <v>1.21E-2</v>
      </c>
      <c r="H36" s="29"/>
    </row>
    <row r="37" spans="2:8" ht="15.75" customHeight="1" x14ac:dyDescent="0.2">
      <c r="B37" s="25" t="s">
        <v>558</v>
      </c>
      <c r="C37" s="25" t="s">
        <v>559</v>
      </c>
      <c r="D37" s="25" t="s">
        <v>274</v>
      </c>
      <c r="E37" s="26">
        <v>14664</v>
      </c>
      <c r="F37" s="27">
        <v>1132.1099999999999</v>
      </c>
      <c r="G37" s="28">
        <v>1.21E-2</v>
      </c>
      <c r="H37" s="29"/>
    </row>
    <row r="38" spans="2:8" ht="15.75" customHeight="1" x14ac:dyDescent="0.2">
      <c r="B38" s="25" t="s">
        <v>560</v>
      </c>
      <c r="C38" s="25" t="s">
        <v>561</v>
      </c>
      <c r="D38" s="25" t="s">
        <v>298</v>
      </c>
      <c r="E38" s="26">
        <v>205447</v>
      </c>
      <c r="F38" s="27">
        <v>1118.76</v>
      </c>
      <c r="G38" s="28">
        <v>1.1900000000000001E-2</v>
      </c>
      <c r="H38" s="29"/>
    </row>
    <row r="39" spans="2:8" ht="15.75" customHeight="1" x14ac:dyDescent="0.2">
      <c r="B39" s="25" t="s">
        <v>260</v>
      </c>
      <c r="C39" s="25" t="s">
        <v>261</v>
      </c>
      <c r="D39" s="25" t="s">
        <v>138</v>
      </c>
      <c r="E39" s="26">
        <v>26835</v>
      </c>
      <c r="F39" s="27">
        <v>1111.9100000000001</v>
      </c>
      <c r="G39" s="28">
        <v>1.1900000000000001E-2</v>
      </c>
      <c r="H39" s="29"/>
    </row>
    <row r="40" spans="2:8" ht="15.75" customHeight="1" x14ac:dyDescent="0.2">
      <c r="B40" s="25" t="s">
        <v>562</v>
      </c>
      <c r="C40" s="25" t="s">
        <v>563</v>
      </c>
      <c r="D40" s="25" t="s">
        <v>217</v>
      </c>
      <c r="E40" s="26">
        <v>168133</v>
      </c>
      <c r="F40" s="27">
        <v>1082.3599999999999</v>
      </c>
      <c r="G40" s="28">
        <v>1.15E-2</v>
      </c>
      <c r="H40" s="29"/>
    </row>
    <row r="41" spans="2:8" ht="15.75" customHeight="1" x14ac:dyDescent="0.2">
      <c r="B41" s="25" t="s">
        <v>392</v>
      </c>
      <c r="C41" s="25" t="s">
        <v>393</v>
      </c>
      <c r="D41" s="25" t="s">
        <v>292</v>
      </c>
      <c r="E41" s="26">
        <v>116453</v>
      </c>
      <c r="F41" s="27">
        <v>1079.46</v>
      </c>
      <c r="G41" s="28">
        <v>1.15E-2</v>
      </c>
      <c r="H41" s="29"/>
    </row>
    <row r="42" spans="2:8" ht="15.75" customHeight="1" x14ac:dyDescent="0.2">
      <c r="B42" s="25" t="s">
        <v>535</v>
      </c>
      <c r="C42" s="25" t="s">
        <v>536</v>
      </c>
      <c r="D42" s="25" t="s">
        <v>188</v>
      </c>
      <c r="E42" s="26">
        <v>379623</v>
      </c>
      <c r="F42" s="27">
        <v>1062.75</v>
      </c>
      <c r="G42" s="28">
        <v>1.1299999999999999E-2</v>
      </c>
      <c r="H42" s="29"/>
    </row>
    <row r="43" spans="2:8" ht="15.75" customHeight="1" x14ac:dyDescent="0.2">
      <c r="B43" s="25" t="s">
        <v>564</v>
      </c>
      <c r="C43" s="25" t="s">
        <v>565</v>
      </c>
      <c r="D43" s="25" t="s">
        <v>197</v>
      </c>
      <c r="E43" s="26">
        <v>176473</v>
      </c>
      <c r="F43" s="27">
        <v>994.87</v>
      </c>
      <c r="G43" s="28">
        <v>1.06E-2</v>
      </c>
      <c r="H43" s="29"/>
    </row>
    <row r="44" spans="2:8" ht="15.75" customHeight="1" x14ac:dyDescent="0.2">
      <c r="B44" s="25" t="s">
        <v>566</v>
      </c>
      <c r="C44" s="25" t="s">
        <v>567</v>
      </c>
      <c r="D44" s="25" t="s">
        <v>568</v>
      </c>
      <c r="E44" s="26">
        <v>45803</v>
      </c>
      <c r="F44" s="27">
        <v>965.92</v>
      </c>
      <c r="G44" s="28">
        <v>1.03E-2</v>
      </c>
      <c r="H44" s="29"/>
    </row>
    <row r="45" spans="2:8" ht="15.75" customHeight="1" x14ac:dyDescent="0.2">
      <c r="B45" s="25" t="s">
        <v>293</v>
      </c>
      <c r="C45" s="25" t="s">
        <v>294</v>
      </c>
      <c r="D45" s="25" t="s">
        <v>295</v>
      </c>
      <c r="E45" s="26">
        <v>176858</v>
      </c>
      <c r="F45" s="27">
        <v>945.93</v>
      </c>
      <c r="G45" s="28">
        <v>1.01E-2</v>
      </c>
      <c r="H45" s="29"/>
    </row>
    <row r="46" spans="2:8" ht="15.75" customHeight="1" x14ac:dyDescent="0.2">
      <c r="B46" s="25" t="s">
        <v>569</v>
      </c>
      <c r="C46" s="25" t="s">
        <v>570</v>
      </c>
      <c r="D46" s="25" t="s">
        <v>292</v>
      </c>
      <c r="E46" s="26">
        <v>58632</v>
      </c>
      <c r="F46" s="27">
        <v>945.09</v>
      </c>
      <c r="G46" s="28">
        <v>1.01E-2</v>
      </c>
      <c r="H46" s="29"/>
    </row>
    <row r="47" spans="2:8" ht="15.75" customHeight="1" x14ac:dyDescent="0.2">
      <c r="B47" s="25" t="s">
        <v>571</v>
      </c>
      <c r="C47" s="25" t="s">
        <v>572</v>
      </c>
      <c r="D47" s="25" t="s">
        <v>573</v>
      </c>
      <c r="E47" s="26">
        <v>51498</v>
      </c>
      <c r="F47" s="27">
        <v>854.38</v>
      </c>
      <c r="G47" s="28">
        <v>9.1000000000000004E-3</v>
      </c>
      <c r="H47" s="29"/>
    </row>
    <row r="48" spans="2:8" ht="15.75" customHeight="1" x14ac:dyDescent="0.2">
      <c r="B48" s="25" t="s">
        <v>574</v>
      </c>
      <c r="C48" s="25" t="s">
        <v>575</v>
      </c>
      <c r="D48" s="25" t="s">
        <v>191</v>
      </c>
      <c r="E48" s="26">
        <v>13398</v>
      </c>
      <c r="F48" s="27">
        <v>811.03</v>
      </c>
      <c r="G48" s="28">
        <v>8.6E-3</v>
      </c>
      <c r="H48" s="29"/>
    </row>
    <row r="49" spans="2:8" ht="15.75" customHeight="1" x14ac:dyDescent="0.2">
      <c r="B49" s="25" t="s">
        <v>576</v>
      </c>
      <c r="C49" s="25" t="s">
        <v>577</v>
      </c>
      <c r="D49" s="25" t="s">
        <v>298</v>
      </c>
      <c r="E49" s="26">
        <v>5319</v>
      </c>
      <c r="F49" s="27">
        <v>779.91</v>
      </c>
      <c r="G49" s="28">
        <v>8.3000000000000001E-3</v>
      </c>
      <c r="H49" s="29"/>
    </row>
    <row r="50" spans="2:8" ht="15.75" customHeight="1" x14ac:dyDescent="0.2">
      <c r="B50" s="25" t="s">
        <v>578</v>
      </c>
      <c r="C50" s="25" t="s">
        <v>579</v>
      </c>
      <c r="D50" s="25" t="s">
        <v>345</v>
      </c>
      <c r="E50" s="26">
        <v>25982</v>
      </c>
      <c r="F50" s="27">
        <v>770.91</v>
      </c>
      <c r="G50" s="28">
        <v>8.2000000000000007E-3</v>
      </c>
      <c r="H50" s="29"/>
    </row>
    <row r="51" spans="2:8" ht="15.75" customHeight="1" x14ac:dyDescent="0.2">
      <c r="B51" s="25" t="s">
        <v>203</v>
      </c>
      <c r="C51" s="25" t="s">
        <v>204</v>
      </c>
      <c r="D51" s="25" t="s">
        <v>194</v>
      </c>
      <c r="E51" s="26">
        <v>106278</v>
      </c>
      <c r="F51" s="27">
        <v>732.47</v>
      </c>
      <c r="G51" s="28">
        <v>7.7999999999999996E-3</v>
      </c>
      <c r="H51" s="29"/>
    </row>
    <row r="52" spans="2:8" ht="15.75" customHeight="1" x14ac:dyDescent="0.2">
      <c r="B52" s="25" t="s">
        <v>580</v>
      </c>
      <c r="C52" s="25" t="s">
        <v>581</v>
      </c>
      <c r="D52" s="25" t="s">
        <v>274</v>
      </c>
      <c r="E52" s="26">
        <v>83267</v>
      </c>
      <c r="F52" s="27">
        <v>723.34</v>
      </c>
      <c r="G52" s="28">
        <v>7.7000000000000002E-3</v>
      </c>
      <c r="H52" s="29"/>
    </row>
    <row r="53" spans="2:8" ht="15.75" customHeight="1" x14ac:dyDescent="0.2">
      <c r="B53" s="25" t="s">
        <v>461</v>
      </c>
      <c r="C53" s="25" t="s">
        <v>462</v>
      </c>
      <c r="D53" s="25" t="s">
        <v>194</v>
      </c>
      <c r="E53" s="26">
        <v>2295</v>
      </c>
      <c r="F53" s="27">
        <v>524.44000000000005</v>
      </c>
      <c r="G53" s="28">
        <v>5.5999999999999999E-3</v>
      </c>
      <c r="H53" s="29"/>
    </row>
    <row r="54" spans="2:8" ht="15.75" customHeight="1" x14ac:dyDescent="0.2">
      <c r="B54" s="25" t="s">
        <v>582</v>
      </c>
      <c r="C54" s="25" t="s">
        <v>583</v>
      </c>
      <c r="D54" s="25" t="s">
        <v>298</v>
      </c>
      <c r="E54" s="26">
        <v>26482</v>
      </c>
      <c r="F54" s="27">
        <v>400.34</v>
      </c>
      <c r="G54" s="28">
        <v>4.3E-3</v>
      </c>
      <c r="H54" s="29"/>
    </row>
    <row r="55" spans="2:8" ht="15.75" customHeight="1" x14ac:dyDescent="0.2">
      <c r="B55" s="25" t="s">
        <v>302</v>
      </c>
      <c r="C55" s="25" t="s">
        <v>303</v>
      </c>
      <c r="D55" s="25" t="s">
        <v>167</v>
      </c>
      <c r="E55" s="26">
        <v>60254</v>
      </c>
      <c r="F55" s="27">
        <v>247.13</v>
      </c>
      <c r="G55" s="28">
        <v>2.5999999999999999E-3</v>
      </c>
      <c r="H55" s="29"/>
    </row>
    <row r="56" spans="2:8" ht="15.75" customHeight="1" x14ac:dyDescent="0.2">
      <c r="B56" s="25" t="s">
        <v>584</v>
      </c>
      <c r="C56" s="25" t="s">
        <v>585</v>
      </c>
      <c r="D56" s="25" t="s">
        <v>292</v>
      </c>
      <c r="E56" s="26">
        <v>1242</v>
      </c>
      <c r="F56" s="27">
        <v>196.3</v>
      </c>
      <c r="G56" s="28">
        <v>2.0999999999999999E-3</v>
      </c>
      <c r="H56" s="29"/>
    </row>
    <row r="57" spans="2:8" ht="15.75" customHeight="1" x14ac:dyDescent="0.2">
      <c r="B57" s="25" t="s">
        <v>586</v>
      </c>
      <c r="C57" s="25" t="s">
        <v>587</v>
      </c>
      <c r="D57" s="25" t="s">
        <v>298</v>
      </c>
      <c r="E57" s="26">
        <v>6103</v>
      </c>
      <c r="F57" s="27">
        <v>92.32</v>
      </c>
      <c r="G57" s="28">
        <v>1E-3</v>
      </c>
      <c r="H57" s="29"/>
    </row>
    <row r="58" spans="2:8" ht="15.75" customHeight="1" x14ac:dyDescent="0.2">
      <c r="B58" s="24" t="s">
        <v>93</v>
      </c>
      <c r="C58" s="24"/>
      <c r="D58" s="24"/>
      <c r="E58" s="30"/>
      <c r="F58" s="31">
        <v>89600.9</v>
      </c>
      <c r="G58" s="32">
        <v>0.95509999999999995</v>
      </c>
      <c r="H58" s="33"/>
    </row>
    <row r="59" spans="2:8" ht="15.75" customHeight="1" x14ac:dyDescent="0.2">
      <c r="B59" s="24" t="s">
        <v>141</v>
      </c>
      <c r="C59" s="25"/>
      <c r="D59" s="25"/>
      <c r="E59" s="26"/>
      <c r="F59" s="27"/>
      <c r="G59" s="28"/>
      <c r="H59" s="29"/>
    </row>
    <row r="60" spans="2:8" ht="15.75" customHeight="1" x14ac:dyDescent="0.2">
      <c r="B60" s="24" t="s">
        <v>93</v>
      </c>
      <c r="C60" s="25"/>
      <c r="D60" s="25"/>
      <c r="E60" s="26"/>
      <c r="F60" s="34" t="s">
        <v>95</v>
      </c>
      <c r="G60" s="35" t="s">
        <v>95</v>
      </c>
      <c r="H60" s="29"/>
    </row>
    <row r="61" spans="2:8" ht="15.75" customHeight="1" x14ac:dyDescent="0.2">
      <c r="B61" s="25"/>
      <c r="C61" s="25"/>
      <c r="D61" s="25"/>
      <c r="E61" s="26"/>
      <c r="F61" s="27"/>
      <c r="G61" s="28"/>
      <c r="H61" s="29"/>
    </row>
    <row r="62" spans="2:8" ht="15.75" customHeight="1" x14ac:dyDescent="0.2">
      <c r="B62" s="36" t="s">
        <v>97</v>
      </c>
      <c r="C62" s="36"/>
      <c r="D62" s="36"/>
      <c r="E62" s="37"/>
      <c r="F62" s="31">
        <v>89600.9</v>
      </c>
      <c r="G62" s="32">
        <v>0.95509999999999995</v>
      </c>
      <c r="H62" s="33"/>
    </row>
    <row r="63" spans="2:8" ht="15.75" customHeight="1" x14ac:dyDescent="0.2">
      <c r="B63" s="25"/>
      <c r="C63" s="25"/>
      <c r="D63" s="25"/>
      <c r="E63" s="26"/>
      <c r="F63" s="27"/>
      <c r="G63" s="28"/>
      <c r="H63" s="29"/>
    </row>
    <row r="64" spans="2:8" ht="15.75" customHeight="1" x14ac:dyDescent="0.2">
      <c r="B64" s="24" t="s">
        <v>82</v>
      </c>
      <c r="C64" s="25"/>
      <c r="D64" s="25"/>
      <c r="E64" s="26"/>
      <c r="F64" s="27"/>
      <c r="G64" s="28"/>
      <c r="H64" s="29"/>
    </row>
    <row r="65" spans="2:16" ht="15.75" customHeight="1" x14ac:dyDescent="0.2">
      <c r="B65" s="24" t="s">
        <v>83</v>
      </c>
      <c r="C65" s="25"/>
      <c r="D65" s="25"/>
      <c r="E65" s="26"/>
      <c r="F65" s="27"/>
      <c r="G65" s="28"/>
      <c r="H65" s="29"/>
    </row>
    <row r="66" spans="2:16" ht="15.75" customHeight="1" x14ac:dyDescent="0.2">
      <c r="B66" s="25" t="s">
        <v>588</v>
      </c>
      <c r="C66" s="25" t="s">
        <v>589</v>
      </c>
      <c r="D66" s="25" t="s">
        <v>91</v>
      </c>
      <c r="E66" s="26">
        <v>10248</v>
      </c>
      <c r="F66" s="27">
        <v>3.04</v>
      </c>
      <c r="G66" s="28" t="s">
        <v>471</v>
      </c>
      <c r="H66" s="29">
        <v>7.7875E-2</v>
      </c>
    </row>
    <row r="67" spans="2:16" ht="15.75" customHeight="1" x14ac:dyDescent="0.2">
      <c r="B67" s="24" t="s">
        <v>93</v>
      </c>
      <c r="C67" s="24"/>
      <c r="D67" s="24"/>
      <c r="E67" s="30"/>
      <c r="F67" s="31">
        <v>3.04</v>
      </c>
      <c r="G67" s="32" t="s">
        <v>471</v>
      </c>
      <c r="H67" s="33"/>
    </row>
    <row r="68" spans="2:16" ht="15.75" customHeight="1" x14ac:dyDescent="0.2">
      <c r="B68" s="25"/>
      <c r="C68" s="25"/>
      <c r="D68" s="25"/>
      <c r="E68" s="26"/>
      <c r="F68" s="27"/>
      <c r="G68" s="28"/>
      <c r="H68" s="29"/>
      <c r="L68" s="3"/>
    </row>
    <row r="69" spans="2:16" ht="15.75" customHeight="1" x14ac:dyDescent="0.2">
      <c r="B69" s="24" t="s">
        <v>94</v>
      </c>
      <c r="C69" s="25"/>
      <c r="D69" s="25"/>
      <c r="E69" s="26"/>
      <c r="F69" s="27"/>
      <c r="G69" s="28"/>
      <c r="H69" s="29"/>
    </row>
    <row r="70" spans="2:16" ht="15.75" customHeight="1" x14ac:dyDescent="0.2">
      <c r="B70" s="24" t="s">
        <v>93</v>
      </c>
      <c r="C70" s="25"/>
      <c r="D70" s="25"/>
      <c r="E70" s="26"/>
      <c r="F70" s="34" t="s">
        <v>95</v>
      </c>
      <c r="G70" s="35" t="s">
        <v>95</v>
      </c>
      <c r="H70" s="29"/>
      <c r="L70" s="3"/>
    </row>
    <row r="71" spans="2:16" ht="15.75" customHeight="1" x14ac:dyDescent="0.2">
      <c r="B71" s="25"/>
      <c r="C71" s="25"/>
      <c r="D71" s="25"/>
      <c r="E71" s="26"/>
      <c r="F71" s="27"/>
      <c r="G71" s="28"/>
      <c r="H71" s="29"/>
      <c r="L71" s="3"/>
    </row>
    <row r="72" spans="2:16" ht="15.75" customHeight="1" x14ac:dyDescent="0.2">
      <c r="B72" s="24" t="s">
        <v>96</v>
      </c>
      <c r="C72" s="25"/>
      <c r="D72" s="25"/>
      <c r="E72" s="26"/>
      <c r="F72" s="27"/>
      <c r="G72" s="28"/>
      <c r="H72" s="29"/>
      <c r="L72" s="3"/>
    </row>
    <row r="73" spans="2:16" ht="15.75" customHeight="1" x14ac:dyDescent="0.2">
      <c r="B73" s="24" t="s">
        <v>93</v>
      </c>
      <c r="C73" s="25"/>
      <c r="D73" s="25"/>
      <c r="E73" s="26"/>
      <c r="F73" s="34" t="s">
        <v>95</v>
      </c>
      <c r="G73" s="35" t="s">
        <v>95</v>
      </c>
      <c r="H73" s="29"/>
      <c r="L73" s="3"/>
    </row>
    <row r="74" spans="2:16" ht="15.75" customHeight="1" x14ac:dyDescent="0.2">
      <c r="B74" s="25"/>
      <c r="C74" s="25"/>
      <c r="D74" s="25"/>
      <c r="E74" s="26"/>
      <c r="F74" s="27"/>
      <c r="G74" s="28"/>
      <c r="H74" s="29"/>
      <c r="L74" s="3"/>
    </row>
    <row r="75" spans="2:16" ht="15.75" customHeight="1" x14ac:dyDescent="0.2">
      <c r="B75" s="36" t="s">
        <v>97</v>
      </c>
      <c r="C75" s="36"/>
      <c r="D75" s="36"/>
      <c r="E75" s="37"/>
      <c r="F75" s="31">
        <v>3.04</v>
      </c>
      <c r="G75" s="32" t="s">
        <v>471</v>
      </c>
      <c r="H75" s="33"/>
      <c r="L75" s="5"/>
      <c r="M75" s="5"/>
      <c r="N75" s="6"/>
      <c r="O75" s="6"/>
      <c r="P75" s="5"/>
    </row>
    <row r="76" spans="2:16" ht="15.75" customHeight="1" x14ac:dyDescent="0.2">
      <c r="B76" s="25"/>
      <c r="C76" s="25"/>
      <c r="D76" s="25"/>
      <c r="E76" s="26"/>
      <c r="F76" s="27"/>
      <c r="G76" s="28"/>
      <c r="H76" s="29"/>
    </row>
    <row r="77" spans="2:16" ht="15.75" customHeight="1" x14ac:dyDescent="0.2">
      <c r="B77" s="25"/>
      <c r="C77" s="25"/>
      <c r="D77" s="25"/>
      <c r="E77" s="26"/>
      <c r="F77" s="27"/>
      <c r="G77" s="28"/>
      <c r="H77" s="29"/>
    </row>
    <row r="78" spans="2:16" ht="15.75" customHeight="1" x14ac:dyDescent="0.2">
      <c r="B78" s="24" t="s">
        <v>100</v>
      </c>
      <c r="C78" s="25"/>
      <c r="D78" s="25"/>
      <c r="E78" s="26"/>
      <c r="F78" s="27"/>
      <c r="G78" s="28"/>
      <c r="H78" s="29"/>
      <c r="L78" s="7"/>
      <c r="M78" s="7"/>
      <c r="N78" s="7"/>
      <c r="O78" s="7"/>
      <c r="P78" s="7"/>
    </row>
    <row r="79" spans="2:16" ht="15.75" customHeight="1" x14ac:dyDescent="0.2">
      <c r="B79" s="25" t="s">
        <v>101</v>
      </c>
      <c r="C79" s="25"/>
      <c r="D79" s="25"/>
      <c r="E79" s="26"/>
      <c r="F79" s="27">
        <v>4410.0200000000004</v>
      </c>
      <c r="G79" s="28">
        <v>4.7E-2</v>
      </c>
      <c r="H79" s="29"/>
      <c r="L79" s="7"/>
      <c r="M79" s="7"/>
      <c r="N79" s="7"/>
      <c r="O79" s="7"/>
      <c r="P79" s="7"/>
    </row>
    <row r="80" spans="2:16" ht="15.75" customHeight="1" x14ac:dyDescent="0.2">
      <c r="B80" s="24" t="s">
        <v>93</v>
      </c>
      <c r="C80" s="24"/>
      <c r="D80" s="24"/>
      <c r="E80" s="30"/>
      <c r="F80" s="31">
        <v>4410.0200000000004</v>
      </c>
      <c r="G80" s="32">
        <v>4.7E-2</v>
      </c>
      <c r="H80" s="33"/>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36" t="s">
        <v>97</v>
      </c>
      <c r="C82" s="36"/>
      <c r="D82" s="36"/>
      <c r="E82" s="37"/>
      <c r="F82" s="31">
        <v>4410.0200000000004</v>
      </c>
      <c r="G82" s="32">
        <v>4.7E-2</v>
      </c>
      <c r="H82" s="33"/>
      <c r="L82" s="7"/>
      <c r="M82" s="7"/>
      <c r="N82" s="7"/>
      <c r="O82" s="7"/>
      <c r="P82" s="7"/>
    </row>
    <row r="83" spans="2:16" ht="15.75" customHeight="1" x14ac:dyDescent="0.2">
      <c r="B83" s="25" t="s">
        <v>102</v>
      </c>
      <c r="C83" s="25"/>
      <c r="D83" s="25"/>
      <c r="E83" s="26"/>
      <c r="F83" s="38">
        <v>-198.97</v>
      </c>
      <c r="G83" s="39">
        <v>-2.0999999999999908E-3</v>
      </c>
      <c r="H83" s="29"/>
      <c r="L83" s="7"/>
      <c r="M83" s="7"/>
      <c r="N83" s="7"/>
      <c r="O83" s="7"/>
      <c r="P83" s="7"/>
    </row>
    <row r="84" spans="2:16" ht="15.75" customHeight="1" x14ac:dyDescent="0.2">
      <c r="B84" s="40" t="s">
        <v>103</v>
      </c>
      <c r="C84" s="40"/>
      <c r="D84" s="40"/>
      <c r="E84" s="41"/>
      <c r="F84" s="42">
        <v>93814.99</v>
      </c>
      <c r="G84" s="43">
        <v>1</v>
      </c>
      <c r="H84" s="44"/>
      <c r="L84" s="7"/>
      <c r="M84" s="7"/>
      <c r="N84" s="7"/>
      <c r="O84" s="7"/>
      <c r="P84" s="7"/>
    </row>
    <row r="85" spans="2:16" ht="15.75" customHeight="1" x14ac:dyDescent="0.2">
      <c r="B85" s="2"/>
    </row>
    <row r="86" spans="2:16" ht="15.75" customHeight="1" x14ac:dyDescent="0.2">
      <c r="B86" s="12" t="s">
        <v>472</v>
      </c>
      <c r="L86" s="3"/>
    </row>
    <row r="87" spans="2:16" ht="15.75" customHeight="1" x14ac:dyDescent="0.2">
      <c r="B87" s="12" t="s">
        <v>104</v>
      </c>
    </row>
    <row r="88" spans="2:16" ht="15.75" customHeight="1" thickBot="1" x14ac:dyDescent="0.25"/>
    <row r="89" spans="2:16" ht="27" customHeight="1" thickBot="1" x14ac:dyDescent="0.25">
      <c r="B89" s="57" t="s">
        <v>806</v>
      </c>
      <c r="C89" s="58" t="s">
        <v>807</v>
      </c>
      <c r="D89" s="58" t="s">
        <v>808</v>
      </c>
      <c r="E89" s="59" t="s">
        <v>809</v>
      </c>
      <c r="G89" s="2"/>
      <c r="H89" s="2"/>
    </row>
    <row r="90" spans="2:16" ht="23.25" customHeight="1" x14ac:dyDescent="0.2">
      <c r="B90" s="71" t="s">
        <v>45</v>
      </c>
      <c r="C90" s="83"/>
      <c r="D90" s="86" t="s">
        <v>848</v>
      </c>
      <c r="E90" s="88"/>
      <c r="G90" s="2"/>
      <c r="H90" s="2"/>
    </row>
    <row r="91" spans="2:16" ht="39.950000000000003" customHeight="1" x14ac:dyDescent="0.2">
      <c r="B91" s="61" t="s">
        <v>836</v>
      </c>
      <c r="C91" s="84"/>
      <c r="D91" s="87"/>
      <c r="E91" s="84"/>
      <c r="G91" s="2"/>
      <c r="H91" s="2"/>
    </row>
    <row r="92" spans="2:16" ht="39.950000000000003" customHeight="1" x14ac:dyDescent="0.2">
      <c r="B92" s="61" t="s">
        <v>849</v>
      </c>
      <c r="C92" s="84"/>
      <c r="D92" s="87"/>
      <c r="E92" s="84"/>
      <c r="G92" s="2"/>
      <c r="H92" s="2"/>
    </row>
    <row r="93" spans="2:16" ht="27.75" customHeight="1" thickBot="1" x14ac:dyDescent="0.25">
      <c r="B93" s="62" t="s">
        <v>826</v>
      </c>
      <c r="C93" s="85"/>
      <c r="D93" s="70" t="s">
        <v>831</v>
      </c>
      <c r="E93" s="89"/>
      <c r="G93" s="2"/>
      <c r="H93" s="2"/>
    </row>
    <row r="94" spans="2:16" ht="24.95" customHeight="1" x14ac:dyDescent="0.2">
      <c r="B94" s="64" t="s">
        <v>815</v>
      </c>
      <c r="C94" s="65"/>
      <c r="D94" s="66"/>
      <c r="E94" s="67"/>
      <c r="G94" s="2"/>
      <c r="H94" s="2"/>
    </row>
    <row r="95" spans="2:16" ht="15.75" customHeight="1" x14ac:dyDescent="0.2">
      <c r="L95" s="7"/>
      <c r="M95" s="7"/>
      <c r="N95" s="7"/>
      <c r="O95" s="7"/>
      <c r="P95" s="7"/>
    </row>
    <row r="96" spans="2:16" ht="12" x14ac:dyDescent="0.2">
      <c r="B96" s="2" t="s">
        <v>816</v>
      </c>
      <c r="C96" s="2"/>
      <c r="D96" s="2"/>
      <c r="G96" s="2"/>
      <c r="H96" s="2"/>
    </row>
    <row r="97" spans="2:8" ht="12" x14ac:dyDescent="0.2">
      <c r="B97" s="3" t="s">
        <v>817</v>
      </c>
      <c r="C97" s="2"/>
      <c r="D97" s="2"/>
      <c r="G97" s="2"/>
      <c r="H97" s="2"/>
    </row>
  </sheetData>
  <mergeCells count="3">
    <mergeCell ref="C90:C93"/>
    <mergeCell ref="D90:D92"/>
    <mergeCell ref="E90:E93"/>
  </mergeCells>
  <hyperlinks>
    <hyperlink ref="I1" location="'Sheet1'!A1" display="Index" xr:uid="{619D5E35-FDE0-45D3-9916-D49761EA292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69CD-A57C-4678-AD8E-636C792A3B25}">
  <dimension ref="B1:P89"/>
  <sheetViews>
    <sheetView workbookViewId="0">
      <selection activeCell="B3" sqref="B3"/>
    </sheetView>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7.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901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590</v>
      </c>
      <c r="C7" s="25" t="s">
        <v>591</v>
      </c>
      <c r="D7" s="25" t="s">
        <v>298</v>
      </c>
      <c r="E7" s="26">
        <v>61751</v>
      </c>
      <c r="F7" s="27">
        <v>865.69</v>
      </c>
      <c r="G7" s="28">
        <v>4.4699999999999997E-2</v>
      </c>
      <c r="H7" s="29"/>
    </row>
    <row r="8" spans="2:9" ht="15.75" customHeight="1" x14ac:dyDescent="0.2">
      <c r="B8" s="25" t="s">
        <v>350</v>
      </c>
      <c r="C8" s="25" t="s">
        <v>351</v>
      </c>
      <c r="D8" s="25" t="s">
        <v>298</v>
      </c>
      <c r="E8" s="26">
        <v>21041</v>
      </c>
      <c r="F8" s="27">
        <v>683.72</v>
      </c>
      <c r="G8" s="28">
        <v>3.5299999999999998E-2</v>
      </c>
      <c r="H8" s="29"/>
    </row>
    <row r="9" spans="2:9" ht="15.75" customHeight="1" x14ac:dyDescent="0.2">
      <c r="B9" s="25" t="s">
        <v>417</v>
      </c>
      <c r="C9" s="25" t="s">
        <v>418</v>
      </c>
      <c r="D9" s="25" t="s">
        <v>292</v>
      </c>
      <c r="E9" s="26">
        <v>27154</v>
      </c>
      <c r="F9" s="27">
        <v>674.27</v>
      </c>
      <c r="G9" s="28">
        <v>3.4799999999999998E-2</v>
      </c>
      <c r="H9" s="29"/>
    </row>
    <row r="10" spans="2:9" ht="15.75" customHeight="1" x14ac:dyDescent="0.2">
      <c r="B10" s="25" t="s">
        <v>358</v>
      </c>
      <c r="C10" s="25" t="s">
        <v>359</v>
      </c>
      <c r="D10" s="25" t="s">
        <v>214</v>
      </c>
      <c r="E10" s="26">
        <v>30063</v>
      </c>
      <c r="F10" s="27">
        <v>667.76</v>
      </c>
      <c r="G10" s="28">
        <v>3.4500000000000003E-2</v>
      </c>
      <c r="H10" s="29"/>
    </row>
    <row r="11" spans="2:9" ht="15.75" customHeight="1" x14ac:dyDescent="0.2">
      <c r="B11" s="25" t="s">
        <v>556</v>
      </c>
      <c r="C11" s="25" t="s">
        <v>557</v>
      </c>
      <c r="D11" s="25" t="s">
        <v>298</v>
      </c>
      <c r="E11" s="26">
        <v>89049</v>
      </c>
      <c r="F11" s="27">
        <v>583.66999999999996</v>
      </c>
      <c r="G11" s="28">
        <v>3.0099999999999998E-2</v>
      </c>
      <c r="H11" s="29"/>
    </row>
    <row r="12" spans="2:9" ht="15.75" customHeight="1" x14ac:dyDescent="0.2">
      <c r="B12" s="25" t="s">
        <v>290</v>
      </c>
      <c r="C12" s="25" t="s">
        <v>291</v>
      </c>
      <c r="D12" s="25" t="s">
        <v>292</v>
      </c>
      <c r="E12" s="26">
        <v>328055</v>
      </c>
      <c r="F12" s="27">
        <v>561.47</v>
      </c>
      <c r="G12" s="28">
        <v>2.9000000000000001E-2</v>
      </c>
      <c r="H12" s="29"/>
    </row>
    <row r="13" spans="2:9" ht="15.75" customHeight="1" x14ac:dyDescent="0.2">
      <c r="B13" s="25" t="s">
        <v>592</v>
      </c>
      <c r="C13" s="25" t="s">
        <v>593</v>
      </c>
      <c r="D13" s="25" t="s">
        <v>298</v>
      </c>
      <c r="E13" s="26">
        <v>21757</v>
      </c>
      <c r="F13" s="27">
        <v>506.74</v>
      </c>
      <c r="G13" s="28">
        <v>2.6200000000000001E-2</v>
      </c>
      <c r="H13" s="29"/>
    </row>
    <row r="14" spans="2:9" ht="15.75" customHeight="1" x14ac:dyDescent="0.2">
      <c r="B14" s="25" t="s">
        <v>594</v>
      </c>
      <c r="C14" s="25" t="s">
        <v>595</v>
      </c>
      <c r="D14" s="25" t="s">
        <v>164</v>
      </c>
      <c r="E14" s="26">
        <v>406875</v>
      </c>
      <c r="F14" s="27">
        <v>487.64</v>
      </c>
      <c r="G14" s="28">
        <v>2.52E-2</v>
      </c>
      <c r="H14" s="29"/>
    </row>
    <row r="15" spans="2:9" ht="15.75" customHeight="1" x14ac:dyDescent="0.2">
      <c r="B15" s="25" t="s">
        <v>596</v>
      </c>
      <c r="C15" s="25" t="s">
        <v>597</v>
      </c>
      <c r="D15" s="25" t="s">
        <v>191</v>
      </c>
      <c r="E15" s="26">
        <v>9246</v>
      </c>
      <c r="F15" s="27">
        <v>486.74</v>
      </c>
      <c r="G15" s="28">
        <v>2.5100000000000001E-2</v>
      </c>
      <c r="H15" s="29"/>
    </row>
    <row r="16" spans="2:9" ht="15.75" customHeight="1" x14ac:dyDescent="0.2">
      <c r="B16" s="25" t="s">
        <v>598</v>
      </c>
      <c r="C16" s="25" t="s">
        <v>599</v>
      </c>
      <c r="D16" s="25" t="s">
        <v>298</v>
      </c>
      <c r="E16" s="26">
        <v>13659</v>
      </c>
      <c r="F16" s="27">
        <v>473.52</v>
      </c>
      <c r="G16" s="28">
        <v>2.4500000000000001E-2</v>
      </c>
      <c r="H16" s="29"/>
    </row>
    <row r="17" spans="2:8" ht="15.75" customHeight="1" x14ac:dyDescent="0.2">
      <c r="B17" s="25" t="s">
        <v>600</v>
      </c>
      <c r="C17" s="25" t="s">
        <v>601</v>
      </c>
      <c r="D17" s="25" t="s">
        <v>191</v>
      </c>
      <c r="E17" s="26">
        <v>81162</v>
      </c>
      <c r="F17" s="27">
        <v>447.28</v>
      </c>
      <c r="G17" s="28">
        <v>2.3099999999999999E-2</v>
      </c>
      <c r="H17" s="29"/>
    </row>
    <row r="18" spans="2:8" ht="15.75" customHeight="1" x14ac:dyDescent="0.2">
      <c r="B18" s="25" t="s">
        <v>602</v>
      </c>
      <c r="C18" s="25" t="s">
        <v>603</v>
      </c>
      <c r="D18" s="25" t="s">
        <v>191</v>
      </c>
      <c r="E18" s="26">
        <v>8960</v>
      </c>
      <c r="F18" s="27">
        <v>433.01</v>
      </c>
      <c r="G18" s="28">
        <v>2.24E-2</v>
      </c>
      <c r="H18" s="29"/>
    </row>
    <row r="19" spans="2:8" ht="15.75" customHeight="1" x14ac:dyDescent="0.2">
      <c r="B19" s="25" t="s">
        <v>604</v>
      </c>
      <c r="C19" s="25" t="s">
        <v>605</v>
      </c>
      <c r="D19" s="25" t="s">
        <v>188</v>
      </c>
      <c r="E19" s="26">
        <v>44181</v>
      </c>
      <c r="F19" s="27">
        <v>418.39</v>
      </c>
      <c r="G19" s="28">
        <v>2.1600000000000001E-2</v>
      </c>
      <c r="H19" s="29"/>
    </row>
    <row r="20" spans="2:8" ht="15.75" customHeight="1" x14ac:dyDescent="0.2">
      <c r="B20" s="25" t="s">
        <v>606</v>
      </c>
      <c r="C20" s="25" t="s">
        <v>607</v>
      </c>
      <c r="D20" s="25" t="s">
        <v>188</v>
      </c>
      <c r="E20" s="26">
        <v>94302</v>
      </c>
      <c r="F20" s="27">
        <v>403.8</v>
      </c>
      <c r="G20" s="28">
        <v>2.0899999999999998E-2</v>
      </c>
      <c r="H20" s="29"/>
    </row>
    <row r="21" spans="2:8" ht="15.75" customHeight="1" x14ac:dyDescent="0.2">
      <c r="B21" s="25" t="s">
        <v>440</v>
      </c>
      <c r="C21" s="25" t="s">
        <v>441</v>
      </c>
      <c r="D21" s="25" t="s">
        <v>298</v>
      </c>
      <c r="E21" s="26">
        <v>35275</v>
      </c>
      <c r="F21" s="27">
        <v>392.75</v>
      </c>
      <c r="G21" s="28">
        <v>2.0299999999999999E-2</v>
      </c>
      <c r="H21" s="29"/>
    </row>
    <row r="22" spans="2:8" ht="15.75" customHeight="1" x14ac:dyDescent="0.2">
      <c r="B22" s="25" t="s">
        <v>608</v>
      </c>
      <c r="C22" s="25" t="s">
        <v>609</v>
      </c>
      <c r="D22" s="25" t="s">
        <v>298</v>
      </c>
      <c r="E22" s="26">
        <v>11996</v>
      </c>
      <c r="F22" s="27">
        <v>390.1</v>
      </c>
      <c r="G22" s="28">
        <v>2.01E-2</v>
      </c>
      <c r="H22" s="29"/>
    </row>
    <row r="23" spans="2:8" ht="15.75" customHeight="1" x14ac:dyDescent="0.2">
      <c r="B23" s="25" t="s">
        <v>610</v>
      </c>
      <c r="C23" s="25" t="s">
        <v>611</v>
      </c>
      <c r="D23" s="25" t="s">
        <v>298</v>
      </c>
      <c r="E23" s="26">
        <v>11550</v>
      </c>
      <c r="F23" s="27">
        <v>388.46</v>
      </c>
      <c r="G23" s="28">
        <v>2.01E-2</v>
      </c>
      <c r="H23" s="29"/>
    </row>
    <row r="24" spans="2:8" ht="15.75" customHeight="1" x14ac:dyDescent="0.2">
      <c r="B24" s="25" t="s">
        <v>560</v>
      </c>
      <c r="C24" s="25" t="s">
        <v>561</v>
      </c>
      <c r="D24" s="25" t="s">
        <v>298</v>
      </c>
      <c r="E24" s="26">
        <v>70866</v>
      </c>
      <c r="F24" s="27">
        <v>385.9</v>
      </c>
      <c r="G24" s="28">
        <v>1.9900000000000001E-2</v>
      </c>
      <c r="H24" s="29"/>
    </row>
    <row r="25" spans="2:8" ht="15.75" customHeight="1" x14ac:dyDescent="0.2">
      <c r="B25" s="25" t="s">
        <v>346</v>
      </c>
      <c r="C25" s="25" t="s">
        <v>347</v>
      </c>
      <c r="D25" s="25" t="s">
        <v>191</v>
      </c>
      <c r="E25" s="26">
        <v>143131</v>
      </c>
      <c r="F25" s="27">
        <v>372.21</v>
      </c>
      <c r="G25" s="28">
        <v>1.9199999999999998E-2</v>
      </c>
      <c r="H25" s="29"/>
    </row>
    <row r="26" spans="2:8" ht="15.75" customHeight="1" x14ac:dyDescent="0.2">
      <c r="B26" s="25" t="s">
        <v>372</v>
      </c>
      <c r="C26" s="25" t="s">
        <v>373</v>
      </c>
      <c r="D26" s="25" t="s">
        <v>121</v>
      </c>
      <c r="E26" s="26">
        <v>273612</v>
      </c>
      <c r="F26" s="27">
        <v>363.49</v>
      </c>
      <c r="G26" s="28">
        <v>1.8800000000000001E-2</v>
      </c>
      <c r="H26" s="29"/>
    </row>
    <row r="27" spans="2:8" ht="15.75" customHeight="1" x14ac:dyDescent="0.2">
      <c r="B27" s="25" t="s">
        <v>427</v>
      </c>
      <c r="C27" s="25" t="s">
        <v>428</v>
      </c>
      <c r="D27" s="25" t="s">
        <v>209</v>
      </c>
      <c r="E27" s="26">
        <v>27921</v>
      </c>
      <c r="F27" s="27">
        <v>335.19</v>
      </c>
      <c r="G27" s="28">
        <v>1.7299999999999999E-2</v>
      </c>
      <c r="H27" s="29"/>
    </row>
    <row r="28" spans="2:8" ht="15.75" customHeight="1" x14ac:dyDescent="0.2">
      <c r="B28" s="25" t="s">
        <v>612</v>
      </c>
      <c r="C28" s="25" t="s">
        <v>613</v>
      </c>
      <c r="D28" s="25" t="s">
        <v>124</v>
      </c>
      <c r="E28" s="26">
        <v>46095</v>
      </c>
      <c r="F28" s="27">
        <v>332.37</v>
      </c>
      <c r="G28" s="28">
        <v>1.72E-2</v>
      </c>
      <c r="H28" s="29"/>
    </row>
    <row r="29" spans="2:8" ht="15.75" customHeight="1" x14ac:dyDescent="0.2">
      <c r="B29" s="25" t="s">
        <v>614</v>
      </c>
      <c r="C29" s="25" t="s">
        <v>615</v>
      </c>
      <c r="D29" s="25" t="s">
        <v>188</v>
      </c>
      <c r="E29" s="26">
        <v>42572</v>
      </c>
      <c r="F29" s="27">
        <v>328.63</v>
      </c>
      <c r="G29" s="28">
        <v>1.7000000000000001E-2</v>
      </c>
      <c r="H29" s="29"/>
    </row>
    <row r="30" spans="2:8" ht="15.75" customHeight="1" x14ac:dyDescent="0.2">
      <c r="B30" s="25" t="s">
        <v>616</v>
      </c>
      <c r="C30" s="25" t="s">
        <v>617</v>
      </c>
      <c r="D30" s="25" t="s">
        <v>161</v>
      </c>
      <c r="E30" s="26">
        <v>55378</v>
      </c>
      <c r="F30" s="27">
        <v>308.39999999999998</v>
      </c>
      <c r="G30" s="28">
        <v>1.5900000000000001E-2</v>
      </c>
      <c r="H30" s="29"/>
    </row>
    <row r="31" spans="2:8" ht="15.75" customHeight="1" x14ac:dyDescent="0.2">
      <c r="B31" s="25" t="s">
        <v>465</v>
      </c>
      <c r="C31" s="25" t="s">
        <v>466</v>
      </c>
      <c r="D31" s="25" t="s">
        <v>237</v>
      </c>
      <c r="E31" s="26">
        <v>31789</v>
      </c>
      <c r="F31" s="27">
        <v>304.89999999999998</v>
      </c>
      <c r="G31" s="28">
        <v>1.5699999999999999E-2</v>
      </c>
      <c r="H31" s="29"/>
    </row>
    <row r="32" spans="2:8" ht="15.75" customHeight="1" x14ac:dyDescent="0.2">
      <c r="B32" s="25" t="s">
        <v>436</v>
      </c>
      <c r="C32" s="25" t="s">
        <v>437</v>
      </c>
      <c r="D32" s="25" t="s">
        <v>194</v>
      </c>
      <c r="E32" s="26">
        <v>3770</v>
      </c>
      <c r="F32" s="27">
        <v>304.14999999999998</v>
      </c>
      <c r="G32" s="28">
        <v>1.5699999999999999E-2</v>
      </c>
      <c r="H32" s="29"/>
    </row>
    <row r="33" spans="2:8" ht="15.75" customHeight="1" x14ac:dyDescent="0.2">
      <c r="B33" s="25" t="s">
        <v>327</v>
      </c>
      <c r="C33" s="25" t="s">
        <v>328</v>
      </c>
      <c r="D33" s="25" t="s">
        <v>121</v>
      </c>
      <c r="E33" s="26">
        <v>285040</v>
      </c>
      <c r="F33" s="27">
        <v>300.72000000000003</v>
      </c>
      <c r="G33" s="28">
        <v>1.55E-2</v>
      </c>
      <c r="H33" s="29"/>
    </row>
    <row r="34" spans="2:8" ht="15.75" customHeight="1" x14ac:dyDescent="0.2">
      <c r="B34" s="25" t="s">
        <v>618</v>
      </c>
      <c r="C34" s="25" t="s">
        <v>619</v>
      </c>
      <c r="D34" s="25" t="s">
        <v>298</v>
      </c>
      <c r="E34" s="26">
        <v>103532</v>
      </c>
      <c r="F34" s="27">
        <v>297.02999999999997</v>
      </c>
      <c r="G34" s="28">
        <v>1.5299999999999999E-2</v>
      </c>
      <c r="H34" s="29"/>
    </row>
    <row r="35" spans="2:8" ht="15.75" customHeight="1" x14ac:dyDescent="0.2">
      <c r="B35" s="25" t="s">
        <v>620</v>
      </c>
      <c r="C35" s="25" t="s">
        <v>621</v>
      </c>
      <c r="D35" s="25" t="s">
        <v>173</v>
      </c>
      <c r="E35" s="26">
        <v>11927</v>
      </c>
      <c r="F35" s="27">
        <v>295.93</v>
      </c>
      <c r="G35" s="28">
        <v>1.5299999999999999E-2</v>
      </c>
      <c r="H35" s="29"/>
    </row>
    <row r="36" spans="2:8" ht="15.75" customHeight="1" x14ac:dyDescent="0.2">
      <c r="B36" s="25" t="s">
        <v>622</v>
      </c>
      <c r="C36" s="25" t="s">
        <v>623</v>
      </c>
      <c r="D36" s="25" t="s">
        <v>188</v>
      </c>
      <c r="E36" s="26">
        <v>35657</v>
      </c>
      <c r="F36" s="27">
        <v>293.14</v>
      </c>
      <c r="G36" s="28">
        <v>1.5100000000000001E-2</v>
      </c>
      <c r="H36" s="29"/>
    </row>
    <row r="37" spans="2:8" ht="15.75" customHeight="1" x14ac:dyDescent="0.2">
      <c r="B37" s="25" t="s">
        <v>624</v>
      </c>
      <c r="C37" s="25" t="s">
        <v>625</v>
      </c>
      <c r="D37" s="25" t="s">
        <v>188</v>
      </c>
      <c r="E37" s="26">
        <v>29083</v>
      </c>
      <c r="F37" s="27">
        <v>287.43</v>
      </c>
      <c r="G37" s="28">
        <v>1.4800000000000001E-2</v>
      </c>
      <c r="H37" s="29"/>
    </row>
    <row r="38" spans="2:8" ht="15.75" customHeight="1" x14ac:dyDescent="0.2">
      <c r="B38" s="25" t="s">
        <v>626</v>
      </c>
      <c r="C38" s="25" t="s">
        <v>627</v>
      </c>
      <c r="D38" s="25" t="s">
        <v>173</v>
      </c>
      <c r="E38" s="26">
        <v>7341</v>
      </c>
      <c r="F38" s="27">
        <v>282.86</v>
      </c>
      <c r="G38" s="28">
        <v>1.46E-2</v>
      </c>
      <c r="H38" s="29"/>
    </row>
    <row r="39" spans="2:8" ht="15.75" customHeight="1" x14ac:dyDescent="0.2">
      <c r="B39" s="25" t="s">
        <v>321</v>
      </c>
      <c r="C39" s="25" t="s">
        <v>322</v>
      </c>
      <c r="D39" s="25" t="s">
        <v>194</v>
      </c>
      <c r="E39" s="26">
        <v>198627</v>
      </c>
      <c r="F39" s="27">
        <v>275.79000000000002</v>
      </c>
      <c r="G39" s="28">
        <v>1.4200000000000001E-2</v>
      </c>
      <c r="H39" s="29"/>
    </row>
    <row r="40" spans="2:8" ht="15.75" customHeight="1" x14ac:dyDescent="0.2">
      <c r="B40" s="25" t="s">
        <v>179</v>
      </c>
      <c r="C40" s="25" t="s">
        <v>180</v>
      </c>
      <c r="D40" s="25" t="s">
        <v>121</v>
      </c>
      <c r="E40" s="26">
        <v>118500</v>
      </c>
      <c r="F40" s="27">
        <v>273.85000000000002</v>
      </c>
      <c r="G40" s="28">
        <v>1.41E-2</v>
      </c>
      <c r="H40" s="29"/>
    </row>
    <row r="41" spans="2:8" ht="15.75" customHeight="1" x14ac:dyDescent="0.2">
      <c r="B41" s="25" t="s">
        <v>396</v>
      </c>
      <c r="C41" s="25" t="s">
        <v>397</v>
      </c>
      <c r="D41" s="25" t="s">
        <v>274</v>
      </c>
      <c r="E41" s="26">
        <v>26697</v>
      </c>
      <c r="F41" s="27">
        <v>261.83</v>
      </c>
      <c r="G41" s="28">
        <v>1.35E-2</v>
      </c>
      <c r="H41" s="29"/>
    </row>
    <row r="42" spans="2:8" ht="15.75" customHeight="1" x14ac:dyDescent="0.2">
      <c r="B42" s="25" t="s">
        <v>356</v>
      </c>
      <c r="C42" s="25" t="s">
        <v>357</v>
      </c>
      <c r="D42" s="25" t="s">
        <v>274</v>
      </c>
      <c r="E42" s="26">
        <v>54706</v>
      </c>
      <c r="F42" s="27">
        <v>257.5</v>
      </c>
      <c r="G42" s="28">
        <v>1.3299999999999999E-2</v>
      </c>
      <c r="H42" s="29"/>
    </row>
    <row r="43" spans="2:8" ht="15.75" customHeight="1" x14ac:dyDescent="0.2">
      <c r="B43" s="25" t="s">
        <v>535</v>
      </c>
      <c r="C43" s="25" t="s">
        <v>536</v>
      </c>
      <c r="D43" s="25" t="s">
        <v>188</v>
      </c>
      <c r="E43" s="26">
        <v>88976</v>
      </c>
      <c r="F43" s="27">
        <v>249.09</v>
      </c>
      <c r="G43" s="28">
        <v>1.29E-2</v>
      </c>
      <c r="H43" s="29"/>
    </row>
    <row r="44" spans="2:8" ht="15.75" customHeight="1" x14ac:dyDescent="0.2">
      <c r="B44" s="25" t="s">
        <v>463</v>
      </c>
      <c r="C44" s="25" t="s">
        <v>464</v>
      </c>
      <c r="D44" s="25" t="s">
        <v>237</v>
      </c>
      <c r="E44" s="26">
        <v>14433</v>
      </c>
      <c r="F44" s="27">
        <v>242.21</v>
      </c>
      <c r="G44" s="28">
        <v>1.2500000000000001E-2</v>
      </c>
      <c r="H44" s="29"/>
    </row>
    <row r="45" spans="2:8" ht="15.75" customHeight="1" x14ac:dyDescent="0.2">
      <c r="B45" s="25" t="s">
        <v>411</v>
      </c>
      <c r="C45" s="25" t="s">
        <v>412</v>
      </c>
      <c r="D45" s="25" t="s">
        <v>301</v>
      </c>
      <c r="E45" s="26">
        <v>10404</v>
      </c>
      <c r="F45" s="27">
        <v>238.58</v>
      </c>
      <c r="G45" s="28">
        <v>1.23E-2</v>
      </c>
      <c r="H45" s="29"/>
    </row>
    <row r="46" spans="2:8" ht="15.75" customHeight="1" x14ac:dyDescent="0.2">
      <c r="B46" s="25" t="s">
        <v>628</v>
      </c>
      <c r="C46" s="25" t="s">
        <v>629</v>
      </c>
      <c r="D46" s="25" t="s">
        <v>188</v>
      </c>
      <c r="E46" s="26">
        <v>17802</v>
      </c>
      <c r="F46" s="27">
        <v>220.82</v>
      </c>
      <c r="G46" s="28">
        <v>1.14E-2</v>
      </c>
      <c r="H46" s="29"/>
    </row>
    <row r="47" spans="2:8" ht="15.75" customHeight="1" x14ac:dyDescent="0.2">
      <c r="B47" s="25" t="s">
        <v>407</v>
      </c>
      <c r="C47" s="25" t="s">
        <v>408</v>
      </c>
      <c r="D47" s="25" t="s">
        <v>188</v>
      </c>
      <c r="E47" s="26">
        <v>43234</v>
      </c>
      <c r="F47" s="27">
        <v>220.02</v>
      </c>
      <c r="G47" s="28">
        <v>1.14E-2</v>
      </c>
      <c r="H47" s="29"/>
    </row>
    <row r="48" spans="2:8" ht="15.75" customHeight="1" x14ac:dyDescent="0.2">
      <c r="B48" s="25" t="s">
        <v>630</v>
      </c>
      <c r="C48" s="25" t="s">
        <v>631</v>
      </c>
      <c r="D48" s="25" t="s">
        <v>173</v>
      </c>
      <c r="E48" s="26">
        <v>7925</v>
      </c>
      <c r="F48" s="27">
        <v>219.98</v>
      </c>
      <c r="G48" s="28">
        <v>1.14E-2</v>
      </c>
      <c r="H48" s="29"/>
    </row>
    <row r="49" spans="2:8" ht="15.75" customHeight="1" x14ac:dyDescent="0.2">
      <c r="B49" s="25" t="s">
        <v>632</v>
      </c>
      <c r="C49" s="25" t="s">
        <v>633</v>
      </c>
      <c r="D49" s="25" t="s">
        <v>121</v>
      </c>
      <c r="E49" s="26">
        <v>246041</v>
      </c>
      <c r="F49" s="27">
        <v>218.73</v>
      </c>
      <c r="G49" s="28">
        <v>1.1299999999999999E-2</v>
      </c>
      <c r="H49" s="29"/>
    </row>
    <row r="50" spans="2:8" ht="15.75" customHeight="1" x14ac:dyDescent="0.2">
      <c r="B50" s="25" t="s">
        <v>634</v>
      </c>
      <c r="C50" s="25" t="s">
        <v>635</v>
      </c>
      <c r="D50" s="25" t="s">
        <v>320</v>
      </c>
      <c r="E50" s="26">
        <v>57637</v>
      </c>
      <c r="F50" s="27">
        <v>202.57</v>
      </c>
      <c r="G50" s="28">
        <v>1.0500000000000001E-2</v>
      </c>
      <c r="H50" s="29"/>
    </row>
    <row r="51" spans="2:8" ht="15.75" customHeight="1" x14ac:dyDescent="0.2">
      <c r="B51" s="25" t="s">
        <v>455</v>
      </c>
      <c r="C51" s="25" t="s">
        <v>456</v>
      </c>
      <c r="D51" s="25" t="s">
        <v>237</v>
      </c>
      <c r="E51" s="26">
        <v>109698</v>
      </c>
      <c r="F51" s="27">
        <v>197.62</v>
      </c>
      <c r="G51" s="28">
        <v>1.0200000000000001E-2</v>
      </c>
      <c r="H51" s="29"/>
    </row>
    <row r="52" spans="2:8" ht="15.75" customHeight="1" x14ac:dyDescent="0.2">
      <c r="B52" s="25" t="s">
        <v>636</v>
      </c>
      <c r="C52" s="25" t="s">
        <v>637</v>
      </c>
      <c r="D52" s="25" t="s">
        <v>301</v>
      </c>
      <c r="E52" s="26">
        <v>80228</v>
      </c>
      <c r="F52" s="27">
        <v>178.79</v>
      </c>
      <c r="G52" s="28">
        <v>9.1999999999999998E-3</v>
      </c>
      <c r="H52" s="29"/>
    </row>
    <row r="53" spans="2:8" ht="15.75" customHeight="1" x14ac:dyDescent="0.2">
      <c r="B53" s="25" t="s">
        <v>341</v>
      </c>
      <c r="C53" s="25" t="s">
        <v>342</v>
      </c>
      <c r="D53" s="25" t="s">
        <v>226</v>
      </c>
      <c r="E53" s="26">
        <v>11737</v>
      </c>
      <c r="F53" s="27">
        <v>169.12</v>
      </c>
      <c r="G53" s="28">
        <v>8.6999999999999994E-3</v>
      </c>
      <c r="H53" s="29"/>
    </row>
    <row r="54" spans="2:8" ht="15.75" customHeight="1" x14ac:dyDescent="0.2">
      <c r="B54" s="25" t="s">
        <v>569</v>
      </c>
      <c r="C54" s="25" t="s">
        <v>570</v>
      </c>
      <c r="D54" s="25" t="s">
        <v>292</v>
      </c>
      <c r="E54" s="26">
        <v>10375</v>
      </c>
      <c r="F54" s="27">
        <v>167.23</v>
      </c>
      <c r="G54" s="28">
        <v>8.6E-3</v>
      </c>
      <c r="H54" s="29"/>
    </row>
    <row r="55" spans="2:8" ht="15.75" customHeight="1" x14ac:dyDescent="0.2">
      <c r="B55" s="25" t="s">
        <v>586</v>
      </c>
      <c r="C55" s="25" t="s">
        <v>587</v>
      </c>
      <c r="D55" s="25" t="s">
        <v>298</v>
      </c>
      <c r="E55" s="26">
        <v>11023</v>
      </c>
      <c r="F55" s="27">
        <v>166.74</v>
      </c>
      <c r="G55" s="28">
        <v>8.6E-3</v>
      </c>
      <c r="H55" s="29"/>
    </row>
    <row r="56" spans="2:8" ht="15.75" customHeight="1" x14ac:dyDescent="0.2">
      <c r="B56" s="25" t="s">
        <v>299</v>
      </c>
      <c r="C56" s="25" t="s">
        <v>300</v>
      </c>
      <c r="D56" s="25" t="s">
        <v>301</v>
      </c>
      <c r="E56" s="26">
        <v>12636</v>
      </c>
      <c r="F56" s="27">
        <v>151.63</v>
      </c>
      <c r="G56" s="28">
        <v>7.7999999999999996E-3</v>
      </c>
      <c r="H56" s="29"/>
    </row>
    <row r="57" spans="2:8" ht="15.75" customHeight="1" x14ac:dyDescent="0.2">
      <c r="B57" s="25" t="s">
        <v>638</v>
      </c>
      <c r="C57" s="25" t="s">
        <v>639</v>
      </c>
      <c r="D57" s="25" t="s">
        <v>188</v>
      </c>
      <c r="E57" s="26">
        <v>1807</v>
      </c>
      <c r="F57" s="27">
        <v>141.80000000000001</v>
      </c>
      <c r="G57" s="28">
        <v>7.3000000000000001E-3</v>
      </c>
      <c r="H57" s="29"/>
    </row>
    <row r="58" spans="2:8" ht="15.75" customHeight="1" x14ac:dyDescent="0.2">
      <c r="B58" s="25" t="s">
        <v>446</v>
      </c>
      <c r="C58" s="25" t="s">
        <v>447</v>
      </c>
      <c r="D58" s="25" t="s">
        <v>197</v>
      </c>
      <c r="E58" s="26">
        <v>63669</v>
      </c>
      <c r="F58" s="27">
        <v>139.82</v>
      </c>
      <c r="G58" s="28">
        <v>7.1999999999999998E-3</v>
      </c>
      <c r="H58" s="29"/>
    </row>
    <row r="59" spans="2:8" ht="15.75" customHeight="1" x14ac:dyDescent="0.2">
      <c r="B59" s="25" t="s">
        <v>640</v>
      </c>
      <c r="C59" s="25" t="s">
        <v>641</v>
      </c>
      <c r="D59" s="25" t="s">
        <v>404</v>
      </c>
      <c r="E59" s="26">
        <v>20473</v>
      </c>
      <c r="F59" s="27">
        <v>124.25</v>
      </c>
      <c r="G59" s="28">
        <v>6.4000000000000003E-3</v>
      </c>
      <c r="H59" s="29"/>
    </row>
    <row r="60" spans="2:8" ht="15.75" customHeight="1" x14ac:dyDescent="0.2">
      <c r="B60" s="25" t="s">
        <v>394</v>
      </c>
      <c r="C60" s="25" t="s">
        <v>395</v>
      </c>
      <c r="D60" s="25" t="s">
        <v>135</v>
      </c>
      <c r="E60" s="26">
        <v>19838</v>
      </c>
      <c r="F60" s="27">
        <v>108.34</v>
      </c>
      <c r="G60" s="28">
        <v>5.5999999999999999E-3</v>
      </c>
      <c r="H60" s="29"/>
    </row>
    <row r="61" spans="2:8" ht="15.75" customHeight="1" x14ac:dyDescent="0.2">
      <c r="B61" s="25" t="s">
        <v>642</v>
      </c>
      <c r="C61" s="25" t="s">
        <v>643</v>
      </c>
      <c r="D61" s="25" t="s">
        <v>167</v>
      </c>
      <c r="E61" s="26">
        <v>14523</v>
      </c>
      <c r="F61" s="27">
        <v>100.35</v>
      </c>
      <c r="G61" s="28">
        <v>5.1999999999999998E-3</v>
      </c>
      <c r="H61" s="29"/>
    </row>
    <row r="62" spans="2:8" ht="15.75" customHeight="1" x14ac:dyDescent="0.2">
      <c r="B62" s="25" t="s">
        <v>354</v>
      </c>
      <c r="C62" s="25" t="s">
        <v>355</v>
      </c>
      <c r="D62" s="25" t="s">
        <v>191</v>
      </c>
      <c r="E62" s="26">
        <v>13646</v>
      </c>
      <c r="F62" s="27">
        <v>94.44</v>
      </c>
      <c r="G62" s="28">
        <v>4.8999999999999998E-3</v>
      </c>
      <c r="H62" s="29"/>
    </row>
    <row r="63" spans="2:8" ht="15.75" customHeight="1" x14ac:dyDescent="0.2">
      <c r="B63" s="25" t="s">
        <v>644</v>
      </c>
      <c r="C63" s="25" t="s">
        <v>645</v>
      </c>
      <c r="D63" s="25" t="s">
        <v>298</v>
      </c>
      <c r="E63" s="26">
        <v>10404</v>
      </c>
      <c r="F63" s="27">
        <v>91.83</v>
      </c>
      <c r="G63" s="28">
        <v>4.7000000000000002E-3</v>
      </c>
      <c r="H63" s="29"/>
    </row>
    <row r="64" spans="2:8" ht="15.75" customHeight="1" x14ac:dyDescent="0.2">
      <c r="B64" s="25" t="s">
        <v>646</v>
      </c>
      <c r="C64" s="25" t="s">
        <v>647</v>
      </c>
      <c r="D64" s="25" t="s">
        <v>202</v>
      </c>
      <c r="E64" s="26">
        <v>21355</v>
      </c>
      <c r="F64" s="27">
        <v>28.36</v>
      </c>
      <c r="G64" s="28">
        <v>1.5E-3</v>
      </c>
      <c r="H64" s="29"/>
    </row>
    <row r="65" spans="2:16" ht="15.75" customHeight="1" x14ac:dyDescent="0.2">
      <c r="B65" s="25" t="s">
        <v>648</v>
      </c>
      <c r="C65" s="25" t="s">
        <v>649</v>
      </c>
      <c r="D65" s="25" t="s">
        <v>173</v>
      </c>
      <c r="E65" s="26">
        <v>900</v>
      </c>
      <c r="F65" s="27">
        <v>4.9400000000000004</v>
      </c>
      <c r="G65" s="28">
        <v>2.9999999999999997E-4</v>
      </c>
      <c r="H65" s="29"/>
    </row>
    <row r="66" spans="2:16" ht="15.75" customHeight="1" x14ac:dyDescent="0.2">
      <c r="B66" s="24" t="s">
        <v>93</v>
      </c>
      <c r="C66" s="24"/>
      <c r="D66" s="24"/>
      <c r="E66" s="30"/>
      <c r="F66" s="31">
        <v>18403.59</v>
      </c>
      <c r="G66" s="32">
        <v>0.95050000000000001</v>
      </c>
      <c r="H66" s="33"/>
    </row>
    <row r="67" spans="2:16" ht="15.75" customHeight="1" x14ac:dyDescent="0.2">
      <c r="B67" s="24" t="s">
        <v>141</v>
      </c>
      <c r="C67" s="25"/>
      <c r="D67" s="25"/>
      <c r="E67" s="26"/>
      <c r="F67" s="27"/>
      <c r="G67" s="28"/>
      <c r="H67" s="29"/>
    </row>
    <row r="68" spans="2:16" ht="15.75" customHeight="1" x14ac:dyDescent="0.2">
      <c r="B68" s="24" t="s">
        <v>93</v>
      </c>
      <c r="C68" s="25"/>
      <c r="D68" s="25"/>
      <c r="E68" s="26"/>
      <c r="F68" s="34" t="s">
        <v>95</v>
      </c>
      <c r="G68" s="35" t="s">
        <v>95</v>
      </c>
      <c r="H68" s="29"/>
      <c r="L68" s="3"/>
    </row>
    <row r="69" spans="2:16" ht="15.75" customHeight="1" x14ac:dyDescent="0.2">
      <c r="B69" s="25"/>
      <c r="C69" s="25"/>
      <c r="D69" s="25"/>
      <c r="E69" s="26"/>
      <c r="F69" s="27"/>
      <c r="G69" s="28"/>
      <c r="H69" s="29"/>
    </row>
    <row r="70" spans="2:16" ht="15.75" customHeight="1" x14ac:dyDescent="0.2">
      <c r="B70" s="36" t="s">
        <v>97</v>
      </c>
      <c r="C70" s="36"/>
      <c r="D70" s="36"/>
      <c r="E70" s="37"/>
      <c r="F70" s="31">
        <v>18403.59</v>
      </c>
      <c r="G70" s="32">
        <v>0.95050000000000001</v>
      </c>
      <c r="H70" s="33"/>
      <c r="L70" s="3"/>
    </row>
    <row r="71" spans="2:16" ht="15.75" customHeight="1" x14ac:dyDescent="0.2">
      <c r="B71" s="25"/>
      <c r="C71" s="25"/>
      <c r="D71" s="25"/>
      <c r="E71" s="26"/>
      <c r="F71" s="27"/>
      <c r="G71" s="28"/>
      <c r="H71" s="29"/>
      <c r="L71" s="3"/>
    </row>
    <row r="72" spans="2:16" ht="15.75" customHeight="1" x14ac:dyDescent="0.2">
      <c r="B72" s="25"/>
      <c r="C72" s="25"/>
      <c r="D72" s="25"/>
      <c r="E72" s="26"/>
      <c r="F72" s="27"/>
      <c r="G72" s="28"/>
      <c r="H72" s="29"/>
      <c r="L72" s="3"/>
    </row>
    <row r="73" spans="2:16" ht="15.75" customHeight="1" x14ac:dyDescent="0.2">
      <c r="B73" s="24" t="s">
        <v>100</v>
      </c>
      <c r="C73" s="25"/>
      <c r="D73" s="25"/>
      <c r="E73" s="26"/>
      <c r="F73" s="27"/>
      <c r="G73" s="28"/>
      <c r="H73" s="29"/>
      <c r="L73" s="3"/>
    </row>
    <row r="74" spans="2:16" ht="15.75" customHeight="1" x14ac:dyDescent="0.2">
      <c r="B74" s="25" t="s">
        <v>101</v>
      </c>
      <c r="C74" s="25"/>
      <c r="D74" s="25"/>
      <c r="E74" s="26"/>
      <c r="F74" s="27">
        <v>992.98</v>
      </c>
      <c r="G74" s="28">
        <v>5.1299999999999998E-2</v>
      </c>
      <c r="H74" s="29"/>
      <c r="L74" s="3"/>
    </row>
    <row r="75" spans="2:16" ht="15.75" customHeight="1" x14ac:dyDescent="0.2">
      <c r="B75" s="24" t="s">
        <v>93</v>
      </c>
      <c r="C75" s="24"/>
      <c r="D75" s="24"/>
      <c r="E75" s="30"/>
      <c r="F75" s="31">
        <v>992.98</v>
      </c>
      <c r="G75" s="32">
        <v>5.1299999999999998E-2</v>
      </c>
      <c r="H75" s="33"/>
      <c r="L75" s="5"/>
      <c r="M75" s="5"/>
      <c r="N75" s="6"/>
      <c r="O75" s="6"/>
      <c r="P75" s="5"/>
    </row>
    <row r="76" spans="2:16" ht="15.75" customHeight="1" x14ac:dyDescent="0.2">
      <c r="B76" s="25"/>
      <c r="C76" s="25"/>
      <c r="D76" s="25"/>
      <c r="E76" s="26"/>
      <c r="F76" s="27"/>
      <c r="G76" s="28"/>
      <c r="H76" s="29"/>
    </row>
    <row r="77" spans="2:16" ht="15.75" customHeight="1" x14ac:dyDescent="0.2">
      <c r="B77" s="36" t="s">
        <v>97</v>
      </c>
      <c r="C77" s="36"/>
      <c r="D77" s="36"/>
      <c r="E77" s="37"/>
      <c r="F77" s="31">
        <v>992.98</v>
      </c>
      <c r="G77" s="32">
        <v>5.1299999999999998E-2</v>
      </c>
      <c r="H77" s="33"/>
    </row>
    <row r="78" spans="2:16" ht="15.75" customHeight="1" x14ac:dyDescent="0.2">
      <c r="B78" s="25" t="s">
        <v>102</v>
      </c>
      <c r="C78" s="25"/>
      <c r="D78" s="25"/>
      <c r="E78" s="26"/>
      <c r="F78" s="38">
        <v>-35.29</v>
      </c>
      <c r="G78" s="39">
        <v>-1.8000000000000238E-3</v>
      </c>
      <c r="H78" s="29"/>
      <c r="L78" s="7"/>
      <c r="M78" s="7"/>
      <c r="N78" s="7"/>
      <c r="O78" s="7"/>
      <c r="P78" s="7"/>
    </row>
    <row r="79" spans="2:16" ht="15.75" customHeight="1" x14ac:dyDescent="0.2">
      <c r="B79" s="40" t="s">
        <v>103</v>
      </c>
      <c r="C79" s="40"/>
      <c r="D79" s="40"/>
      <c r="E79" s="41"/>
      <c r="F79" s="42">
        <v>19361.28</v>
      </c>
      <c r="G79" s="43">
        <v>1</v>
      </c>
      <c r="H79" s="44"/>
      <c r="L79" s="7"/>
      <c r="M79" s="7"/>
      <c r="N79" s="7"/>
      <c r="O79" s="7"/>
      <c r="P79" s="7"/>
    </row>
    <row r="80" spans="2:16" ht="15.75" customHeight="1" thickBot="1" x14ac:dyDescent="0.25">
      <c r="B80" s="2"/>
      <c r="L80" s="7"/>
      <c r="M80" s="7"/>
      <c r="N80" s="7"/>
      <c r="O80" s="7"/>
      <c r="P80" s="7"/>
    </row>
    <row r="81" spans="2:8" ht="27" customHeight="1" thickBot="1" x14ac:dyDescent="0.25">
      <c r="B81" s="57" t="s">
        <v>806</v>
      </c>
      <c r="C81" s="58" t="s">
        <v>807</v>
      </c>
      <c r="D81" s="58" t="s">
        <v>808</v>
      </c>
      <c r="E81" s="59" t="s">
        <v>809</v>
      </c>
      <c r="G81" s="2"/>
      <c r="H81" s="2"/>
    </row>
    <row r="82" spans="2:8" ht="29.25" customHeight="1" x14ac:dyDescent="0.2">
      <c r="B82" s="71" t="s">
        <v>850</v>
      </c>
      <c r="C82" s="83"/>
      <c r="D82" s="86" t="s">
        <v>851</v>
      </c>
      <c r="E82" s="88"/>
      <c r="G82" s="2"/>
      <c r="H82" s="2"/>
    </row>
    <row r="83" spans="2:8" ht="39.950000000000003" customHeight="1" x14ac:dyDescent="0.2">
      <c r="B83" s="61" t="s">
        <v>836</v>
      </c>
      <c r="C83" s="84"/>
      <c r="D83" s="87"/>
      <c r="E83" s="84"/>
      <c r="G83" s="2"/>
      <c r="H83" s="2"/>
    </row>
    <row r="84" spans="2:8" ht="39.950000000000003" customHeight="1" x14ac:dyDescent="0.2">
      <c r="B84" s="61" t="s">
        <v>852</v>
      </c>
      <c r="C84" s="84"/>
      <c r="D84" s="87"/>
      <c r="E84" s="84"/>
      <c r="G84" s="2"/>
      <c r="H84" s="2"/>
    </row>
    <row r="85" spans="2:8" ht="23.25" customHeight="1" thickBot="1" x14ac:dyDescent="0.25">
      <c r="B85" s="62" t="s">
        <v>826</v>
      </c>
      <c r="C85" s="85"/>
      <c r="D85" s="70" t="s">
        <v>826</v>
      </c>
      <c r="E85" s="89"/>
      <c r="G85" s="2"/>
      <c r="H85" s="2"/>
    </row>
    <row r="86" spans="2:8" ht="24.95" customHeight="1" x14ac:dyDescent="0.2">
      <c r="B86" s="64" t="s">
        <v>815</v>
      </c>
      <c r="C86" s="65"/>
      <c r="D86" s="66"/>
      <c r="E86" s="67"/>
      <c r="G86" s="2"/>
      <c r="H86" s="2"/>
    </row>
    <row r="88" spans="2:8" ht="12" x14ac:dyDescent="0.2">
      <c r="B88" s="2" t="s">
        <v>816</v>
      </c>
      <c r="C88" s="2"/>
      <c r="D88" s="2"/>
      <c r="G88" s="2"/>
      <c r="H88" s="2"/>
    </row>
    <row r="89" spans="2:8" ht="12" x14ac:dyDescent="0.2">
      <c r="B89" s="3" t="s">
        <v>817</v>
      </c>
      <c r="C89" s="2"/>
      <c r="D89" s="2"/>
      <c r="G89" s="2"/>
      <c r="H89" s="2"/>
    </row>
  </sheetData>
  <mergeCells count="3">
    <mergeCell ref="C82:C85"/>
    <mergeCell ref="D82:D84"/>
    <mergeCell ref="E82:E85"/>
  </mergeCells>
  <hyperlinks>
    <hyperlink ref="I1" location="'Sheet1'!A1" display="Index" xr:uid="{D73AD768-DD92-46EB-8C1F-E64B3AFF1ED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C45BB-57DF-4A2C-B03D-B7A1509BCE6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7.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900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73127</v>
      </c>
      <c r="F7" s="27">
        <v>1249.92</v>
      </c>
      <c r="G7" s="28">
        <v>9.3799999999999994E-2</v>
      </c>
      <c r="H7" s="29"/>
    </row>
    <row r="8" spans="2:9" ht="15.75" customHeight="1" x14ac:dyDescent="0.2">
      <c r="B8" s="25" t="s">
        <v>127</v>
      </c>
      <c r="C8" s="25" t="s">
        <v>128</v>
      </c>
      <c r="D8" s="25" t="s">
        <v>129</v>
      </c>
      <c r="E8" s="26">
        <v>30488</v>
      </c>
      <c r="F8" s="27">
        <v>812.19</v>
      </c>
      <c r="G8" s="28">
        <v>6.0900000000000003E-2</v>
      </c>
      <c r="H8" s="29"/>
    </row>
    <row r="9" spans="2:9" ht="15.75" customHeight="1" x14ac:dyDescent="0.2">
      <c r="B9" s="25" t="s">
        <v>256</v>
      </c>
      <c r="C9" s="25" t="s">
        <v>257</v>
      </c>
      <c r="D9" s="25" t="s">
        <v>121</v>
      </c>
      <c r="E9" s="26">
        <v>124322</v>
      </c>
      <c r="F9" s="27">
        <v>798.21</v>
      </c>
      <c r="G9" s="28">
        <v>5.9900000000000002E-2</v>
      </c>
      <c r="H9" s="29"/>
    </row>
    <row r="10" spans="2:9" ht="15.75" customHeight="1" x14ac:dyDescent="0.2">
      <c r="B10" s="25" t="s">
        <v>119</v>
      </c>
      <c r="C10" s="25" t="s">
        <v>120</v>
      </c>
      <c r="D10" s="25" t="s">
        <v>121</v>
      </c>
      <c r="E10" s="26">
        <v>79342</v>
      </c>
      <c r="F10" s="27">
        <v>790.72</v>
      </c>
      <c r="G10" s="28">
        <v>5.9299999999999999E-2</v>
      </c>
      <c r="H10" s="29"/>
    </row>
    <row r="11" spans="2:9" ht="15.75" customHeight="1" x14ac:dyDescent="0.2">
      <c r="B11" s="25" t="s">
        <v>220</v>
      </c>
      <c r="C11" s="25" t="s">
        <v>221</v>
      </c>
      <c r="D11" s="25" t="s">
        <v>124</v>
      </c>
      <c r="E11" s="26">
        <v>55565</v>
      </c>
      <c r="F11" s="27">
        <v>707.15</v>
      </c>
      <c r="G11" s="28">
        <v>5.2999999999999999E-2</v>
      </c>
      <c r="H11" s="29"/>
    </row>
    <row r="12" spans="2:9" ht="15.75" customHeight="1" x14ac:dyDescent="0.2">
      <c r="B12" s="25" t="s">
        <v>157</v>
      </c>
      <c r="C12" s="25" t="s">
        <v>158</v>
      </c>
      <c r="D12" s="25" t="s">
        <v>129</v>
      </c>
      <c r="E12" s="26">
        <v>151113</v>
      </c>
      <c r="F12" s="27">
        <v>698.29</v>
      </c>
      <c r="G12" s="28">
        <v>5.2400000000000002E-2</v>
      </c>
      <c r="H12" s="29"/>
    </row>
    <row r="13" spans="2:9" ht="15.75" customHeight="1" x14ac:dyDescent="0.2">
      <c r="B13" s="25" t="s">
        <v>331</v>
      </c>
      <c r="C13" s="25" t="s">
        <v>332</v>
      </c>
      <c r="D13" s="25" t="s">
        <v>121</v>
      </c>
      <c r="E13" s="26">
        <v>400052</v>
      </c>
      <c r="F13" s="27">
        <v>624.67999999999995</v>
      </c>
      <c r="G13" s="28">
        <v>4.6899999999999997E-2</v>
      </c>
      <c r="H13" s="29"/>
    </row>
    <row r="14" spans="2:9" ht="15.75" customHeight="1" x14ac:dyDescent="0.2">
      <c r="B14" s="25" t="s">
        <v>272</v>
      </c>
      <c r="C14" s="25" t="s">
        <v>273</v>
      </c>
      <c r="D14" s="25" t="s">
        <v>274</v>
      </c>
      <c r="E14" s="26">
        <v>605822</v>
      </c>
      <c r="F14" s="27">
        <v>617.64</v>
      </c>
      <c r="G14" s="28">
        <v>4.6300000000000001E-2</v>
      </c>
      <c r="H14" s="29"/>
    </row>
    <row r="15" spans="2:9" ht="15.75" customHeight="1" x14ac:dyDescent="0.2">
      <c r="B15" s="25" t="s">
        <v>215</v>
      </c>
      <c r="C15" s="25" t="s">
        <v>216</v>
      </c>
      <c r="D15" s="25" t="s">
        <v>217</v>
      </c>
      <c r="E15" s="26">
        <v>53308</v>
      </c>
      <c r="F15" s="27">
        <v>579.35</v>
      </c>
      <c r="G15" s="28">
        <v>4.3499999999999997E-2</v>
      </c>
      <c r="H15" s="29"/>
    </row>
    <row r="16" spans="2:9" ht="15.75" customHeight="1" x14ac:dyDescent="0.2">
      <c r="B16" s="25" t="s">
        <v>171</v>
      </c>
      <c r="C16" s="25" t="s">
        <v>172</v>
      </c>
      <c r="D16" s="25" t="s">
        <v>173</v>
      </c>
      <c r="E16" s="26">
        <v>19755</v>
      </c>
      <c r="F16" s="27">
        <v>536.37</v>
      </c>
      <c r="G16" s="28">
        <v>4.02E-2</v>
      </c>
      <c r="H16" s="29"/>
    </row>
    <row r="17" spans="2:8" ht="15.75" customHeight="1" x14ac:dyDescent="0.2">
      <c r="B17" s="25" t="s">
        <v>264</v>
      </c>
      <c r="C17" s="25" t="s">
        <v>265</v>
      </c>
      <c r="D17" s="25" t="s">
        <v>138</v>
      </c>
      <c r="E17" s="26">
        <v>4861</v>
      </c>
      <c r="F17" s="27">
        <v>500.8</v>
      </c>
      <c r="G17" s="28">
        <v>3.7600000000000001E-2</v>
      </c>
      <c r="H17" s="29"/>
    </row>
    <row r="18" spans="2:8" ht="15.75" customHeight="1" x14ac:dyDescent="0.2">
      <c r="B18" s="25" t="s">
        <v>262</v>
      </c>
      <c r="C18" s="25" t="s">
        <v>263</v>
      </c>
      <c r="D18" s="25" t="s">
        <v>124</v>
      </c>
      <c r="E18" s="26">
        <v>31808</v>
      </c>
      <c r="F18" s="27">
        <v>466.34</v>
      </c>
      <c r="G18" s="28">
        <v>3.5000000000000003E-2</v>
      </c>
      <c r="H18" s="29"/>
    </row>
    <row r="19" spans="2:8" ht="15.75" customHeight="1" x14ac:dyDescent="0.2">
      <c r="B19" s="25" t="s">
        <v>184</v>
      </c>
      <c r="C19" s="25" t="s">
        <v>185</v>
      </c>
      <c r="D19" s="25" t="s">
        <v>121</v>
      </c>
      <c r="E19" s="26">
        <v>24135</v>
      </c>
      <c r="F19" s="27">
        <v>460.52</v>
      </c>
      <c r="G19" s="28">
        <v>3.4500000000000003E-2</v>
      </c>
      <c r="H19" s="29"/>
    </row>
    <row r="20" spans="2:8" ht="15.75" customHeight="1" x14ac:dyDescent="0.2">
      <c r="B20" s="25" t="s">
        <v>238</v>
      </c>
      <c r="C20" s="25" t="s">
        <v>239</v>
      </c>
      <c r="D20" s="25" t="s">
        <v>176</v>
      </c>
      <c r="E20" s="26">
        <v>45162</v>
      </c>
      <c r="F20" s="27">
        <v>420.64</v>
      </c>
      <c r="G20" s="28">
        <v>3.1600000000000003E-2</v>
      </c>
      <c r="H20" s="29"/>
    </row>
    <row r="21" spans="2:8" ht="15.75" customHeight="1" x14ac:dyDescent="0.2">
      <c r="B21" s="25" t="s">
        <v>279</v>
      </c>
      <c r="C21" s="25" t="s">
        <v>280</v>
      </c>
      <c r="D21" s="25" t="s">
        <v>188</v>
      </c>
      <c r="E21" s="26">
        <v>126485</v>
      </c>
      <c r="F21" s="27">
        <v>393.24</v>
      </c>
      <c r="G21" s="28">
        <v>2.9499999999999998E-2</v>
      </c>
      <c r="H21" s="29"/>
    </row>
    <row r="22" spans="2:8" ht="15.75" customHeight="1" x14ac:dyDescent="0.2">
      <c r="B22" s="25" t="s">
        <v>578</v>
      </c>
      <c r="C22" s="25" t="s">
        <v>579</v>
      </c>
      <c r="D22" s="25" t="s">
        <v>345</v>
      </c>
      <c r="E22" s="26">
        <v>13095</v>
      </c>
      <c r="F22" s="27">
        <v>388.54</v>
      </c>
      <c r="G22" s="28">
        <v>2.9100000000000001E-2</v>
      </c>
      <c r="H22" s="29"/>
    </row>
    <row r="23" spans="2:8" ht="15.75" customHeight="1" x14ac:dyDescent="0.2">
      <c r="B23" s="25" t="s">
        <v>203</v>
      </c>
      <c r="C23" s="25" t="s">
        <v>204</v>
      </c>
      <c r="D23" s="25" t="s">
        <v>194</v>
      </c>
      <c r="E23" s="26">
        <v>52102</v>
      </c>
      <c r="F23" s="27">
        <v>359.09</v>
      </c>
      <c r="G23" s="28">
        <v>2.69E-2</v>
      </c>
      <c r="H23" s="29"/>
    </row>
    <row r="24" spans="2:8" ht="15.75" customHeight="1" x14ac:dyDescent="0.2">
      <c r="B24" s="25" t="s">
        <v>453</v>
      </c>
      <c r="C24" s="25" t="s">
        <v>454</v>
      </c>
      <c r="D24" s="25" t="s">
        <v>164</v>
      </c>
      <c r="E24" s="26">
        <v>135133</v>
      </c>
      <c r="F24" s="27">
        <v>337.16</v>
      </c>
      <c r="G24" s="28">
        <v>2.53E-2</v>
      </c>
      <c r="H24" s="29"/>
    </row>
    <row r="25" spans="2:8" ht="15.75" customHeight="1" x14ac:dyDescent="0.2">
      <c r="B25" s="25" t="s">
        <v>407</v>
      </c>
      <c r="C25" s="25" t="s">
        <v>408</v>
      </c>
      <c r="D25" s="25" t="s">
        <v>188</v>
      </c>
      <c r="E25" s="26">
        <v>62724</v>
      </c>
      <c r="F25" s="27">
        <v>319.2</v>
      </c>
      <c r="G25" s="28">
        <v>2.3900000000000001E-2</v>
      </c>
      <c r="H25" s="29"/>
    </row>
    <row r="26" spans="2:8" ht="15.75" customHeight="1" x14ac:dyDescent="0.2">
      <c r="B26" s="25" t="s">
        <v>409</v>
      </c>
      <c r="C26" s="25" t="s">
        <v>410</v>
      </c>
      <c r="D26" s="25" t="s">
        <v>167</v>
      </c>
      <c r="E26" s="26">
        <v>123039</v>
      </c>
      <c r="F26" s="27">
        <v>275.24</v>
      </c>
      <c r="G26" s="28">
        <v>2.06E-2</v>
      </c>
      <c r="H26" s="29"/>
    </row>
    <row r="27" spans="2:8" ht="15.75" customHeight="1" x14ac:dyDescent="0.2">
      <c r="B27" s="25" t="s">
        <v>382</v>
      </c>
      <c r="C27" s="25" t="s">
        <v>383</v>
      </c>
      <c r="D27" s="25" t="s">
        <v>176</v>
      </c>
      <c r="E27" s="26">
        <v>17677</v>
      </c>
      <c r="F27" s="27">
        <v>260.97000000000003</v>
      </c>
      <c r="G27" s="28">
        <v>1.9599999999999999E-2</v>
      </c>
      <c r="H27" s="29"/>
    </row>
    <row r="28" spans="2:8" ht="15.75" customHeight="1" x14ac:dyDescent="0.2">
      <c r="B28" s="25" t="s">
        <v>455</v>
      </c>
      <c r="C28" s="25" t="s">
        <v>456</v>
      </c>
      <c r="D28" s="25" t="s">
        <v>237</v>
      </c>
      <c r="E28" s="26">
        <v>143752</v>
      </c>
      <c r="F28" s="27">
        <v>258.97000000000003</v>
      </c>
      <c r="G28" s="28">
        <v>1.9400000000000001E-2</v>
      </c>
      <c r="H28" s="29"/>
    </row>
    <row r="29" spans="2:8" ht="15.75" customHeight="1" x14ac:dyDescent="0.2">
      <c r="B29" s="25" t="s">
        <v>446</v>
      </c>
      <c r="C29" s="25" t="s">
        <v>447</v>
      </c>
      <c r="D29" s="25" t="s">
        <v>197</v>
      </c>
      <c r="E29" s="26">
        <v>113143</v>
      </c>
      <c r="F29" s="27">
        <v>248.46</v>
      </c>
      <c r="G29" s="28">
        <v>1.8599999999999998E-2</v>
      </c>
      <c r="H29" s="29"/>
    </row>
    <row r="30" spans="2:8" ht="15.75" customHeight="1" x14ac:dyDescent="0.2">
      <c r="B30" s="25" t="s">
        <v>411</v>
      </c>
      <c r="C30" s="25" t="s">
        <v>412</v>
      </c>
      <c r="D30" s="25" t="s">
        <v>301</v>
      </c>
      <c r="E30" s="26">
        <v>10602</v>
      </c>
      <c r="F30" s="27">
        <v>243.12</v>
      </c>
      <c r="G30" s="28">
        <v>1.8200000000000001E-2</v>
      </c>
      <c r="H30" s="29"/>
    </row>
    <row r="31" spans="2:8" ht="15.75" customHeight="1" x14ac:dyDescent="0.2">
      <c r="B31" s="25" t="s">
        <v>545</v>
      </c>
      <c r="C31" s="25" t="s">
        <v>546</v>
      </c>
      <c r="D31" s="25" t="s">
        <v>404</v>
      </c>
      <c r="E31" s="26">
        <v>391</v>
      </c>
      <c r="F31" s="27">
        <v>150.58000000000001</v>
      </c>
      <c r="G31" s="28">
        <v>1.1299999999999999E-2</v>
      </c>
      <c r="H31" s="29"/>
    </row>
    <row r="32" spans="2:8" ht="15.75" customHeight="1" x14ac:dyDescent="0.2">
      <c r="B32" s="25" t="s">
        <v>535</v>
      </c>
      <c r="C32" s="25" t="s">
        <v>536</v>
      </c>
      <c r="D32" s="25" t="s">
        <v>188</v>
      </c>
      <c r="E32" s="26">
        <v>49491</v>
      </c>
      <c r="F32" s="27">
        <v>138.55000000000001</v>
      </c>
      <c r="G32" s="28">
        <v>1.04E-2</v>
      </c>
      <c r="H32" s="29"/>
    </row>
    <row r="33" spans="2:8" ht="15.75" customHeight="1" x14ac:dyDescent="0.2">
      <c r="B33" s="25" t="s">
        <v>186</v>
      </c>
      <c r="C33" s="25" t="s">
        <v>187</v>
      </c>
      <c r="D33" s="25" t="s">
        <v>188</v>
      </c>
      <c r="E33" s="26">
        <v>5932</v>
      </c>
      <c r="F33" s="27">
        <v>81.150000000000006</v>
      </c>
      <c r="G33" s="28">
        <v>6.1000000000000004E-3</v>
      </c>
      <c r="H33" s="29"/>
    </row>
    <row r="34" spans="2:8" ht="15.75" customHeight="1" x14ac:dyDescent="0.2">
      <c r="B34" s="25" t="s">
        <v>582</v>
      </c>
      <c r="C34" s="25" t="s">
        <v>583</v>
      </c>
      <c r="D34" s="25" t="s">
        <v>298</v>
      </c>
      <c r="E34" s="26">
        <v>4750</v>
      </c>
      <c r="F34" s="27">
        <v>71.81</v>
      </c>
      <c r="G34" s="28">
        <v>5.4000000000000003E-3</v>
      </c>
      <c r="H34" s="29"/>
    </row>
    <row r="35" spans="2:8" ht="15.75" customHeight="1" x14ac:dyDescent="0.2">
      <c r="B35" s="25" t="s">
        <v>650</v>
      </c>
      <c r="C35" s="25" t="s">
        <v>651</v>
      </c>
      <c r="D35" s="25" t="s">
        <v>345</v>
      </c>
      <c r="E35" s="26">
        <v>8309</v>
      </c>
      <c r="F35" s="27">
        <v>32.229999999999997</v>
      </c>
      <c r="G35" s="28">
        <v>2.3999999999999998E-3</v>
      </c>
      <c r="H35" s="29"/>
    </row>
    <row r="36" spans="2:8" ht="15.75" customHeight="1" x14ac:dyDescent="0.2">
      <c r="B36" s="24" t="s">
        <v>93</v>
      </c>
      <c r="C36" s="24"/>
      <c r="D36" s="24"/>
      <c r="E36" s="30"/>
      <c r="F36" s="31">
        <v>12821.13</v>
      </c>
      <c r="G36" s="32">
        <v>0.9617</v>
      </c>
      <c r="H36" s="33"/>
    </row>
    <row r="37" spans="2:8" ht="15.75" customHeight="1" x14ac:dyDescent="0.2">
      <c r="B37" s="24" t="s">
        <v>141</v>
      </c>
      <c r="C37" s="25"/>
      <c r="D37" s="25"/>
      <c r="E37" s="26"/>
      <c r="F37" s="27"/>
      <c r="G37" s="28"/>
      <c r="H37" s="29"/>
    </row>
    <row r="38" spans="2:8" ht="15.75" customHeight="1" x14ac:dyDescent="0.2">
      <c r="B38" s="24" t="s">
        <v>93</v>
      </c>
      <c r="C38" s="25"/>
      <c r="D38" s="25"/>
      <c r="E38" s="26"/>
      <c r="F38" s="34" t="s">
        <v>95</v>
      </c>
      <c r="G38" s="35" t="s">
        <v>95</v>
      </c>
      <c r="H38" s="29"/>
    </row>
    <row r="39" spans="2:8" ht="15.75" customHeight="1" x14ac:dyDescent="0.2">
      <c r="B39" s="25"/>
      <c r="C39" s="25"/>
      <c r="D39" s="25"/>
      <c r="E39" s="26"/>
      <c r="F39" s="27"/>
      <c r="G39" s="28"/>
      <c r="H39" s="29"/>
    </row>
    <row r="40" spans="2:8" ht="15.75" customHeight="1" x14ac:dyDescent="0.2">
      <c r="B40" s="36" t="s">
        <v>97</v>
      </c>
      <c r="C40" s="36"/>
      <c r="D40" s="36"/>
      <c r="E40" s="37"/>
      <c r="F40" s="31">
        <v>12821.13</v>
      </c>
      <c r="G40" s="32">
        <v>0.9617</v>
      </c>
      <c r="H40" s="33"/>
    </row>
    <row r="41" spans="2:8" ht="15.75" customHeight="1" x14ac:dyDescent="0.2">
      <c r="B41" s="25"/>
      <c r="C41" s="25"/>
      <c r="D41" s="25"/>
      <c r="E41" s="26"/>
      <c r="F41" s="27"/>
      <c r="G41" s="28"/>
      <c r="H41" s="29"/>
    </row>
    <row r="42" spans="2:8" ht="15.75" customHeight="1" x14ac:dyDescent="0.2">
      <c r="B42" s="25"/>
      <c r="C42" s="25"/>
      <c r="D42" s="25"/>
      <c r="E42" s="26"/>
      <c r="F42" s="27"/>
      <c r="G42" s="28"/>
      <c r="H42" s="29"/>
    </row>
    <row r="43" spans="2:8" ht="15.75" customHeight="1" x14ac:dyDescent="0.2">
      <c r="B43" s="24" t="s">
        <v>100</v>
      </c>
      <c r="C43" s="25"/>
      <c r="D43" s="25"/>
      <c r="E43" s="26"/>
      <c r="F43" s="27"/>
      <c r="G43" s="28"/>
      <c r="H43" s="29"/>
    </row>
    <row r="44" spans="2:8" ht="15.75" customHeight="1" x14ac:dyDescent="0.2">
      <c r="B44" s="25" t="s">
        <v>101</v>
      </c>
      <c r="C44" s="25"/>
      <c r="D44" s="25"/>
      <c r="E44" s="26"/>
      <c r="F44" s="27">
        <v>421.84</v>
      </c>
      <c r="G44" s="28">
        <v>3.1600000000000003E-2</v>
      </c>
      <c r="H44" s="29"/>
    </row>
    <row r="45" spans="2:8" ht="15.75" customHeight="1" x14ac:dyDescent="0.2">
      <c r="B45" s="24" t="s">
        <v>93</v>
      </c>
      <c r="C45" s="24"/>
      <c r="D45" s="24"/>
      <c r="E45" s="30"/>
      <c r="F45" s="31">
        <v>421.84</v>
      </c>
      <c r="G45" s="32">
        <v>3.1600000000000003E-2</v>
      </c>
      <c r="H45" s="33"/>
    </row>
    <row r="46" spans="2:8" ht="15.75" customHeight="1" x14ac:dyDescent="0.2">
      <c r="B46" s="25"/>
      <c r="C46" s="25"/>
      <c r="D46" s="25"/>
      <c r="E46" s="26"/>
      <c r="F46" s="27"/>
      <c r="G46" s="28"/>
      <c r="H46" s="29"/>
    </row>
    <row r="47" spans="2:8" ht="15.75" customHeight="1" x14ac:dyDescent="0.2">
      <c r="B47" s="36" t="s">
        <v>97</v>
      </c>
      <c r="C47" s="36"/>
      <c r="D47" s="36"/>
      <c r="E47" s="37"/>
      <c r="F47" s="31">
        <v>421.84</v>
      </c>
      <c r="G47" s="32">
        <v>3.1600000000000003E-2</v>
      </c>
      <c r="H47" s="33"/>
    </row>
    <row r="48" spans="2:8" ht="15.75" customHeight="1" x14ac:dyDescent="0.2">
      <c r="B48" s="25" t="s">
        <v>102</v>
      </c>
      <c r="C48" s="25"/>
      <c r="D48" s="25"/>
      <c r="E48" s="26"/>
      <c r="F48" s="27">
        <v>88.34</v>
      </c>
      <c r="G48" s="28">
        <v>6.7000000000000393E-3</v>
      </c>
      <c r="H48" s="29"/>
    </row>
    <row r="49" spans="2:8" ht="15.75" customHeight="1" x14ac:dyDescent="0.2">
      <c r="B49" s="40" t="s">
        <v>103</v>
      </c>
      <c r="C49" s="40"/>
      <c r="D49" s="40"/>
      <c r="E49" s="41"/>
      <c r="F49" s="42">
        <v>13331.31</v>
      </c>
      <c r="G49" s="43">
        <v>1</v>
      </c>
      <c r="H49" s="44"/>
    </row>
    <row r="50" spans="2:8" ht="15.75" customHeight="1" thickBot="1" x14ac:dyDescent="0.25">
      <c r="B50" s="2"/>
    </row>
    <row r="51" spans="2:8" ht="27" customHeight="1" thickBot="1" x14ac:dyDescent="0.25">
      <c r="B51" s="57" t="s">
        <v>806</v>
      </c>
      <c r="C51" s="58" t="s">
        <v>807</v>
      </c>
      <c r="D51" s="58" t="s">
        <v>808</v>
      </c>
      <c r="E51" s="59" t="s">
        <v>809</v>
      </c>
      <c r="G51" s="2"/>
      <c r="H51" s="2"/>
    </row>
    <row r="52" spans="2:8" ht="29.25" customHeight="1" x14ac:dyDescent="0.2">
      <c r="B52" s="71" t="s">
        <v>853</v>
      </c>
      <c r="C52" s="83"/>
      <c r="D52" s="86" t="s">
        <v>854</v>
      </c>
      <c r="E52" s="88"/>
      <c r="G52" s="2"/>
      <c r="H52" s="2"/>
    </row>
    <row r="53" spans="2:8" ht="39.950000000000003" customHeight="1" x14ac:dyDescent="0.2">
      <c r="B53" s="61" t="s">
        <v>836</v>
      </c>
      <c r="C53" s="84"/>
      <c r="D53" s="87"/>
      <c r="E53" s="84"/>
      <c r="G53" s="2"/>
      <c r="H53" s="2"/>
    </row>
    <row r="54" spans="2:8" ht="39.950000000000003" customHeight="1" x14ac:dyDescent="0.2">
      <c r="B54" s="61" t="s">
        <v>855</v>
      </c>
      <c r="C54" s="84"/>
      <c r="D54" s="87"/>
      <c r="E54" s="84"/>
      <c r="G54" s="2"/>
      <c r="H54" s="2"/>
    </row>
    <row r="55" spans="2:8" ht="23.25" customHeight="1" thickBot="1" x14ac:dyDescent="0.25">
      <c r="B55" s="62" t="s">
        <v>826</v>
      </c>
      <c r="C55" s="85"/>
      <c r="D55" s="70" t="s">
        <v>826</v>
      </c>
      <c r="E55" s="89"/>
      <c r="G55" s="2"/>
      <c r="H55" s="2"/>
    </row>
    <row r="56" spans="2:8" ht="24.95" customHeight="1" x14ac:dyDescent="0.2">
      <c r="B56" s="64" t="s">
        <v>815</v>
      </c>
      <c r="C56" s="65"/>
      <c r="D56" s="66"/>
      <c r="E56" s="67"/>
      <c r="G56" s="2"/>
      <c r="H56" s="2"/>
    </row>
    <row r="58" spans="2:8" ht="12" x14ac:dyDescent="0.2">
      <c r="B58" s="2" t="s">
        <v>816</v>
      </c>
      <c r="C58" s="2"/>
      <c r="D58" s="2"/>
      <c r="G58" s="2"/>
      <c r="H58" s="2"/>
    </row>
    <row r="59" spans="2:8" ht="12" x14ac:dyDescent="0.2">
      <c r="B59" s="3" t="s">
        <v>817</v>
      </c>
      <c r="C59" s="2"/>
      <c r="D59" s="2"/>
      <c r="G59" s="2"/>
      <c r="H5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2:C55"/>
    <mergeCell ref="D52:D54"/>
    <mergeCell ref="E52:E55"/>
  </mergeCells>
  <hyperlinks>
    <hyperlink ref="I1" location="'Sheet1'!A1" display="Index" xr:uid="{E7A55452-9930-4AB5-AC65-388633EE822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234B-5A9E-4103-AB6B-7AD2988E6BFD}">
  <dimension ref="B1:P86"/>
  <sheetViews>
    <sheetView workbookViewId="0">
      <selection activeCell="B3" sqref="B3"/>
    </sheetView>
  </sheetViews>
  <sheetFormatPr defaultColWidth="9.140625" defaultRowHeight="15.75" customHeight="1" x14ac:dyDescent="0.2"/>
  <cols>
    <col min="1" max="1" width="3.5703125" style="2" customWidth="1"/>
    <col min="2" max="2" width="50.42578125" style="9" customWidth="1"/>
    <col min="3" max="3" width="26.7109375" style="9" customWidth="1"/>
    <col min="4" max="4" width="26.5703125" style="9" customWidth="1"/>
    <col min="5" max="5" width="27.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899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19"/>
      <c r="C5" s="19"/>
      <c r="D5" s="19"/>
      <c r="E5" s="20"/>
      <c r="F5" s="21"/>
      <c r="G5" s="22"/>
      <c r="H5" s="23"/>
    </row>
    <row r="6" spans="2:9" ht="15.75" customHeight="1" x14ac:dyDescent="0.2">
      <c r="B6" s="25"/>
      <c r="C6" s="25"/>
      <c r="D6" s="25"/>
      <c r="E6" s="26"/>
      <c r="F6" s="27"/>
      <c r="G6" s="28"/>
      <c r="H6" s="29"/>
    </row>
    <row r="7" spans="2:9" ht="15.75" customHeight="1" x14ac:dyDescent="0.2">
      <c r="B7" s="24" t="s">
        <v>98</v>
      </c>
      <c r="C7" s="25"/>
      <c r="D7" s="25"/>
      <c r="E7" s="26"/>
      <c r="F7" s="27"/>
      <c r="G7" s="28"/>
      <c r="H7" s="29"/>
    </row>
    <row r="8" spans="2:9" ht="15.75" customHeight="1" x14ac:dyDescent="0.2">
      <c r="B8" s="24" t="s">
        <v>99</v>
      </c>
      <c r="C8" s="25"/>
      <c r="D8" s="25"/>
      <c r="E8" s="26"/>
      <c r="F8" s="27"/>
      <c r="G8" s="28"/>
      <c r="H8" s="29"/>
    </row>
    <row r="9" spans="2:9" ht="15.75" customHeight="1" x14ac:dyDescent="0.2">
      <c r="B9" s="25" t="s">
        <v>652</v>
      </c>
      <c r="C9" s="25" t="s">
        <v>653</v>
      </c>
      <c r="D9" s="25"/>
      <c r="E9" s="26">
        <v>80349</v>
      </c>
      <c r="F9" s="27">
        <v>4647.99</v>
      </c>
      <c r="G9" s="28">
        <v>0.99639999999999995</v>
      </c>
      <c r="H9" s="29"/>
    </row>
    <row r="10" spans="2:9" ht="15.75" customHeight="1" x14ac:dyDescent="0.2">
      <c r="B10" s="24" t="s">
        <v>93</v>
      </c>
      <c r="C10" s="24"/>
      <c r="D10" s="24"/>
      <c r="E10" s="30"/>
      <c r="F10" s="31">
        <v>4647.99</v>
      </c>
      <c r="G10" s="32">
        <v>99.643000000000001</v>
      </c>
      <c r="H10" s="33"/>
    </row>
    <row r="11" spans="2:9" ht="15.75" customHeight="1" x14ac:dyDescent="0.2">
      <c r="B11" s="25"/>
      <c r="C11" s="25"/>
      <c r="D11" s="25"/>
      <c r="E11" s="26"/>
      <c r="F11" s="27"/>
      <c r="G11" s="28"/>
      <c r="H11" s="29"/>
    </row>
    <row r="12" spans="2:9" ht="15.75" customHeight="1" x14ac:dyDescent="0.2">
      <c r="B12" s="36" t="s">
        <v>97</v>
      </c>
      <c r="C12" s="36"/>
      <c r="D12" s="36"/>
      <c r="E12" s="37"/>
      <c r="F12" s="31">
        <v>4647.99</v>
      </c>
      <c r="G12" s="32">
        <v>0.99639999999999995</v>
      </c>
      <c r="H12" s="33"/>
    </row>
    <row r="13" spans="2:9" ht="15.75" customHeight="1" x14ac:dyDescent="0.2">
      <c r="B13" s="25"/>
      <c r="C13" s="25"/>
      <c r="D13" s="25"/>
      <c r="E13" s="26"/>
      <c r="F13" s="27"/>
      <c r="G13" s="28"/>
      <c r="H13" s="29"/>
    </row>
    <row r="14" spans="2:9" ht="15.75" customHeight="1" x14ac:dyDescent="0.2">
      <c r="B14" s="24" t="s">
        <v>100</v>
      </c>
      <c r="C14" s="25"/>
      <c r="D14" s="25"/>
      <c r="E14" s="26"/>
      <c r="F14" s="27"/>
      <c r="G14" s="28"/>
      <c r="H14" s="29"/>
    </row>
    <row r="15" spans="2:9" ht="15.75" customHeight="1" x14ac:dyDescent="0.2">
      <c r="B15" s="25" t="s">
        <v>101</v>
      </c>
      <c r="C15" s="25"/>
      <c r="D15" s="25"/>
      <c r="E15" s="26"/>
      <c r="F15" s="27">
        <v>22.29</v>
      </c>
      <c r="G15" s="28">
        <v>4.7999999999999996E-3</v>
      </c>
      <c r="H15" s="29"/>
    </row>
    <row r="16" spans="2:9" ht="15.75" customHeight="1" x14ac:dyDescent="0.2">
      <c r="B16" s="24" t="s">
        <v>93</v>
      </c>
      <c r="C16" s="24"/>
      <c r="D16" s="24"/>
      <c r="E16" s="30"/>
      <c r="F16" s="31">
        <v>22.29</v>
      </c>
      <c r="G16" s="32">
        <v>4.7999999999999996E-3</v>
      </c>
      <c r="H16" s="33"/>
    </row>
    <row r="17" spans="2:8" ht="15.75" customHeight="1" x14ac:dyDescent="0.2">
      <c r="B17" s="25"/>
      <c r="C17" s="25"/>
      <c r="D17" s="25"/>
      <c r="E17" s="26"/>
      <c r="F17" s="27"/>
      <c r="G17" s="28"/>
      <c r="H17" s="29"/>
    </row>
    <row r="18" spans="2:8" ht="15.75" customHeight="1" x14ac:dyDescent="0.2">
      <c r="B18" s="36" t="s">
        <v>97</v>
      </c>
      <c r="C18" s="36"/>
      <c r="D18" s="36"/>
      <c r="E18" s="37"/>
      <c r="F18" s="31">
        <v>22.29</v>
      </c>
      <c r="G18" s="32">
        <v>4.7999999999999996E-3</v>
      </c>
      <c r="H18" s="33"/>
    </row>
    <row r="19" spans="2:8" ht="15.75" customHeight="1" x14ac:dyDescent="0.2">
      <c r="B19" s="25" t="s">
        <v>102</v>
      </c>
      <c r="C19" s="25"/>
      <c r="D19" s="25"/>
      <c r="E19" s="26"/>
      <c r="F19" s="38">
        <v>-5.64</v>
      </c>
      <c r="G19" s="39">
        <v>-1.1999999999998678E-3</v>
      </c>
      <c r="H19" s="29"/>
    </row>
    <row r="20" spans="2:8" ht="15.75" customHeight="1" x14ac:dyDescent="0.2">
      <c r="B20" s="40" t="s">
        <v>103</v>
      </c>
      <c r="C20" s="40"/>
      <c r="D20" s="40"/>
      <c r="E20" s="41"/>
      <c r="F20" s="42">
        <v>4664.6400000000003</v>
      </c>
      <c r="G20" s="43">
        <v>1</v>
      </c>
      <c r="H20" s="44"/>
    </row>
    <row r="21" spans="2:8" ht="15.75" customHeight="1" thickBot="1" x14ac:dyDescent="0.25">
      <c r="B21" s="2"/>
    </row>
    <row r="22" spans="2:8" ht="27" customHeight="1" thickBot="1" x14ac:dyDescent="0.25">
      <c r="B22" s="57" t="s">
        <v>806</v>
      </c>
      <c r="C22" s="58" t="s">
        <v>807</v>
      </c>
      <c r="D22" s="58" t="s">
        <v>808</v>
      </c>
      <c r="E22" s="59" t="s">
        <v>809</v>
      </c>
      <c r="G22" s="2"/>
      <c r="H22" s="2"/>
    </row>
    <row r="23" spans="2:8" ht="29.25" customHeight="1" x14ac:dyDescent="0.2">
      <c r="B23" s="71" t="s">
        <v>51</v>
      </c>
      <c r="C23" s="83"/>
      <c r="D23" s="86" t="s">
        <v>856</v>
      </c>
      <c r="E23" s="88"/>
      <c r="G23" s="2"/>
      <c r="H23" s="2"/>
    </row>
    <row r="24" spans="2:8" ht="39.950000000000003" customHeight="1" x14ac:dyDescent="0.2">
      <c r="B24" s="61" t="s">
        <v>857</v>
      </c>
      <c r="C24" s="84"/>
      <c r="D24" s="87"/>
      <c r="E24" s="84"/>
      <c r="G24" s="2"/>
      <c r="H24" s="2"/>
    </row>
    <row r="25" spans="2:8" ht="39.950000000000003" customHeight="1" x14ac:dyDescent="0.2">
      <c r="B25" s="61" t="s">
        <v>858</v>
      </c>
      <c r="C25" s="84"/>
      <c r="D25" s="87"/>
      <c r="E25" s="84"/>
      <c r="G25" s="2"/>
      <c r="H25" s="2"/>
    </row>
    <row r="26" spans="2:8" ht="23.25" customHeight="1" thickBot="1" x14ac:dyDescent="0.25">
      <c r="B26" s="62" t="s">
        <v>821</v>
      </c>
      <c r="C26" s="85"/>
      <c r="D26" s="70" t="s">
        <v>821</v>
      </c>
      <c r="E26" s="89"/>
      <c r="G26" s="2"/>
      <c r="H26" s="2"/>
    </row>
    <row r="27" spans="2:8" ht="24.95" customHeight="1" x14ac:dyDescent="0.2">
      <c r="B27" s="64" t="s">
        <v>815</v>
      </c>
      <c r="C27" s="65"/>
      <c r="D27" s="66"/>
      <c r="E27" s="67"/>
      <c r="G27" s="2"/>
      <c r="H27" s="2"/>
    </row>
    <row r="29" spans="2:8" ht="12" x14ac:dyDescent="0.2">
      <c r="B29" s="2" t="s">
        <v>816</v>
      </c>
      <c r="C29" s="2"/>
      <c r="D29" s="2"/>
      <c r="G29" s="2"/>
      <c r="H29" s="2"/>
    </row>
    <row r="30" spans="2:8" ht="12" x14ac:dyDescent="0.2">
      <c r="B30" s="3" t="s">
        <v>817</v>
      </c>
      <c r="C30" s="2"/>
      <c r="D30" s="2"/>
      <c r="G30" s="2"/>
      <c r="H3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EA9CEB56-0B52-423C-B3A9-E774B24A244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DC560-43D2-465F-8581-2037F1225AA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8.42578125" style="2" customWidth="1"/>
    <col min="6" max="6" width="16.42578125" style="2" customWidth="1"/>
    <col min="7" max="7" width="15.28515625" style="8" customWidth="1"/>
    <col min="8" max="8" width="10.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910</v>
      </c>
      <c r="C1" s="1" t="s">
        <v>911</v>
      </c>
      <c r="D1" s="1" t="s">
        <v>912</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94"/>
      <c r="C5" s="19"/>
      <c r="D5" s="19"/>
      <c r="E5" s="20"/>
      <c r="F5" s="21"/>
      <c r="G5" s="22"/>
      <c r="H5" s="95"/>
    </row>
    <row r="6" spans="2:9" ht="15.75" customHeight="1" x14ac:dyDescent="0.2">
      <c r="B6" s="96"/>
      <c r="C6" s="46"/>
      <c r="D6" s="46"/>
      <c r="E6" s="97"/>
      <c r="F6" s="98"/>
      <c r="G6" s="99"/>
      <c r="H6" s="100"/>
    </row>
    <row r="7" spans="2:9" ht="15.75" customHeight="1" x14ac:dyDescent="0.2">
      <c r="B7" s="101" t="s">
        <v>98</v>
      </c>
      <c r="C7" s="46"/>
      <c r="D7" s="46"/>
      <c r="E7" s="97"/>
      <c r="F7" s="98"/>
      <c r="G7" s="99"/>
      <c r="H7" s="100"/>
    </row>
    <row r="8" spans="2:9" ht="15.75" customHeight="1" x14ac:dyDescent="0.2">
      <c r="B8" s="101" t="s">
        <v>913</v>
      </c>
      <c r="C8" s="46"/>
      <c r="D8" s="46"/>
      <c r="E8" s="97"/>
      <c r="F8" s="98"/>
      <c r="G8" s="99"/>
      <c r="H8" s="100"/>
    </row>
    <row r="9" spans="2:9" ht="15.75" customHeight="1" x14ac:dyDescent="0.2">
      <c r="B9" s="96" t="s">
        <v>913</v>
      </c>
      <c r="C9" s="46"/>
      <c r="D9" s="46" t="s">
        <v>913</v>
      </c>
      <c r="E9" s="97">
        <v>178</v>
      </c>
      <c r="F9" s="98">
        <v>11243.76</v>
      </c>
      <c r="G9" s="99">
        <v>0.99529999999999996</v>
      </c>
      <c r="H9" s="100"/>
    </row>
    <row r="10" spans="2:9" ht="15.75" customHeight="1" x14ac:dyDescent="0.2">
      <c r="B10" s="101" t="s">
        <v>93</v>
      </c>
      <c r="C10" s="102"/>
      <c r="D10" s="102"/>
      <c r="E10" s="103"/>
      <c r="F10" s="31">
        <f>SUM(F9)</f>
        <v>11243.76</v>
      </c>
      <c r="G10" s="104">
        <f>SUM(G9)</f>
        <v>0.99529999999999996</v>
      </c>
      <c r="H10" s="105"/>
    </row>
    <row r="11" spans="2:9" ht="15.75" customHeight="1" x14ac:dyDescent="0.2">
      <c r="B11" s="96"/>
      <c r="C11" s="46"/>
      <c r="D11" s="46"/>
      <c r="E11" s="97"/>
      <c r="F11" s="98"/>
      <c r="G11" s="99"/>
      <c r="H11" s="100"/>
    </row>
    <row r="12" spans="2:9" ht="15.75" customHeight="1" x14ac:dyDescent="0.2">
      <c r="B12" s="106" t="s">
        <v>97</v>
      </c>
      <c r="C12" s="36"/>
      <c r="D12" s="36"/>
      <c r="E12" s="37"/>
      <c r="F12" s="31">
        <f>+F10</f>
        <v>11243.76</v>
      </c>
      <c r="G12" s="104">
        <f>+G10</f>
        <v>0.99529999999999996</v>
      </c>
      <c r="H12" s="105"/>
    </row>
    <row r="13" spans="2:9" ht="15.75" customHeight="1" x14ac:dyDescent="0.2">
      <c r="B13" s="96"/>
      <c r="C13" s="46"/>
      <c r="D13" s="46"/>
      <c r="E13" s="97"/>
      <c r="F13" s="98"/>
      <c r="G13" s="99"/>
      <c r="H13" s="100"/>
    </row>
    <row r="14" spans="2:9" ht="15.75" customHeight="1" x14ac:dyDescent="0.2">
      <c r="B14" s="101" t="s">
        <v>100</v>
      </c>
      <c r="C14" s="46"/>
      <c r="D14" s="46"/>
      <c r="E14" s="97"/>
      <c r="F14" s="98"/>
      <c r="G14" s="99"/>
      <c r="H14" s="100"/>
    </row>
    <row r="15" spans="2:9" ht="15.75" customHeight="1" x14ac:dyDescent="0.2">
      <c r="B15" s="96" t="s">
        <v>101</v>
      </c>
      <c r="C15" s="46"/>
      <c r="D15" s="46"/>
      <c r="E15" s="97"/>
      <c r="F15" s="98">
        <v>28.53</v>
      </c>
      <c r="G15" s="99">
        <v>2.5000000000000001E-3</v>
      </c>
      <c r="H15" s="100"/>
    </row>
    <row r="16" spans="2:9" ht="15.75" customHeight="1" x14ac:dyDescent="0.2">
      <c r="B16" s="101" t="s">
        <v>93</v>
      </c>
      <c r="C16" s="102"/>
      <c r="D16" s="102"/>
      <c r="E16" s="103"/>
      <c r="F16" s="31">
        <f>SUM(F15)</f>
        <v>28.53</v>
      </c>
      <c r="G16" s="32">
        <f>SUM(G15)</f>
        <v>2.5000000000000001E-3</v>
      </c>
      <c r="H16" s="105"/>
    </row>
    <row r="17" spans="2:8" ht="15.75" customHeight="1" x14ac:dyDescent="0.2">
      <c r="B17" s="96"/>
      <c r="C17" s="46"/>
      <c r="D17" s="46"/>
      <c r="E17" s="97"/>
      <c r="F17" s="98"/>
      <c r="G17" s="99"/>
      <c r="H17" s="100"/>
    </row>
    <row r="18" spans="2:8" ht="15.75" customHeight="1" x14ac:dyDescent="0.2">
      <c r="B18" s="106" t="s">
        <v>97</v>
      </c>
      <c r="C18" s="36"/>
      <c r="D18" s="36"/>
      <c r="E18" s="37"/>
      <c r="F18" s="31">
        <f>+F16</f>
        <v>28.53</v>
      </c>
      <c r="G18" s="32">
        <f>+G16</f>
        <v>2.5000000000000001E-3</v>
      </c>
      <c r="H18" s="105"/>
    </row>
    <row r="19" spans="2:8" ht="15.75" customHeight="1" x14ac:dyDescent="0.2">
      <c r="B19" s="96" t="s">
        <v>102</v>
      </c>
      <c r="C19" s="46"/>
      <c r="D19" s="46"/>
      <c r="E19" s="97"/>
      <c r="F19" s="107">
        <v>24.68</v>
      </c>
      <c r="G19" s="108">
        <v>2.2000000000000001E-3</v>
      </c>
      <c r="H19" s="100"/>
    </row>
    <row r="20" spans="2:8" ht="15.75" customHeight="1" thickBot="1" x14ac:dyDescent="0.25">
      <c r="B20" s="109" t="s">
        <v>103</v>
      </c>
      <c r="C20" s="110"/>
      <c r="D20" s="110"/>
      <c r="E20" s="111"/>
      <c r="F20" s="112">
        <f>+F19+F18+F12</f>
        <v>11296.97</v>
      </c>
      <c r="G20" s="113">
        <f>+G19+G18+G12</f>
        <v>1</v>
      </c>
      <c r="H20" s="114"/>
    </row>
    <row r="21" spans="2:8" ht="15.75" customHeight="1" thickBot="1" x14ac:dyDescent="0.25">
      <c r="B21" s="2"/>
    </row>
    <row r="22" spans="2:8" ht="27" customHeight="1" thickBot="1" x14ac:dyDescent="0.25">
      <c r="B22" s="57" t="s">
        <v>806</v>
      </c>
      <c r="C22" s="58" t="s">
        <v>807</v>
      </c>
      <c r="D22" s="58" t="s">
        <v>808</v>
      </c>
      <c r="E22" s="59" t="s">
        <v>809</v>
      </c>
      <c r="G22" s="2"/>
      <c r="H22" s="2"/>
    </row>
    <row r="23" spans="2:8" ht="29.25" customHeight="1" x14ac:dyDescent="0.2">
      <c r="B23" s="71" t="s">
        <v>909</v>
      </c>
      <c r="C23" s="83"/>
      <c r="D23" s="86" t="s">
        <v>856</v>
      </c>
      <c r="E23" s="88"/>
      <c r="G23" s="2"/>
      <c r="H23" s="2"/>
    </row>
    <row r="24" spans="2:8" ht="39.950000000000003" customHeight="1" x14ac:dyDescent="0.2">
      <c r="B24" s="61" t="s">
        <v>914</v>
      </c>
      <c r="C24" s="84"/>
      <c r="D24" s="87"/>
      <c r="E24" s="84"/>
      <c r="G24" s="2"/>
      <c r="H24" s="2"/>
    </row>
    <row r="25" spans="2:8" ht="39.950000000000003" customHeight="1" x14ac:dyDescent="0.2">
      <c r="B25" s="61" t="s">
        <v>915</v>
      </c>
      <c r="C25" s="84"/>
      <c r="D25" s="87"/>
      <c r="E25" s="84"/>
      <c r="G25" s="2"/>
      <c r="H25" s="2"/>
    </row>
    <row r="26" spans="2:8" ht="23.25" customHeight="1" thickBot="1" x14ac:dyDescent="0.25">
      <c r="B26" s="62" t="s">
        <v>821</v>
      </c>
      <c r="C26" s="85"/>
      <c r="D26" s="70" t="s">
        <v>821</v>
      </c>
      <c r="E26" s="89"/>
      <c r="G26" s="2"/>
      <c r="H26" s="2"/>
    </row>
    <row r="28" spans="2:8" ht="12" x14ac:dyDescent="0.2">
      <c r="B28" s="2" t="s">
        <v>816</v>
      </c>
      <c r="C28" s="2"/>
      <c r="D28" s="2"/>
      <c r="G28" s="2"/>
      <c r="H28" s="2"/>
    </row>
    <row r="29" spans="2:8" ht="12" x14ac:dyDescent="0.2">
      <c r="B29" s="3" t="s">
        <v>817</v>
      </c>
      <c r="C29" s="2"/>
      <c r="D29" s="2"/>
      <c r="G29" s="2"/>
      <c r="H2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D08ABBED-4CE0-4BB2-9177-2811F86DDBE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48060-75B2-43F5-B831-FD55D408245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35.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803888</v>
      </c>
      <c r="F7" s="27">
        <v>13740.46</v>
      </c>
      <c r="G7" s="28">
        <v>9.9599999999999994E-2</v>
      </c>
      <c r="H7" s="29"/>
    </row>
    <row r="8" spans="2:9" ht="15.75" customHeight="1" x14ac:dyDescent="0.2">
      <c r="B8" s="25" t="s">
        <v>119</v>
      </c>
      <c r="C8" s="25" t="s">
        <v>120</v>
      </c>
      <c r="D8" s="25" t="s">
        <v>121</v>
      </c>
      <c r="E8" s="26">
        <v>1238907</v>
      </c>
      <c r="F8" s="27">
        <v>12346.95</v>
      </c>
      <c r="G8" s="28">
        <v>8.9499999999999996E-2</v>
      </c>
      <c r="H8" s="29"/>
    </row>
    <row r="9" spans="2:9" ht="15.75" customHeight="1" x14ac:dyDescent="0.2">
      <c r="B9" s="25" t="s">
        <v>130</v>
      </c>
      <c r="C9" s="25" t="s">
        <v>131</v>
      </c>
      <c r="D9" s="25" t="s">
        <v>132</v>
      </c>
      <c r="E9" s="26">
        <v>321825</v>
      </c>
      <c r="F9" s="27">
        <v>8319.02</v>
      </c>
      <c r="G9" s="28">
        <v>6.0299999999999999E-2</v>
      </c>
      <c r="H9" s="29"/>
    </row>
    <row r="10" spans="2:9" ht="15.75" customHeight="1" x14ac:dyDescent="0.2">
      <c r="B10" s="25" t="s">
        <v>256</v>
      </c>
      <c r="C10" s="25" t="s">
        <v>257</v>
      </c>
      <c r="D10" s="25" t="s">
        <v>121</v>
      </c>
      <c r="E10" s="26">
        <v>1066542</v>
      </c>
      <c r="F10" s="27">
        <v>6847.73</v>
      </c>
      <c r="G10" s="28">
        <v>4.9599999999999998E-2</v>
      </c>
      <c r="H10" s="29"/>
    </row>
    <row r="11" spans="2:9" ht="15.75" customHeight="1" x14ac:dyDescent="0.2">
      <c r="B11" s="25" t="s">
        <v>318</v>
      </c>
      <c r="C11" s="25" t="s">
        <v>319</v>
      </c>
      <c r="D11" s="25" t="s">
        <v>320</v>
      </c>
      <c r="E11" s="26">
        <v>172458</v>
      </c>
      <c r="F11" s="27">
        <v>6080.87</v>
      </c>
      <c r="G11" s="28">
        <v>4.41E-2</v>
      </c>
      <c r="H11" s="29"/>
    </row>
    <row r="12" spans="2:9" ht="15.75" customHeight="1" x14ac:dyDescent="0.2">
      <c r="B12" s="25" t="s">
        <v>157</v>
      </c>
      <c r="C12" s="25" t="s">
        <v>158</v>
      </c>
      <c r="D12" s="25" t="s">
        <v>129</v>
      </c>
      <c r="E12" s="26">
        <v>1249098</v>
      </c>
      <c r="F12" s="27">
        <v>5772.08</v>
      </c>
      <c r="G12" s="28">
        <v>4.1799999999999997E-2</v>
      </c>
      <c r="H12" s="29"/>
    </row>
    <row r="13" spans="2:9" ht="15.75" customHeight="1" x14ac:dyDescent="0.2">
      <c r="B13" s="25" t="s">
        <v>122</v>
      </c>
      <c r="C13" s="25" t="s">
        <v>123</v>
      </c>
      <c r="D13" s="25" t="s">
        <v>124</v>
      </c>
      <c r="E13" s="26">
        <v>356599</v>
      </c>
      <c r="F13" s="27">
        <v>5501.97</v>
      </c>
      <c r="G13" s="28">
        <v>3.9899999999999998E-2</v>
      </c>
      <c r="H13" s="29"/>
    </row>
    <row r="14" spans="2:9" ht="15.75" customHeight="1" x14ac:dyDescent="0.2">
      <c r="B14" s="25" t="s">
        <v>258</v>
      </c>
      <c r="C14" s="25" t="s">
        <v>259</v>
      </c>
      <c r="D14" s="25" t="s">
        <v>121</v>
      </c>
      <c r="E14" s="26">
        <v>443772</v>
      </c>
      <c r="F14" s="27">
        <v>4891.7</v>
      </c>
      <c r="G14" s="28">
        <v>3.5499999999999997E-2</v>
      </c>
      <c r="H14" s="29"/>
    </row>
    <row r="15" spans="2:9" ht="15.75" customHeight="1" x14ac:dyDescent="0.2">
      <c r="B15" s="25" t="s">
        <v>127</v>
      </c>
      <c r="C15" s="25" t="s">
        <v>128</v>
      </c>
      <c r="D15" s="25" t="s">
        <v>129</v>
      </c>
      <c r="E15" s="26">
        <v>151200</v>
      </c>
      <c r="F15" s="27">
        <v>4027.89</v>
      </c>
      <c r="G15" s="28">
        <v>2.92E-2</v>
      </c>
      <c r="H15" s="29"/>
    </row>
    <row r="16" spans="2:9" ht="15.75" customHeight="1" x14ac:dyDescent="0.2">
      <c r="B16" s="25" t="s">
        <v>184</v>
      </c>
      <c r="C16" s="25" t="s">
        <v>185</v>
      </c>
      <c r="D16" s="25" t="s">
        <v>121</v>
      </c>
      <c r="E16" s="26">
        <v>206793</v>
      </c>
      <c r="F16" s="27">
        <v>3945.82</v>
      </c>
      <c r="G16" s="28">
        <v>2.86E-2</v>
      </c>
      <c r="H16" s="29"/>
    </row>
    <row r="17" spans="2:8" ht="15.75" customHeight="1" x14ac:dyDescent="0.2">
      <c r="B17" s="25" t="s">
        <v>227</v>
      </c>
      <c r="C17" s="25" t="s">
        <v>228</v>
      </c>
      <c r="D17" s="25" t="s">
        <v>124</v>
      </c>
      <c r="E17" s="26">
        <v>99451</v>
      </c>
      <c r="F17" s="27">
        <v>3772.57</v>
      </c>
      <c r="G17" s="28">
        <v>2.7300000000000001E-2</v>
      </c>
      <c r="H17" s="29"/>
    </row>
    <row r="18" spans="2:8" ht="15.75" customHeight="1" x14ac:dyDescent="0.2">
      <c r="B18" s="25" t="s">
        <v>304</v>
      </c>
      <c r="C18" s="25" t="s">
        <v>305</v>
      </c>
      <c r="D18" s="25" t="s">
        <v>176</v>
      </c>
      <c r="E18" s="26">
        <v>854316</v>
      </c>
      <c r="F18" s="27">
        <v>3268.61</v>
      </c>
      <c r="G18" s="28">
        <v>2.3699999999999999E-2</v>
      </c>
      <c r="H18" s="29"/>
    </row>
    <row r="19" spans="2:8" ht="15.75" customHeight="1" x14ac:dyDescent="0.2">
      <c r="B19" s="25" t="s">
        <v>224</v>
      </c>
      <c r="C19" s="25" t="s">
        <v>225</v>
      </c>
      <c r="D19" s="25" t="s">
        <v>226</v>
      </c>
      <c r="E19" s="26">
        <v>146732</v>
      </c>
      <c r="F19" s="27">
        <v>3132.43</v>
      </c>
      <c r="G19" s="28">
        <v>2.2700000000000001E-2</v>
      </c>
      <c r="H19" s="29"/>
    </row>
    <row r="20" spans="2:8" ht="15.75" customHeight="1" x14ac:dyDescent="0.2">
      <c r="B20" s="25" t="s">
        <v>329</v>
      </c>
      <c r="C20" s="25" t="s">
        <v>330</v>
      </c>
      <c r="D20" s="25" t="s">
        <v>188</v>
      </c>
      <c r="E20" s="26">
        <v>79991</v>
      </c>
      <c r="F20" s="27">
        <v>2940.03</v>
      </c>
      <c r="G20" s="28">
        <v>2.1299999999999999E-2</v>
      </c>
      <c r="H20" s="29"/>
    </row>
    <row r="21" spans="2:8" ht="15.75" customHeight="1" x14ac:dyDescent="0.2">
      <c r="B21" s="25" t="s">
        <v>215</v>
      </c>
      <c r="C21" s="25" t="s">
        <v>216</v>
      </c>
      <c r="D21" s="25" t="s">
        <v>217</v>
      </c>
      <c r="E21" s="26">
        <v>231583</v>
      </c>
      <c r="F21" s="27">
        <v>2516.84</v>
      </c>
      <c r="G21" s="28">
        <v>1.8200000000000001E-2</v>
      </c>
      <c r="H21" s="29"/>
    </row>
    <row r="22" spans="2:8" ht="15.75" customHeight="1" x14ac:dyDescent="0.2">
      <c r="B22" s="25" t="s">
        <v>235</v>
      </c>
      <c r="C22" s="25" t="s">
        <v>236</v>
      </c>
      <c r="D22" s="25" t="s">
        <v>237</v>
      </c>
      <c r="E22" s="26">
        <v>40781</v>
      </c>
      <c r="F22" s="27">
        <v>2326.19</v>
      </c>
      <c r="G22" s="28">
        <v>1.6899999999999998E-2</v>
      </c>
      <c r="H22" s="29"/>
    </row>
    <row r="23" spans="2:8" ht="15.75" customHeight="1" x14ac:dyDescent="0.2">
      <c r="B23" s="25" t="s">
        <v>268</v>
      </c>
      <c r="C23" s="25" t="s">
        <v>269</v>
      </c>
      <c r="D23" s="25" t="s">
        <v>194</v>
      </c>
      <c r="E23" s="26">
        <v>183730</v>
      </c>
      <c r="F23" s="27">
        <v>2313.9899999999998</v>
      </c>
      <c r="G23" s="28">
        <v>1.6799999999999999E-2</v>
      </c>
      <c r="H23" s="29"/>
    </row>
    <row r="24" spans="2:8" ht="15.75" customHeight="1" x14ac:dyDescent="0.2">
      <c r="B24" s="25" t="s">
        <v>262</v>
      </c>
      <c r="C24" s="25" t="s">
        <v>263</v>
      </c>
      <c r="D24" s="25" t="s">
        <v>124</v>
      </c>
      <c r="E24" s="26">
        <v>157033</v>
      </c>
      <c r="F24" s="27">
        <v>2302.2600000000002</v>
      </c>
      <c r="G24" s="28">
        <v>1.67E-2</v>
      </c>
      <c r="H24" s="29"/>
    </row>
    <row r="25" spans="2:8" ht="15.75" customHeight="1" x14ac:dyDescent="0.2">
      <c r="B25" s="25" t="s">
        <v>415</v>
      </c>
      <c r="C25" s="25" t="s">
        <v>416</v>
      </c>
      <c r="D25" s="25" t="s">
        <v>135</v>
      </c>
      <c r="E25" s="26">
        <v>42578</v>
      </c>
      <c r="F25" s="27">
        <v>2273.0100000000002</v>
      </c>
      <c r="G25" s="28">
        <v>1.6500000000000001E-2</v>
      </c>
      <c r="H25" s="29"/>
    </row>
    <row r="26" spans="2:8" ht="15.75" customHeight="1" x14ac:dyDescent="0.2">
      <c r="B26" s="25" t="s">
        <v>287</v>
      </c>
      <c r="C26" s="25" t="s">
        <v>288</v>
      </c>
      <c r="D26" s="25" t="s">
        <v>289</v>
      </c>
      <c r="E26" s="26">
        <v>1144292</v>
      </c>
      <c r="F26" s="27">
        <v>2107.79</v>
      </c>
      <c r="G26" s="28">
        <v>1.5299999999999999E-2</v>
      </c>
      <c r="H26" s="29"/>
    </row>
    <row r="27" spans="2:8" ht="15.75" customHeight="1" x14ac:dyDescent="0.2">
      <c r="B27" s="25" t="s">
        <v>275</v>
      </c>
      <c r="C27" s="25" t="s">
        <v>276</v>
      </c>
      <c r="D27" s="25" t="s">
        <v>138</v>
      </c>
      <c r="E27" s="26">
        <v>44051</v>
      </c>
      <c r="F27" s="27">
        <v>1823.51</v>
      </c>
      <c r="G27" s="28">
        <v>1.32E-2</v>
      </c>
      <c r="H27" s="29"/>
    </row>
    <row r="28" spans="2:8" ht="15.75" customHeight="1" x14ac:dyDescent="0.2">
      <c r="B28" s="25" t="s">
        <v>264</v>
      </c>
      <c r="C28" s="25" t="s">
        <v>265</v>
      </c>
      <c r="D28" s="25" t="s">
        <v>138</v>
      </c>
      <c r="E28" s="26">
        <v>17238</v>
      </c>
      <c r="F28" s="27">
        <v>1775.92</v>
      </c>
      <c r="G28" s="28">
        <v>1.29E-2</v>
      </c>
      <c r="H28" s="29"/>
    </row>
    <row r="29" spans="2:8" ht="15.75" customHeight="1" x14ac:dyDescent="0.2">
      <c r="B29" s="25" t="s">
        <v>260</v>
      </c>
      <c r="C29" s="25" t="s">
        <v>261</v>
      </c>
      <c r="D29" s="25" t="s">
        <v>138</v>
      </c>
      <c r="E29" s="26">
        <v>41176</v>
      </c>
      <c r="F29" s="27">
        <v>1706.13</v>
      </c>
      <c r="G29" s="28">
        <v>1.24E-2</v>
      </c>
      <c r="H29" s="29"/>
    </row>
    <row r="30" spans="2:8" ht="15.75" customHeight="1" x14ac:dyDescent="0.2">
      <c r="B30" s="25" t="s">
        <v>285</v>
      </c>
      <c r="C30" s="25" t="s">
        <v>286</v>
      </c>
      <c r="D30" s="25" t="s">
        <v>173</v>
      </c>
      <c r="E30" s="26">
        <v>67895</v>
      </c>
      <c r="F30" s="27">
        <v>1683.29</v>
      </c>
      <c r="G30" s="28">
        <v>1.2200000000000001E-2</v>
      </c>
      <c r="H30" s="29"/>
    </row>
    <row r="31" spans="2:8" ht="15.75" customHeight="1" x14ac:dyDescent="0.2">
      <c r="B31" s="25" t="s">
        <v>247</v>
      </c>
      <c r="C31" s="25" t="s">
        <v>248</v>
      </c>
      <c r="D31" s="25" t="s">
        <v>176</v>
      </c>
      <c r="E31" s="26">
        <v>22935</v>
      </c>
      <c r="F31" s="27">
        <v>1680.62</v>
      </c>
      <c r="G31" s="28">
        <v>1.2200000000000001E-2</v>
      </c>
      <c r="H31" s="29"/>
    </row>
    <row r="32" spans="2:8" ht="15.75" customHeight="1" x14ac:dyDescent="0.2">
      <c r="B32" s="25" t="s">
        <v>549</v>
      </c>
      <c r="C32" s="25" t="s">
        <v>550</v>
      </c>
      <c r="D32" s="25" t="s">
        <v>167</v>
      </c>
      <c r="E32" s="26">
        <v>41130</v>
      </c>
      <c r="F32" s="27">
        <v>1679.19</v>
      </c>
      <c r="G32" s="28">
        <v>1.2200000000000001E-2</v>
      </c>
      <c r="H32" s="29"/>
    </row>
    <row r="33" spans="2:8" ht="15.75" customHeight="1" x14ac:dyDescent="0.2">
      <c r="B33" s="25" t="s">
        <v>186</v>
      </c>
      <c r="C33" s="25" t="s">
        <v>187</v>
      </c>
      <c r="D33" s="25" t="s">
        <v>188</v>
      </c>
      <c r="E33" s="26">
        <v>110100</v>
      </c>
      <c r="F33" s="27">
        <v>1506.11</v>
      </c>
      <c r="G33" s="28">
        <v>1.09E-2</v>
      </c>
      <c r="H33" s="29"/>
    </row>
    <row r="34" spans="2:8" ht="15.75" customHeight="1" x14ac:dyDescent="0.2">
      <c r="B34" s="25" t="s">
        <v>136</v>
      </c>
      <c r="C34" s="25" t="s">
        <v>137</v>
      </c>
      <c r="D34" s="25" t="s">
        <v>138</v>
      </c>
      <c r="E34" s="26">
        <v>85035</v>
      </c>
      <c r="F34" s="27">
        <v>1470.6</v>
      </c>
      <c r="G34" s="28">
        <v>1.0699999999999999E-2</v>
      </c>
      <c r="H34" s="29"/>
    </row>
    <row r="35" spans="2:8" ht="15.75" customHeight="1" x14ac:dyDescent="0.2">
      <c r="B35" s="25" t="s">
        <v>325</v>
      </c>
      <c r="C35" s="25" t="s">
        <v>326</v>
      </c>
      <c r="D35" s="25" t="s">
        <v>244</v>
      </c>
      <c r="E35" s="26">
        <v>142367</v>
      </c>
      <c r="F35" s="27">
        <v>1469.51</v>
      </c>
      <c r="G35" s="28">
        <v>1.0699999999999999E-2</v>
      </c>
      <c r="H35" s="29"/>
    </row>
    <row r="36" spans="2:8" ht="15.75" customHeight="1" x14ac:dyDescent="0.2">
      <c r="B36" s="25" t="s">
        <v>277</v>
      </c>
      <c r="C36" s="25" t="s">
        <v>278</v>
      </c>
      <c r="D36" s="25" t="s">
        <v>202</v>
      </c>
      <c r="E36" s="26">
        <v>465425</v>
      </c>
      <c r="F36" s="27">
        <v>1448.17</v>
      </c>
      <c r="G36" s="28">
        <v>1.0500000000000001E-2</v>
      </c>
      <c r="H36" s="29"/>
    </row>
    <row r="37" spans="2:8" ht="15.75" customHeight="1" x14ac:dyDescent="0.2">
      <c r="B37" s="25" t="s">
        <v>171</v>
      </c>
      <c r="C37" s="25" t="s">
        <v>172</v>
      </c>
      <c r="D37" s="25" t="s">
        <v>173</v>
      </c>
      <c r="E37" s="26">
        <v>48251</v>
      </c>
      <c r="F37" s="27">
        <v>1310.06</v>
      </c>
      <c r="G37" s="28">
        <v>9.4999999999999998E-3</v>
      </c>
      <c r="H37" s="29"/>
    </row>
    <row r="38" spans="2:8" ht="15.75" customHeight="1" x14ac:dyDescent="0.2">
      <c r="B38" s="25" t="s">
        <v>306</v>
      </c>
      <c r="C38" s="25" t="s">
        <v>307</v>
      </c>
      <c r="D38" s="25" t="s">
        <v>226</v>
      </c>
      <c r="E38" s="26">
        <v>11969</v>
      </c>
      <c r="F38" s="27">
        <v>1257.1099999999999</v>
      </c>
      <c r="G38" s="28">
        <v>9.1000000000000004E-3</v>
      </c>
      <c r="H38" s="29"/>
    </row>
    <row r="39" spans="2:8" ht="15.75" customHeight="1" x14ac:dyDescent="0.2">
      <c r="B39" s="25" t="s">
        <v>537</v>
      </c>
      <c r="C39" s="25" t="s">
        <v>538</v>
      </c>
      <c r="D39" s="25" t="s">
        <v>197</v>
      </c>
      <c r="E39" s="26">
        <v>196876</v>
      </c>
      <c r="F39" s="27">
        <v>1096.99</v>
      </c>
      <c r="G39" s="28">
        <v>8.0000000000000002E-3</v>
      </c>
      <c r="H39" s="29"/>
    </row>
    <row r="40" spans="2:8" ht="15.75" customHeight="1" x14ac:dyDescent="0.2">
      <c r="B40" s="25" t="s">
        <v>654</v>
      </c>
      <c r="C40" s="25" t="s">
        <v>655</v>
      </c>
      <c r="D40" s="25" t="s">
        <v>295</v>
      </c>
      <c r="E40" s="26">
        <v>72900</v>
      </c>
      <c r="F40" s="27">
        <v>1044.3699999999999</v>
      </c>
      <c r="G40" s="28">
        <v>7.6E-3</v>
      </c>
      <c r="H40" s="29"/>
    </row>
    <row r="41" spans="2:8" ht="15.75" customHeight="1" x14ac:dyDescent="0.2">
      <c r="B41" s="25" t="s">
        <v>272</v>
      </c>
      <c r="C41" s="25" t="s">
        <v>273</v>
      </c>
      <c r="D41" s="25" t="s">
        <v>274</v>
      </c>
      <c r="E41" s="26">
        <v>961574</v>
      </c>
      <c r="F41" s="27">
        <v>980.32</v>
      </c>
      <c r="G41" s="28">
        <v>7.1000000000000004E-3</v>
      </c>
      <c r="H41" s="29"/>
    </row>
    <row r="42" spans="2:8" ht="15.75" customHeight="1" x14ac:dyDescent="0.2">
      <c r="B42" s="25" t="s">
        <v>656</v>
      </c>
      <c r="C42" s="25" t="s">
        <v>657</v>
      </c>
      <c r="D42" s="25" t="s">
        <v>450</v>
      </c>
      <c r="E42" s="26">
        <v>154266</v>
      </c>
      <c r="F42" s="27">
        <v>948.5</v>
      </c>
      <c r="G42" s="28">
        <v>6.8999999999999999E-3</v>
      </c>
      <c r="H42" s="29"/>
    </row>
    <row r="43" spans="2:8" ht="15.75" customHeight="1" x14ac:dyDescent="0.2">
      <c r="B43" s="25" t="s">
        <v>382</v>
      </c>
      <c r="C43" s="25" t="s">
        <v>383</v>
      </c>
      <c r="D43" s="25" t="s">
        <v>176</v>
      </c>
      <c r="E43" s="26">
        <v>63707</v>
      </c>
      <c r="F43" s="27">
        <v>940.51</v>
      </c>
      <c r="G43" s="28">
        <v>6.7999999999999996E-3</v>
      </c>
      <c r="H43" s="29"/>
    </row>
    <row r="44" spans="2:8" ht="15.75" customHeight="1" x14ac:dyDescent="0.2">
      <c r="B44" s="25" t="s">
        <v>658</v>
      </c>
      <c r="C44" s="25" t="s">
        <v>659</v>
      </c>
      <c r="D44" s="25" t="s">
        <v>176</v>
      </c>
      <c r="E44" s="26">
        <v>46415</v>
      </c>
      <c r="F44" s="27">
        <v>782.46</v>
      </c>
      <c r="G44" s="28">
        <v>5.7000000000000002E-3</v>
      </c>
      <c r="H44" s="29"/>
    </row>
    <row r="45" spans="2:8" ht="15.75" customHeight="1" x14ac:dyDescent="0.2">
      <c r="B45" s="25" t="s">
        <v>222</v>
      </c>
      <c r="C45" s="25" t="s">
        <v>223</v>
      </c>
      <c r="D45" s="25" t="s">
        <v>194</v>
      </c>
      <c r="E45" s="26">
        <v>12756</v>
      </c>
      <c r="F45" s="27">
        <v>739.58</v>
      </c>
      <c r="G45" s="28">
        <v>5.4000000000000003E-3</v>
      </c>
      <c r="H45" s="29"/>
    </row>
    <row r="46" spans="2:8" ht="15.75" customHeight="1" x14ac:dyDescent="0.2">
      <c r="B46" s="25" t="s">
        <v>210</v>
      </c>
      <c r="C46" s="25" t="s">
        <v>211</v>
      </c>
      <c r="D46" s="25" t="s">
        <v>170</v>
      </c>
      <c r="E46" s="26">
        <v>519152</v>
      </c>
      <c r="F46" s="27">
        <v>724.74</v>
      </c>
      <c r="G46" s="28">
        <v>5.3E-3</v>
      </c>
      <c r="H46" s="29"/>
    </row>
    <row r="47" spans="2:8" ht="15.75" customHeight="1" x14ac:dyDescent="0.2">
      <c r="B47" s="25" t="s">
        <v>531</v>
      </c>
      <c r="C47" s="25" t="s">
        <v>532</v>
      </c>
      <c r="D47" s="25" t="s">
        <v>289</v>
      </c>
      <c r="E47" s="26">
        <v>41680</v>
      </c>
      <c r="F47" s="27">
        <v>713.71</v>
      </c>
      <c r="G47" s="28">
        <v>5.1999999999999998E-3</v>
      </c>
      <c r="H47" s="29"/>
    </row>
    <row r="48" spans="2:8" ht="15.75" customHeight="1" x14ac:dyDescent="0.2">
      <c r="B48" s="25" t="s">
        <v>527</v>
      </c>
      <c r="C48" s="25" t="s">
        <v>528</v>
      </c>
      <c r="D48" s="25" t="s">
        <v>121</v>
      </c>
      <c r="E48" s="26">
        <v>160318</v>
      </c>
      <c r="F48" s="27">
        <v>701.39</v>
      </c>
      <c r="G48" s="28">
        <v>5.1000000000000004E-3</v>
      </c>
      <c r="H48" s="29"/>
    </row>
    <row r="49" spans="2:8" ht="15.75" customHeight="1" x14ac:dyDescent="0.2">
      <c r="B49" s="25" t="s">
        <v>461</v>
      </c>
      <c r="C49" s="25" t="s">
        <v>462</v>
      </c>
      <c r="D49" s="25" t="s">
        <v>194</v>
      </c>
      <c r="E49" s="26">
        <v>3061</v>
      </c>
      <c r="F49" s="27">
        <v>699.48</v>
      </c>
      <c r="G49" s="28">
        <v>5.1000000000000004E-3</v>
      </c>
      <c r="H49" s="29"/>
    </row>
    <row r="50" spans="2:8" ht="15.75" customHeight="1" x14ac:dyDescent="0.2">
      <c r="B50" s="25" t="s">
        <v>660</v>
      </c>
      <c r="C50" s="25" t="s">
        <v>661</v>
      </c>
      <c r="D50" s="25" t="s">
        <v>662</v>
      </c>
      <c r="E50" s="26">
        <v>184563</v>
      </c>
      <c r="F50" s="27">
        <v>693.96</v>
      </c>
      <c r="G50" s="28">
        <v>5.0000000000000001E-3</v>
      </c>
      <c r="H50" s="29"/>
    </row>
    <row r="51" spans="2:8" ht="15.75" customHeight="1" x14ac:dyDescent="0.2">
      <c r="B51" s="25" t="s">
        <v>663</v>
      </c>
      <c r="C51" s="25" t="s">
        <v>664</v>
      </c>
      <c r="D51" s="25" t="s">
        <v>274</v>
      </c>
      <c r="E51" s="26">
        <v>3052</v>
      </c>
      <c r="F51" s="27">
        <v>677.66</v>
      </c>
      <c r="G51" s="28">
        <v>4.8999999999999998E-3</v>
      </c>
      <c r="H51" s="29"/>
    </row>
    <row r="52" spans="2:8" ht="15.75" customHeight="1" x14ac:dyDescent="0.2">
      <c r="B52" s="25" t="s">
        <v>139</v>
      </c>
      <c r="C52" s="25" t="s">
        <v>140</v>
      </c>
      <c r="D52" s="25" t="s">
        <v>124</v>
      </c>
      <c r="E52" s="26">
        <v>9301</v>
      </c>
      <c r="F52" s="27">
        <v>585.49</v>
      </c>
      <c r="G52" s="28">
        <v>4.1999999999999997E-3</v>
      </c>
      <c r="H52" s="29"/>
    </row>
    <row r="53" spans="2:8" ht="15.75" customHeight="1" x14ac:dyDescent="0.2">
      <c r="B53" s="25" t="s">
        <v>179</v>
      </c>
      <c r="C53" s="25" t="s">
        <v>180</v>
      </c>
      <c r="D53" s="25" t="s">
        <v>121</v>
      </c>
      <c r="E53" s="26">
        <v>229346</v>
      </c>
      <c r="F53" s="27">
        <v>530.02</v>
      </c>
      <c r="G53" s="28">
        <v>3.8E-3</v>
      </c>
      <c r="H53" s="29"/>
    </row>
    <row r="54" spans="2:8" ht="15.75" customHeight="1" x14ac:dyDescent="0.2">
      <c r="B54" s="25" t="s">
        <v>419</v>
      </c>
      <c r="C54" s="25" t="s">
        <v>420</v>
      </c>
      <c r="D54" s="25" t="s">
        <v>161</v>
      </c>
      <c r="E54" s="26">
        <v>12311</v>
      </c>
      <c r="F54" s="27">
        <v>432.84</v>
      </c>
      <c r="G54" s="28">
        <v>3.0999999999999999E-3</v>
      </c>
      <c r="H54" s="29"/>
    </row>
    <row r="55" spans="2:8" ht="15.75" customHeight="1" x14ac:dyDescent="0.2">
      <c r="B55" s="25" t="s">
        <v>626</v>
      </c>
      <c r="C55" s="25" t="s">
        <v>627</v>
      </c>
      <c r="D55" s="25" t="s">
        <v>173</v>
      </c>
      <c r="E55" s="26">
        <v>11177</v>
      </c>
      <c r="F55" s="27">
        <v>430.67</v>
      </c>
      <c r="G55" s="28">
        <v>3.0999999999999999E-3</v>
      </c>
      <c r="H55" s="29"/>
    </row>
    <row r="56" spans="2:8" ht="15.75" customHeight="1" x14ac:dyDescent="0.2">
      <c r="B56" s="25" t="s">
        <v>488</v>
      </c>
      <c r="C56" s="25" t="s">
        <v>489</v>
      </c>
      <c r="D56" s="25" t="s">
        <v>431</v>
      </c>
      <c r="E56" s="26">
        <v>181456</v>
      </c>
      <c r="F56" s="27">
        <v>329.43</v>
      </c>
      <c r="G56" s="28">
        <v>2.3999999999999998E-3</v>
      </c>
      <c r="H56" s="29"/>
    </row>
    <row r="57" spans="2:8" ht="15.75" customHeight="1" x14ac:dyDescent="0.2">
      <c r="B57" s="25" t="s">
        <v>665</v>
      </c>
      <c r="C57" s="25" t="s">
        <v>666</v>
      </c>
      <c r="D57" s="25" t="s">
        <v>289</v>
      </c>
      <c r="E57" s="26">
        <v>10246</v>
      </c>
      <c r="F57" s="27">
        <v>287.3</v>
      </c>
      <c r="G57" s="28">
        <v>2.0999999999999999E-3</v>
      </c>
      <c r="H57" s="29"/>
    </row>
    <row r="58" spans="2:8" ht="15.75" customHeight="1" x14ac:dyDescent="0.2">
      <c r="B58" s="25" t="s">
        <v>407</v>
      </c>
      <c r="C58" s="25" t="s">
        <v>408</v>
      </c>
      <c r="D58" s="25" t="s">
        <v>188</v>
      </c>
      <c r="E58" s="26">
        <v>51201</v>
      </c>
      <c r="F58" s="27">
        <v>260.56</v>
      </c>
      <c r="G58" s="28">
        <v>1.9E-3</v>
      </c>
      <c r="H58" s="29"/>
    </row>
    <row r="59" spans="2:8" ht="15.75" customHeight="1" x14ac:dyDescent="0.2">
      <c r="B59" s="25" t="s">
        <v>323</v>
      </c>
      <c r="C59" s="25" t="s">
        <v>324</v>
      </c>
      <c r="D59" s="25" t="s">
        <v>167</v>
      </c>
      <c r="E59" s="26">
        <v>159838</v>
      </c>
      <c r="F59" s="27">
        <v>197.72</v>
      </c>
      <c r="G59" s="28">
        <v>1.4E-3</v>
      </c>
      <c r="H59" s="29"/>
    </row>
    <row r="60" spans="2:8" ht="15.75" customHeight="1" x14ac:dyDescent="0.2">
      <c r="B60" s="24" t="s">
        <v>93</v>
      </c>
      <c r="C60" s="24"/>
      <c r="D60" s="24"/>
      <c r="E60" s="30"/>
      <c r="F60" s="31">
        <v>131036.13</v>
      </c>
      <c r="G60" s="32">
        <v>0.94969999999999999</v>
      </c>
      <c r="H60" s="33"/>
    </row>
    <row r="61" spans="2:8" ht="15.75" customHeight="1" x14ac:dyDescent="0.2">
      <c r="B61" s="24" t="s">
        <v>141</v>
      </c>
      <c r="C61" s="25"/>
      <c r="D61" s="25"/>
      <c r="E61" s="26"/>
      <c r="F61" s="27"/>
      <c r="G61" s="28"/>
      <c r="H61" s="29"/>
    </row>
    <row r="62" spans="2:8" ht="15.75" customHeight="1" x14ac:dyDescent="0.2">
      <c r="B62" s="24" t="s">
        <v>93</v>
      </c>
      <c r="C62" s="25"/>
      <c r="D62" s="25"/>
      <c r="E62" s="26"/>
      <c r="F62" s="34" t="s">
        <v>95</v>
      </c>
      <c r="G62" s="35" t="s">
        <v>95</v>
      </c>
      <c r="H62" s="29"/>
    </row>
    <row r="63" spans="2:8" ht="15.75" customHeight="1" x14ac:dyDescent="0.2">
      <c r="B63" s="25"/>
      <c r="C63" s="25"/>
      <c r="D63" s="25"/>
      <c r="E63" s="26"/>
      <c r="F63" s="27"/>
      <c r="G63" s="28"/>
      <c r="H63" s="29"/>
    </row>
    <row r="64" spans="2:8" ht="15.75" customHeight="1" x14ac:dyDescent="0.2">
      <c r="B64" s="36" t="s">
        <v>97</v>
      </c>
      <c r="C64" s="36"/>
      <c r="D64" s="36"/>
      <c r="E64" s="37"/>
      <c r="F64" s="31">
        <v>131036.13</v>
      </c>
      <c r="G64" s="32">
        <v>0.94969999999999999</v>
      </c>
      <c r="H64" s="33"/>
    </row>
    <row r="65" spans="2:12" ht="15.75" customHeight="1" x14ac:dyDescent="0.2">
      <c r="B65" s="25"/>
      <c r="C65" s="25"/>
      <c r="D65" s="25"/>
      <c r="E65" s="26"/>
      <c r="F65" s="27"/>
      <c r="G65" s="28"/>
      <c r="H65" s="29"/>
    </row>
    <row r="66" spans="2:12" ht="15.75" customHeight="1" x14ac:dyDescent="0.2">
      <c r="B66" s="25"/>
      <c r="C66" s="25"/>
      <c r="D66" s="25"/>
      <c r="E66" s="26"/>
      <c r="F66" s="27"/>
      <c r="G66" s="28"/>
      <c r="H66" s="29"/>
    </row>
    <row r="67" spans="2:12" ht="15.75" customHeight="1" x14ac:dyDescent="0.2">
      <c r="B67" s="24" t="s">
        <v>100</v>
      </c>
      <c r="C67" s="25"/>
      <c r="D67" s="25"/>
      <c r="E67" s="26"/>
      <c r="F67" s="27"/>
      <c r="G67" s="28"/>
      <c r="H67" s="29"/>
    </row>
    <row r="68" spans="2:12" ht="15.75" customHeight="1" x14ac:dyDescent="0.2">
      <c r="B68" s="25" t="s">
        <v>101</v>
      </c>
      <c r="C68" s="25"/>
      <c r="D68" s="25"/>
      <c r="E68" s="26"/>
      <c r="F68" s="27">
        <v>6285.56</v>
      </c>
      <c r="G68" s="28">
        <v>4.5600000000000002E-2</v>
      </c>
      <c r="H68" s="29"/>
      <c r="L68" s="3"/>
    </row>
    <row r="69" spans="2:12" ht="15.75" customHeight="1" x14ac:dyDescent="0.2">
      <c r="B69" s="24" t="s">
        <v>93</v>
      </c>
      <c r="C69" s="24"/>
      <c r="D69" s="24"/>
      <c r="E69" s="30"/>
      <c r="F69" s="31">
        <v>6285.56</v>
      </c>
      <c r="G69" s="32">
        <v>4.5600000000000002E-2</v>
      </c>
      <c r="H69" s="33"/>
    </row>
    <row r="70" spans="2:12" ht="15.75" customHeight="1" x14ac:dyDescent="0.2">
      <c r="B70" s="25"/>
      <c r="C70" s="25"/>
      <c r="D70" s="25"/>
      <c r="E70" s="26"/>
      <c r="F70" s="27"/>
      <c r="G70" s="28"/>
      <c r="H70" s="29"/>
      <c r="L70" s="3"/>
    </row>
    <row r="71" spans="2:12" ht="15.75" customHeight="1" x14ac:dyDescent="0.2">
      <c r="B71" s="36" t="s">
        <v>97</v>
      </c>
      <c r="C71" s="36"/>
      <c r="D71" s="36"/>
      <c r="E71" s="37"/>
      <c r="F71" s="31">
        <v>6285.56</v>
      </c>
      <c r="G71" s="32">
        <v>4.5600000000000002E-2</v>
      </c>
      <c r="H71" s="33"/>
      <c r="L71" s="3"/>
    </row>
    <row r="72" spans="2:12" ht="15.75" customHeight="1" x14ac:dyDescent="0.2">
      <c r="B72" s="25" t="s">
        <v>102</v>
      </c>
      <c r="C72" s="25"/>
      <c r="D72" s="25"/>
      <c r="E72" s="26"/>
      <c r="F72" s="27">
        <v>644.28</v>
      </c>
      <c r="G72" s="28">
        <v>4.7000000000000375E-3</v>
      </c>
      <c r="H72" s="29"/>
      <c r="L72" s="3"/>
    </row>
    <row r="73" spans="2:12" ht="15.75" customHeight="1" x14ac:dyDescent="0.2">
      <c r="B73" s="40" t="s">
        <v>103</v>
      </c>
      <c r="C73" s="40"/>
      <c r="D73" s="40"/>
      <c r="E73" s="41"/>
      <c r="F73" s="42">
        <v>137965.97</v>
      </c>
      <c r="G73" s="43">
        <v>1</v>
      </c>
      <c r="H73" s="44"/>
      <c r="L73" s="3"/>
    </row>
    <row r="74" spans="2:12" ht="15.75" customHeight="1" thickBot="1" x14ac:dyDescent="0.25">
      <c r="B74" s="2"/>
      <c r="L74" s="3"/>
    </row>
    <row r="75" spans="2:12" ht="27" customHeight="1" thickBot="1" x14ac:dyDescent="0.25">
      <c r="B75" s="57" t="s">
        <v>806</v>
      </c>
      <c r="C75" s="58" t="s">
        <v>807</v>
      </c>
      <c r="D75" s="58" t="s">
        <v>808</v>
      </c>
      <c r="E75" s="59" t="s">
        <v>809</v>
      </c>
      <c r="G75" s="2"/>
      <c r="H75" s="2"/>
    </row>
    <row r="76" spans="2:12" ht="27.75" customHeight="1" x14ac:dyDescent="0.2">
      <c r="B76" s="71" t="s">
        <v>53</v>
      </c>
      <c r="C76" s="83"/>
      <c r="D76" s="86" t="s">
        <v>859</v>
      </c>
      <c r="E76" s="88"/>
      <c r="G76" s="2"/>
      <c r="H76" s="2"/>
    </row>
    <row r="77" spans="2:12" ht="39.950000000000003" customHeight="1" x14ac:dyDescent="0.2">
      <c r="B77" s="61" t="s">
        <v>860</v>
      </c>
      <c r="C77" s="84"/>
      <c r="D77" s="87"/>
      <c r="E77" s="84"/>
      <c r="G77" s="2"/>
      <c r="H77" s="2"/>
    </row>
    <row r="78" spans="2:12" ht="39.950000000000003" customHeight="1" x14ac:dyDescent="0.2">
      <c r="B78" s="61" t="s">
        <v>861</v>
      </c>
      <c r="C78" s="84"/>
      <c r="D78" s="87"/>
      <c r="E78" s="84"/>
      <c r="G78" s="2"/>
      <c r="H78" s="2"/>
    </row>
    <row r="79" spans="2:12" ht="27.75" customHeight="1" thickBot="1" x14ac:dyDescent="0.25">
      <c r="B79" s="62" t="s">
        <v>831</v>
      </c>
      <c r="C79" s="85"/>
      <c r="D79" s="70" t="s">
        <v>831</v>
      </c>
      <c r="E79" s="89"/>
      <c r="G79" s="2"/>
      <c r="H79" s="2"/>
    </row>
    <row r="80" spans="2:12" ht="24.95" customHeight="1" x14ac:dyDescent="0.2">
      <c r="B80" s="64" t="s">
        <v>815</v>
      </c>
      <c r="C80" s="65"/>
      <c r="D80" s="66"/>
      <c r="E80" s="67"/>
      <c r="G80" s="2"/>
      <c r="H80" s="2"/>
    </row>
    <row r="82" spans="2:16" ht="12" x14ac:dyDescent="0.2">
      <c r="B82" s="2" t="s">
        <v>816</v>
      </c>
      <c r="C82" s="2"/>
      <c r="D82" s="2"/>
      <c r="G82" s="2"/>
      <c r="H82" s="2"/>
    </row>
    <row r="83" spans="2:16" ht="12" x14ac:dyDescent="0.2">
      <c r="B83" s="3" t="s">
        <v>817</v>
      </c>
      <c r="C83" s="2"/>
      <c r="D83" s="2"/>
      <c r="G83" s="2"/>
      <c r="H83" s="2"/>
    </row>
    <row r="84" spans="2:16" ht="15.75" customHeight="1" x14ac:dyDescent="0.2">
      <c r="L84" s="7"/>
      <c r="M84" s="7"/>
      <c r="N84" s="7"/>
      <c r="O84" s="7"/>
      <c r="P84" s="7"/>
    </row>
    <row r="86" spans="2:16" ht="15.75" customHeight="1" x14ac:dyDescent="0.2">
      <c r="L86" s="3"/>
    </row>
  </sheetData>
  <mergeCells count="3">
    <mergeCell ref="C76:C79"/>
    <mergeCell ref="D76:D78"/>
    <mergeCell ref="E76:E79"/>
  </mergeCells>
  <hyperlinks>
    <hyperlink ref="I1" location="'Sheet1'!A1" display="Index" xr:uid="{877A9326-26A8-4D29-AD81-C3ECE424B38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E10A-1725-4FE1-BFBB-BC7C83EE999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30.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602</v>
      </c>
      <c r="C7" s="25" t="s">
        <v>603</v>
      </c>
      <c r="D7" s="25" t="s">
        <v>191</v>
      </c>
      <c r="E7" s="26">
        <v>15724</v>
      </c>
      <c r="F7" s="27">
        <v>759.9</v>
      </c>
      <c r="G7" s="28">
        <v>4.8300000000000003E-2</v>
      </c>
      <c r="H7" s="29"/>
    </row>
    <row r="8" spans="2:9" ht="15.75" customHeight="1" x14ac:dyDescent="0.2">
      <c r="B8" s="25" t="s">
        <v>343</v>
      </c>
      <c r="C8" s="25" t="s">
        <v>344</v>
      </c>
      <c r="D8" s="25" t="s">
        <v>345</v>
      </c>
      <c r="E8" s="26">
        <v>91608</v>
      </c>
      <c r="F8" s="27">
        <v>753.75</v>
      </c>
      <c r="G8" s="28">
        <v>4.7899999999999998E-2</v>
      </c>
      <c r="H8" s="29"/>
    </row>
    <row r="9" spans="2:9" ht="15.75" customHeight="1" x14ac:dyDescent="0.2">
      <c r="B9" s="25" t="s">
        <v>417</v>
      </c>
      <c r="C9" s="25" t="s">
        <v>418</v>
      </c>
      <c r="D9" s="25" t="s">
        <v>292</v>
      </c>
      <c r="E9" s="26">
        <v>27872</v>
      </c>
      <c r="F9" s="27">
        <v>692.1</v>
      </c>
      <c r="G9" s="28">
        <v>4.3999999999999997E-2</v>
      </c>
      <c r="H9" s="29"/>
    </row>
    <row r="10" spans="2:9" ht="15.75" customHeight="1" x14ac:dyDescent="0.2">
      <c r="B10" s="25" t="s">
        <v>511</v>
      </c>
      <c r="C10" s="25" t="s">
        <v>512</v>
      </c>
      <c r="D10" s="25" t="s">
        <v>176</v>
      </c>
      <c r="E10" s="26">
        <v>165626</v>
      </c>
      <c r="F10" s="27">
        <v>683.79</v>
      </c>
      <c r="G10" s="28">
        <v>4.3400000000000001E-2</v>
      </c>
      <c r="H10" s="29"/>
    </row>
    <row r="11" spans="2:9" ht="15.75" customHeight="1" x14ac:dyDescent="0.2">
      <c r="B11" s="25" t="s">
        <v>306</v>
      </c>
      <c r="C11" s="25" t="s">
        <v>307</v>
      </c>
      <c r="D11" s="25" t="s">
        <v>226</v>
      </c>
      <c r="E11" s="26">
        <v>6289</v>
      </c>
      <c r="F11" s="27">
        <v>660.54</v>
      </c>
      <c r="G11" s="28">
        <v>4.2000000000000003E-2</v>
      </c>
      <c r="H11" s="29"/>
    </row>
    <row r="12" spans="2:9" ht="15.75" customHeight="1" x14ac:dyDescent="0.2">
      <c r="B12" s="25" t="s">
        <v>598</v>
      </c>
      <c r="C12" s="25" t="s">
        <v>599</v>
      </c>
      <c r="D12" s="25" t="s">
        <v>298</v>
      </c>
      <c r="E12" s="26">
        <v>17912</v>
      </c>
      <c r="F12" s="27">
        <v>620.96</v>
      </c>
      <c r="G12" s="28">
        <v>3.95E-2</v>
      </c>
      <c r="H12" s="29"/>
    </row>
    <row r="13" spans="2:9" ht="15.75" customHeight="1" x14ac:dyDescent="0.2">
      <c r="B13" s="25" t="s">
        <v>290</v>
      </c>
      <c r="C13" s="25" t="s">
        <v>291</v>
      </c>
      <c r="D13" s="25" t="s">
        <v>292</v>
      </c>
      <c r="E13" s="26">
        <v>335686</v>
      </c>
      <c r="F13" s="27">
        <v>574.53</v>
      </c>
      <c r="G13" s="28">
        <v>3.6499999999999998E-2</v>
      </c>
      <c r="H13" s="29"/>
    </row>
    <row r="14" spans="2:9" ht="15.75" customHeight="1" x14ac:dyDescent="0.2">
      <c r="B14" s="25" t="s">
        <v>390</v>
      </c>
      <c r="C14" s="25" t="s">
        <v>391</v>
      </c>
      <c r="D14" s="25" t="s">
        <v>292</v>
      </c>
      <c r="E14" s="26">
        <v>80468</v>
      </c>
      <c r="F14" s="27">
        <v>567.78</v>
      </c>
      <c r="G14" s="28">
        <v>3.61E-2</v>
      </c>
      <c r="H14" s="29"/>
    </row>
    <row r="15" spans="2:9" ht="15.75" customHeight="1" x14ac:dyDescent="0.2">
      <c r="B15" s="25" t="s">
        <v>346</v>
      </c>
      <c r="C15" s="25" t="s">
        <v>347</v>
      </c>
      <c r="D15" s="25" t="s">
        <v>191</v>
      </c>
      <c r="E15" s="26">
        <v>203885</v>
      </c>
      <c r="F15" s="27">
        <v>530.20000000000005</v>
      </c>
      <c r="G15" s="28">
        <v>3.3700000000000001E-2</v>
      </c>
      <c r="H15" s="29"/>
    </row>
    <row r="16" spans="2:9" ht="15.75" customHeight="1" x14ac:dyDescent="0.2">
      <c r="B16" s="25" t="s">
        <v>356</v>
      </c>
      <c r="C16" s="25" t="s">
        <v>357</v>
      </c>
      <c r="D16" s="25" t="s">
        <v>274</v>
      </c>
      <c r="E16" s="26">
        <v>103557</v>
      </c>
      <c r="F16" s="27">
        <v>487.44</v>
      </c>
      <c r="G16" s="28">
        <v>3.1E-2</v>
      </c>
      <c r="H16" s="29"/>
    </row>
    <row r="17" spans="2:8" ht="15.75" customHeight="1" x14ac:dyDescent="0.2">
      <c r="B17" s="25" t="s">
        <v>337</v>
      </c>
      <c r="C17" s="25" t="s">
        <v>338</v>
      </c>
      <c r="D17" s="25" t="s">
        <v>298</v>
      </c>
      <c r="E17" s="26">
        <v>37718</v>
      </c>
      <c r="F17" s="27">
        <v>467.08</v>
      </c>
      <c r="G17" s="28">
        <v>2.9700000000000001E-2</v>
      </c>
      <c r="H17" s="29"/>
    </row>
    <row r="18" spans="2:8" ht="15.75" customHeight="1" x14ac:dyDescent="0.2">
      <c r="B18" s="25" t="s">
        <v>596</v>
      </c>
      <c r="C18" s="25" t="s">
        <v>597</v>
      </c>
      <c r="D18" s="25" t="s">
        <v>191</v>
      </c>
      <c r="E18" s="26">
        <v>8832</v>
      </c>
      <c r="F18" s="27">
        <v>464.95</v>
      </c>
      <c r="G18" s="28">
        <v>2.9499999999999998E-2</v>
      </c>
      <c r="H18" s="29"/>
    </row>
    <row r="19" spans="2:8" ht="15.75" customHeight="1" x14ac:dyDescent="0.2">
      <c r="B19" s="25" t="s">
        <v>318</v>
      </c>
      <c r="C19" s="25" t="s">
        <v>319</v>
      </c>
      <c r="D19" s="25" t="s">
        <v>320</v>
      </c>
      <c r="E19" s="26">
        <v>13092</v>
      </c>
      <c r="F19" s="27">
        <v>461.62</v>
      </c>
      <c r="G19" s="28">
        <v>2.93E-2</v>
      </c>
      <c r="H19" s="29"/>
    </row>
    <row r="20" spans="2:8" ht="15.75" customHeight="1" x14ac:dyDescent="0.2">
      <c r="B20" s="25" t="s">
        <v>427</v>
      </c>
      <c r="C20" s="25" t="s">
        <v>428</v>
      </c>
      <c r="D20" s="25" t="s">
        <v>209</v>
      </c>
      <c r="E20" s="26">
        <v>36320</v>
      </c>
      <c r="F20" s="27">
        <v>436.02</v>
      </c>
      <c r="G20" s="28">
        <v>2.7699999999999999E-2</v>
      </c>
      <c r="H20" s="29"/>
    </row>
    <row r="21" spans="2:8" ht="15.75" customHeight="1" x14ac:dyDescent="0.2">
      <c r="B21" s="25" t="s">
        <v>600</v>
      </c>
      <c r="C21" s="25" t="s">
        <v>601</v>
      </c>
      <c r="D21" s="25" t="s">
        <v>191</v>
      </c>
      <c r="E21" s="26">
        <v>77059</v>
      </c>
      <c r="F21" s="27">
        <v>424.67</v>
      </c>
      <c r="G21" s="28">
        <v>2.7E-2</v>
      </c>
      <c r="H21" s="29"/>
    </row>
    <row r="22" spans="2:8" ht="15.75" customHeight="1" x14ac:dyDescent="0.2">
      <c r="B22" s="25" t="s">
        <v>519</v>
      </c>
      <c r="C22" s="25" t="s">
        <v>520</v>
      </c>
      <c r="D22" s="25" t="s">
        <v>292</v>
      </c>
      <c r="E22" s="26">
        <v>1099</v>
      </c>
      <c r="F22" s="27">
        <v>404.95</v>
      </c>
      <c r="G22" s="28">
        <v>2.5700000000000001E-2</v>
      </c>
      <c r="H22" s="29"/>
    </row>
    <row r="23" spans="2:8" ht="15.75" customHeight="1" x14ac:dyDescent="0.2">
      <c r="B23" s="25" t="s">
        <v>590</v>
      </c>
      <c r="C23" s="25" t="s">
        <v>591</v>
      </c>
      <c r="D23" s="25" t="s">
        <v>298</v>
      </c>
      <c r="E23" s="26">
        <v>28519</v>
      </c>
      <c r="F23" s="27">
        <v>399.81</v>
      </c>
      <c r="G23" s="28">
        <v>2.5399999999999999E-2</v>
      </c>
      <c r="H23" s="29"/>
    </row>
    <row r="24" spans="2:8" ht="15.75" customHeight="1" x14ac:dyDescent="0.2">
      <c r="B24" s="25" t="s">
        <v>496</v>
      </c>
      <c r="C24" s="25" t="s">
        <v>497</v>
      </c>
      <c r="D24" s="25" t="s">
        <v>345</v>
      </c>
      <c r="E24" s="26">
        <v>45755</v>
      </c>
      <c r="F24" s="27">
        <v>393.33</v>
      </c>
      <c r="G24" s="28">
        <v>2.5000000000000001E-2</v>
      </c>
      <c r="H24" s="29"/>
    </row>
    <row r="25" spans="2:8" ht="15.75" customHeight="1" x14ac:dyDescent="0.2">
      <c r="B25" s="25" t="s">
        <v>287</v>
      </c>
      <c r="C25" s="25" t="s">
        <v>288</v>
      </c>
      <c r="D25" s="25" t="s">
        <v>289</v>
      </c>
      <c r="E25" s="26">
        <v>204450</v>
      </c>
      <c r="F25" s="27">
        <v>376.6</v>
      </c>
      <c r="G25" s="28">
        <v>2.3900000000000001E-2</v>
      </c>
      <c r="H25" s="29"/>
    </row>
    <row r="26" spans="2:8" ht="15.75" customHeight="1" x14ac:dyDescent="0.2">
      <c r="B26" s="25" t="s">
        <v>667</v>
      </c>
      <c r="C26" s="25" t="s">
        <v>668</v>
      </c>
      <c r="D26" s="25" t="s">
        <v>298</v>
      </c>
      <c r="E26" s="26">
        <v>18959</v>
      </c>
      <c r="F26" s="27">
        <v>372.35</v>
      </c>
      <c r="G26" s="28">
        <v>2.3699999999999999E-2</v>
      </c>
      <c r="H26" s="29"/>
    </row>
    <row r="27" spans="2:8" ht="15.75" customHeight="1" x14ac:dyDescent="0.2">
      <c r="B27" s="25" t="s">
        <v>277</v>
      </c>
      <c r="C27" s="25" t="s">
        <v>278</v>
      </c>
      <c r="D27" s="25" t="s">
        <v>202</v>
      </c>
      <c r="E27" s="26">
        <v>107527</v>
      </c>
      <c r="F27" s="27">
        <v>334.57</v>
      </c>
      <c r="G27" s="28">
        <v>2.1299999999999999E-2</v>
      </c>
      <c r="H27" s="29"/>
    </row>
    <row r="28" spans="2:8" ht="15.75" customHeight="1" x14ac:dyDescent="0.2">
      <c r="B28" s="25" t="s">
        <v>396</v>
      </c>
      <c r="C28" s="25" t="s">
        <v>397</v>
      </c>
      <c r="D28" s="25" t="s">
        <v>274</v>
      </c>
      <c r="E28" s="26">
        <v>34069</v>
      </c>
      <c r="F28" s="27">
        <v>334.13</v>
      </c>
      <c r="G28" s="28">
        <v>2.12E-2</v>
      </c>
      <c r="H28" s="29"/>
    </row>
    <row r="29" spans="2:8" ht="15.75" customHeight="1" x14ac:dyDescent="0.2">
      <c r="B29" s="25" t="s">
        <v>656</v>
      </c>
      <c r="C29" s="25" t="s">
        <v>657</v>
      </c>
      <c r="D29" s="25" t="s">
        <v>450</v>
      </c>
      <c r="E29" s="26">
        <v>51768</v>
      </c>
      <c r="F29" s="27">
        <v>318.3</v>
      </c>
      <c r="G29" s="28">
        <v>2.0199999999999999E-2</v>
      </c>
      <c r="H29" s="29"/>
    </row>
    <row r="30" spans="2:8" ht="15.75" customHeight="1" x14ac:dyDescent="0.2">
      <c r="B30" s="25" t="s">
        <v>531</v>
      </c>
      <c r="C30" s="25" t="s">
        <v>532</v>
      </c>
      <c r="D30" s="25" t="s">
        <v>289</v>
      </c>
      <c r="E30" s="26">
        <v>16553</v>
      </c>
      <c r="F30" s="27">
        <v>283.45</v>
      </c>
      <c r="G30" s="28">
        <v>1.7999999999999999E-2</v>
      </c>
      <c r="H30" s="29"/>
    </row>
    <row r="31" spans="2:8" ht="15.75" customHeight="1" x14ac:dyDescent="0.2">
      <c r="B31" s="25" t="s">
        <v>669</v>
      </c>
      <c r="C31" s="25" t="s">
        <v>670</v>
      </c>
      <c r="D31" s="25" t="s">
        <v>345</v>
      </c>
      <c r="E31" s="26">
        <v>3810</v>
      </c>
      <c r="F31" s="27">
        <v>280.51</v>
      </c>
      <c r="G31" s="28">
        <v>1.78E-2</v>
      </c>
      <c r="H31" s="29"/>
    </row>
    <row r="32" spans="2:8" ht="15.75" customHeight="1" x14ac:dyDescent="0.2">
      <c r="B32" s="25" t="s">
        <v>350</v>
      </c>
      <c r="C32" s="25" t="s">
        <v>351</v>
      </c>
      <c r="D32" s="25" t="s">
        <v>298</v>
      </c>
      <c r="E32" s="26">
        <v>8100</v>
      </c>
      <c r="F32" s="27">
        <v>263.20999999999998</v>
      </c>
      <c r="G32" s="28">
        <v>1.67E-2</v>
      </c>
      <c r="H32" s="29"/>
    </row>
    <row r="33" spans="2:8" ht="15.75" customHeight="1" x14ac:dyDescent="0.2">
      <c r="B33" s="25" t="s">
        <v>484</v>
      </c>
      <c r="C33" s="25" t="s">
        <v>485</v>
      </c>
      <c r="D33" s="25" t="s">
        <v>274</v>
      </c>
      <c r="E33" s="26">
        <v>8125</v>
      </c>
      <c r="F33" s="27">
        <v>260.24</v>
      </c>
      <c r="G33" s="28">
        <v>1.6500000000000001E-2</v>
      </c>
      <c r="H33" s="29"/>
    </row>
    <row r="34" spans="2:8" ht="15.75" customHeight="1" x14ac:dyDescent="0.2">
      <c r="B34" s="25" t="s">
        <v>671</v>
      </c>
      <c r="C34" s="25" t="s">
        <v>672</v>
      </c>
      <c r="D34" s="25" t="s">
        <v>320</v>
      </c>
      <c r="E34" s="26">
        <v>184817</v>
      </c>
      <c r="F34" s="27">
        <v>257.36</v>
      </c>
      <c r="G34" s="28">
        <v>1.6400000000000001E-2</v>
      </c>
      <c r="H34" s="29"/>
    </row>
    <row r="35" spans="2:8" ht="15.75" customHeight="1" x14ac:dyDescent="0.2">
      <c r="B35" s="25" t="s">
        <v>304</v>
      </c>
      <c r="C35" s="25" t="s">
        <v>305</v>
      </c>
      <c r="D35" s="25" t="s">
        <v>176</v>
      </c>
      <c r="E35" s="26">
        <v>58838</v>
      </c>
      <c r="F35" s="27">
        <v>225.11</v>
      </c>
      <c r="G35" s="28">
        <v>1.43E-2</v>
      </c>
      <c r="H35" s="29"/>
    </row>
    <row r="36" spans="2:8" ht="15.75" customHeight="1" x14ac:dyDescent="0.2">
      <c r="B36" s="25" t="s">
        <v>325</v>
      </c>
      <c r="C36" s="25" t="s">
        <v>326</v>
      </c>
      <c r="D36" s="25" t="s">
        <v>244</v>
      </c>
      <c r="E36" s="26">
        <v>19331</v>
      </c>
      <c r="F36" s="27">
        <v>199.53</v>
      </c>
      <c r="G36" s="28">
        <v>1.2699999999999999E-2</v>
      </c>
      <c r="H36" s="29"/>
    </row>
    <row r="37" spans="2:8" ht="15.75" customHeight="1" x14ac:dyDescent="0.2">
      <c r="B37" s="25" t="s">
        <v>569</v>
      </c>
      <c r="C37" s="25" t="s">
        <v>570</v>
      </c>
      <c r="D37" s="25" t="s">
        <v>292</v>
      </c>
      <c r="E37" s="26">
        <v>11380</v>
      </c>
      <c r="F37" s="27">
        <v>183.43</v>
      </c>
      <c r="G37" s="28">
        <v>1.17E-2</v>
      </c>
      <c r="H37" s="29"/>
    </row>
    <row r="38" spans="2:8" ht="15.75" customHeight="1" x14ac:dyDescent="0.2">
      <c r="B38" s="25" t="s">
        <v>673</v>
      </c>
      <c r="C38" s="25" t="s">
        <v>674</v>
      </c>
      <c r="D38" s="25" t="s">
        <v>209</v>
      </c>
      <c r="E38" s="26">
        <v>59761</v>
      </c>
      <c r="F38" s="27">
        <v>182.87</v>
      </c>
      <c r="G38" s="28">
        <v>1.1599999999999999E-2</v>
      </c>
      <c r="H38" s="29"/>
    </row>
    <row r="39" spans="2:8" ht="15.75" customHeight="1" x14ac:dyDescent="0.2">
      <c r="B39" s="25" t="s">
        <v>675</v>
      </c>
      <c r="C39" s="25" t="s">
        <v>676</v>
      </c>
      <c r="D39" s="25" t="s">
        <v>173</v>
      </c>
      <c r="E39" s="26">
        <v>4335</v>
      </c>
      <c r="F39" s="27">
        <v>166.14</v>
      </c>
      <c r="G39" s="28">
        <v>1.06E-2</v>
      </c>
      <c r="H39" s="29"/>
    </row>
    <row r="40" spans="2:8" ht="15.75" customHeight="1" x14ac:dyDescent="0.2">
      <c r="B40" s="25" t="s">
        <v>677</v>
      </c>
      <c r="C40" s="25" t="s">
        <v>678</v>
      </c>
      <c r="D40" s="25" t="s">
        <v>191</v>
      </c>
      <c r="E40" s="26">
        <v>38169</v>
      </c>
      <c r="F40" s="27">
        <v>156.19</v>
      </c>
      <c r="G40" s="28">
        <v>9.9000000000000008E-3</v>
      </c>
      <c r="H40" s="29"/>
    </row>
    <row r="41" spans="2:8" ht="15.75" customHeight="1" x14ac:dyDescent="0.2">
      <c r="B41" s="25" t="s">
        <v>354</v>
      </c>
      <c r="C41" s="25" t="s">
        <v>355</v>
      </c>
      <c r="D41" s="25" t="s">
        <v>191</v>
      </c>
      <c r="E41" s="26">
        <v>22127</v>
      </c>
      <c r="F41" s="27">
        <v>153.13</v>
      </c>
      <c r="G41" s="28">
        <v>9.7000000000000003E-3</v>
      </c>
      <c r="H41" s="29"/>
    </row>
    <row r="42" spans="2:8" ht="15.75" customHeight="1" x14ac:dyDescent="0.2">
      <c r="B42" s="25" t="s">
        <v>440</v>
      </c>
      <c r="C42" s="25" t="s">
        <v>441</v>
      </c>
      <c r="D42" s="25" t="s">
        <v>298</v>
      </c>
      <c r="E42" s="26">
        <v>12143</v>
      </c>
      <c r="F42" s="27">
        <v>135.19999999999999</v>
      </c>
      <c r="G42" s="28">
        <v>8.6E-3</v>
      </c>
      <c r="H42" s="29"/>
    </row>
    <row r="43" spans="2:8" ht="15.75" customHeight="1" x14ac:dyDescent="0.2">
      <c r="B43" s="25" t="s">
        <v>679</v>
      </c>
      <c r="C43" s="25" t="s">
        <v>680</v>
      </c>
      <c r="D43" s="25" t="s">
        <v>298</v>
      </c>
      <c r="E43" s="26">
        <v>20645</v>
      </c>
      <c r="F43" s="27">
        <v>124.37</v>
      </c>
      <c r="G43" s="28">
        <v>7.9000000000000008E-3</v>
      </c>
      <c r="H43" s="29"/>
    </row>
    <row r="44" spans="2:8" ht="15.75" customHeight="1" x14ac:dyDescent="0.2">
      <c r="B44" s="25" t="s">
        <v>592</v>
      </c>
      <c r="C44" s="25" t="s">
        <v>593</v>
      </c>
      <c r="D44" s="25" t="s">
        <v>298</v>
      </c>
      <c r="E44" s="26">
        <v>4590</v>
      </c>
      <c r="F44" s="27">
        <v>106.91</v>
      </c>
      <c r="G44" s="28">
        <v>6.7999999999999996E-3</v>
      </c>
      <c r="H44" s="29"/>
    </row>
    <row r="45" spans="2:8" ht="15.75" customHeight="1" x14ac:dyDescent="0.2">
      <c r="B45" s="25" t="s">
        <v>584</v>
      </c>
      <c r="C45" s="25" t="s">
        <v>585</v>
      </c>
      <c r="D45" s="25" t="s">
        <v>292</v>
      </c>
      <c r="E45" s="26">
        <v>670</v>
      </c>
      <c r="F45" s="27">
        <v>105.89</v>
      </c>
      <c r="G45" s="28">
        <v>6.7000000000000002E-3</v>
      </c>
      <c r="H45" s="29"/>
    </row>
    <row r="46" spans="2:8" ht="15.75" customHeight="1" x14ac:dyDescent="0.2">
      <c r="B46" s="25" t="s">
        <v>556</v>
      </c>
      <c r="C46" s="25" t="s">
        <v>557</v>
      </c>
      <c r="D46" s="25" t="s">
        <v>298</v>
      </c>
      <c r="E46" s="26">
        <v>14952</v>
      </c>
      <c r="F46" s="27">
        <v>98</v>
      </c>
      <c r="G46" s="28">
        <v>6.1999999999999998E-3</v>
      </c>
      <c r="H46" s="29"/>
    </row>
    <row r="47" spans="2:8" ht="15.75" customHeight="1" x14ac:dyDescent="0.2">
      <c r="B47" s="25" t="s">
        <v>665</v>
      </c>
      <c r="C47" s="25" t="s">
        <v>666</v>
      </c>
      <c r="D47" s="25" t="s">
        <v>289</v>
      </c>
      <c r="E47" s="26">
        <v>2992</v>
      </c>
      <c r="F47" s="27">
        <v>83.9</v>
      </c>
      <c r="G47" s="28">
        <v>5.3E-3</v>
      </c>
      <c r="H47" s="29"/>
    </row>
    <row r="48" spans="2:8" ht="15.75" customHeight="1" x14ac:dyDescent="0.2">
      <c r="B48" s="25" t="s">
        <v>681</v>
      </c>
      <c r="C48" s="25" t="s">
        <v>682</v>
      </c>
      <c r="D48" s="25" t="s">
        <v>320</v>
      </c>
      <c r="E48" s="26">
        <v>114750</v>
      </c>
      <c r="F48" s="27">
        <v>80.44</v>
      </c>
      <c r="G48" s="28">
        <v>5.1000000000000004E-3</v>
      </c>
      <c r="H48" s="29"/>
    </row>
    <row r="49" spans="2:8" ht="15.75" customHeight="1" x14ac:dyDescent="0.2">
      <c r="B49" s="25" t="s">
        <v>683</v>
      </c>
      <c r="C49" s="25" t="s">
        <v>684</v>
      </c>
      <c r="D49" s="25" t="s">
        <v>202</v>
      </c>
      <c r="E49" s="26">
        <v>25157</v>
      </c>
      <c r="F49" s="27">
        <v>33.33</v>
      </c>
      <c r="G49" s="28">
        <v>2.0999999999999999E-3</v>
      </c>
      <c r="H49" s="29"/>
    </row>
    <row r="50" spans="2:8" ht="15.75" customHeight="1" x14ac:dyDescent="0.2">
      <c r="B50" s="24" t="s">
        <v>93</v>
      </c>
      <c r="C50" s="24"/>
      <c r="D50" s="24"/>
      <c r="E50" s="30"/>
      <c r="F50" s="31">
        <v>14898.58</v>
      </c>
      <c r="G50" s="32">
        <v>0.9466</v>
      </c>
      <c r="H50" s="33"/>
    </row>
    <row r="51" spans="2:8" ht="15.75" customHeight="1" x14ac:dyDescent="0.2">
      <c r="B51" s="24" t="s">
        <v>141</v>
      </c>
      <c r="C51" s="25"/>
      <c r="D51" s="25"/>
      <c r="E51" s="26"/>
      <c r="F51" s="27"/>
      <c r="G51" s="28"/>
      <c r="H51" s="29"/>
    </row>
    <row r="52" spans="2:8" ht="15.75" customHeight="1" x14ac:dyDescent="0.2">
      <c r="B52" s="24" t="s">
        <v>93</v>
      </c>
      <c r="C52" s="25"/>
      <c r="D52" s="25"/>
      <c r="E52" s="26"/>
      <c r="F52" s="34" t="s">
        <v>95</v>
      </c>
      <c r="G52" s="35" t="s">
        <v>95</v>
      </c>
      <c r="H52" s="29"/>
    </row>
    <row r="53" spans="2:8" ht="15.75" customHeight="1" x14ac:dyDescent="0.2">
      <c r="B53" s="25"/>
      <c r="C53" s="25"/>
      <c r="D53" s="25"/>
      <c r="E53" s="26"/>
      <c r="F53" s="27"/>
      <c r="G53" s="28"/>
      <c r="H53" s="29"/>
    </row>
    <row r="54" spans="2:8" ht="15.75" customHeight="1" x14ac:dyDescent="0.2">
      <c r="B54" s="36" t="s">
        <v>97</v>
      </c>
      <c r="C54" s="36"/>
      <c r="D54" s="36"/>
      <c r="E54" s="37"/>
      <c r="F54" s="31">
        <v>14898.58</v>
      </c>
      <c r="G54" s="32">
        <v>0.9466</v>
      </c>
      <c r="H54" s="33"/>
    </row>
    <row r="55" spans="2:8" ht="15.75" customHeight="1" x14ac:dyDescent="0.2">
      <c r="B55" s="25"/>
      <c r="C55" s="25"/>
      <c r="D55" s="25"/>
      <c r="E55" s="26"/>
      <c r="F55" s="27"/>
      <c r="G55" s="28"/>
      <c r="H55" s="29"/>
    </row>
    <row r="56" spans="2:8" ht="15.75" customHeight="1" x14ac:dyDescent="0.2">
      <c r="B56" s="25"/>
      <c r="C56" s="25"/>
      <c r="D56" s="25"/>
      <c r="E56" s="26"/>
      <c r="F56" s="27"/>
      <c r="G56" s="28"/>
      <c r="H56" s="29"/>
    </row>
    <row r="57" spans="2:8" ht="15.75" customHeight="1" x14ac:dyDescent="0.2">
      <c r="B57" s="24" t="s">
        <v>100</v>
      </c>
      <c r="C57" s="25"/>
      <c r="D57" s="25"/>
      <c r="E57" s="26"/>
      <c r="F57" s="27"/>
      <c r="G57" s="28"/>
      <c r="H57" s="29"/>
    </row>
    <row r="58" spans="2:8" ht="15.75" customHeight="1" x14ac:dyDescent="0.2">
      <c r="B58" s="25" t="s">
        <v>101</v>
      </c>
      <c r="C58" s="25"/>
      <c r="D58" s="25"/>
      <c r="E58" s="26"/>
      <c r="F58" s="27">
        <v>764.12</v>
      </c>
      <c r="G58" s="28">
        <v>4.8500000000000001E-2</v>
      </c>
      <c r="H58" s="29"/>
    </row>
    <row r="59" spans="2:8" ht="15.75" customHeight="1" x14ac:dyDescent="0.2">
      <c r="B59" s="24" t="s">
        <v>93</v>
      </c>
      <c r="C59" s="24"/>
      <c r="D59" s="24"/>
      <c r="E59" s="30"/>
      <c r="F59" s="31">
        <v>764.12</v>
      </c>
      <c r="G59" s="32">
        <v>4.8500000000000001E-2</v>
      </c>
      <c r="H59" s="33"/>
    </row>
    <row r="60" spans="2:8" ht="15.75" customHeight="1" x14ac:dyDescent="0.2">
      <c r="B60" s="25"/>
      <c r="C60" s="25"/>
      <c r="D60" s="25"/>
      <c r="E60" s="26"/>
      <c r="F60" s="27"/>
      <c r="G60" s="28"/>
      <c r="H60" s="29"/>
    </row>
    <row r="61" spans="2:8" ht="15.75" customHeight="1" x14ac:dyDescent="0.2">
      <c r="B61" s="36" t="s">
        <v>97</v>
      </c>
      <c r="C61" s="36"/>
      <c r="D61" s="36"/>
      <c r="E61" s="37"/>
      <c r="F61" s="31">
        <v>764.12</v>
      </c>
      <c r="G61" s="32">
        <v>4.8500000000000001E-2</v>
      </c>
      <c r="H61" s="33"/>
    </row>
    <row r="62" spans="2:8" ht="15.75" customHeight="1" x14ac:dyDescent="0.2">
      <c r="B62" s="25" t="s">
        <v>102</v>
      </c>
      <c r="C62" s="25"/>
      <c r="D62" s="25"/>
      <c r="E62" s="26"/>
      <c r="F62" s="27">
        <v>76.599999999999994</v>
      </c>
      <c r="G62" s="28">
        <v>4.9000000000000155E-3</v>
      </c>
      <c r="H62" s="29"/>
    </row>
    <row r="63" spans="2:8" ht="15.75" customHeight="1" x14ac:dyDescent="0.2">
      <c r="B63" s="40" t="s">
        <v>103</v>
      </c>
      <c r="C63" s="40"/>
      <c r="D63" s="40"/>
      <c r="E63" s="41"/>
      <c r="F63" s="42">
        <v>15739.3</v>
      </c>
      <c r="G63" s="43">
        <v>1</v>
      </c>
      <c r="H63" s="44"/>
    </row>
    <row r="64" spans="2:8" ht="15.75" customHeight="1" thickBot="1" x14ac:dyDescent="0.25">
      <c r="B64" s="2"/>
    </row>
    <row r="65" spans="2:16" ht="27" customHeight="1" thickBot="1" x14ac:dyDescent="0.25">
      <c r="B65" s="57" t="s">
        <v>806</v>
      </c>
      <c r="C65" s="58" t="s">
        <v>807</v>
      </c>
      <c r="D65" s="58" t="s">
        <v>808</v>
      </c>
      <c r="E65" s="59" t="s">
        <v>809</v>
      </c>
      <c r="G65" s="2"/>
      <c r="H65" s="2"/>
    </row>
    <row r="66" spans="2:16" ht="21.75" customHeight="1" x14ac:dyDescent="0.2">
      <c r="B66" s="68" t="s">
        <v>55</v>
      </c>
      <c r="C66" s="83"/>
      <c r="D66" s="86" t="s">
        <v>862</v>
      </c>
      <c r="E66" s="88"/>
      <c r="G66" s="2"/>
      <c r="H66" s="2"/>
    </row>
    <row r="67" spans="2:16" ht="27.75" customHeight="1" x14ac:dyDescent="0.2">
      <c r="B67" s="61" t="s">
        <v>863</v>
      </c>
      <c r="C67" s="84"/>
      <c r="D67" s="87"/>
      <c r="E67" s="84"/>
      <c r="G67" s="2"/>
      <c r="H67" s="2"/>
    </row>
    <row r="68" spans="2:16" ht="46.5" customHeight="1" x14ac:dyDescent="0.2">
      <c r="B68" s="61" t="s">
        <v>864</v>
      </c>
      <c r="C68" s="84"/>
      <c r="D68" s="87"/>
      <c r="E68" s="84"/>
      <c r="G68" s="2"/>
      <c r="H68" s="2"/>
    </row>
    <row r="69" spans="2:16" ht="30.75" customHeight="1" thickBot="1" x14ac:dyDescent="0.25">
      <c r="B69" s="62" t="s">
        <v>831</v>
      </c>
      <c r="C69" s="85"/>
      <c r="D69" s="70" t="s">
        <v>831</v>
      </c>
      <c r="E69" s="89"/>
      <c r="G69" s="2"/>
      <c r="H69" s="2"/>
    </row>
    <row r="70" spans="2:16" ht="24.95" customHeight="1" x14ac:dyDescent="0.2">
      <c r="B70" s="64" t="s">
        <v>815</v>
      </c>
      <c r="C70" s="65"/>
      <c r="D70" s="66"/>
      <c r="E70" s="67"/>
      <c r="G70" s="2"/>
      <c r="H70" s="2"/>
    </row>
    <row r="72" spans="2:16" ht="12" x14ac:dyDescent="0.2">
      <c r="B72" s="2" t="s">
        <v>816</v>
      </c>
      <c r="C72" s="2"/>
      <c r="D72" s="2"/>
      <c r="G72" s="2"/>
      <c r="H72" s="2"/>
    </row>
    <row r="73" spans="2:16" ht="12" x14ac:dyDescent="0.2">
      <c r="B73" s="3" t="s">
        <v>817</v>
      </c>
      <c r="C73" s="2"/>
      <c r="D73" s="2"/>
      <c r="G73" s="2"/>
      <c r="H73" s="2"/>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6:C69"/>
    <mergeCell ref="D66:D68"/>
    <mergeCell ref="E66:E69"/>
  </mergeCells>
  <hyperlinks>
    <hyperlink ref="I1" location="'Sheet1'!A1" display="Index" xr:uid="{61E15835-2FB8-4AB6-9B57-E03D3CDF59A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EAAE5-28FF-4FC1-B1FB-F2D83657A95A}">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28515625" style="9" customWidth="1"/>
    <col min="4" max="4" width="26.5703125" style="9" customWidth="1"/>
    <col min="5" max="5" width="31"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218917</v>
      </c>
      <c r="F7" s="27">
        <v>3741.84</v>
      </c>
      <c r="G7" s="28">
        <v>0.13489999999999999</v>
      </c>
      <c r="H7" s="29"/>
    </row>
    <row r="8" spans="2:9" ht="15.75" customHeight="1" x14ac:dyDescent="0.2">
      <c r="B8" s="25" t="s">
        <v>130</v>
      </c>
      <c r="C8" s="25" t="s">
        <v>131</v>
      </c>
      <c r="D8" s="25" t="s">
        <v>132</v>
      </c>
      <c r="E8" s="26">
        <v>98447</v>
      </c>
      <c r="F8" s="27">
        <v>2544.81</v>
      </c>
      <c r="G8" s="28">
        <v>9.1700000000000004E-2</v>
      </c>
      <c r="H8" s="29"/>
    </row>
    <row r="9" spans="2:9" ht="15.75" customHeight="1" x14ac:dyDescent="0.2">
      <c r="B9" s="25" t="s">
        <v>119</v>
      </c>
      <c r="C9" s="25" t="s">
        <v>120</v>
      </c>
      <c r="D9" s="25" t="s">
        <v>121</v>
      </c>
      <c r="E9" s="26">
        <v>204003</v>
      </c>
      <c r="F9" s="27">
        <v>2033.09</v>
      </c>
      <c r="G9" s="28">
        <v>7.3300000000000004E-2</v>
      </c>
      <c r="H9" s="29"/>
    </row>
    <row r="10" spans="2:9" ht="15.75" customHeight="1" x14ac:dyDescent="0.2">
      <c r="B10" s="25" t="s">
        <v>122</v>
      </c>
      <c r="C10" s="25" t="s">
        <v>123</v>
      </c>
      <c r="D10" s="25" t="s">
        <v>124</v>
      </c>
      <c r="E10" s="26">
        <v>103986</v>
      </c>
      <c r="F10" s="27">
        <v>1604.4</v>
      </c>
      <c r="G10" s="28">
        <v>5.7799999999999997E-2</v>
      </c>
      <c r="H10" s="29"/>
    </row>
    <row r="11" spans="2:9" ht="15.75" customHeight="1" x14ac:dyDescent="0.2">
      <c r="B11" s="25" t="s">
        <v>318</v>
      </c>
      <c r="C11" s="25" t="s">
        <v>319</v>
      </c>
      <c r="D11" s="25" t="s">
        <v>320</v>
      </c>
      <c r="E11" s="26">
        <v>34422</v>
      </c>
      <c r="F11" s="27">
        <v>1213.72</v>
      </c>
      <c r="G11" s="28">
        <v>4.3700000000000003E-2</v>
      </c>
      <c r="H11" s="29"/>
    </row>
    <row r="12" spans="2:9" ht="15.75" customHeight="1" x14ac:dyDescent="0.2">
      <c r="B12" s="25" t="s">
        <v>157</v>
      </c>
      <c r="C12" s="25" t="s">
        <v>158</v>
      </c>
      <c r="D12" s="25" t="s">
        <v>129</v>
      </c>
      <c r="E12" s="26">
        <v>258284</v>
      </c>
      <c r="F12" s="27">
        <v>1193.53</v>
      </c>
      <c r="G12" s="28">
        <v>4.2999999999999997E-2</v>
      </c>
      <c r="H12" s="29"/>
    </row>
    <row r="13" spans="2:9" ht="15.75" customHeight="1" x14ac:dyDescent="0.2">
      <c r="B13" s="25" t="s">
        <v>227</v>
      </c>
      <c r="C13" s="25" t="s">
        <v>228</v>
      </c>
      <c r="D13" s="25" t="s">
        <v>124</v>
      </c>
      <c r="E13" s="26">
        <v>29545</v>
      </c>
      <c r="F13" s="27">
        <v>1120.76</v>
      </c>
      <c r="G13" s="28">
        <v>4.0399999999999998E-2</v>
      </c>
      <c r="H13" s="29"/>
    </row>
    <row r="14" spans="2:9" ht="15.75" customHeight="1" x14ac:dyDescent="0.2">
      <c r="B14" s="25" t="s">
        <v>258</v>
      </c>
      <c r="C14" s="25" t="s">
        <v>259</v>
      </c>
      <c r="D14" s="25" t="s">
        <v>121</v>
      </c>
      <c r="E14" s="26">
        <v>80491</v>
      </c>
      <c r="F14" s="27">
        <v>887.25</v>
      </c>
      <c r="G14" s="28">
        <v>3.2000000000000001E-2</v>
      </c>
      <c r="H14" s="29"/>
    </row>
    <row r="15" spans="2:9" ht="15.75" customHeight="1" x14ac:dyDescent="0.2">
      <c r="B15" s="25" t="s">
        <v>184</v>
      </c>
      <c r="C15" s="25" t="s">
        <v>185</v>
      </c>
      <c r="D15" s="25" t="s">
        <v>121</v>
      </c>
      <c r="E15" s="26">
        <v>42539</v>
      </c>
      <c r="F15" s="27">
        <v>811.69</v>
      </c>
      <c r="G15" s="28">
        <v>2.93E-2</v>
      </c>
      <c r="H15" s="29"/>
    </row>
    <row r="16" spans="2:9" ht="15.75" customHeight="1" x14ac:dyDescent="0.2">
      <c r="B16" s="25" t="s">
        <v>325</v>
      </c>
      <c r="C16" s="25" t="s">
        <v>326</v>
      </c>
      <c r="D16" s="25" t="s">
        <v>244</v>
      </c>
      <c r="E16" s="26">
        <v>73616</v>
      </c>
      <c r="F16" s="27">
        <v>759.86</v>
      </c>
      <c r="G16" s="28">
        <v>2.7400000000000001E-2</v>
      </c>
      <c r="H16" s="29"/>
    </row>
    <row r="17" spans="2:8" ht="15.75" customHeight="1" x14ac:dyDescent="0.2">
      <c r="B17" s="25" t="s">
        <v>256</v>
      </c>
      <c r="C17" s="25" t="s">
        <v>257</v>
      </c>
      <c r="D17" s="25" t="s">
        <v>121</v>
      </c>
      <c r="E17" s="26">
        <v>111469</v>
      </c>
      <c r="F17" s="27">
        <v>715.69</v>
      </c>
      <c r="G17" s="28">
        <v>2.58E-2</v>
      </c>
      <c r="H17" s="29"/>
    </row>
    <row r="18" spans="2:8" ht="15.75" customHeight="1" x14ac:dyDescent="0.2">
      <c r="B18" s="25" t="s">
        <v>127</v>
      </c>
      <c r="C18" s="25" t="s">
        <v>128</v>
      </c>
      <c r="D18" s="25" t="s">
        <v>129</v>
      </c>
      <c r="E18" s="26">
        <v>26027</v>
      </c>
      <c r="F18" s="27">
        <v>693.35</v>
      </c>
      <c r="G18" s="28">
        <v>2.5000000000000001E-2</v>
      </c>
      <c r="H18" s="29"/>
    </row>
    <row r="19" spans="2:8" ht="15.75" customHeight="1" x14ac:dyDescent="0.2">
      <c r="B19" s="25" t="s">
        <v>247</v>
      </c>
      <c r="C19" s="25" t="s">
        <v>248</v>
      </c>
      <c r="D19" s="25" t="s">
        <v>176</v>
      </c>
      <c r="E19" s="26">
        <v>8083</v>
      </c>
      <c r="F19" s="27">
        <v>592.29999999999995</v>
      </c>
      <c r="G19" s="28">
        <v>2.1299999999999999E-2</v>
      </c>
      <c r="H19" s="29"/>
    </row>
    <row r="20" spans="2:8" ht="15.75" customHeight="1" x14ac:dyDescent="0.2">
      <c r="B20" s="25" t="s">
        <v>262</v>
      </c>
      <c r="C20" s="25" t="s">
        <v>263</v>
      </c>
      <c r="D20" s="25" t="s">
        <v>124</v>
      </c>
      <c r="E20" s="26">
        <v>30819</v>
      </c>
      <c r="F20" s="27">
        <v>451.84</v>
      </c>
      <c r="G20" s="28">
        <v>1.6299999999999999E-2</v>
      </c>
      <c r="H20" s="29"/>
    </row>
    <row r="21" spans="2:8" ht="15.75" customHeight="1" x14ac:dyDescent="0.2">
      <c r="B21" s="25" t="s">
        <v>136</v>
      </c>
      <c r="C21" s="25" t="s">
        <v>137</v>
      </c>
      <c r="D21" s="25" t="s">
        <v>138</v>
      </c>
      <c r="E21" s="26">
        <v>26008</v>
      </c>
      <c r="F21" s="27">
        <v>449.78</v>
      </c>
      <c r="G21" s="28">
        <v>1.6199999999999999E-2</v>
      </c>
      <c r="H21" s="29"/>
    </row>
    <row r="22" spans="2:8" ht="15.75" customHeight="1" x14ac:dyDescent="0.2">
      <c r="B22" s="25" t="s">
        <v>240</v>
      </c>
      <c r="C22" s="25" t="s">
        <v>241</v>
      </c>
      <c r="D22" s="25" t="s">
        <v>188</v>
      </c>
      <c r="E22" s="26">
        <v>13128</v>
      </c>
      <c r="F22" s="27">
        <v>446.67</v>
      </c>
      <c r="G22" s="28">
        <v>1.61E-2</v>
      </c>
      <c r="H22" s="29"/>
    </row>
    <row r="23" spans="2:8" ht="15.75" customHeight="1" x14ac:dyDescent="0.2">
      <c r="B23" s="25" t="s">
        <v>329</v>
      </c>
      <c r="C23" s="25" t="s">
        <v>330</v>
      </c>
      <c r="D23" s="25" t="s">
        <v>188</v>
      </c>
      <c r="E23" s="26">
        <v>12146</v>
      </c>
      <c r="F23" s="27">
        <v>446.42</v>
      </c>
      <c r="G23" s="28">
        <v>1.61E-2</v>
      </c>
      <c r="H23" s="29"/>
    </row>
    <row r="24" spans="2:8" ht="15.75" customHeight="1" x14ac:dyDescent="0.2">
      <c r="B24" s="25" t="s">
        <v>277</v>
      </c>
      <c r="C24" s="25" t="s">
        <v>278</v>
      </c>
      <c r="D24" s="25" t="s">
        <v>202</v>
      </c>
      <c r="E24" s="26">
        <v>138465</v>
      </c>
      <c r="F24" s="27">
        <v>430.83</v>
      </c>
      <c r="G24" s="28">
        <v>1.55E-2</v>
      </c>
      <c r="H24" s="29"/>
    </row>
    <row r="25" spans="2:8" ht="15.75" customHeight="1" x14ac:dyDescent="0.2">
      <c r="B25" s="25" t="s">
        <v>177</v>
      </c>
      <c r="C25" s="25" t="s">
        <v>178</v>
      </c>
      <c r="D25" s="25" t="s">
        <v>138</v>
      </c>
      <c r="E25" s="26">
        <v>51095</v>
      </c>
      <c r="F25" s="27">
        <v>398.52</v>
      </c>
      <c r="G25" s="28">
        <v>1.44E-2</v>
      </c>
      <c r="H25" s="29"/>
    </row>
    <row r="26" spans="2:8" ht="15.75" customHeight="1" x14ac:dyDescent="0.2">
      <c r="B26" s="25" t="s">
        <v>264</v>
      </c>
      <c r="C26" s="25" t="s">
        <v>265</v>
      </c>
      <c r="D26" s="25" t="s">
        <v>138</v>
      </c>
      <c r="E26" s="26">
        <v>3847</v>
      </c>
      <c r="F26" s="27">
        <v>396.33</v>
      </c>
      <c r="G26" s="28">
        <v>1.43E-2</v>
      </c>
      <c r="H26" s="29"/>
    </row>
    <row r="27" spans="2:8" ht="15.75" customHeight="1" x14ac:dyDescent="0.2">
      <c r="B27" s="25" t="s">
        <v>268</v>
      </c>
      <c r="C27" s="25" t="s">
        <v>269</v>
      </c>
      <c r="D27" s="25" t="s">
        <v>194</v>
      </c>
      <c r="E27" s="26">
        <v>31423</v>
      </c>
      <c r="F27" s="27">
        <v>395.76</v>
      </c>
      <c r="G27" s="28">
        <v>1.43E-2</v>
      </c>
      <c r="H27" s="29"/>
    </row>
    <row r="28" spans="2:8" ht="15.75" customHeight="1" x14ac:dyDescent="0.2">
      <c r="B28" s="25" t="s">
        <v>306</v>
      </c>
      <c r="C28" s="25" t="s">
        <v>307</v>
      </c>
      <c r="D28" s="25" t="s">
        <v>226</v>
      </c>
      <c r="E28" s="26">
        <v>3343</v>
      </c>
      <c r="F28" s="27">
        <v>351.12</v>
      </c>
      <c r="G28" s="28">
        <v>1.2699999999999999E-2</v>
      </c>
      <c r="H28" s="29"/>
    </row>
    <row r="29" spans="2:8" ht="15.75" customHeight="1" x14ac:dyDescent="0.2">
      <c r="B29" s="25" t="s">
        <v>210</v>
      </c>
      <c r="C29" s="25" t="s">
        <v>211</v>
      </c>
      <c r="D29" s="25" t="s">
        <v>170</v>
      </c>
      <c r="E29" s="26">
        <v>236486</v>
      </c>
      <c r="F29" s="27">
        <v>330.13</v>
      </c>
      <c r="G29" s="28">
        <v>1.1900000000000001E-2</v>
      </c>
      <c r="H29" s="29"/>
    </row>
    <row r="30" spans="2:8" ht="15.75" customHeight="1" x14ac:dyDescent="0.2">
      <c r="B30" s="25" t="s">
        <v>281</v>
      </c>
      <c r="C30" s="25" t="s">
        <v>282</v>
      </c>
      <c r="D30" s="25" t="s">
        <v>202</v>
      </c>
      <c r="E30" s="26">
        <v>132844</v>
      </c>
      <c r="F30" s="27">
        <v>315.11</v>
      </c>
      <c r="G30" s="28">
        <v>1.14E-2</v>
      </c>
      <c r="H30" s="29"/>
    </row>
    <row r="31" spans="2:8" ht="15.75" customHeight="1" x14ac:dyDescent="0.2">
      <c r="B31" s="25" t="s">
        <v>685</v>
      </c>
      <c r="C31" s="25" t="s">
        <v>686</v>
      </c>
      <c r="D31" s="25" t="s">
        <v>121</v>
      </c>
      <c r="E31" s="26">
        <v>19222</v>
      </c>
      <c r="F31" s="27">
        <v>307.35000000000002</v>
      </c>
      <c r="G31" s="28">
        <v>1.11E-2</v>
      </c>
      <c r="H31" s="29"/>
    </row>
    <row r="32" spans="2:8" ht="15.75" customHeight="1" x14ac:dyDescent="0.2">
      <c r="B32" s="25" t="s">
        <v>133</v>
      </c>
      <c r="C32" s="25" t="s">
        <v>134</v>
      </c>
      <c r="D32" s="25" t="s">
        <v>135</v>
      </c>
      <c r="E32" s="26">
        <v>1037</v>
      </c>
      <c r="F32" s="27">
        <v>275.64</v>
      </c>
      <c r="G32" s="28">
        <v>9.9000000000000008E-3</v>
      </c>
      <c r="H32" s="29"/>
    </row>
    <row r="33" spans="2:8" ht="15.75" customHeight="1" x14ac:dyDescent="0.2">
      <c r="B33" s="25" t="s">
        <v>658</v>
      </c>
      <c r="C33" s="25" t="s">
        <v>659</v>
      </c>
      <c r="D33" s="25" t="s">
        <v>176</v>
      </c>
      <c r="E33" s="26">
        <v>15753</v>
      </c>
      <c r="F33" s="27">
        <v>265.56</v>
      </c>
      <c r="G33" s="28">
        <v>9.5999999999999992E-3</v>
      </c>
      <c r="H33" s="29"/>
    </row>
    <row r="34" spans="2:8" ht="15.75" customHeight="1" x14ac:dyDescent="0.2">
      <c r="B34" s="25" t="s">
        <v>656</v>
      </c>
      <c r="C34" s="25" t="s">
        <v>657</v>
      </c>
      <c r="D34" s="25" t="s">
        <v>450</v>
      </c>
      <c r="E34" s="26">
        <v>42367</v>
      </c>
      <c r="F34" s="27">
        <v>260.49</v>
      </c>
      <c r="G34" s="28">
        <v>9.4000000000000004E-3</v>
      </c>
      <c r="H34" s="29"/>
    </row>
    <row r="35" spans="2:8" ht="15.75" customHeight="1" x14ac:dyDescent="0.2">
      <c r="B35" s="25" t="s">
        <v>660</v>
      </c>
      <c r="C35" s="25" t="s">
        <v>661</v>
      </c>
      <c r="D35" s="25" t="s">
        <v>662</v>
      </c>
      <c r="E35" s="26">
        <v>66448</v>
      </c>
      <c r="F35" s="27">
        <v>249.84</v>
      </c>
      <c r="G35" s="28">
        <v>8.9999999999999993E-3</v>
      </c>
      <c r="H35" s="29"/>
    </row>
    <row r="36" spans="2:8" ht="15.75" customHeight="1" x14ac:dyDescent="0.2">
      <c r="B36" s="25" t="s">
        <v>205</v>
      </c>
      <c r="C36" s="25" t="s">
        <v>206</v>
      </c>
      <c r="D36" s="25" t="s">
        <v>170</v>
      </c>
      <c r="E36" s="26">
        <v>27684</v>
      </c>
      <c r="F36" s="27">
        <v>243.69</v>
      </c>
      <c r="G36" s="28">
        <v>8.8000000000000005E-3</v>
      </c>
      <c r="H36" s="29"/>
    </row>
    <row r="37" spans="2:8" ht="15.75" customHeight="1" x14ac:dyDescent="0.2">
      <c r="B37" s="25" t="s">
        <v>687</v>
      </c>
      <c r="C37" s="25" t="s">
        <v>688</v>
      </c>
      <c r="D37" s="25" t="s">
        <v>689</v>
      </c>
      <c r="E37" s="26">
        <v>113328</v>
      </c>
      <c r="F37" s="27">
        <v>232.38</v>
      </c>
      <c r="G37" s="28">
        <v>8.3999999999999995E-3</v>
      </c>
      <c r="H37" s="29"/>
    </row>
    <row r="38" spans="2:8" ht="15.75" customHeight="1" x14ac:dyDescent="0.2">
      <c r="B38" s="25" t="s">
        <v>220</v>
      </c>
      <c r="C38" s="25" t="s">
        <v>221</v>
      </c>
      <c r="D38" s="25" t="s">
        <v>124</v>
      </c>
      <c r="E38" s="26">
        <v>18176</v>
      </c>
      <c r="F38" s="27">
        <v>231.32</v>
      </c>
      <c r="G38" s="28">
        <v>8.3000000000000001E-3</v>
      </c>
      <c r="H38" s="29"/>
    </row>
    <row r="39" spans="2:8" ht="15.75" customHeight="1" x14ac:dyDescent="0.2">
      <c r="B39" s="25" t="s">
        <v>224</v>
      </c>
      <c r="C39" s="25" t="s">
        <v>225</v>
      </c>
      <c r="D39" s="25" t="s">
        <v>226</v>
      </c>
      <c r="E39" s="26">
        <v>10640</v>
      </c>
      <c r="F39" s="27">
        <v>227.14</v>
      </c>
      <c r="G39" s="28">
        <v>8.2000000000000007E-3</v>
      </c>
      <c r="H39" s="29"/>
    </row>
    <row r="40" spans="2:8" ht="15.75" customHeight="1" x14ac:dyDescent="0.2">
      <c r="B40" s="25" t="s">
        <v>434</v>
      </c>
      <c r="C40" s="25" t="s">
        <v>435</v>
      </c>
      <c r="D40" s="25" t="s">
        <v>138</v>
      </c>
      <c r="E40" s="26">
        <v>3287</v>
      </c>
      <c r="F40" s="27">
        <v>223.43</v>
      </c>
      <c r="G40" s="28">
        <v>8.0999999999999996E-3</v>
      </c>
      <c r="H40" s="29"/>
    </row>
    <row r="41" spans="2:8" ht="15.75" customHeight="1" x14ac:dyDescent="0.2">
      <c r="B41" s="25" t="s">
        <v>690</v>
      </c>
      <c r="C41" s="25" t="s">
        <v>691</v>
      </c>
      <c r="D41" s="25" t="s">
        <v>692</v>
      </c>
      <c r="E41" s="26">
        <v>21344</v>
      </c>
      <c r="F41" s="27">
        <v>218.64</v>
      </c>
      <c r="G41" s="28">
        <v>7.9000000000000008E-3</v>
      </c>
      <c r="H41" s="29"/>
    </row>
    <row r="42" spans="2:8" ht="15.75" customHeight="1" x14ac:dyDescent="0.2">
      <c r="B42" s="25" t="s">
        <v>693</v>
      </c>
      <c r="C42" s="25" t="s">
        <v>694</v>
      </c>
      <c r="D42" s="25" t="s">
        <v>695</v>
      </c>
      <c r="E42" s="26">
        <v>7620</v>
      </c>
      <c r="F42" s="27">
        <v>217.09</v>
      </c>
      <c r="G42" s="28">
        <v>7.7999999999999996E-3</v>
      </c>
      <c r="H42" s="29"/>
    </row>
    <row r="43" spans="2:8" ht="15.75" customHeight="1" x14ac:dyDescent="0.2">
      <c r="B43" s="25" t="s">
        <v>222</v>
      </c>
      <c r="C43" s="25" t="s">
        <v>223</v>
      </c>
      <c r="D43" s="25" t="s">
        <v>194</v>
      </c>
      <c r="E43" s="26">
        <v>3546</v>
      </c>
      <c r="F43" s="27">
        <v>205.59</v>
      </c>
      <c r="G43" s="28">
        <v>7.4000000000000003E-3</v>
      </c>
      <c r="H43" s="29"/>
    </row>
    <row r="44" spans="2:8" ht="15.75" customHeight="1" x14ac:dyDescent="0.2">
      <c r="B44" s="25" t="s">
        <v>696</v>
      </c>
      <c r="C44" s="25" t="s">
        <v>697</v>
      </c>
      <c r="D44" s="25" t="s">
        <v>295</v>
      </c>
      <c r="E44" s="26">
        <v>30625</v>
      </c>
      <c r="F44" s="27">
        <v>198.05</v>
      </c>
      <c r="G44" s="28">
        <v>7.1000000000000004E-3</v>
      </c>
      <c r="H44" s="29"/>
    </row>
    <row r="45" spans="2:8" ht="15.75" customHeight="1" x14ac:dyDescent="0.2">
      <c r="B45" s="25" t="s">
        <v>698</v>
      </c>
      <c r="C45" s="25" t="s">
        <v>699</v>
      </c>
      <c r="D45" s="25" t="s">
        <v>124</v>
      </c>
      <c r="E45" s="26">
        <v>40974</v>
      </c>
      <c r="F45" s="27">
        <v>193.11</v>
      </c>
      <c r="G45" s="28">
        <v>7.0000000000000001E-3</v>
      </c>
      <c r="H45" s="29"/>
    </row>
    <row r="46" spans="2:8" ht="15.75" customHeight="1" x14ac:dyDescent="0.2">
      <c r="B46" s="25" t="s">
        <v>215</v>
      </c>
      <c r="C46" s="25" t="s">
        <v>216</v>
      </c>
      <c r="D46" s="25" t="s">
        <v>217</v>
      </c>
      <c r="E46" s="26">
        <v>17588</v>
      </c>
      <c r="F46" s="27">
        <v>191.15</v>
      </c>
      <c r="G46" s="28">
        <v>6.8999999999999999E-3</v>
      </c>
      <c r="H46" s="29"/>
    </row>
    <row r="47" spans="2:8" ht="15.75" customHeight="1" x14ac:dyDescent="0.2">
      <c r="B47" s="25" t="s">
        <v>266</v>
      </c>
      <c r="C47" s="25" t="s">
        <v>267</v>
      </c>
      <c r="D47" s="25" t="s">
        <v>194</v>
      </c>
      <c r="E47" s="26">
        <v>15273</v>
      </c>
      <c r="F47" s="27">
        <v>190.35</v>
      </c>
      <c r="G47" s="28">
        <v>6.8999999999999999E-3</v>
      </c>
      <c r="H47" s="29"/>
    </row>
    <row r="48" spans="2:8" ht="15.75" customHeight="1" x14ac:dyDescent="0.2">
      <c r="B48" s="25" t="s">
        <v>654</v>
      </c>
      <c r="C48" s="25" t="s">
        <v>655</v>
      </c>
      <c r="D48" s="25" t="s">
        <v>295</v>
      </c>
      <c r="E48" s="26">
        <v>13076</v>
      </c>
      <c r="F48" s="27">
        <v>187.33</v>
      </c>
      <c r="G48" s="28">
        <v>6.7999999999999996E-3</v>
      </c>
      <c r="H48" s="29"/>
    </row>
    <row r="49" spans="2:8" ht="15.75" customHeight="1" x14ac:dyDescent="0.2">
      <c r="B49" s="25" t="s">
        <v>415</v>
      </c>
      <c r="C49" s="25" t="s">
        <v>416</v>
      </c>
      <c r="D49" s="25" t="s">
        <v>135</v>
      </c>
      <c r="E49" s="26">
        <v>3426</v>
      </c>
      <c r="F49" s="27">
        <v>182.9</v>
      </c>
      <c r="G49" s="28">
        <v>6.6E-3</v>
      </c>
      <c r="H49" s="29"/>
    </row>
    <row r="50" spans="2:8" ht="15.75" customHeight="1" x14ac:dyDescent="0.2">
      <c r="B50" s="25" t="s">
        <v>139</v>
      </c>
      <c r="C50" s="25" t="s">
        <v>140</v>
      </c>
      <c r="D50" s="25" t="s">
        <v>124</v>
      </c>
      <c r="E50" s="26">
        <v>2670</v>
      </c>
      <c r="F50" s="27">
        <v>168.08</v>
      </c>
      <c r="G50" s="28">
        <v>6.1000000000000004E-3</v>
      </c>
      <c r="H50" s="29"/>
    </row>
    <row r="51" spans="2:8" ht="15.75" customHeight="1" x14ac:dyDescent="0.2">
      <c r="B51" s="25" t="s">
        <v>235</v>
      </c>
      <c r="C51" s="25" t="s">
        <v>236</v>
      </c>
      <c r="D51" s="25" t="s">
        <v>237</v>
      </c>
      <c r="E51" s="26">
        <v>2925</v>
      </c>
      <c r="F51" s="27">
        <v>166.84</v>
      </c>
      <c r="G51" s="28">
        <v>6.0000000000000001E-3</v>
      </c>
      <c r="H51" s="29"/>
    </row>
    <row r="52" spans="2:8" ht="15.75" customHeight="1" x14ac:dyDescent="0.2">
      <c r="B52" s="25" t="s">
        <v>260</v>
      </c>
      <c r="C52" s="25" t="s">
        <v>261</v>
      </c>
      <c r="D52" s="25" t="s">
        <v>138</v>
      </c>
      <c r="E52" s="26">
        <v>3976</v>
      </c>
      <c r="F52" s="27">
        <v>164.75</v>
      </c>
      <c r="G52" s="28">
        <v>5.8999999999999999E-3</v>
      </c>
      <c r="H52" s="29"/>
    </row>
    <row r="53" spans="2:8" ht="15.75" customHeight="1" x14ac:dyDescent="0.2">
      <c r="B53" s="25" t="s">
        <v>275</v>
      </c>
      <c r="C53" s="25" t="s">
        <v>276</v>
      </c>
      <c r="D53" s="25" t="s">
        <v>138</v>
      </c>
      <c r="E53" s="26">
        <v>3784</v>
      </c>
      <c r="F53" s="27">
        <v>156.63999999999999</v>
      </c>
      <c r="G53" s="28">
        <v>5.5999999999999999E-3</v>
      </c>
      <c r="H53" s="29"/>
    </row>
    <row r="54" spans="2:8" ht="15.75" customHeight="1" x14ac:dyDescent="0.2">
      <c r="B54" s="25" t="s">
        <v>432</v>
      </c>
      <c r="C54" s="25" t="s">
        <v>433</v>
      </c>
      <c r="D54" s="25" t="s">
        <v>194</v>
      </c>
      <c r="E54" s="26">
        <v>3704</v>
      </c>
      <c r="F54" s="27">
        <v>144.6</v>
      </c>
      <c r="G54" s="28">
        <v>5.1999999999999998E-3</v>
      </c>
      <c r="H54" s="29"/>
    </row>
    <row r="55" spans="2:8" ht="15.75" customHeight="1" x14ac:dyDescent="0.2">
      <c r="B55" s="25" t="s">
        <v>233</v>
      </c>
      <c r="C55" s="25" t="s">
        <v>234</v>
      </c>
      <c r="D55" s="25" t="s">
        <v>132</v>
      </c>
      <c r="E55" s="26">
        <v>27765</v>
      </c>
      <c r="F55" s="27">
        <v>125.12</v>
      </c>
      <c r="G55" s="28">
        <v>4.4999999999999997E-3</v>
      </c>
      <c r="H55" s="29"/>
    </row>
    <row r="56" spans="2:8" ht="15.75" customHeight="1" x14ac:dyDescent="0.2">
      <c r="B56" s="25" t="s">
        <v>700</v>
      </c>
      <c r="C56" s="25" t="s">
        <v>701</v>
      </c>
      <c r="D56" s="25" t="s">
        <v>161</v>
      </c>
      <c r="E56" s="26">
        <v>14627</v>
      </c>
      <c r="F56" s="27">
        <v>85.9</v>
      </c>
      <c r="G56" s="28">
        <v>3.0999999999999999E-3</v>
      </c>
      <c r="H56" s="29"/>
    </row>
    <row r="57" spans="2:8" ht="15.75" customHeight="1" x14ac:dyDescent="0.2">
      <c r="B57" s="24" t="s">
        <v>93</v>
      </c>
      <c r="C57" s="24"/>
      <c r="D57" s="24"/>
      <c r="E57" s="30"/>
      <c r="F57" s="31">
        <v>27637.78</v>
      </c>
      <c r="G57" s="32">
        <v>0.99609999999999999</v>
      </c>
      <c r="H57" s="33"/>
    </row>
    <row r="58" spans="2:8" ht="15.75" customHeight="1" x14ac:dyDescent="0.2">
      <c r="B58" s="24" t="s">
        <v>141</v>
      </c>
      <c r="C58" s="25"/>
      <c r="D58" s="25"/>
      <c r="E58" s="26"/>
      <c r="F58" s="27"/>
      <c r="G58" s="28"/>
      <c r="H58" s="29"/>
    </row>
    <row r="59" spans="2:8" ht="15.75" customHeight="1" x14ac:dyDescent="0.2">
      <c r="B59" s="24" t="s">
        <v>93</v>
      </c>
      <c r="C59" s="25"/>
      <c r="D59" s="25"/>
      <c r="E59" s="26"/>
      <c r="F59" s="34" t="s">
        <v>95</v>
      </c>
      <c r="G59" s="35" t="s">
        <v>95</v>
      </c>
      <c r="H59" s="29"/>
    </row>
    <row r="60" spans="2:8" ht="15.75" customHeight="1" x14ac:dyDescent="0.2">
      <c r="B60" s="25"/>
      <c r="C60" s="25"/>
      <c r="D60" s="25"/>
      <c r="E60" s="26"/>
      <c r="F60" s="27"/>
      <c r="G60" s="28"/>
      <c r="H60" s="29"/>
    </row>
    <row r="61" spans="2:8" ht="15.75" customHeight="1" x14ac:dyDescent="0.2">
      <c r="B61" s="36" t="s">
        <v>97</v>
      </c>
      <c r="C61" s="36"/>
      <c r="D61" s="36"/>
      <c r="E61" s="37"/>
      <c r="F61" s="31">
        <v>27637.78</v>
      </c>
      <c r="G61" s="32">
        <v>0.99609999999999999</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100</v>
      </c>
      <c r="C64" s="25"/>
      <c r="D64" s="25"/>
      <c r="E64" s="26"/>
      <c r="F64" s="27"/>
      <c r="G64" s="28"/>
      <c r="H64" s="29"/>
    </row>
    <row r="65" spans="2:16" ht="15.75" customHeight="1" x14ac:dyDescent="0.2">
      <c r="B65" s="25" t="s">
        <v>101</v>
      </c>
      <c r="C65" s="25"/>
      <c r="D65" s="25"/>
      <c r="E65" s="26"/>
      <c r="F65" s="27">
        <v>102.18</v>
      </c>
      <c r="G65" s="28">
        <v>3.7000000000000002E-3</v>
      </c>
      <c r="H65" s="29"/>
    </row>
    <row r="66" spans="2:16" ht="15.75" customHeight="1" x14ac:dyDescent="0.2">
      <c r="B66" s="24" t="s">
        <v>93</v>
      </c>
      <c r="C66" s="24"/>
      <c r="D66" s="24"/>
      <c r="E66" s="30"/>
      <c r="F66" s="31">
        <v>102.18</v>
      </c>
      <c r="G66" s="32">
        <v>3.7000000000000002E-3</v>
      </c>
      <c r="H66" s="33"/>
    </row>
    <row r="67" spans="2:16" ht="15.75" customHeight="1" x14ac:dyDescent="0.2">
      <c r="B67" s="25"/>
      <c r="C67" s="25"/>
      <c r="D67" s="25"/>
      <c r="E67" s="26"/>
      <c r="F67" s="27"/>
      <c r="G67" s="28"/>
      <c r="H67" s="29"/>
    </row>
    <row r="68" spans="2:16" ht="15.75" customHeight="1" x14ac:dyDescent="0.2">
      <c r="B68" s="36" t="s">
        <v>97</v>
      </c>
      <c r="C68" s="36"/>
      <c r="D68" s="36"/>
      <c r="E68" s="37"/>
      <c r="F68" s="31">
        <v>102.18</v>
      </c>
      <c r="G68" s="32">
        <v>3.7000000000000002E-3</v>
      </c>
      <c r="H68" s="33"/>
      <c r="L68" s="3"/>
    </row>
    <row r="69" spans="2:16" ht="15.75" customHeight="1" x14ac:dyDescent="0.2">
      <c r="B69" s="25" t="s">
        <v>102</v>
      </c>
      <c r="C69" s="25"/>
      <c r="D69" s="25"/>
      <c r="E69" s="26"/>
      <c r="F69" s="27">
        <v>6.2</v>
      </c>
      <c r="G69" s="28">
        <v>1.9999999999997797E-4</v>
      </c>
      <c r="H69" s="29"/>
    </row>
    <row r="70" spans="2:16" ht="15.75" customHeight="1" x14ac:dyDescent="0.2">
      <c r="B70" s="40" t="s">
        <v>103</v>
      </c>
      <c r="C70" s="40"/>
      <c r="D70" s="40"/>
      <c r="E70" s="41"/>
      <c r="F70" s="42">
        <v>27746.16</v>
      </c>
      <c r="G70" s="43">
        <v>1</v>
      </c>
      <c r="H70" s="44"/>
      <c r="L70" s="3"/>
    </row>
    <row r="71" spans="2:16" ht="15.75" customHeight="1" thickBot="1" x14ac:dyDescent="0.25">
      <c r="B71" s="2"/>
      <c r="L71" s="3"/>
    </row>
    <row r="72" spans="2:16" ht="27" customHeight="1" thickBot="1" x14ac:dyDescent="0.25">
      <c r="B72" s="57" t="s">
        <v>806</v>
      </c>
      <c r="C72" s="58" t="s">
        <v>807</v>
      </c>
      <c r="D72" s="58" t="s">
        <v>808</v>
      </c>
      <c r="E72" s="59" t="s">
        <v>809</v>
      </c>
      <c r="G72" s="2"/>
      <c r="H72" s="2"/>
    </row>
    <row r="73" spans="2:16" ht="27.75" customHeight="1" x14ac:dyDescent="0.2">
      <c r="B73" s="68" t="s">
        <v>57</v>
      </c>
      <c r="C73" s="83"/>
      <c r="D73" s="86" t="s">
        <v>865</v>
      </c>
      <c r="E73" s="88"/>
      <c r="G73" s="2"/>
      <c r="H73" s="2"/>
    </row>
    <row r="74" spans="2:16" ht="31.5" customHeight="1" x14ac:dyDescent="0.2">
      <c r="B74" s="61" t="s">
        <v>866</v>
      </c>
      <c r="C74" s="84"/>
      <c r="D74" s="87"/>
      <c r="E74" s="84"/>
      <c r="G74" s="2"/>
      <c r="H74" s="2"/>
    </row>
    <row r="75" spans="2:16" ht="39.950000000000003" customHeight="1" x14ac:dyDescent="0.2">
      <c r="B75" s="61" t="s">
        <v>867</v>
      </c>
      <c r="C75" s="84"/>
      <c r="D75" s="87"/>
      <c r="E75" s="84"/>
      <c r="G75" s="2"/>
      <c r="H75" s="2"/>
    </row>
    <row r="76" spans="2:16" ht="22.5" customHeight="1" thickBot="1" x14ac:dyDescent="0.25">
      <c r="B76" s="62" t="s">
        <v>826</v>
      </c>
      <c r="C76" s="85"/>
      <c r="D76" s="70" t="s">
        <v>826</v>
      </c>
      <c r="E76" s="89"/>
      <c r="G76" s="2"/>
      <c r="H76" s="2"/>
    </row>
    <row r="77" spans="2:16" ht="24.95" customHeight="1" x14ac:dyDescent="0.2">
      <c r="B77" s="64" t="s">
        <v>815</v>
      </c>
      <c r="C77" s="65"/>
      <c r="D77" s="66"/>
      <c r="E77" s="67"/>
      <c r="G77" s="2"/>
      <c r="H77" s="2"/>
    </row>
    <row r="78" spans="2:16" ht="15.75" customHeight="1" x14ac:dyDescent="0.2">
      <c r="L78" s="7"/>
      <c r="M78" s="7"/>
      <c r="N78" s="7"/>
      <c r="O78" s="7"/>
      <c r="P78" s="7"/>
    </row>
    <row r="79" spans="2:16" ht="12" x14ac:dyDescent="0.2">
      <c r="B79" s="2" t="s">
        <v>816</v>
      </c>
      <c r="C79" s="2"/>
      <c r="D79" s="2"/>
      <c r="G79" s="2"/>
      <c r="H79" s="2"/>
    </row>
    <row r="80" spans="2:16" ht="12" x14ac:dyDescent="0.2">
      <c r="B80" s="3" t="s">
        <v>817</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378690AE-5438-4C67-96D2-D7555478FD4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0858C-CD39-4263-8CDA-DBA5F20966DF}">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7.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75898</v>
      </c>
      <c r="F7" s="27">
        <v>1297.5899999999999</v>
      </c>
      <c r="G7" s="28">
        <v>0.157</v>
      </c>
      <c r="H7" s="29"/>
    </row>
    <row r="8" spans="2:9" ht="15.75" customHeight="1" x14ac:dyDescent="0.2">
      <c r="B8" s="25" t="s">
        <v>130</v>
      </c>
      <c r="C8" s="25" t="s">
        <v>131</v>
      </c>
      <c r="D8" s="25" t="s">
        <v>132</v>
      </c>
      <c r="E8" s="26">
        <v>34510</v>
      </c>
      <c r="F8" s="27">
        <v>892.03</v>
      </c>
      <c r="G8" s="28">
        <v>0.1079</v>
      </c>
      <c r="H8" s="29"/>
    </row>
    <row r="9" spans="2:9" ht="15.75" customHeight="1" x14ac:dyDescent="0.2">
      <c r="B9" s="25" t="s">
        <v>119</v>
      </c>
      <c r="C9" s="25" t="s">
        <v>120</v>
      </c>
      <c r="D9" s="25" t="s">
        <v>121</v>
      </c>
      <c r="E9" s="26">
        <v>69991</v>
      </c>
      <c r="F9" s="27">
        <v>697.43</v>
      </c>
      <c r="G9" s="28">
        <v>8.4400000000000003E-2</v>
      </c>
      <c r="H9" s="29"/>
    </row>
    <row r="10" spans="2:9" ht="15.75" customHeight="1" x14ac:dyDescent="0.2">
      <c r="B10" s="25" t="s">
        <v>122</v>
      </c>
      <c r="C10" s="25" t="s">
        <v>123</v>
      </c>
      <c r="D10" s="25" t="s">
        <v>124</v>
      </c>
      <c r="E10" s="26">
        <v>35692</v>
      </c>
      <c r="F10" s="27">
        <v>550.66999999999996</v>
      </c>
      <c r="G10" s="28">
        <v>6.6600000000000006E-2</v>
      </c>
      <c r="H10" s="29"/>
    </row>
    <row r="11" spans="2:9" ht="15.75" customHeight="1" x14ac:dyDescent="0.2">
      <c r="B11" s="25" t="s">
        <v>318</v>
      </c>
      <c r="C11" s="25" t="s">
        <v>319</v>
      </c>
      <c r="D11" s="25" t="s">
        <v>320</v>
      </c>
      <c r="E11" s="26">
        <v>12103</v>
      </c>
      <c r="F11" s="27">
        <v>426.88</v>
      </c>
      <c r="G11" s="28">
        <v>5.16E-2</v>
      </c>
      <c r="H11" s="29"/>
    </row>
    <row r="12" spans="2:9" ht="15.75" customHeight="1" x14ac:dyDescent="0.2">
      <c r="B12" s="25" t="s">
        <v>157</v>
      </c>
      <c r="C12" s="25" t="s">
        <v>158</v>
      </c>
      <c r="D12" s="25" t="s">
        <v>129</v>
      </c>
      <c r="E12" s="26">
        <v>88816</v>
      </c>
      <c r="F12" s="27">
        <v>410.64</v>
      </c>
      <c r="G12" s="28">
        <v>4.9700000000000001E-2</v>
      </c>
      <c r="H12" s="29"/>
    </row>
    <row r="13" spans="2:9" ht="15.75" customHeight="1" x14ac:dyDescent="0.2">
      <c r="B13" s="25" t="s">
        <v>227</v>
      </c>
      <c r="C13" s="25" t="s">
        <v>228</v>
      </c>
      <c r="D13" s="25" t="s">
        <v>124</v>
      </c>
      <c r="E13" s="26">
        <v>10269</v>
      </c>
      <c r="F13" s="27">
        <v>389.7</v>
      </c>
      <c r="G13" s="28">
        <v>4.7100000000000003E-2</v>
      </c>
      <c r="H13" s="29"/>
    </row>
    <row r="14" spans="2:9" ht="15.75" customHeight="1" x14ac:dyDescent="0.2">
      <c r="B14" s="25" t="s">
        <v>258</v>
      </c>
      <c r="C14" s="25" t="s">
        <v>259</v>
      </c>
      <c r="D14" s="25" t="s">
        <v>121</v>
      </c>
      <c r="E14" s="26">
        <v>28222</v>
      </c>
      <c r="F14" s="27">
        <v>311.27</v>
      </c>
      <c r="G14" s="28">
        <v>3.7699999999999997E-2</v>
      </c>
      <c r="H14" s="29"/>
    </row>
    <row r="15" spans="2:9" ht="15.75" customHeight="1" x14ac:dyDescent="0.2">
      <c r="B15" s="25" t="s">
        <v>184</v>
      </c>
      <c r="C15" s="25" t="s">
        <v>185</v>
      </c>
      <c r="D15" s="25" t="s">
        <v>121</v>
      </c>
      <c r="E15" s="26">
        <v>14227</v>
      </c>
      <c r="F15" s="27">
        <v>271.47000000000003</v>
      </c>
      <c r="G15" s="28">
        <v>3.2800000000000003E-2</v>
      </c>
      <c r="H15" s="29"/>
    </row>
    <row r="16" spans="2:9" ht="15.75" customHeight="1" x14ac:dyDescent="0.2">
      <c r="B16" s="25" t="s">
        <v>325</v>
      </c>
      <c r="C16" s="25" t="s">
        <v>326</v>
      </c>
      <c r="D16" s="25" t="s">
        <v>244</v>
      </c>
      <c r="E16" s="26">
        <v>25271</v>
      </c>
      <c r="F16" s="27">
        <v>261.01</v>
      </c>
      <c r="G16" s="28">
        <v>3.1600000000000003E-2</v>
      </c>
      <c r="H16" s="29"/>
    </row>
    <row r="17" spans="2:8" ht="15.75" customHeight="1" x14ac:dyDescent="0.2">
      <c r="B17" s="25" t="s">
        <v>256</v>
      </c>
      <c r="C17" s="25" t="s">
        <v>257</v>
      </c>
      <c r="D17" s="25" t="s">
        <v>121</v>
      </c>
      <c r="E17" s="26">
        <v>38277</v>
      </c>
      <c r="F17" s="27">
        <v>245.72</v>
      </c>
      <c r="G17" s="28">
        <v>2.9700000000000001E-2</v>
      </c>
      <c r="H17" s="29"/>
    </row>
    <row r="18" spans="2:8" ht="15.75" customHeight="1" x14ac:dyDescent="0.2">
      <c r="B18" s="25" t="s">
        <v>127</v>
      </c>
      <c r="C18" s="25" t="s">
        <v>128</v>
      </c>
      <c r="D18" s="25" t="s">
        <v>129</v>
      </c>
      <c r="E18" s="26">
        <v>8932</v>
      </c>
      <c r="F18" s="27">
        <v>237.89</v>
      </c>
      <c r="G18" s="28">
        <v>2.8799999999999999E-2</v>
      </c>
      <c r="H18" s="29"/>
    </row>
    <row r="19" spans="2:8" ht="15.75" customHeight="1" x14ac:dyDescent="0.2">
      <c r="B19" s="25" t="s">
        <v>247</v>
      </c>
      <c r="C19" s="25" t="s">
        <v>248</v>
      </c>
      <c r="D19" s="25" t="s">
        <v>176</v>
      </c>
      <c r="E19" s="26">
        <v>2779</v>
      </c>
      <c r="F19" s="27">
        <v>203.61</v>
      </c>
      <c r="G19" s="28">
        <v>2.46E-2</v>
      </c>
      <c r="H19" s="29"/>
    </row>
    <row r="20" spans="2:8" ht="15.75" customHeight="1" x14ac:dyDescent="0.2">
      <c r="B20" s="25" t="s">
        <v>136</v>
      </c>
      <c r="C20" s="25" t="s">
        <v>137</v>
      </c>
      <c r="D20" s="25" t="s">
        <v>138</v>
      </c>
      <c r="E20" s="26">
        <v>9545</v>
      </c>
      <c r="F20" s="27">
        <v>164.76</v>
      </c>
      <c r="G20" s="28">
        <v>1.9900000000000001E-2</v>
      </c>
      <c r="H20" s="29"/>
    </row>
    <row r="21" spans="2:8" ht="15.75" customHeight="1" x14ac:dyDescent="0.2">
      <c r="B21" s="25" t="s">
        <v>262</v>
      </c>
      <c r="C21" s="25" t="s">
        <v>263</v>
      </c>
      <c r="D21" s="25" t="s">
        <v>124</v>
      </c>
      <c r="E21" s="26">
        <v>10583</v>
      </c>
      <c r="F21" s="27">
        <v>155.16</v>
      </c>
      <c r="G21" s="28">
        <v>1.8800000000000001E-2</v>
      </c>
      <c r="H21" s="29"/>
    </row>
    <row r="22" spans="2:8" ht="15.75" customHeight="1" x14ac:dyDescent="0.2">
      <c r="B22" s="25" t="s">
        <v>240</v>
      </c>
      <c r="C22" s="25" t="s">
        <v>241</v>
      </c>
      <c r="D22" s="25" t="s">
        <v>188</v>
      </c>
      <c r="E22" s="26">
        <v>4510</v>
      </c>
      <c r="F22" s="27">
        <v>153.43</v>
      </c>
      <c r="G22" s="28">
        <v>1.8599999999999998E-2</v>
      </c>
      <c r="H22" s="29"/>
    </row>
    <row r="23" spans="2:8" ht="15.75" customHeight="1" x14ac:dyDescent="0.2">
      <c r="B23" s="25" t="s">
        <v>329</v>
      </c>
      <c r="C23" s="25" t="s">
        <v>330</v>
      </c>
      <c r="D23" s="25" t="s">
        <v>188</v>
      </c>
      <c r="E23" s="26">
        <v>4168</v>
      </c>
      <c r="F23" s="27">
        <v>153.21</v>
      </c>
      <c r="G23" s="28">
        <v>1.8499999999999999E-2</v>
      </c>
      <c r="H23" s="29"/>
    </row>
    <row r="24" spans="2:8" ht="15.75" customHeight="1" x14ac:dyDescent="0.2">
      <c r="B24" s="25" t="s">
        <v>277</v>
      </c>
      <c r="C24" s="25" t="s">
        <v>278</v>
      </c>
      <c r="D24" s="25" t="s">
        <v>202</v>
      </c>
      <c r="E24" s="26">
        <v>47569</v>
      </c>
      <c r="F24" s="27">
        <v>148.01</v>
      </c>
      <c r="G24" s="28">
        <v>1.7899999999999999E-2</v>
      </c>
      <c r="H24" s="29"/>
    </row>
    <row r="25" spans="2:8" ht="15.75" customHeight="1" x14ac:dyDescent="0.2">
      <c r="B25" s="25" t="s">
        <v>177</v>
      </c>
      <c r="C25" s="25" t="s">
        <v>178</v>
      </c>
      <c r="D25" s="25" t="s">
        <v>138</v>
      </c>
      <c r="E25" s="26">
        <v>17924</v>
      </c>
      <c r="F25" s="27">
        <v>139.94</v>
      </c>
      <c r="G25" s="28">
        <v>1.6899999999999998E-2</v>
      </c>
      <c r="H25" s="29"/>
    </row>
    <row r="26" spans="2:8" ht="15.75" customHeight="1" x14ac:dyDescent="0.2">
      <c r="B26" s="25" t="s">
        <v>264</v>
      </c>
      <c r="C26" s="25" t="s">
        <v>265</v>
      </c>
      <c r="D26" s="25" t="s">
        <v>138</v>
      </c>
      <c r="E26" s="26">
        <v>1330</v>
      </c>
      <c r="F26" s="27">
        <v>136.97999999999999</v>
      </c>
      <c r="G26" s="28">
        <v>1.66E-2</v>
      </c>
      <c r="H26" s="29"/>
    </row>
    <row r="27" spans="2:8" ht="15.75" customHeight="1" x14ac:dyDescent="0.2">
      <c r="B27" s="25" t="s">
        <v>268</v>
      </c>
      <c r="C27" s="25" t="s">
        <v>269</v>
      </c>
      <c r="D27" s="25" t="s">
        <v>194</v>
      </c>
      <c r="E27" s="26">
        <v>10796</v>
      </c>
      <c r="F27" s="27">
        <v>136.03</v>
      </c>
      <c r="G27" s="28">
        <v>1.6500000000000001E-2</v>
      </c>
      <c r="H27" s="29"/>
    </row>
    <row r="28" spans="2:8" ht="15.75" customHeight="1" x14ac:dyDescent="0.2">
      <c r="B28" s="25" t="s">
        <v>306</v>
      </c>
      <c r="C28" s="25" t="s">
        <v>307</v>
      </c>
      <c r="D28" s="25" t="s">
        <v>226</v>
      </c>
      <c r="E28" s="26">
        <v>1148</v>
      </c>
      <c r="F28" s="27">
        <v>120.58</v>
      </c>
      <c r="G28" s="28">
        <v>1.46E-2</v>
      </c>
      <c r="H28" s="29"/>
    </row>
    <row r="29" spans="2:8" ht="15.75" customHeight="1" x14ac:dyDescent="0.2">
      <c r="B29" s="25" t="s">
        <v>210</v>
      </c>
      <c r="C29" s="25" t="s">
        <v>211</v>
      </c>
      <c r="D29" s="25" t="s">
        <v>170</v>
      </c>
      <c r="E29" s="26">
        <v>80879</v>
      </c>
      <c r="F29" s="27">
        <v>112.83</v>
      </c>
      <c r="G29" s="28">
        <v>1.3599999999999999E-2</v>
      </c>
      <c r="H29" s="29"/>
    </row>
    <row r="30" spans="2:8" ht="15.75" customHeight="1" x14ac:dyDescent="0.2">
      <c r="B30" s="25" t="s">
        <v>281</v>
      </c>
      <c r="C30" s="25" t="s">
        <v>282</v>
      </c>
      <c r="D30" s="25" t="s">
        <v>202</v>
      </c>
      <c r="E30" s="26">
        <v>45648</v>
      </c>
      <c r="F30" s="27">
        <v>108.28</v>
      </c>
      <c r="G30" s="28">
        <v>1.3100000000000001E-2</v>
      </c>
      <c r="H30" s="29"/>
    </row>
    <row r="31" spans="2:8" ht="15.75" customHeight="1" x14ac:dyDescent="0.2">
      <c r="B31" s="25" t="s">
        <v>685</v>
      </c>
      <c r="C31" s="25" t="s">
        <v>686</v>
      </c>
      <c r="D31" s="25" t="s">
        <v>121</v>
      </c>
      <c r="E31" s="26">
        <v>6518</v>
      </c>
      <c r="F31" s="27">
        <v>104.16</v>
      </c>
      <c r="G31" s="28">
        <v>1.26E-2</v>
      </c>
      <c r="H31" s="29"/>
    </row>
    <row r="32" spans="2:8" ht="15.75" customHeight="1" x14ac:dyDescent="0.2">
      <c r="B32" s="25" t="s">
        <v>133</v>
      </c>
      <c r="C32" s="25" t="s">
        <v>134</v>
      </c>
      <c r="D32" s="25" t="s">
        <v>135</v>
      </c>
      <c r="E32" s="26">
        <v>357</v>
      </c>
      <c r="F32" s="27">
        <v>94.95</v>
      </c>
      <c r="G32" s="28">
        <v>1.15E-2</v>
      </c>
      <c r="H32" s="29"/>
    </row>
    <row r="33" spans="2:8" ht="15.75" customHeight="1" x14ac:dyDescent="0.2">
      <c r="B33" s="25" t="s">
        <v>658</v>
      </c>
      <c r="C33" s="25" t="s">
        <v>659</v>
      </c>
      <c r="D33" s="25" t="s">
        <v>176</v>
      </c>
      <c r="E33" s="26">
        <v>5414</v>
      </c>
      <c r="F33" s="27">
        <v>91.25</v>
      </c>
      <c r="G33" s="28">
        <v>1.0999999999999999E-2</v>
      </c>
      <c r="H33" s="29"/>
    </row>
    <row r="34" spans="2:8" ht="15.75" customHeight="1" x14ac:dyDescent="0.2">
      <c r="B34" s="25" t="s">
        <v>205</v>
      </c>
      <c r="C34" s="25" t="s">
        <v>206</v>
      </c>
      <c r="D34" s="25" t="s">
        <v>170</v>
      </c>
      <c r="E34" s="26">
        <v>9502</v>
      </c>
      <c r="F34" s="27">
        <v>83.66</v>
      </c>
      <c r="G34" s="28">
        <v>1.01E-2</v>
      </c>
      <c r="H34" s="29"/>
    </row>
    <row r="35" spans="2:8" ht="15.75" customHeight="1" x14ac:dyDescent="0.2">
      <c r="B35" s="25" t="s">
        <v>220</v>
      </c>
      <c r="C35" s="25" t="s">
        <v>221</v>
      </c>
      <c r="D35" s="25" t="s">
        <v>124</v>
      </c>
      <c r="E35" s="26">
        <v>6238</v>
      </c>
      <c r="F35" s="27">
        <v>79.38</v>
      </c>
      <c r="G35" s="28">
        <v>9.5999999999999992E-3</v>
      </c>
      <c r="H35" s="29"/>
    </row>
    <row r="36" spans="2:8" ht="15.75" customHeight="1" x14ac:dyDescent="0.2">
      <c r="B36" s="25" t="s">
        <v>698</v>
      </c>
      <c r="C36" s="25" t="s">
        <v>699</v>
      </c>
      <c r="D36" s="25" t="s">
        <v>124</v>
      </c>
      <c r="E36" s="26">
        <v>14065</v>
      </c>
      <c r="F36" s="27">
        <v>66.34</v>
      </c>
      <c r="G36" s="28">
        <v>8.0000000000000002E-3</v>
      </c>
      <c r="H36" s="29"/>
    </row>
    <row r="37" spans="2:8" ht="15.75" customHeight="1" x14ac:dyDescent="0.2">
      <c r="B37" s="24" t="s">
        <v>93</v>
      </c>
      <c r="C37" s="24"/>
      <c r="D37" s="24"/>
      <c r="E37" s="30"/>
      <c r="F37" s="31">
        <v>8244.86</v>
      </c>
      <c r="G37" s="32">
        <v>0.99739999999999995</v>
      </c>
      <c r="H37" s="33"/>
    </row>
    <row r="38" spans="2:8" ht="15.75" customHeight="1" x14ac:dyDescent="0.2">
      <c r="B38" s="24" t="s">
        <v>141</v>
      </c>
      <c r="C38" s="25"/>
      <c r="D38" s="25"/>
      <c r="E38" s="26"/>
      <c r="F38" s="27"/>
      <c r="G38" s="28"/>
      <c r="H38" s="29"/>
    </row>
    <row r="39" spans="2:8" ht="15.75" customHeight="1" x14ac:dyDescent="0.2">
      <c r="B39" s="24" t="s">
        <v>93</v>
      </c>
      <c r="C39" s="25"/>
      <c r="D39" s="25"/>
      <c r="E39" s="26"/>
      <c r="F39" s="34" t="s">
        <v>95</v>
      </c>
      <c r="G39" s="35" t="s">
        <v>95</v>
      </c>
      <c r="H39" s="29"/>
    </row>
    <row r="40" spans="2:8" ht="15.75" customHeight="1" x14ac:dyDescent="0.2">
      <c r="B40" s="25"/>
      <c r="C40" s="25"/>
      <c r="D40" s="25"/>
      <c r="E40" s="26"/>
      <c r="F40" s="27"/>
      <c r="G40" s="28"/>
      <c r="H40" s="29"/>
    </row>
    <row r="41" spans="2:8" ht="15.75" customHeight="1" x14ac:dyDescent="0.2">
      <c r="B41" s="36" t="s">
        <v>97</v>
      </c>
      <c r="C41" s="36"/>
      <c r="D41" s="36"/>
      <c r="E41" s="37"/>
      <c r="F41" s="31">
        <v>8244.86</v>
      </c>
      <c r="G41" s="32">
        <v>0.99739999999999995</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100</v>
      </c>
      <c r="C44" s="25"/>
      <c r="D44" s="25"/>
      <c r="E44" s="26"/>
      <c r="F44" s="27"/>
      <c r="G44" s="28"/>
      <c r="H44" s="29"/>
    </row>
    <row r="45" spans="2:8" ht="15.75" customHeight="1" x14ac:dyDescent="0.2">
      <c r="B45" s="25" t="s">
        <v>101</v>
      </c>
      <c r="C45" s="25"/>
      <c r="D45" s="25"/>
      <c r="E45" s="26"/>
      <c r="F45" s="27">
        <v>27.09</v>
      </c>
      <c r="G45" s="28">
        <v>3.3E-3</v>
      </c>
      <c r="H45" s="29"/>
    </row>
    <row r="46" spans="2:8" ht="15.75" customHeight="1" x14ac:dyDescent="0.2">
      <c r="B46" s="24" t="s">
        <v>93</v>
      </c>
      <c r="C46" s="24"/>
      <c r="D46" s="24"/>
      <c r="E46" s="30"/>
      <c r="F46" s="31">
        <v>27.09</v>
      </c>
      <c r="G46" s="32">
        <v>3.3E-3</v>
      </c>
      <c r="H46" s="33"/>
    </row>
    <row r="47" spans="2:8" ht="15.75" customHeight="1" x14ac:dyDescent="0.2">
      <c r="B47" s="25"/>
      <c r="C47" s="25"/>
      <c r="D47" s="25"/>
      <c r="E47" s="26"/>
      <c r="F47" s="27"/>
      <c r="G47" s="28"/>
      <c r="H47" s="29"/>
    </row>
    <row r="48" spans="2:8" ht="15.75" customHeight="1" x14ac:dyDescent="0.2">
      <c r="B48" s="36" t="s">
        <v>97</v>
      </c>
      <c r="C48" s="36"/>
      <c r="D48" s="36"/>
      <c r="E48" s="37"/>
      <c r="F48" s="31">
        <v>27.09</v>
      </c>
      <c r="G48" s="32">
        <v>3.3E-3</v>
      </c>
      <c r="H48" s="33"/>
    </row>
    <row r="49" spans="2:8" ht="15.75" customHeight="1" x14ac:dyDescent="0.2">
      <c r="B49" s="25" t="s">
        <v>102</v>
      </c>
      <c r="C49" s="25"/>
      <c r="D49" s="25"/>
      <c r="E49" s="26"/>
      <c r="F49" s="38">
        <v>-5.41</v>
      </c>
      <c r="G49" s="39">
        <v>-6.9999999999992291E-4</v>
      </c>
      <c r="H49" s="29"/>
    </row>
    <row r="50" spans="2:8" ht="15.75" customHeight="1" x14ac:dyDescent="0.2">
      <c r="B50" s="40" t="s">
        <v>103</v>
      </c>
      <c r="C50" s="40"/>
      <c r="D50" s="40"/>
      <c r="E50" s="41"/>
      <c r="F50" s="42">
        <v>8266.5400000000009</v>
      </c>
      <c r="G50" s="43">
        <v>1</v>
      </c>
      <c r="H50" s="44"/>
    </row>
    <row r="51" spans="2:8" ht="15.75" customHeight="1" thickBot="1" x14ac:dyDescent="0.25">
      <c r="B51" s="2"/>
    </row>
    <row r="52" spans="2:8" ht="27" customHeight="1" thickBot="1" x14ac:dyDescent="0.25">
      <c r="B52" s="57" t="s">
        <v>806</v>
      </c>
      <c r="C52" s="58" t="s">
        <v>807</v>
      </c>
      <c r="D52" s="58" t="s">
        <v>808</v>
      </c>
      <c r="E52" s="59" t="s">
        <v>809</v>
      </c>
      <c r="G52" s="2"/>
      <c r="H52" s="2"/>
    </row>
    <row r="53" spans="2:8" ht="22.5" customHeight="1" x14ac:dyDescent="0.2">
      <c r="B53" s="68" t="s">
        <v>59</v>
      </c>
      <c r="C53" s="83"/>
      <c r="D53" s="86" t="s">
        <v>868</v>
      </c>
      <c r="E53" s="88"/>
      <c r="G53" s="2"/>
      <c r="H53" s="2"/>
    </row>
    <row r="54" spans="2:8" ht="26.25" customHeight="1" x14ac:dyDescent="0.2">
      <c r="B54" s="61" t="s">
        <v>866</v>
      </c>
      <c r="C54" s="84"/>
      <c r="D54" s="87"/>
      <c r="E54" s="84"/>
      <c r="G54" s="2"/>
      <c r="H54" s="2"/>
    </row>
    <row r="55" spans="2:8" ht="39.950000000000003" customHeight="1" x14ac:dyDescent="0.2">
      <c r="B55" s="61" t="s">
        <v>869</v>
      </c>
      <c r="C55" s="84"/>
      <c r="D55" s="87"/>
      <c r="E55" s="84"/>
      <c r="G55" s="2"/>
      <c r="H55" s="2"/>
    </row>
    <row r="56" spans="2:8" ht="27.75" customHeight="1" thickBot="1" x14ac:dyDescent="0.25">
      <c r="B56" s="62" t="s">
        <v>826</v>
      </c>
      <c r="C56" s="85"/>
      <c r="D56" s="70" t="s">
        <v>826</v>
      </c>
      <c r="E56" s="89"/>
      <c r="G56" s="2"/>
      <c r="H56" s="2"/>
    </row>
    <row r="57" spans="2:8" ht="24.95" customHeight="1" x14ac:dyDescent="0.2">
      <c r="B57" s="64" t="s">
        <v>815</v>
      </c>
      <c r="C57" s="65"/>
      <c r="D57" s="66"/>
      <c r="E57" s="67"/>
      <c r="G57" s="2"/>
      <c r="H57" s="2"/>
    </row>
    <row r="59" spans="2:8" ht="12" x14ac:dyDescent="0.2">
      <c r="B59" s="2" t="s">
        <v>816</v>
      </c>
      <c r="C59" s="2"/>
      <c r="D59" s="2"/>
      <c r="G59" s="2"/>
      <c r="H59" s="2"/>
    </row>
    <row r="60" spans="2:8" ht="12" x14ac:dyDescent="0.2">
      <c r="B60" s="3" t="s">
        <v>817</v>
      </c>
      <c r="C60" s="2"/>
      <c r="D60" s="2"/>
      <c r="G60" s="2"/>
      <c r="H6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962F4C97-03FC-4DE2-89D5-C762CDC5D84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EF536-3F19-4EEB-AB19-E5EE79896408}">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7109375" style="9" customWidth="1"/>
    <col min="4" max="4" width="26.5703125" style="9" customWidth="1"/>
    <col min="5" max="5" width="27.71093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898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256</v>
      </c>
      <c r="C7" s="25" t="s">
        <v>257</v>
      </c>
      <c r="D7" s="25" t="s">
        <v>121</v>
      </c>
      <c r="E7" s="26">
        <v>131436</v>
      </c>
      <c r="F7" s="27">
        <v>843.88</v>
      </c>
      <c r="G7" s="28">
        <v>8.2199999999999995E-2</v>
      </c>
      <c r="H7" s="29"/>
    </row>
    <row r="8" spans="2:9" ht="15.75" customHeight="1" x14ac:dyDescent="0.2">
      <c r="B8" s="25" t="s">
        <v>125</v>
      </c>
      <c r="C8" s="25" t="s">
        <v>126</v>
      </c>
      <c r="D8" s="25" t="s">
        <v>121</v>
      </c>
      <c r="E8" s="26">
        <v>47267</v>
      </c>
      <c r="F8" s="27">
        <v>807.91</v>
      </c>
      <c r="G8" s="28">
        <v>7.8600000000000003E-2</v>
      </c>
      <c r="H8" s="29"/>
    </row>
    <row r="9" spans="2:9" ht="15.75" customHeight="1" x14ac:dyDescent="0.2">
      <c r="B9" s="25" t="s">
        <v>119</v>
      </c>
      <c r="C9" s="25" t="s">
        <v>120</v>
      </c>
      <c r="D9" s="25" t="s">
        <v>121</v>
      </c>
      <c r="E9" s="26">
        <v>63740</v>
      </c>
      <c r="F9" s="27">
        <v>635.23</v>
      </c>
      <c r="G9" s="28">
        <v>6.1800000000000001E-2</v>
      </c>
      <c r="H9" s="29"/>
    </row>
    <row r="10" spans="2:9" ht="15.75" customHeight="1" x14ac:dyDescent="0.2">
      <c r="B10" s="25" t="s">
        <v>130</v>
      </c>
      <c r="C10" s="25" t="s">
        <v>131</v>
      </c>
      <c r="D10" s="25" t="s">
        <v>132</v>
      </c>
      <c r="E10" s="26">
        <v>22152</v>
      </c>
      <c r="F10" s="27">
        <v>572.62</v>
      </c>
      <c r="G10" s="28">
        <v>5.57E-2</v>
      </c>
      <c r="H10" s="29"/>
    </row>
    <row r="11" spans="2:9" ht="15.75" customHeight="1" x14ac:dyDescent="0.2">
      <c r="B11" s="25" t="s">
        <v>122</v>
      </c>
      <c r="C11" s="25" t="s">
        <v>123</v>
      </c>
      <c r="D11" s="25" t="s">
        <v>124</v>
      </c>
      <c r="E11" s="26">
        <v>30556</v>
      </c>
      <c r="F11" s="27">
        <v>471.45</v>
      </c>
      <c r="G11" s="28">
        <v>4.5900000000000003E-2</v>
      </c>
      <c r="H11" s="29"/>
    </row>
    <row r="12" spans="2:9" ht="15.75" customHeight="1" x14ac:dyDescent="0.2">
      <c r="B12" s="25" t="s">
        <v>702</v>
      </c>
      <c r="C12" s="25" t="s">
        <v>703</v>
      </c>
      <c r="D12" s="25" t="s">
        <v>704</v>
      </c>
      <c r="E12" s="26">
        <v>32884</v>
      </c>
      <c r="F12" s="27">
        <v>406.74</v>
      </c>
      <c r="G12" s="28">
        <v>3.9600000000000003E-2</v>
      </c>
      <c r="H12" s="29"/>
    </row>
    <row r="13" spans="2:9" ht="15.75" customHeight="1" x14ac:dyDescent="0.2">
      <c r="B13" s="25" t="s">
        <v>337</v>
      </c>
      <c r="C13" s="25" t="s">
        <v>338</v>
      </c>
      <c r="D13" s="25" t="s">
        <v>298</v>
      </c>
      <c r="E13" s="26">
        <v>32239</v>
      </c>
      <c r="F13" s="27">
        <v>399.23</v>
      </c>
      <c r="G13" s="28">
        <v>3.8899999999999997E-2</v>
      </c>
      <c r="H13" s="29"/>
    </row>
    <row r="14" spans="2:9" ht="15.75" customHeight="1" x14ac:dyDescent="0.2">
      <c r="B14" s="25" t="s">
        <v>179</v>
      </c>
      <c r="C14" s="25" t="s">
        <v>180</v>
      </c>
      <c r="D14" s="25" t="s">
        <v>121</v>
      </c>
      <c r="E14" s="26">
        <v>157402</v>
      </c>
      <c r="F14" s="27">
        <v>363.76</v>
      </c>
      <c r="G14" s="28">
        <v>3.5400000000000001E-2</v>
      </c>
      <c r="H14" s="29"/>
    </row>
    <row r="15" spans="2:9" ht="15.75" customHeight="1" x14ac:dyDescent="0.2">
      <c r="B15" s="25" t="s">
        <v>705</v>
      </c>
      <c r="C15" s="25" t="s">
        <v>706</v>
      </c>
      <c r="D15" s="25" t="s">
        <v>124</v>
      </c>
      <c r="E15" s="26">
        <v>4840</v>
      </c>
      <c r="F15" s="27">
        <v>357.65</v>
      </c>
      <c r="G15" s="28">
        <v>3.4799999999999998E-2</v>
      </c>
      <c r="H15" s="29"/>
    </row>
    <row r="16" spans="2:9" ht="15.75" customHeight="1" x14ac:dyDescent="0.2">
      <c r="B16" s="25" t="s">
        <v>268</v>
      </c>
      <c r="C16" s="25" t="s">
        <v>269</v>
      </c>
      <c r="D16" s="25" t="s">
        <v>194</v>
      </c>
      <c r="E16" s="26">
        <v>24180</v>
      </c>
      <c r="F16" s="27">
        <v>304.54000000000002</v>
      </c>
      <c r="G16" s="28">
        <v>2.9600000000000001E-2</v>
      </c>
      <c r="H16" s="29"/>
    </row>
    <row r="17" spans="2:8" ht="15.75" customHeight="1" x14ac:dyDescent="0.2">
      <c r="B17" s="25" t="s">
        <v>656</v>
      </c>
      <c r="C17" s="25" t="s">
        <v>657</v>
      </c>
      <c r="D17" s="25" t="s">
        <v>450</v>
      </c>
      <c r="E17" s="26">
        <v>44850</v>
      </c>
      <c r="F17" s="27">
        <v>275.76</v>
      </c>
      <c r="G17" s="28">
        <v>2.6800000000000001E-2</v>
      </c>
      <c r="H17" s="29"/>
    </row>
    <row r="18" spans="2:8" ht="15.75" customHeight="1" x14ac:dyDescent="0.2">
      <c r="B18" s="25" t="s">
        <v>264</v>
      </c>
      <c r="C18" s="25" t="s">
        <v>265</v>
      </c>
      <c r="D18" s="25" t="s">
        <v>138</v>
      </c>
      <c r="E18" s="26">
        <v>2528</v>
      </c>
      <c r="F18" s="27">
        <v>260.44</v>
      </c>
      <c r="G18" s="28">
        <v>2.5399999999999999E-2</v>
      </c>
      <c r="H18" s="29"/>
    </row>
    <row r="19" spans="2:8" ht="15.75" customHeight="1" x14ac:dyDescent="0.2">
      <c r="B19" s="25" t="s">
        <v>258</v>
      </c>
      <c r="C19" s="25" t="s">
        <v>259</v>
      </c>
      <c r="D19" s="25" t="s">
        <v>121</v>
      </c>
      <c r="E19" s="26">
        <v>22266</v>
      </c>
      <c r="F19" s="27">
        <v>245.44</v>
      </c>
      <c r="G19" s="28">
        <v>2.3900000000000001E-2</v>
      </c>
      <c r="H19" s="29"/>
    </row>
    <row r="20" spans="2:8" ht="15.75" customHeight="1" x14ac:dyDescent="0.2">
      <c r="B20" s="25" t="s">
        <v>442</v>
      </c>
      <c r="C20" s="25" t="s">
        <v>443</v>
      </c>
      <c r="D20" s="25" t="s">
        <v>173</v>
      </c>
      <c r="E20" s="26">
        <v>87976</v>
      </c>
      <c r="F20" s="27">
        <v>221.3</v>
      </c>
      <c r="G20" s="28">
        <v>2.1499999999999998E-2</v>
      </c>
      <c r="H20" s="29"/>
    </row>
    <row r="21" spans="2:8" ht="15.75" customHeight="1" x14ac:dyDescent="0.2">
      <c r="B21" s="25" t="s">
        <v>306</v>
      </c>
      <c r="C21" s="25" t="s">
        <v>307</v>
      </c>
      <c r="D21" s="25" t="s">
        <v>226</v>
      </c>
      <c r="E21" s="26">
        <v>2000</v>
      </c>
      <c r="F21" s="27">
        <v>210.06</v>
      </c>
      <c r="G21" s="28">
        <v>2.0400000000000001E-2</v>
      </c>
      <c r="H21" s="29"/>
    </row>
    <row r="22" spans="2:8" ht="15.75" customHeight="1" x14ac:dyDescent="0.2">
      <c r="B22" s="25" t="s">
        <v>321</v>
      </c>
      <c r="C22" s="25" t="s">
        <v>322</v>
      </c>
      <c r="D22" s="25" t="s">
        <v>194</v>
      </c>
      <c r="E22" s="26">
        <v>150511</v>
      </c>
      <c r="F22" s="27">
        <v>208.98</v>
      </c>
      <c r="G22" s="28">
        <v>2.0299999999999999E-2</v>
      </c>
      <c r="H22" s="29"/>
    </row>
    <row r="23" spans="2:8" ht="15.75" customHeight="1" x14ac:dyDescent="0.2">
      <c r="B23" s="25" t="s">
        <v>157</v>
      </c>
      <c r="C23" s="25" t="s">
        <v>158</v>
      </c>
      <c r="D23" s="25" t="s">
        <v>129</v>
      </c>
      <c r="E23" s="26">
        <v>43534</v>
      </c>
      <c r="F23" s="27">
        <v>201.17</v>
      </c>
      <c r="G23" s="28">
        <v>1.9599999999999999E-2</v>
      </c>
      <c r="H23" s="29"/>
    </row>
    <row r="24" spans="2:8" ht="15.75" customHeight="1" x14ac:dyDescent="0.2">
      <c r="B24" s="25" t="s">
        <v>348</v>
      </c>
      <c r="C24" s="25" t="s">
        <v>349</v>
      </c>
      <c r="D24" s="25" t="s">
        <v>124</v>
      </c>
      <c r="E24" s="26">
        <v>3200</v>
      </c>
      <c r="F24" s="27">
        <v>200.78</v>
      </c>
      <c r="G24" s="28">
        <v>1.95E-2</v>
      </c>
      <c r="H24" s="29"/>
    </row>
    <row r="25" spans="2:8" ht="15.75" customHeight="1" x14ac:dyDescent="0.2">
      <c r="B25" s="25" t="s">
        <v>262</v>
      </c>
      <c r="C25" s="25" t="s">
        <v>263</v>
      </c>
      <c r="D25" s="25" t="s">
        <v>124</v>
      </c>
      <c r="E25" s="26">
        <v>13500</v>
      </c>
      <c r="F25" s="27">
        <v>197.92</v>
      </c>
      <c r="G25" s="28">
        <v>1.9300000000000001E-2</v>
      </c>
      <c r="H25" s="29"/>
    </row>
    <row r="26" spans="2:8" ht="15.75" customHeight="1" x14ac:dyDescent="0.2">
      <c r="B26" s="25" t="s">
        <v>247</v>
      </c>
      <c r="C26" s="25" t="s">
        <v>248</v>
      </c>
      <c r="D26" s="25" t="s">
        <v>176</v>
      </c>
      <c r="E26" s="26">
        <v>2670</v>
      </c>
      <c r="F26" s="27">
        <v>195.65</v>
      </c>
      <c r="G26" s="28">
        <v>1.9E-2</v>
      </c>
      <c r="H26" s="29"/>
    </row>
    <row r="27" spans="2:8" ht="15.75" customHeight="1" x14ac:dyDescent="0.2">
      <c r="B27" s="25" t="s">
        <v>272</v>
      </c>
      <c r="C27" s="25" t="s">
        <v>273</v>
      </c>
      <c r="D27" s="25" t="s">
        <v>274</v>
      </c>
      <c r="E27" s="26">
        <v>188293</v>
      </c>
      <c r="F27" s="27">
        <v>191.96</v>
      </c>
      <c r="G27" s="28">
        <v>1.8700000000000001E-2</v>
      </c>
      <c r="H27" s="29"/>
    </row>
    <row r="28" spans="2:8" ht="15.75" customHeight="1" x14ac:dyDescent="0.2">
      <c r="B28" s="25" t="s">
        <v>707</v>
      </c>
      <c r="C28" s="25" t="s">
        <v>708</v>
      </c>
      <c r="D28" s="25" t="s">
        <v>320</v>
      </c>
      <c r="E28" s="26">
        <v>73492</v>
      </c>
      <c r="F28" s="27">
        <v>188.47</v>
      </c>
      <c r="G28" s="28">
        <v>1.83E-2</v>
      </c>
      <c r="H28" s="29"/>
    </row>
    <row r="29" spans="2:8" ht="15.75" customHeight="1" x14ac:dyDescent="0.2">
      <c r="B29" s="25" t="s">
        <v>283</v>
      </c>
      <c r="C29" s="25" t="s">
        <v>284</v>
      </c>
      <c r="D29" s="25" t="s">
        <v>121</v>
      </c>
      <c r="E29" s="26">
        <v>164264</v>
      </c>
      <c r="F29" s="27">
        <v>184.96</v>
      </c>
      <c r="G29" s="28">
        <v>1.7999999999999999E-2</v>
      </c>
      <c r="H29" s="29"/>
    </row>
    <row r="30" spans="2:8" ht="15.75" customHeight="1" x14ac:dyDescent="0.2">
      <c r="B30" s="25" t="s">
        <v>709</v>
      </c>
      <c r="C30" s="25" t="s">
        <v>710</v>
      </c>
      <c r="D30" s="25" t="s">
        <v>704</v>
      </c>
      <c r="E30" s="26">
        <v>16000</v>
      </c>
      <c r="F30" s="27">
        <v>178.84</v>
      </c>
      <c r="G30" s="28">
        <v>1.7399999999999999E-2</v>
      </c>
      <c r="H30" s="29"/>
    </row>
    <row r="31" spans="2:8" ht="15.75" customHeight="1" x14ac:dyDescent="0.2">
      <c r="B31" s="25" t="s">
        <v>304</v>
      </c>
      <c r="C31" s="25" t="s">
        <v>305</v>
      </c>
      <c r="D31" s="25" t="s">
        <v>176</v>
      </c>
      <c r="E31" s="26">
        <v>46098</v>
      </c>
      <c r="F31" s="27">
        <v>176.37</v>
      </c>
      <c r="G31" s="28">
        <v>1.72E-2</v>
      </c>
      <c r="H31" s="29"/>
    </row>
    <row r="32" spans="2:8" ht="15.75" customHeight="1" x14ac:dyDescent="0.2">
      <c r="B32" s="25" t="s">
        <v>325</v>
      </c>
      <c r="C32" s="25" t="s">
        <v>326</v>
      </c>
      <c r="D32" s="25" t="s">
        <v>244</v>
      </c>
      <c r="E32" s="26">
        <v>16800</v>
      </c>
      <c r="F32" s="27">
        <v>173.41</v>
      </c>
      <c r="G32" s="28">
        <v>1.6899999999999998E-2</v>
      </c>
      <c r="H32" s="29"/>
    </row>
    <row r="33" spans="2:8" ht="15.75" customHeight="1" x14ac:dyDescent="0.2">
      <c r="B33" s="25" t="s">
        <v>481</v>
      </c>
      <c r="C33" s="25" t="s">
        <v>482</v>
      </c>
      <c r="D33" s="25" t="s">
        <v>483</v>
      </c>
      <c r="E33" s="26">
        <v>11500</v>
      </c>
      <c r="F33" s="27">
        <v>165.99</v>
      </c>
      <c r="G33" s="28">
        <v>1.6199999999999999E-2</v>
      </c>
      <c r="H33" s="29"/>
    </row>
    <row r="34" spans="2:8" ht="15.75" customHeight="1" x14ac:dyDescent="0.2">
      <c r="B34" s="25" t="s">
        <v>571</v>
      </c>
      <c r="C34" s="25" t="s">
        <v>572</v>
      </c>
      <c r="D34" s="25" t="s">
        <v>573</v>
      </c>
      <c r="E34" s="26">
        <v>9712</v>
      </c>
      <c r="F34" s="27">
        <v>161.13</v>
      </c>
      <c r="G34" s="28">
        <v>1.5699999999999999E-2</v>
      </c>
      <c r="H34" s="29"/>
    </row>
    <row r="35" spans="2:8" ht="15.75" customHeight="1" x14ac:dyDescent="0.2">
      <c r="B35" s="25" t="s">
        <v>409</v>
      </c>
      <c r="C35" s="25" t="s">
        <v>410</v>
      </c>
      <c r="D35" s="25" t="s">
        <v>167</v>
      </c>
      <c r="E35" s="26">
        <v>65089</v>
      </c>
      <c r="F35" s="27">
        <v>145.6</v>
      </c>
      <c r="G35" s="28">
        <v>1.4200000000000001E-2</v>
      </c>
      <c r="H35" s="29"/>
    </row>
    <row r="36" spans="2:8" ht="15.75" customHeight="1" x14ac:dyDescent="0.2">
      <c r="B36" s="25" t="s">
        <v>419</v>
      </c>
      <c r="C36" s="25" t="s">
        <v>420</v>
      </c>
      <c r="D36" s="25" t="s">
        <v>161</v>
      </c>
      <c r="E36" s="26">
        <v>4125</v>
      </c>
      <c r="F36" s="27">
        <v>145.03</v>
      </c>
      <c r="G36" s="28">
        <v>1.41E-2</v>
      </c>
      <c r="H36" s="29"/>
    </row>
    <row r="37" spans="2:8" ht="15.75" customHeight="1" x14ac:dyDescent="0.2">
      <c r="B37" s="25" t="s">
        <v>711</v>
      </c>
      <c r="C37" s="25" t="s">
        <v>712</v>
      </c>
      <c r="D37" s="25" t="s">
        <v>188</v>
      </c>
      <c r="E37" s="26">
        <v>4044</v>
      </c>
      <c r="F37" s="27">
        <v>126.8</v>
      </c>
      <c r="G37" s="28">
        <v>1.23E-2</v>
      </c>
      <c r="H37" s="29"/>
    </row>
    <row r="38" spans="2:8" ht="15.75" customHeight="1" x14ac:dyDescent="0.2">
      <c r="B38" s="25" t="s">
        <v>238</v>
      </c>
      <c r="C38" s="25" t="s">
        <v>239</v>
      </c>
      <c r="D38" s="25" t="s">
        <v>176</v>
      </c>
      <c r="E38" s="26">
        <v>13508</v>
      </c>
      <c r="F38" s="27">
        <v>125.81</v>
      </c>
      <c r="G38" s="28">
        <v>1.2200000000000001E-2</v>
      </c>
      <c r="H38" s="29"/>
    </row>
    <row r="39" spans="2:8" ht="15.75" customHeight="1" x14ac:dyDescent="0.2">
      <c r="B39" s="25" t="s">
        <v>136</v>
      </c>
      <c r="C39" s="25" t="s">
        <v>137</v>
      </c>
      <c r="D39" s="25" t="s">
        <v>138</v>
      </c>
      <c r="E39" s="26">
        <v>6671</v>
      </c>
      <c r="F39" s="27">
        <v>115.37</v>
      </c>
      <c r="G39" s="28">
        <v>1.12E-2</v>
      </c>
      <c r="H39" s="29"/>
    </row>
    <row r="40" spans="2:8" ht="15.75" customHeight="1" x14ac:dyDescent="0.2">
      <c r="B40" s="25" t="s">
        <v>279</v>
      </c>
      <c r="C40" s="25" t="s">
        <v>280</v>
      </c>
      <c r="D40" s="25" t="s">
        <v>188</v>
      </c>
      <c r="E40" s="26">
        <v>36900</v>
      </c>
      <c r="F40" s="27">
        <v>114.72</v>
      </c>
      <c r="G40" s="28">
        <v>1.12E-2</v>
      </c>
      <c r="H40" s="29"/>
    </row>
    <row r="41" spans="2:8" ht="15.75" customHeight="1" x14ac:dyDescent="0.2">
      <c r="B41" s="25" t="s">
        <v>713</v>
      </c>
      <c r="C41" s="25" t="s">
        <v>714</v>
      </c>
      <c r="D41" s="25" t="s">
        <v>209</v>
      </c>
      <c r="E41" s="26">
        <v>22647</v>
      </c>
      <c r="F41" s="27">
        <v>104.52</v>
      </c>
      <c r="G41" s="28">
        <v>1.0200000000000001E-2</v>
      </c>
      <c r="H41" s="29"/>
    </row>
    <row r="42" spans="2:8" ht="15.75" customHeight="1" x14ac:dyDescent="0.2">
      <c r="B42" s="25" t="s">
        <v>640</v>
      </c>
      <c r="C42" s="25" t="s">
        <v>641</v>
      </c>
      <c r="D42" s="25" t="s">
        <v>404</v>
      </c>
      <c r="E42" s="26">
        <v>16188</v>
      </c>
      <c r="F42" s="27">
        <v>98.24</v>
      </c>
      <c r="G42" s="28">
        <v>9.5999999999999992E-3</v>
      </c>
      <c r="H42" s="29"/>
    </row>
    <row r="43" spans="2:8" ht="15.75" customHeight="1" x14ac:dyDescent="0.2">
      <c r="B43" s="25" t="s">
        <v>184</v>
      </c>
      <c r="C43" s="25" t="s">
        <v>185</v>
      </c>
      <c r="D43" s="25" t="s">
        <v>121</v>
      </c>
      <c r="E43" s="26">
        <v>5129</v>
      </c>
      <c r="F43" s="27">
        <v>97.87</v>
      </c>
      <c r="G43" s="28">
        <v>9.4999999999999998E-3</v>
      </c>
      <c r="H43" s="29"/>
    </row>
    <row r="44" spans="2:8" ht="15.75" customHeight="1" x14ac:dyDescent="0.2">
      <c r="B44" s="24" t="s">
        <v>93</v>
      </c>
      <c r="C44" s="24"/>
      <c r="D44" s="24"/>
      <c r="E44" s="30"/>
      <c r="F44" s="31">
        <v>9875.6</v>
      </c>
      <c r="G44" s="32">
        <v>0.96140000000000003</v>
      </c>
      <c r="H44" s="33"/>
    </row>
    <row r="45" spans="2:8" ht="15.75" customHeight="1" x14ac:dyDescent="0.2">
      <c r="B45" s="24" t="s">
        <v>141</v>
      </c>
      <c r="C45" s="25"/>
      <c r="D45" s="25"/>
      <c r="E45" s="26"/>
      <c r="F45" s="27"/>
      <c r="G45" s="28"/>
      <c r="H45" s="29"/>
    </row>
    <row r="46" spans="2:8" ht="15.75" customHeight="1" x14ac:dyDescent="0.2">
      <c r="B46" s="24" t="s">
        <v>93</v>
      </c>
      <c r="C46" s="25"/>
      <c r="D46" s="25"/>
      <c r="E46" s="26"/>
      <c r="F46" s="34" t="s">
        <v>95</v>
      </c>
      <c r="G46" s="35" t="s">
        <v>95</v>
      </c>
      <c r="H46" s="29"/>
    </row>
    <row r="47" spans="2:8" ht="15.75" customHeight="1" x14ac:dyDescent="0.2">
      <c r="B47" s="25"/>
      <c r="C47" s="25"/>
      <c r="D47" s="25"/>
      <c r="E47" s="26"/>
      <c r="F47" s="27"/>
      <c r="G47" s="28"/>
      <c r="H47" s="29"/>
    </row>
    <row r="48" spans="2:8" ht="15.75" customHeight="1" x14ac:dyDescent="0.2">
      <c r="B48" s="36" t="s">
        <v>97</v>
      </c>
      <c r="C48" s="36"/>
      <c r="D48" s="36"/>
      <c r="E48" s="37"/>
      <c r="F48" s="31">
        <v>9875.6</v>
      </c>
      <c r="G48" s="32">
        <v>0.96140000000000003</v>
      </c>
      <c r="H48" s="33"/>
    </row>
    <row r="49" spans="2:8" ht="15.75" customHeight="1" x14ac:dyDescent="0.2">
      <c r="B49" s="25"/>
      <c r="C49" s="25"/>
      <c r="D49" s="25"/>
      <c r="E49" s="26"/>
      <c r="F49" s="27"/>
      <c r="G49" s="28"/>
      <c r="H49" s="29"/>
    </row>
    <row r="50" spans="2:8" ht="15.75" customHeight="1" x14ac:dyDescent="0.2">
      <c r="B50" s="25"/>
      <c r="C50" s="25"/>
      <c r="D50" s="25"/>
      <c r="E50" s="26"/>
      <c r="F50" s="27"/>
      <c r="G50" s="28"/>
      <c r="H50" s="29"/>
    </row>
    <row r="51" spans="2:8" ht="15.75" customHeight="1" x14ac:dyDescent="0.2">
      <c r="B51" s="24" t="s">
        <v>100</v>
      </c>
      <c r="C51" s="25"/>
      <c r="D51" s="25"/>
      <c r="E51" s="26"/>
      <c r="F51" s="27"/>
      <c r="G51" s="28"/>
      <c r="H51" s="29"/>
    </row>
    <row r="52" spans="2:8" ht="15.75" customHeight="1" x14ac:dyDescent="0.2">
      <c r="B52" s="25" t="s">
        <v>101</v>
      </c>
      <c r="C52" s="25"/>
      <c r="D52" s="25"/>
      <c r="E52" s="26"/>
      <c r="F52" s="27">
        <v>393.1</v>
      </c>
      <c r="G52" s="28">
        <v>3.8300000000000001E-2</v>
      </c>
      <c r="H52" s="29"/>
    </row>
    <row r="53" spans="2:8" ht="15.75" customHeight="1" x14ac:dyDescent="0.2">
      <c r="B53" s="24" t="s">
        <v>93</v>
      </c>
      <c r="C53" s="24"/>
      <c r="D53" s="24"/>
      <c r="E53" s="30"/>
      <c r="F53" s="31">
        <v>393.1</v>
      </c>
      <c r="G53" s="32">
        <v>3.8300000000000001E-2</v>
      </c>
      <c r="H53" s="33"/>
    </row>
    <row r="54" spans="2:8" ht="15.75" customHeight="1" x14ac:dyDescent="0.2">
      <c r="B54" s="25"/>
      <c r="C54" s="25"/>
      <c r="D54" s="25"/>
      <c r="E54" s="26"/>
      <c r="F54" s="27"/>
      <c r="G54" s="28"/>
      <c r="H54" s="29"/>
    </row>
    <row r="55" spans="2:8" ht="15.75" customHeight="1" x14ac:dyDescent="0.2">
      <c r="B55" s="36" t="s">
        <v>97</v>
      </c>
      <c r="C55" s="36"/>
      <c r="D55" s="36"/>
      <c r="E55" s="37"/>
      <c r="F55" s="31">
        <v>393.1</v>
      </c>
      <c r="G55" s="32">
        <v>3.8300000000000001E-2</v>
      </c>
      <c r="H55" s="33"/>
    </row>
    <row r="56" spans="2:8" ht="15.75" customHeight="1" x14ac:dyDescent="0.2">
      <c r="B56" s="25" t="s">
        <v>102</v>
      </c>
      <c r="C56" s="25"/>
      <c r="D56" s="25"/>
      <c r="E56" s="26"/>
      <c r="F56" s="27">
        <v>3.71</v>
      </c>
      <c r="G56" s="28">
        <v>2.9999999999996696E-4</v>
      </c>
      <c r="H56" s="29"/>
    </row>
    <row r="57" spans="2:8" ht="15.75" customHeight="1" x14ac:dyDescent="0.2">
      <c r="B57" s="40" t="s">
        <v>103</v>
      </c>
      <c r="C57" s="40"/>
      <c r="D57" s="40"/>
      <c r="E57" s="41"/>
      <c r="F57" s="42">
        <v>10272.41</v>
      </c>
      <c r="G57" s="43">
        <v>1</v>
      </c>
      <c r="H57" s="44"/>
    </row>
    <row r="58" spans="2:8" ht="15.75" customHeight="1" thickBot="1" x14ac:dyDescent="0.25">
      <c r="B58" s="2"/>
    </row>
    <row r="59" spans="2:8" ht="27" customHeight="1" thickBot="1" x14ac:dyDescent="0.25">
      <c r="B59" s="57" t="s">
        <v>806</v>
      </c>
      <c r="C59" s="58" t="s">
        <v>807</v>
      </c>
      <c r="D59" s="58" t="s">
        <v>808</v>
      </c>
      <c r="E59" s="59" t="s">
        <v>809</v>
      </c>
      <c r="G59" s="2"/>
      <c r="H59" s="2"/>
    </row>
    <row r="60" spans="2:8" ht="29.25" customHeight="1" x14ac:dyDescent="0.2">
      <c r="B60" s="71" t="s">
        <v>61</v>
      </c>
      <c r="C60" s="83"/>
      <c r="D60" s="86" t="s">
        <v>854</v>
      </c>
      <c r="E60" s="88"/>
      <c r="G60" s="2"/>
      <c r="H60" s="2"/>
    </row>
    <row r="61" spans="2:8" ht="39.950000000000003" customHeight="1" x14ac:dyDescent="0.2">
      <c r="B61" s="61" t="s">
        <v>870</v>
      </c>
      <c r="C61" s="84"/>
      <c r="D61" s="87"/>
      <c r="E61" s="84"/>
      <c r="G61" s="2"/>
      <c r="H61" s="2"/>
    </row>
    <row r="62" spans="2:8" ht="39.950000000000003" customHeight="1" x14ac:dyDescent="0.2">
      <c r="B62" s="61" t="s">
        <v>871</v>
      </c>
      <c r="C62" s="84"/>
      <c r="D62" s="87"/>
      <c r="E62" s="84"/>
      <c r="G62" s="2"/>
      <c r="H62" s="2"/>
    </row>
    <row r="63" spans="2:8" ht="23.25" customHeight="1" thickBot="1" x14ac:dyDescent="0.25">
      <c r="B63" s="62" t="s">
        <v>826</v>
      </c>
      <c r="C63" s="85"/>
      <c r="D63" s="70" t="s">
        <v>826</v>
      </c>
      <c r="E63" s="89"/>
      <c r="G63" s="2"/>
      <c r="H63" s="2"/>
    </row>
    <row r="64" spans="2:8" ht="24.95" customHeight="1" x14ac:dyDescent="0.2">
      <c r="B64" s="64" t="s">
        <v>815</v>
      </c>
      <c r="C64" s="65"/>
      <c r="D64" s="66"/>
      <c r="E64" s="67"/>
      <c r="G64" s="2"/>
      <c r="H64" s="2"/>
    </row>
    <row r="66" spans="2:16" ht="12" x14ac:dyDescent="0.2">
      <c r="B66" s="2" t="s">
        <v>816</v>
      </c>
      <c r="C66" s="2"/>
      <c r="D66" s="2"/>
      <c r="G66" s="2"/>
      <c r="H66" s="2"/>
    </row>
    <row r="67" spans="2:16" ht="12" x14ac:dyDescent="0.2">
      <c r="B67" s="3" t="s">
        <v>817</v>
      </c>
      <c r="C67" s="2"/>
      <c r="D67" s="2"/>
      <c r="G67" s="2"/>
      <c r="H67" s="2"/>
    </row>
    <row r="68" spans="2:16" ht="15.75" customHeight="1" x14ac:dyDescent="0.2">
      <c r="L68" s="3"/>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0:C63"/>
    <mergeCell ref="D60:D62"/>
    <mergeCell ref="E60:E63"/>
  </mergeCells>
  <hyperlinks>
    <hyperlink ref="I1" location="'Sheet1'!A1" display="Index" xr:uid="{ADD038B6-153D-47FD-A852-5C24F2564DB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2127C-74AC-4A4B-924C-A509A840084B}">
  <dimension ref="B1:P96"/>
  <sheetViews>
    <sheetView workbookViewId="0"/>
  </sheetViews>
  <sheetFormatPr defaultColWidth="9.140625" defaultRowHeight="15.75" customHeight="1" x14ac:dyDescent="0.2"/>
  <cols>
    <col min="1" max="1" width="3.5703125" style="2" customWidth="1"/>
    <col min="2" max="2" width="50.42578125" style="9" customWidth="1"/>
    <col min="3" max="3" width="28.28515625" style="9" customWidth="1"/>
    <col min="4" max="4" width="26.5703125" style="9" customWidth="1"/>
    <col min="5" max="5" width="28.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850979</v>
      </c>
      <c r="F7" s="27">
        <v>14545.36</v>
      </c>
      <c r="G7" s="28">
        <v>5.8799999999999998E-2</v>
      </c>
      <c r="H7" s="29"/>
    </row>
    <row r="8" spans="2:9" ht="15.75" customHeight="1" x14ac:dyDescent="0.2">
      <c r="B8" s="25" t="s">
        <v>119</v>
      </c>
      <c r="C8" s="25" t="s">
        <v>120</v>
      </c>
      <c r="D8" s="25" t="s">
        <v>121</v>
      </c>
      <c r="E8" s="26">
        <v>1245644</v>
      </c>
      <c r="F8" s="27">
        <v>12414.09</v>
      </c>
      <c r="G8" s="28">
        <v>5.0200000000000002E-2</v>
      </c>
      <c r="H8" s="29"/>
    </row>
    <row r="9" spans="2:9" ht="15.75" customHeight="1" x14ac:dyDescent="0.2">
      <c r="B9" s="25" t="s">
        <v>511</v>
      </c>
      <c r="C9" s="25" t="s">
        <v>512</v>
      </c>
      <c r="D9" s="25" t="s">
        <v>176</v>
      </c>
      <c r="E9" s="26">
        <v>1965026</v>
      </c>
      <c r="F9" s="27">
        <v>8112.61</v>
      </c>
      <c r="G9" s="28">
        <v>3.2800000000000003E-2</v>
      </c>
      <c r="H9" s="29"/>
    </row>
    <row r="10" spans="2:9" ht="15.75" customHeight="1" x14ac:dyDescent="0.2">
      <c r="B10" s="25" t="s">
        <v>304</v>
      </c>
      <c r="C10" s="25" t="s">
        <v>305</v>
      </c>
      <c r="D10" s="25" t="s">
        <v>176</v>
      </c>
      <c r="E10" s="26">
        <v>1826371</v>
      </c>
      <c r="F10" s="27">
        <v>6987.7</v>
      </c>
      <c r="G10" s="28">
        <v>2.8299999999999999E-2</v>
      </c>
      <c r="H10" s="29"/>
    </row>
    <row r="11" spans="2:9" ht="15.75" customHeight="1" x14ac:dyDescent="0.2">
      <c r="B11" s="25" t="s">
        <v>130</v>
      </c>
      <c r="C11" s="25" t="s">
        <v>131</v>
      </c>
      <c r="D11" s="25" t="s">
        <v>132</v>
      </c>
      <c r="E11" s="26">
        <v>215328</v>
      </c>
      <c r="F11" s="27">
        <v>5566.12</v>
      </c>
      <c r="G11" s="28">
        <v>2.2499999999999999E-2</v>
      </c>
      <c r="H11" s="29"/>
    </row>
    <row r="12" spans="2:9" ht="15.75" customHeight="1" x14ac:dyDescent="0.2">
      <c r="B12" s="25" t="s">
        <v>122</v>
      </c>
      <c r="C12" s="25" t="s">
        <v>123</v>
      </c>
      <c r="D12" s="25" t="s">
        <v>124</v>
      </c>
      <c r="E12" s="26">
        <v>360660</v>
      </c>
      <c r="F12" s="27">
        <v>5564.62</v>
      </c>
      <c r="G12" s="28">
        <v>2.2499999999999999E-2</v>
      </c>
      <c r="H12" s="29"/>
    </row>
    <row r="13" spans="2:9" ht="15.75" customHeight="1" x14ac:dyDescent="0.2">
      <c r="B13" s="25" t="s">
        <v>270</v>
      </c>
      <c r="C13" s="25" t="s">
        <v>271</v>
      </c>
      <c r="D13" s="25" t="s">
        <v>176</v>
      </c>
      <c r="E13" s="26">
        <v>268384</v>
      </c>
      <c r="F13" s="27">
        <v>5510.73</v>
      </c>
      <c r="G13" s="28">
        <v>2.23E-2</v>
      </c>
      <c r="H13" s="29"/>
    </row>
    <row r="14" spans="2:9" ht="15.75" customHeight="1" x14ac:dyDescent="0.2">
      <c r="B14" s="25" t="s">
        <v>165</v>
      </c>
      <c r="C14" s="25" t="s">
        <v>166</v>
      </c>
      <c r="D14" s="25" t="s">
        <v>167</v>
      </c>
      <c r="E14" s="26">
        <v>180267</v>
      </c>
      <c r="F14" s="27">
        <v>5507.07</v>
      </c>
      <c r="G14" s="28">
        <v>2.23E-2</v>
      </c>
      <c r="H14" s="29"/>
    </row>
    <row r="15" spans="2:9" ht="15.75" customHeight="1" x14ac:dyDescent="0.2">
      <c r="B15" s="25" t="s">
        <v>184</v>
      </c>
      <c r="C15" s="25" t="s">
        <v>185</v>
      </c>
      <c r="D15" s="25" t="s">
        <v>121</v>
      </c>
      <c r="E15" s="26">
        <v>249108</v>
      </c>
      <c r="F15" s="27">
        <v>4753.2299999999996</v>
      </c>
      <c r="G15" s="28">
        <v>1.9199999999999998E-2</v>
      </c>
      <c r="H15" s="29"/>
    </row>
    <row r="16" spans="2:9" ht="15.75" customHeight="1" x14ac:dyDescent="0.2">
      <c r="B16" s="25" t="s">
        <v>519</v>
      </c>
      <c r="C16" s="25" t="s">
        <v>520</v>
      </c>
      <c r="D16" s="25" t="s">
        <v>292</v>
      </c>
      <c r="E16" s="26">
        <v>12207</v>
      </c>
      <c r="F16" s="27">
        <v>4497.91</v>
      </c>
      <c r="G16" s="28">
        <v>1.8200000000000001E-2</v>
      </c>
      <c r="H16" s="29"/>
    </row>
    <row r="17" spans="2:8" ht="15.75" customHeight="1" x14ac:dyDescent="0.2">
      <c r="B17" s="25" t="s">
        <v>409</v>
      </c>
      <c r="C17" s="25" t="s">
        <v>410</v>
      </c>
      <c r="D17" s="25" t="s">
        <v>167</v>
      </c>
      <c r="E17" s="26">
        <v>1996455</v>
      </c>
      <c r="F17" s="27">
        <v>4466.07</v>
      </c>
      <c r="G17" s="28">
        <v>1.8100000000000002E-2</v>
      </c>
      <c r="H17" s="29"/>
    </row>
    <row r="18" spans="2:8" ht="15.75" customHeight="1" x14ac:dyDescent="0.2">
      <c r="B18" s="25" t="s">
        <v>227</v>
      </c>
      <c r="C18" s="25" t="s">
        <v>228</v>
      </c>
      <c r="D18" s="25" t="s">
        <v>124</v>
      </c>
      <c r="E18" s="26">
        <v>116363</v>
      </c>
      <c r="F18" s="27">
        <v>4414.1099999999997</v>
      </c>
      <c r="G18" s="28">
        <v>1.7899999999999999E-2</v>
      </c>
      <c r="H18" s="29"/>
    </row>
    <row r="19" spans="2:8" ht="15.75" customHeight="1" x14ac:dyDescent="0.2">
      <c r="B19" s="25" t="s">
        <v>484</v>
      </c>
      <c r="C19" s="25" t="s">
        <v>485</v>
      </c>
      <c r="D19" s="25" t="s">
        <v>274</v>
      </c>
      <c r="E19" s="26">
        <v>131180</v>
      </c>
      <c r="F19" s="27">
        <v>4201.7</v>
      </c>
      <c r="G19" s="28">
        <v>1.7000000000000001E-2</v>
      </c>
      <c r="H19" s="29"/>
    </row>
    <row r="20" spans="2:8" ht="15.75" customHeight="1" x14ac:dyDescent="0.2">
      <c r="B20" s="25" t="s">
        <v>127</v>
      </c>
      <c r="C20" s="25" t="s">
        <v>128</v>
      </c>
      <c r="D20" s="25" t="s">
        <v>129</v>
      </c>
      <c r="E20" s="26">
        <v>155495</v>
      </c>
      <c r="F20" s="27">
        <v>4142.3100000000004</v>
      </c>
      <c r="G20" s="28">
        <v>1.6799999999999999E-2</v>
      </c>
      <c r="H20" s="29"/>
    </row>
    <row r="21" spans="2:8" ht="15.75" customHeight="1" x14ac:dyDescent="0.2">
      <c r="B21" s="25" t="s">
        <v>162</v>
      </c>
      <c r="C21" s="25" t="s">
        <v>163</v>
      </c>
      <c r="D21" s="25" t="s">
        <v>164</v>
      </c>
      <c r="E21" s="26">
        <v>938700</v>
      </c>
      <c r="F21" s="27">
        <v>4114.79</v>
      </c>
      <c r="G21" s="28">
        <v>1.66E-2</v>
      </c>
      <c r="H21" s="29"/>
    </row>
    <row r="22" spans="2:8" ht="15.75" customHeight="1" x14ac:dyDescent="0.2">
      <c r="B22" s="25" t="s">
        <v>256</v>
      </c>
      <c r="C22" s="25" t="s">
        <v>257</v>
      </c>
      <c r="D22" s="25" t="s">
        <v>121</v>
      </c>
      <c r="E22" s="26">
        <v>639470</v>
      </c>
      <c r="F22" s="27">
        <v>4105.72</v>
      </c>
      <c r="G22" s="28">
        <v>1.66E-2</v>
      </c>
      <c r="H22" s="29"/>
    </row>
    <row r="23" spans="2:8" ht="15.75" customHeight="1" x14ac:dyDescent="0.2">
      <c r="B23" s="25" t="s">
        <v>337</v>
      </c>
      <c r="C23" s="25" t="s">
        <v>338</v>
      </c>
      <c r="D23" s="25" t="s">
        <v>298</v>
      </c>
      <c r="E23" s="26">
        <v>327439</v>
      </c>
      <c r="F23" s="27">
        <v>4054.84</v>
      </c>
      <c r="G23" s="28">
        <v>1.6400000000000001E-2</v>
      </c>
      <c r="H23" s="29"/>
    </row>
    <row r="24" spans="2:8" ht="15.75" customHeight="1" x14ac:dyDescent="0.2">
      <c r="B24" s="25" t="s">
        <v>139</v>
      </c>
      <c r="C24" s="25" t="s">
        <v>140</v>
      </c>
      <c r="D24" s="25" t="s">
        <v>124</v>
      </c>
      <c r="E24" s="26">
        <v>61395</v>
      </c>
      <c r="F24" s="27">
        <v>3864.78</v>
      </c>
      <c r="G24" s="28">
        <v>1.5599999999999999E-2</v>
      </c>
      <c r="H24" s="29"/>
    </row>
    <row r="25" spans="2:8" ht="15.75" customHeight="1" x14ac:dyDescent="0.2">
      <c r="B25" s="25" t="s">
        <v>329</v>
      </c>
      <c r="C25" s="25" t="s">
        <v>330</v>
      </c>
      <c r="D25" s="25" t="s">
        <v>188</v>
      </c>
      <c r="E25" s="26">
        <v>103207</v>
      </c>
      <c r="F25" s="27">
        <v>3793.32</v>
      </c>
      <c r="G25" s="28">
        <v>1.5299999999999999E-2</v>
      </c>
      <c r="H25" s="29"/>
    </row>
    <row r="26" spans="2:8" ht="15.75" customHeight="1" x14ac:dyDescent="0.2">
      <c r="B26" s="25" t="s">
        <v>626</v>
      </c>
      <c r="C26" s="25" t="s">
        <v>627</v>
      </c>
      <c r="D26" s="25" t="s">
        <v>173</v>
      </c>
      <c r="E26" s="26">
        <v>95671</v>
      </c>
      <c r="F26" s="27">
        <v>3686.39</v>
      </c>
      <c r="G26" s="28">
        <v>1.49E-2</v>
      </c>
      <c r="H26" s="29"/>
    </row>
    <row r="27" spans="2:8" ht="15.75" customHeight="1" x14ac:dyDescent="0.2">
      <c r="B27" s="25" t="s">
        <v>346</v>
      </c>
      <c r="C27" s="25" t="s">
        <v>347</v>
      </c>
      <c r="D27" s="25" t="s">
        <v>191</v>
      </c>
      <c r="E27" s="26">
        <v>1403609</v>
      </c>
      <c r="F27" s="27">
        <v>3650.09</v>
      </c>
      <c r="G27" s="28">
        <v>1.4800000000000001E-2</v>
      </c>
      <c r="H27" s="29"/>
    </row>
    <row r="28" spans="2:8" ht="15.75" customHeight="1" x14ac:dyDescent="0.2">
      <c r="B28" s="25" t="s">
        <v>715</v>
      </c>
      <c r="C28" s="25" t="s">
        <v>716</v>
      </c>
      <c r="D28" s="25" t="s">
        <v>188</v>
      </c>
      <c r="E28" s="26">
        <v>1090949</v>
      </c>
      <c r="F28" s="27">
        <v>3635.59</v>
      </c>
      <c r="G28" s="28">
        <v>1.47E-2</v>
      </c>
      <c r="H28" s="29"/>
    </row>
    <row r="29" spans="2:8" ht="15.75" customHeight="1" x14ac:dyDescent="0.2">
      <c r="B29" s="25" t="s">
        <v>296</v>
      </c>
      <c r="C29" s="25" t="s">
        <v>297</v>
      </c>
      <c r="D29" s="25" t="s">
        <v>298</v>
      </c>
      <c r="E29" s="26">
        <v>230911</v>
      </c>
      <c r="F29" s="27">
        <v>3548.64</v>
      </c>
      <c r="G29" s="28">
        <v>1.44E-2</v>
      </c>
      <c r="H29" s="29"/>
    </row>
    <row r="30" spans="2:8" ht="15.75" customHeight="1" x14ac:dyDescent="0.2">
      <c r="B30" s="25" t="s">
        <v>247</v>
      </c>
      <c r="C30" s="25" t="s">
        <v>248</v>
      </c>
      <c r="D30" s="25" t="s">
        <v>176</v>
      </c>
      <c r="E30" s="26">
        <v>47400</v>
      </c>
      <c r="F30" s="27">
        <v>3473.35</v>
      </c>
      <c r="G30" s="28">
        <v>1.41E-2</v>
      </c>
      <c r="H30" s="29"/>
    </row>
    <row r="31" spans="2:8" ht="15.75" customHeight="1" x14ac:dyDescent="0.2">
      <c r="B31" s="25" t="s">
        <v>515</v>
      </c>
      <c r="C31" s="25" t="s">
        <v>516</v>
      </c>
      <c r="D31" s="25" t="s">
        <v>124</v>
      </c>
      <c r="E31" s="26">
        <v>39263</v>
      </c>
      <c r="F31" s="27">
        <v>3436.87</v>
      </c>
      <c r="G31" s="28">
        <v>1.3899999999999999E-2</v>
      </c>
      <c r="H31" s="29"/>
    </row>
    <row r="32" spans="2:8" ht="15.75" customHeight="1" x14ac:dyDescent="0.2">
      <c r="B32" s="25" t="s">
        <v>287</v>
      </c>
      <c r="C32" s="25" t="s">
        <v>288</v>
      </c>
      <c r="D32" s="25" t="s">
        <v>289</v>
      </c>
      <c r="E32" s="26">
        <v>1848137</v>
      </c>
      <c r="F32" s="27">
        <v>3404.27</v>
      </c>
      <c r="G32" s="28">
        <v>1.38E-2</v>
      </c>
      <c r="H32" s="29"/>
    </row>
    <row r="33" spans="2:8" ht="15.75" customHeight="1" x14ac:dyDescent="0.2">
      <c r="B33" s="25" t="s">
        <v>421</v>
      </c>
      <c r="C33" s="25" t="s">
        <v>422</v>
      </c>
      <c r="D33" s="25" t="s">
        <v>274</v>
      </c>
      <c r="E33" s="26">
        <v>5422679</v>
      </c>
      <c r="F33" s="27">
        <v>3348.5</v>
      </c>
      <c r="G33" s="28">
        <v>1.35E-2</v>
      </c>
      <c r="H33" s="29"/>
    </row>
    <row r="34" spans="2:8" ht="15.75" customHeight="1" x14ac:dyDescent="0.2">
      <c r="B34" s="25" t="s">
        <v>157</v>
      </c>
      <c r="C34" s="25" t="s">
        <v>158</v>
      </c>
      <c r="D34" s="25" t="s">
        <v>129</v>
      </c>
      <c r="E34" s="26">
        <v>716419</v>
      </c>
      <c r="F34" s="27">
        <v>3310.57</v>
      </c>
      <c r="G34" s="28">
        <v>1.34E-2</v>
      </c>
      <c r="H34" s="29"/>
    </row>
    <row r="35" spans="2:8" ht="15.75" customHeight="1" x14ac:dyDescent="0.2">
      <c r="B35" s="25" t="s">
        <v>343</v>
      </c>
      <c r="C35" s="25" t="s">
        <v>344</v>
      </c>
      <c r="D35" s="25" t="s">
        <v>345</v>
      </c>
      <c r="E35" s="26">
        <v>399677</v>
      </c>
      <c r="F35" s="27">
        <v>3288.54</v>
      </c>
      <c r="G35" s="28">
        <v>1.3299999999999999E-2</v>
      </c>
      <c r="H35" s="29"/>
    </row>
    <row r="36" spans="2:8" ht="15.75" customHeight="1" x14ac:dyDescent="0.2">
      <c r="B36" s="25" t="s">
        <v>417</v>
      </c>
      <c r="C36" s="25" t="s">
        <v>418</v>
      </c>
      <c r="D36" s="25" t="s">
        <v>292</v>
      </c>
      <c r="E36" s="26">
        <v>131491</v>
      </c>
      <c r="F36" s="27">
        <v>3265.12</v>
      </c>
      <c r="G36" s="28">
        <v>1.32E-2</v>
      </c>
      <c r="H36" s="29"/>
    </row>
    <row r="37" spans="2:8" ht="15.75" customHeight="1" x14ac:dyDescent="0.2">
      <c r="B37" s="25" t="s">
        <v>667</v>
      </c>
      <c r="C37" s="25" t="s">
        <v>668</v>
      </c>
      <c r="D37" s="25" t="s">
        <v>298</v>
      </c>
      <c r="E37" s="26">
        <v>165017</v>
      </c>
      <c r="F37" s="27">
        <v>3240.85</v>
      </c>
      <c r="G37" s="28">
        <v>1.3100000000000001E-2</v>
      </c>
      <c r="H37" s="29"/>
    </row>
    <row r="38" spans="2:8" ht="15.75" customHeight="1" x14ac:dyDescent="0.2">
      <c r="B38" s="25" t="s">
        <v>405</v>
      </c>
      <c r="C38" s="25" t="s">
        <v>406</v>
      </c>
      <c r="D38" s="25" t="s">
        <v>161</v>
      </c>
      <c r="E38" s="26">
        <v>254283</v>
      </c>
      <c r="F38" s="27">
        <v>3182.73</v>
      </c>
      <c r="G38" s="28">
        <v>1.29E-2</v>
      </c>
      <c r="H38" s="29"/>
    </row>
    <row r="39" spans="2:8" ht="15.75" customHeight="1" x14ac:dyDescent="0.2">
      <c r="B39" s="25" t="s">
        <v>356</v>
      </c>
      <c r="C39" s="25" t="s">
        <v>357</v>
      </c>
      <c r="D39" s="25" t="s">
        <v>274</v>
      </c>
      <c r="E39" s="26">
        <v>664066</v>
      </c>
      <c r="F39" s="27">
        <v>3125.76</v>
      </c>
      <c r="G39" s="28">
        <v>1.26E-2</v>
      </c>
      <c r="H39" s="29"/>
    </row>
    <row r="40" spans="2:8" ht="15.75" customHeight="1" x14ac:dyDescent="0.2">
      <c r="B40" s="25" t="s">
        <v>602</v>
      </c>
      <c r="C40" s="25" t="s">
        <v>603</v>
      </c>
      <c r="D40" s="25" t="s">
        <v>191</v>
      </c>
      <c r="E40" s="26">
        <v>64475</v>
      </c>
      <c r="F40" s="27">
        <v>3115.92</v>
      </c>
      <c r="G40" s="28">
        <v>1.26E-2</v>
      </c>
      <c r="H40" s="29"/>
    </row>
    <row r="41" spans="2:8" ht="15.75" customHeight="1" x14ac:dyDescent="0.2">
      <c r="B41" s="25" t="s">
        <v>285</v>
      </c>
      <c r="C41" s="25" t="s">
        <v>286</v>
      </c>
      <c r="D41" s="25" t="s">
        <v>173</v>
      </c>
      <c r="E41" s="26">
        <v>125171</v>
      </c>
      <c r="F41" s="27">
        <v>3103.3</v>
      </c>
      <c r="G41" s="28">
        <v>1.26E-2</v>
      </c>
      <c r="H41" s="29"/>
    </row>
    <row r="42" spans="2:8" ht="15.75" customHeight="1" x14ac:dyDescent="0.2">
      <c r="B42" s="25" t="s">
        <v>136</v>
      </c>
      <c r="C42" s="25" t="s">
        <v>137</v>
      </c>
      <c r="D42" s="25" t="s">
        <v>138</v>
      </c>
      <c r="E42" s="26">
        <v>176330</v>
      </c>
      <c r="F42" s="27">
        <v>3049.45</v>
      </c>
      <c r="G42" s="28">
        <v>1.23E-2</v>
      </c>
      <c r="H42" s="29"/>
    </row>
    <row r="43" spans="2:8" ht="15.75" customHeight="1" x14ac:dyDescent="0.2">
      <c r="B43" s="25" t="s">
        <v>224</v>
      </c>
      <c r="C43" s="25" t="s">
        <v>225</v>
      </c>
      <c r="D43" s="25" t="s">
        <v>226</v>
      </c>
      <c r="E43" s="26">
        <v>140570</v>
      </c>
      <c r="F43" s="27">
        <v>3000.89</v>
      </c>
      <c r="G43" s="28">
        <v>1.21E-2</v>
      </c>
      <c r="H43" s="29"/>
    </row>
    <row r="44" spans="2:8" ht="15.75" customHeight="1" x14ac:dyDescent="0.2">
      <c r="B44" s="25" t="s">
        <v>388</v>
      </c>
      <c r="C44" s="25" t="s">
        <v>389</v>
      </c>
      <c r="D44" s="25" t="s">
        <v>176</v>
      </c>
      <c r="E44" s="26">
        <v>1064247</v>
      </c>
      <c r="F44" s="27">
        <v>2944.77</v>
      </c>
      <c r="G44" s="28">
        <v>1.1900000000000001E-2</v>
      </c>
      <c r="H44" s="29"/>
    </row>
    <row r="45" spans="2:8" ht="15.75" customHeight="1" x14ac:dyDescent="0.2">
      <c r="B45" s="25" t="s">
        <v>258</v>
      </c>
      <c r="C45" s="25" t="s">
        <v>259</v>
      </c>
      <c r="D45" s="25" t="s">
        <v>121</v>
      </c>
      <c r="E45" s="26">
        <v>267145</v>
      </c>
      <c r="F45" s="27">
        <v>2944.74</v>
      </c>
      <c r="G45" s="28">
        <v>1.1900000000000001E-2</v>
      </c>
      <c r="H45" s="29"/>
    </row>
    <row r="46" spans="2:8" ht="15.75" customHeight="1" x14ac:dyDescent="0.2">
      <c r="B46" s="25" t="s">
        <v>461</v>
      </c>
      <c r="C46" s="25" t="s">
        <v>462</v>
      </c>
      <c r="D46" s="25" t="s">
        <v>194</v>
      </c>
      <c r="E46" s="26">
        <v>12715</v>
      </c>
      <c r="F46" s="27">
        <v>2905.54</v>
      </c>
      <c r="G46" s="28">
        <v>1.18E-2</v>
      </c>
      <c r="H46" s="29"/>
    </row>
    <row r="47" spans="2:8" ht="15.75" customHeight="1" x14ac:dyDescent="0.2">
      <c r="B47" s="25" t="s">
        <v>331</v>
      </c>
      <c r="C47" s="25" t="s">
        <v>332</v>
      </c>
      <c r="D47" s="25" t="s">
        <v>121</v>
      </c>
      <c r="E47" s="26">
        <v>1773041</v>
      </c>
      <c r="F47" s="27">
        <v>2768.6</v>
      </c>
      <c r="G47" s="28">
        <v>1.12E-2</v>
      </c>
      <c r="H47" s="29"/>
    </row>
    <row r="48" spans="2:8" ht="15.75" customHeight="1" x14ac:dyDescent="0.2">
      <c r="B48" s="25" t="s">
        <v>411</v>
      </c>
      <c r="C48" s="25" t="s">
        <v>412</v>
      </c>
      <c r="D48" s="25" t="s">
        <v>301</v>
      </c>
      <c r="E48" s="26">
        <v>112250</v>
      </c>
      <c r="F48" s="27">
        <v>2574.06</v>
      </c>
      <c r="G48" s="28">
        <v>1.04E-2</v>
      </c>
      <c r="H48" s="29"/>
    </row>
    <row r="49" spans="2:8" ht="15.75" customHeight="1" x14ac:dyDescent="0.2">
      <c r="B49" s="25" t="s">
        <v>290</v>
      </c>
      <c r="C49" s="25" t="s">
        <v>291</v>
      </c>
      <c r="D49" s="25" t="s">
        <v>292</v>
      </c>
      <c r="E49" s="26">
        <v>1493376</v>
      </c>
      <c r="F49" s="27">
        <v>2555.91</v>
      </c>
      <c r="G49" s="28">
        <v>1.03E-2</v>
      </c>
      <c r="H49" s="29"/>
    </row>
    <row r="50" spans="2:8" ht="15.75" customHeight="1" x14ac:dyDescent="0.2">
      <c r="B50" s="25" t="s">
        <v>339</v>
      </c>
      <c r="C50" s="25" t="s">
        <v>340</v>
      </c>
      <c r="D50" s="25" t="s">
        <v>164</v>
      </c>
      <c r="E50" s="26">
        <v>438475</v>
      </c>
      <c r="F50" s="27">
        <v>2477.6</v>
      </c>
      <c r="G50" s="28">
        <v>0.01</v>
      </c>
      <c r="H50" s="29"/>
    </row>
    <row r="51" spans="2:8" ht="15.75" customHeight="1" x14ac:dyDescent="0.2">
      <c r="B51" s="25" t="s">
        <v>293</v>
      </c>
      <c r="C51" s="25" t="s">
        <v>294</v>
      </c>
      <c r="D51" s="25" t="s">
        <v>295</v>
      </c>
      <c r="E51" s="26">
        <v>453838</v>
      </c>
      <c r="F51" s="27">
        <v>2427.35</v>
      </c>
      <c r="G51" s="28">
        <v>9.7999999999999997E-3</v>
      </c>
      <c r="H51" s="29"/>
    </row>
    <row r="52" spans="2:8" ht="15.75" customHeight="1" x14ac:dyDescent="0.2">
      <c r="B52" s="25" t="s">
        <v>260</v>
      </c>
      <c r="C52" s="25" t="s">
        <v>261</v>
      </c>
      <c r="D52" s="25" t="s">
        <v>138</v>
      </c>
      <c r="E52" s="26">
        <v>55279</v>
      </c>
      <c r="F52" s="27">
        <v>2290.4899999999998</v>
      </c>
      <c r="G52" s="28">
        <v>9.2999999999999992E-3</v>
      </c>
      <c r="H52" s="29"/>
    </row>
    <row r="53" spans="2:8" ht="15.75" customHeight="1" x14ac:dyDescent="0.2">
      <c r="B53" s="25" t="s">
        <v>235</v>
      </c>
      <c r="C53" s="25" t="s">
        <v>236</v>
      </c>
      <c r="D53" s="25" t="s">
        <v>237</v>
      </c>
      <c r="E53" s="26">
        <v>40070</v>
      </c>
      <c r="F53" s="27">
        <v>2285.63</v>
      </c>
      <c r="G53" s="28">
        <v>9.1999999999999998E-3</v>
      </c>
      <c r="H53" s="29"/>
    </row>
    <row r="54" spans="2:8" ht="15.75" customHeight="1" x14ac:dyDescent="0.2">
      <c r="B54" s="25" t="s">
        <v>473</v>
      </c>
      <c r="C54" s="25" t="s">
        <v>474</v>
      </c>
      <c r="D54" s="25" t="s">
        <v>274</v>
      </c>
      <c r="E54" s="26">
        <v>321143</v>
      </c>
      <c r="F54" s="27">
        <v>2208.34</v>
      </c>
      <c r="G54" s="28">
        <v>8.8999999999999999E-3</v>
      </c>
      <c r="H54" s="29"/>
    </row>
    <row r="55" spans="2:8" ht="15.75" customHeight="1" x14ac:dyDescent="0.2">
      <c r="B55" s="25" t="s">
        <v>717</v>
      </c>
      <c r="C55" s="25" t="s">
        <v>718</v>
      </c>
      <c r="D55" s="25" t="s">
        <v>176</v>
      </c>
      <c r="E55" s="26">
        <v>2142377</v>
      </c>
      <c r="F55" s="27">
        <v>2202.36</v>
      </c>
      <c r="G55" s="28">
        <v>8.8999999999999999E-3</v>
      </c>
      <c r="H55" s="29"/>
    </row>
    <row r="56" spans="2:8" ht="15.75" customHeight="1" x14ac:dyDescent="0.2">
      <c r="B56" s="25" t="s">
        <v>283</v>
      </c>
      <c r="C56" s="25" t="s">
        <v>284</v>
      </c>
      <c r="D56" s="25" t="s">
        <v>121</v>
      </c>
      <c r="E56" s="26">
        <v>1874702</v>
      </c>
      <c r="F56" s="27">
        <v>2110.91</v>
      </c>
      <c r="G56" s="28">
        <v>8.5000000000000006E-3</v>
      </c>
      <c r="H56" s="29"/>
    </row>
    <row r="57" spans="2:8" ht="15.75" customHeight="1" x14ac:dyDescent="0.2">
      <c r="B57" s="25" t="s">
        <v>302</v>
      </c>
      <c r="C57" s="25" t="s">
        <v>303</v>
      </c>
      <c r="D57" s="25" t="s">
        <v>167</v>
      </c>
      <c r="E57" s="26">
        <v>482998</v>
      </c>
      <c r="F57" s="27">
        <v>1981.02</v>
      </c>
      <c r="G57" s="28">
        <v>8.0000000000000002E-3</v>
      </c>
      <c r="H57" s="29"/>
    </row>
    <row r="58" spans="2:8" ht="15.75" customHeight="1" x14ac:dyDescent="0.2">
      <c r="B58" s="25" t="s">
        <v>372</v>
      </c>
      <c r="C58" s="25" t="s">
        <v>373</v>
      </c>
      <c r="D58" s="25" t="s">
        <v>121</v>
      </c>
      <c r="E58" s="26">
        <v>1474857</v>
      </c>
      <c r="F58" s="27">
        <v>1959.35</v>
      </c>
      <c r="G58" s="28">
        <v>7.9000000000000008E-3</v>
      </c>
      <c r="H58" s="29"/>
    </row>
    <row r="59" spans="2:8" ht="15.75" customHeight="1" x14ac:dyDescent="0.2">
      <c r="B59" s="25" t="s">
        <v>590</v>
      </c>
      <c r="C59" s="25" t="s">
        <v>591</v>
      </c>
      <c r="D59" s="25" t="s">
        <v>298</v>
      </c>
      <c r="E59" s="26">
        <v>137404</v>
      </c>
      <c r="F59" s="27">
        <v>1926.27</v>
      </c>
      <c r="G59" s="28">
        <v>7.7999999999999996E-3</v>
      </c>
      <c r="H59" s="29"/>
    </row>
    <row r="60" spans="2:8" ht="15.75" customHeight="1" x14ac:dyDescent="0.2">
      <c r="B60" s="25" t="s">
        <v>486</v>
      </c>
      <c r="C60" s="25" t="s">
        <v>487</v>
      </c>
      <c r="D60" s="25" t="s">
        <v>188</v>
      </c>
      <c r="E60" s="26">
        <v>195597</v>
      </c>
      <c r="F60" s="27">
        <v>1913.62</v>
      </c>
      <c r="G60" s="28">
        <v>7.7000000000000002E-3</v>
      </c>
      <c r="H60" s="29"/>
    </row>
    <row r="61" spans="2:8" ht="15.75" customHeight="1" x14ac:dyDescent="0.2">
      <c r="B61" s="25" t="s">
        <v>275</v>
      </c>
      <c r="C61" s="25" t="s">
        <v>276</v>
      </c>
      <c r="D61" s="25" t="s">
        <v>138</v>
      </c>
      <c r="E61" s="26">
        <v>43661</v>
      </c>
      <c r="F61" s="27">
        <v>1807.37</v>
      </c>
      <c r="G61" s="28">
        <v>7.3000000000000001E-3</v>
      </c>
      <c r="H61" s="29"/>
    </row>
    <row r="62" spans="2:8" ht="15.75" customHeight="1" x14ac:dyDescent="0.2">
      <c r="B62" s="25" t="s">
        <v>396</v>
      </c>
      <c r="C62" s="25" t="s">
        <v>397</v>
      </c>
      <c r="D62" s="25" t="s">
        <v>274</v>
      </c>
      <c r="E62" s="26">
        <v>183777</v>
      </c>
      <c r="F62" s="27">
        <v>1802.39</v>
      </c>
      <c r="G62" s="28">
        <v>7.3000000000000001E-3</v>
      </c>
      <c r="H62" s="29"/>
    </row>
    <row r="63" spans="2:8" ht="15.75" customHeight="1" x14ac:dyDescent="0.2">
      <c r="B63" s="25" t="s">
        <v>323</v>
      </c>
      <c r="C63" s="25" t="s">
        <v>324</v>
      </c>
      <c r="D63" s="25" t="s">
        <v>167</v>
      </c>
      <c r="E63" s="26">
        <v>1450081</v>
      </c>
      <c r="F63" s="27">
        <v>1793.75</v>
      </c>
      <c r="G63" s="28">
        <v>7.3000000000000001E-3</v>
      </c>
      <c r="H63" s="29"/>
    </row>
    <row r="64" spans="2:8" ht="15.75" customHeight="1" x14ac:dyDescent="0.2">
      <c r="B64" s="25" t="s">
        <v>713</v>
      </c>
      <c r="C64" s="25" t="s">
        <v>714</v>
      </c>
      <c r="D64" s="25" t="s">
        <v>209</v>
      </c>
      <c r="E64" s="26">
        <v>380859</v>
      </c>
      <c r="F64" s="27">
        <v>1757.66</v>
      </c>
      <c r="G64" s="28">
        <v>7.1000000000000004E-3</v>
      </c>
      <c r="H64" s="29"/>
    </row>
    <row r="65" spans="2:16" ht="15.75" customHeight="1" x14ac:dyDescent="0.2">
      <c r="B65" s="25" t="s">
        <v>719</v>
      </c>
      <c r="C65" s="25" t="s">
        <v>720</v>
      </c>
      <c r="D65" s="25" t="s">
        <v>292</v>
      </c>
      <c r="E65" s="26">
        <v>242813</v>
      </c>
      <c r="F65" s="27">
        <v>1638.38</v>
      </c>
      <c r="G65" s="28">
        <v>6.6E-3</v>
      </c>
      <c r="H65" s="29"/>
    </row>
    <row r="66" spans="2:16" ht="15.75" customHeight="1" x14ac:dyDescent="0.2">
      <c r="B66" s="25" t="s">
        <v>203</v>
      </c>
      <c r="C66" s="25" t="s">
        <v>204</v>
      </c>
      <c r="D66" s="25" t="s">
        <v>194</v>
      </c>
      <c r="E66" s="26">
        <v>232769</v>
      </c>
      <c r="F66" s="27">
        <v>1604.24</v>
      </c>
      <c r="G66" s="28">
        <v>6.4999999999999997E-3</v>
      </c>
      <c r="H66" s="29"/>
    </row>
    <row r="67" spans="2:16" ht="15.75" customHeight="1" x14ac:dyDescent="0.2">
      <c r="B67" s="25" t="s">
        <v>721</v>
      </c>
      <c r="C67" s="25" t="s">
        <v>722</v>
      </c>
      <c r="D67" s="25" t="s">
        <v>188</v>
      </c>
      <c r="E67" s="26">
        <v>114780</v>
      </c>
      <c r="F67" s="27">
        <v>1494.09</v>
      </c>
      <c r="G67" s="28">
        <v>6.0000000000000001E-3</v>
      </c>
      <c r="H67" s="29"/>
    </row>
    <row r="68" spans="2:16" ht="15.75" customHeight="1" x14ac:dyDescent="0.2">
      <c r="B68" s="25" t="s">
        <v>427</v>
      </c>
      <c r="C68" s="25" t="s">
        <v>428</v>
      </c>
      <c r="D68" s="25" t="s">
        <v>209</v>
      </c>
      <c r="E68" s="26">
        <v>114113</v>
      </c>
      <c r="F68" s="27">
        <v>1369.93</v>
      </c>
      <c r="G68" s="28">
        <v>5.4999999999999997E-3</v>
      </c>
      <c r="H68" s="29"/>
      <c r="L68" s="3"/>
    </row>
    <row r="69" spans="2:16" ht="15.75" customHeight="1" x14ac:dyDescent="0.2">
      <c r="B69" s="25" t="s">
        <v>620</v>
      </c>
      <c r="C69" s="25" t="s">
        <v>621</v>
      </c>
      <c r="D69" s="25" t="s">
        <v>173</v>
      </c>
      <c r="E69" s="26">
        <v>53880</v>
      </c>
      <c r="F69" s="27">
        <v>1336.87</v>
      </c>
      <c r="G69" s="28">
        <v>5.4000000000000003E-3</v>
      </c>
      <c r="H69" s="29"/>
    </row>
    <row r="70" spans="2:16" ht="15.75" customHeight="1" x14ac:dyDescent="0.2">
      <c r="B70" s="25" t="s">
        <v>272</v>
      </c>
      <c r="C70" s="25" t="s">
        <v>273</v>
      </c>
      <c r="D70" s="25" t="s">
        <v>274</v>
      </c>
      <c r="E70" s="26">
        <v>1268024</v>
      </c>
      <c r="F70" s="27">
        <v>1292.75</v>
      </c>
      <c r="G70" s="28">
        <v>5.1999999999999998E-3</v>
      </c>
      <c r="H70" s="29"/>
      <c r="L70" s="3"/>
    </row>
    <row r="71" spans="2:16" ht="15.75" customHeight="1" x14ac:dyDescent="0.2">
      <c r="B71" s="25" t="s">
        <v>390</v>
      </c>
      <c r="C71" s="25" t="s">
        <v>391</v>
      </c>
      <c r="D71" s="25" t="s">
        <v>292</v>
      </c>
      <c r="E71" s="26">
        <v>159433</v>
      </c>
      <c r="F71" s="27">
        <v>1124.96</v>
      </c>
      <c r="G71" s="28">
        <v>4.5999999999999999E-3</v>
      </c>
      <c r="H71" s="29"/>
      <c r="L71" s="3"/>
    </row>
    <row r="72" spans="2:16" ht="15.75" customHeight="1" x14ac:dyDescent="0.2">
      <c r="B72" s="25" t="s">
        <v>723</v>
      </c>
      <c r="C72" s="25" t="s">
        <v>724</v>
      </c>
      <c r="D72" s="25" t="s">
        <v>692</v>
      </c>
      <c r="E72" s="26">
        <v>420210</v>
      </c>
      <c r="F72" s="27">
        <v>875.3</v>
      </c>
      <c r="G72" s="28">
        <v>3.5000000000000001E-3</v>
      </c>
      <c r="H72" s="29"/>
      <c r="L72" s="3"/>
    </row>
    <row r="73" spans="2:16" ht="15.75" customHeight="1" x14ac:dyDescent="0.2">
      <c r="B73" s="24" t="s">
        <v>93</v>
      </c>
      <c r="C73" s="24"/>
      <c r="D73" s="24"/>
      <c r="E73" s="30"/>
      <c r="F73" s="31">
        <v>228858.16</v>
      </c>
      <c r="G73" s="32">
        <v>0.92579999999999996</v>
      </c>
      <c r="H73" s="33"/>
      <c r="L73" s="3"/>
    </row>
    <row r="74" spans="2:16" ht="15.75" customHeight="1" x14ac:dyDescent="0.2">
      <c r="B74" s="24" t="s">
        <v>141</v>
      </c>
      <c r="C74" s="25"/>
      <c r="D74" s="25"/>
      <c r="E74" s="26"/>
      <c r="F74" s="27"/>
      <c r="G74" s="28"/>
      <c r="H74" s="29"/>
      <c r="L74" s="3"/>
    </row>
    <row r="75" spans="2:16" ht="15.75" customHeight="1" x14ac:dyDescent="0.2">
      <c r="B75" s="24" t="s">
        <v>93</v>
      </c>
      <c r="C75" s="25"/>
      <c r="D75" s="25"/>
      <c r="E75" s="26"/>
      <c r="F75" s="34" t="s">
        <v>95</v>
      </c>
      <c r="G75" s="35" t="s">
        <v>95</v>
      </c>
      <c r="H75" s="29"/>
      <c r="L75" s="5"/>
      <c r="M75" s="5"/>
      <c r="N75" s="6"/>
      <c r="O75" s="6"/>
      <c r="P75" s="5"/>
    </row>
    <row r="76" spans="2:16" ht="15.75" customHeight="1" x14ac:dyDescent="0.2">
      <c r="B76" s="25"/>
      <c r="C76" s="25"/>
      <c r="D76" s="25"/>
      <c r="E76" s="26"/>
      <c r="F76" s="27"/>
      <c r="G76" s="28"/>
      <c r="H76" s="29"/>
    </row>
    <row r="77" spans="2:16" ht="15.75" customHeight="1" x14ac:dyDescent="0.2">
      <c r="B77" s="36" t="s">
        <v>97</v>
      </c>
      <c r="C77" s="36"/>
      <c r="D77" s="36"/>
      <c r="E77" s="37"/>
      <c r="F77" s="31">
        <v>228858.16</v>
      </c>
      <c r="G77" s="32">
        <v>0.92579999999999996</v>
      </c>
      <c r="H77" s="33"/>
    </row>
    <row r="78" spans="2:16" ht="15.75" customHeight="1" x14ac:dyDescent="0.2">
      <c r="B78" s="25"/>
      <c r="C78" s="25"/>
      <c r="D78" s="25"/>
      <c r="E78" s="26"/>
      <c r="F78" s="27"/>
      <c r="G78" s="28"/>
      <c r="H78" s="29"/>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24" t="s">
        <v>100</v>
      </c>
      <c r="C80" s="25"/>
      <c r="D80" s="25"/>
      <c r="E80" s="26"/>
      <c r="F80" s="27"/>
      <c r="G80" s="28"/>
      <c r="H80" s="29"/>
      <c r="L80" s="7"/>
      <c r="M80" s="7"/>
      <c r="N80" s="7"/>
      <c r="O80" s="7"/>
      <c r="P80" s="7"/>
    </row>
    <row r="81" spans="2:16" ht="15.75" customHeight="1" x14ac:dyDescent="0.2">
      <c r="B81" s="25" t="s">
        <v>101</v>
      </c>
      <c r="C81" s="25"/>
      <c r="D81" s="25"/>
      <c r="E81" s="26"/>
      <c r="F81" s="27">
        <v>14150.17</v>
      </c>
      <c r="G81" s="28">
        <v>5.7200000000000001E-2</v>
      </c>
      <c r="H81" s="29"/>
      <c r="L81" s="7"/>
      <c r="M81" s="7"/>
      <c r="N81" s="7"/>
      <c r="O81" s="7"/>
      <c r="P81" s="7"/>
    </row>
    <row r="82" spans="2:16" ht="15.75" customHeight="1" x14ac:dyDescent="0.2">
      <c r="B82" s="24" t="s">
        <v>93</v>
      </c>
      <c r="C82" s="24"/>
      <c r="D82" s="24"/>
      <c r="E82" s="30"/>
      <c r="F82" s="31">
        <v>14150.17</v>
      </c>
      <c r="G82" s="32">
        <v>5.7200000000000001E-2</v>
      </c>
      <c r="H82" s="33"/>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36" t="s">
        <v>97</v>
      </c>
      <c r="C84" s="36"/>
      <c r="D84" s="36"/>
      <c r="E84" s="37"/>
      <c r="F84" s="31">
        <v>14150.17</v>
      </c>
      <c r="G84" s="32">
        <v>5.7200000000000001E-2</v>
      </c>
      <c r="H84" s="33"/>
      <c r="L84" s="7"/>
      <c r="M84" s="7"/>
      <c r="N84" s="7"/>
      <c r="O84" s="7"/>
      <c r="P84" s="7"/>
    </row>
    <row r="85" spans="2:16" ht="15.75" customHeight="1" x14ac:dyDescent="0.2">
      <c r="B85" s="25" t="s">
        <v>102</v>
      </c>
      <c r="C85" s="25"/>
      <c r="D85" s="25"/>
      <c r="E85" s="26"/>
      <c r="F85" s="27">
        <v>4179.59</v>
      </c>
      <c r="G85" s="28">
        <v>1.7000000000000015E-2</v>
      </c>
      <c r="H85" s="29"/>
    </row>
    <row r="86" spans="2:16" ht="15.75" customHeight="1" x14ac:dyDescent="0.2">
      <c r="B86" s="40" t="s">
        <v>103</v>
      </c>
      <c r="C86" s="40"/>
      <c r="D86" s="40"/>
      <c r="E86" s="41"/>
      <c r="F86" s="42">
        <v>247187.92</v>
      </c>
      <c r="G86" s="43">
        <v>1</v>
      </c>
      <c r="H86" s="44"/>
      <c r="L86" s="3"/>
    </row>
    <row r="87" spans="2:16" ht="15.75" customHeight="1" thickBot="1" x14ac:dyDescent="0.25">
      <c r="B87" s="2"/>
    </row>
    <row r="88" spans="2:16" ht="27" customHeight="1" thickBot="1" x14ac:dyDescent="0.25">
      <c r="B88" s="57" t="s">
        <v>806</v>
      </c>
      <c r="C88" s="58" t="s">
        <v>807</v>
      </c>
      <c r="D88" s="58" t="s">
        <v>808</v>
      </c>
      <c r="E88" s="59" t="s">
        <v>809</v>
      </c>
      <c r="G88" s="2"/>
      <c r="H88" s="2"/>
    </row>
    <row r="89" spans="2:16" ht="27.75" customHeight="1" x14ac:dyDescent="0.2">
      <c r="B89" s="68" t="s">
        <v>63</v>
      </c>
      <c r="C89" s="83"/>
      <c r="D89" s="86" t="s">
        <v>872</v>
      </c>
      <c r="E89" s="88"/>
      <c r="G89" s="2"/>
      <c r="H89" s="2"/>
    </row>
    <row r="90" spans="2:16" ht="31.5" customHeight="1" x14ac:dyDescent="0.2">
      <c r="B90" s="61" t="s">
        <v>873</v>
      </c>
      <c r="C90" s="84"/>
      <c r="D90" s="87"/>
      <c r="E90" s="84"/>
      <c r="G90" s="2"/>
      <c r="H90" s="2"/>
    </row>
    <row r="91" spans="2:16" ht="39.950000000000003" customHeight="1" x14ac:dyDescent="0.2">
      <c r="B91" s="61" t="s">
        <v>874</v>
      </c>
      <c r="C91" s="84"/>
      <c r="D91" s="87"/>
      <c r="E91" s="84"/>
      <c r="G91" s="2"/>
      <c r="H91" s="2"/>
    </row>
    <row r="92" spans="2:16" ht="21.75" customHeight="1" thickBot="1" x14ac:dyDescent="0.25">
      <c r="B92" s="62" t="s">
        <v>831</v>
      </c>
      <c r="C92" s="85"/>
      <c r="D92" s="70" t="s">
        <v>831</v>
      </c>
      <c r="E92" s="89"/>
      <c r="G92" s="2"/>
      <c r="H92" s="2"/>
    </row>
    <row r="93" spans="2:16" ht="24.95" customHeight="1" x14ac:dyDescent="0.2">
      <c r="B93" s="64" t="s">
        <v>815</v>
      </c>
      <c r="C93" s="65"/>
      <c r="D93" s="66"/>
      <c r="E93" s="67"/>
      <c r="G93" s="2"/>
      <c r="H93" s="2"/>
    </row>
    <row r="95" spans="2:16" ht="12" x14ac:dyDescent="0.2">
      <c r="B95" s="2" t="s">
        <v>816</v>
      </c>
      <c r="C95" s="2"/>
      <c r="D95" s="2"/>
      <c r="G95" s="2"/>
      <c r="H95" s="2"/>
    </row>
    <row r="96" spans="2:16" ht="12" x14ac:dyDescent="0.2">
      <c r="B96" s="3" t="s">
        <v>817</v>
      </c>
      <c r="C96" s="2"/>
      <c r="D96" s="2"/>
      <c r="G96" s="2"/>
      <c r="H96" s="2"/>
    </row>
  </sheetData>
  <mergeCells count="3">
    <mergeCell ref="C89:C92"/>
    <mergeCell ref="D89:D91"/>
    <mergeCell ref="E89:E92"/>
  </mergeCells>
  <hyperlinks>
    <hyperlink ref="I1" location="'Sheet1'!A1" display="Index" xr:uid="{4D13D7F8-AB5D-4931-B8B3-1FB1D5AB225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425EB-B1B3-4C3B-AE22-239C45791CA2}">
  <dimension ref="B1:P102"/>
  <sheetViews>
    <sheetView workbookViewId="0"/>
  </sheetViews>
  <sheetFormatPr defaultColWidth="9.140625" defaultRowHeight="15.75" customHeight="1" x14ac:dyDescent="0.2"/>
  <cols>
    <col min="1" max="1" width="3.5703125" style="2" customWidth="1"/>
    <col min="2" max="2" width="50.42578125" style="9" customWidth="1"/>
    <col min="3" max="3" width="25.42578125" style="9" customWidth="1"/>
    <col min="4" max="4" width="26.5703125" style="9" customWidth="1"/>
    <col min="5" max="5" width="28.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210896</v>
      </c>
      <c r="F7" s="27">
        <v>3604.74</v>
      </c>
      <c r="G7" s="28">
        <v>4.4400000000000002E-2</v>
      </c>
      <c r="H7" s="29"/>
    </row>
    <row r="8" spans="2:9" ht="15.75" customHeight="1" x14ac:dyDescent="0.2">
      <c r="B8" s="25" t="s">
        <v>304</v>
      </c>
      <c r="C8" s="25" t="s">
        <v>305</v>
      </c>
      <c r="D8" s="25" t="s">
        <v>176</v>
      </c>
      <c r="E8" s="26">
        <v>799923</v>
      </c>
      <c r="F8" s="27">
        <v>3060.51</v>
      </c>
      <c r="G8" s="28">
        <v>3.7699999999999997E-2</v>
      </c>
      <c r="H8" s="29"/>
    </row>
    <row r="9" spans="2:9" ht="15.75" customHeight="1" x14ac:dyDescent="0.2">
      <c r="B9" s="25" t="s">
        <v>119</v>
      </c>
      <c r="C9" s="25" t="s">
        <v>120</v>
      </c>
      <c r="D9" s="25" t="s">
        <v>121</v>
      </c>
      <c r="E9" s="26">
        <v>305293</v>
      </c>
      <c r="F9" s="27">
        <v>3042.55</v>
      </c>
      <c r="G9" s="28">
        <v>3.7499999999999999E-2</v>
      </c>
      <c r="H9" s="29"/>
    </row>
    <row r="10" spans="2:9" ht="15.75" customHeight="1" x14ac:dyDescent="0.2">
      <c r="B10" s="25" t="s">
        <v>256</v>
      </c>
      <c r="C10" s="25" t="s">
        <v>257</v>
      </c>
      <c r="D10" s="25" t="s">
        <v>121</v>
      </c>
      <c r="E10" s="26">
        <v>301924</v>
      </c>
      <c r="F10" s="27">
        <v>1938.5</v>
      </c>
      <c r="G10" s="28">
        <v>2.3900000000000001E-2</v>
      </c>
      <c r="H10" s="29"/>
    </row>
    <row r="11" spans="2:9" ht="15.75" customHeight="1" x14ac:dyDescent="0.2">
      <c r="B11" s="25" t="s">
        <v>130</v>
      </c>
      <c r="C11" s="25" t="s">
        <v>131</v>
      </c>
      <c r="D11" s="25" t="s">
        <v>132</v>
      </c>
      <c r="E11" s="26">
        <v>63641</v>
      </c>
      <c r="F11" s="27">
        <v>1645.09</v>
      </c>
      <c r="G11" s="28">
        <v>2.0299999999999999E-2</v>
      </c>
      <c r="H11" s="29"/>
    </row>
    <row r="12" spans="2:9" ht="15.75" customHeight="1" x14ac:dyDescent="0.2">
      <c r="B12" s="25" t="s">
        <v>224</v>
      </c>
      <c r="C12" s="25" t="s">
        <v>225</v>
      </c>
      <c r="D12" s="25" t="s">
        <v>226</v>
      </c>
      <c r="E12" s="26">
        <v>73410</v>
      </c>
      <c r="F12" s="27">
        <v>1567.16</v>
      </c>
      <c r="G12" s="28">
        <v>1.9300000000000001E-2</v>
      </c>
      <c r="H12" s="29"/>
    </row>
    <row r="13" spans="2:9" ht="15.75" customHeight="1" x14ac:dyDescent="0.2">
      <c r="B13" s="25" t="s">
        <v>184</v>
      </c>
      <c r="C13" s="25" t="s">
        <v>185</v>
      </c>
      <c r="D13" s="25" t="s">
        <v>121</v>
      </c>
      <c r="E13" s="26">
        <v>81201</v>
      </c>
      <c r="F13" s="27">
        <v>1549.4</v>
      </c>
      <c r="G13" s="28">
        <v>1.9099999999999999E-2</v>
      </c>
      <c r="H13" s="29"/>
    </row>
    <row r="14" spans="2:9" ht="15.75" customHeight="1" x14ac:dyDescent="0.2">
      <c r="B14" s="25" t="s">
        <v>122</v>
      </c>
      <c r="C14" s="25" t="s">
        <v>123</v>
      </c>
      <c r="D14" s="25" t="s">
        <v>124</v>
      </c>
      <c r="E14" s="26">
        <v>100403</v>
      </c>
      <c r="F14" s="27">
        <v>1549.12</v>
      </c>
      <c r="G14" s="28">
        <v>1.9099999999999999E-2</v>
      </c>
      <c r="H14" s="29"/>
    </row>
    <row r="15" spans="2:9" ht="15.75" customHeight="1" x14ac:dyDescent="0.2">
      <c r="B15" s="25" t="s">
        <v>331</v>
      </c>
      <c r="C15" s="25" t="s">
        <v>332</v>
      </c>
      <c r="D15" s="25" t="s">
        <v>121</v>
      </c>
      <c r="E15" s="26">
        <v>962789</v>
      </c>
      <c r="F15" s="27">
        <v>1503.4</v>
      </c>
      <c r="G15" s="28">
        <v>1.8499999999999999E-2</v>
      </c>
      <c r="H15" s="29"/>
    </row>
    <row r="16" spans="2:9" ht="15.75" customHeight="1" x14ac:dyDescent="0.2">
      <c r="B16" s="25" t="s">
        <v>290</v>
      </c>
      <c r="C16" s="25" t="s">
        <v>291</v>
      </c>
      <c r="D16" s="25" t="s">
        <v>292</v>
      </c>
      <c r="E16" s="26">
        <v>821310</v>
      </c>
      <c r="F16" s="27">
        <v>1405.67</v>
      </c>
      <c r="G16" s="28">
        <v>1.7299999999999999E-2</v>
      </c>
      <c r="H16" s="29"/>
    </row>
    <row r="17" spans="2:8" ht="15.75" customHeight="1" x14ac:dyDescent="0.2">
      <c r="B17" s="25" t="s">
        <v>235</v>
      </c>
      <c r="C17" s="25" t="s">
        <v>236</v>
      </c>
      <c r="D17" s="25" t="s">
        <v>237</v>
      </c>
      <c r="E17" s="26">
        <v>24345</v>
      </c>
      <c r="F17" s="27">
        <v>1388.66</v>
      </c>
      <c r="G17" s="28">
        <v>1.7100000000000001E-2</v>
      </c>
      <c r="H17" s="29"/>
    </row>
    <row r="18" spans="2:8" ht="15.75" customHeight="1" x14ac:dyDescent="0.2">
      <c r="B18" s="25" t="s">
        <v>390</v>
      </c>
      <c r="C18" s="25" t="s">
        <v>391</v>
      </c>
      <c r="D18" s="25" t="s">
        <v>292</v>
      </c>
      <c r="E18" s="26">
        <v>194311</v>
      </c>
      <c r="F18" s="27">
        <v>1371.06</v>
      </c>
      <c r="G18" s="28">
        <v>1.6899999999999998E-2</v>
      </c>
      <c r="H18" s="29"/>
    </row>
    <row r="19" spans="2:8" ht="15.75" customHeight="1" x14ac:dyDescent="0.2">
      <c r="B19" s="25" t="s">
        <v>337</v>
      </c>
      <c r="C19" s="25" t="s">
        <v>338</v>
      </c>
      <c r="D19" s="25" t="s">
        <v>298</v>
      </c>
      <c r="E19" s="26">
        <v>109811</v>
      </c>
      <c r="F19" s="27">
        <v>1359.84</v>
      </c>
      <c r="G19" s="28">
        <v>1.67E-2</v>
      </c>
      <c r="H19" s="29"/>
    </row>
    <row r="20" spans="2:8" ht="15.75" customHeight="1" x14ac:dyDescent="0.2">
      <c r="B20" s="25" t="s">
        <v>356</v>
      </c>
      <c r="C20" s="25" t="s">
        <v>357</v>
      </c>
      <c r="D20" s="25" t="s">
        <v>274</v>
      </c>
      <c r="E20" s="26">
        <v>281645</v>
      </c>
      <c r="F20" s="27">
        <v>1325.7</v>
      </c>
      <c r="G20" s="28">
        <v>1.6299999999999999E-2</v>
      </c>
      <c r="H20" s="29"/>
    </row>
    <row r="21" spans="2:8" ht="15.75" customHeight="1" x14ac:dyDescent="0.2">
      <c r="B21" s="25" t="s">
        <v>505</v>
      </c>
      <c r="C21" s="25" t="s">
        <v>506</v>
      </c>
      <c r="D21" s="25" t="s">
        <v>404</v>
      </c>
      <c r="E21" s="26">
        <v>159334</v>
      </c>
      <c r="F21" s="27">
        <v>1314.19</v>
      </c>
      <c r="G21" s="28">
        <v>1.6199999999999999E-2</v>
      </c>
      <c r="H21" s="29"/>
    </row>
    <row r="22" spans="2:8" ht="15.75" customHeight="1" x14ac:dyDescent="0.2">
      <c r="B22" s="25" t="s">
        <v>139</v>
      </c>
      <c r="C22" s="25" t="s">
        <v>140</v>
      </c>
      <c r="D22" s="25" t="s">
        <v>124</v>
      </c>
      <c r="E22" s="26">
        <v>20875</v>
      </c>
      <c r="F22" s="27">
        <v>1314.07</v>
      </c>
      <c r="G22" s="28">
        <v>1.6199999999999999E-2</v>
      </c>
      <c r="H22" s="29"/>
    </row>
    <row r="23" spans="2:8" ht="15.75" customHeight="1" x14ac:dyDescent="0.2">
      <c r="B23" s="25" t="s">
        <v>136</v>
      </c>
      <c r="C23" s="25" t="s">
        <v>137</v>
      </c>
      <c r="D23" s="25" t="s">
        <v>138</v>
      </c>
      <c r="E23" s="26">
        <v>75530</v>
      </c>
      <c r="F23" s="27">
        <v>1306.22</v>
      </c>
      <c r="G23" s="28">
        <v>1.61E-2</v>
      </c>
      <c r="H23" s="29"/>
    </row>
    <row r="24" spans="2:8" ht="15.75" customHeight="1" x14ac:dyDescent="0.2">
      <c r="B24" s="25" t="s">
        <v>417</v>
      </c>
      <c r="C24" s="25" t="s">
        <v>418</v>
      </c>
      <c r="D24" s="25" t="s">
        <v>292</v>
      </c>
      <c r="E24" s="26">
        <v>52087</v>
      </c>
      <c r="F24" s="27">
        <v>1293.4000000000001</v>
      </c>
      <c r="G24" s="28">
        <v>1.5900000000000001E-2</v>
      </c>
      <c r="H24" s="29"/>
    </row>
    <row r="25" spans="2:8" ht="15.75" customHeight="1" x14ac:dyDescent="0.2">
      <c r="B25" s="25" t="s">
        <v>405</v>
      </c>
      <c r="C25" s="25" t="s">
        <v>406</v>
      </c>
      <c r="D25" s="25" t="s">
        <v>161</v>
      </c>
      <c r="E25" s="26">
        <v>102728</v>
      </c>
      <c r="F25" s="27">
        <v>1285.8</v>
      </c>
      <c r="G25" s="28">
        <v>1.5800000000000002E-2</v>
      </c>
      <c r="H25" s="29"/>
    </row>
    <row r="26" spans="2:8" ht="15.75" customHeight="1" x14ac:dyDescent="0.2">
      <c r="B26" s="25" t="s">
        <v>409</v>
      </c>
      <c r="C26" s="25" t="s">
        <v>410</v>
      </c>
      <c r="D26" s="25" t="s">
        <v>167</v>
      </c>
      <c r="E26" s="26">
        <v>528558</v>
      </c>
      <c r="F26" s="27">
        <v>1182.3800000000001</v>
      </c>
      <c r="G26" s="28">
        <v>1.46E-2</v>
      </c>
      <c r="H26" s="29"/>
    </row>
    <row r="27" spans="2:8" ht="15.75" customHeight="1" x14ac:dyDescent="0.2">
      <c r="B27" s="25" t="s">
        <v>346</v>
      </c>
      <c r="C27" s="25" t="s">
        <v>347</v>
      </c>
      <c r="D27" s="25" t="s">
        <v>191</v>
      </c>
      <c r="E27" s="26">
        <v>452721</v>
      </c>
      <c r="F27" s="27">
        <v>1177.3</v>
      </c>
      <c r="G27" s="28">
        <v>1.4500000000000001E-2</v>
      </c>
      <c r="H27" s="29"/>
    </row>
    <row r="28" spans="2:8" ht="15.75" customHeight="1" x14ac:dyDescent="0.2">
      <c r="B28" s="25" t="s">
        <v>272</v>
      </c>
      <c r="C28" s="25" t="s">
        <v>273</v>
      </c>
      <c r="D28" s="25" t="s">
        <v>274</v>
      </c>
      <c r="E28" s="26">
        <v>1150522</v>
      </c>
      <c r="F28" s="27">
        <v>1172.96</v>
      </c>
      <c r="G28" s="28">
        <v>1.44E-2</v>
      </c>
      <c r="H28" s="29"/>
    </row>
    <row r="29" spans="2:8" ht="15.75" customHeight="1" x14ac:dyDescent="0.2">
      <c r="B29" s="25" t="s">
        <v>725</v>
      </c>
      <c r="C29" s="25" t="s">
        <v>726</v>
      </c>
      <c r="D29" s="25" t="s">
        <v>176</v>
      </c>
      <c r="E29" s="26">
        <v>33233</v>
      </c>
      <c r="F29" s="27">
        <v>1165.9100000000001</v>
      </c>
      <c r="G29" s="28">
        <v>1.44E-2</v>
      </c>
      <c r="H29" s="29"/>
    </row>
    <row r="30" spans="2:8" ht="15.75" customHeight="1" x14ac:dyDescent="0.2">
      <c r="B30" s="25" t="s">
        <v>453</v>
      </c>
      <c r="C30" s="25" t="s">
        <v>454</v>
      </c>
      <c r="D30" s="25" t="s">
        <v>164</v>
      </c>
      <c r="E30" s="26">
        <v>461524</v>
      </c>
      <c r="F30" s="27">
        <v>1151.5</v>
      </c>
      <c r="G30" s="28">
        <v>1.4200000000000001E-2</v>
      </c>
      <c r="H30" s="29"/>
    </row>
    <row r="31" spans="2:8" ht="15.75" customHeight="1" x14ac:dyDescent="0.2">
      <c r="B31" s="25" t="s">
        <v>473</v>
      </c>
      <c r="C31" s="25" t="s">
        <v>474</v>
      </c>
      <c r="D31" s="25" t="s">
        <v>274</v>
      </c>
      <c r="E31" s="26">
        <v>165956</v>
      </c>
      <c r="F31" s="27">
        <v>1141.2</v>
      </c>
      <c r="G31" s="28">
        <v>1.41E-2</v>
      </c>
      <c r="H31" s="29"/>
    </row>
    <row r="32" spans="2:8" ht="15.75" customHeight="1" x14ac:dyDescent="0.2">
      <c r="B32" s="25" t="s">
        <v>275</v>
      </c>
      <c r="C32" s="25" t="s">
        <v>276</v>
      </c>
      <c r="D32" s="25" t="s">
        <v>138</v>
      </c>
      <c r="E32" s="26">
        <v>27516</v>
      </c>
      <c r="F32" s="27">
        <v>1139.04</v>
      </c>
      <c r="G32" s="28">
        <v>1.4E-2</v>
      </c>
      <c r="H32" s="29"/>
    </row>
    <row r="33" spans="2:8" ht="15.75" customHeight="1" x14ac:dyDescent="0.2">
      <c r="B33" s="25" t="s">
        <v>264</v>
      </c>
      <c r="C33" s="25" t="s">
        <v>265</v>
      </c>
      <c r="D33" s="25" t="s">
        <v>138</v>
      </c>
      <c r="E33" s="26">
        <v>10844</v>
      </c>
      <c r="F33" s="27">
        <v>1117.19</v>
      </c>
      <c r="G33" s="28">
        <v>1.38E-2</v>
      </c>
      <c r="H33" s="29"/>
    </row>
    <row r="34" spans="2:8" ht="15.75" customHeight="1" x14ac:dyDescent="0.2">
      <c r="B34" s="25" t="s">
        <v>350</v>
      </c>
      <c r="C34" s="25" t="s">
        <v>351</v>
      </c>
      <c r="D34" s="25" t="s">
        <v>298</v>
      </c>
      <c r="E34" s="26">
        <v>34335</v>
      </c>
      <c r="F34" s="27">
        <v>1115.7</v>
      </c>
      <c r="G34" s="28">
        <v>1.37E-2</v>
      </c>
      <c r="H34" s="29"/>
    </row>
    <row r="35" spans="2:8" ht="15.75" customHeight="1" x14ac:dyDescent="0.2">
      <c r="B35" s="25" t="s">
        <v>564</v>
      </c>
      <c r="C35" s="25" t="s">
        <v>565</v>
      </c>
      <c r="D35" s="25" t="s">
        <v>197</v>
      </c>
      <c r="E35" s="26">
        <v>195752</v>
      </c>
      <c r="F35" s="27">
        <v>1103.55</v>
      </c>
      <c r="G35" s="28">
        <v>1.3599999999999999E-2</v>
      </c>
      <c r="H35" s="29"/>
    </row>
    <row r="36" spans="2:8" ht="15.75" customHeight="1" x14ac:dyDescent="0.2">
      <c r="B36" s="25" t="s">
        <v>442</v>
      </c>
      <c r="C36" s="25" t="s">
        <v>443</v>
      </c>
      <c r="D36" s="25" t="s">
        <v>173</v>
      </c>
      <c r="E36" s="26">
        <v>437266</v>
      </c>
      <c r="F36" s="27">
        <v>1099.94</v>
      </c>
      <c r="G36" s="28">
        <v>1.35E-2</v>
      </c>
      <c r="H36" s="29"/>
    </row>
    <row r="37" spans="2:8" ht="15.75" customHeight="1" x14ac:dyDescent="0.2">
      <c r="B37" s="25" t="s">
        <v>427</v>
      </c>
      <c r="C37" s="25" t="s">
        <v>428</v>
      </c>
      <c r="D37" s="25" t="s">
        <v>209</v>
      </c>
      <c r="E37" s="26">
        <v>91180</v>
      </c>
      <c r="F37" s="27">
        <v>1094.6199999999999</v>
      </c>
      <c r="G37" s="28">
        <v>1.35E-2</v>
      </c>
      <c r="H37" s="29"/>
    </row>
    <row r="38" spans="2:8" ht="15.75" customHeight="1" x14ac:dyDescent="0.2">
      <c r="B38" s="25" t="s">
        <v>258</v>
      </c>
      <c r="C38" s="25" t="s">
        <v>259</v>
      </c>
      <c r="D38" s="25" t="s">
        <v>121</v>
      </c>
      <c r="E38" s="26">
        <v>97555</v>
      </c>
      <c r="F38" s="27">
        <v>1075.3499999999999</v>
      </c>
      <c r="G38" s="28">
        <v>1.32E-2</v>
      </c>
      <c r="H38" s="29"/>
    </row>
    <row r="39" spans="2:8" ht="15.75" customHeight="1" x14ac:dyDescent="0.2">
      <c r="B39" s="25" t="s">
        <v>671</v>
      </c>
      <c r="C39" s="25" t="s">
        <v>672</v>
      </c>
      <c r="D39" s="25" t="s">
        <v>320</v>
      </c>
      <c r="E39" s="26">
        <v>770838</v>
      </c>
      <c r="F39" s="27">
        <v>1073.3900000000001</v>
      </c>
      <c r="G39" s="28">
        <v>1.32E-2</v>
      </c>
      <c r="H39" s="29"/>
    </row>
    <row r="40" spans="2:8" ht="15.75" customHeight="1" x14ac:dyDescent="0.2">
      <c r="B40" s="25" t="s">
        <v>329</v>
      </c>
      <c r="C40" s="25" t="s">
        <v>330</v>
      </c>
      <c r="D40" s="25" t="s">
        <v>188</v>
      </c>
      <c r="E40" s="26">
        <v>28390</v>
      </c>
      <c r="F40" s="27">
        <v>1043.46</v>
      </c>
      <c r="G40" s="28">
        <v>1.29E-2</v>
      </c>
      <c r="H40" s="29"/>
    </row>
    <row r="41" spans="2:8" ht="15.75" customHeight="1" x14ac:dyDescent="0.2">
      <c r="B41" s="25" t="s">
        <v>596</v>
      </c>
      <c r="C41" s="25" t="s">
        <v>597</v>
      </c>
      <c r="D41" s="25" t="s">
        <v>191</v>
      </c>
      <c r="E41" s="26">
        <v>19736</v>
      </c>
      <c r="F41" s="27">
        <v>1038.97</v>
      </c>
      <c r="G41" s="28">
        <v>1.2800000000000001E-2</v>
      </c>
      <c r="H41" s="29"/>
    </row>
    <row r="42" spans="2:8" ht="15.75" customHeight="1" x14ac:dyDescent="0.2">
      <c r="B42" s="25" t="s">
        <v>600</v>
      </c>
      <c r="C42" s="25" t="s">
        <v>601</v>
      </c>
      <c r="D42" s="25" t="s">
        <v>191</v>
      </c>
      <c r="E42" s="26">
        <v>187961</v>
      </c>
      <c r="F42" s="27">
        <v>1035.8499999999999</v>
      </c>
      <c r="G42" s="28">
        <v>1.2800000000000001E-2</v>
      </c>
      <c r="H42" s="29"/>
    </row>
    <row r="43" spans="2:8" ht="15.75" customHeight="1" x14ac:dyDescent="0.2">
      <c r="B43" s="25" t="s">
        <v>622</v>
      </c>
      <c r="C43" s="25" t="s">
        <v>623</v>
      </c>
      <c r="D43" s="25" t="s">
        <v>188</v>
      </c>
      <c r="E43" s="26">
        <v>124877</v>
      </c>
      <c r="F43" s="27">
        <v>1026.6099999999999</v>
      </c>
      <c r="G43" s="28">
        <v>1.26E-2</v>
      </c>
      <c r="H43" s="29"/>
    </row>
    <row r="44" spans="2:8" ht="15.75" customHeight="1" x14ac:dyDescent="0.2">
      <c r="B44" s="25" t="s">
        <v>285</v>
      </c>
      <c r="C44" s="25" t="s">
        <v>286</v>
      </c>
      <c r="D44" s="25" t="s">
        <v>173</v>
      </c>
      <c r="E44" s="26">
        <v>40761</v>
      </c>
      <c r="F44" s="27">
        <v>1010.57</v>
      </c>
      <c r="G44" s="28">
        <v>1.24E-2</v>
      </c>
      <c r="H44" s="29"/>
    </row>
    <row r="45" spans="2:8" ht="15.75" customHeight="1" x14ac:dyDescent="0.2">
      <c r="B45" s="25" t="s">
        <v>590</v>
      </c>
      <c r="C45" s="25" t="s">
        <v>591</v>
      </c>
      <c r="D45" s="25" t="s">
        <v>298</v>
      </c>
      <c r="E45" s="26">
        <v>71265</v>
      </c>
      <c r="F45" s="27">
        <v>999.06</v>
      </c>
      <c r="G45" s="28">
        <v>1.23E-2</v>
      </c>
      <c r="H45" s="29"/>
    </row>
    <row r="46" spans="2:8" ht="15.75" customHeight="1" x14ac:dyDescent="0.2">
      <c r="B46" s="25" t="s">
        <v>423</v>
      </c>
      <c r="C46" s="25" t="s">
        <v>424</v>
      </c>
      <c r="D46" s="25" t="s">
        <v>194</v>
      </c>
      <c r="E46" s="26">
        <v>43231</v>
      </c>
      <c r="F46" s="27">
        <v>996.71</v>
      </c>
      <c r="G46" s="28">
        <v>1.23E-2</v>
      </c>
      <c r="H46" s="29"/>
    </row>
    <row r="47" spans="2:8" ht="15.75" customHeight="1" x14ac:dyDescent="0.2">
      <c r="B47" s="25" t="s">
        <v>157</v>
      </c>
      <c r="C47" s="25" t="s">
        <v>158</v>
      </c>
      <c r="D47" s="25" t="s">
        <v>129</v>
      </c>
      <c r="E47" s="26">
        <v>215041</v>
      </c>
      <c r="F47" s="27">
        <v>993.7</v>
      </c>
      <c r="G47" s="28">
        <v>1.2200000000000001E-2</v>
      </c>
      <c r="H47" s="29"/>
    </row>
    <row r="48" spans="2:8" ht="15.75" customHeight="1" x14ac:dyDescent="0.2">
      <c r="B48" s="25" t="s">
        <v>348</v>
      </c>
      <c r="C48" s="25" t="s">
        <v>349</v>
      </c>
      <c r="D48" s="25" t="s">
        <v>124</v>
      </c>
      <c r="E48" s="26">
        <v>15656</v>
      </c>
      <c r="F48" s="27">
        <v>982.32</v>
      </c>
      <c r="G48" s="28">
        <v>1.21E-2</v>
      </c>
      <c r="H48" s="29"/>
    </row>
    <row r="49" spans="2:8" ht="15.75" customHeight="1" x14ac:dyDescent="0.2">
      <c r="B49" s="25" t="s">
        <v>370</v>
      </c>
      <c r="C49" s="25" t="s">
        <v>371</v>
      </c>
      <c r="D49" s="25" t="s">
        <v>176</v>
      </c>
      <c r="E49" s="26">
        <v>590940</v>
      </c>
      <c r="F49" s="27">
        <v>975.35</v>
      </c>
      <c r="G49" s="28">
        <v>1.2E-2</v>
      </c>
      <c r="H49" s="29"/>
    </row>
    <row r="50" spans="2:8" ht="15.75" customHeight="1" x14ac:dyDescent="0.2">
      <c r="B50" s="25" t="s">
        <v>323</v>
      </c>
      <c r="C50" s="25" t="s">
        <v>324</v>
      </c>
      <c r="D50" s="25" t="s">
        <v>167</v>
      </c>
      <c r="E50" s="26">
        <v>780873</v>
      </c>
      <c r="F50" s="27">
        <v>965.94</v>
      </c>
      <c r="G50" s="28">
        <v>1.1900000000000001E-2</v>
      </c>
      <c r="H50" s="29"/>
    </row>
    <row r="51" spans="2:8" ht="15.75" customHeight="1" x14ac:dyDescent="0.2">
      <c r="B51" s="25" t="s">
        <v>626</v>
      </c>
      <c r="C51" s="25" t="s">
        <v>627</v>
      </c>
      <c r="D51" s="25" t="s">
        <v>173</v>
      </c>
      <c r="E51" s="26">
        <v>24985</v>
      </c>
      <c r="F51" s="27">
        <v>962.72</v>
      </c>
      <c r="G51" s="28">
        <v>1.1900000000000001E-2</v>
      </c>
      <c r="H51" s="29"/>
    </row>
    <row r="52" spans="2:8" ht="15.75" customHeight="1" x14ac:dyDescent="0.2">
      <c r="B52" s="25" t="s">
        <v>321</v>
      </c>
      <c r="C52" s="25" t="s">
        <v>322</v>
      </c>
      <c r="D52" s="25" t="s">
        <v>194</v>
      </c>
      <c r="E52" s="26">
        <v>681124</v>
      </c>
      <c r="F52" s="27">
        <v>945.74</v>
      </c>
      <c r="G52" s="28">
        <v>1.1599999999999999E-2</v>
      </c>
      <c r="H52" s="29"/>
    </row>
    <row r="53" spans="2:8" ht="15.75" customHeight="1" x14ac:dyDescent="0.2">
      <c r="B53" s="25" t="s">
        <v>343</v>
      </c>
      <c r="C53" s="25" t="s">
        <v>344</v>
      </c>
      <c r="D53" s="25" t="s">
        <v>345</v>
      </c>
      <c r="E53" s="26">
        <v>112631</v>
      </c>
      <c r="F53" s="27">
        <v>926.73</v>
      </c>
      <c r="G53" s="28">
        <v>1.14E-2</v>
      </c>
      <c r="H53" s="29"/>
    </row>
    <row r="54" spans="2:8" ht="15.75" customHeight="1" x14ac:dyDescent="0.2">
      <c r="B54" s="25" t="s">
        <v>372</v>
      </c>
      <c r="C54" s="25" t="s">
        <v>373</v>
      </c>
      <c r="D54" s="25" t="s">
        <v>121</v>
      </c>
      <c r="E54" s="26">
        <v>678918</v>
      </c>
      <c r="F54" s="27">
        <v>901.94</v>
      </c>
      <c r="G54" s="28">
        <v>1.11E-2</v>
      </c>
      <c r="H54" s="29"/>
    </row>
    <row r="55" spans="2:8" ht="15.75" customHeight="1" x14ac:dyDescent="0.2">
      <c r="B55" s="25" t="s">
        <v>262</v>
      </c>
      <c r="C55" s="25" t="s">
        <v>263</v>
      </c>
      <c r="D55" s="25" t="s">
        <v>124</v>
      </c>
      <c r="E55" s="26">
        <v>61125</v>
      </c>
      <c r="F55" s="27">
        <v>896.15</v>
      </c>
      <c r="G55" s="28">
        <v>1.0999999999999999E-2</v>
      </c>
      <c r="H55" s="29"/>
    </row>
    <row r="56" spans="2:8" ht="15.75" customHeight="1" x14ac:dyDescent="0.2">
      <c r="B56" s="25" t="s">
        <v>713</v>
      </c>
      <c r="C56" s="25" t="s">
        <v>714</v>
      </c>
      <c r="D56" s="25" t="s">
        <v>209</v>
      </c>
      <c r="E56" s="26">
        <v>190216</v>
      </c>
      <c r="F56" s="27">
        <v>877.85</v>
      </c>
      <c r="G56" s="28">
        <v>1.0800000000000001E-2</v>
      </c>
      <c r="H56" s="29"/>
    </row>
    <row r="57" spans="2:8" ht="15.75" customHeight="1" x14ac:dyDescent="0.2">
      <c r="B57" s="25" t="s">
        <v>721</v>
      </c>
      <c r="C57" s="25" t="s">
        <v>722</v>
      </c>
      <c r="D57" s="25" t="s">
        <v>188</v>
      </c>
      <c r="E57" s="26">
        <v>65732</v>
      </c>
      <c r="F57" s="27">
        <v>855.63</v>
      </c>
      <c r="G57" s="28">
        <v>1.0500000000000001E-2</v>
      </c>
      <c r="H57" s="29"/>
    </row>
    <row r="58" spans="2:8" ht="15.75" customHeight="1" x14ac:dyDescent="0.2">
      <c r="B58" s="25" t="s">
        <v>715</v>
      </c>
      <c r="C58" s="25" t="s">
        <v>716</v>
      </c>
      <c r="D58" s="25" t="s">
        <v>188</v>
      </c>
      <c r="E58" s="26">
        <v>244000</v>
      </c>
      <c r="F58" s="27">
        <v>813.13</v>
      </c>
      <c r="G58" s="28">
        <v>0.01</v>
      </c>
      <c r="H58" s="29"/>
    </row>
    <row r="59" spans="2:8" ht="15.75" customHeight="1" x14ac:dyDescent="0.2">
      <c r="B59" s="25" t="s">
        <v>727</v>
      </c>
      <c r="C59" s="25" t="s">
        <v>728</v>
      </c>
      <c r="D59" s="25" t="s">
        <v>188</v>
      </c>
      <c r="E59" s="26">
        <v>102495</v>
      </c>
      <c r="F59" s="27">
        <v>806.79</v>
      </c>
      <c r="G59" s="28">
        <v>9.9000000000000008E-3</v>
      </c>
      <c r="H59" s="29"/>
    </row>
    <row r="60" spans="2:8" ht="15.75" customHeight="1" x14ac:dyDescent="0.2">
      <c r="B60" s="25" t="s">
        <v>729</v>
      </c>
      <c r="C60" s="25" t="s">
        <v>730</v>
      </c>
      <c r="D60" s="25" t="s">
        <v>573</v>
      </c>
      <c r="E60" s="26">
        <v>216463</v>
      </c>
      <c r="F60" s="27">
        <v>802.43</v>
      </c>
      <c r="G60" s="28">
        <v>9.9000000000000008E-3</v>
      </c>
      <c r="H60" s="29"/>
    </row>
    <row r="61" spans="2:8" ht="15.75" customHeight="1" x14ac:dyDescent="0.2">
      <c r="B61" s="25" t="s">
        <v>562</v>
      </c>
      <c r="C61" s="25" t="s">
        <v>563</v>
      </c>
      <c r="D61" s="25" t="s">
        <v>217</v>
      </c>
      <c r="E61" s="26">
        <v>123962</v>
      </c>
      <c r="F61" s="27">
        <v>798.01</v>
      </c>
      <c r="G61" s="28">
        <v>9.7999999999999997E-3</v>
      </c>
      <c r="H61" s="29"/>
    </row>
    <row r="62" spans="2:8" ht="15.75" customHeight="1" x14ac:dyDescent="0.2">
      <c r="B62" s="25" t="s">
        <v>396</v>
      </c>
      <c r="C62" s="25" t="s">
        <v>397</v>
      </c>
      <c r="D62" s="25" t="s">
        <v>274</v>
      </c>
      <c r="E62" s="26">
        <v>79612</v>
      </c>
      <c r="F62" s="27">
        <v>780.79</v>
      </c>
      <c r="G62" s="28">
        <v>9.5999999999999992E-3</v>
      </c>
      <c r="H62" s="29"/>
    </row>
    <row r="63" spans="2:8" ht="15.75" customHeight="1" x14ac:dyDescent="0.2">
      <c r="B63" s="25" t="s">
        <v>407</v>
      </c>
      <c r="C63" s="25" t="s">
        <v>408</v>
      </c>
      <c r="D63" s="25" t="s">
        <v>188</v>
      </c>
      <c r="E63" s="26">
        <v>151550</v>
      </c>
      <c r="F63" s="27">
        <v>771.24</v>
      </c>
      <c r="G63" s="28">
        <v>9.4999999999999998E-3</v>
      </c>
      <c r="H63" s="29"/>
    </row>
    <row r="64" spans="2:8" ht="15.75" customHeight="1" x14ac:dyDescent="0.2">
      <c r="B64" s="25" t="s">
        <v>268</v>
      </c>
      <c r="C64" s="25" t="s">
        <v>269</v>
      </c>
      <c r="D64" s="25" t="s">
        <v>194</v>
      </c>
      <c r="E64" s="26">
        <v>59632</v>
      </c>
      <c r="F64" s="27">
        <v>751.04</v>
      </c>
      <c r="G64" s="28">
        <v>9.2999999999999992E-3</v>
      </c>
      <c r="H64" s="29"/>
    </row>
    <row r="65" spans="2:16" ht="15.75" customHeight="1" x14ac:dyDescent="0.2">
      <c r="B65" s="25" t="s">
        <v>490</v>
      </c>
      <c r="C65" s="25" t="s">
        <v>491</v>
      </c>
      <c r="D65" s="25" t="s">
        <v>274</v>
      </c>
      <c r="E65" s="26">
        <v>28635</v>
      </c>
      <c r="F65" s="27">
        <v>735.5</v>
      </c>
      <c r="G65" s="28">
        <v>9.1000000000000004E-3</v>
      </c>
      <c r="H65" s="29"/>
    </row>
    <row r="66" spans="2:16" ht="15.75" customHeight="1" x14ac:dyDescent="0.2">
      <c r="B66" s="25" t="s">
        <v>731</v>
      </c>
      <c r="C66" s="25" t="s">
        <v>732</v>
      </c>
      <c r="D66" s="25" t="s">
        <v>298</v>
      </c>
      <c r="E66" s="26">
        <v>72607</v>
      </c>
      <c r="F66" s="27">
        <v>702.58</v>
      </c>
      <c r="G66" s="28">
        <v>8.6999999999999994E-3</v>
      </c>
      <c r="H66" s="29"/>
    </row>
    <row r="67" spans="2:16" ht="15.75" customHeight="1" x14ac:dyDescent="0.2">
      <c r="B67" s="25" t="s">
        <v>616</v>
      </c>
      <c r="C67" s="25" t="s">
        <v>617</v>
      </c>
      <c r="D67" s="25" t="s">
        <v>161</v>
      </c>
      <c r="E67" s="26">
        <v>120134</v>
      </c>
      <c r="F67" s="27">
        <v>669.03</v>
      </c>
      <c r="G67" s="28">
        <v>8.2000000000000007E-3</v>
      </c>
      <c r="H67" s="29"/>
    </row>
    <row r="68" spans="2:16" ht="15.75" customHeight="1" x14ac:dyDescent="0.2">
      <c r="B68" s="25" t="s">
        <v>481</v>
      </c>
      <c r="C68" s="25" t="s">
        <v>482</v>
      </c>
      <c r="D68" s="25" t="s">
        <v>483</v>
      </c>
      <c r="E68" s="26">
        <v>45920</v>
      </c>
      <c r="F68" s="27">
        <v>662.79</v>
      </c>
      <c r="G68" s="28">
        <v>8.2000000000000007E-3</v>
      </c>
      <c r="H68" s="29"/>
      <c r="L68" s="3"/>
    </row>
    <row r="69" spans="2:16" ht="15.75" customHeight="1" x14ac:dyDescent="0.2">
      <c r="B69" s="25" t="s">
        <v>733</v>
      </c>
      <c r="C69" s="25" t="s">
        <v>734</v>
      </c>
      <c r="D69" s="25" t="s">
        <v>121</v>
      </c>
      <c r="E69" s="26">
        <v>154189</v>
      </c>
      <c r="F69" s="27">
        <v>648.98</v>
      </c>
      <c r="G69" s="28">
        <v>8.0000000000000002E-3</v>
      </c>
      <c r="H69" s="29"/>
    </row>
    <row r="70" spans="2:16" ht="15.75" customHeight="1" x14ac:dyDescent="0.2">
      <c r="B70" s="25" t="s">
        <v>484</v>
      </c>
      <c r="C70" s="25" t="s">
        <v>485</v>
      </c>
      <c r="D70" s="25" t="s">
        <v>274</v>
      </c>
      <c r="E70" s="26">
        <v>20088</v>
      </c>
      <c r="F70" s="27">
        <v>643.41999999999996</v>
      </c>
      <c r="G70" s="28">
        <v>7.9000000000000008E-3</v>
      </c>
      <c r="H70" s="29"/>
      <c r="L70" s="3"/>
    </row>
    <row r="71" spans="2:16" ht="15.75" customHeight="1" x14ac:dyDescent="0.2">
      <c r="B71" s="25" t="s">
        <v>735</v>
      </c>
      <c r="C71" s="25" t="s">
        <v>736</v>
      </c>
      <c r="D71" s="25" t="s">
        <v>188</v>
      </c>
      <c r="E71" s="26">
        <v>45522</v>
      </c>
      <c r="F71" s="27">
        <v>622.22</v>
      </c>
      <c r="G71" s="28">
        <v>7.7000000000000002E-3</v>
      </c>
      <c r="H71" s="29"/>
      <c r="L71" s="3"/>
    </row>
    <row r="72" spans="2:16" ht="15.75" customHeight="1" x14ac:dyDescent="0.2">
      <c r="B72" s="25" t="s">
        <v>394</v>
      </c>
      <c r="C72" s="25" t="s">
        <v>395</v>
      </c>
      <c r="D72" s="25" t="s">
        <v>135</v>
      </c>
      <c r="E72" s="26">
        <v>73166</v>
      </c>
      <c r="F72" s="27">
        <v>399.56</v>
      </c>
      <c r="G72" s="28">
        <v>4.8999999999999998E-3</v>
      </c>
      <c r="H72" s="29"/>
      <c r="L72" s="3"/>
    </row>
    <row r="73" spans="2:16" ht="15.75" customHeight="1" x14ac:dyDescent="0.2">
      <c r="B73" s="25" t="s">
        <v>354</v>
      </c>
      <c r="C73" s="25" t="s">
        <v>355</v>
      </c>
      <c r="D73" s="25" t="s">
        <v>191</v>
      </c>
      <c r="E73" s="26">
        <v>56312</v>
      </c>
      <c r="F73" s="27">
        <v>389.71</v>
      </c>
      <c r="G73" s="28">
        <v>4.7999999999999996E-3</v>
      </c>
      <c r="H73" s="29"/>
      <c r="L73" s="3"/>
    </row>
    <row r="74" spans="2:16" ht="15.75" customHeight="1" x14ac:dyDescent="0.2">
      <c r="B74" s="25" t="s">
        <v>299</v>
      </c>
      <c r="C74" s="25" t="s">
        <v>300</v>
      </c>
      <c r="D74" s="25" t="s">
        <v>301</v>
      </c>
      <c r="E74" s="26">
        <v>21718</v>
      </c>
      <c r="F74" s="27">
        <v>260.61</v>
      </c>
      <c r="G74" s="28">
        <v>3.2000000000000002E-3</v>
      </c>
      <c r="H74" s="29"/>
      <c r="L74" s="3"/>
    </row>
    <row r="75" spans="2:16" ht="15.75" customHeight="1" x14ac:dyDescent="0.2">
      <c r="B75" s="25" t="s">
        <v>646</v>
      </c>
      <c r="C75" s="25" t="s">
        <v>647</v>
      </c>
      <c r="D75" s="25" t="s">
        <v>202</v>
      </c>
      <c r="E75" s="26">
        <v>61024</v>
      </c>
      <c r="F75" s="27">
        <v>81.040000000000006</v>
      </c>
      <c r="G75" s="28">
        <v>1E-3</v>
      </c>
      <c r="H75" s="29"/>
      <c r="L75" s="5"/>
      <c r="M75" s="5"/>
      <c r="N75" s="6"/>
      <c r="O75" s="6"/>
      <c r="P75" s="5"/>
    </row>
    <row r="76" spans="2:16" ht="15.75" customHeight="1" x14ac:dyDescent="0.2">
      <c r="B76" s="25" t="s">
        <v>737</v>
      </c>
      <c r="C76" s="25" t="s">
        <v>738</v>
      </c>
      <c r="D76" s="25" t="s">
        <v>167</v>
      </c>
      <c r="E76" s="26">
        <v>30824</v>
      </c>
      <c r="F76" s="27">
        <v>27.25</v>
      </c>
      <c r="G76" s="28">
        <v>2.9999999999999997E-4</v>
      </c>
      <c r="H76" s="29"/>
    </row>
    <row r="77" spans="2:16" ht="15.75" customHeight="1" x14ac:dyDescent="0.2">
      <c r="B77" s="24" t="s">
        <v>93</v>
      </c>
      <c r="C77" s="24"/>
      <c r="D77" s="24"/>
      <c r="E77" s="30"/>
      <c r="F77" s="31">
        <v>77436.53</v>
      </c>
      <c r="G77" s="32">
        <v>0.95369999999999999</v>
      </c>
      <c r="H77" s="33"/>
    </row>
    <row r="78" spans="2:16" ht="15.75" customHeight="1" x14ac:dyDescent="0.2">
      <c r="B78" s="24" t="s">
        <v>141</v>
      </c>
      <c r="C78" s="25"/>
      <c r="D78" s="25"/>
      <c r="E78" s="26"/>
      <c r="F78" s="27"/>
      <c r="G78" s="28"/>
      <c r="H78" s="29"/>
      <c r="L78" s="7"/>
      <c r="M78" s="7"/>
      <c r="N78" s="7"/>
      <c r="O78" s="7"/>
      <c r="P78" s="7"/>
    </row>
    <row r="79" spans="2:16" ht="15.75" customHeight="1" x14ac:dyDescent="0.2">
      <c r="B79" s="24" t="s">
        <v>93</v>
      </c>
      <c r="C79" s="25"/>
      <c r="D79" s="25"/>
      <c r="E79" s="26"/>
      <c r="F79" s="34" t="s">
        <v>95</v>
      </c>
      <c r="G79" s="35" t="s">
        <v>95</v>
      </c>
      <c r="H79" s="29"/>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36" t="s">
        <v>97</v>
      </c>
      <c r="C81" s="36"/>
      <c r="D81" s="36"/>
      <c r="E81" s="37"/>
      <c r="F81" s="31">
        <v>77436.53</v>
      </c>
      <c r="G81" s="32">
        <v>0.95369999999999999</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25"/>
      <c r="C83" s="25"/>
      <c r="D83" s="25"/>
      <c r="E83" s="26"/>
      <c r="F83" s="27"/>
      <c r="G83" s="28"/>
      <c r="H83" s="29"/>
      <c r="L83" s="7"/>
      <c r="M83" s="7"/>
      <c r="N83" s="7"/>
      <c r="O83" s="7"/>
      <c r="P83" s="7"/>
    </row>
    <row r="84" spans="2:16" ht="15.75" customHeight="1" x14ac:dyDescent="0.2">
      <c r="B84" s="24" t="s">
        <v>100</v>
      </c>
      <c r="C84" s="25"/>
      <c r="D84" s="25"/>
      <c r="E84" s="26"/>
      <c r="F84" s="27"/>
      <c r="G84" s="28"/>
      <c r="H84" s="29"/>
      <c r="L84" s="7"/>
      <c r="M84" s="7"/>
      <c r="N84" s="7"/>
      <c r="O84" s="7"/>
      <c r="P84" s="7"/>
    </row>
    <row r="85" spans="2:16" ht="15.75" customHeight="1" x14ac:dyDescent="0.2">
      <c r="B85" s="25" t="s">
        <v>101</v>
      </c>
      <c r="C85" s="25"/>
      <c r="D85" s="25"/>
      <c r="E85" s="26"/>
      <c r="F85" s="27">
        <v>4008.87</v>
      </c>
      <c r="G85" s="28">
        <v>4.9399999999999999E-2</v>
      </c>
      <c r="H85" s="29"/>
    </row>
    <row r="86" spans="2:16" ht="15.75" customHeight="1" x14ac:dyDescent="0.2">
      <c r="B86" s="24" t="s">
        <v>93</v>
      </c>
      <c r="C86" s="24"/>
      <c r="D86" s="24"/>
      <c r="E86" s="30"/>
      <c r="F86" s="31">
        <v>4008.87</v>
      </c>
      <c r="G86" s="32">
        <v>4.9399999999999999E-2</v>
      </c>
      <c r="H86" s="33"/>
      <c r="L86" s="3"/>
    </row>
    <row r="87" spans="2:16" ht="15.75" customHeight="1" x14ac:dyDescent="0.2">
      <c r="B87" s="25"/>
      <c r="C87" s="25"/>
      <c r="D87" s="25"/>
      <c r="E87" s="26"/>
      <c r="F87" s="27"/>
      <c r="G87" s="28"/>
      <c r="H87" s="29"/>
    </row>
    <row r="88" spans="2:16" ht="15.75" customHeight="1" x14ac:dyDescent="0.2">
      <c r="B88" s="36" t="s">
        <v>97</v>
      </c>
      <c r="C88" s="36"/>
      <c r="D88" s="36"/>
      <c r="E88" s="37"/>
      <c r="F88" s="31">
        <v>4008.87</v>
      </c>
      <c r="G88" s="32">
        <v>4.9399999999999999E-2</v>
      </c>
      <c r="H88" s="33"/>
    </row>
    <row r="89" spans="2:16" ht="15.75" customHeight="1" x14ac:dyDescent="0.2">
      <c r="B89" s="25" t="s">
        <v>102</v>
      </c>
      <c r="C89" s="25"/>
      <c r="D89" s="25"/>
      <c r="E89" s="26"/>
      <c r="F89" s="38">
        <v>-254.72</v>
      </c>
      <c r="G89" s="39">
        <v>-3.0999999999998806E-3</v>
      </c>
      <c r="H89" s="29"/>
    </row>
    <row r="90" spans="2:16" ht="15.75" customHeight="1" x14ac:dyDescent="0.2">
      <c r="B90" s="40" t="s">
        <v>103</v>
      </c>
      <c r="C90" s="40"/>
      <c r="D90" s="40"/>
      <c r="E90" s="41"/>
      <c r="F90" s="42">
        <v>81190.679999999993</v>
      </c>
      <c r="G90" s="43">
        <v>1</v>
      </c>
      <c r="H90" s="44"/>
    </row>
    <row r="91" spans="2:16" ht="15.75" customHeight="1" x14ac:dyDescent="0.2">
      <c r="B91" s="2"/>
    </row>
    <row r="92" spans="2:16" ht="15.75" customHeight="1" x14ac:dyDescent="0.2">
      <c r="B92" s="12" t="s">
        <v>116</v>
      </c>
    </row>
    <row r="93" spans="2:16" ht="15.75" customHeight="1" thickBot="1" x14ac:dyDescent="0.25"/>
    <row r="94" spans="2:16" ht="27" customHeight="1" thickBot="1" x14ac:dyDescent="0.25">
      <c r="B94" s="57" t="s">
        <v>806</v>
      </c>
      <c r="C94" s="58" t="s">
        <v>807</v>
      </c>
      <c r="D94" s="58" t="s">
        <v>808</v>
      </c>
      <c r="E94" s="59" t="s">
        <v>809</v>
      </c>
      <c r="G94" s="2"/>
      <c r="H94" s="2"/>
    </row>
    <row r="95" spans="2:16" ht="27.75" customHeight="1" x14ac:dyDescent="0.2">
      <c r="B95" s="68" t="s">
        <v>20</v>
      </c>
      <c r="C95" s="83"/>
      <c r="D95" s="86" t="s">
        <v>875</v>
      </c>
      <c r="E95" s="88"/>
      <c r="G95" s="2"/>
      <c r="H95" s="2"/>
    </row>
    <row r="96" spans="2:16" ht="31.5" customHeight="1" x14ac:dyDescent="0.2">
      <c r="B96" s="61" t="s">
        <v>873</v>
      </c>
      <c r="C96" s="84"/>
      <c r="D96" s="87"/>
      <c r="E96" s="84"/>
      <c r="G96" s="2"/>
      <c r="H96" s="2"/>
    </row>
    <row r="97" spans="2:8" ht="39.950000000000003" customHeight="1" x14ac:dyDescent="0.2">
      <c r="B97" s="61" t="s">
        <v>876</v>
      </c>
      <c r="C97" s="84"/>
      <c r="D97" s="87"/>
      <c r="E97" s="84"/>
      <c r="G97" s="2"/>
      <c r="H97" s="2"/>
    </row>
    <row r="98" spans="2:8" ht="21.75" customHeight="1" thickBot="1" x14ac:dyDescent="0.25">
      <c r="B98" s="62" t="s">
        <v>831</v>
      </c>
      <c r="C98" s="85"/>
      <c r="D98" s="70" t="s">
        <v>831</v>
      </c>
      <c r="E98" s="89"/>
      <c r="G98" s="2"/>
      <c r="H98" s="2"/>
    </row>
    <row r="99" spans="2:8" ht="24.95" customHeight="1" x14ac:dyDescent="0.2">
      <c r="B99" s="64" t="s">
        <v>815</v>
      </c>
      <c r="C99" s="65"/>
      <c r="D99" s="66"/>
      <c r="E99" s="67"/>
      <c r="G99" s="2"/>
      <c r="H99" s="2"/>
    </row>
    <row r="101" spans="2:8" ht="12" x14ac:dyDescent="0.2">
      <c r="B101" s="2" t="s">
        <v>816</v>
      </c>
      <c r="C101" s="2"/>
      <c r="D101" s="2"/>
      <c r="G101" s="2"/>
      <c r="H101" s="2"/>
    </row>
    <row r="102" spans="2:8" ht="12" x14ac:dyDescent="0.2">
      <c r="B102" s="3" t="s">
        <v>817</v>
      </c>
      <c r="C102" s="2"/>
      <c r="D102" s="2"/>
      <c r="G102" s="2"/>
      <c r="H102" s="2"/>
    </row>
  </sheetData>
  <mergeCells count="3">
    <mergeCell ref="C95:C98"/>
    <mergeCell ref="D95:D97"/>
    <mergeCell ref="E95:E98"/>
  </mergeCells>
  <hyperlinks>
    <hyperlink ref="I1" location="'Sheet1'!A1" display="Index" xr:uid="{AD21EEED-1F5C-455E-8A32-62093AD682A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50DE7-0D90-4233-A53E-308F530AB237}">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7109375" style="9" customWidth="1"/>
    <col min="4" max="4" width="26.5703125" style="9" customWidth="1"/>
    <col min="5" max="5" width="28"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897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165</v>
      </c>
      <c r="C7" s="25" t="s">
        <v>166</v>
      </c>
      <c r="D7" s="25" t="s">
        <v>167</v>
      </c>
      <c r="E7" s="26">
        <v>8808</v>
      </c>
      <c r="F7" s="27">
        <v>269.08</v>
      </c>
      <c r="G7" s="28">
        <v>4.19E-2</v>
      </c>
      <c r="H7" s="29"/>
    </row>
    <row r="8" spans="2:9" ht="15.75" customHeight="1" x14ac:dyDescent="0.2">
      <c r="B8" s="25" t="s">
        <v>287</v>
      </c>
      <c r="C8" s="25" t="s">
        <v>288</v>
      </c>
      <c r="D8" s="25" t="s">
        <v>289</v>
      </c>
      <c r="E8" s="26">
        <v>142218</v>
      </c>
      <c r="F8" s="27">
        <v>261.97000000000003</v>
      </c>
      <c r="G8" s="28">
        <v>4.0800000000000003E-2</v>
      </c>
      <c r="H8" s="29"/>
    </row>
    <row r="9" spans="2:9" ht="15.75" customHeight="1" x14ac:dyDescent="0.2">
      <c r="B9" s="25" t="s">
        <v>270</v>
      </c>
      <c r="C9" s="25" t="s">
        <v>271</v>
      </c>
      <c r="D9" s="25" t="s">
        <v>176</v>
      </c>
      <c r="E9" s="26">
        <v>11113</v>
      </c>
      <c r="F9" s="27">
        <v>228.18</v>
      </c>
      <c r="G9" s="28">
        <v>3.5499999999999997E-2</v>
      </c>
      <c r="H9" s="29"/>
    </row>
    <row r="10" spans="2:9" ht="15.75" customHeight="1" x14ac:dyDescent="0.2">
      <c r="B10" s="25" t="s">
        <v>200</v>
      </c>
      <c r="C10" s="25" t="s">
        <v>201</v>
      </c>
      <c r="D10" s="25" t="s">
        <v>202</v>
      </c>
      <c r="E10" s="26">
        <v>67524</v>
      </c>
      <c r="F10" s="27">
        <v>224.28</v>
      </c>
      <c r="G10" s="28">
        <v>3.49E-2</v>
      </c>
      <c r="H10" s="29"/>
    </row>
    <row r="11" spans="2:9" ht="15.75" customHeight="1" x14ac:dyDescent="0.2">
      <c r="B11" s="25" t="s">
        <v>665</v>
      </c>
      <c r="C11" s="25" t="s">
        <v>666</v>
      </c>
      <c r="D11" s="25" t="s">
        <v>289</v>
      </c>
      <c r="E11" s="26">
        <v>7451</v>
      </c>
      <c r="F11" s="27">
        <v>208.93</v>
      </c>
      <c r="G11" s="28">
        <v>3.2500000000000001E-2</v>
      </c>
      <c r="H11" s="29"/>
    </row>
    <row r="12" spans="2:9" ht="15.75" customHeight="1" x14ac:dyDescent="0.2">
      <c r="B12" s="25" t="s">
        <v>498</v>
      </c>
      <c r="C12" s="25" t="s">
        <v>499</v>
      </c>
      <c r="D12" s="25" t="s">
        <v>176</v>
      </c>
      <c r="E12" s="26">
        <v>16047</v>
      </c>
      <c r="F12" s="27">
        <v>202.16</v>
      </c>
      <c r="G12" s="28">
        <v>3.15E-2</v>
      </c>
      <c r="H12" s="29"/>
    </row>
    <row r="13" spans="2:9" ht="15.75" customHeight="1" x14ac:dyDescent="0.2">
      <c r="B13" s="25" t="s">
        <v>739</v>
      </c>
      <c r="C13" s="25" t="s">
        <v>740</v>
      </c>
      <c r="D13" s="25" t="s">
        <v>132</v>
      </c>
      <c r="E13" s="26">
        <v>146430</v>
      </c>
      <c r="F13" s="27">
        <v>190.14</v>
      </c>
      <c r="G13" s="28">
        <v>2.9600000000000001E-2</v>
      </c>
      <c r="H13" s="29"/>
    </row>
    <row r="14" spans="2:9" ht="15.75" customHeight="1" x14ac:dyDescent="0.2">
      <c r="B14" s="25" t="s">
        <v>477</v>
      </c>
      <c r="C14" s="25" t="s">
        <v>478</v>
      </c>
      <c r="D14" s="25" t="s">
        <v>138</v>
      </c>
      <c r="E14" s="26">
        <v>9259</v>
      </c>
      <c r="F14" s="27">
        <v>187.57</v>
      </c>
      <c r="G14" s="28">
        <v>2.92E-2</v>
      </c>
      <c r="H14" s="29"/>
    </row>
    <row r="15" spans="2:9" ht="15.75" customHeight="1" x14ac:dyDescent="0.2">
      <c r="B15" s="25" t="s">
        <v>741</v>
      </c>
      <c r="C15" s="25" t="s">
        <v>742</v>
      </c>
      <c r="D15" s="25" t="s">
        <v>483</v>
      </c>
      <c r="E15" s="26">
        <v>25626</v>
      </c>
      <c r="F15" s="27">
        <v>186.15</v>
      </c>
      <c r="G15" s="28">
        <v>2.9000000000000001E-2</v>
      </c>
      <c r="H15" s="29"/>
    </row>
    <row r="16" spans="2:9" ht="15.75" customHeight="1" x14ac:dyDescent="0.2">
      <c r="B16" s="25" t="s">
        <v>743</v>
      </c>
      <c r="C16" s="25" t="s">
        <v>744</v>
      </c>
      <c r="D16" s="25" t="s">
        <v>209</v>
      </c>
      <c r="E16" s="26">
        <v>107883</v>
      </c>
      <c r="F16" s="27">
        <v>174.88</v>
      </c>
      <c r="G16" s="28">
        <v>2.7199999999999998E-2</v>
      </c>
      <c r="H16" s="29"/>
    </row>
    <row r="17" spans="2:8" ht="15.75" customHeight="1" x14ac:dyDescent="0.2">
      <c r="B17" s="25" t="s">
        <v>179</v>
      </c>
      <c r="C17" s="25" t="s">
        <v>180</v>
      </c>
      <c r="D17" s="25" t="s">
        <v>121</v>
      </c>
      <c r="E17" s="26">
        <v>73978</v>
      </c>
      <c r="F17" s="27">
        <v>170.96</v>
      </c>
      <c r="G17" s="28">
        <v>2.6599999999999999E-2</v>
      </c>
      <c r="H17" s="29"/>
    </row>
    <row r="18" spans="2:8" ht="15.75" customHeight="1" x14ac:dyDescent="0.2">
      <c r="B18" s="25" t="s">
        <v>195</v>
      </c>
      <c r="C18" s="25" t="s">
        <v>196</v>
      </c>
      <c r="D18" s="25" t="s">
        <v>197</v>
      </c>
      <c r="E18" s="26">
        <v>15035</v>
      </c>
      <c r="F18" s="27">
        <v>170.08</v>
      </c>
      <c r="G18" s="28">
        <v>2.6499999999999999E-2</v>
      </c>
      <c r="H18" s="29"/>
    </row>
    <row r="19" spans="2:8" ht="15.75" customHeight="1" x14ac:dyDescent="0.2">
      <c r="B19" s="25" t="s">
        <v>578</v>
      </c>
      <c r="C19" s="25" t="s">
        <v>579</v>
      </c>
      <c r="D19" s="25" t="s">
        <v>345</v>
      </c>
      <c r="E19" s="26">
        <v>5687</v>
      </c>
      <c r="F19" s="27">
        <v>168.74</v>
      </c>
      <c r="G19" s="28">
        <v>2.63E-2</v>
      </c>
      <c r="H19" s="29"/>
    </row>
    <row r="20" spans="2:8" ht="15.75" customHeight="1" x14ac:dyDescent="0.2">
      <c r="B20" s="25" t="s">
        <v>171</v>
      </c>
      <c r="C20" s="25" t="s">
        <v>172</v>
      </c>
      <c r="D20" s="25" t="s">
        <v>173</v>
      </c>
      <c r="E20" s="26">
        <v>6081</v>
      </c>
      <c r="F20" s="27">
        <v>165.11</v>
      </c>
      <c r="G20" s="28">
        <v>2.5700000000000001E-2</v>
      </c>
      <c r="H20" s="29"/>
    </row>
    <row r="21" spans="2:8" ht="15.75" customHeight="1" x14ac:dyDescent="0.2">
      <c r="B21" s="25" t="s">
        <v>494</v>
      </c>
      <c r="C21" s="25" t="s">
        <v>495</v>
      </c>
      <c r="D21" s="25" t="s">
        <v>167</v>
      </c>
      <c r="E21" s="26">
        <v>3087</v>
      </c>
      <c r="F21" s="27">
        <v>158.68</v>
      </c>
      <c r="G21" s="28">
        <v>2.47E-2</v>
      </c>
      <c r="H21" s="29"/>
    </row>
    <row r="22" spans="2:8" ht="15.75" customHeight="1" x14ac:dyDescent="0.2">
      <c r="B22" s="25" t="s">
        <v>745</v>
      </c>
      <c r="C22" s="25" t="s">
        <v>746</v>
      </c>
      <c r="D22" s="25" t="s">
        <v>226</v>
      </c>
      <c r="E22" s="26">
        <v>531</v>
      </c>
      <c r="F22" s="27">
        <v>152.15</v>
      </c>
      <c r="G22" s="28">
        <v>2.3699999999999999E-2</v>
      </c>
      <c r="H22" s="29"/>
    </row>
    <row r="23" spans="2:8" ht="15.75" customHeight="1" x14ac:dyDescent="0.2">
      <c r="B23" s="25" t="s">
        <v>747</v>
      </c>
      <c r="C23" s="25" t="s">
        <v>748</v>
      </c>
      <c r="D23" s="25" t="s">
        <v>226</v>
      </c>
      <c r="E23" s="26">
        <v>29117</v>
      </c>
      <c r="F23" s="27">
        <v>151.66999999999999</v>
      </c>
      <c r="G23" s="28">
        <v>2.3599999999999999E-2</v>
      </c>
      <c r="H23" s="29"/>
    </row>
    <row r="24" spans="2:8" ht="15.75" customHeight="1" x14ac:dyDescent="0.2">
      <c r="B24" s="25" t="s">
        <v>749</v>
      </c>
      <c r="C24" s="25" t="s">
        <v>750</v>
      </c>
      <c r="D24" s="25" t="s">
        <v>295</v>
      </c>
      <c r="E24" s="26">
        <v>10221</v>
      </c>
      <c r="F24" s="27">
        <v>145.15</v>
      </c>
      <c r="G24" s="28">
        <v>2.2599999999999999E-2</v>
      </c>
      <c r="H24" s="29"/>
    </row>
    <row r="25" spans="2:8" ht="15.75" customHeight="1" x14ac:dyDescent="0.2">
      <c r="B25" s="25" t="s">
        <v>285</v>
      </c>
      <c r="C25" s="25" t="s">
        <v>286</v>
      </c>
      <c r="D25" s="25" t="s">
        <v>173</v>
      </c>
      <c r="E25" s="26">
        <v>5802</v>
      </c>
      <c r="F25" s="27">
        <v>143.85</v>
      </c>
      <c r="G25" s="28">
        <v>2.24E-2</v>
      </c>
      <c r="H25" s="29"/>
    </row>
    <row r="26" spans="2:8" ht="15.75" customHeight="1" x14ac:dyDescent="0.2">
      <c r="B26" s="25" t="s">
        <v>189</v>
      </c>
      <c r="C26" s="25" t="s">
        <v>190</v>
      </c>
      <c r="D26" s="25" t="s">
        <v>191</v>
      </c>
      <c r="E26" s="26">
        <v>3542</v>
      </c>
      <c r="F26" s="27">
        <v>142.55000000000001</v>
      </c>
      <c r="G26" s="28">
        <v>2.2200000000000001E-2</v>
      </c>
      <c r="H26" s="29"/>
    </row>
    <row r="27" spans="2:8" ht="15.75" customHeight="1" x14ac:dyDescent="0.2">
      <c r="B27" s="25" t="s">
        <v>181</v>
      </c>
      <c r="C27" s="25" t="s">
        <v>182</v>
      </c>
      <c r="D27" s="25" t="s">
        <v>183</v>
      </c>
      <c r="E27" s="26">
        <v>53268</v>
      </c>
      <c r="F27" s="27">
        <v>137.72</v>
      </c>
      <c r="G27" s="28">
        <v>2.1499999999999998E-2</v>
      </c>
      <c r="H27" s="29"/>
    </row>
    <row r="28" spans="2:8" ht="15.75" customHeight="1" x14ac:dyDescent="0.2">
      <c r="B28" s="25" t="s">
        <v>186</v>
      </c>
      <c r="C28" s="25" t="s">
        <v>187</v>
      </c>
      <c r="D28" s="25" t="s">
        <v>188</v>
      </c>
      <c r="E28" s="26">
        <v>9995</v>
      </c>
      <c r="F28" s="27">
        <v>136.72999999999999</v>
      </c>
      <c r="G28" s="28">
        <v>2.1299999999999999E-2</v>
      </c>
      <c r="H28" s="29"/>
    </row>
    <row r="29" spans="2:8" ht="15.75" customHeight="1" x14ac:dyDescent="0.2">
      <c r="B29" s="25" t="s">
        <v>751</v>
      </c>
      <c r="C29" s="25" t="s">
        <v>752</v>
      </c>
      <c r="D29" s="25" t="s">
        <v>197</v>
      </c>
      <c r="E29" s="26">
        <v>5266</v>
      </c>
      <c r="F29" s="27">
        <v>133.21</v>
      </c>
      <c r="G29" s="28">
        <v>2.07E-2</v>
      </c>
      <c r="H29" s="29"/>
    </row>
    <row r="30" spans="2:8" ht="15.75" customHeight="1" x14ac:dyDescent="0.2">
      <c r="B30" s="25" t="s">
        <v>537</v>
      </c>
      <c r="C30" s="25" t="s">
        <v>538</v>
      </c>
      <c r="D30" s="25" t="s">
        <v>197</v>
      </c>
      <c r="E30" s="26">
        <v>23221</v>
      </c>
      <c r="F30" s="27">
        <v>129.38999999999999</v>
      </c>
      <c r="G30" s="28">
        <v>2.0199999999999999E-2</v>
      </c>
      <c r="H30" s="29"/>
    </row>
    <row r="31" spans="2:8" ht="15.75" customHeight="1" x14ac:dyDescent="0.2">
      <c r="B31" s="25" t="s">
        <v>709</v>
      </c>
      <c r="C31" s="25" t="s">
        <v>710</v>
      </c>
      <c r="D31" s="25" t="s">
        <v>704</v>
      </c>
      <c r="E31" s="26">
        <v>11403</v>
      </c>
      <c r="F31" s="27">
        <v>127.46</v>
      </c>
      <c r="G31" s="28">
        <v>1.9900000000000001E-2</v>
      </c>
      <c r="H31" s="29"/>
    </row>
    <row r="32" spans="2:8" ht="15.75" customHeight="1" x14ac:dyDescent="0.2">
      <c r="B32" s="25" t="s">
        <v>527</v>
      </c>
      <c r="C32" s="25" t="s">
        <v>528</v>
      </c>
      <c r="D32" s="25" t="s">
        <v>121</v>
      </c>
      <c r="E32" s="26">
        <v>26693</v>
      </c>
      <c r="F32" s="27">
        <v>116.78</v>
      </c>
      <c r="G32" s="28">
        <v>1.8200000000000001E-2</v>
      </c>
      <c r="H32" s="29"/>
    </row>
    <row r="33" spans="2:8" ht="15.75" customHeight="1" x14ac:dyDescent="0.2">
      <c r="B33" s="25" t="s">
        <v>229</v>
      </c>
      <c r="C33" s="25" t="s">
        <v>230</v>
      </c>
      <c r="D33" s="25" t="s">
        <v>217</v>
      </c>
      <c r="E33" s="26">
        <v>20594</v>
      </c>
      <c r="F33" s="27">
        <v>112.96</v>
      </c>
      <c r="G33" s="28">
        <v>1.7600000000000001E-2</v>
      </c>
      <c r="H33" s="29"/>
    </row>
    <row r="34" spans="2:8" ht="15.75" customHeight="1" x14ac:dyDescent="0.2">
      <c r="B34" s="25" t="s">
        <v>218</v>
      </c>
      <c r="C34" s="25" t="s">
        <v>219</v>
      </c>
      <c r="D34" s="25" t="s">
        <v>121</v>
      </c>
      <c r="E34" s="26">
        <v>117950</v>
      </c>
      <c r="F34" s="27">
        <v>112.94</v>
      </c>
      <c r="G34" s="28">
        <v>1.7600000000000001E-2</v>
      </c>
      <c r="H34" s="29"/>
    </row>
    <row r="35" spans="2:8" ht="15.75" customHeight="1" x14ac:dyDescent="0.2">
      <c r="B35" s="25" t="s">
        <v>419</v>
      </c>
      <c r="C35" s="25" t="s">
        <v>420</v>
      </c>
      <c r="D35" s="25" t="s">
        <v>161</v>
      </c>
      <c r="E35" s="26">
        <v>3202</v>
      </c>
      <c r="F35" s="27">
        <v>112.58</v>
      </c>
      <c r="G35" s="28">
        <v>1.7500000000000002E-2</v>
      </c>
      <c r="H35" s="29"/>
    </row>
    <row r="36" spans="2:8" ht="15.75" customHeight="1" x14ac:dyDescent="0.2">
      <c r="B36" s="25" t="s">
        <v>323</v>
      </c>
      <c r="C36" s="25" t="s">
        <v>324</v>
      </c>
      <c r="D36" s="25" t="s">
        <v>167</v>
      </c>
      <c r="E36" s="26">
        <v>88061</v>
      </c>
      <c r="F36" s="27">
        <v>108.93</v>
      </c>
      <c r="G36" s="28">
        <v>1.7000000000000001E-2</v>
      </c>
      <c r="H36" s="29"/>
    </row>
    <row r="37" spans="2:8" ht="15.75" customHeight="1" x14ac:dyDescent="0.2">
      <c r="B37" s="25" t="s">
        <v>168</v>
      </c>
      <c r="C37" s="25" t="s">
        <v>169</v>
      </c>
      <c r="D37" s="25" t="s">
        <v>170</v>
      </c>
      <c r="E37" s="26">
        <v>14527</v>
      </c>
      <c r="F37" s="27">
        <v>108.68</v>
      </c>
      <c r="G37" s="28">
        <v>1.6899999999999998E-2</v>
      </c>
      <c r="H37" s="29"/>
    </row>
    <row r="38" spans="2:8" ht="15.75" customHeight="1" x14ac:dyDescent="0.2">
      <c r="B38" s="25" t="s">
        <v>335</v>
      </c>
      <c r="C38" s="25" t="s">
        <v>336</v>
      </c>
      <c r="D38" s="25" t="s">
        <v>164</v>
      </c>
      <c r="E38" s="26">
        <v>12113</v>
      </c>
      <c r="F38" s="27">
        <v>107.5</v>
      </c>
      <c r="G38" s="28">
        <v>1.67E-2</v>
      </c>
      <c r="H38" s="29"/>
    </row>
    <row r="39" spans="2:8" ht="15.75" customHeight="1" x14ac:dyDescent="0.2">
      <c r="B39" s="25" t="s">
        <v>549</v>
      </c>
      <c r="C39" s="25" t="s">
        <v>550</v>
      </c>
      <c r="D39" s="25" t="s">
        <v>167</v>
      </c>
      <c r="E39" s="26">
        <v>2486</v>
      </c>
      <c r="F39" s="27">
        <v>101.49</v>
      </c>
      <c r="G39" s="28">
        <v>1.5800000000000002E-2</v>
      </c>
      <c r="H39" s="29"/>
    </row>
    <row r="40" spans="2:8" ht="15.75" customHeight="1" x14ac:dyDescent="0.2">
      <c r="B40" s="25" t="s">
        <v>753</v>
      </c>
      <c r="C40" s="25" t="s">
        <v>754</v>
      </c>
      <c r="D40" s="25" t="s">
        <v>191</v>
      </c>
      <c r="E40" s="26">
        <v>2109</v>
      </c>
      <c r="F40" s="27">
        <v>98.59</v>
      </c>
      <c r="G40" s="28">
        <v>1.54E-2</v>
      </c>
      <c r="H40" s="29"/>
    </row>
    <row r="41" spans="2:8" ht="15.75" customHeight="1" x14ac:dyDescent="0.2">
      <c r="B41" s="25" t="s">
        <v>702</v>
      </c>
      <c r="C41" s="25" t="s">
        <v>703</v>
      </c>
      <c r="D41" s="25" t="s">
        <v>704</v>
      </c>
      <c r="E41" s="26">
        <v>7969</v>
      </c>
      <c r="F41" s="27">
        <v>98.57</v>
      </c>
      <c r="G41" s="28">
        <v>1.54E-2</v>
      </c>
      <c r="H41" s="29"/>
    </row>
    <row r="42" spans="2:8" ht="15.75" customHeight="1" x14ac:dyDescent="0.2">
      <c r="B42" s="25" t="s">
        <v>755</v>
      </c>
      <c r="C42" s="25" t="s">
        <v>756</v>
      </c>
      <c r="D42" s="25" t="s">
        <v>202</v>
      </c>
      <c r="E42" s="26">
        <v>6058</v>
      </c>
      <c r="F42" s="27">
        <v>96.75</v>
      </c>
      <c r="G42" s="28">
        <v>1.5100000000000001E-2</v>
      </c>
      <c r="H42" s="29"/>
    </row>
    <row r="43" spans="2:8" ht="15.75" customHeight="1" x14ac:dyDescent="0.2">
      <c r="B43" s="25" t="s">
        <v>272</v>
      </c>
      <c r="C43" s="25" t="s">
        <v>273</v>
      </c>
      <c r="D43" s="25" t="s">
        <v>274</v>
      </c>
      <c r="E43" s="26">
        <v>94507</v>
      </c>
      <c r="F43" s="27">
        <v>96.35</v>
      </c>
      <c r="G43" s="28">
        <v>1.4999999999999999E-2</v>
      </c>
      <c r="H43" s="29"/>
    </row>
    <row r="44" spans="2:8" ht="15.75" customHeight="1" x14ac:dyDescent="0.2">
      <c r="B44" s="25" t="s">
        <v>386</v>
      </c>
      <c r="C44" s="25" t="s">
        <v>387</v>
      </c>
      <c r="D44" s="25" t="s">
        <v>176</v>
      </c>
      <c r="E44" s="26">
        <v>11776</v>
      </c>
      <c r="F44" s="27">
        <v>89.46</v>
      </c>
      <c r="G44" s="28">
        <v>1.3899999999999999E-2</v>
      </c>
      <c r="H44" s="29"/>
    </row>
    <row r="45" spans="2:8" ht="15.75" customHeight="1" x14ac:dyDescent="0.2">
      <c r="B45" s="25" t="s">
        <v>423</v>
      </c>
      <c r="C45" s="25" t="s">
        <v>424</v>
      </c>
      <c r="D45" s="25" t="s">
        <v>194</v>
      </c>
      <c r="E45" s="26">
        <v>3638</v>
      </c>
      <c r="F45" s="27">
        <v>83.88</v>
      </c>
      <c r="G45" s="28">
        <v>1.3100000000000001E-2</v>
      </c>
      <c r="H45" s="29"/>
    </row>
    <row r="46" spans="2:8" ht="15.75" customHeight="1" x14ac:dyDescent="0.2">
      <c r="B46" s="25" t="s">
        <v>293</v>
      </c>
      <c r="C46" s="25" t="s">
        <v>294</v>
      </c>
      <c r="D46" s="25" t="s">
        <v>295</v>
      </c>
      <c r="E46" s="26">
        <v>15520</v>
      </c>
      <c r="F46" s="27">
        <v>83.01</v>
      </c>
      <c r="G46" s="28">
        <v>1.29E-2</v>
      </c>
      <c r="H46" s="29"/>
    </row>
    <row r="47" spans="2:8" ht="15.75" customHeight="1" x14ac:dyDescent="0.2">
      <c r="B47" s="25" t="s">
        <v>663</v>
      </c>
      <c r="C47" s="25" t="s">
        <v>664</v>
      </c>
      <c r="D47" s="25" t="s">
        <v>274</v>
      </c>
      <c r="E47" s="26">
        <v>340</v>
      </c>
      <c r="F47" s="27">
        <v>75.489999999999995</v>
      </c>
      <c r="G47" s="28">
        <v>1.18E-2</v>
      </c>
      <c r="H47" s="29"/>
    </row>
    <row r="48" spans="2:8" ht="15.75" customHeight="1" x14ac:dyDescent="0.2">
      <c r="B48" s="25" t="s">
        <v>203</v>
      </c>
      <c r="C48" s="25" t="s">
        <v>204</v>
      </c>
      <c r="D48" s="25" t="s">
        <v>194</v>
      </c>
      <c r="E48" s="26">
        <v>10075</v>
      </c>
      <c r="F48" s="27">
        <v>69.44</v>
      </c>
      <c r="G48" s="28">
        <v>1.0800000000000001E-2</v>
      </c>
      <c r="H48" s="29"/>
    </row>
    <row r="49" spans="2:8" ht="15.75" customHeight="1" x14ac:dyDescent="0.2">
      <c r="B49" s="25" t="s">
        <v>757</v>
      </c>
      <c r="C49" s="25" t="s">
        <v>758</v>
      </c>
      <c r="D49" s="25" t="s">
        <v>188</v>
      </c>
      <c r="E49" s="26">
        <v>11167</v>
      </c>
      <c r="F49" s="27">
        <v>67.52</v>
      </c>
      <c r="G49" s="28">
        <v>1.0500000000000001E-2</v>
      </c>
      <c r="H49" s="29"/>
    </row>
    <row r="50" spans="2:8" ht="15.75" customHeight="1" x14ac:dyDescent="0.2">
      <c r="B50" s="25" t="s">
        <v>382</v>
      </c>
      <c r="C50" s="25" t="s">
        <v>383</v>
      </c>
      <c r="D50" s="25" t="s">
        <v>176</v>
      </c>
      <c r="E50" s="26">
        <v>4326</v>
      </c>
      <c r="F50" s="27">
        <v>63.86</v>
      </c>
      <c r="G50" s="28">
        <v>9.9000000000000008E-3</v>
      </c>
      <c r="H50" s="29"/>
    </row>
    <row r="51" spans="2:8" ht="15.75" customHeight="1" x14ac:dyDescent="0.2">
      <c r="B51" s="25" t="s">
        <v>759</v>
      </c>
      <c r="C51" s="25" t="s">
        <v>760</v>
      </c>
      <c r="D51" s="25" t="s">
        <v>176</v>
      </c>
      <c r="E51" s="26">
        <v>733</v>
      </c>
      <c r="F51" s="27">
        <v>56.25</v>
      </c>
      <c r="G51" s="28">
        <v>8.8000000000000005E-3</v>
      </c>
      <c r="H51" s="29"/>
    </row>
    <row r="52" spans="2:8" ht="15.75" customHeight="1" x14ac:dyDescent="0.2">
      <c r="B52" s="25" t="s">
        <v>761</v>
      </c>
      <c r="C52" s="25" t="s">
        <v>762</v>
      </c>
      <c r="D52" s="25" t="s">
        <v>202</v>
      </c>
      <c r="E52" s="26">
        <v>4997</v>
      </c>
      <c r="F52" s="27">
        <v>52.26</v>
      </c>
      <c r="G52" s="28">
        <v>8.0999999999999996E-3</v>
      </c>
      <c r="H52" s="29"/>
    </row>
    <row r="53" spans="2:8" ht="15.75" customHeight="1" x14ac:dyDescent="0.2">
      <c r="B53" s="25" t="s">
        <v>763</v>
      </c>
      <c r="C53" s="25" t="s">
        <v>764</v>
      </c>
      <c r="D53" s="25" t="s">
        <v>209</v>
      </c>
      <c r="E53" s="26">
        <v>4557</v>
      </c>
      <c r="F53" s="27">
        <v>45.02</v>
      </c>
      <c r="G53" s="28">
        <v>7.0000000000000001E-3</v>
      </c>
      <c r="H53" s="29"/>
    </row>
    <row r="54" spans="2:8" ht="15.75" customHeight="1" x14ac:dyDescent="0.2">
      <c r="B54" s="25" t="s">
        <v>765</v>
      </c>
      <c r="C54" s="25" t="s">
        <v>766</v>
      </c>
      <c r="D54" s="25" t="s">
        <v>295</v>
      </c>
      <c r="E54" s="26">
        <v>4190</v>
      </c>
      <c r="F54" s="27">
        <v>34.880000000000003</v>
      </c>
      <c r="G54" s="28">
        <v>5.4000000000000003E-3</v>
      </c>
      <c r="H54" s="29"/>
    </row>
    <row r="55" spans="2:8" ht="15.75" customHeight="1" x14ac:dyDescent="0.2">
      <c r="B55" s="25" t="s">
        <v>767</v>
      </c>
      <c r="C55" s="25" t="s">
        <v>768</v>
      </c>
      <c r="D55" s="25" t="s">
        <v>197</v>
      </c>
      <c r="E55" s="26">
        <v>156</v>
      </c>
      <c r="F55" s="27">
        <v>27.09</v>
      </c>
      <c r="G55" s="28">
        <v>4.1999999999999997E-3</v>
      </c>
      <c r="H55" s="29"/>
    </row>
    <row r="56" spans="2:8" ht="15.75" customHeight="1" x14ac:dyDescent="0.2">
      <c r="B56" s="25" t="s">
        <v>769</v>
      </c>
      <c r="C56" s="25" t="s">
        <v>770</v>
      </c>
      <c r="D56" s="25" t="s">
        <v>217</v>
      </c>
      <c r="E56" s="26">
        <v>2588</v>
      </c>
      <c r="F56" s="27">
        <v>9.18</v>
      </c>
      <c r="G56" s="28">
        <v>1.4E-3</v>
      </c>
      <c r="H56" s="29"/>
    </row>
    <row r="57" spans="2:8" ht="15.75" customHeight="1" x14ac:dyDescent="0.2">
      <c r="B57" s="24" t="s">
        <v>93</v>
      </c>
      <c r="C57" s="24"/>
      <c r="D57" s="24"/>
      <c r="E57" s="30"/>
      <c r="F57" s="31">
        <v>6396.25</v>
      </c>
      <c r="G57" s="32">
        <v>0.99619999999999997</v>
      </c>
      <c r="H57" s="33"/>
    </row>
    <row r="58" spans="2:8" ht="15.75" customHeight="1" x14ac:dyDescent="0.2">
      <c r="B58" s="24" t="s">
        <v>141</v>
      </c>
      <c r="C58" s="25"/>
      <c r="D58" s="25"/>
      <c r="E58" s="26"/>
      <c r="F58" s="27"/>
      <c r="G58" s="28"/>
      <c r="H58" s="29"/>
    </row>
    <row r="59" spans="2:8" ht="15.75" customHeight="1" x14ac:dyDescent="0.2">
      <c r="B59" s="24" t="s">
        <v>93</v>
      </c>
      <c r="C59" s="25"/>
      <c r="D59" s="25"/>
      <c r="E59" s="26"/>
      <c r="F59" s="34" t="s">
        <v>95</v>
      </c>
      <c r="G59" s="35" t="s">
        <v>95</v>
      </c>
      <c r="H59" s="29"/>
    </row>
    <row r="60" spans="2:8" ht="15.75" customHeight="1" x14ac:dyDescent="0.2">
      <c r="B60" s="25"/>
      <c r="C60" s="25"/>
      <c r="D60" s="25"/>
      <c r="E60" s="26"/>
      <c r="F60" s="27"/>
      <c r="G60" s="28"/>
      <c r="H60" s="29"/>
    </row>
    <row r="61" spans="2:8" ht="15.75" customHeight="1" x14ac:dyDescent="0.2">
      <c r="B61" s="36" t="s">
        <v>97</v>
      </c>
      <c r="C61" s="36"/>
      <c r="D61" s="36"/>
      <c r="E61" s="37"/>
      <c r="F61" s="31">
        <v>6396.25</v>
      </c>
      <c r="G61" s="32">
        <v>0.99619999999999997</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100</v>
      </c>
      <c r="C64" s="25"/>
      <c r="D64" s="25"/>
      <c r="E64" s="26"/>
      <c r="F64" s="27"/>
      <c r="G64" s="28"/>
      <c r="H64" s="29"/>
    </row>
    <row r="65" spans="2:12" ht="15.75" customHeight="1" x14ac:dyDescent="0.2">
      <c r="B65" s="25" t="s">
        <v>101</v>
      </c>
      <c r="C65" s="25"/>
      <c r="D65" s="25"/>
      <c r="E65" s="26"/>
      <c r="F65" s="27">
        <v>15.4</v>
      </c>
      <c r="G65" s="28">
        <v>2.3999999999999998E-3</v>
      </c>
      <c r="H65" s="29"/>
    </row>
    <row r="66" spans="2:12" ht="15.75" customHeight="1" x14ac:dyDescent="0.2">
      <c r="B66" s="24" t="s">
        <v>93</v>
      </c>
      <c r="C66" s="24"/>
      <c r="D66" s="24"/>
      <c r="E66" s="30"/>
      <c r="F66" s="31">
        <v>15.4</v>
      </c>
      <c r="G66" s="32">
        <v>2.3999999999999998E-3</v>
      </c>
      <c r="H66" s="33"/>
    </row>
    <row r="67" spans="2:12" ht="15.75" customHeight="1" x14ac:dyDescent="0.2">
      <c r="B67" s="25"/>
      <c r="C67" s="25"/>
      <c r="D67" s="25"/>
      <c r="E67" s="26"/>
      <c r="F67" s="27"/>
      <c r="G67" s="28"/>
      <c r="H67" s="29"/>
    </row>
    <row r="68" spans="2:12" ht="15.75" customHeight="1" x14ac:dyDescent="0.2">
      <c r="B68" s="36" t="s">
        <v>97</v>
      </c>
      <c r="C68" s="36"/>
      <c r="D68" s="36"/>
      <c r="E68" s="37"/>
      <c r="F68" s="31">
        <v>15.4</v>
      </c>
      <c r="G68" s="32">
        <v>2.3999999999999998E-3</v>
      </c>
      <c r="H68" s="33"/>
      <c r="L68" s="3"/>
    </row>
    <row r="69" spans="2:12" ht="15.75" customHeight="1" x14ac:dyDescent="0.2">
      <c r="B69" s="25" t="s">
        <v>102</v>
      </c>
      <c r="C69" s="25"/>
      <c r="D69" s="25"/>
      <c r="E69" s="26"/>
      <c r="F69" s="27">
        <v>8.9</v>
      </c>
      <c r="G69" s="28">
        <v>1.4000000000000679E-3</v>
      </c>
      <c r="H69" s="29"/>
    </row>
    <row r="70" spans="2:12" ht="15.75" customHeight="1" x14ac:dyDescent="0.2">
      <c r="B70" s="40" t="s">
        <v>103</v>
      </c>
      <c r="C70" s="40"/>
      <c r="D70" s="40"/>
      <c r="E70" s="41"/>
      <c r="F70" s="42">
        <v>6420.55</v>
      </c>
      <c r="G70" s="43">
        <v>1</v>
      </c>
      <c r="H70" s="44"/>
      <c r="L70" s="3"/>
    </row>
    <row r="71" spans="2:12" ht="15.75" customHeight="1" thickBot="1" x14ac:dyDescent="0.25">
      <c r="B71" s="2"/>
      <c r="L71" s="3"/>
    </row>
    <row r="72" spans="2:12" ht="27" customHeight="1" thickBot="1" x14ac:dyDescent="0.25">
      <c r="B72" s="57" t="s">
        <v>806</v>
      </c>
      <c r="C72" s="58" t="s">
        <v>807</v>
      </c>
      <c r="D72" s="58" t="s">
        <v>808</v>
      </c>
      <c r="E72" s="59" t="s">
        <v>809</v>
      </c>
      <c r="G72" s="2"/>
      <c r="H72" s="2"/>
    </row>
    <row r="73" spans="2:12" ht="29.25" customHeight="1" x14ac:dyDescent="0.2">
      <c r="B73" s="71" t="s">
        <v>21</v>
      </c>
      <c r="C73" s="83"/>
      <c r="D73" s="86" t="s">
        <v>877</v>
      </c>
      <c r="E73" s="88"/>
      <c r="G73" s="2"/>
      <c r="H73" s="2"/>
    </row>
    <row r="74" spans="2:12" ht="39.950000000000003" customHeight="1" x14ac:dyDescent="0.2">
      <c r="B74" s="61" t="s">
        <v>878</v>
      </c>
      <c r="C74" s="84"/>
      <c r="D74" s="87"/>
      <c r="E74" s="84"/>
      <c r="G74" s="2"/>
      <c r="H74" s="2"/>
    </row>
    <row r="75" spans="2:12" ht="45" customHeight="1" x14ac:dyDescent="0.2">
      <c r="B75" s="61" t="s">
        <v>879</v>
      </c>
      <c r="C75" s="84"/>
      <c r="D75" s="87"/>
      <c r="E75" s="84"/>
      <c r="G75" s="2"/>
      <c r="H75" s="2"/>
    </row>
    <row r="76" spans="2:12" ht="23.25" customHeight="1" thickBot="1" x14ac:dyDescent="0.25">
      <c r="B76" s="62" t="s">
        <v>826</v>
      </c>
      <c r="C76" s="85"/>
      <c r="D76" s="70" t="s">
        <v>826</v>
      </c>
      <c r="E76" s="89"/>
      <c r="G76" s="2"/>
      <c r="H76" s="2"/>
    </row>
    <row r="77" spans="2:12" ht="24.95" customHeight="1" x14ac:dyDescent="0.2">
      <c r="B77" s="64" t="s">
        <v>815</v>
      </c>
      <c r="C77" s="65"/>
      <c r="D77" s="66"/>
      <c r="E77" s="67"/>
      <c r="G77" s="2"/>
      <c r="H77" s="2"/>
    </row>
    <row r="79" spans="2:12" ht="12" x14ac:dyDescent="0.2">
      <c r="B79" s="2" t="s">
        <v>816</v>
      </c>
      <c r="C79" s="2"/>
      <c r="D79" s="2"/>
      <c r="G79" s="2"/>
      <c r="H79" s="2"/>
    </row>
    <row r="80" spans="2:12" ht="12" x14ac:dyDescent="0.2">
      <c r="B80" s="3" t="s">
        <v>817</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095D64BB-2248-47AD-946D-952FC9600FF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C716-0928-44F4-89F8-501AC3319E85}">
  <dimension ref="B1:P131"/>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6.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22</v>
      </c>
      <c r="C1" s="1" t="s">
        <v>895</v>
      </c>
      <c r="D1" s="1" t="s">
        <v>896</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452985</v>
      </c>
      <c r="F7" s="27">
        <v>7742.65</v>
      </c>
      <c r="G7" s="28">
        <v>0.1135</v>
      </c>
      <c r="H7" s="29"/>
    </row>
    <row r="8" spans="2:9" ht="15.75" customHeight="1" x14ac:dyDescent="0.2">
      <c r="B8" s="25" t="s">
        <v>130</v>
      </c>
      <c r="C8" s="25" t="s">
        <v>131</v>
      </c>
      <c r="D8" s="25" t="s">
        <v>132</v>
      </c>
      <c r="E8" s="26">
        <v>203168</v>
      </c>
      <c r="F8" s="27">
        <v>5251.79</v>
      </c>
      <c r="G8" s="28">
        <v>7.6999999999999999E-2</v>
      </c>
      <c r="H8" s="29"/>
    </row>
    <row r="9" spans="2:9" ht="15.75" customHeight="1" x14ac:dyDescent="0.2">
      <c r="B9" s="25" t="s">
        <v>119</v>
      </c>
      <c r="C9" s="25" t="s">
        <v>120</v>
      </c>
      <c r="D9" s="25" t="s">
        <v>121</v>
      </c>
      <c r="E9" s="26">
        <v>421396</v>
      </c>
      <c r="F9" s="27">
        <v>4199.63</v>
      </c>
      <c r="G9" s="28">
        <v>6.1600000000000002E-2</v>
      </c>
      <c r="H9" s="29"/>
    </row>
    <row r="10" spans="2:9" ht="15.75" customHeight="1" x14ac:dyDescent="0.2">
      <c r="B10" s="25" t="s">
        <v>122</v>
      </c>
      <c r="C10" s="25" t="s">
        <v>123</v>
      </c>
      <c r="D10" s="25" t="s">
        <v>124</v>
      </c>
      <c r="E10" s="26">
        <v>215122</v>
      </c>
      <c r="F10" s="27">
        <v>3319.12</v>
      </c>
      <c r="G10" s="28">
        <v>4.87E-2</v>
      </c>
      <c r="H10" s="29"/>
    </row>
    <row r="11" spans="2:9" ht="15.75" customHeight="1" x14ac:dyDescent="0.2">
      <c r="B11" s="25" t="s">
        <v>318</v>
      </c>
      <c r="C11" s="25" t="s">
        <v>319</v>
      </c>
      <c r="D11" s="25" t="s">
        <v>320</v>
      </c>
      <c r="E11" s="26">
        <v>70931</v>
      </c>
      <c r="F11" s="27">
        <v>2501.0300000000002</v>
      </c>
      <c r="G11" s="28">
        <v>3.6700000000000003E-2</v>
      </c>
      <c r="H11" s="29"/>
    </row>
    <row r="12" spans="2:9" ht="15.75" customHeight="1" x14ac:dyDescent="0.2">
      <c r="B12" s="25" t="s">
        <v>157</v>
      </c>
      <c r="C12" s="25" t="s">
        <v>158</v>
      </c>
      <c r="D12" s="25" t="s">
        <v>129</v>
      </c>
      <c r="E12" s="26">
        <v>534183</v>
      </c>
      <c r="F12" s="27">
        <v>2468.46</v>
      </c>
      <c r="G12" s="28">
        <v>3.6200000000000003E-2</v>
      </c>
      <c r="H12" s="29"/>
    </row>
    <row r="13" spans="2:9" ht="15.75" customHeight="1" x14ac:dyDescent="0.2">
      <c r="B13" s="25" t="s">
        <v>227</v>
      </c>
      <c r="C13" s="25" t="s">
        <v>228</v>
      </c>
      <c r="D13" s="25" t="s">
        <v>124</v>
      </c>
      <c r="E13" s="26">
        <v>60914</v>
      </c>
      <c r="F13" s="27">
        <v>2310.71</v>
      </c>
      <c r="G13" s="28">
        <v>3.39E-2</v>
      </c>
      <c r="H13" s="29"/>
    </row>
    <row r="14" spans="2:9" ht="15.75" customHeight="1" x14ac:dyDescent="0.2">
      <c r="B14" s="25" t="s">
        <v>258</v>
      </c>
      <c r="C14" s="25" t="s">
        <v>259</v>
      </c>
      <c r="D14" s="25" t="s">
        <v>121</v>
      </c>
      <c r="E14" s="26">
        <v>166467</v>
      </c>
      <c r="F14" s="27">
        <v>1834.97</v>
      </c>
      <c r="G14" s="28">
        <v>2.69E-2</v>
      </c>
      <c r="H14" s="29"/>
    </row>
    <row r="15" spans="2:9" ht="15.75" customHeight="1" x14ac:dyDescent="0.2">
      <c r="B15" s="25" t="s">
        <v>184</v>
      </c>
      <c r="C15" s="25" t="s">
        <v>185</v>
      </c>
      <c r="D15" s="25" t="s">
        <v>121</v>
      </c>
      <c r="E15" s="26">
        <v>88482</v>
      </c>
      <c r="F15" s="27">
        <v>1688.33</v>
      </c>
      <c r="G15" s="28">
        <v>2.47E-2</v>
      </c>
      <c r="H15" s="29"/>
    </row>
    <row r="16" spans="2:9" ht="15.75" customHeight="1" x14ac:dyDescent="0.2">
      <c r="B16" s="25" t="s">
        <v>325</v>
      </c>
      <c r="C16" s="25" t="s">
        <v>326</v>
      </c>
      <c r="D16" s="25" t="s">
        <v>244</v>
      </c>
      <c r="E16" s="26">
        <v>152382</v>
      </c>
      <c r="F16" s="27">
        <v>1572.89</v>
      </c>
      <c r="G16" s="28">
        <v>2.3099999999999999E-2</v>
      </c>
      <c r="H16" s="29"/>
    </row>
    <row r="17" spans="2:8" ht="15.75" customHeight="1" x14ac:dyDescent="0.2">
      <c r="B17" s="25" t="s">
        <v>256</v>
      </c>
      <c r="C17" s="25" t="s">
        <v>257</v>
      </c>
      <c r="D17" s="25" t="s">
        <v>121</v>
      </c>
      <c r="E17" s="26">
        <v>230069</v>
      </c>
      <c r="F17" s="27">
        <v>1477.16</v>
      </c>
      <c r="G17" s="28">
        <v>2.1700000000000001E-2</v>
      </c>
      <c r="H17" s="29"/>
    </row>
    <row r="18" spans="2:8" ht="15.75" customHeight="1" x14ac:dyDescent="0.2">
      <c r="B18" s="25" t="s">
        <v>127</v>
      </c>
      <c r="C18" s="25" t="s">
        <v>128</v>
      </c>
      <c r="D18" s="25" t="s">
        <v>129</v>
      </c>
      <c r="E18" s="26">
        <v>53570</v>
      </c>
      <c r="F18" s="27">
        <v>1427.08</v>
      </c>
      <c r="G18" s="28">
        <v>2.0899999999999998E-2</v>
      </c>
      <c r="H18" s="29"/>
    </row>
    <row r="19" spans="2:8" ht="15.75" customHeight="1" x14ac:dyDescent="0.2">
      <c r="B19" s="25" t="s">
        <v>247</v>
      </c>
      <c r="C19" s="25" t="s">
        <v>248</v>
      </c>
      <c r="D19" s="25" t="s">
        <v>176</v>
      </c>
      <c r="E19" s="26">
        <v>16644</v>
      </c>
      <c r="F19" s="27">
        <v>1219.6300000000001</v>
      </c>
      <c r="G19" s="28">
        <v>1.7899999999999999E-2</v>
      </c>
      <c r="H19" s="29"/>
    </row>
    <row r="20" spans="2:8" ht="15.75" customHeight="1" x14ac:dyDescent="0.2">
      <c r="B20" s="25" t="s">
        <v>262</v>
      </c>
      <c r="C20" s="25" t="s">
        <v>263</v>
      </c>
      <c r="D20" s="25" t="s">
        <v>124</v>
      </c>
      <c r="E20" s="26">
        <v>63666</v>
      </c>
      <c r="F20" s="27">
        <v>933.41</v>
      </c>
      <c r="G20" s="28">
        <v>1.37E-2</v>
      </c>
      <c r="H20" s="29"/>
    </row>
    <row r="21" spans="2:8" ht="15.75" customHeight="1" x14ac:dyDescent="0.2">
      <c r="B21" s="25" t="s">
        <v>136</v>
      </c>
      <c r="C21" s="25" t="s">
        <v>137</v>
      </c>
      <c r="D21" s="25" t="s">
        <v>138</v>
      </c>
      <c r="E21" s="26">
        <v>53804</v>
      </c>
      <c r="F21" s="27">
        <v>930.49</v>
      </c>
      <c r="G21" s="28">
        <v>1.3599999999999999E-2</v>
      </c>
      <c r="H21" s="29"/>
    </row>
    <row r="22" spans="2:8" ht="15.75" customHeight="1" x14ac:dyDescent="0.2">
      <c r="B22" s="25" t="s">
        <v>240</v>
      </c>
      <c r="C22" s="25" t="s">
        <v>241</v>
      </c>
      <c r="D22" s="25" t="s">
        <v>188</v>
      </c>
      <c r="E22" s="26">
        <v>27044</v>
      </c>
      <c r="F22" s="27">
        <v>920.15</v>
      </c>
      <c r="G22" s="28">
        <v>1.35E-2</v>
      </c>
      <c r="H22" s="29"/>
    </row>
    <row r="23" spans="2:8" ht="15.75" customHeight="1" x14ac:dyDescent="0.2">
      <c r="B23" s="25" t="s">
        <v>329</v>
      </c>
      <c r="C23" s="25" t="s">
        <v>330</v>
      </c>
      <c r="D23" s="25" t="s">
        <v>188</v>
      </c>
      <c r="E23" s="26">
        <v>25003</v>
      </c>
      <c r="F23" s="27">
        <v>918.97</v>
      </c>
      <c r="G23" s="28">
        <v>1.35E-2</v>
      </c>
      <c r="H23" s="29"/>
    </row>
    <row r="24" spans="2:8" ht="15.75" customHeight="1" x14ac:dyDescent="0.2">
      <c r="B24" s="25" t="s">
        <v>277</v>
      </c>
      <c r="C24" s="25" t="s">
        <v>278</v>
      </c>
      <c r="D24" s="25" t="s">
        <v>202</v>
      </c>
      <c r="E24" s="26">
        <v>285786</v>
      </c>
      <c r="F24" s="27">
        <v>889.22</v>
      </c>
      <c r="G24" s="28">
        <v>1.2999999999999999E-2</v>
      </c>
      <c r="H24" s="29"/>
    </row>
    <row r="25" spans="2:8" ht="15.75" customHeight="1" x14ac:dyDescent="0.2">
      <c r="B25" s="25" t="s">
        <v>177</v>
      </c>
      <c r="C25" s="25" t="s">
        <v>178</v>
      </c>
      <c r="D25" s="25" t="s">
        <v>138</v>
      </c>
      <c r="E25" s="26">
        <v>105754</v>
      </c>
      <c r="F25" s="27">
        <v>824.83</v>
      </c>
      <c r="G25" s="28">
        <v>1.21E-2</v>
      </c>
      <c r="H25" s="29"/>
    </row>
    <row r="26" spans="2:8" ht="15.75" customHeight="1" x14ac:dyDescent="0.2">
      <c r="B26" s="25" t="s">
        <v>268</v>
      </c>
      <c r="C26" s="25" t="s">
        <v>269</v>
      </c>
      <c r="D26" s="25" t="s">
        <v>194</v>
      </c>
      <c r="E26" s="26">
        <v>64852</v>
      </c>
      <c r="F26" s="27">
        <v>816.78</v>
      </c>
      <c r="G26" s="28">
        <v>1.2E-2</v>
      </c>
      <c r="H26" s="29"/>
    </row>
    <row r="27" spans="2:8" ht="15.75" customHeight="1" x14ac:dyDescent="0.2">
      <c r="B27" s="25" t="s">
        <v>264</v>
      </c>
      <c r="C27" s="25" t="s">
        <v>265</v>
      </c>
      <c r="D27" s="25" t="s">
        <v>138</v>
      </c>
      <c r="E27" s="26">
        <v>7912</v>
      </c>
      <c r="F27" s="27">
        <v>815.12</v>
      </c>
      <c r="G27" s="28">
        <v>1.1900000000000001E-2</v>
      </c>
      <c r="H27" s="29"/>
    </row>
    <row r="28" spans="2:8" ht="15.75" customHeight="1" x14ac:dyDescent="0.2">
      <c r="B28" s="25" t="s">
        <v>306</v>
      </c>
      <c r="C28" s="25" t="s">
        <v>307</v>
      </c>
      <c r="D28" s="25" t="s">
        <v>226</v>
      </c>
      <c r="E28" s="26">
        <v>6888</v>
      </c>
      <c r="F28" s="27">
        <v>723.45</v>
      </c>
      <c r="G28" s="28">
        <v>1.06E-2</v>
      </c>
      <c r="H28" s="29"/>
    </row>
    <row r="29" spans="2:8" ht="15.75" customHeight="1" x14ac:dyDescent="0.2">
      <c r="B29" s="25" t="s">
        <v>210</v>
      </c>
      <c r="C29" s="25" t="s">
        <v>211</v>
      </c>
      <c r="D29" s="25" t="s">
        <v>170</v>
      </c>
      <c r="E29" s="26">
        <v>484246</v>
      </c>
      <c r="F29" s="27">
        <v>676.01</v>
      </c>
      <c r="G29" s="28">
        <v>9.9000000000000008E-3</v>
      </c>
      <c r="H29" s="29"/>
    </row>
    <row r="30" spans="2:8" ht="15.75" customHeight="1" x14ac:dyDescent="0.2">
      <c r="B30" s="25" t="s">
        <v>281</v>
      </c>
      <c r="C30" s="25" t="s">
        <v>282</v>
      </c>
      <c r="D30" s="25" t="s">
        <v>202</v>
      </c>
      <c r="E30" s="26">
        <v>273515</v>
      </c>
      <c r="F30" s="27">
        <v>648.78</v>
      </c>
      <c r="G30" s="28">
        <v>9.4999999999999998E-3</v>
      </c>
      <c r="H30" s="29"/>
    </row>
    <row r="31" spans="2:8" ht="15.75" customHeight="1" x14ac:dyDescent="0.2">
      <c r="B31" s="25" t="s">
        <v>685</v>
      </c>
      <c r="C31" s="25" t="s">
        <v>686</v>
      </c>
      <c r="D31" s="25" t="s">
        <v>121</v>
      </c>
      <c r="E31" s="26">
        <v>39492</v>
      </c>
      <c r="F31" s="27">
        <v>631.46</v>
      </c>
      <c r="G31" s="28">
        <v>9.2999999999999992E-3</v>
      </c>
      <c r="H31" s="29"/>
    </row>
    <row r="32" spans="2:8" ht="15.75" customHeight="1" x14ac:dyDescent="0.2">
      <c r="B32" s="25" t="s">
        <v>133</v>
      </c>
      <c r="C32" s="25" t="s">
        <v>134</v>
      </c>
      <c r="D32" s="25" t="s">
        <v>135</v>
      </c>
      <c r="E32" s="26">
        <v>2140</v>
      </c>
      <c r="F32" s="27">
        <v>568.82000000000005</v>
      </c>
      <c r="G32" s="28">
        <v>8.3000000000000001E-3</v>
      </c>
      <c r="H32" s="29"/>
    </row>
    <row r="33" spans="2:8" ht="15.75" customHeight="1" x14ac:dyDescent="0.2">
      <c r="B33" s="25" t="s">
        <v>658</v>
      </c>
      <c r="C33" s="25" t="s">
        <v>659</v>
      </c>
      <c r="D33" s="25" t="s">
        <v>176</v>
      </c>
      <c r="E33" s="26">
        <v>32525</v>
      </c>
      <c r="F33" s="27">
        <v>548.30999999999995</v>
      </c>
      <c r="G33" s="28">
        <v>8.0000000000000002E-3</v>
      </c>
      <c r="H33" s="29"/>
    </row>
    <row r="34" spans="2:8" ht="15.75" customHeight="1" x14ac:dyDescent="0.2">
      <c r="B34" s="25" t="s">
        <v>656</v>
      </c>
      <c r="C34" s="25" t="s">
        <v>657</v>
      </c>
      <c r="D34" s="25" t="s">
        <v>450</v>
      </c>
      <c r="E34" s="26">
        <v>87933</v>
      </c>
      <c r="F34" s="27">
        <v>540.66</v>
      </c>
      <c r="G34" s="28">
        <v>7.9000000000000008E-3</v>
      </c>
      <c r="H34" s="29"/>
    </row>
    <row r="35" spans="2:8" ht="15.75" customHeight="1" x14ac:dyDescent="0.2">
      <c r="B35" s="25" t="s">
        <v>660</v>
      </c>
      <c r="C35" s="25" t="s">
        <v>661</v>
      </c>
      <c r="D35" s="25" t="s">
        <v>662</v>
      </c>
      <c r="E35" s="26">
        <v>137677</v>
      </c>
      <c r="F35" s="27">
        <v>517.66999999999996</v>
      </c>
      <c r="G35" s="28">
        <v>7.6E-3</v>
      </c>
      <c r="H35" s="29"/>
    </row>
    <row r="36" spans="2:8" ht="15.75" customHeight="1" x14ac:dyDescent="0.2">
      <c r="B36" s="25" t="s">
        <v>205</v>
      </c>
      <c r="C36" s="25" t="s">
        <v>206</v>
      </c>
      <c r="D36" s="25" t="s">
        <v>170</v>
      </c>
      <c r="E36" s="26">
        <v>57510</v>
      </c>
      <c r="F36" s="27">
        <v>506.23</v>
      </c>
      <c r="G36" s="28">
        <v>7.4000000000000003E-3</v>
      </c>
      <c r="H36" s="29"/>
    </row>
    <row r="37" spans="2:8" ht="15.75" customHeight="1" x14ac:dyDescent="0.2">
      <c r="B37" s="25" t="s">
        <v>687</v>
      </c>
      <c r="C37" s="25" t="s">
        <v>688</v>
      </c>
      <c r="D37" s="25" t="s">
        <v>689</v>
      </c>
      <c r="E37" s="26">
        <v>234577</v>
      </c>
      <c r="F37" s="27">
        <v>481</v>
      </c>
      <c r="G37" s="28">
        <v>7.1000000000000004E-3</v>
      </c>
      <c r="H37" s="29"/>
    </row>
    <row r="38" spans="2:8" ht="15.75" customHeight="1" x14ac:dyDescent="0.2">
      <c r="B38" s="25" t="s">
        <v>220</v>
      </c>
      <c r="C38" s="25" t="s">
        <v>221</v>
      </c>
      <c r="D38" s="25" t="s">
        <v>124</v>
      </c>
      <c r="E38" s="26">
        <v>37576</v>
      </c>
      <c r="F38" s="27">
        <v>478.21</v>
      </c>
      <c r="G38" s="28">
        <v>7.0000000000000001E-3</v>
      </c>
      <c r="H38" s="29"/>
    </row>
    <row r="39" spans="2:8" ht="15.75" customHeight="1" x14ac:dyDescent="0.2">
      <c r="B39" s="25" t="s">
        <v>224</v>
      </c>
      <c r="C39" s="25" t="s">
        <v>225</v>
      </c>
      <c r="D39" s="25" t="s">
        <v>226</v>
      </c>
      <c r="E39" s="26">
        <v>22100</v>
      </c>
      <c r="F39" s="27">
        <v>471.79</v>
      </c>
      <c r="G39" s="28">
        <v>6.8999999999999999E-3</v>
      </c>
      <c r="H39" s="29"/>
    </row>
    <row r="40" spans="2:8" ht="15.75" customHeight="1" x14ac:dyDescent="0.2">
      <c r="B40" s="25" t="s">
        <v>434</v>
      </c>
      <c r="C40" s="25" t="s">
        <v>435</v>
      </c>
      <c r="D40" s="25" t="s">
        <v>138</v>
      </c>
      <c r="E40" s="26">
        <v>6789</v>
      </c>
      <c r="F40" s="27">
        <v>461.47</v>
      </c>
      <c r="G40" s="28">
        <v>6.7999999999999996E-3</v>
      </c>
      <c r="H40" s="29"/>
    </row>
    <row r="41" spans="2:8" ht="15.75" customHeight="1" x14ac:dyDescent="0.2">
      <c r="B41" s="25" t="s">
        <v>690</v>
      </c>
      <c r="C41" s="25" t="s">
        <v>691</v>
      </c>
      <c r="D41" s="25" t="s">
        <v>692</v>
      </c>
      <c r="E41" s="26">
        <v>44116</v>
      </c>
      <c r="F41" s="27">
        <v>451.9</v>
      </c>
      <c r="G41" s="28">
        <v>6.6E-3</v>
      </c>
      <c r="H41" s="29"/>
    </row>
    <row r="42" spans="2:8" ht="15.75" customHeight="1" x14ac:dyDescent="0.2">
      <c r="B42" s="25" t="s">
        <v>693</v>
      </c>
      <c r="C42" s="25" t="s">
        <v>694</v>
      </c>
      <c r="D42" s="25" t="s">
        <v>695</v>
      </c>
      <c r="E42" s="26">
        <v>15572</v>
      </c>
      <c r="F42" s="27">
        <v>443.64</v>
      </c>
      <c r="G42" s="28">
        <v>6.4999999999999997E-3</v>
      </c>
      <c r="H42" s="29"/>
    </row>
    <row r="43" spans="2:8" ht="15.75" customHeight="1" x14ac:dyDescent="0.2">
      <c r="B43" s="25" t="s">
        <v>222</v>
      </c>
      <c r="C43" s="25" t="s">
        <v>223</v>
      </c>
      <c r="D43" s="25" t="s">
        <v>194</v>
      </c>
      <c r="E43" s="26">
        <v>7310</v>
      </c>
      <c r="F43" s="27">
        <v>423.83</v>
      </c>
      <c r="G43" s="28">
        <v>6.1999999999999998E-3</v>
      </c>
      <c r="H43" s="29"/>
    </row>
    <row r="44" spans="2:8" ht="15.75" customHeight="1" x14ac:dyDescent="0.2">
      <c r="B44" s="25" t="s">
        <v>696</v>
      </c>
      <c r="C44" s="25" t="s">
        <v>697</v>
      </c>
      <c r="D44" s="25" t="s">
        <v>295</v>
      </c>
      <c r="E44" s="26">
        <v>63625</v>
      </c>
      <c r="F44" s="27">
        <v>411.46</v>
      </c>
      <c r="G44" s="28">
        <v>6.0000000000000001E-3</v>
      </c>
      <c r="H44" s="29"/>
    </row>
    <row r="45" spans="2:8" ht="15.75" customHeight="1" x14ac:dyDescent="0.2">
      <c r="B45" s="25" t="s">
        <v>165</v>
      </c>
      <c r="C45" s="25" t="s">
        <v>166</v>
      </c>
      <c r="D45" s="25" t="s">
        <v>167</v>
      </c>
      <c r="E45" s="26">
        <v>13186</v>
      </c>
      <c r="F45" s="27">
        <v>402.83</v>
      </c>
      <c r="G45" s="28">
        <v>5.8999999999999999E-3</v>
      </c>
      <c r="H45" s="29"/>
    </row>
    <row r="46" spans="2:8" ht="15.75" customHeight="1" x14ac:dyDescent="0.2">
      <c r="B46" s="25" t="s">
        <v>698</v>
      </c>
      <c r="C46" s="25" t="s">
        <v>699</v>
      </c>
      <c r="D46" s="25" t="s">
        <v>124</v>
      </c>
      <c r="E46" s="26">
        <v>84761</v>
      </c>
      <c r="F46" s="27">
        <v>399.48</v>
      </c>
      <c r="G46" s="28">
        <v>5.8999999999999999E-3</v>
      </c>
      <c r="H46" s="29"/>
    </row>
    <row r="47" spans="2:8" ht="15.75" customHeight="1" x14ac:dyDescent="0.2">
      <c r="B47" s="25" t="s">
        <v>287</v>
      </c>
      <c r="C47" s="25" t="s">
        <v>288</v>
      </c>
      <c r="D47" s="25" t="s">
        <v>289</v>
      </c>
      <c r="E47" s="26">
        <v>214860</v>
      </c>
      <c r="F47" s="27">
        <v>395.77</v>
      </c>
      <c r="G47" s="28">
        <v>5.7999999999999996E-3</v>
      </c>
      <c r="H47" s="29"/>
    </row>
    <row r="48" spans="2:8" ht="15.75" customHeight="1" x14ac:dyDescent="0.2">
      <c r="B48" s="25" t="s">
        <v>215</v>
      </c>
      <c r="C48" s="25" t="s">
        <v>216</v>
      </c>
      <c r="D48" s="25" t="s">
        <v>217</v>
      </c>
      <c r="E48" s="26">
        <v>36194</v>
      </c>
      <c r="F48" s="27">
        <v>393.36</v>
      </c>
      <c r="G48" s="28">
        <v>5.7999999999999996E-3</v>
      </c>
      <c r="H48" s="29"/>
    </row>
    <row r="49" spans="2:8" ht="15.75" customHeight="1" x14ac:dyDescent="0.2">
      <c r="B49" s="25" t="s">
        <v>266</v>
      </c>
      <c r="C49" s="25" t="s">
        <v>267</v>
      </c>
      <c r="D49" s="25" t="s">
        <v>194</v>
      </c>
      <c r="E49" s="26">
        <v>31448</v>
      </c>
      <c r="F49" s="27">
        <v>391.94</v>
      </c>
      <c r="G49" s="28">
        <v>5.7000000000000002E-3</v>
      </c>
      <c r="H49" s="29"/>
    </row>
    <row r="50" spans="2:8" ht="15.75" customHeight="1" x14ac:dyDescent="0.2">
      <c r="B50" s="25" t="s">
        <v>323</v>
      </c>
      <c r="C50" s="25" t="s">
        <v>324</v>
      </c>
      <c r="D50" s="25" t="s">
        <v>167</v>
      </c>
      <c r="E50" s="26">
        <v>316030</v>
      </c>
      <c r="F50" s="27">
        <v>390.93</v>
      </c>
      <c r="G50" s="28">
        <v>5.7000000000000002E-3</v>
      </c>
      <c r="H50" s="29"/>
    </row>
    <row r="51" spans="2:8" ht="15.75" customHeight="1" x14ac:dyDescent="0.2">
      <c r="B51" s="25" t="s">
        <v>654</v>
      </c>
      <c r="C51" s="25" t="s">
        <v>655</v>
      </c>
      <c r="D51" s="25" t="s">
        <v>295</v>
      </c>
      <c r="E51" s="26">
        <v>27038</v>
      </c>
      <c r="F51" s="27">
        <v>387.35</v>
      </c>
      <c r="G51" s="28">
        <v>5.7000000000000002E-3</v>
      </c>
      <c r="H51" s="29"/>
    </row>
    <row r="52" spans="2:8" ht="15.75" customHeight="1" x14ac:dyDescent="0.2">
      <c r="B52" s="25" t="s">
        <v>415</v>
      </c>
      <c r="C52" s="25" t="s">
        <v>416</v>
      </c>
      <c r="D52" s="25" t="s">
        <v>135</v>
      </c>
      <c r="E52" s="26">
        <v>7072</v>
      </c>
      <c r="F52" s="27">
        <v>377.54</v>
      </c>
      <c r="G52" s="28">
        <v>5.4999999999999997E-3</v>
      </c>
      <c r="H52" s="29"/>
    </row>
    <row r="53" spans="2:8" ht="15.75" customHeight="1" x14ac:dyDescent="0.2">
      <c r="B53" s="25" t="s">
        <v>549</v>
      </c>
      <c r="C53" s="25" t="s">
        <v>550</v>
      </c>
      <c r="D53" s="25" t="s">
        <v>167</v>
      </c>
      <c r="E53" s="26">
        <v>8949</v>
      </c>
      <c r="F53" s="27">
        <v>365.36</v>
      </c>
      <c r="G53" s="28">
        <v>5.4000000000000003E-3</v>
      </c>
      <c r="H53" s="29"/>
    </row>
    <row r="54" spans="2:8" ht="15.75" customHeight="1" x14ac:dyDescent="0.2">
      <c r="B54" s="25" t="s">
        <v>702</v>
      </c>
      <c r="C54" s="25" t="s">
        <v>703</v>
      </c>
      <c r="D54" s="25" t="s">
        <v>704</v>
      </c>
      <c r="E54" s="26">
        <v>28715</v>
      </c>
      <c r="F54" s="27">
        <v>355.18</v>
      </c>
      <c r="G54" s="28">
        <v>5.1999999999999998E-3</v>
      </c>
      <c r="H54" s="29"/>
    </row>
    <row r="55" spans="2:8" ht="15.75" customHeight="1" x14ac:dyDescent="0.2">
      <c r="B55" s="25" t="s">
        <v>755</v>
      </c>
      <c r="C55" s="25" t="s">
        <v>756</v>
      </c>
      <c r="D55" s="25" t="s">
        <v>202</v>
      </c>
      <c r="E55" s="26">
        <v>21836</v>
      </c>
      <c r="F55" s="27">
        <v>348.72</v>
      </c>
      <c r="G55" s="28">
        <v>5.1000000000000004E-3</v>
      </c>
      <c r="H55" s="29"/>
    </row>
    <row r="56" spans="2:8" ht="15.75" customHeight="1" x14ac:dyDescent="0.2">
      <c r="B56" s="25" t="s">
        <v>139</v>
      </c>
      <c r="C56" s="25" t="s">
        <v>140</v>
      </c>
      <c r="D56" s="25" t="s">
        <v>124</v>
      </c>
      <c r="E56" s="26">
        <v>5497</v>
      </c>
      <c r="F56" s="27">
        <v>346.03</v>
      </c>
      <c r="G56" s="28">
        <v>5.1000000000000004E-3</v>
      </c>
      <c r="H56" s="29"/>
    </row>
    <row r="57" spans="2:8" ht="15.75" customHeight="1" x14ac:dyDescent="0.2">
      <c r="B57" s="25" t="s">
        <v>235</v>
      </c>
      <c r="C57" s="25" t="s">
        <v>236</v>
      </c>
      <c r="D57" s="25" t="s">
        <v>237</v>
      </c>
      <c r="E57" s="26">
        <v>6043</v>
      </c>
      <c r="F57" s="27">
        <v>344.7</v>
      </c>
      <c r="G57" s="28">
        <v>5.1000000000000004E-3</v>
      </c>
      <c r="H57" s="29"/>
    </row>
    <row r="58" spans="2:8" ht="15.75" customHeight="1" x14ac:dyDescent="0.2">
      <c r="B58" s="25" t="s">
        <v>270</v>
      </c>
      <c r="C58" s="25" t="s">
        <v>271</v>
      </c>
      <c r="D58" s="25" t="s">
        <v>176</v>
      </c>
      <c r="E58" s="26">
        <v>16667</v>
      </c>
      <c r="F58" s="27">
        <v>342.22</v>
      </c>
      <c r="G58" s="28">
        <v>5.0000000000000001E-3</v>
      </c>
      <c r="H58" s="29"/>
    </row>
    <row r="59" spans="2:8" ht="15.75" customHeight="1" x14ac:dyDescent="0.2">
      <c r="B59" s="25" t="s">
        <v>260</v>
      </c>
      <c r="C59" s="25" t="s">
        <v>261</v>
      </c>
      <c r="D59" s="25" t="s">
        <v>138</v>
      </c>
      <c r="E59" s="26">
        <v>8205</v>
      </c>
      <c r="F59" s="27">
        <v>339.97</v>
      </c>
      <c r="G59" s="28">
        <v>5.0000000000000001E-3</v>
      </c>
      <c r="H59" s="29"/>
    </row>
    <row r="60" spans="2:8" ht="15.75" customHeight="1" x14ac:dyDescent="0.2">
      <c r="B60" s="25" t="s">
        <v>200</v>
      </c>
      <c r="C60" s="25" t="s">
        <v>201</v>
      </c>
      <c r="D60" s="25" t="s">
        <v>202</v>
      </c>
      <c r="E60" s="26">
        <v>99612</v>
      </c>
      <c r="F60" s="27">
        <v>330.86</v>
      </c>
      <c r="G60" s="28">
        <v>4.8999999999999998E-3</v>
      </c>
      <c r="H60" s="29"/>
    </row>
    <row r="61" spans="2:8" ht="15.75" customHeight="1" x14ac:dyDescent="0.2">
      <c r="B61" s="25" t="s">
        <v>275</v>
      </c>
      <c r="C61" s="25" t="s">
        <v>276</v>
      </c>
      <c r="D61" s="25" t="s">
        <v>138</v>
      </c>
      <c r="E61" s="26">
        <v>7799</v>
      </c>
      <c r="F61" s="27">
        <v>322.83999999999997</v>
      </c>
      <c r="G61" s="28">
        <v>4.7000000000000002E-3</v>
      </c>
      <c r="H61" s="29"/>
    </row>
    <row r="62" spans="2:8" ht="15.75" customHeight="1" x14ac:dyDescent="0.2">
      <c r="B62" s="25" t="s">
        <v>665</v>
      </c>
      <c r="C62" s="25" t="s">
        <v>666</v>
      </c>
      <c r="D62" s="25" t="s">
        <v>289</v>
      </c>
      <c r="E62" s="26">
        <v>11225</v>
      </c>
      <c r="F62" s="27">
        <v>314.75</v>
      </c>
      <c r="G62" s="28">
        <v>4.5999999999999999E-3</v>
      </c>
      <c r="H62" s="29"/>
    </row>
    <row r="63" spans="2:8" ht="15.75" customHeight="1" x14ac:dyDescent="0.2">
      <c r="B63" s="25" t="s">
        <v>498</v>
      </c>
      <c r="C63" s="25" t="s">
        <v>499</v>
      </c>
      <c r="D63" s="25" t="s">
        <v>176</v>
      </c>
      <c r="E63" s="26">
        <v>24397</v>
      </c>
      <c r="F63" s="27">
        <v>307.35000000000002</v>
      </c>
      <c r="G63" s="28">
        <v>4.4999999999999997E-3</v>
      </c>
      <c r="H63" s="29"/>
    </row>
    <row r="64" spans="2:8" ht="15.75" customHeight="1" x14ac:dyDescent="0.2">
      <c r="B64" s="25" t="s">
        <v>432</v>
      </c>
      <c r="C64" s="25" t="s">
        <v>433</v>
      </c>
      <c r="D64" s="25" t="s">
        <v>194</v>
      </c>
      <c r="E64" s="26">
        <v>7649</v>
      </c>
      <c r="F64" s="27">
        <v>298.61</v>
      </c>
      <c r="G64" s="28">
        <v>4.4000000000000003E-3</v>
      </c>
      <c r="H64" s="29"/>
    </row>
    <row r="65" spans="2:16" ht="15.75" customHeight="1" x14ac:dyDescent="0.2">
      <c r="B65" s="25" t="s">
        <v>739</v>
      </c>
      <c r="C65" s="25" t="s">
        <v>740</v>
      </c>
      <c r="D65" s="25" t="s">
        <v>132</v>
      </c>
      <c r="E65" s="26">
        <v>220488</v>
      </c>
      <c r="F65" s="27">
        <v>286.3</v>
      </c>
      <c r="G65" s="28">
        <v>4.1999999999999997E-3</v>
      </c>
      <c r="H65" s="29"/>
    </row>
    <row r="66" spans="2:16" ht="15.75" customHeight="1" x14ac:dyDescent="0.2">
      <c r="B66" s="25" t="s">
        <v>741</v>
      </c>
      <c r="C66" s="25" t="s">
        <v>742</v>
      </c>
      <c r="D66" s="25" t="s">
        <v>483</v>
      </c>
      <c r="E66" s="26">
        <v>39228</v>
      </c>
      <c r="F66" s="27">
        <v>284.95</v>
      </c>
      <c r="G66" s="28">
        <v>4.1999999999999997E-3</v>
      </c>
      <c r="H66" s="29"/>
    </row>
    <row r="67" spans="2:16" ht="15.75" customHeight="1" x14ac:dyDescent="0.2">
      <c r="B67" s="25" t="s">
        <v>477</v>
      </c>
      <c r="C67" s="25" t="s">
        <v>478</v>
      </c>
      <c r="D67" s="25" t="s">
        <v>138</v>
      </c>
      <c r="E67" s="26">
        <v>13986</v>
      </c>
      <c r="F67" s="27">
        <v>283.33</v>
      </c>
      <c r="G67" s="28">
        <v>4.1999999999999997E-3</v>
      </c>
      <c r="H67" s="29"/>
    </row>
    <row r="68" spans="2:16" ht="15.75" customHeight="1" x14ac:dyDescent="0.2">
      <c r="B68" s="25" t="s">
        <v>743</v>
      </c>
      <c r="C68" s="25" t="s">
        <v>744</v>
      </c>
      <c r="D68" s="25" t="s">
        <v>209</v>
      </c>
      <c r="E68" s="26">
        <v>162300</v>
      </c>
      <c r="F68" s="27">
        <v>263.08999999999997</v>
      </c>
      <c r="G68" s="28">
        <v>3.8999999999999998E-3</v>
      </c>
      <c r="H68" s="29"/>
      <c r="L68" s="3"/>
    </row>
    <row r="69" spans="2:16" ht="15.75" customHeight="1" x14ac:dyDescent="0.2">
      <c r="B69" s="25" t="s">
        <v>233</v>
      </c>
      <c r="C69" s="25" t="s">
        <v>234</v>
      </c>
      <c r="D69" s="25" t="s">
        <v>132</v>
      </c>
      <c r="E69" s="26">
        <v>57422</v>
      </c>
      <c r="F69" s="27">
        <v>258.77</v>
      </c>
      <c r="G69" s="28">
        <v>3.8E-3</v>
      </c>
      <c r="H69" s="29"/>
    </row>
    <row r="70" spans="2:16" ht="15.75" customHeight="1" x14ac:dyDescent="0.2">
      <c r="B70" s="25" t="s">
        <v>179</v>
      </c>
      <c r="C70" s="25" t="s">
        <v>180</v>
      </c>
      <c r="D70" s="25" t="s">
        <v>121</v>
      </c>
      <c r="E70" s="26">
        <v>111625</v>
      </c>
      <c r="F70" s="27">
        <v>257.97000000000003</v>
      </c>
      <c r="G70" s="28">
        <v>3.8E-3</v>
      </c>
      <c r="H70" s="29"/>
      <c r="L70" s="3"/>
    </row>
    <row r="71" spans="2:16" ht="15.75" customHeight="1" x14ac:dyDescent="0.2">
      <c r="B71" s="25" t="s">
        <v>195</v>
      </c>
      <c r="C71" s="25" t="s">
        <v>196</v>
      </c>
      <c r="D71" s="25" t="s">
        <v>197</v>
      </c>
      <c r="E71" s="26">
        <v>22774</v>
      </c>
      <c r="F71" s="27">
        <v>257.62</v>
      </c>
      <c r="G71" s="28">
        <v>3.8E-3</v>
      </c>
      <c r="H71" s="29"/>
      <c r="L71" s="3"/>
    </row>
    <row r="72" spans="2:16" ht="15.75" customHeight="1" x14ac:dyDescent="0.2">
      <c r="B72" s="25" t="s">
        <v>578</v>
      </c>
      <c r="C72" s="25" t="s">
        <v>579</v>
      </c>
      <c r="D72" s="25" t="s">
        <v>345</v>
      </c>
      <c r="E72" s="26">
        <v>8413</v>
      </c>
      <c r="F72" s="27">
        <v>249.62</v>
      </c>
      <c r="G72" s="28">
        <v>3.7000000000000002E-3</v>
      </c>
      <c r="H72" s="29"/>
      <c r="L72" s="3"/>
    </row>
    <row r="73" spans="2:16" ht="15.75" customHeight="1" x14ac:dyDescent="0.2">
      <c r="B73" s="25" t="s">
        <v>171</v>
      </c>
      <c r="C73" s="25" t="s">
        <v>172</v>
      </c>
      <c r="D73" s="25" t="s">
        <v>173</v>
      </c>
      <c r="E73" s="26">
        <v>9143</v>
      </c>
      <c r="F73" s="27">
        <v>248.24</v>
      </c>
      <c r="G73" s="28">
        <v>3.5999999999999999E-3</v>
      </c>
      <c r="H73" s="29"/>
      <c r="L73" s="3"/>
    </row>
    <row r="74" spans="2:16" ht="15.75" customHeight="1" x14ac:dyDescent="0.2">
      <c r="B74" s="25" t="s">
        <v>494</v>
      </c>
      <c r="C74" s="25" t="s">
        <v>495</v>
      </c>
      <c r="D74" s="25" t="s">
        <v>167</v>
      </c>
      <c r="E74" s="26">
        <v>4653</v>
      </c>
      <c r="F74" s="27">
        <v>239.17</v>
      </c>
      <c r="G74" s="28">
        <v>3.5000000000000001E-3</v>
      </c>
      <c r="H74" s="29"/>
      <c r="L74" s="3"/>
    </row>
    <row r="75" spans="2:16" ht="15.75" customHeight="1" x14ac:dyDescent="0.2">
      <c r="B75" s="25" t="s">
        <v>747</v>
      </c>
      <c r="C75" s="25" t="s">
        <v>748</v>
      </c>
      <c r="D75" s="25" t="s">
        <v>226</v>
      </c>
      <c r="E75" s="26">
        <v>44041</v>
      </c>
      <c r="F75" s="27">
        <v>229.41</v>
      </c>
      <c r="G75" s="28">
        <v>3.3999999999999998E-3</v>
      </c>
      <c r="H75" s="29"/>
      <c r="L75" s="5"/>
      <c r="M75" s="5"/>
      <c r="N75" s="6"/>
      <c r="O75" s="6"/>
      <c r="P75" s="5"/>
    </row>
    <row r="76" spans="2:16" ht="15.75" customHeight="1" x14ac:dyDescent="0.2">
      <c r="B76" s="25" t="s">
        <v>745</v>
      </c>
      <c r="C76" s="25" t="s">
        <v>746</v>
      </c>
      <c r="D76" s="25" t="s">
        <v>226</v>
      </c>
      <c r="E76" s="26">
        <v>800</v>
      </c>
      <c r="F76" s="27">
        <v>229.23</v>
      </c>
      <c r="G76" s="28">
        <v>3.3999999999999998E-3</v>
      </c>
      <c r="H76" s="29"/>
    </row>
    <row r="77" spans="2:16" ht="15.75" customHeight="1" x14ac:dyDescent="0.2">
      <c r="B77" s="25" t="s">
        <v>749</v>
      </c>
      <c r="C77" s="25" t="s">
        <v>750</v>
      </c>
      <c r="D77" s="25" t="s">
        <v>295</v>
      </c>
      <c r="E77" s="26">
        <v>15343</v>
      </c>
      <c r="F77" s="27">
        <v>217.89</v>
      </c>
      <c r="G77" s="28">
        <v>3.2000000000000002E-3</v>
      </c>
      <c r="H77" s="29"/>
    </row>
    <row r="78" spans="2:16" ht="15.75" customHeight="1" x14ac:dyDescent="0.2">
      <c r="B78" s="25" t="s">
        <v>285</v>
      </c>
      <c r="C78" s="25" t="s">
        <v>286</v>
      </c>
      <c r="D78" s="25" t="s">
        <v>173</v>
      </c>
      <c r="E78" s="26">
        <v>8712</v>
      </c>
      <c r="F78" s="27">
        <v>215.99</v>
      </c>
      <c r="G78" s="28">
        <v>3.2000000000000002E-3</v>
      </c>
      <c r="H78" s="29"/>
      <c r="L78" s="7"/>
      <c r="M78" s="7"/>
      <c r="N78" s="7"/>
      <c r="O78" s="7"/>
      <c r="P78" s="7"/>
    </row>
    <row r="79" spans="2:16" ht="15.75" customHeight="1" x14ac:dyDescent="0.2">
      <c r="B79" s="25" t="s">
        <v>189</v>
      </c>
      <c r="C79" s="25" t="s">
        <v>190</v>
      </c>
      <c r="D79" s="25" t="s">
        <v>191</v>
      </c>
      <c r="E79" s="26">
        <v>5339</v>
      </c>
      <c r="F79" s="27">
        <v>214.88</v>
      </c>
      <c r="G79" s="28">
        <v>3.0999999999999999E-3</v>
      </c>
      <c r="H79" s="29"/>
      <c r="L79" s="7"/>
      <c r="M79" s="7"/>
      <c r="N79" s="7"/>
      <c r="O79" s="7"/>
      <c r="P79" s="7"/>
    </row>
    <row r="80" spans="2:16" ht="15.75" customHeight="1" x14ac:dyDescent="0.2">
      <c r="B80" s="25" t="s">
        <v>181</v>
      </c>
      <c r="C80" s="25" t="s">
        <v>182</v>
      </c>
      <c r="D80" s="25" t="s">
        <v>183</v>
      </c>
      <c r="E80" s="26">
        <v>79546</v>
      </c>
      <c r="F80" s="27">
        <v>205.67</v>
      </c>
      <c r="G80" s="28">
        <v>3.0000000000000001E-3</v>
      </c>
      <c r="H80" s="29"/>
      <c r="L80" s="7"/>
      <c r="M80" s="7"/>
      <c r="N80" s="7"/>
      <c r="O80" s="7"/>
      <c r="P80" s="7"/>
    </row>
    <row r="81" spans="2:16" ht="15.75" customHeight="1" x14ac:dyDescent="0.2">
      <c r="B81" s="25" t="s">
        <v>186</v>
      </c>
      <c r="C81" s="25" t="s">
        <v>187</v>
      </c>
      <c r="D81" s="25" t="s">
        <v>188</v>
      </c>
      <c r="E81" s="26">
        <v>15020</v>
      </c>
      <c r="F81" s="27">
        <v>205.47</v>
      </c>
      <c r="G81" s="28">
        <v>3.0000000000000001E-3</v>
      </c>
      <c r="H81" s="29"/>
      <c r="L81" s="7"/>
      <c r="M81" s="7"/>
      <c r="N81" s="7"/>
      <c r="O81" s="7"/>
      <c r="P81" s="7"/>
    </row>
    <row r="82" spans="2:16" ht="15.75" customHeight="1" x14ac:dyDescent="0.2">
      <c r="B82" s="25" t="s">
        <v>751</v>
      </c>
      <c r="C82" s="25" t="s">
        <v>752</v>
      </c>
      <c r="D82" s="25" t="s">
        <v>197</v>
      </c>
      <c r="E82" s="26">
        <v>7994</v>
      </c>
      <c r="F82" s="27">
        <v>202.22</v>
      </c>
      <c r="G82" s="28">
        <v>3.0000000000000001E-3</v>
      </c>
      <c r="H82" s="29"/>
      <c r="L82" s="7"/>
      <c r="M82" s="7"/>
      <c r="N82" s="7"/>
      <c r="O82" s="7"/>
      <c r="P82" s="7"/>
    </row>
    <row r="83" spans="2:16" ht="15.75" customHeight="1" x14ac:dyDescent="0.2">
      <c r="B83" s="25" t="s">
        <v>759</v>
      </c>
      <c r="C83" s="25" t="s">
        <v>760</v>
      </c>
      <c r="D83" s="25" t="s">
        <v>176</v>
      </c>
      <c r="E83" s="26">
        <v>2606</v>
      </c>
      <c r="F83" s="27">
        <v>200</v>
      </c>
      <c r="G83" s="28">
        <v>2.8999999999999998E-3</v>
      </c>
      <c r="H83" s="29"/>
      <c r="L83" s="7"/>
      <c r="M83" s="7"/>
      <c r="N83" s="7"/>
      <c r="O83" s="7"/>
      <c r="P83" s="7"/>
    </row>
    <row r="84" spans="2:16" ht="15.75" customHeight="1" x14ac:dyDescent="0.2">
      <c r="B84" s="25" t="s">
        <v>537</v>
      </c>
      <c r="C84" s="25" t="s">
        <v>538</v>
      </c>
      <c r="D84" s="25" t="s">
        <v>197</v>
      </c>
      <c r="E84" s="26">
        <v>35056</v>
      </c>
      <c r="F84" s="27">
        <v>195.33</v>
      </c>
      <c r="G84" s="28">
        <v>2.8999999999999998E-3</v>
      </c>
      <c r="H84" s="29"/>
      <c r="L84" s="7"/>
      <c r="M84" s="7"/>
      <c r="N84" s="7"/>
      <c r="O84" s="7"/>
      <c r="P84" s="7"/>
    </row>
    <row r="85" spans="2:16" ht="15.75" customHeight="1" x14ac:dyDescent="0.2">
      <c r="B85" s="25" t="s">
        <v>709</v>
      </c>
      <c r="C85" s="25" t="s">
        <v>710</v>
      </c>
      <c r="D85" s="25" t="s">
        <v>704</v>
      </c>
      <c r="E85" s="26">
        <v>17451</v>
      </c>
      <c r="F85" s="27">
        <v>195.06</v>
      </c>
      <c r="G85" s="28">
        <v>2.8999999999999998E-3</v>
      </c>
      <c r="H85" s="29"/>
    </row>
    <row r="86" spans="2:16" ht="15.75" customHeight="1" x14ac:dyDescent="0.2">
      <c r="B86" s="25" t="s">
        <v>761</v>
      </c>
      <c r="C86" s="25" t="s">
        <v>762</v>
      </c>
      <c r="D86" s="25" t="s">
        <v>202</v>
      </c>
      <c r="E86" s="26">
        <v>18134</v>
      </c>
      <c r="F86" s="27">
        <v>189.64</v>
      </c>
      <c r="G86" s="28">
        <v>2.8E-3</v>
      </c>
      <c r="H86" s="29"/>
      <c r="L86" s="3"/>
    </row>
    <row r="87" spans="2:16" ht="15.75" customHeight="1" x14ac:dyDescent="0.2">
      <c r="B87" s="25" t="s">
        <v>700</v>
      </c>
      <c r="C87" s="25" t="s">
        <v>701</v>
      </c>
      <c r="D87" s="25" t="s">
        <v>161</v>
      </c>
      <c r="E87" s="26">
        <v>30212</v>
      </c>
      <c r="F87" s="27">
        <v>177.42</v>
      </c>
      <c r="G87" s="28">
        <v>2.5999999999999999E-3</v>
      </c>
      <c r="H87" s="29"/>
    </row>
    <row r="88" spans="2:16" ht="15.75" customHeight="1" x14ac:dyDescent="0.2">
      <c r="B88" s="25" t="s">
        <v>527</v>
      </c>
      <c r="C88" s="25" t="s">
        <v>528</v>
      </c>
      <c r="D88" s="25" t="s">
        <v>121</v>
      </c>
      <c r="E88" s="26">
        <v>40243</v>
      </c>
      <c r="F88" s="27">
        <v>176.06</v>
      </c>
      <c r="G88" s="28">
        <v>2.5999999999999999E-3</v>
      </c>
      <c r="H88" s="29"/>
    </row>
    <row r="89" spans="2:16" ht="15.75" customHeight="1" x14ac:dyDescent="0.2">
      <c r="B89" s="25" t="s">
        <v>229</v>
      </c>
      <c r="C89" s="25" t="s">
        <v>230</v>
      </c>
      <c r="D89" s="25" t="s">
        <v>217</v>
      </c>
      <c r="E89" s="26">
        <v>31206</v>
      </c>
      <c r="F89" s="27">
        <v>171.16</v>
      </c>
      <c r="G89" s="28">
        <v>2.5000000000000001E-3</v>
      </c>
      <c r="H89" s="29"/>
    </row>
    <row r="90" spans="2:16" ht="15.75" customHeight="1" x14ac:dyDescent="0.2">
      <c r="B90" s="25" t="s">
        <v>218</v>
      </c>
      <c r="C90" s="25" t="s">
        <v>219</v>
      </c>
      <c r="D90" s="25" t="s">
        <v>121</v>
      </c>
      <c r="E90" s="26">
        <v>177794</v>
      </c>
      <c r="F90" s="27">
        <v>170.24</v>
      </c>
      <c r="G90" s="28">
        <v>2.5000000000000001E-3</v>
      </c>
      <c r="H90" s="29"/>
    </row>
    <row r="91" spans="2:16" ht="15.75" customHeight="1" x14ac:dyDescent="0.2">
      <c r="B91" s="25" t="s">
        <v>419</v>
      </c>
      <c r="C91" s="25" t="s">
        <v>420</v>
      </c>
      <c r="D91" s="25" t="s">
        <v>161</v>
      </c>
      <c r="E91" s="26">
        <v>4829</v>
      </c>
      <c r="F91" s="27">
        <v>169.78</v>
      </c>
      <c r="G91" s="28">
        <v>2.5000000000000001E-3</v>
      </c>
      <c r="H91" s="29"/>
    </row>
    <row r="92" spans="2:16" ht="15.75" customHeight="1" x14ac:dyDescent="0.2">
      <c r="B92" s="25" t="s">
        <v>168</v>
      </c>
      <c r="C92" s="25" t="s">
        <v>169</v>
      </c>
      <c r="D92" s="25" t="s">
        <v>170</v>
      </c>
      <c r="E92" s="26">
        <v>22029</v>
      </c>
      <c r="F92" s="27">
        <v>164.8</v>
      </c>
      <c r="G92" s="28">
        <v>2.3999999999999998E-3</v>
      </c>
      <c r="H92" s="29"/>
    </row>
    <row r="93" spans="2:16" ht="15.75" customHeight="1" x14ac:dyDescent="0.2">
      <c r="B93" s="25" t="s">
        <v>763</v>
      </c>
      <c r="C93" s="25" t="s">
        <v>764</v>
      </c>
      <c r="D93" s="25" t="s">
        <v>209</v>
      </c>
      <c r="E93" s="26">
        <v>16497</v>
      </c>
      <c r="F93" s="27">
        <v>162.97999999999999</v>
      </c>
      <c r="G93" s="28">
        <v>2.3999999999999998E-3</v>
      </c>
      <c r="H93" s="29"/>
    </row>
    <row r="94" spans="2:16" ht="15.75" customHeight="1" x14ac:dyDescent="0.2">
      <c r="B94" s="25" t="s">
        <v>335</v>
      </c>
      <c r="C94" s="25" t="s">
        <v>336</v>
      </c>
      <c r="D94" s="25" t="s">
        <v>164</v>
      </c>
      <c r="E94" s="26">
        <v>18239</v>
      </c>
      <c r="F94" s="27">
        <v>161.87</v>
      </c>
      <c r="G94" s="28">
        <v>2.3999999999999998E-3</v>
      </c>
      <c r="H94" s="29"/>
    </row>
    <row r="95" spans="2:16" ht="15.75" customHeight="1" x14ac:dyDescent="0.2">
      <c r="B95" s="25" t="s">
        <v>753</v>
      </c>
      <c r="C95" s="25" t="s">
        <v>754</v>
      </c>
      <c r="D95" s="25" t="s">
        <v>191</v>
      </c>
      <c r="E95" s="26">
        <v>3176</v>
      </c>
      <c r="F95" s="27">
        <v>148.47</v>
      </c>
      <c r="G95" s="28">
        <v>2.2000000000000001E-3</v>
      </c>
      <c r="H95" s="29"/>
    </row>
    <row r="96" spans="2:16" ht="15.75" customHeight="1" x14ac:dyDescent="0.2">
      <c r="B96" s="25" t="s">
        <v>771</v>
      </c>
      <c r="C96" s="25" t="s">
        <v>772</v>
      </c>
      <c r="D96" s="25" t="s">
        <v>138</v>
      </c>
      <c r="E96" s="26">
        <v>28089</v>
      </c>
      <c r="F96" s="27">
        <v>145.87</v>
      </c>
      <c r="G96" s="28">
        <v>2.0999999999999999E-3</v>
      </c>
      <c r="H96" s="29"/>
    </row>
    <row r="97" spans="2:8" ht="15.75" customHeight="1" x14ac:dyDescent="0.2">
      <c r="B97" s="25" t="s">
        <v>272</v>
      </c>
      <c r="C97" s="25" t="s">
        <v>273</v>
      </c>
      <c r="D97" s="25" t="s">
        <v>274</v>
      </c>
      <c r="E97" s="26">
        <v>142199</v>
      </c>
      <c r="F97" s="27">
        <v>144.97</v>
      </c>
      <c r="G97" s="28">
        <v>2.0999999999999999E-3</v>
      </c>
      <c r="H97" s="29"/>
    </row>
    <row r="98" spans="2:8" ht="15.75" customHeight="1" x14ac:dyDescent="0.2">
      <c r="B98" s="25" t="s">
        <v>386</v>
      </c>
      <c r="C98" s="25" t="s">
        <v>387</v>
      </c>
      <c r="D98" s="25" t="s">
        <v>176</v>
      </c>
      <c r="E98" s="26">
        <v>17597</v>
      </c>
      <c r="F98" s="27">
        <v>133.68</v>
      </c>
      <c r="G98" s="28">
        <v>2E-3</v>
      </c>
      <c r="H98" s="29"/>
    </row>
    <row r="99" spans="2:8" ht="15.75" customHeight="1" x14ac:dyDescent="0.2">
      <c r="B99" s="25" t="s">
        <v>423</v>
      </c>
      <c r="C99" s="25" t="s">
        <v>424</v>
      </c>
      <c r="D99" s="25" t="s">
        <v>194</v>
      </c>
      <c r="E99" s="26">
        <v>5480</v>
      </c>
      <c r="F99" s="27">
        <v>126.34</v>
      </c>
      <c r="G99" s="28">
        <v>1.9E-3</v>
      </c>
      <c r="H99" s="29"/>
    </row>
    <row r="100" spans="2:8" ht="15.75" customHeight="1" x14ac:dyDescent="0.2">
      <c r="B100" s="25" t="s">
        <v>765</v>
      </c>
      <c r="C100" s="25" t="s">
        <v>766</v>
      </c>
      <c r="D100" s="25" t="s">
        <v>295</v>
      </c>
      <c r="E100" s="26">
        <v>15167</v>
      </c>
      <c r="F100" s="27">
        <v>126.27</v>
      </c>
      <c r="G100" s="28">
        <v>1.9E-3</v>
      </c>
      <c r="H100" s="29"/>
    </row>
    <row r="101" spans="2:8" ht="15.75" customHeight="1" x14ac:dyDescent="0.2">
      <c r="B101" s="25" t="s">
        <v>293</v>
      </c>
      <c r="C101" s="25" t="s">
        <v>294</v>
      </c>
      <c r="D101" s="25" t="s">
        <v>295</v>
      </c>
      <c r="E101" s="26">
        <v>23339</v>
      </c>
      <c r="F101" s="27">
        <v>124.83</v>
      </c>
      <c r="G101" s="28">
        <v>1.8E-3</v>
      </c>
      <c r="H101" s="29"/>
    </row>
    <row r="102" spans="2:8" ht="15.75" customHeight="1" x14ac:dyDescent="0.2">
      <c r="B102" s="25" t="s">
        <v>663</v>
      </c>
      <c r="C102" s="25" t="s">
        <v>664</v>
      </c>
      <c r="D102" s="25" t="s">
        <v>274</v>
      </c>
      <c r="E102" s="26">
        <v>514</v>
      </c>
      <c r="F102" s="27">
        <v>114.13</v>
      </c>
      <c r="G102" s="28">
        <v>1.6999999999999999E-3</v>
      </c>
      <c r="H102" s="29"/>
    </row>
    <row r="103" spans="2:8" ht="15.75" customHeight="1" x14ac:dyDescent="0.2">
      <c r="B103" s="25" t="s">
        <v>203</v>
      </c>
      <c r="C103" s="25" t="s">
        <v>204</v>
      </c>
      <c r="D103" s="25" t="s">
        <v>194</v>
      </c>
      <c r="E103" s="26">
        <v>15238</v>
      </c>
      <c r="F103" s="27">
        <v>105.02</v>
      </c>
      <c r="G103" s="28">
        <v>1.5E-3</v>
      </c>
      <c r="H103" s="29"/>
    </row>
    <row r="104" spans="2:8" ht="15.75" customHeight="1" x14ac:dyDescent="0.2">
      <c r="B104" s="25" t="s">
        <v>757</v>
      </c>
      <c r="C104" s="25" t="s">
        <v>758</v>
      </c>
      <c r="D104" s="25" t="s">
        <v>188</v>
      </c>
      <c r="E104" s="26">
        <v>16783</v>
      </c>
      <c r="F104" s="27">
        <v>101.48</v>
      </c>
      <c r="G104" s="28">
        <v>1.5E-3</v>
      </c>
      <c r="H104" s="29"/>
    </row>
    <row r="105" spans="2:8" ht="15.75" customHeight="1" x14ac:dyDescent="0.2">
      <c r="B105" s="25" t="s">
        <v>767</v>
      </c>
      <c r="C105" s="25" t="s">
        <v>768</v>
      </c>
      <c r="D105" s="25" t="s">
        <v>197</v>
      </c>
      <c r="E105" s="26">
        <v>565</v>
      </c>
      <c r="F105" s="27">
        <v>98.12</v>
      </c>
      <c r="G105" s="28">
        <v>1.4E-3</v>
      </c>
      <c r="H105" s="29"/>
    </row>
    <row r="106" spans="2:8" ht="15.75" customHeight="1" x14ac:dyDescent="0.2">
      <c r="B106" s="25" t="s">
        <v>382</v>
      </c>
      <c r="C106" s="25" t="s">
        <v>383</v>
      </c>
      <c r="D106" s="25" t="s">
        <v>176</v>
      </c>
      <c r="E106" s="26">
        <v>6524</v>
      </c>
      <c r="F106" s="27">
        <v>96.31</v>
      </c>
      <c r="G106" s="28">
        <v>1.4E-3</v>
      </c>
      <c r="H106" s="29"/>
    </row>
    <row r="107" spans="2:8" ht="15.75" customHeight="1" x14ac:dyDescent="0.2">
      <c r="B107" s="25" t="s">
        <v>769</v>
      </c>
      <c r="C107" s="25" t="s">
        <v>770</v>
      </c>
      <c r="D107" s="25" t="s">
        <v>217</v>
      </c>
      <c r="E107" s="26">
        <v>9350</v>
      </c>
      <c r="F107" s="27">
        <v>33.18</v>
      </c>
      <c r="G107" s="28">
        <v>5.0000000000000001E-4</v>
      </c>
      <c r="H107" s="29"/>
    </row>
    <row r="108" spans="2:8" ht="15.75" customHeight="1" x14ac:dyDescent="0.2">
      <c r="B108" s="24" t="s">
        <v>93</v>
      </c>
      <c r="C108" s="24"/>
      <c r="D108" s="24"/>
      <c r="E108" s="30"/>
      <c r="F108" s="31">
        <v>68185.73</v>
      </c>
      <c r="G108" s="32">
        <v>0.99950000000000006</v>
      </c>
      <c r="H108" s="33"/>
    </row>
    <row r="109" spans="2:8" ht="15.75" customHeight="1" x14ac:dyDescent="0.2">
      <c r="B109" s="24" t="s">
        <v>141</v>
      </c>
      <c r="C109" s="25"/>
      <c r="D109" s="25"/>
      <c r="E109" s="26"/>
      <c r="F109" s="27"/>
      <c r="G109" s="28"/>
      <c r="H109" s="29"/>
    </row>
    <row r="110" spans="2:8" ht="15.75" customHeight="1" x14ac:dyDescent="0.2">
      <c r="B110" s="24" t="s">
        <v>93</v>
      </c>
      <c r="C110" s="25"/>
      <c r="D110" s="25"/>
      <c r="E110" s="26"/>
      <c r="F110" s="34" t="s">
        <v>95</v>
      </c>
      <c r="G110" s="35" t="s">
        <v>95</v>
      </c>
      <c r="H110" s="29"/>
    </row>
    <row r="111" spans="2:8" ht="15.75" customHeight="1" x14ac:dyDescent="0.2">
      <c r="B111" s="25"/>
      <c r="C111" s="25"/>
      <c r="D111" s="25"/>
      <c r="E111" s="26"/>
      <c r="F111" s="27"/>
      <c r="G111" s="28"/>
      <c r="H111" s="29"/>
    </row>
    <row r="112" spans="2:8" ht="15.75" customHeight="1" x14ac:dyDescent="0.2">
      <c r="B112" s="36" t="s">
        <v>97</v>
      </c>
      <c r="C112" s="36"/>
      <c r="D112" s="36"/>
      <c r="E112" s="37"/>
      <c r="F112" s="31">
        <v>68185.73</v>
      </c>
      <c r="G112" s="32">
        <v>0.99950000000000006</v>
      </c>
      <c r="H112" s="33"/>
    </row>
    <row r="113" spans="2:8" ht="15.75" customHeight="1" x14ac:dyDescent="0.2">
      <c r="B113" s="25"/>
      <c r="C113" s="25"/>
      <c r="D113" s="25"/>
      <c r="E113" s="26"/>
      <c r="F113" s="27"/>
      <c r="G113" s="28"/>
      <c r="H113" s="29"/>
    </row>
    <row r="114" spans="2:8" ht="15.75" customHeight="1" x14ac:dyDescent="0.2">
      <c r="B114" s="25"/>
      <c r="C114" s="25"/>
      <c r="D114" s="25"/>
      <c r="E114" s="26"/>
      <c r="F114" s="27"/>
      <c r="G114" s="28"/>
      <c r="H114" s="29"/>
    </row>
    <row r="115" spans="2:8" ht="15.75" customHeight="1" x14ac:dyDescent="0.2">
      <c r="B115" s="24" t="s">
        <v>100</v>
      </c>
      <c r="C115" s="25"/>
      <c r="D115" s="25"/>
      <c r="E115" s="26"/>
      <c r="F115" s="27"/>
      <c r="G115" s="28"/>
      <c r="H115" s="29"/>
    </row>
    <row r="116" spans="2:8" ht="15.75" customHeight="1" x14ac:dyDescent="0.2">
      <c r="B116" s="25" t="s">
        <v>101</v>
      </c>
      <c r="C116" s="25"/>
      <c r="D116" s="25"/>
      <c r="E116" s="26"/>
      <c r="F116" s="27">
        <v>24.71</v>
      </c>
      <c r="G116" s="28">
        <v>4.0000000000000002E-4</v>
      </c>
      <c r="H116" s="29"/>
    </row>
    <row r="117" spans="2:8" ht="15.75" customHeight="1" x14ac:dyDescent="0.2">
      <c r="B117" s="24" t="s">
        <v>93</v>
      </c>
      <c r="C117" s="24"/>
      <c r="D117" s="24"/>
      <c r="E117" s="30"/>
      <c r="F117" s="31">
        <v>24.71</v>
      </c>
      <c r="G117" s="32">
        <v>4.0000000000000002E-4</v>
      </c>
      <c r="H117" s="33"/>
    </row>
    <row r="118" spans="2:8" ht="15.75" customHeight="1" x14ac:dyDescent="0.2">
      <c r="B118" s="25"/>
      <c r="C118" s="25"/>
      <c r="D118" s="25"/>
      <c r="E118" s="26"/>
      <c r="F118" s="27"/>
      <c r="G118" s="28"/>
      <c r="H118" s="29"/>
    </row>
    <row r="119" spans="2:8" ht="15.75" customHeight="1" x14ac:dyDescent="0.2">
      <c r="B119" s="36" t="s">
        <v>97</v>
      </c>
      <c r="C119" s="36"/>
      <c r="D119" s="36"/>
      <c r="E119" s="37"/>
      <c r="F119" s="31">
        <v>24.71</v>
      </c>
      <c r="G119" s="32">
        <v>4.0000000000000002E-4</v>
      </c>
      <c r="H119" s="33"/>
    </row>
    <row r="120" spans="2:8" ht="15.75" customHeight="1" x14ac:dyDescent="0.2">
      <c r="B120" s="25" t="s">
        <v>102</v>
      </c>
      <c r="C120" s="25"/>
      <c r="D120" s="25"/>
      <c r="E120" s="26"/>
      <c r="F120" s="27">
        <v>5.97</v>
      </c>
      <c r="G120" s="28">
        <v>9.9999999999988987E-5</v>
      </c>
      <c r="H120" s="29"/>
    </row>
    <row r="121" spans="2:8" ht="15.75" customHeight="1" x14ac:dyDescent="0.2">
      <c r="B121" s="40" t="s">
        <v>103</v>
      </c>
      <c r="C121" s="40"/>
      <c r="D121" s="40"/>
      <c r="E121" s="41"/>
      <c r="F121" s="42">
        <v>68216.41</v>
      </c>
      <c r="G121" s="43">
        <v>1</v>
      </c>
      <c r="H121" s="44"/>
    </row>
    <row r="122" spans="2:8" ht="15.75" customHeight="1" thickBot="1" x14ac:dyDescent="0.25">
      <c r="B122" s="2"/>
    </row>
    <row r="123" spans="2:8" ht="27" customHeight="1" thickBot="1" x14ac:dyDescent="0.25">
      <c r="B123" s="57" t="s">
        <v>806</v>
      </c>
      <c r="C123" s="58" t="s">
        <v>807</v>
      </c>
      <c r="D123" s="58" t="s">
        <v>808</v>
      </c>
      <c r="E123" s="59" t="s">
        <v>809</v>
      </c>
      <c r="G123" s="2"/>
      <c r="H123" s="2"/>
    </row>
    <row r="124" spans="2:8" ht="21.75" customHeight="1" x14ac:dyDescent="0.2">
      <c r="B124" s="68" t="s">
        <v>69</v>
      </c>
      <c r="C124" s="83"/>
      <c r="D124" s="86" t="s">
        <v>859</v>
      </c>
      <c r="E124" s="88"/>
      <c r="G124" s="2"/>
      <c r="H124" s="2"/>
    </row>
    <row r="125" spans="2:8" ht="31.5" customHeight="1" x14ac:dyDescent="0.2">
      <c r="B125" s="61" t="s">
        <v>880</v>
      </c>
      <c r="C125" s="84"/>
      <c r="D125" s="87"/>
      <c r="E125" s="84"/>
      <c r="G125" s="2"/>
      <c r="H125" s="2"/>
    </row>
    <row r="126" spans="2:8" ht="48.75" customHeight="1" x14ac:dyDescent="0.2">
      <c r="B126" s="61" t="s">
        <v>881</v>
      </c>
      <c r="C126" s="84"/>
      <c r="D126" s="87"/>
      <c r="E126" s="84"/>
      <c r="G126" s="2"/>
      <c r="H126" s="2"/>
    </row>
    <row r="127" spans="2:8" ht="28.5" customHeight="1" thickBot="1" x14ac:dyDescent="0.25">
      <c r="B127" s="62" t="s">
        <v>882</v>
      </c>
      <c r="C127" s="85"/>
      <c r="D127" s="70" t="s">
        <v>882</v>
      </c>
      <c r="E127" s="89"/>
      <c r="G127" s="2"/>
      <c r="H127" s="2"/>
    </row>
    <row r="128" spans="2:8" ht="24.95" customHeight="1" x14ac:dyDescent="0.2">
      <c r="B128" s="64" t="s">
        <v>815</v>
      </c>
      <c r="C128" s="65"/>
      <c r="D128" s="66"/>
      <c r="E128" s="67"/>
      <c r="G128" s="2"/>
      <c r="H128" s="2"/>
    </row>
    <row r="130" spans="2:8" ht="12" x14ac:dyDescent="0.2">
      <c r="B130" s="2" t="s">
        <v>816</v>
      </c>
      <c r="C130" s="2"/>
      <c r="D130" s="2"/>
      <c r="G130" s="2"/>
      <c r="H130" s="2"/>
    </row>
    <row r="131" spans="2:8" ht="12" x14ac:dyDescent="0.2">
      <c r="B131" s="3" t="s">
        <v>817</v>
      </c>
      <c r="C131" s="2"/>
      <c r="D131" s="2"/>
      <c r="G131" s="2"/>
      <c r="H131" s="2"/>
    </row>
  </sheetData>
  <mergeCells count="3">
    <mergeCell ref="C124:C127"/>
    <mergeCell ref="D124:D126"/>
    <mergeCell ref="E124:E127"/>
  </mergeCells>
  <hyperlinks>
    <hyperlink ref="I1" location="'Sheet1'!A1" display="Index" xr:uid="{A3380D3F-02E7-40B5-91CE-0B783C2BE31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8153-0552-4684-853B-347532D331D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4.5703125" style="9" customWidth="1"/>
    <col min="4" max="4" width="26.5703125" style="9" customWidth="1"/>
    <col min="5" max="5" width="28.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894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462949</v>
      </c>
      <c r="F7" s="27">
        <v>7912.96</v>
      </c>
      <c r="G7" s="28">
        <v>7.7499999999999999E-2</v>
      </c>
      <c r="H7" s="29"/>
    </row>
    <row r="8" spans="2:9" ht="15.75" customHeight="1" x14ac:dyDescent="0.2">
      <c r="B8" s="25" t="s">
        <v>119</v>
      </c>
      <c r="C8" s="25" t="s">
        <v>120</v>
      </c>
      <c r="D8" s="25" t="s">
        <v>121</v>
      </c>
      <c r="E8" s="26">
        <v>760878</v>
      </c>
      <c r="F8" s="27">
        <v>7582.91</v>
      </c>
      <c r="G8" s="28">
        <v>7.4300000000000005E-2</v>
      </c>
      <c r="H8" s="29"/>
    </row>
    <row r="9" spans="2:9" ht="15.75" customHeight="1" x14ac:dyDescent="0.2">
      <c r="B9" s="25" t="s">
        <v>258</v>
      </c>
      <c r="C9" s="25" t="s">
        <v>259</v>
      </c>
      <c r="D9" s="25" t="s">
        <v>121</v>
      </c>
      <c r="E9" s="26">
        <v>366221</v>
      </c>
      <c r="F9" s="27">
        <v>4036.85</v>
      </c>
      <c r="G9" s="28">
        <v>3.95E-2</v>
      </c>
      <c r="H9" s="29"/>
    </row>
    <row r="10" spans="2:9" ht="15.75" customHeight="1" x14ac:dyDescent="0.2">
      <c r="B10" s="25" t="s">
        <v>256</v>
      </c>
      <c r="C10" s="25" t="s">
        <v>257</v>
      </c>
      <c r="D10" s="25" t="s">
        <v>121</v>
      </c>
      <c r="E10" s="26">
        <v>526034</v>
      </c>
      <c r="F10" s="27">
        <v>3377.4</v>
      </c>
      <c r="G10" s="28">
        <v>3.3099999999999997E-2</v>
      </c>
      <c r="H10" s="29"/>
    </row>
    <row r="11" spans="2:9" ht="15.75" customHeight="1" x14ac:dyDescent="0.2">
      <c r="B11" s="25" t="s">
        <v>122</v>
      </c>
      <c r="C11" s="25" t="s">
        <v>123</v>
      </c>
      <c r="D11" s="25" t="s">
        <v>124</v>
      </c>
      <c r="E11" s="26">
        <v>207379</v>
      </c>
      <c r="F11" s="27">
        <v>3199.65</v>
      </c>
      <c r="G11" s="28">
        <v>3.1300000000000001E-2</v>
      </c>
      <c r="H11" s="29"/>
    </row>
    <row r="12" spans="2:9" ht="15.75" customHeight="1" x14ac:dyDescent="0.2">
      <c r="B12" s="25" t="s">
        <v>498</v>
      </c>
      <c r="C12" s="25" t="s">
        <v>499</v>
      </c>
      <c r="D12" s="25" t="s">
        <v>176</v>
      </c>
      <c r="E12" s="26">
        <v>247804</v>
      </c>
      <c r="F12" s="27">
        <v>3121.83</v>
      </c>
      <c r="G12" s="28">
        <v>3.0599999999999999E-2</v>
      </c>
      <c r="H12" s="29"/>
    </row>
    <row r="13" spans="2:9" ht="15.75" customHeight="1" x14ac:dyDescent="0.2">
      <c r="B13" s="25" t="s">
        <v>165</v>
      </c>
      <c r="C13" s="25" t="s">
        <v>166</v>
      </c>
      <c r="D13" s="25" t="s">
        <v>167</v>
      </c>
      <c r="E13" s="26">
        <v>84106</v>
      </c>
      <c r="F13" s="27">
        <v>2569.4</v>
      </c>
      <c r="G13" s="28">
        <v>2.52E-2</v>
      </c>
      <c r="H13" s="29"/>
    </row>
    <row r="14" spans="2:9" ht="15.75" customHeight="1" x14ac:dyDescent="0.2">
      <c r="B14" s="25" t="s">
        <v>318</v>
      </c>
      <c r="C14" s="25" t="s">
        <v>319</v>
      </c>
      <c r="D14" s="25" t="s">
        <v>320</v>
      </c>
      <c r="E14" s="26">
        <v>69655</v>
      </c>
      <c r="F14" s="27">
        <v>2456.04</v>
      </c>
      <c r="G14" s="28">
        <v>2.41E-2</v>
      </c>
      <c r="H14" s="29"/>
    </row>
    <row r="15" spans="2:9" ht="15.75" customHeight="1" x14ac:dyDescent="0.2">
      <c r="B15" s="25" t="s">
        <v>329</v>
      </c>
      <c r="C15" s="25" t="s">
        <v>330</v>
      </c>
      <c r="D15" s="25" t="s">
        <v>188</v>
      </c>
      <c r="E15" s="26">
        <v>65475</v>
      </c>
      <c r="F15" s="27">
        <v>2406.5</v>
      </c>
      <c r="G15" s="28">
        <v>2.3599999999999999E-2</v>
      </c>
      <c r="H15" s="29"/>
    </row>
    <row r="16" spans="2:9" ht="15.75" customHeight="1" x14ac:dyDescent="0.2">
      <c r="B16" s="25" t="s">
        <v>419</v>
      </c>
      <c r="C16" s="25" t="s">
        <v>420</v>
      </c>
      <c r="D16" s="25" t="s">
        <v>161</v>
      </c>
      <c r="E16" s="26">
        <v>66197</v>
      </c>
      <c r="F16" s="27">
        <v>2327.42</v>
      </c>
      <c r="G16" s="28">
        <v>2.2800000000000001E-2</v>
      </c>
      <c r="H16" s="29"/>
    </row>
    <row r="17" spans="2:8" ht="15.75" customHeight="1" x14ac:dyDescent="0.2">
      <c r="B17" s="25" t="s">
        <v>753</v>
      </c>
      <c r="C17" s="25" t="s">
        <v>754</v>
      </c>
      <c r="D17" s="25" t="s">
        <v>191</v>
      </c>
      <c r="E17" s="26">
        <v>46960</v>
      </c>
      <c r="F17" s="27">
        <v>2195.31</v>
      </c>
      <c r="G17" s="28">
        <v>2.1499999999999998E-2</v>
      </c>
      <c r="H17" s="29"/>
    </row>
    <row r="18" spans="2:8" ht="15.75" customHeight="1" x14ac:dyDescent="0.2">
      <c r="B18" s="25" t="s">
        <v>327</v>
      </c>
      <c r="C18" s="25" t="s">
        <v>328</v>
      </c>
      <c r="D18" s="25" t="s">
        <v>121</v>
      </c>
      <c r="E18" s="26">
        <v>1994289</v>
      </c>
      <c r="F18" s="27">
        <v>2103.9699999999998</v>
      </c>
      <c r="G18" s="28">
        <v>2.06E-2</v>
      </c>
      <c r="H18" s="29"/>
    </row>
    <row r="19" spans="2:8" ht="15.75" customHeight="1" x14ac:dyDescent="0.2">
      <c r="B19" s="25" t="s">
        <v>130</v>
      </c>
      <c r="C19" s="25" t="s">
        <v>131</v>
      </c>
      <c r="D19" s="25" t="s">
        <v>132</v>
      </c>
      <c r="E19" s="26">
        <v>77980</v>
      </c>
      <c r="F19" s="27">
        <v>2015.74</v>
      </c>
      <c r="G19" s="28">
        <v>1.9699999999999999E-2</v>
      </c>
      <c r="H19" s="29"/>
    </row>
    <row r="20" spans="2:8" ht="15.75" customHeight="1" x14ac:dyDescent="0.2">
      <c r="B20" s="25" t="s">
        <v>285</v>
      </c>
      <c r="C20" s="25" t="s">
        <v>286</v>
      </c>
      <c r="D20" s="25" t="s">
        <v>173</v>
      </c>
      <c r="E20" s="26">
        <v>79455</v>
      </c>
      <c r="F20" s="27">
        <v>1969.89</v>
      </c>
      <c r="G20" s="28">
        <v>1.9300000000000001E-2</v>
      </c>
      <c r="H20" s="29"/>
    </row>
    <row r="21" spans="2:8" ht="15.75" customHeight="1" x14ac:dyDescent="0.2">
      <c r="B21" s="25" t="s">
        <v>247</v>
      </c>
      <c r="C21" s="25" t="s">
        <v>248</v>
      </c>
      <c r="D21" s="25" t="s">
        <v>176</v>
      </c>
      <c r="E21" s="26">
        <v>26160</v>
      </c>
      <c r="F21" s="27">
        <v>1916.94</v>
      </c>
      <c r="G21" s="28">
        <v>1.8800000000000001E-2</v>
      </c>
      <c r="H21" s="29"/>
    </row>
    <row r="22" spans="2:8" ht="15.75" customHeight="1" x14ac:dyDescent="0.2">
      <c r="B22" s="25" t="s">
        <v>157</v>
      </c>
      <c r="C22" s="25" t="s">
        <v>158</v>
      </c>
      <c r="D22" s="25" t="s">
        <v>129</v>
      </c>
      <c r="E22" s="26">
        <v>413205</v>
      </c>
      <c r="F22" s="27">
        <v>1909.42</v>
      </c>
      <c r="G22" s="28">
        <v>1.8700000000000001E-2</v>
      </c>
      <c r="H22" s="29"/>
    </row>
    <row r="23" spans="2:8" ht="15.75" customHeight="1" x14ac:dyDescent="0.2">
      <c r="B23" s="25" t="s">
        <v>260</v>
      </c>
      <c r="C23" s="25" t="s">
        <v>261</v>
      </c>
      <c r="D23" s="25" t="s">
        <v>138</v>
      </c>
      <c r="E23" s="26">
        <v>42699</v>
      </c>
      <c r="F23" s="27">
        <v>1769.23</v>
      </c>
      <c r="G23" s="28">
        <v>1.7299999999999999E-2</v>
      </c>
      <c r="H23" s="29"/>
    </row>
    <row r="24" spans="2:8" ht="15.75" customHeight="1" x14ac:dyDescent="0.2">
      <c r="B24" s="25" t="s">
        <v>262</v>
      </c>
      <c r="C24" s="25" t="s">
        <v>263</v>
      </c>
      <c r="D24" s="25" t="s">
        <v>124</v>
      </c>
      <c r="E24" s="26">
        <v>116618</v>
      </c>
      <c r="F24" s="27">
        <v>1709.74</v>
      </c>
      <c r="G24" s="28">
        <v>1.67E-2</v>
      </c>
      <c r="H24" s="29"/>
    </row>
    <row r="25" spans="2:8" ht="15.75" customHeight="1" x14ac:dyDescent="0.2">
      <c r="B25" s="25" t="s">
        <v>337</v>
      </c>
      <c r="C25" s="25" t="s">
        <v>338</v>
      </c>
      <c r="D25" s="25" t="s">
        <v>298</v>
      </c>
      <c r="E25" s="26">
        <v>134720</v>
      </c>
      <c r="F25" s="27">
        <v>1668.31</v>
      </c>
      <c r="G25" s="28">
        <v>1.6299999999999999E-2</v>
      </c>
      <c r="H25" s="29"/>
    </row>
    <row r="26" spans="2:8" ht="15.75" customHeight="1" x14ac:dyDescent="0.2">
      <c r="B26" s="25" t="s">
        <v>127</v>
      </c>
      <c r="C26" s="25" t="s">
        <v>128</v>
      </c>
      <c r="D26" s="25" t="s">
        <v>129</v>
      </c>
      <c r="E26" s="26">
        <v>62212</v>
      </c>
      <c r="F26" s="27">
        <v>1657.3</v>
      </c>
      <c r="G26" s="28">
        <v>1.6199999999999999E-2</v>
      </c>
      <c r="H26" s="29"/>
    </row>
    <row r="27" spans="2:8" ht="15.75" customHeight="1" x14ac:dyDescent="0.2">
      <c r="B27" s="25" t="s">
        <v>658</v>
      </c>
      <c r="C27" s="25" t="s">
        <v>659</v>
      </c>
      <c r="D27" s="25" t="s">
        <v>176</v>
      </c>
      <c r="E27" s="26">
        <v>97317</v>
      </c>
      <c r="F27" s="27">
        <v>1640.57</v>
      </c>
      <c r="G27" s="28">
        <v>1.61E-2</v>
      </c>
      <c r="H27" s="29"/>
    </row>
    <row r="28" spans="2:8" ht="15.75" customHeight="1" x14ac:dyDescent="0.2">
      <c r="B28" s="25" t="s">
        <v>702</v>
      </c>
      <c r="C28" s="25" t="s">
        <v>703</v>
      </c>
      <c r="D28" s="25" t="s">
        <v>704</v>
      </c>
      <c r="E28" s="26">
        <v>130936</v>
      </c>
      <c r="F28" s="27">
        <v>1619.55</v>
      </c>
      <c r="G28" s="28">
        <v>1.5900000000000001E-2</v>
      </c>
      <c r="H28" s="29"/>
    </row>
    <row r="29" spans="2:8" ht="15.75" customHeight="1" x14ac:dyDescent="0.2">
      <c r="B29" s="25" t="s">
        <v>224</v>
      </c>
      <c r="C29" s="25" t="s">
        <v>225</v>
      </c>
      <c r="D29" s="25" t="s">
        <v>226</v>
      </c>
      <c r="E29" s="26">
        <v>74242</v>
      </c>
      <c r="F29" s="27">
        <v>1584.92</v>
      </c>
      <c r="G29" s="28">
        <v>1.55E-2</v>
      </c>
      <c r="H29" s="29"/>
    </row>
    <row r="30" spans="2:8" ht="15.75" customHeight="1" x14ac:dyDescent="0.2">
      <c r="B30" s="25" t="s">
        <v>264</v>
      </c>
      <c r="C30" s="25" t="s">
        <v>265</v>
      </c>
      <c r="D30" s="25" t="s">
        <v>138</v>
      </c>
      <c r="E30" s="26">
        <v>15229</v>
      </c>
      <c r="F30" s="27">
        <v>1568.94</v>
      </c>
      <c r="G30" s="28">
        <v>1.54E-2</v>
      </c>
      <c r="H30" s="29"/>
    </row>
    <row r="31" spans="2:8" ht="15.75" customHeight="1" x14ac:dyDescent="0.2">
      <c r="B31" s="25" t="s">
        <v>306</v>
      </c>
      <c r="C31" s="25" t="s">
        <v>307</v>
      </c>
      <c r="D31" s="25" t="s">
        <v>226</v>
      </c>
      <c r="E31" s="26">
        <v>14839</v>
      </c>
      <c r="F31" s="27">
        <v>1558.55</v>
      </c>
      <c r="G31" s="28">
        <v>1.5299999999999999E-2</v>
      </c>
      <c r="H31" s="29"/>
    </row>
    <row r="32" spans="2:8" ht="15.75" customHeight="1" x14ac:dyDescent="0.2">
      <c r="B32" s="25" t="s">
        <v>773</v>
      </c>
      <c r="C32" s="25" t="s">
        <v>774</v>
      </c>
      <c r="D32" s="25" t="s">
        <v>124</v>
      </c>
      <c r="E32" s="26">
        <v>98996</v>
      </c>
      <c r="F32" s="27">
        <v>1498.65</v>
      </c>
      <c r="G32" s="28">
        <v>1.47E-2</v>
      </c>
      <c r="H32" s="29"/>
    </row>
    <row r="33" spans="2:8" ht="15.75" customHeight="1" x14ac:dyDescent="0.2">
      <c r="B33" s="25" t="s">
        <v>162</v>
      </c>
      <c r="C33" s="25" t="s">
        <v>163</v>
      </c>
      <c r="D33" s="25" t="s">
        <v>164</v>
      </c>
      <c r="E33" s="26">
        <v>330609</v>
      </c>
      <c r="F33" s="27">
        <v>1449.22</v>
      </c>
      <c r="G33" s="28">
        <v>1.4200000000000001E-2</v>
      </c>
      <c r="H33" s="29"/>
    </row>
    <row r="34" spans="2:8" ht="15.75" customHeight="1" x14ac:dyDescent="0.2">
      <c r="B34" s="25" t="s">
        <v>136</v>
      </c>
      <c r="C34" s="25" t="s">
        <v>137</v>
      </c>
      <c r="D34" s="25" t="s">
        <v>138</v>
      </c>
      <c r="E34" s="26">
        <v>83222</v>
      </c>
      <c r="F34" s="27">
        <v>1439.24</v>
      </c>
      <c r="G34" s="28">
        <v>1.41E-2</v>
      </c>
      <c r="H34" s="29"/>
    </row>
    <row r="35" spans="2:8" ht="15.75" customHeight="1" x14ac:dyDescent="0.2">
      <c r="B35" s="25" t="s">
        <v>525</v>
      </c>
      <c r="C35" s="25" t="s">
        <v>526</v>
      </c>
      <c r="D35" s="25" t="s">
        <v>298</v>
      </c>
      <c r="E35" s="26">
        <v>26156</v>
      </c>
      <c r="F35" s="27">
        <v>1434.62</v>
      </c>
      <c r="G35" s="28">
        <v>1.4E-2</v>
      </c>
      <c r="H35" s="29"/>
    </row>
    <row r="36" spans="2:8" ht="15.75" customHeight="1" x14ac:dyDescent="0.2">
      <c r="B36" s="25" t="s">
        <v>133</v>
      </c>
      <c r="C36" s="25" t="s">
        <v>134</v>
      </c>
      <c r="D36" s="25" t="s">
        <v>135</v>
      </c>
      <c r="E36" s="26">
        <v>5222</v>
      </c>
      <c r="F36" s="27">
        <v>1388.02</v>
      </c>
      <c r="G36" s="28">
        <v>1.3599999999999999E-2</v>
      </c>
      <c r="H36" s="29"/>
    </row>
    <row r="37" spans="2:8" ht="15.75" customHeight="1" x14ac:dyDescent="0.2">
      <c r="B37" s="25" t="s">
        <v>614</v>
      </c>
      <c r="C37" s="25" t="s">
        <v>615</v>
      </c>
      <c r="D37" s="25" t="s">
        <v>188</v>
      </c>
      <c r="E37" s="26">
        <v>177791</v>
      </c>
      <c r="F37" s="27">
        <v>1372.46</v>
      </c>
      <c r="G37" s="28">
        <v>1.34E-2</v>
      </c>
      <c r="H37" s="29"/>
    </row>
    <row r="38" spans="2:8" ht="15.75" customHeight="1" x14ac:dyDescent="0.2">
      <c r="B38" s="25" t="s">
        <v>139</v>
      </c>
      <c r="C38" s="25" t="s">
        <v>140</v>
      </c>
      <c r="D38" s="25" t="s">
        <v>124</v>
      </c>
      <c r="E38" s="26">
        <v>20985</v>
      </c>
      <c r="F38" s="27">
        <v>1321</v>
      </c>
      <c r="G38" s="28">
        <v>1.29E-2</v>
      </c>
      <c r="H38" s="29"/>
    </row>
    <row r="39" spans="2:8" ht="15.75" customHeight="1" x14ac:dyDescent="0.2">
      <c r="B39" s="25" t="s">
        <v>775</v>
      </c>
      <c r="C39" s="25" t="s">
        <v>776</v>
      </c>
      <c r="D39" s="25" t="s">
        <v>274</v>
      </c>
      <c r="E39" s="26">
        <v>23097</v>
      </c>
      <c r="F39" s="27">
        <v>1248.68</v>
      </c>
      <c r="G39" s="28">
        <v>1.2200000000000001E-2</v>
      </c>
      <c r="H39" s="29"/>
    </row>
    <row r="40" spans="2:8" ht="15.75" customHeight="1" x14ac:dyDescent="0.2">
      <c r="B40" s="25" t="s">
        <v>669</v>
      </c>
      <c r="C40" s="25" t="s">
        <v>670</v>
      </c>
      <c r="D40" s="25" t="s">
        <v>345</v>
      </c>
      <c r="E40" s="26">
        <v>16642</v>
      </c>
      <c r="F40" s="27">
        <v>1225.26</v>
      </c>
      <c r="G40" s="28">
        <v>1.2E-2</v>
      </c>
      <c r="H40" s="29"/>
    </row>
    <row r="41" spans="2:8" ht="15.75" customHeight="1" x14ac:dyDescent="0.2">
      <c r="B41" s="25" t="s">
        <v>509</v>
      </c>
      <c r="C41" s="25" t="s">
        <v>510</v>
      </c>
      <c r="D41" s="25" t="s">
        <v>188</v>
      </c>
      <c r="E41" s="26">
        <v>95534</v>
      </c>
      <c r="F41" s="27">
        <v>1215.3800000000001</v>
      </c>
      <c r="G41" s="28">
        <v>1.1900000000000001E-2</v>
      </c>
      <c r="H41" s="29"/>
    </row>
    <row r="42" spans="2:8" ht="15.75" customHeight="1" x14ac:dyDescent="0.2">
      <c r="B42" s="25" t="s">
        <v>545</v>
      </c>
      <c r="C42" s="25" t="s">
        <v>546</v>
      </c>
      <c r="D42" s="25" t="s">
        <v>404</v>
      </c>
      <c r="E42" s="26">
        <v>3119</v>
      </c>
      <c r="F42" s="27">
        <v>1201.21</v>
      </c>
      <c r="G42" s="28">
        <v>1.18E-2</v>
      </c>
      <c r="H42" s="29"/>
    </row>
    <row r="43" spans="2:8" ht="15.75" customHeight="1" x14ac:dyDescent="0.2">
      <c r="B43" s="25" t="s">
        <v>604</v>
      </c>
      <c r="C43" s="25" t="s">
        <v>605</v>
      </c>
      <c r="D43" s="25" t="s">
        <v>188</v>
      </c>
      <c r="E43" s="26">
        <v>125148</v>
      </c>
      <c r="F43" s="27">
        <v>1185.1500000000001</v>
      </c>
      <c r="G43" s="28">
        <v>1.1599999999999999E-2</v>
      </c>
      <c r="H43" s="29"/>
    </row>
    <row r="44" spans="2:8" ht="15.75" customHeight="1" x14ac:dyDescent="0.2">
      <c r="B44" s="25" t="s">
        <v>556</v>
      </c>
      <c r="C44" s="25" t="s">
        <v>557</v>
      </c>
      <c r="D44" s="25" t="s">
        <v>298</v>
      </c>
      <c r="E44" s="26">
        <v>177919</v>
      </c>
      <c r="F44" s="27">
        <v>1166.17</v>
      </c>
      <c r="G44" s="28">
        <v>1.14E-2</v>
      </c>
      <c r="H44" s="29"/>
    </row>
    <row r="45" spans="2:8" ht="15.75" customHeight="1" x14ac:dyDescent="0.2">
      <c r="B45" s="25" t="s">
        <v>777</v>
      </c>
      <c r="C45" s="25" t="s">
        <v>778</v>
      </c>
      <c r="D45" s="25" t="s">
        <v>191</v>
      </c>
      <c r="E45" s="26">
        <v>37419</v>
      </c>
      <c r="F45" s="27">
        <v>1153.07</v>
      </c>
      <c r="G45" s="28">
        <v>1.1299999999999999E-2</v>
      </c>
      <c r="H45" s="29"/>
    </row>
    <row r="46" spans="2:8" ht="15.75" customHeight="1" x14ac:dyDescent="0.2">
      <c r="B46" s="25" t="s">
        <v>348</v>
      </c>
      <c r="C46" s="25" t="s">
        <v>349</v>
      </c>
      <c r="D46" s="25" t="s">
        <v>124</v>
      </c>
      <c r="E46" s="26">
        <v>18377</v>
      </c>
      <c r="F46" s="27">
        <v>1153.05</v>
      </c>
      <c r="G46" s="28">
        <v>1.1299999999999999E-2</v>
      </c>
      <c r="H46" s="29"/>
    </row>
    <row r="47" spans="2:8" ht="15.75" customHeight="1" x14ac:dyDescent="0.2">
      <c r="B47" s="25" t="s">
        <v>515</v>
      </c>
      <c r="C47" s="25" t="s">
        <v>516</v>
      </c>
      <c r="D47" s="25" t="s">
        <v>124</v>
      </c>
      <c r="E47" s="26">
        <v>12915</v>
      </c>
      <c r="F47" s="27">
        <v>1130.51</v>
      </c>
      <c r="G47" s="28">
        <v>1.11E-2</v>
      </c>
      <c r="H47" s="29"/>
    </row>
    <row r="48" spans="2:8" ht="15.75" customHeight="1" x14ac:dyDescent="0.2">
      <c r="B48" s="25" t="s">
        <v>203</v>
      </c>
      <c r="C48" s="25" t="s">
        <v>204</v>
      </c>
      <c r="D48" s="25" t="s">
        <v>194</v>
      </c>
      <c r="E48" s="26">
        <v>159425</v>
      </c>
      <c r="F48" s="27">
        <v>1098.76</v>
      </c>
      <c r="G48" s="28">
        <v>1.0800000000000001E-2</v>
      </c>
      <c r="H48" s="29"/>
    </row>
    <row r="49" spans="2:8" ht="15.75" customHeight="1" x14ac:dyDescent="0.2">
      <c r="B49" s="25" t="s">
        <v>626</v>
      </c>
      <c r="C49" s="25" t="s">
        <v>627</v>
      </c>
      <c r="D49" s="25" t="s">
        <v>173</v>
      </c>
      <c r="E49" s="26">
        <v>27582</v>
      </c>
      <c r="F49" s="27">
        <v>1062.79</v>
      </c>
      <c r="G49" s="28">
        <v>1.04E-2</v>
      </c>
      <c r="H49" s="29"/>
    </row>
    <row r="50" spans="2:8" ht="15.75" customHeight="1" x14ac:dyDescent="0.2">
      <c r="B50" s="25" t="s">
        <v>323</v>
      </c>
      <c r="C50" s="25" t="s">
        <v>324</v>
      </c>
      <c r="D50" s="25" t="s">
        <v>167</v>
      </c>
      <c r="E50" s="26">
        <v>853703</v>
      </c>
      <c r="F50" s="27">
        <v>1056.03</v>
      </c>
      <c r="G50" s="28">
        <v>1.03E-2</v>
      </c>
      <c r="H50" s="29"/>
    </row>
    <row r="51" spans="2:8" ht="15.75" customHeight="1" x14ac:dyDescent="0.2">
      <c r="B51" s="25" t="s">
        <v>638</v>
      </c>
      <c r="C51" s="25" t="s">
        <v>639</v>
      </c>
      <c r="D51" s="25" t="s">
        <v>188</v>
      </c>
      <c r="E51" s="26">
        <v>13066</v>
      </c>
      <c r="F51" s="27">
        <v>1025.33</v>
      </c>
      <c r="G51" s="28">
        <v>0.01</v>
      </c>
      <c r="H51" s="29"/>
    </row>
    <row r="52" spans="2:8" ht="15.75" customHeight="1" x14ac:dyDescent="0.2">
      <c r="B52" s="25" t="s">
        <v>507</v>
      </c>
      <c r="C52" s="25" t="s">
        <v>508</v>
      </c>
      <c r="D52" s="25" t="s">
        <v>298</v>
      </c>
      <c r="E52" s="26">
        <v>22239</v>
      </c>
      <c r="F52" s="27">
        <v>1010.31</v>
      </c>
      <c r="G52" s="28">
        <v>9.9000000000000008E-3</v>
      </c>
      <c r="H52" s="29"/>
    </row>
    <row r="53" spans="2:8" ht="15.75" customHeight="1" x14ac:dyDescent="0.2">
      <c r="B53" s="25" t="s">
        <v>779</v>
      </c>
      <c r="C53" s="25" t="s">
        <v>780</v>
      </c>
      <c r="D53" s="25" t="s">
        <v>188</v>
      </c>
      <c r="E53" s="26">
        <v>51772</v>
      </c>
      <c r="F53" s="27">
        <v>1010.25</v>
      </c>
      <c r="G53" s="28">
        <v>9.9000000000000008E-3</v>
      </c>
      <c r="H53" s="29"/>
    </row>
    <row r="54" spans="2:8" ht="15.75" customHeight="1" x14ac:dyDescent="0.2">
      <c r="B54" s="25" t="s">
        <v>781</v>
      </c>
      <c r="C54" s="25" t="s">
        <v>782</v>
      </c>
      <c r="D54" s="25" t="s">
        <v>135</v>
      </c>
      <c r="E54" s="26">
        <v>90072</v>
      </c>
      <c r="F54" s="27">
        <v>1007</v>
      </c>
      <c r="G54" s="28">
        <v>9.9000000000000008E-3</v>
      </c>
      <c r="H54" s="29"/>
    </row>
    <row r="55" spans="2:8" ht="15.75" customHeight="1" x14ac:dyDescent="0.2">
      <c r="B55" s="25" t="s">
        <v>562</v>
      </c>
      <c r="C55" s="25" t="s">
        <v>563</v>
      </c>
      <c r="D55" s="25" t="s">
        <v>217</v>
      </c>
      <c r="E55" s="26">
        <v>148276</v>
      </c>
      <c r="F55" s="27">
        <v>954.53</v>
      </c>
      <c r="G55" s="28">
        <v>9.2999999999999992E-3</v>
      </c>
      <c r="H55" s="29"/>
    </row>
    <row r="56" spans="2:8" ht="15.75" customHeight="1" x14ac:dyDescent="0.2">
      <c r="B56" s="25" t="s">
        <v>783</v>
      </c>
      <c r="C56" s="25" t="s">
        <v>784</v>
      </c>
      <c r="D56" s="25" t="s">
        <v>298</v>
      </c>
      <c r="E56" s="26">
        <v>25678</v>
      </c>
      <c r="F56" s="27">
        <v>947.39</v>
      </c>
      <c r="G56" s="28">
        <v>9.2999999999999992E-3</v>
      </c>
      <c r="H56" s="29"/>
    </row>
    <row r="57" spans="2:8" ht="15.75" customHeight="1" x14ac:dyDescent="0.2">
      <c r="B57" s="25" t="s">
        <v>484</v>
      </c>
      <c r="C57" s="25" t="s">
        <v>485</v>
      </c>
      <c r="D57" s="25" t="s">
        <v>274</v>
      </c>
      <c r="E57" s="26">
        <v>26985</v>
      </c>
      <c r="F57" s="27">
        <v>864.33</v>
      </c>
      <c r="G57" s="28">
        <v>8.5000000000000006E-3</v>
      </c>
      <c r="H57" s="29"/>
    </row>
    <row r="58" spans="2:8" ht="15.75" customHeight="1" x14ac:dyDescent="0.2">
      <c r="B58" s="25" t="s">
        <v>405</v>
      </c>
      <c r="C58" s="25" t="s">
        <v>406</v>
      </c>
      <c r="D58" s="25" t="s">
        <v>161</v>
      </c>
      <c r="E58" s="26">
        <v>67276</v>
      </c>
      <c r="F58" s="27">
        <v>842.06</v>
      </c>
      <c r="G58" s="28">
        <v>8.2000000000000007E-3</v>
      </c>
      <c r="H58" s="29"/>
    </row>
    <row r="59" spans="2:8" ht="15.75" customHeight="1" x14ac:dyDescent="0.2">
      <c r="B59" s="25" t="s">
        <v>785</v>
      </c>
      <c r="C59" s="25" t="s">
        <v>786</v>
      </c>
      <c r="D59" s="25" t="s">
        <v>274</v>
      </c>
      <c r="E59" s="26">
        <v>5038</v>
      </c>
      <c r="F59" s="27">
        <v>806.43</v>
      </c>
      <c r="G59" s="28">
        <v>7.9000000000000008E-3</v>
      </c>
      <c r="H59" s="29"/>
    </row>
    <row r="60" spans="2:8" ht="15.75" customHeight="1" x14ac:dyDescent="0.2">
      <c r="B60" s="25" t="s">
        <v>461</v>
      </c>
      <c r="C60" s="25" t="s">
        <v>462</v>
      </c>
      <c r="D60" s="25" t="s">
        <v>194</v>
      </c>
      <c r="E60" s="26">
        <v>3004</v>
      </c>
      <c r="F60" s="27">
        <v>686.45</v>
      </c>
      <c r="G60" s="28">
        <v>6.7000000000000002E-3</v>
      </c>
      <c r="H60" s="29"/>
    </row>
    <row r="61" spans="2:8" ht="15.75" customHeight="1" x14ac:dyDescent="0.2">
      <c r="B61" s="25" t="s">
        <v>592</v>
      </c>
      <c r="C61" s="25" t="s">
        <v>593</v>
      </c>
      <c r="D61" s="25" t="s">
        <v>298</v>
      </c>
      <c r="E61" s="26">
        <v>29166</v>
      </c>
      <c r="F61" s="27">
        <v>679.31</v>
      </c>
      <c r="G61" s="28">
        <v>6.7000000000000002E-3</v>
      </c>
      <c r="H61" s="29"/>
    </row>
    <row r="62" spans="2:8" ht="15.75" customHeight="1" x14ac:dyDescent="0.2">
      <c r="B62" s="25" t="s">
        <v>549</v>
      </c>
      <c r="C62" s="25" t="s">
        <v>550</v>
      </c>
      <c r="D62" s="25" t="s">
        <v>167</v>
      </c>
      <c r="E62" s="26">
        <v>15644</v>
      </c>
      <c r="F62" s="27">
        <v>638.69000000000005</v>
      </c>
      <c r="G62" s="28">
        <v>6.3E-3</v>
      </c>
      <c r="H62" s="29"/>
    </row>
    <row r="63" spans="2:8" ht="15.75" customHeight="1" x14ac:dyDescent="0.2">
      <c r="B63" s="24" t="s">
        <v>93</v>
      </c>
      <c r="C63" s="24"/>
      <c r="D63" s="24"/>
      <c r="E63" s="30"/>
      <c r="F63" s="31">
        <v>100150.69</v>
      </c>
      <c r="G63" s="32">
        <v>0.98070000000000002</v>
      </c>
      <c r="H63" s="33"/>
    </row>
    <row r="64" spans="2:8" ht="15.75" customHeight="1" x14ac:dyDescent="0.2">
      <c r="B64" s="24" t="s">
        <v>141</v>
      </c>
      <c r="C64" s="25"/>
      <c r="D64" s="25"/>
      <c r="E64" s="26"/>
      <c r="F64" s="27"/>
      <c r="G64" s="28"/>
      <c r="H64" s="29"/>
    </row>
    <row r="65" spans="2:16" ht="15.75" customHeight="1" x14ac:dyDescent="0.2">
      <c r="B65" s="24" t="s">
        <v>93</v>
      </c>
      <c r="C65" s="25"/>
      <c r="D65" s="25"/>
      <c r="E65" s="26"/>
      <c r="F65" s="34" t="s">
        <v>95</v>
      </c>
      <c r="G65" s="35" t="s">
        <v>95</v>
      </c>
      <c r="H65" s="29"/>
    </row>
    <row r="66" spans="2:16" ht="15.75" customHeight="1" x14ac:dyDescent="0.2">
      <c r="B66" s="25"/>
      <c r="C66" s="25"/>
      <c r="D66" s="25"/>
      <c r="E66" s="26"/>
      <c r="F66" s="27"/>
      <c r="G66" s="28"/>
      <c r="H66" s="29"/>
    </row>
    <row r="67" spans="2:16" ht="15.75" customHeight="1" x14ac:dyDescent="0.2">
      <c r="B67" s="36" t="s">
        <v>97</v>
      </c>
      <c r="C67" s="36"/>
      <c r="D67" s="36"/>
      <c r="E67" s="37"/>
      <c r="F67" s="31">
        <v>100150.69</v>
      </c>
      <c r="G67" s="32">
        <v>0.98070000000000002</v>
      </c>
      <c r="H67" s="33"/>
    </row>
    <row r="68" spans="2:16" ht="15.75" customHeight="1" x14ac:dyDescent="0.2">
      <c r="B68" s="25"/>
      <c r="C68" s="25"/>
      <c r="D68" s="25"/>
      <c r="E68" s="26"/>
      <c r="F68" s="27"/>
      <c r="G68" s="28"/>
      <c r="H68" s="29"/>
      <c r="L68" s="3"/>
    </row>
    <row r="69" spans="2:16" ht="15.75" customHeight="1" x14ac:dyDescent="0.2">
      <c r="B69" s="25"/>
      <c r="C69" s="25"/>
      <c r="D69" s="25"/>
      <c r="E69" s="26"/>
      <c r="F69" s="27"/>
      <c r="G69" s="28"/>
      <c r="H69" s="29"/>
    </row>
    <row r="70" spans="2:16" ht="15.75" customHeight="1" x14ac:dyDescent="0.2">
      <c r="B70" s="24" t="s">
        <v>100</v>
      </c>
      <c r="C70" s="25"/>
      <c r="D70" s="25"/>
      <c r="E70" s="26"/>
      <c r="F70" s="27"/>
      <c r="G70" s="28"/>
      <c r="H70" s="29"/>
      <c r="L70" s="3"/>
    </row>
    <row r="71" spans="2:16" ht="15.75" customHeight="1" x14ac:dyDescent="0.2">
      <c r="B71" s="25" t="s">
        <v>101</v>
      </c>
      <c r="C71" s="25"/>
      <c r="D71" s="25"/>
      <c r="E71" s="26"/>
      <c r="F71" s="27">
        <v>2076.13</v>
      </c>
      <c r="G71" s="28">
        <v>2.0299999999999999E-2</v>
      </c>
      <c r="H71" s="29"/>
      <c r="L71" s="3"/>
    </row>
    <row r="72" spans="2:16" ht="15.75" customHeight="1" x14ac:dyDescent="0.2">
      <c r="B72" s="24" t="s">
        <v>93</v>
      </c>
      <c r="C72" s="24"/>
      <c r="D72" s="24"/>
      <c r="E72" s="30"/>
      <c r="F72" s="31">
        <v>2076.13</v>
      </c>
      <c r="G72" s="32">
        <v>2.0299999999999999E-2</v>
      </c>
      <c r="H72" s="33"/>
      <c r="L72" s="3"/>
    </row>
    <row r="73" spans="2:16" ht="15.75" customHeight="1" x14ac:dyDescent="0.2">
      <c r="B73" s="25"/>
      <c r="C73" s="25"/>
      <c r="D73" s="25"/>
      <c r="E73" s="26"/>
      <c r="F73" s="27"/>
      <c r="G73" s="28"/>
      <c r="H73" s="29"/>
      <c r="L73" s="3"/>
    </row>
    <row r="74" spans="2:16" ht="15.75" customHeight="1" x14ac:dyDescent="0.2">
      <c r="B74" s="36" t="s">
        <v>97</v>
      </c>
      <c r="C74" s="36"/>
      <c r="D74" s="36"/>
      <c r="E74" s="37"/>
      <c r="F74" s="31">
        <v>2076.13</v>
      </c>
      <c r="G74" s="32">
        <v>2.0299999999999999E-2</v>
      </c>
      <c r="H74" s="33"/>
      <c r="L74" s="3"/>
    </row>
    <row r="75" spans="2:16" ht="15.75" customHeight="1" x14ac:dyDescent="0.2">
      <c r="B75" s="25" t="s">
        <v>102</v>
      </c>
      <c r="C75" s="25"/>
      <c r="D75" s="25"/>
      <c r="E75" s="26"/>
      <c r="F75" s="38">
        <v>-106.78</v>
      </c>
      <c r="G75" s="39">
        <v>-1.0000000000001119E-3</v>
      </c>
      <c r="H75" s="29"/>
      <c r="L75" s="5"/>
      <c r="M75" s="5"/>
      <c r="N75" s="6"/>
      <c r="O75" s="6"/>
      <c r="P75" s="5"/>
    </row>
    <row r="76" spans="2:16" ht="15.75" customHeight="1" x14ac:dyDescent="0.2">
      <c r="B76" s="40" t="s">
        <v>103</v>
      </c>
      <c r="C76" s="40"/>
      <c r="D76" s="40"/>
      <c r="E76" s="41"/>
      <c r="F76" s="42">
        <v>102120.04</v>
      </c>
      <c r="G76" s="43">
        <v>1</v>
      </c>
      <c r="H76" s="44"/>
    </row>
    <row r="77" spans="2:16" ht="15.75" customHeight="1" thickBot="1" x14ac:dyDescent="0.25">
      <c r="B77" s="2"/>
    </row>
    <row r="78" spans="2:16" ht="27" customHeight="1" thickBot="1" x14ac:dyDescent="0.25">
      <c r="B78" s="57" t="s">
        <v>806</v>
      </c>
      <c r="C78" s="58" t="s">
        <v>807</v>
      </c>
      <c r="D78" s="58" t="s">
        <v>808</v>
      </c>
      <c r="E78" s="59" t="s">
        <v>809</v>
      </c>
      <c r="G78" s="2"/>
      <c r="H78" s="2"/>
    </row>
    <row r="79" spans="2:16" ht="28.5" customHeight="1" x14ac:dyDescent="0.2">
      <c r="B79" s="68" t="s">
        <v>883</v>
      </c>
      <c r="C79" s="83"/>
      <c r="D79" s="86" t="s">
        <v>848</v>
      </c>
      <c r="E79" s="88"/>
      <c r="G79" s="2"/>
      <c r="H79" s="2"/>
    </row>
    <row r="80" spans="2:16" ht="30" customHeight="1" x14ac:dyDescent="0.2">
      <c r="B80" s="61" t="s">
        <v>866</v>
      </c>
      <c r="C80" s="84"/>
      <c r="D80" s="87"/>
      <c r="E80" s="84"/>
      <c r="G80" s="2"/>
      <c r="H80" s="2"/>
    </row>
    <row r="81" spans="2:8" ht="30.75" customHeight="1" x14ac:dyDescent="0.2">
      <c r="B81" s="61" t="s">
        <v>884</v>
      </c>
      <c r="C81" s="84"/>
      <c r="D81" s="87"/>
      <c r="E81" s="84"/>
      <c r="G81" s="2"/>
      <c r="H81" s="2"/>
    </row>
    <row r="82" spans="2:8" ht="30" customHeight="1" thickBot="1" x14ac:dyDescent="0.25">
      <c r="B82" s="62" t="s">
        <v>826</v>
      </c>
      <c r="C82" s="85"/>
      <c r="D82" s="70" t="s">
        <v>826</v>
      </c>
      <c r="E82" s="89"/>
      <c r="G82" s="2"/>
      <c r="H82" s="2"/>
    </row>
    <row r="83" spans="2:8" ht="24.95" customHeight="1" x14ac:dyDescent="0.2">
      <c r="B83" s="64" t="s">
        <v>815</v>
      </c>
      <c r="C83" s="65"/>
      <c r="D83" s="66"/>
      <c r="E83" s="67"/>
      <c r="G83" s="2"/>
      <c r="H83" s="2"/>
    </row>
    <row r="85" spans="2:8" ht="12" x14ac:dyDescent="0.2">
      <c r="B85" s="2" t="s">
        <v>816</v>
      </c>
      <c r="C85" s="2"/>
      <c r="D85" s="2"/>
      <c r="G85" s="2"/>
      <c r="H85" s="2"/>
    </row>
    <row r="86" spans="2:8" ht="12" x14ac:dyDescent="0.2">
      <c r="B86" s="3" t="s">
        <v>817</v>
      </c>
      <c r="C86" s="2"/>
      <c r="D86" s="2"/>
      <c r="G86" s="2"/>
      <c r="H86" s="2"/>
    </row>
  </sheetData>
  <mergeCells count="3">
    <mergeCell ref="C79:C82"/>
    <mergeCell ref="D79:D81"/>
    <mergeCell ref="E79:E82"/>
  </mergeCells>
  <hyperlinks>
    <hyperlink ref="I1" location="'Sheet1'!A1" display="Index" xr:uid="{AFCF198D-B9AD-40A6-B279-887A04F2CE5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A723-0119-4730-ABEE-191809CD1F42}">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5.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23</v>
      </c>
      <c r="C1" s="1" t="s">
        <v>892</v>
      </c>
      <c r="D1" s="1" t="s">
        <v>893</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633814</v>
      </c>
      <c r="F7" s="27">
        <v>10833.47</v>
      </c>
      <c r="G7" s="28">
        <v>0.13489999999999999</v>
      </c>
      <c r="H7" s="29"/>
    </row>
    <row r="8" spans="2:9" ht="15.75" customHeight="1" x14ac:dyDescent="0.2">
      <c r="B8" s="25" t="s">
        <v>130</v>
      </c>
      <c r="C8" s="25" t="s">
        <v>131</v>
      </c>
      <c r="D8" s="25" t="s">
        <v>132</v>
      </c>
      <c r="E8" s="26">
        <v>286351</v>
      </c>
      <c r="F8" s="27">
        <v>7402.03</v>
      </c>
      <c r="G8" s="28">
        <v>9.2200000000000004E-2</v>
      </c>
      <c r="H8" s="29"/>
    </row>
    <row r="9" spans="2:9" ht="15.75" customHeight="1" x14ac:dyDescent="0.2">
      <c r="B9" s="25" t="s">
        <v>119</v>
      </c>
      <c r="C9" s="25" t="s">
        <v>120</v>
      </c>
      <c r="D9" s="25" t="s">
        <v>121</v>
      </c>
      <c r="E9" s="26">
        <v>592932</v>
      </c>
      <c r="F9" s="27">
        <v>5909.16</v>
      </c>
      <c r="G9" s="28">
        <v>7.3599999999999999E-2</v>
      </c>
      <c r="H9" s="29"/>
    </row>
    <row r="10" spans="2:9" ht="15.75" customHeight="1" x14ac:dyDescent="0.2">
      <c r="B10" s="25" t="s">
        <v>122</v>
      </c>
      <c r="C10" s="25" t="s">
        <v>123</v>
      </c>
      <c r="D10" s="25" t="s">
        <v>124</v>
      </c>
      <c r="E10" s="26">
        <v>301584</v>
      </c>
      <c r="F10" s="27">
        <v>4653.1400000000003</v>
      </c>
      <c r="G10" s="28">
        <v>5.79E-2</v>
      </c>
      <c r="H10" s="29"/>
    </row>
    <row r="11" spans="2:9" ht="15.75" customHeight="1" x14ac:dyDescent="0.2">
      <c r="B11" s="25" t="s">
        <v>318</v>
      </c>
      <c r="C11" s="25" t="s">
        <v>319</v>
      </c>
      <c r="D11" s="25" t="s">
        <v>320</v>
      </c>
      <c r="E11" s="26">
        <v>100015</v>
      </c>
      <c r="F11" s="27">
        <v>3526.53</v>
      </c>
      <c r="G11" s="28">
        <v>4.3900000000000002E-2</v>
      </c>
      <c r="H11" s="29"/>
    </row>
    <row r="12" spans="2:9" ht="15.75" customHeight="1" x14ac:dyDescent="0.2">
      <c r="B12" s="25" t="s">
        <v>157</v>
      </c>
      <c r="C12" s="25" t="s">
        <v>158</v>
      </c>
      <c r="D12" s="25" t="s">
        <v>129</v>
      </c>
      <c r="E12" s="26">
        <v>751542</v>
      </c>
      <c r="F12" s="27">
        <v>3472.88</v>
      </c>
      <c r="G12" s="28">
        <v>4.3200000000000002E-2</v>
      </c>
      <c r="H12" s="29"/>
    </row>
    <row r="13" spans="2:9" ht="15.75" customHeight="1" x14ac:dyDescent="0.2">
      <c r="B13" s="25" t="s">
        <v>227</v>
      </c>
      <c r="C13" s="25" t="s">
        <v>228</v>
      </c>
      <c r="D13" s="25" t="s">
        <v>124</v>
      </c>
      <c r="E13" s="26">
        <v>85915</v>
      </c>
      <c r="F13" s="27">
        <v>3259.1</v>
      </c>
      <c r="G13" s="28">
        <v>4.0599999999999997E-2</v>
      </c>
      <c r="H13" s="29"/>
    </row>
    <row r="14" spans="2:9" ht="15.75" customHeight="1" x14ac:dyDescent="0.2">
      <c r="B14" s="25" t="s">
        <v>258</v>
      </c>
      <c r="C14" s="25" t="s">
        <v>259</v>
      </c>
      <c r="D14" s="25" t="s">
        <v>121</v>
      </c>
      <c r="E14" s="26">
        <v>233345</v>
      </c>
      <c r="F14" s="27">
        <v>2572.16</v>
      </c>
      <c r="G14" s="28">
        <v>3.2000000000000001E-2</v>
      </c>
      <c r="H14" s="29"/>
    </row>
    <row r="15" spans="2:9" ht="15.75" customHeight="1" x14ac:dyDescent="0.2">
      <c r="B15" s="25" t="s">
        <v>184</v>
      </c>
      <c r="C15" s="25" t="s">
        <v>185</v>
      </c>
      <c r="D15" s="25" t="s">
        <v>121</v>
      </c>
      <c r="E15" s="26">
        <v>123565</v>
      </c>
      <c r="F15" s="27">
        <v>2357.7399999999998</v>
      </c>
      <c r="G15" s="28">
        <v>2.9399999999999999E-2</v>
      </c>
      <c r="H15" s="29"/>
    </row>
    <row r="16" spans="2:9" ht="15.75" customHeight="1" x14ac:dyDescent="0.2">
      <c r="B16" s="25" t="s">
        <v>325</v>
      </c>
      <c r="C16" s="25" t="s">
        <v>326</v>
      </c>
      <c r="D16" s="25" t="s">
        <v>244</v>
      </c>
      <c r="E16" s="26">
        <v>213839</v>
      </c>
      <c r="F16" s="27">
        <v>2207.25</v>
      </c>
      <c r="G16" s="28">
        <v>2.75E-2</v>
      </c>
      <c r="H16" s="29"/>
    </row>
    <row r="17" spans="2:8" ht="15.75" customHeight="1" x14ac:dyDescent="0.2">
      <c r="B17" s="25" t="s">
        <v>256</v>
      </c>
      <c r="C17" s="25" t="s">
        <v>257</v>
      </c>
      <c r="D17" s="25" t="s">
        <v>121</v>
      </c>
      <c r="E17" s="26">
        <v>323150</v>
      </c>
      <c r="F17" s="27">
        <v>2074.7800000000002</v>
      </c>
      <c r="G17" s="28">
        <v>2.58E-2</v>
      </c>
      <c r="H17" s="29"/>
    </row>
    <row r="18" spans="2:8" ht="15.75" customHeight="1" x14ac:dyDescent="0.2">
      <c r="B18" s="25" t="s">
        <v>127</v>
      </c>
      <c r="C18" s="25" t="s">
        <v>128</v>
      </c>
      <c r="D18" s="25" t="s">
        <v>129</v>
      </c>
      <c r="E18" s="26">
        <v>75460</v>
      </c>
      <c r="F18" s="27">
        <v>2010.22</v>
      </c>
      <c r="G18" s="28">
        <v>2.5000000000000001E-2</v>
      </c>
      <c r="H18" s="29"/>
    </row>
    <row r="19" spans="2:8" ht="15.75" customHeight="1" x14ac:dyDescent="0.2">
      <c r="B19" s="25" t="s">
        <v>247</v>
      </c>
      <c r="C19" s="25" t="s">
        <v>248</v>
      </c>
      <c r="D19" s="25" t="s">
        <v>176</v>
      </c>
      <c r="E19" s="26">
        <v>23491</v>
      </c>
      <c r="F19" s="27">
        <v>1721.36</v>
      </c>
      <c r="G19" s="28">
        <v>2.1399999999999999E-2</v>
      </c>
      <c r="H19" s="29"/>
    </row>
    <row r="20" spans="2:8" ht="15.75" customHeight="1" x14ac:dyDescent="0.2">
      <c r="B20" s="25" t="s">
        <v>262</v>
      </c>
      <c r="C20" s="25" t="s">
        <v>263</v>
      </c>
      <c r="D20" s="25" t="s">
        <v>124</v>
      </c>
      <c r="E20" s="26">
        <v>89258</v>
      </c>
      <c r="F20" s="27">
        <v>1308.6099999999999</v>
      </c>
      <c r="G20" s="28">
        <v>1.6299999999999999E-2</v>
      </c>
      <c r="H20" s="29"/>
    </row>
    <row r="21" spans="2:8" ht="15.75" customHeight="1" x14ac:dyDescent="0.2">
      <c r="B21" s="25" t="s">
        <v>136</v>
      </c>
      <c r="C21" s="25" t="s">
        <v>137</v>
      </c>
      <c r="D21" s="25" t="s">
        <v>138</v>
      </c>
      <c r="E21" s="26">
        <v>75281</v>
      </c>
      <c r="F21" s="27">
        <v>1301.9100000000001</v>
      </c>
      <c r="G21" s="28">
        <v>1.6199999999999999E-2</v>
      </c>
      <c r="H21" s="29"/>
    </row>
    <row r="22" spans="2:8" ht="15.75" customHeight="1" x14ac:dyDescent="0.2">
      <c r="B22" s="25" t="s">
        <v>329</v>
      </c>
      <c r="C22" s="25" t="s">
        <v>330</v>
      </c>
      <c r="D22" s="25" t="s">
        <v>188</v>
      </c>
      <c r="E22" s="26">
        <v>35273</v>
      </c>
      <c r="F22" s="27">
        <v>1296.44</v>
      </c>
      <c r="G22" s="28">
        <v>1.61E-2</v>
      </c>
      <c r="H22" s="29"/>
    </row>
    <row r="23" spans="2:8" ht="15.75" customHeight="1" x14ac:dyDescent="0.2">
      <c r="B23" s="25" t="s">
        <v>240</v>
      </c>
      <c r="C23" s="25" t="s">
        <v>241</v>
      </c>
      <c r="D23" s="25" t="s">
        <v>188</v>
      </c>
      <c r="E23" s="26">
        <v>38065</v>
      </c>
      <c r="F23" s="27">
        <v>1295.1199999999999</v>
      </c>
      <c r="G23" s="28">
        <v>1.61E-2</v>
      </c>
      <c r="H23" s="29"/>
    </row>
    <row r="24" spans="2:8" ht="15.75" customHeight="1" x14ac:dyDescent="0.2">
      <c r="B24" s="25" t="s">
        <v>277</v>
      </c>
      <c r="C24" s="25" t="s">
        <v>278</v>
      </c>
      <c r="D24" s="25" t="s">
        <v>202</v>
      </c>
      <c r="E24" s="26">
        <v>403478</v>
      </c>
      <c r="F24" s="27">
        <v>1255.42</v>
      </c>
      <c r="G24" s="28">
        <v>1.5599999999999999E-2</v>
      </c>
      <c r="H24" s="29"/>
    </row>
    <row r="25" spans="2:8" ht="15.75" customHeight="1" x14ac:dyDescent="0.2">
      <c r="B25" s="25" t="s">
        <v>177</v>
      </c>
      <c r="C25" s="25" t="s">
        <v>178</v>
      </c>
      <c r="D25" s="25" t="s">
        <v>138</v>
      </c>
      <c r="E25" s="26">
        <v>148680</v>
      </c>
      <c r="F25" s="27">
        <v>1159.6300000000001</v>
      </c>
      <c r="G25" s="28">
        <v>1.44E-2</v>
      </c>
      <c r="H25" s="29"/>
    </row>
    <row r="26" spans="2:8" ht="15.75" customHeight="1" x14ac:dyDescent="0.2">
      <c r="B26" s="25" t="s">
        <v>264</v>
      </c>
      <c r="C26" s="25" t="s">
        <v>265</v>
      </c>
      <c r="D26" s="25" t="s">
        <v>138</v>
      </c>
      <c r="E26" s="26">
        <v>11182</v>
      </c>
      <c r="F26" s="27">
        <v>1152.01</v>
      </c>
      <c r="G26" s="28">
        <v>1.43E-2</v>
      </c>
      <c r="H26" s="29"/>
    </row>
    <row r="27" spans="2:8" ht="15.75" customHeight="1" x14ac:dyDescent="0.2">
      <c r="B27" s="25" t="s">
        <v>268</v>
      </c>
      <c r="C27" s="25" t="s">
        <v>269</v>
      </c>
      <c r="D27" s="25" t="s">
        <v>194</v>
      </c>
      <c r="E27" s="26">
        <v>91164</v>
      </c>
      <c r="F27" s="27">
        <v>1148.1600000000001</v>
      </c>
      <c r="G27" s="28">
        <v>1.43E-2</v>
      </c>
      <c r="H27" s="29"/>
    </row>
    <row r="28" spans="2:8" ht="15.75" customHeight="1" x14ac:dyDescent="0.2">
      <c r="B28" s="25" t="s">
        <v>306</v>
      </c>
      <c r="C28" s="25" t="s">
        <v>307</v>
      </c>
      <c r="D28" s="25" t="s">
        <v>226</v>
      </c>
      <c r="E28" s="26">
        <v>9686</v>
      </c>
      <c r="F28" s="27">
        <v>1017.33</v>
      </c>
      <c r="G28" s="28">
        <v>1.2699999999999999E-2</v>
      </c>
      <c r="H28" s="29"/>
    </row>
    <row r="29" spans="2:8" ht="15.75" customHeight="1" x14ac:dyDescent="0.2">
      <c r="B29" s="25" t="s">
        <v>210</v>
      </c>
      <c r="C29" s="25" t="s">
        <v>211</v>
      </c>
      <c r="D29" s="25" t="s">
        <v>170</v>
      </c>
      <c r="E29" s="26">
        <v>686219</v>
      </c>
      <c r="F29" s="27">
        <v>957.96</v>
      </c>
      <c r="G29" s="28">
        <v>1.1900000000000001E-2</v>
      </c>
      <c r="H29" s="29"/>
    </row>
    <row r="30" spans="2:8" ht="15.75" customHeight="1" x14ac:dyDescent="0.2">
      <c r="B30" s="25" t="s">
        <v>281</v>
      </c>
      <c r="C30" s="25" t="s">
        <v>282</v>
      </c>
      <c r="D30" s="25" t="s">
        <v>202</v>
      </c>
      <c r="E30" s="26">
        <v>385922</v>
      </c>
      <c r="F30" s="27">
        <v>915.41</v>
      </c>
      <c r="G30" s="28">
        <v>1.14E-2</v>
      </c>
      <c r="H30" s="29"/>
    </row>
    <row r="31" spans="2:8" ht="15.75" customHeight="1" x14ac:dyDescent="0.2">
      <c r="B31" s="25" t="s">
        <v>685</v>
      </c>
      <c r="C31" s="25" t="s">
        <v>686</v>
      </c>
      <c r="D31" s="25" t="s">
        <v>121</v>
      </c>
      <c r="E31" s="26">
        <v>55505</v>
      </c>
      <c r="F31" s="27">
        <v>887.5</v>
      </c>
      <c r="G31" s="28">
        <v>1.11E-2</v>
      </c>
      <c r="H31" s="29"/>
    </row>
    <row r="32" spans="2:8" ht="15.75" customHeight="1" x14ac:dyDescent="0.2">
      <c r="B32" s="25" t="s">
        <v>133</v>
      </c>
      <c r="C32" s="25" t="s">
        <v>134</v>
      </c>
      <c r="D32" s="25" t="s">
        <v>135</v>
      </c>
      <c r="E32" s="26">
        <v>3005</v>
      </c>
      <c r="F32" s="27">
        <v>798.74</v>
      </c>
      <c r="G32" s="28">
        <v>9.9000000000000008E-3</v>
      </c>
      <c r="H32" s="29"/>
    </row>
    <row r="33" spans="2:8" ht="15.75" customHeight="1" x14ac:dyDescent="0.2">
      <c r="B33" s="25" t="s">
        <v>658</v>
      </c>
      <c r="C33" s="25" t="s">
        <v>659</v>
      </c>
      <c r="D33" s="25" t="s">
        <v>176</v>
      </c>
      <c r="E33" s="26">
        <v>45776</v>
      </c>
      <c r="F33" s="27">
        <v>771.69</v>
      </c>
      <c r="G33" s="28">
        <v>9.5999999999999992E-3</v>
      </c>
      <c r="H33" s="29"/>
    </row>
    <row r="34" spans="2:8" ht="15.75" customHeight="1" x14ac:dyDescent="0.2">
      <c r="B34" s="25" t="s">
        <v>656</v>
      </c>
      <c r="C34" s="25" t="s">
        <v>657</v>
      </c>
      <c r="D34" s="25" t="s">
        <v>450</v>
      </c>
      <c r="E34" s="26">
        <v>122805</v>
      </c>
      <c r="F34" s="27">
        <v>755.07</v>
      </c>
      <c r="G34" s="28">
        <v>9.4000000000000004E-3</v>
      </c>
      <c r="H34" s="29"/>
    </row>
    <row r="35" spans="2:8" ht="15.75" customHeight="1" x14ac:dyDescent="0.2">
      <c r="B35" s="25" t="s">
        <v>660</v>
      </c>
      <c r="C35" s="25" t="s">
        <v>661</v>
      </c>
      <c r="D35" s="25" t="s">
        <v>662</v>
      </c>
      <c r="E35" s="26">
        <v>193313</v>
      </c>
      <c r="F35" s="27">
        <v>726.86</v>
      </c>
      <c r="G35" s="28">
        <v>9.1000000000000004E-3</v>
      </c>
      <c r="H35" s="29"/>
    </row>
    <row r="36" spans="2:8" ht="15.75" customHeight="1" x14ac:dyDescent="0.2">
      <c r="B36" s="25" t="s">
        <v>205</v>
      </c>
      <c r="C36" s="25" t="s">
        <v>206</v>
      </c>
      <c r="D36" s="25" t="s">
        <v>170</v>
      </c>
      <c r="E36" s="26">
        <v>80187</v>
      </c>
      <c r="F36" s="27">
        <v>705.85</v>
      </c>
      <c r="G36" s="28">
        <v>8.8000000000000005E-3</v>
      </c>
      <c r="H36" s="29"/>
    </row>
    <row r="37" spans="2:8" ht="15.75" customHeight="1" x14ac:dyDescent="0.2">
      <c r="B37" s="25" t="s">
        <v>687</v>
      </c>
      <c r="C37" s="25" t="s">
        <v>688</v>
      </c>
      <c r="D37" s="25" t="s">
        <v>689</v>
      </c>
      <c r="E37" s="26">
        <v>329677</v>
      </c>
      <c r="F37" s="27">
        <v>676</v>
      </c>
      <c r="G37" s="28">
        <v>8.3999999999999995E-3</v>
      </c>
      <c r="H37" s="29"/>
    </row>
    <row r="38" spans="2:8" ht="15.75" customHeight="1" x14ac:dyDescent="0.2">
      <c r="B38" s="25" t="s">
        <v>220</v>
      </c>
      <c r="C38" s="25" t="s">
        <v>221</v>
      </c>
      <c r="D38" s="25" t="s">
        <v>124</v>
      </c>
      <c r="E38" s="26">
        <v>52756</v>
      </c>
      <c r="F38" s="27">
        <v>671.4</v>
      </c>
      <c r="G38" s="28">
        <v>8.3999999999999995E-3</v>
      </c>
      <c r="H38" s="29"/>
    </row>
    <row r="39" spans="2:8" ht="15.75" customHeight="1" x14ac:dyDescent="0.2">
      <c r="B39" s="25" t="s">
        <v>224</v>
      </c>
      <c r="C39" s="25" t="s">
        <v>225</v>
      </c>
      <c r="D39" s="25" t="s">
        <v>226</v>
      </c>
      <c r="E39" s="26">
        <v>30975</v>
      </c>
      <c r="F39" s="27">
        <v>661.25</v>
      </c>
      <c r="G39" s="28">
        <v>8.2000000000000007E-3</v>
      </c>
      <c r="H39" s="29"/>
    </row>
    <row r="40" spans="2:8" ht="15.75" customHeight="1" x14ac:dyDescent="0.2">
      <c r="B40" s="25" t="s">
        <v>434</v>
      </c>
      <c r="C40" s="25" t="s">
        <v>435</v>
      </c>
      <c r="D40" s="25" t="s">
        <v>138</v>
      </c>
      <c r="E40" s="26">
        <v>9509</v>
      </c>
      <c r="F40" s="27">
        <v>646.35</v>
      </c>
      <c r="G40" s="28">
        <v>8.0000000000000002E-3</v>
      </c>
      <c r="H40" s="29"/>
    </row>
    <row r="41" spans="2:8" ht="15.75" customHeight="1" x14ac:dyDescent="0.2">
      <c r="B41" s="25" t="s">
        <v>690</v>
      </c>
      <c r="C41" s="25" t="s">
        <v>691</v>
      </c>
      <c r="D41" s="25" t="s">
        <v>692</v>
      </c>
      <c r="E41" s="26">
        <v>62044</v>
      </c>
      <c r="F41" s="27">
        <v>635.54999999999995</v>
      </c>
      <c r="G41" s="28">
        <v>7.9000000000000008E-3</v>
      </c>
      <c r="H41" s="29"/>
    </row>
    <row r="42" spans="2:8" ht="15.75" customHeight="1" x14ac:dyDescent="0.2">
      <c r="B42" s="25" t="s">
        <v>693</v>
      </c>
      <c r="C42" s="25" t="s">
        <v>694</v>
      </c>
      <c r="D42" s="25" t="s">
        <v>695</v>
      </c>
      <c r="E42" s="26">
        <v>22099</v>
      </c>
      <c r="F42" s="27">
        <v>629.59</v>
      </c>
      <c r="G42" s="28">
        <v>7.7999999999999996E-3</v>
      </c>
      <c r="H42" s="29"/>
    </row>
    <row r="43" spans="2:8" ht="15.75" customHeight="1" x14ac:dyDescent="0.2">
      <c r="B43" s="25" t="s">
        <v>222</v>
      </c>
      <c r="C43" s="25" t="s">
        <v>223</v>
      </c>
      <c r="D43" s="25" t="s">
        <v>194</v>
      </c>
      <c r="E43" s="26">
        <v>10298</v>
      </c>
      <c r="F43" s="27">
        <v>597.07000000000005</v>
      </c>
      <c r="G43" s="28">
        <v>7.4000000000000003E-3</v>
      </c>
      <c r="H43" s="29"/>
    </row>
    <row r="44" spans="2:8" ht="15.75" customHeight="1" x14ac:dyDescent="0.2">
      <c r="B44" s="25" t="s">
        <v>696</v>
      </c>
      <c r="C44" s="25" t="s">
        <v>697</v>
      </c>
      <c r="D44" s="25" t="s">
        <v>295</v>
      </c>
      <c r="E44" s="26">
        <v>89011</v>
      </c>
      <c r="F44" s="27">
        <v>575.63</v>
      </c>
      <c r="G44" s="28">
        <v>7.1999999999999998E-3</v>
      </c>
      <c r="H44" s="29"/>
    </row>
    <row r="45" spans="2:8" ht="15.75" customHeight="1" x14ac:dyDescent="0.2">
      <c r="B45" s="25" t="s">
        <v>698</v>
      </c>
      <c r="C45" s="25" t="s">
        <v>699</v>
      </c>
      <c r="D45" s="25" t="s">
        <v>124</v>
      </c>
      <c r="E45" s="26">
        <v>118829</v>
      </c>
      <c r="F45" s="27">
        <v>560.04</v>
      </c>
      <c r="G45" s="28">
        <v>7.0000000000000001E-3</v>
      </c>
      <c r="H45" s="29"/>
    </row>
    <row r="46" spans="2:8" ht="15.75" customHeight="1" x14ac:dyDescent="0.2">
      <c r="B46" s="25" t="s">
        <v>215</v>
      </c>
      <c r="C46" s="25" t="s">
        <v>216</v>
      </c>
      <c r="D46" s="25" t="s">
        <v>217</v>
      </c>
      <c r="E46" s="26">
        <v>50939</v>
      </c>
      <c r="F46" s="27">
        <v>553.61</v>
      </c>
      <c r="G46" s="28">
        <v>6.8999999999999999E-3</v>
      </c>
      <c r="H46" s="29"/>
    </row>
    <row r="47" spans="2:8" ht="15.75" customHeight="1" x14ac:dyDescent="0.2">
      <c r="B47" s="25" t="s">
        <v>266</v>
      </c>
      <c r="C47" s="25" t="s">
        <v>267</v>
      </c>
      <c r="D47" s="25" t="s">
        <v>194</v>
      </c>
      <c r="E47" s="26">
        <v>44302</v>
      </c>
      <c r="F47" s="27">
        <v>552.14</v>
      </c>
      <c r="G47" s="28">
        <v>6.8999999999999999E-3</v>
      </c>
      <c r="H47" s="29"/>
    </row>
    <row r="48" spans="2:8" ht="15.75" customHeight="1" x14ac:dyDescent="0.2">
      <c r="B48" s="25" t="s">
        <v>654</v>
      </c>
      <c r="C48" s="25" t="s">
        <v>655</v>
      </c>
      <c r="D48" s="25" t="s">
        <v>295</v>
      </c>
      <c r="E48" s="26">
        <v>37928</v>
      </c>
      <c r="F48" s="27">
        <v>543.36</v>
      </c>
      <c r="G48" s="28">
        <v>6.7999999999999996E-3</v>
      </c>
      <c r="H48" s="29"/>
    </row>
    <row r="49" spans="2:8" ht="15.75" customHeight="1" x14ac:dyDescent="0.2">
      <c r="B49" s="25" t="s">
        <v>415</v>
      </c>
      <c r="C49" s="25" t="s">
        <v>416</v>
      </c>
      <c r="D49" s="25" t="s">
        <v>135</v>
      </c>
      <c r="E49" s="26">
        <v>9938</v>
      </c>
      <c r="F49" s="27">
        <v>530.54</v>
      </c>
      <c r="G49" s="28">
        <v>6.6E-3</v>
      </c>
      <c r="H49" s="29"/>
    </row>
    <row r="50" spans="2:8" ht="15.75" customHeight="1" x14ac:dyDescent="0.2">
      <c r="B50" s="25" t="s">
        <v>139</v>
      </c>
      <c r="C50" s="25" t="s">
        <v>140</v>
      </c>
      <c r="D50" s="25" t="s">
        <v>124</v>
      </c>
      <c r="E50" s="26">
        <v>7750</v>
      </c>
      <c r="F50" s="27">
        <v>487.86</v>
      </c>
      <c r="G50" s="28">
        <v>6.1000000000000004E-3</v>
      </c>
      <c r="H50" s="29"/>
    </row>
    <row r="51" spans="2:8" ht="15.75" customHeight="1" x14ac:dyDescent="0.2">
      <c r="B51" s="25" t="s">
        <v>235</v>
      </c>
      <c r="C51" s="25" t="s">
        <v>236</v>
      </c>
      <c r="D51" s="25" t="s">
        <v>237</v>
      </c>
      <c r="E51" s="26">
        <v>8500</v>
      </c>
      <c r="F51" s="27">
        <v>484.85</v>
      </c>
      <c r="G51" s="28">
        <v>6.0000000000000001E-3</v>
      </c>
      <c r="H51" s="29"/>
    </row>
    <row r="52" spans="2:8" ht="15.75" customHeight="1" x14ac:dyDescent="0.2">
      <c r="B52" s="25" t="s">
        <v>260</v>
      </c>
      <c r="C52" s="25" t="s">
        <v>261</v>
      </c>
      <c r="D52" s="25" t="s">
        <v>138</v>
      </c>
      <c r="E52" s="26">
        <v>11516</v>
      </c>
      <c r="F52" s="27">
        <v>477.17</v>
      </c>
      <c r="G52" s="28">
        <v>5.8999999999999999E-3</v>
      </c>
      <c r="H52" s="29"/>
    </row>
    <row r="53" spans="2:8" ht="15.75" customHeight="1" x14ac:dyDescent="0.2">
      <c r="B53" s="25" t="s">
        <v>275</v>
      </c>
      <c r="C53" s="25" t="s">
        <v>276</v>
      </c>
      <c r="D53" s="25" t="s">
        <v>138</v>
      </c>
      <c r="E53" s="26">
        <v>10985</v>
      </c>
      <c r="F53" s="27">
        <v>454.73</v>
      </c>
      <c r="G53" s="28">
        <v>5.7000000000000002E-3</v>
      </c>
      <c r="H53" s="29"/>
    </row>
    <row r="54" spans="2:8" ht="15.75" customHeight="1" x14ac:dyDescent="0.2">
      <c r="B54" s="25" t="s">
        <v>432</v>
      </c>
      <c r="C54" s="25" t="s">
        <v>433</v>
      </c>
      <c r="D54" s="25" t="s">
        <v>194</v>
      </c>
      <c r="E54" s="26">
        <v>10771</v>
      </c>
      <c r="F54" s="27">
        <v>420.49</v>
      </c>
      <c r="G54" s="28">
        <v>5.1999999999999998E-3</v>
      </c>
      <c r="H54" s="29"/>
    </row>
    <row r="55" spans="2:8" ht="15.75" customHeight="1" x14ac:dyDescent="0.2">
      <c r="B55" s="25" t="s">
        <v>233</v>
      </c>
      <c r="C55" s="25" t="s">
        <v>234</v>
      </c>
      <c r="D55" s="25" t="s">
        <v>132</v>
      </c>
      <c r="E55" s="26">
        <v>80656</v>
      </c>
      <c r="F55" s="27">
        <v>363.48</v>
      </c>
      <c r="G55" s="28">
        <v>4.4999999999999997E-3</v>
      </c>
      <c r="H55" s="29"/>
    </row>
    <row r="56" spans="2:8" ht="15.75" customHeight="1" x14ac:dyDescent="0.2">
      <c r="B56" s="25" t="s">
        <v>700</v>
      </c>
      <c r="C56" s="25" t="s">
        <v>701</v>
      </c>
      <c r="D56" s="25" t="s">
        <v>161</v>
      </c>
      <c r="E56" s="26">
        <v>42473</v>
      </c>
      <c r="F56" s="27">
        <v>249.42</v>
      </c>
      <c r="G56" s="28">
        <v>3.0999999999999999E-3</v>
      </c>
      <c r="H56" s="29"/>
    </row>
    <row r="57" spans="2:8" ht="15.75" customHeight="1" x14ac:dyDescent="0.2">
      <c r="B57" s="24" t="s">
        <v>93</v>
      </c>
      <c r="C57" s="24"/>
      <c r="D57" s="24"/>
      <c r="E57" s="30"/>
      <c r="F57" s="31">
        <v>80224.06</v>
      </c>
      <c r="G57" s="32">
        <v>0.99890000000000001</v>
      </c>
      <c r="H57" s="33"/>
    </row>
    <row r="58" spans="2:8" ht="15.75" customHeight="1" x14ac:dyDescent="0.2">
      <c r="B58" s="24" t="s">
        <v>141</v>
      </c>
      <c r="C58" s="25"/>
      <c r="D58" s="25"/>
      <c r="E58" s="26"/>
      <c r="F58" s="27"/>
      <c r="G58" s="28"/>
      <c r="H58" s="29"/>
    </row>
    <row r="59" spans="2:8" ht="15.75" customHeight="1" x14ac:dyDescent="0.2">
      <c r="B59" s="24" t="s">
        <v>93</v>
      </c>
      <c r="C59" s="25"/>
      <c r="D59" s="25"/>
      <c r="E59" s="26"/>
      <c r="F59" s="34" t="s">
        <v>95</v>
      </c>
      <c r="G59" s="35" t="s">
        <v>95</v>
      </c>
      <c r="H59" s="29"/>
    </row>
    <row r="60" spans="2:8" ht="15.75" customHeight="1" x14ac:dyDescent="0.2">
      <c r="B60" s="25"/>
      <c r="C60" s="25"/>
      <c r="D60" s="25"/>
      <c r="E60" s="26"/>
      <c r="F60" s="27"/>
      <c r="G60" s="28"/>
      <c r="H60" s="29"/>
    </row>
    <row r="61" spans="2:8" ht="15.75" customHeight="1" x14ac:dyDescent="0.2">
      <c r="B61" s="36" t="s">
        <v>97</v>
      </c>
      <c r="C61" s="36"/>
      <c r="D61" s="36"/>
      <c r="E61" s="37"/>
      <c r="F61" s="31">
        <v>80224.06</v>
      </c>
      <c r="G61" s="32">
        <v>0.99890000000000001</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100</v>
      </c>
      <c r="C64" s="25"/>
      <c r="D64" s="25"/>
      <c r="E64" s="26"/>
      <c r="F64" s="27"/>
      <c r="G64" s="28"/>
      <c r="H64" s="29"/>
    </row>
    <row r="65" spans="2:16" ht="15.75" customHeight="1" x14ac:dyDescent="0.2">
      <c r="B65" s="25" t="s">
        <v>101</v>
      </c>
      <c r="C65" s="25"/>
      <c r="D65" s="25"/>
      <c r="E65" s="26"/>
      <c r="F65" s="27">
        <v>103.59</v>
      </c>
      <c r="G65" s="28">
        <v>1.2999999999999999E-3</v>
      </c>
      <c r="H65" s="29"/>
    </row>
    <row r="66" spans="2:16" ht="15.75" customHeight="1" x14ac:dyDescent="0.2">
      <c r="B66" s="24" t="s">
        <v>93</v>
      </c>
      <c r="C66" s="24"/>
      <c r="D66" s="24"/>
      <c r="E66" s="30"/>
      <c r="F66" s="31">
        <v>103.59</v>
      </c>
      <c r="G66" s="32">
        <v>1.2999999999999999E-3</v>
      </c>
      <c r="H66" s="33"/>
    </row>
    <row r="67" spans="2:16" ht="15.75" customHeight="1" x14ac:dyDescent="0.2">
      <c r="B67" s="25"/>
      <c r="C67" s="25"/>
      <c r="D67" s="25"/>
      <c r="E67" s="26"/>
      <c r="F67" s="27"/>
      <c r="G67" s="28"/>
      <c r="H67" s="29"/>
    </row>
    <row r="68" spans="2:16" ht="15.75" customHeight="1" x14ac:dyDescent="0.2">
      <c r="B68" s="36" t="s">
        <v>97</v>
      </c>
      <c r="C68" s="36"/>
      <c r="D68" s="36"/>
      <c r="E68" s="37"/>
      <c r="F68" s="31">
        <v>103.59</v>
      </c>
      <c r="G68" s="32">
        <v>1.2999999999999999E-3</v>
      </c>
      <c r="H68" s="33"/>
      <c r="L68" s="3"/>
    </row>
    <row r="69" spans="2:16" ht="15.75" customHeight="1" x14ac:dyDescent="0.2">
      <c r="B69" s="25" t="s">
        <v>102</v>
      </c>
      <c r="C69" s="25"/>
      <c r="D69" s="25"/>
      <c r="E69" s="26"/>
      <c r="F69" s="38">
        <v>-15.91</v>
      </c>
      <c r="G69" s="39">
        <v>-1.9999999999997797E-4</v>
      </c>
      <c r="H69" s="29"/>
    </row>
    <row r="70" spans="2:16" ht="15.75" customHeight="1" x14ac:dyDescent="0.2">
      <c r="B70" s="40" t="s">
        <v>103</v>
      </c>
      <c r="C70" s="40"/>
      <c r="D70" s="40"/>
      <c r="E70" s="41"/>
      <c r="F70" s="42">
        <v>80311.740000000005</v>
      </c>
      <c r="G70" s="43">
        <v>1</v>
      </c>
      <c r="H70" s="44"/>
      <c r="L70" s="3"/>
    </row>
    <row r="71" spans="2:16" ht="15.75" customHeight="1" thickBot="1" x14ac:dyDescent="0.25">
      <c r="B71" s="2"/>
      <c r="L71" s="3"/>
    </row>
    <row r="72" spans="2:16" ht="27" customHeight="1" thickBot="1" x14ac:dyDescent="0.25">
      <c r="B72" s="57" t="s">
        <v>806</v>
      </c>
      <c r="C72" s="58" t="s">
        <v>807</v>
      </c>
      <c r="D72" s="58" t="s">
        <v>808</v>
      </c>
      <c r="E72" s="59" t="s">
        <v>809</v>
      </c>
      <c r="G72" s="2"/>
      <c r="H72" s="2"/>
    </row>
    <row r="73" spans="2:16" ht="30" customHeight="1" x14ac:dyDescent="0.2">
      <c r="B73" s="68" t="s">
        <v>73</v>
      </c>
      <c r="C73" s="83"/>
      <c r="D73" s="86" t="s">
        <v>865</v>
      </c>
      <c r="E73" s="88"/>
      <c r="G73" s="2"/>
      <c r="H73" s="2"/>
    </row>
    <row r="74" spans="2:16" ht="28.5" customHeight="1" x14ac:dyDescent="0.2">
      <c r="B74" s="61" t="s">
        <v>880</v>
      </c>
      <c r="C74" s="84"/>
      <c r="D74" s="87"/>
      <c r="E74" s="84"/>
      <c r="G74" s="2"/>
      <c r="H74" s="2"/>
    </row>
    <row r="75" spans="2:16" ht="39.950000000000003" customHeight="1" x14ac:dyDescent="0.2">
      <c r="B75" s="61" t="s">
        <v>885</v>
      </c>
      <c r="C75" s="84"/>
      <c r="D75" s="87"/>
      <c r="E75" s="84"/>
      <c r="G75" s="2"/>
      <c r="H75" s="2"/>
    </row>
    <row r="76" spans="2:16" ht="30" customHeight="1" thickBot="1" x14ac:dyDescent="0.25">
      <c r="B76" s="62" t="s">
        <v>886</v>
      </c>
      <c r="C76" s="85"/>
      <c r="D76" s="70" t="s">
        <v>886</v>
      </c>
      <c r="E76" s="89"/>
      <c r="G76" s="2"/>
      <c r="H76" s="2"/>
    </row>
    <row r="77" spans="2:16" ht="24.95" customHeight="1" x14ac:dyDescent="0.2">
      <c r="B77" s="64" t="s">
        <v>815</v>
      </c>
      <c r="C77" s="65"/>
      <c r="D77" s="66"/>
      <c r="E77" s="67"/>
      <c r="G77" s="2"/>
      <c r="H77" s="2"/>
    </row>
    <row r="78" spans="2:16" ht="15.75" customHeight="1" x14ac:dyDescent="0.2">
      <c r="L78" s="7"/>
      <c r="M78" s="7"/>
      <c r="N78" s="7"/>
      <c r="O78" s="7"/>
      <c r="P78" s="7"/>
    </row>
    <row r="79" spans="2:16" ht="12" x14ac:dyDescent="0.2">
      <c r="B79" s="2" t="s">
        <v>816</v>
      </c>
      <c r="C79" s="2"/>
      <c r="D79" s="2"/>
      <c r="G79" s="2"/>
      <c r="H79" s="2"/>
    </row>
    <row r="80" spans="2:16" ht="12" x14ac:dyDescent="0.2">
      <c r="B80" s="3" t="s">
        <v>817</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73:C76"/>
    <mergeCell ref="D73:D75"/>
    <mergeCell ref="E73:E76"/>
  </mergeCells>
  <hyperlinks>
    <hyperlink ref="I1" location="'Sheet1'!A1" display="Index" xr:uid="{F60A75BD-B5F1-4193-A3B8-7AC0965B3E2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58340-E876-4293-86FF-0B178CD5050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4.71093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24</v>
      </c>
      <c r="C1" s="1" t="s">
        <v>890</v>
      </c>
      <c r="D1" s="1" t="s">
        <v>891</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125</v>
      </c>
      <c r="C7" s="25" t="s">
        <v>126</v>
      </c>
      <c r="D7" s="25" t="s">
        <v>121</v>
      </c>
      <c r="E7" s="26">
        <v>699997</v>
      </c>
      <c r="F7" s="27">
        <v>11967.5</v>
      </c>
      <c r="G7" s="28">
        <v>0.15709999999999999</v>
      </c>
      <c r="H7" s="29"/>
    </row>
    <row r="8" spans="2:9" ht="15.75" customHeight="1" x14ac:dyDescent="0.2">
      <c r="B8" s="25" t="s">
        <v>130</v>
      </c>
      <c r="C8" s="25" t="s">
        <v>131</v>
      </c>
      <c r="D8" s="25" t="s">
        <v>132</v>
      </c>
      <c r="E8" s="26">
        <v>319160</v>
      </c>
      <c r="F8" s="27">
        <v>8249.81</v>
      </c>
      <c r="G8" s="28">
        <v>0.10829999999999999</v>
      </c>
      <c r="H8" s="29"/>
    </row>
    <row r="9" spans="2:9" ht="15.75" customHeight="1" x14ac:dyDescent="0.2">
      <c r="B9" s="25" t="s">
        <v>119</v>
      </c>
      <c r="C9" s="25" t="s">
        <v>120</v>
      </c>
      <c r="D9" s="25" t="s">
        <v>121</v>
      </c>
      <c r="E9" s="26">
        <v>648065</v>
      </c>
      <c r="F9" s="27">
        <v>6457.64</v>
      </c>
      <c r="G9" s="28">
        <v>8.48E-2</v>
      </c>
      <c r="H9" s="29"/>
    </row>
    <row r="10" spans="2:9" ht="15.75" customHeight="1" x14ac:dyDescent="0.2">
      <c r="B10" s="25" t="s">
        <v>122</v>
      </c>
      <c r="C10" s="25" t="s">
        <v>123</v>
      </c>
      <c r="D10" s="25" t="s">
        <v>124</v>
      </c>
      <c r="E10" s="26">
        <v>329630</v>
      </c>
      <c r="F10" s="27">
        <v>5085.7</v>
      </c>
      <c r="G10" s="28">
        <v>6.6799999999999998E-2</v>
      </c>
      <c r="H10" s="29"/>
    </row>
    <row r="11" spans="2:9" ht="15.75" customHeight="1" x14ac:dyDescent="0.2">
      <c r="B11" s="25" t="s">
        <v>318</v>
      </c>
      <c r="C11" s="25" t="s">
        <v>319</v>
      </c>
      <c r="D11" s="25" t="s">
        <v>320</v>
      </c>
      <c r="E11" s="26">
        <v>111725</v>
      </c>
      <c r="F11" s="27">
        <v>3940.6</v>
      </c>
      <c r="G11" s="28">
        <v>5.1700000000000003E-2</v>
      </c>
      <c r="H11" s="29"/>
    </row>
    <row r="12" spans="2:9" ht="15.75" customHeight="1" x14ac:dyDescent="0.2">
      <c r="B12" s="25" t="s">
        <v>157</v>
      </c>
      <c r="C12" s="25" t="s">
        <v>158</v>
      </c>
      <c r="D12" s="25" t="s">
        <v>129</v>
      </c>
      <c r="E12" s="26">
        <v>821399</v>
      </c>
      <c r="F12" s="27">
        <v>3797.74</v>
      </c>
      <c r="G12" s="28">
        <v>4.99E-2</v>
      </c>
      <c r="H12" s="29"/>
    </row>
    <row r="13" spans="2:9" ht="15.75" customHeight="1" x14ac:dyDescent="0.2">
      <c r="B13" s="25" t="s">
        <v>227</v>
      </c>
      <c r="C13" s="25" t="s">
        <v>228</v>
      </c>
      <c r="D13" s="25" t="s">
        <v>124</v>
      </c>
      <c r="E13" s="26">
        <v>94882</v>
      </c>
      <c r="F13" s="27">
        <v>3600.72</v>
      </c>
      <c r="G13" s="28">
        <v>4.7300000000000002E-2</v>
      </c>
      <c r="H13" s="29"/>
    </row>
    <row r="14" spans="2:9" ht="15.75" customHeight="1" x14ac:dyDescent="0.2">
      <c r="B14" s="25" t="s">
        <v>258</v>
      </c>
      <c r="C14" s="25" t="s">
        <v>259</v>
      </c>
      <c r="D14" s="25" t="s">
        <v>121</v>
      </c>
      <c r="E14" s="26">
        <v>260332</v>
      </c>
      <c r="F14" s="27">
        <v>2871.33</v>
      </c>
      <c r="G14" s="28">
        <v>3.7699999999999997E-2</v>
      </c>
      <c r="H14" s="29"/>
    </row>
    <row r="15" spans="2:9" ht="15.75" customHeight="1" x14ac:dyDescent="0.2">
      <c r="B15" s="25" t="s">
        <v>184</v>
      </c>
      <c r="C15" s="25" t="s">
        <v>185</v>
      </c>
      <c r="D15" s="25" t="s">
        <v>121</v>
      </c>
      <c r="E15" s="26">
        <v>131373</v>
      </c>
      <c r="F15" s="27">
        <v>2506.73</v>
      </c>
      <c r="G15" s="28">
        <v>3.2899999999999999E-2</v>
      </c>
      <c r="H15" s="29"/>
    </row>
    <row r="16" spans="2:9" ht="15.75" customHeight="1" x14ac:dyDescent="0.2">
      <c r="B16" s="25" t="s">
        <v>325</v>
      </c>
      <c r="C16" s="25" t="s">
        <v>326</v>
      </c>
      <c r="D16" s="25" t="s">
        <v>244</v>
      </c>
      <c r="E16" s="26">
        <v>233846</v>
      </c>
      <c r="F16" s="27">
        <v>2415.2800000000002</v>
      </c>
      <c r="G16" s="28">
        <v>3.1699999999999999E-2</v>
      </c>
      <c r="H16" s="29"/>
    </row>
    <row r="17" spans="2:8" ht="15.75" customHeight="1" x14ac:dyDescent="0.2">
      <c r="B17" s="25" t="s">
        <v>256</v>
      </c>
      <c r="C17" s="25" t="s">
        <v>257</v>
      </c>
      <c r="D17" s="25" t="s">
        <v>121</v>
      </c>
      <c r="E17" s="26">
        <v>353279</v>
      </c>
      <c r="F17" s="27">
        <v>2267.87</v>
      </c>
      <c r="G17" s="28">
        <v>2.98E-2</v>
      </c>
      <c r="H17" s="29"/>
    </row>
    <row r="18" spans="2:8" ht="15.75" customHeight="1" x14ac:dyDescent="0.2">
      <c r="B18" s="25" t="s">
        <v>127</v>
      </c>
      <c r="C18" s="25" t="s">
        <v>128</v>
      </c>
      <c r="D18" s="25" t="s">
        <v>129</v>
      </c>
      <c r="E18" s="26">
        <v>82344</v>
      </c>
      <c r="F18" s="27">
        <v>2193.11</v>
      </c>
      <c r="G18" s="28">
        <v>2.8799999999999999E-2</v>
      </c>
      <c r="H18" s="29"/>
    </row>
    <row r="19" spans="2:8" ht="15.75" customHeight="1" x14ac:dyDescent="0.2">
      <c r="B19" s="25" t="s">
        <v>247</v>
      </c>
      <c r="C19" s="25" t="s">
        <v>248</v>
      </c>
      <c r="D19" s="25" t="s">
        <v>176</v>
      </c>
      <c r="E19" s="26">
        <v>25657</v>
      </c>
      <c r="F19" s="27">
        <v>1879.86</v>
      </c>
      <c r="G19" s="28">
        <v>2.47E-2</v>
      </c>
      <c r="H19" s="29"/>
    </row>
    <row r="20" spans="2:8" ht="15.75" customHeight="1" x14ac:dyDescent="0.2">
      <c r="B20" s="25" t="s">
        <v>136</v>
      </c>
      <c r="C20" s="25" t="s">
        <v>137</v>
      </c>
      <c r="D20" s="25" t="s">
        <v>138</v>
      </c>
      <c r="E20" s="26">
        <v>88013</v>
      </c>
      <c r="F20" s="27">
        <v>1519.24</v>
      </c>
      <c r="G20" s="28">
        <v>1.9900000000000001E-2</v>
      </c>
      <c r="H20" s="29"/>
    </row>
    <row r="21" spans="2:8" ht="15.75" customHeight="1" x14ac:dyDescent="0.2">
      <c r="B21" s="25" t="s">
        <v>262</v>
      </c>
      <c r="C21" s="25" t="s">
        <v>263</v>
      </c>
      <c r="D21" s="25" t="s">
        <v>124</v>
      </c>
      <c r="E21" s="26">
        <v>97559</v>
      </c>
      <c r="F21" s="27">
        <v>1430.31</v>
      </c>
      <c r="G21" s="28">
        <v>1.8800000000000001E-2</v>
      </c>
      <c r="H21" s="29"/>
    </row>
    <row r="22" spans="2:8" ht="15.75" customHeight="1" x14ac:dyDescent="0.2">
      <c r="B22" s="25" t="s">
        <v>329</v>
      </c>
      <c r="C22" s="25" t="s">
        <v>330</v>
      </c>
      <c r="D22" s="25" t="s">
        <v>188</v>
      </c>
      <c r="E22" s="26">
        <v>38544</v>
      </c>
      <c r="F22" s="27">
        <v>1416.86</v>
      </c>
      <c r="G22" s="28">
        <v>1.8599999999999998E-2</v>
      </c>
      <c r="H22" s="29"/>
    </row>
    <row r="23" spans="2:8" ht="15.75" customHeight="1" x14ac:dyDescent="0.2">
      <c r="B23" s="25" t="s">
        <v>240</v>
      </c>
      <c r="C23" s="25" t="s">
        <v>241</v>
      </c>
      <c r="D23" s="25" t="s">
        <v>188</v>
      </c>
      <c r="E23" s="26">
        <v>41599</v>
      </c>
      <c r="F23" s="27">
        <v>1415.24</v>
      </c>
      <c r="G23" s="28">
        <v>1.8599999999999998E-2</v>
      </c>
      <c r="H23" s="29"/>
    </row>
    <row r="24" spans="2:8" ht="15.75" customHeight="1" x14ac:dyDescent="0.2">
      <c r="B24" s="25" t="s">
        <v>277</v>
      </c>
      <c r="C24" s="25" t="s">
        <v>278</v>
      </c>
      <c r="D24" s="25" t="s">
        <v>202</v>
      </c>
      <c r="E24" s="26">
        <v>440892</v>
      </c>
      <c r="F24" s="27">
        <v>1371.84</v>
      </c>
      <c r="G24" s="28">
        <v>1.7999999999999999E-2</v>
      </c>
      <c r="H24" s="29"/>
    </row>
    <row r="25" spans="2:8" ht="15.75" customHeight="1" x14ac:dyDescent="0.2">
      <c r="B25" s="25" t="s">
        <v>177</v>
      </c>
      <c r="C25" s="25" t="s">
        <v>178</v>
      </c>
      <c r="D25" s="25" t="s">
        <v>138</v>
      </c>
      <c r="E25" s="26">
        <v>165669</v>
      </c>
      <c r="F25" s="27">
        <v>1293.46</v>
      </c>
      <c r="G25" s="28">
        <v>1.7000000000000001E-2</v>
      </c>
      <c r="H25" s="29"/>
    </row>
    <row r="26" spans="2:8" ht="15.75" customHeight="1" x14ac:dyDescent="0.2">
      <c r="B26" s="25" t="s">
        <v>264</v>
      </c>
      <c r="C26" s="25" t="s">
        <v>265</v>
      </c>
      <c r="D26" s="25" t="s">
        <v>138</v>
      </c>
      <c r="E26" s="26">
        <v>12309</v>
      </c>
      <c r="F26" s="27">
        <v>1267.75</v>
      </c>
      <c r="G26" s="28">
        <v>1.66E-2</v>
      </c>
      <c r="H26" s="29"/>
    </row>
    <row r="27" spans="2:8" ht="15.75" customHeight="1" x14ac:dyDescent="0.2">
      <c r="B27" s="25" t="s">
        <v>268</v>
      </c>
      <c r="C27" s="25" t="s">
        <v>269</v>
      </c>
      <c r="D27" s="25" t="s">
        <v>194</v>
      </c>
      <c r="E27" s="26">
        <v>99666</v>
      </c>
      <c r="F27" s="27">
        <v>1255.79</v>
      </c>
      <c r="G27" s="28">
        <v>1.6500000000000001E-2</v>
      </c>
      <c r="H27" s="29"/>
    </row>
    <row r="28" spans="2:8" ht="15.75" customHeight="1" x14ac:dyDescent="0.2">
      <c r="B28" s="25" t="s">
        <v>306</v>
      </c>
      <c r="C28" s="25" t="s">
        <v>307</v>
      </c>
      <c r="D28" s="25" t="s">
        <v>226</v>
      </c>
      <c r="E28" s="26">
        <v>10587</v>
      </c>
      <c r="F28" s="27">
        <v>1111.97</v>
      </c>
      <c r="G28" s="28">
        <v>1.46E-2</v>
      </c>
      <c r="H28" s="29"/>
    </row>
    <row r="29" spans="2:8" ht="15.75" customHeight="1" x14ac:dyDescent="0.2">
      <c r="B29" s="25" t="s">
        <v>210</v>
      </c>
      <c r="C29" s="25" t="s">
        <v>211</v>
      </c>
      <c r="D29" s="25" t="s">
        <v>170</v>
      </c>
      <c r="E29" s="26">
        <v>745755</v>
      </c>
      <c r="F29" s="27">
        <v>1040.33</v>
      </c>
      <c r="G29" s="28">
        <v>1.37E-2</v>
      </c>
      <c r="H29" s="29"/>
    </row>
    <row r="30" spans="2:8" ht="15.75" customHeight="1" x14ac:dyDescent="0.2">
      <c r="B30" s="25" t="s">
        <v>281</v>
      </c>
      <c r="C30" s="25" t="s">
        <v>282</v>
      </c>
      <c r="D30" s="25" t="s">
        <v>202</v>
      </c>
      <c r="E30" s="26">
        <v>421263</v>
      </c>
      <c r="F30" s="27">
        <v>999.24</v>
      </c>
      <c r="G30" s="28">
        <v>1.3100000000000001E-2</v>
      </c>
      <c r="H30" s="29"/>
    </row>
    <row r="31" spans="2:8" ht="15.75" customHeight="1" x14ac:dyDescent="0.2">
      <c r="B31" s="25" t="s">
        <v>685</v>
      </c>
      <c r="C31" s="25" t="s">
        <v>686</v>
      </c>
      <c r="D31" s="25" t="s">
        <v>121</v>
      </c>
      <c r="E31" s="26">
        <v>59992</v>
      </c>
      <c r="F31" s="27">
        <v>958.7</v>
      </c>
      <c r="G31" s="28">
        <v>1.26E-2</v>
      </c>
      <c r="H31" s="29"/>
    </row>
    <row r="32" spans="2:8" ht="15.75" customHeight="1" x14ac:dyDescent="0.2">
      <c r="B32" s="25" t="s">
        <v>133</v>
      </c>
      <c r="C32" s="25" t="s">
        <v>134</v>
      </c>
      <c r="D32" s="25" t="s">
        <v>135</v>
      </c>
      <c r="E32" s="26">
        <v>3283</v>
      </c>
      <c r="F32" s="27">
        <v>873.13</v>
      </c>
      <c r="G32" s="28">
        <v>1.15E-2</v>
      </c>
      <c r="H32" s="29"/>
    </row>
    <row r="33" spans="2:8" ht="15.75" customHeight="1" x14ac:dyDescent="0.2">
      <c r="B33" s="25" t="s">
        <v>658</v>
      </c>
      <c r="C33" s="25" t="s">
        <v>659</v>
      </c>
      <c r="D33" s="25" t="s">
        <v>176</v>
      </c>
      <c r="E33" s="26">
        <v>49917</v>
      </c>
      <c r="F33" s="27">
        <v>841.3</v>
      </c>
      <c r="G33" s="28">
        <v>1.0999999999999999E-2</v>
      </c>
      <c r="H33" s="29"/>
    </row>
    <row r="34" spans="2:8" ht="15.75" customHeight="1" x14ac:dyDescent="0.2">
      <c r="B34" s="25" t="s">
        <v>205</v>
      </c>
      <c r="C34" s="25" t="s">
        <v>206</v>
      </c>
      <c r="D34" s="25" t="s">
        <v>170</v>
      </c>
      <c r="E34" s="26">
        <v>87885</v>
      </c>
      <c r="F34" s="27">
        <v>773.74</v>
      </c>
      <c r="G34" s="28">
        <v>1.0200000000000001E-2</v>
      </c>
      <c r="H34" s="29"/>
    </row>
    <row r="35" spans="2:8" ht="15.75" customHeight="1" x14ac:dyDescent="0.2">
      <c r="B35" s="25" t="s">
        <v>220</v>
      </c>
      <c r="C35" s="25" t="s">
        <v>221</v>
      </c>
      <c r="D35" s="25" t="s">
        <v>124</v>
      </c>
      <c r="E35" s="26">
        <v>57611</v>
      </c>
      <c r="F35" s="27">
        <v>733.16</v>
      </c>
      <c r="G35" s="28">
        <v>9.5999999999999992E-3</v>
      </c>
      <c r="H35" s="29"/>
    </row>
    <row r="36" spans="2:8" ht="15.75" customHeight="1" x14ac:dyDescent="0.2">
      <c r="B36" s="25" t="s">
        <v>698</v>
      </c>
      <c r="C36" s="25" t="s">
        <v>699</v>
      </c>
      <c r="D36" s="25" t="s">
        <v>124</v>
      </c>
      <c r="E36" s="26">
        <v>129906</v>
      </c>
      <c r="F36" s="27">
        <v>612.77</v>
      </c>
      <c r="G36" s="28">
        <v>8.0000000000000002E-3</v>
      </c>
      <c r="H36" s="29"/>
    </row>
    <row r="37" spans="2:8" ht="15.75" customHeight="1" x14ac:dyDescent="0.2">
      <c r="B37" s="24" t="s">
        <v>93</v>
      </c>
      <c r="C37" s="24"/>
      <c r="D37" s="24"/>
      <c r="E37" s="30"/>
      <c r="F37" s="31">
        <v>76148.72</v>
      </c>
      <c r="G37" s="32">
        <v>0.99980000000000002</v>
      </c>
      <c r="H37" s="33"/>
    </row>
    <row r="38" spans="2:8" ht="15.75" customHeight="1" x14ac:dyDescent="0.2">
      <c r="B38" s="24" t="s">
        <v>141</v>
      </c>
      <c r="C38" s="25"/>
      <c r="D38" s="25"/>
      <c r="E38" s="26"/>
      <c r="F38" s="27"/>
      <c r="G38" s="28"/>
      <c r="H38" s="29"/>
    </row>
    <row r="39" spans="2:8" ht="15.75" customHeight="1" x14ac:dyDescent="0.2">
      <c r="B39" s="24" t="s">
        <v>93</v>
      </c>
      <c r="C39" s="25"/>
      <c r="D39" s="25"/>
      <c r="E39" s="26"/>
      <c r="F39" s="34" t="s">
        <v>95</v>
      </c>
      <c r="G39" s="35" t="s">
        <v>95</v>
      </c>
      <c r="H39" s="29"/>
    </row>
    <row r="40" spans="2:8" ht="15.75" customHeight="1" x14ac:dyDescent="0.2">
      <c r="B40" s="25"/>
      <c r="C40" s="25"/>
      <c r="D40" s="25"/>
      <c r="E40" s="26"/>
      <c r="F40" s="27"/>
      <c r="G40" s="28"/>
      <c r="H40" s="29"/>
    </row>
    <row r="41" spans="2:8" ht="15.75" customHeight="1" x14ac:dyDescent="0.2">
      <c r="B41" s="36" t="s">
        <v>97</v>
      </c>
      <c r="C41" s="36"/>
      <c r="D41" s="36"/>
      <c r="E41" s="37"/>
      <c r="F41" s="31">
        <v>76148.72</v>
      </c>
      <c r="G41" s="32">
        <v>0.99980000000000002</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100</v>
      </c>
      <c r="C44" s="25"/>
      <c r="D44" s="25"/>
      <c r="E44" s="26"/>
      <c r="F44" s="27"/>
      <c r="G44" s="28"/>
      <c r="H44" s="29"/>
    </row>
    <row r="45" spans="2:8" ht="15.75" customHeight="1" x14ac:dyDescent="0.2">
      <c r="B45" s="25" t="s">
        <v>101</v>
      </c>
      <c r="C45" s="25"/>
      <c r="D45" s="25"/>
      <c r="E45" s="26"/>
      <c r="F45" s="27">
        <v>25.01</v>
      </c>
      <c r="G45" s="28">
        <v>2.9999999999999997E-4</v>
      </c>
      <c r="H45" s="29"/>
    </row>
    <row r="46" spans="2:8" ht="15.75" customHeight="1" x14ac:dyDescent="0.2">
      <c r="B46" s="24" t="s">
        <v>93</v>
      </c>
      <c r="C46" s="24"/>
      <c r="D46" s="24"/>
      <c r="E46" s="30"/>
      <c r="F46" s="31">
        <v>25.01</v>
      </c>
      <c r="G46" s="32">
        <v>2.9999999999999997E-4</v>
      </c>
      <c r="H46" s="33"/>
    </row>
    <row r="47" spans="2:8" ht="15.75" customHeight="1" x14ac:dyDescent="0.2">
      <c r="B47" s="25"/>
      <c r="C47" s="25"/>
      <c r="D47" s="25"/>
      <c r="E47" s="26"/>
      <c r="F47" s="27"/>
      <c r="G47" s="28"/>
      <c r="H47" s="29"/>
    </row>
    <row r="48" spans="2:8" ht="15.75" customHeight="1" x14ac:dyDescent="0.2">
      <c r="B48" s="36" t="s">
        <v>97</v>
      </c>
      <c r="C48" s="36"/>
      <c r="D48" s="36"/>
      <c r="E48" s="37"/>
      <c r="F48" s="31">
        <v>25.01</v>
      </c>
      <c r="G48" s="32">
        <v>2.9999999999999997E-4</v>
      </c>
      <c r="H48" s="33"/>
    </row>
    <row r="49" spans="2:8" ht="15.75" customHeight="1" x14ac:dyDescent="0.2">
      <c r="B49" s="25" t="s">
        <v>102</v>
      </c>
      <c r="C49" s="25"/>
      <c r="D49" s="25"/>
      <c r="E49" s="26"/>
      <c r="F49" s="38">
        <v>-14.42</v>
      </c>
      <c r="G49" s="39">
        <v>-9.9999999999988987E-5</v>
      </c>
      <c r="H49" s="29"/>
    </row>
    <row r="50" spans="2:8" ht="15.75" customHeight="1" x14ac:dyDescent="0.2">
      <c r="B50" s="40" t="s">
        <v>103</v>
      </c>
      <c r="C50" s="40"/>
      <c r="D50" s="40"/>
      <c r="E50" s="41"/>
      <c r="F50" s="42">
        <v>76159.31</v>
      </c>
      <c r="G50" s="43">
        <v>1</v>
      </c>
      <c r="H50" s="44"/>
    </row>
    <row r="51" spans="2:8" ht="15.75" customHeight="1" thickBot="1" x14ac:dyDescent="0.25">
      <c r="B51" s="2"/>
    </row>
    <row r="52" spans="2:8" ht="27" customHeight="1" thickBot="1" x14ac:dyDescent="0.25">
      <c r="B52" s="57" t="s">
        <v>806</v>
      </c>
      <c r="C52" s="58" t="s">
        <v>807</v>
      </c>
      <c r="D52" s="58" t="s">
        <v>808</v>
      </c>
      <c r="E52" s="59" t="s">
        <v>809</v>
      </c>
      <c r="G52" s="2"/>
      <c r="H52" s="2"/>
    </row>
    <row r="53" spans="2:8" ht="30" customHeight="1" x14ac:dyDescent="0.2">
      <c r="B53" s="68" t="s">
        <v>75</v>
      </c>
      <c r="C53" s="83"/>
      <c r="D53" s="86" t="s">
        <v>868</v>
      </c>
      <c r="E53" s="88"/>
      <c r="G53" s="2"/>
      <c r="H53" s="2"/>
    </row>
    <row r="54" spans="2:8" ht="34.5" customHeight="1" x14ac:dyDescent="0.2">
      <c r="B54" s="61" t="s">
        <v>880</v>
      </c>
      <c r="C54" s="84"/>
      <c r="D54" s="87"/>
      <c r="E54" s="84"/>
      <c r="G54" s="2"/>
      <c r="H54" s="2"/>
    </row>
    <row r="55" spans="2:8" ht="39.950000000000003" customHeight="1" x14ac:dyDescent="0.2">
      <c r="B55" s="61" t="s">
        <v>887</v>
      </c>
      <c r="C55" s="84"/>
      <c r="D55" s="87"/>
      <c r="E55" s="84"/>
      <c r="G55" s="2"/>
      <c r="H55" s="2"/>
    </row>
    <row r="56" spans="2:8" ht="29.25" customHeight="1" thickBot="1" x14ac:dyDescent="0.25">
      <c r="B56" s="62" t="s">
        <v>886</v>
      </c>
      <c r="C56" s="85"/>
      <c r="D56" s="70" t="s">
        <v>886</v>
      </c>
      <c r="E56" s="89"/>
      <c r="G56" s="2"/>
      <c r="H56" s="2"/>
    </row>
    <row r="57" spans="2:8" ht="24.95" customHeight="1" x14ac:dyDescent="0.2">
      <c r="B57" s="64" t="s">
        <v>815</v>
      </c>
      <c r="C57" s="65"/>
      <c r="D57" s="66"/>
      <c r="E57" s="67"/>
      <c r="G57" s="2"/>
      <c r="H57" s="2"/>
    </row>
    <row r="59" spans="2:8" ht="12" x14ac:dyDescent="0.2">
      <c r="B59" s="2" t="s">
        <v>816</v>
      </c>
      <c r="C59" s="2"/>
      <c r="D59" s="2"/>
      <c r="G59" s="2"/>
      <c r="H59" s="2"/>
    </row>
    <row r="60" spans="2:8" ht="12" x14ac:dyDescent="0.2">
      <c r="B60" s="3" t="s">
        <v>817</v>
      </c>
      <c r="C60" s="2"/>
      <c r="D60" s="2"/>
      <c r="G60" s="2"/>
      <c r="H60"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99EB76AB-2E22-4125-B6FA-92012AE42DA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682CF-E681-41D7-B490-1E1DBEF433B1}">
  <dimension ref="B1:P94"/>
  <sheetViews>
    <sheetView workbookViewId="0"/>
  </sheetViews>
  <sheetFormatPr defaultColWidth="9.140625" defaultRowHeight="15.75" customHeight="1" x14ac:dyDescent="0.2"/>
  <cols>
    <col min="1" max="1" width="3.5703125" style="2" customWidth="1"/>
    <col min="2" max="2" width="50.42578125" style="9" customWidth="1"/>
    <col min="3" max="3" width="23.7109375" style="9" customWidth="1"/>
    <col min="4" max="4" width="26.5703125" style="9" customWidth="1"/>
    <col min="5" max="5" width="28.57031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117</v>
      </c>
      <c r="C5" s="19"/>
      <c r="D5" s="19"/>
      <c r="E5" s="20"/>
      <c r="F5" s="21"/>
      <c r="G5" s="22"/>
      <c r="H5" s="23"/>
    </row>
    <row r="6" spans="2:9" ht="15.75" customHeight="1" x14ac:dyDescent="0.2">
      <c r="B6" s="24" t="s">
        <v>118</v>
      </c>
      <c r="C6" s="25"/>
      <c r="D6" s="25"/>
      <c r="E6" s="26"/>
      <c r="F6" s="27"/>
      <c r="G6" s="28"/>
      <c r="H6" s="29"/>
    </row>
    <row r="7" spans="2:9" ht="15.75" customHeight="1" x14ac:dyDescent="0.2">
      <c r="B7" s="25" t="s">
        <v>119</v>
      </c>
      <c r="C7" s="25" t="s">
        <v>120</v>
      </c>
      <c r="D7" s="25" t="s">
        <v>121</v>
      </c>
      <c r="E7" s="26">
        <v>351932</v>
      </c>
      <c r="F7" s="27">
        <v>3507.35</v>
      </c>
      <c r="G7" s="28">
        <v>7.2999999999999995E-2</v>
      </c>
      <c r="H7" s="29"/>
    </row>
    <row r="8" spans="2:9" ht="15.75" customHeight="1" x14ac:dyDescent="0.2">
      <c r="B8" s="25" t="s">
        <v>125</v>
      </c>
      <c r="C8" s="25" t="s">
        <v>126</v>
      </c>
      <c r="D8" s="25" t="s">
        <v>121</v>
      </c>
      <c r="E8" s="26">
        <v>158134</v>
      </c>
      <c r="F8" s="27">
        <v>2702.91</v>
      </c>
      <c r="G8" s="28">
        <v>5.62E-2</v>
      </c>
      <c r="H8" s="29"/>
    </row>
    <row r="9" spans="2:9" ht="15.75" customHeight="1" x14ac:dyDescent="0.2">
      <c r="B9" s="25" t="s">
        <v>122</v>
      </c>
      <c r="C9" s="25" t="s">
        <v>123</v>
      </c>
      <c r="D9" s="25" t="s">
        <v>124</v>
      </c>
      <c r="E9" s="26">
        <v>163266</v>
      </c>
      <c r="F9" s="27">
        <v>2519.0300000000002</v>
      </c>
      <c r="G9" s="28">
        <v>5.2400000000000002E-2</v>
      </c>
      <c r="H9" s="29"/>
    </row>
    <row r="10" spans="2:9" ht="15.75" customHeight="1" x14ac:dyDescent="0.2">
      <c r="B10" s="25" t="s">
        <v>227</v>
      </c>
      <c r="C10" s="25" t="s">
        <v>228</v>
      </c>
      <c r="D10" s="25" t="s">
        <v>124</v>
      </c>
      <c r="E10" s="26">
        <v>42065</v>
      </c>
      <c r="F10" s="27">
        <v>1595.69</v>
      </c>
      <c r="G10" s="28">
        <v>3.32E-2</v>
      </c>
      <c r="H10" s="29"/>
    </row>
    <row r="11" spans="2:9" ht="15.75" customHeight="1" x14ac:dyDescent="0.2">
      <c r="B11" s="25" t="s">
        <v>165</v>
      </c>
      <c r="C11" s="25" t="s">
        <v>166</v>
      </c>
      <c r="D11" s="25" t="s">
        <v>167</v>
      </c>
      <c r="E11" s="26">
        <v>49642</v>
      </c>
      <c r="F11" s="27">
        <v>1516.54</v>
      </c>
      <c r="G11" s="28">
        <v>3.15E-2</v>
      </c>
      <c r="H11" s="29"/>
    </row>
    <row r="12" spans="2:9" ht="15.75" customHeight="1" x14ac:dyDescent="0.2">
      <c r="B12" s="25" t="s">
        <v>329</v>
      </c>
      <c r="C12" s="25" t="s">
        <v>330</v>
      </c>
      <c r="D12" s="25" t="s">
        <v>188</v>
      </c>
      <c r="E12" s="26">
        <v>37729</v>
      </c>
      <c r="F12" s="27">
        <v>1386.71</v>
      </c>
      <c r="G12" s="28">
        <v>2.8799999999999999E-2</v>
      </c>
      <c r="H12" s="29"/>
    </row>
    <row r="13" spans="2:9" ht="15.75" customHeight="1" x14ac:dyDescent="0.2">
      <c r="B13" s="25" t="s">
        <v>598</v>
      </c>
      <c r="C13" s="25" t="s">
        <v>599</v>
      </c>
      <c r="D13" s="25" t="s">
        <v>298</v>
      </c>
      <c r="E13" s="26">
        <v>36098</v>
      </c>
      <c r="F13" s="27">
        <v>1251.43</v>
      </c>
      <c r="G13" s="28">
        <v>2.5999999999999999E-2</v>
      </c>
      <c r="H13" s="29"/>
    </row>
    <row r="14" spans="2:9" ht="15.75" customHeight="1" x14ac:dyDescent="0.2">
      <c r="B14" s="25" t="s">
        <v>258</v>
      </c>
      <c r="C14" s="25" t="s">
        <v>259</v>
      </c>
      <c r="D14" s="25" t="s">
        <v>121</v>
      </c>
      <c r="E14" s="26">
        <v>110264</v>
      </c>
      <c r="F14" s="27">
        <v>1215.44</v>
      </c>
      <c r="G14" s="28">
        <v>2.53E-2</v>
      </c>
      <c r="H14" s="29"/>
    </row>
    <row r="15" spans="2:9" ht="15.75" customHeight="1" x14ac:dyDescent="0.2">
      <c r="B15" s="25" t="s">
        <v>549</v>
      </c>
      <c r="C15" s="25" t="s">
        <v>550</v>
      </c>
      <c r="D15" s="25" t="s">
        <v>167</v>
      </c>
      <c r="E15" s="26">
        <v>29606</v>
      </c>
      <c r="F15" s="27">
        <v>1208.71</v>
      </c>
      <c r="G15" s="28">
        <v>2.5100000000000001E-2</v>
      </c>
      <c r="H15" s="29"/>
    </row>
    <row r="16" spans="2:9" ht="15.75" customHeight="1" x14ac:dyDescent="0.2">
      <c r="B16" s="25" t="s">
        <v>247</v>
      </c>
      <c r="C16" s="25" t="s">
        <v>248</v>
      </c>
      <c r="D16" s="25" t="s">
        <v>176</v>
      </c>
      <c r="E16" s="26">
        <v>16354</v>
      </c>
      <c r="F16" s="27">
        <v>1198.3800000000001</v>
      </c>
      <c r="G16" s="28">
        <v>2.4899999999999999E-2</v>
      </c>
      <c r="H16" s="29"/>
    </row>
    <row r="17" spans="2:8" ht="15.75" customHeight="1" x14ac:dyDescent="0.2">
      <c r="B17" s="25" t="s">
        <v>390</v>
      </c>
      <c r="C17" s="25" t="s">
        <v>391</v>
      </c>
      <c r="D17" s="25" t="s">
        <v>292</v>
      </c>
      <c r="E17" s="26">
        <v>164723</v>
      </c>
      <c r="F17" s="27">
        <v>1162.29</v>
      </c>
      <c r="G17" s="28">
        <v>2.4199999999999999E-2</v>
      </c>
      <c r="H17" s="29"/>
    </row>
    <row r="18" spans="2:8" ht="15.75" customHeight="1" x14ac:dyDescent="0.2">
      <c r="B18" s="25" t="s">
        <v>285</v>
      </c>
      <c r="C18" s="25" t="s">
        <v>286</v>
      </c>
      <c r="D18" s="25" t="s">
        <v>173</v>
      </c>
      <c r="E18" s="26">
        <v>45240</v>
      </c>
      <c r="F18" s="27">
        <v>1121.6099999999999</v>
      </c>
      <c r="G18" s="28">
        <v>2.3300000000000001E-2</v>
      </c>
      <c r="H18" s="29"/>
    </row>
    <row r="19" spans="2:8" ht="15.75" customHeight="1" x14ac:dyDescent="0.2">
      <c r="B19" s="25" t="s">
        <v>432</v>
      </c>
      <c r="C19" s="25" t="s">
        <v>433</v>
      </c>
      <c r="D19" s="25" t="s">
        <v>194</v>
      </c>
      <c r="E19" s="26">
        <v>23804</v>
      </c>
      <c r="F19" s="27">
        <v>929.28</v>
      </c>
      <c r="G19" s="28">
        <v>1.9300000000000001E-2</v>
      </c>
      <c r="H19" s="29"/>
    </row>
    <row r="20" spans="2:8" ht="15.75" customHeight="1" x14ac:dyDescent="0.2">
      <c r="B20" s="25" t="s">
        <v>130</v>
      </c>
      <c r="C20" s="25" t="s">
        <v>131</v>
      </c>
      <c r="D20" s="25" t="s">
        <v>132</v>
      </c>
      <c r="E20" s="26">
        <v>31150</v>
      </c>
      <c r="F20" s="27">
        <v>805.21</v>
      </c>
      <c r="G20" s="28">
        <v>1.67E-2</v>
      </c>
      <c r="H20" s="29"/>
    </row>
    <row r="21" spans="2:8" ht="15.75" customHeight="1" x14ac:dyDescent="0.2">
      <c r="B21" s="25" t="s">
        <v>440</v>
      </c>
      <c r="C21" s="25" t="s">
        <v>441</v>
      </c>
      <c r="D21" s="25" t="s">
        <v>298</v>
      </c>
      <c r="E21" s="26">
        <v>71359</v>
      </c>
      <c r="F21" s="27">
        <v>794.51</v>
      </c>
      <c r="G21" s="28">
        <v>1.6500000000000001E-2</v>
      </c>
      <c r="H21" s="29"/>
    </row>
    <row r="22" spans="2:8" ht="15.75" customHeight="1" x14ac:dyDescent="0.2">
      <c r="B22" s="25" t="s">
        <v>215</v>
      </c>
      <c r="C22" s="25" t="s">
        <v>216</v>
      </c>
      <c r="D22" s="25" t="s">
        <v>217</v>
      </c>
      <c r="E22" s="26">
        <v>69748</v>
      </c>
      <c r="F22" s="27">
        <v>758.02</v>
      </c>
      <c r="G22" s="28">
        <v>1.5800000000000002E-2</v>
      </c>
      <c r="H22" s="29"/>
    </row>
    <row r="23" spans="2:8" ht="15.75" customHeight="1" x14ac:dyDescent="0.2">
      <c r="B23" s="25" t="s">
        <v>287</v>
      </c>
      <c r="C23" s="25" t="s">
        <v>288</v>
      </c>
      <c r="D23" s="25" t="s">
        <v>289</v>
      </c>
      <c r="E23" s="26">
        <v>398749</v>
      </c>
      <c r="F23" s="27">
        <v>734.5</v>
      </c>
      <c r="G23" s="28">
        <v>1.5299999999999999E-2</v>
      </c>
      <c r="H23" s="29"/>
    </row>
    <row r="24" spans="2:8" ht="15.75" customHeight="1" x14ac:dyDescent="0.2">
      <c r="B24" s="25" t="s">
        <v>658</v>
      </c>
      <c r="C24" s="25" t="s">
        <v>659</v>
      </c>
      <c r="D24" s="25" t="s">
        <v>176</v>
      </c>
      <c r="E24" s="26">
        <v>43125</v>
      </c>
      <c r="F24" s="27">
        <v>727</v>
      </c>
      <c r="G24" s="28">
        <v>1.5100000000000001E-2</v>
      </c>
      <c r="H24" s="29"/>
    </row>
    <row r="25" spans="2:8" ht="15.75" customHeight="1" x14ac:dyDescent="0.2">
      <c r="B25" s="25" t="s">
        <v>127</v>
      </c>
      <c r="C25" s="25" t="s">
        <v>128</v>
      </c>
      <c r="D25" s="25" t="s">
        <v>129</v>
      </c>
      <c r="E25" s="26">
        <v>27025</v>
      </c>
      <c r="F25" s="27">
        <v>719.93</v>
      </c>
      <c r="G25" s="28">
        <v>1.4999999999999999E-2</v>
      </c>
      <c r="H25" s="29"/>
    </row>
    <row r="26" spans="2:8" ht="15.75" customHeight="1" x14ac:dyDescent="0.2">
      <c r="B26" s="25" t="s">
        <v>638</v>
      </c>
      <c r="C26" s="25" t="s">
        <v>639</v>
      </c>
      <c r="D26" s="25" t="s">
        <v>188</v>
      </c>
      <c r="E26" s="26">
        <v>8840</v>
      </c>
      <c r="F26" s="27">
        <v>693.7</v>
      </c>
      <c r="G26" s="28">
        <v>1.44E-2</v>
      </c>
      <c r="H26" s="29"/>
    </row>
    <row r="27" spans="2:8" ht="15.75" customHeight="1" x14ac:dyDescent="0.2">
      <c r="B27" s="25" t="s">
        <v>400</v>
      </c>
      <c r="C27" s="25" t="s">
        <v>401</v>
      </c>
      <c r="D27" s="25" t="s">
        <v>194</v>
      </c>
      <c r="E27" s="26">
        <v>13006</v>
      </c>
      <c r="F27" s="27">
        <v>676.65</v>
      </c>
      <c r="G27" s="28">
        <v>1.41E-2</v>
      </c>
      <c r="H27" s="29"/>
    </row>
    <row r="28" spans="2:8" ht="15.75" customHeight="1" x14ac:dyDescent="0.2">
      <c r="B28" s="25" t="s">
        <v>325</v>
      </c>
      <c r="C28" s="25" t="s">
        <v>326</v>
      </c>
      <c r="D28" s="25" t="s">
        <v>244</v>
      </c>
      <c r="E28" s="26">
        <v>64673</v>
      </c>
      <c r="F28" s="27">
        <v>667.55</v>
      </c>
      <c r="G28" s="28">
        <v>1.3899999999999999E-2</v>
      </c>
      <c r="H28" s="29"/>
    </row>
    <row r="29" spans="2:8" ht="15.75" customHeight="1" x14ac:dyDescent="0.2">
      <c r="B29" s="25" t="s">
        <v>368</v>
      </c>
      <c r="C29" s="25" t="s">
        <v>369</v>
      </c>
      <c r="D29" s="25" t="s">
        <v>176</v>
      </c>
      <c r="E29" s="26">
        <v>40543</v>
      </c>
      <c r="F29" s="27">
        <v>647.29</v>
      </c>
      <c r="G29" s="28">
        <v>1.35E-2</v>
      </c>
      <c r="H29" s="29"/>
    </row>
    <row r="30" spans="2:8" ht="15.75" customHeight="1" x14ac:dyDescent="0.2">
      <c r="B30" s="25" t="s">
        <v>264</v>
      </c>
      <c r="C30" s="25" t="s">
        <v>265</v>
      </c>
      <c r="D30" s="25" t="s">
        <v>138</v>
      </c>
      <c r="E30" s="26">
        <v>6270</v>
      </c>
      <c r="F30" s="27">
        <v>645.96</v>
      </c>
      <c r="G30" s="28">
        <v>1.34E-2</v>
      </c>
      <c r="H30" s="29"/>
    </row>
    <row r="31" spans="2:8" ht="15.75" customHeight="1" x14ac:dyDescent="0.2">
      <c r="B31" s="25" t="s">
        <v>787</v>
      </c>
      <c r="C31" s="25" t="s">
        <v>788</v>
      </c>
      <c r="D31" s="25" t="s">
        <v>173</v>
      </c>
      <c r="E31" s="26">
        <v>36495</v>
      </c>
      <c r="F31" s="27">
        <v>636.27</v>
      </c>
      <c r="G31" s="28">
        <v>1.32E-2</v>
      </c>
      <c r="H31" s="29"/>
    </row>
    <row r="32" spans="2:8" ht="15.75" customHeight="1" x14ac:dyDescent="0.2">
      <c r="B32" s="25" t="s">
        <v>624</v>
      </c>
      <c r="C32" s="25" t="s">
        <v>625</v>
      </c>
      <c r="D32" s="25" t="s">
        <v>188</v>
      </c>
      <c r="E32" s="26">
        <v>60098</v>
      </c>
      <c r="F32" s="27">
        <v>593.95000000000005</v>
      </c>
      <c r="G32" s="28">
        <v>1.24E-2</v>
      </c>
      <c r="H32" s="29"/>
    </row>
    <row r="33" spans="2:8" ht="15.75" customHeight="1" x14ac:dyDescent="0.2">
      <c r="B33" s="25" t="s">
        <v>370</v>
      </c>
      <c r="C33" s="25" t="s">
        <v>371</v>
      </c>
      <c r="D33" s="25" t="s">
        <v>176</v>
      </c>
      <c r="E33" s="26">
        <v>321191</v>
      </c>
      <c r="F33" s="27">
        <v>530.13</v>
      </c>
      <c r="G33" s="28">
        <v>1.0999999999999999E-2</v>
      </c>
      <c r="H33" s="29"/>
    </row>
    <row r="34" spans="2:8" ht="15.75" customHeight="1" x14ac:dyDescent="0.2">
      <c r="B34" s="25" t="s">
        <v>626</v>
      </c>
      <c r="C34" s="25" t="s">
        <v>627</v>
      </c>
      <c r="D34" s="25" t="s">
        <v>173</v>
      </c>
      <c r="E34" s="26">
        <v>13640</v>
      </c>
      <c r="F34" s="27">
        <v>525.58000000000004</v>
      </c>
      <c r="G34" s="28">
        <v>1.09E-2</v>
      </c>
      <c r="H34" s="29"/>
    </row>
    <row r="35" spans="2:8" ht="15.75" customHeight="1" x14ac:dyDescent="0.2">
      <c r="B35" s="25" t="s">
        <v>402</v>
      </c>
      <c r="C35" s="25" t="s">
        <v>403</v>
      </c>
      <c r="D35" s="25" t="s">
        <v>404</v>
      </c>
      <c r="E35" s="26">
        <v>61488</v>
      </c>
      <c r="F35" s="27">
        <v>507.83</v>
      </c>
      <c r="G35" s="28">
        <v>1.06E-2</v>
      </c>
      <c r="H35" s="29"/>
    </row>
    <row r="36" spans="2:8" ht="15.75" customHeight="1" x14ac:dyDescent="0.2">
      <c r="B36" s="25" t="s">
        <v>256</v>
      </c>
      <c r="C36" s="25" t="s">
        <v>257</v>
      </c>
      <c r="D36" s="25" t="s">
        <v>121</v>
      </c>
      <c r="E36" s="26">
        <v>78088</v>
      </c>
      <c r="F36" s="27">
        <v>501.36</v>
      </c>
      <c r="G36" s="28">
        <v>1.04E-2</v>
      </c>
      <c r="H36" s="29"/>
    </row>
    <row r="37" spans="2:8" ht="15.75" customHeight="1" x14ac:dyDescent="0.2">
      <c r="B37" s="25" t="s">
        <v>184</v>
      </c>
      <c r="C37" s="25" t="s">
        <v>185</v>
      </c>
      <c r="D37" s="25" t="s">
        <v>121</v>
      </c>
      <c r="E37" s="26">
        <v>24596</v>
      </c>
      <c r="F37" s="27">
        <v>469.32</v>
      </c>
      <c r="G37" s="28">
        <v>9.7999999999999997E-3</v>
      </c>
      <c r="H37" s="29"/>
    </row>
    <row r="38" spans="2:8" ht="15.75" customHeight="1" x14ac:dyDescent="0.2">
      <c r="B38" s="25" t="s">
        <v>348</v>
      </c>
      <c r="C38" s="25" t="s">
        <v>349</v>
      </c>
      <c r="D38" s="25" t="s">
        <v>124</v>
      </c>
      <c r="E38" s="26">
        <v>7433</v>
      </c>
      <c r="F38" s="27">
        <v>466.38</v>
      </c>
      <c r="G38" s="28">
        <v>9.7000000000000003E-3</v>
      </c>
      <c r="H38" s="29"/>
    </row>
    <row r="39" spans="2:8" ht="15.75" customHeight="1" x14ac:dyDescent="0.2">
      <c r="B39" s="25" t="s">
        <v>409</v>
      </c>
      <c r="C39" s="25" t="s">
        <v>410</v>
      </c>
      <c r="D39" s="25" t="s">
        <v>167</v>
      </c>
      <c r="E39" s="26">
        <v>204237</v>
      </c>
      <c r="F39" s="27">
        <v>456.88</v>
      </c>
      <c r="G39" s="28">
        <v>9.4999999999999998E-3</v>
      </c>
      <c r="H39" s="29"/>
    </row>
    <row r="40" spans="2:8" ht="15.75" customHeight="1" x14ac:dyDescent="0.2">
      <c r="B40" s="25" t="s">
        <v>171</v>
      </c>
      <c r="C40" s="25" t="s">
        <v>172</v>
      </c>
      <c r="D40" s="25" t="s">
        <v>173</v>
      </c>
      <c r="E40" s="26">
        <v>16516</v>
      </c>
      <c r="F40" s="27">
        <v>448.43</v>
      </c>
      <c r="G40" s="28">
        <v>9.2999999999999992E-3</v>
      </c>
      <c r="H40" s="29"/>
    </row>
    <row r="41" spans="2:8" ht="15.75" customHeight="1" x14ac:dyDescent="0.2">
      <c r="B41" s="25" t="s">
        <v>789</v>
      </c>
      <c r="C41" s="25" t="s">
        <v>790</v>
      </c>
      <c r="D41" s="25" t="s">
        <v>298</v>
      </c>
      <c r="E41" s="26">
        <v>9080</v>
      </c>
      <c r="F41" s="27">
        <v>417.69</v>
      </c>
      <c r="G41" s="28">
        <v>8.6999999999999994E-3</v>
      </c>
      <c r="H41" s="29"/>
    </row>
    <row r="42" spans="2:8" ht="15.75" customHeight="1" x14ac:dyDescent="0.2">
      <c r="B42" s="25" t="s">
        <v>791</v>
      </c>
      <c r="C42" s="25" t="s">
        <v>792</v>
      </c>
      <c r="D42" s="25" t="s">
        <v>298</v>
      </c>
      <c r="E42" s="26">
        <v>46315</v>
      </c>
      <c r="F42" s="27">
        <v>372.95</v>
      </c>
      <c r="G42" s="28">
        <v>7.7999999999999996E-3</v>
      </c>
      <c r="H42" s="29"/>
    </row>
    <row r="43" spans="2:8" ht="15.75" customHeight="1" x14ac:dyDescent="0.2">
      <c r="B43" s="25" t="s">
        <v>793</v>
      </c>
      <c r="C43" s="25" t="s">
        <v>794</v>
      </c>
      <c r="D43" s="25" t="s">
        <v>295</v>
      </c>
      <c r="E43" s="26">
        <v>69652</v>
      </c>
      <c r="F43" s="27">
        <v>372.46</v>
      </c>
      <c r="G43" s="28">
        <v>7.7000000000000002E-3</v>
      </c>
      <c r="H43" s="29"/>
    </row>
    <row r="44" spans="2:8" ht="15.75" customHeight="1" x14ac:dyDescent="0.2">
      <c r="B44" s="25" t="s">
        <v>331</v>
      </c>
      <c r="C44" s="25" t="s">
        <v>332</v>
      </c>
      <c r="D44" s="25" t="s">
        <v>121</v>
      </c>
      <c r="E44" s="26">
        <v>216751</v>
      </c>
      <c r="F44" s="27">
        <v>338.46</v>
      </c>
      <c r="G44" s="28">
        <v>7.0000000000000001E-3</v>
      </c>
      <c r="H44" s="29"/>
    </row>
    <row r="45" spans="2:8" ht="15.75" customHeight="1" x14ac:dyDescent="0.2">
      <c r="B45" s="25" t="s">
        <v>795</v>
      </c>
      <c r="C45" s="25" t="s">
        <v>796</v>
      </c>
      <c r="D45" s="25" t="s">
        <v>404</v>
      </c>
      <c r="E45" s="26">
        <v>18726</v>
      </c>
      <c r="F45" s="27">
        <v>322.68</v>
      </c>
      <c r="G45" s="28">
        <v>6.7000000000000002E-3</v>
      </c>
      <c r="H45" s="29"/>
    </row>
    <row r="46" spans="2:8" ht="15.75" customHeight="1" x14ac:dyDescent="0.2">
      <c r="B46" s="25" t="s">
        <v>386</v>
      </c>
      <c r="C46" s="25" t="s">
        <v>387</v>
      </c>
      <c r="D46" s="25" t="s">
        <v>176</v>
      </c>
      <c r="E46" s="26">
        <v>42265</v>
      </c>
      <c r="F46" s="27">
        <v>321.07</v>
      </c>
      <c r="G46" s="28">
        <v>6.7000000000000002E-3</v>
      </c>
      <c r="H46" s="29"/>
    </row>
    <row r="47" spans="2:8" ht="15.75" customHeight="1" x14ac:dyDescent="0.2">
      <c r="B47" s="25" t="s">
        <v>731</v>
      </c>
      <c r="C47" s="25" t="s">
        <v>732</v>
      </c>
      <c r="D47" s="25" t="s">
        <v>298</v>
      </c>
      <c r="E47" s="26">
        <v>32323</v>
      </c>
      <c r="F47" s="27">
        <v>312.77</v>
      </c>
      <c r="G47" s="28">
        <v>6.4999999999999997E-3</v>
      </c>
      <c r="H47" s="29"/>
    </row>
    <row r="48" spans="2:8" ht="15.75" customHeight="1" x14ac:dyDescent="0.2">
      <c r="B48" s="25" t="s">
        <v>343</v>
      </c>
      <c r="C48" s="25" t="s">
        <v>344</v>
      </c>
      <c r="D48" s="25" t="s">
        <v>345</v>
      </c>
      <c r="E48" s="26">
        <v>33108</v>
      </c>
      <c r="F48" s="27">
        <v>272.41000000000003</v>
      </c>
      <c r="G48" s="28">
        <v>5.7000000000000002E-3</v>
      </c>
      <c r="H48" s="29"/>
    </row>
    <row r="49" spans="2:8" ht="15.75" customHeight="1" x14ac:dyDescent="0.2">
      <c r="B49" s="25" t="s">
        <v>333</v>
      </c>
      <c r="C49" s="25" t="s">
        <v>334</v>
      </c>
      <c r="D49" s="25" t="s">
        <v>176</v>
      </c>
      <c r="E49" s="26">
        <v>34955</v>
      </c>
      <c r="F49" s="27">
        <v>256.88</v>
      </c>
      <c r="G49" s="28">
        <v>5.3E-3</v>
      </c>
      <c r="H49" s="29"/>
    </row>
    <row r="50" spans="2:8" ht="15.75" customHeight="1" x14ac:dyDescent="0.2">
      <c r="B50" s="25" t="s">
        <v>646</v>
      </c>
      <c r="C50" s="25" t="s">
        <v>647</v>
      </c>
      <c r="D50" s="25" t="s">
        <v>202</v>
      </c>
      <c r="E50" s="26">
        <v>62643</v>
      </c>
      <c r="F50" s="27">
        <v>83.19</v>
      </c>
      <c r="G50" s="28">
        <v>1.6999999999999999E-3</v>
      </c>
      <c r="H50" s="29"/>
    </row>
    <row r="51" spans="2:8" ht="15.75" customHeight="1" x14ac:dyDescent="0.2">
      <c r="B51" s="25" t="s">
        <v>797</v>
      </c>
      <c r="C51" s="25" t="s">
        <v>798</v>
      </c>
      <c r="D51" s="25" t="s">
        <v>244</v>
      </c>
      <c r="E51" s="26">
        <v>4625</v>
      </c>
      <c r="F51" s="27">
        <v>29.5</v>
      </c>
      <c r="G51" s="28">
        <v>5.9999999999999995E-4</v>
      </c>
      <c r="H51" s="29"/>
    </row>
    <row r="52" spans="2:8" ht="15.75" customHeight="1" x14ac:dyDescent="0.2">
      <c r="B52" s="24" t="s">
        <v>93</v>
      </c>
      <c r="C52" s="24"/>
      <c r="D52" s="24"/>
      <c r="E52" s="30"/>
      <c r="F52" s="31">
        <v>37421.879999999997</v>
      </c>
      <c r="G52" s="32">
        <v>0.77839999999999998</v>
      </c>
      <c r="H52" s="33"/>
    </row>
    <row r="53" spans="2:8" ht="15.75" customHeight="1" x14ac:dyDescent="0.2">
      <c r="B53" s="24" t="s">
        <v>141</v>
      </c>
      <c r="C53" s="25"/>
      <c r="D53" s="25"/>
      <c r="E53" s="26"/>
      <c r="F53" s="27"/>
      <c r="G53" s="28"/>
      <c r="H53" s="29"/>
    </row>
    <row r="54" spans="2:8" ht="15.75" customHeight="1" x14ac:dyDescent="0.2">
      <c r="B54" s="24" t="s">
        <v>93</v>
      </c>
      <c r="C54" s="25"/>
      <c r="D54" s="25"/>
      <c r="E54" s="26"/>
      <c r="F54" s="34" t="s">
        <v>95</v>
      </c>
      <c r="G54" s="35" t="s">
        <v>95</v>
      </c>
      <c r="H54" s="29"/>
    </row>
    <row r="55" spans="2:8" ht="15.75" customHeight="1" x14ac:dyDescent="0.2">
      <c r="B55" s="25"/>
      <c r="C55" s="25"/>
      <c r="D55" s="25"/>
      <c r="E55" s="26"/>
      <c r="F55" s="27"/>
      <c r="G55" s="28"/>
      <c r="H55" s="29"/>
    </row>
    <row r="56" spans="2:8" ht="15.75" customHeight="1" x14ac:dyDescent="0.2">
      <c r="B56" s="36" t="s">
        <v>97</v>
      </c>
      <c r="C56" s="36"/>
      <c r="D56" s="36"/>
      <c r="E56" s="37"/>
      <c r="F56" s="31">
        <v>37421.879999999997</v>
      </c>
      <c r="G56" s="32">
        <v>0.77839999999999998</v>
      </c>
      <c r="H56" s="33"/>
    </row>
    <row r="57" spans="2:8" ht="15.75" customHeight="1" x14ac:dyDescent="0.2">
      <c r="B57" s="25"/>
      <c r="C57" s="25"/>
      <c r="D57" s="25"/>
      <c r="E57" s="26"/>
      <c r="F57" s="27"/>
      <c r="G57" s="28"/>
      <c r="H57" s="29"/>
    </row>
    <row r="58" spans="2:8" ht="15.75" customHeight="1" x14ac:dyDescent="0.2">
      <c r="B58" s="24" t="s">
        <v>82</v>
      </c>
      <c r="C58" s="25"/>
      <c r="D58" s="25"/>
      <c r="E58" s="26"/>
      <c r="F58" s="27"/>
      <c r="G58" s="28"/>
      <c r="H58" s="29"/>
    </row>
    <row r="59" spans="2:8" ht="15.75" customHeight="1" x14ac:dyDescent="0.2">
      <c r="B59" s="24" t="s">
        <v>83</v>
      </c>
      <c r="C59" s="25"/>
      <c r="D59" s="25"/>
      <c r="E59" s="26"/>
      <c r="F59" s="27"/>
      <c r="G59" s="28"/>
      <c r="H59" s="29"/>
    </row>
    <row r="60" spans="2:8" ht="15.75" customHeight="1" x14ac:dyDescent="0.2">
      <c r="B60" s="25" t="s">
        <v>142</v>
      </c>
      <c r="C60" s="25" t="s">
        <v>143</v>
      </c>
      <c r="D60" s="25" t="s">
        <v>84</v>
      </c>
      <c r="E60" s="26">
        <v>8000000</v>
      </c>
      <c r="F60" s="27">
        <v>8088.96</v>
      </c>
      <c r="G60" s="28">
        <v>0.16830000000000001</v>
      </c>
      <c r="H60" s="29">
        <v>7.2116E-2</v>
      </c>
    </row>
    <row r="61" spans="2:8" ht="15.75" customHeight="1" x14ac:dyDescent="0.2">
      <c r="B61" s="25" t="s">
        <v>799</v>
      </c>
      <c r="C61" s="25" t="s">
        <v>800</v>
      </c>
      <c r="D61" s="25" t="s">
        <v>84</v>
      </c>
      <c r="E61" s="26">
        <v>500000</v>
      </c>
      <c r="F61" s="27">
        <v>486.82</v>
      </c>
      <c r="G61" s="28">
        <v>1.01E-2</v>
      </c>
      <c r="H61" s="29">
        <v>7.1774000000000004E-2</v>
      </c>
    </row>
    <row r="62" spans="2:8" ht="15.75" customHeight="1" x14ac:dyDescent="0.2">
      <c r="B62" s="25" t="s">
        <v>112</v>
      </c>
      <c r="C62" s="25" t="s">
        <v>113</v>
      </c>
      <c r="D62" s="25" t="s">
        <v>84</v>
      </c>
      <c r="E62" s="26">
        <v>200000</v>
      </c>
      <c r="F62" s="27">
        <v>196.44</v>
      </c>
      <c r="G62" s="28">
        <v>4.1000000000000003E-3</v>
      </c>
      <c r="H62" s="29">
        <v>7.2054000000000007E-2</v>
      </c>
    </row>
    <row r="63" spans="2:8" ht="15.75" customHeight="1" x14ac:dyDescent="0.2">
      <c r="B63" s="25" t="s">
        <v>87</v>
      </c>
      <c r="C63" s="25" t="s">
        <v>92</v>
      </c>
      <c r="D63" s="25" t="s">
        <v>84</v>
      </c>
      <c r="E63" s="26">
        <v>100000</v>
      </c>
      <c r="F63" s="27">
        <v>103.37</v>
      </c>
      <c r="G63" s="28">
        <v>2.2000000000000001E-3</v>
      </c>
      <c r="H63" s="29">
        <v>7.3199E-2</v>
      </c>
    </row>
    <row r="64" spans="2:8" ht="15.75" customHeight="1" x14ac:dyDescent="0.2">
      <c r="B64" s="25" t="s">
        <v>87</v>
      </c>
      <c r="C64" s="25" t="s">
        <v>88</v>
      </c>
      <c r="D64" s="25" t="s">
        <v>84</v>
      </c>
      <c r="E64" s="26">
        <v>100000</v>
      </c>
      <c r="F64" s="27">
        <v>102.89</v>
      </c>
      <c r="G64" s="28">
        <v>2.0999999999999999E-3</v>
      </c>
      <c r="H64" s="29">
        <v>7.3424000000000003E-2</v>
      </c>
    </row>
    <row r="65" spans="2:16" ht="15.75" customHeight="1" x14ac:dyDescent="0.2">
      <c r="B65" s="25" t="s">
        <v>110</v>
      </c>
      <c r="C65" s="25" t="s">
        <v>111</v>
      </c>
      <c r="D65" s="25" t="s">
        <v>84</v>
      </c>
      <c r="E65" s="26">
        <v>100000</v>
      </c>
      <c r="F65" s="27">
        <v>101.48</v>
      </c>
      <c r="G65" s="28">
        <v>2.0999999999999999E-3</v>
      </c>
      <c r="H65" s="29">
        <v>7.2098999999999996E-2</v>
      </c>
    </row>
    <row r="66" spans="2:16" ht="15.75" customHeight="1" x14ac:dyDescent="0.2">
      <c r="B66" s="25" t="s">
        <v>146</v>
      </c>
      <c r="C66" s="25" t="s">
        <v>147</v>
      </c>
      <c r="D66" s="25" t="s">
        <v>84</v>
      </c>
      <c r="E66" s="26">
        <v>50000</v>
      </c>
      <c r="F66" s="27">
        <v>50.65</v>
      </c>
      <c r="G66" s="28">
        <v>1.1000000000000001E-3</v>
      </c>
      <c r="H66" s="29">
        <v>7.2578000000000004E-2</v>
      </c>
    </row>
    <row r="67" spans="2:16" ht="15.75" customHeight="1" x14ac:dyDescent="0.2">
      <c r="B67" s="24" t="s">
        <v>93</v>
      </c>
      <c r="C67" s="24"/>
      <c r="D67" s="24"/>
      <c r="E67" s="30"/>
      <c r="F67" s="31">
        <v>9130.61</v>
      </c>
      <c r="G67" s="32">
        <v>0.19</v>
      </c>
      <c r="H67" s="33"/>
    </row>
    <row r="68" spans="2:16" ht="15.75" customHeight="1" x14ac:dyDescent="0.2">
      <c r="B68" s="25"/>
      <c r="C68" s="25"/>
      <c r="D68" s="25"/>
      <c r="E68" s="26"/>
      <c r="F68" s="27"/>
      <c r="G68" s="28"/>
      <c r="H68" s="29"/>
      <c r="L68" s="3"/>
    </row>
    <row r="69" spans="2:16" ht="15.75" customHeight="1" x14ac:dyDescent="0.2">
      <c r="B69" s="24" t="s">
        <v>94</v>
      </c>
      <c r="C69" s="25"/>
      <c r="D69" s="25"/>
      <c r="E69" s="26"/>
      <c r="F69" s="27"/>
      <c r="G69" s="28"/>
      <c r="H69" s="29"/>
    </row>
    <row r="70" spans="2:16" ht="15.75" customHeight="1" x14ac:dyDescent="0.2">
      <c r="B70" s="24" t="s">
        <v>93</v>
      </c>
      <c r="C70" s="25"/>
      <c r="D70" s="25"/>
      <c r="E70" s="26"/>
      <c r="F70" s="34" t="s">
        <v>95</v>
      </c>
      <c r="G70" s="35" t="s">
        <v>95</v>
      </c>
      <c r="H70" s="29"/>
      <c r="L70" s="3"/>
    </row>
    <row r="71" spans="2:16" ht="15.75" customHeight="1" x14ac:dyDescent="0.2">
      <c r="B71" s="25"/>
      <c r="C71" s="25"/>
      <c r="D71" s="25"/>
      <c r="E71" s="26"/>
      <c r="F71" s="27"/>
      <c r="G71" s="28"/>
      <c r="H71" s="29"/>
      <c r="L71" s="3"/>
    </row>
    <row r="72" spans="2:16" ht="15.75" customHeight="1" x14ac:dyDescent="0.2">
      <c r="B72" s="24" t="s">
        <v>96</v>
      </c>
      <c r="C72" s="25"/>
      <c r="D72" s="25"/>
      <c r="E72" s="26"/>
      <c r="F72" s="27"/>
      <c r="G72" s="28"/>
      <c r="H72" s="29"/>
      <c r="L72" s="3"/>
    </row>
    <row r="73" spans="2:16" ht="15.75" customHeight="1" x14ac:dyDescent="0.2">
      <c r="B73" s="24" t="s">
        <v>93</v>
      </c>
      <c r="C73" s="25"/>
      <c r="D73" s="25"/>
      <c r="E73" s="26"/>
      <c r="F73" s="34" t="s">
        <v>95</v>
      </c>
      <c r="G73" s="35" t="s">
        <v>95</v>
      </c>
      <c r="H73" s="29"/>
      <c r="L73" s="3"/>
    </row>
    <row r="74" spans="2:16" ht="15.75" customHeight="1" x14ac:dyDescent="0.2">
      <c r="B74" s="25"/>
      <c r="C74" s="25"/>
      <c r="D74" s="25"/>
      <c r="E74" s="26"/>
      <c r="F74" s="27"/>
      <c r="G74" s="28"/>
      <c r="H74" s="29"/>
      <c r="L74" s="3"/>
    </row>
    <row r="75" spans="2:16" ht="15.75" customHeight="1" x14ac:dyDescent="0.2">
      <c r="B75" s="36" t="s">
        <v>97</v>
      </c>
      <c r="C75" s="36"/>
      <c r="D75" s="36"/>
      <c r="E75" s="37"/>
      <c r="F75" s="31">
        <v>9130.61</v>
      </c>
      <c r="G75" s="32">
        <v>0.18990000000000001</v>
      </c>
      <c r="H75" s="33"/>
      <c r="L75" s="5"/>
      <c r="M75" s="5"/>
      <c r="N75" s="6"/>
      <c r="O75" s="6"/>
      <c r="P75" s="5"/>
    </row>
    <row r="76" spans="2:16" ht="15.75" customHeight="1" x14ac:dyDescent="0.2">
      <c r="B76" s="25"/>
      <c r="C76" s="25"/>
      <c r="D76" s="25"/>
      <c r="E76" s="26"/>
      <c r="F76" s="27"/>
      <c r="G76" s="28"/>
      <c r="H76" s="29"/>
    </row>
    <row r="77" spans="2:16" ht="15.75" customHeight="1" x14ac:dyDescent="0.2">
      <c r="B77" s="25"/>
      <c r="C77" s="25"/>
      <c r="D77" s="25"/>
      <c r="E77" s="26"/>
      <c r="F77" s="27"/>
      <c r="G77" s="28"/>
      <c r="H77" s="29"/>
    </row>
    <row r="78" spans="2:16" ht="15.75" customHeight="1" x14ac:dyDescent="0.2">
      <c r="B78" s="24" t="s">
        <v>100</v>
      </c>
      <c r="C78" s="25"/>
      <c r="D78" s="25"/>
      <c r="E78" s="26"/>
      <c r="F78" s="27"/>
      <c r="G78" s="28"/>
      <c r="H78" s="29"/>
      <c r="L78" s="7"/>
      <c r="M78" s="7"/>
      <c r="N78" s="7"/>
      <c r="O78" s="7"/>
      <c r="P78" s="7"/>
    </row>
    <row r="79" spans="2:16" ht="15.75" customHeight="1" x14ac:dyDescent="0.2">
      <c r="B79" s="25" t="s">
        <v>101</v>
      </c>
      <c r="C79" s="25"/>
      <c r="D79" s="25"/>
      <c r="E79" s="26"/>
      <c r="F79" s="27">
        <v>1821.64</v>
      </c>
      <c r="G79" s="28">
        <v>3.7900000000000003E-2</v>
      </c>
      <c r="H79" s="29"/>
      <c r="L79" s="7"/>
      <c r="M79" s="7"/>
      <c r="N79" s="7"/>
      <c r="O79" s="7"/>
      <c r="P79" s="7"/>
    </row>
    <row r="80" spans="2:16" ht="15.75" customHeight="1" x14ac:dyDescent="0.2">
      <c r="B80" s="24" t="s">
        <v>93</v>
      </c>
      <c r="C80" s="24"/>
      <c r="D80" s="24"/>
      <c r="E80" s="30"/>
      <c r="F80" s="31">
        <v>1821.64</v>
      </c>
      <c r="G80" s="32">
        <v>3.7900000000000003E-2</v>
      </c>
      <c r="H80" s="33"/>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36" t="s">
        <v>97</v>
      </c>
      <c r="C82" s="36"/>
      <c r="D82" s="36"/>
      <c r="E82" s="37"/>
      <c r="F82" s="31">
        <v>1821.64</v>
      </c>
      <c r="G82" s="32">
        <v>3.7900000000000003E-2</v>
      </c>
      <c r="H82" s="33"/>
      <c r="L82" s="7"/>
      <c r="M82" s="7"/>
      <c r="N82" s="7"/>
      <c r="O82" s="7"/>
      <c r="P82" s="7"/>
    </row>
    <row r="83" spans="2:16" ht="15.75" customHeight="1" x14ac:dyDescent="0.2">
      <c r="B83" s="25" t="s">
        <v>102</v>
      </c>
      <c r="C83" s="25"/>
      <c r="D83" s="25"/>
      <c r="E83" s="26"/>
      <c r="F83" s="38">
        <v>-298.51</v>
      </c>
      <c r="G83" s="39">
        <v>-6.1999999999999833E-3</v>
      </c>
      <c r="H83" s="29"/>
      <c r="L83" s="7"/>
      <c r="M83" s="7"/>
      <c r="N83" s="7"/>
      <c r="O83" s="7"/>
      <c r="P83" s="7"/>
    </row>
    <row r="84" spans="2:16" ht="15.75" customHeight="1" x14ac:dyDescent="0.2">
      <c r="B84" s="40" t="s">
        <v>103</v>
      </c>
      <c r="C84" s="40"/>
      <c r="D84" s="40"/>
      <c r="E84" s="41"/>
      <c r="F84" s="42">
        <v>48075.62</v>
      </c>
      <c r="G84" s="43">
        <v>1</v>
      </c>
      <c r="H84" s="44"/>
      <c r="L84" s="7"/>
      <c r="M84" s="7"/>
      <c r="N84" s="7"/>
      <c r="O84" s="7"/>
      <c r="P84" s="7"/>
    </row>
    <row r="85" spans="2:16" ht="15.75" customHeight="1" thickBot="1" x14ac:dyDescent="0.25">
      <c r="B85" s="2"/>
    </row>
    <row r="86" spans="2:16" ht="27" customHeight="1" thickBot="1" x14ac:dyDescent="0.25">
      <c r="B86" s="57" t="s">
        <v>806</v>
      </c>
      <c r="C86" s="58" t="s">
        <v>807</v>
      </c>
      <c r="D86" s="58" t="s">
        <v>808</v>
      </c>
      <c r="E86" s="59" t="s">
        <v>809</v>
      </c>
      <c r="G86" s="2"/>
      <c r="H86" s="2"/>
    </row>
    <row r="87" spans="2:16" ht="29.25" customHeight="1" x14ac:dyDescent="0.2">
      <c r="B87" s="68" t="s">
        <v>77</v>
      </c>
      <c r="C87" s="83"/>
      <c r="D87" s="86" t="s">
        <v>823</v>
      </c>
      <c r="E87" s="88"/>
      <c r="G87" s="2"/>
      <c r="H87" s="2"/>
    </row>
    <row r="88" spans="2:16" ht="39.950000000000003" customHeight="1" x14ac:dyDescent="0.2">
      <c r="B88" s="61" t="s">
        <v>888</v>
      </c>
      <c r="C88" s="84"/>
      <c r="D88" s="87"/>
      <c r="E88" s="84"/>
      <c r="G88" s="2"/>
      <c r="H88" s="2"/>
    </row>
    <row r="89" spans="2:16" ht="39.950000000000003" customHeight="1" x14ac:dyDescent="0.2">
      <c r="B89" s="61" t="s">
        <v>889</v>
      </c>
      <c r="C89" s="84"/>
      <c r="D89" s="87"/>
      <c r="E89" s="84"/>
      <c r="G89" s="2"/>
      <c r="H89" s="2"/>
    </row>
    <row r="90" spans="2:16" ht="23.25" customHeight="1" thickBot="1" x14ac:dyDescent="0.25">
      <c r="B90" s="62" t="s">
        <v>826</v>
      </c>
      <c r="C90" s="85"/>
      <c r="D90" s="70" t="s">
        <v>826</v>
      </c>
      <c r="E90" s="89"/>
      <c r="G90" s="2"/>
      <c r="H90" s="2"/>
    </row>
    <row r="91" spans="2:16" ht="24.95" customHeight="1" x14ac:dyDescent="0.2">
      <c r="B91" s="64" t="s">
        <v>815</v>
      </c>
      <c r="C91" s="65"/>
      <c r="D91" s="66"/>
      <c r="E91" s="67"/>
      <c r="G91" s="2"/>
      <c r="H91" s="2"/>
    </row>
    <row r="93" spans="2:16" ht="12" x14ac:dyDescent="0.2">
      <c r="B93" s="2" t="s">
        <v>816</v>
      </c>
      <c r="C93" s="2"/>
      <c r="D93" s="2"/>
      <c r="G93" s="2"/>
      <c r="H93" s="2"/>
    </row>
    <row r="94" spans="2:16" ht="12" x14ac:dyDescent="0.2">
      <c r="B94" s="3" t="s">
        <v>817</v>
      </c>
      <c r="C94" s="2"/>
      <c r="D94" s="2"/>
      <c r="G94" s="2"/>
      <c r="H94" s="2"/>
    </row>
  </sheetData>
  <mergeCells count="3">
    <mergeCell ref="C87:C90"/>
    <mergeCell ref="D87:D89"/>
    <mergeCell ref="E87:E90"/>
  </mergeCells>
  <hyperlinks>
    <hyperlink ref="I1" location="'Sheet1'!A1" display="Index" xr:uid="{051FF15A-B654-4964-A02E-0A3323098C20}"/>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81</vt:i4>
      </vt:variant>
    </vt:vector>
  </HeadingPairs>
  <TitlesOfParts>
    <vt:vector size="109"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LICMFGOLDETF</vt:lpstr>
      <vt:lpstr>LEGROW</vt:lpstr>
      <vt:lpstr>LEINFA</vt:lpstr>
      <vt:lpstr>LEINNF</vt:lpstr>
      <vt:lpstr>LEINSX</vt:lpstr>
      <vt:lpstr>LELTVF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LICMFGOLDETF!Hedging_Positions_through_Futures_AS_ON_MMMM_DD__YYYY___NIL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LEGROW!JPM_Footer_disp</vt:lpstr>
      <vt:lpstr>LEINFA!JPM_Footer_disp</vt:lpstr>
      <vt:lpstr>LEINNF!JPM_Footer_disp</vt:lpstr>
      <vt:lpstr>LEINSX!JPM_Footer_disp</vt:lpstr>
      <vt:lpstr>LELTVF!JPM_Footer_disp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LICMFGOLDETF!JPM_Footer_disp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LEGROW!JPM_Footer_disp12</vt:lpstr>
      <vt:lpstr>LEINFA!JPM_Footer_disp12</vt:lpstr>
      <vt:lpstr>LEINNF!JPM_Footer_disp12</vt:lpstr>
      <vt:lpstr>LEINSX!JPM_Footer_disp12</vt:lpstr>
      <vt:lpstr>LELTVF!JPM_Footer_disp12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lpstr>LICMFGOLDETF!JPM_Footer_disp12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2024-01-03T10:03:57Z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