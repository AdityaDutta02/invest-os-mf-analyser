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defaultThemeVersion="124226"/>
  <mc:AlternateContent xmlns:mc="http://schemas.openxmlformats.org/markup-compatibility/2006">
    <mc:Choice Requires="x15">
      <x15ac:absPath xmlns:x15ac="http://schemas.microsoft.com/office/spreadsheetml/2010/11/ac" url="T:\INVESTMENTS_VALUATION\2 Regulatory Monthly-Half yearly ReportIng\1 Apr 2024\Portfolio Monthly\"/>
    </mc:Choice>
  </mc:AlternateContent>
  <xr:revisionPtr revIDLastSave="0" documentId="13_ncr:1_{4F7B6367-18F4-4EA2-BC40-009542A759CA}" xr6:coauthVersionLast="47" xr6:coauthVersionMax="47" xr10:uidLastSave="{00000000-0000-0000-0000-000000000000}"/>
  <bookViews>
    <workbookView xWindow="-110" yWindow="-110" windowWidth="19420" windowHeight="10420" xr2:uid="{00000000-000D-0000-FFFF-FFFF00000000}"/>
  </bookViews>
  <sheets>
    <sheet name="Sheet1" sheetId="40" r:id="rId1"/>
    <sheet name="LEARBF" sheetId="11" r:id="rId2"/>
    <sheet name="LEBADF" sheetId="12" r:id="rId3"/>
    <sheet name="LEBALF" sheetId="13" r:id="rId4"/>
    <sheet name="LEBFSF" sheetId="14" r:id="rId5"/>
    <sheet name="LECHID" sheetId="15" r:id="rId6"/>
    <sheet name="LEDDYF" sheetId="16" r:id="rId7"/>
    <sheet name="LEDHCF" sheetId="17" r:id="rId8"/>
    <sheet name="LEEMCF" sheetId="18" r:id="rId9"/>
    <sheet name="LEEQSF" sheetId="19" r:id="rId10"/>
    <sheet name="LEEQTF" sheetId="20" r:id="rId11"/>
    <sheet name="LEESCF" sheetId="21" r:id="rId12"/>
    <sheet name="LEFE30" sheetId="22" r:id="rId13"/>
    <sheet name="LEGFOF" sheetId="23" r:id="rId14"/>
    <sheet name="LEGROW" sheetId="24" r:id="rId15"/>
    <sheet name="LEINFA" sheetId="25" r:id="rId16"/>
    <sheet name="LEINNF" sheetId="26" r:id="rId17"/>
    <sheet name="LEINSX" sheetId="27" r:id="rId18"/>
    <sheet name="LELTVF" sheetId="28" r:id="rId19"/>
    <sheet name="LEMETF" sheetId="29" r:id="rId20"/>
    <sheet name="LEMIDF" sheetId="30" r:id="rId21"/>
    <sheet name="LEMUCF" sheetId="31" r:id="rId22"/>
    <sheet name="LENI50" sheetId="32" r:id="rId23"/>
    <sheet name="LET100" sheetId="33" r:id="rId24"/>
    <sheet name="LETAXP" sheetId="34" r:id="rId25"/>
    <sheet name="LETF50" sheetId="35" r:id="rId26"/>
    <sheet name="LETFSX" sheetId="36" r:id="rId27"/>
    <sheet name="LEULIS" sheetId="37" r:id="rId28"/>
    <sheet name="LICMFGOLDETF" sheetId="41" r:id="rId29"/>
  </sheets>
  <definedNames>
    <definedName name="_xlnm._FilterDatabase" localSheetId="1" hidden="1">LEARBF!$B$5:$P$94</definedName>
    <definedName name="_xlnm._FilterDatabase" localSheetId="2" hidden="1">LEBADF!$B$5:$P$100</definedName>
    <definedName name="_xlnm._FilterDatabase" localSheetId="3" hidden="1">LEBALF!$B$5:$P$99</definedName>
    <definedName name="_xlnm._FilterDatabase" localSheetId="4" hidden="1">LEBFSF!$B$5:$P$51</definedName>
    <definedName name="_xlnm._FilterDatabase" localSheetId="5" hidden="1">LECHID!$B$5:$P$78</definedName>
    <definedName name="_xlnm._FilterDatabase" localSheetId="6" hidden="1">LEDDYF!$B$5:$P$70</definedName>
    <definedName name="_xlnm._FilterDatabase" localSheetId="7" hidden="1">LEDHCF!$B$5:$P$40</definedName>
    <definedName name="_xlnm._FilterDatabase" localSheetId="8" hidden="1">LEEMCF!$B$5:$P$77</definedName>
    <definedName name="_xlnm._FilterDatabase" localSheetId="9" hidden="1">LEEQSF!$B$5:$P$88</definedName>
    <definedName name="_xlnm._FilterDatabase" localSheetId="10" hidden="1">LEEQTF!$B$5:$P$91</definedName>
    <definedName name="_xlnm._FilterDatabase" localSheetId="11" hidden="1">LEESCF!$B$5:$P$83</definedName>
    <definedName name="_xlnm._FilterDatabase" localSheetId="12" hidden="1">LEFE30!$B$5:$P$47</definedName>
    <definedName name="_xlnm._FilterDatabase" localSheetId="13" hidden="1">LEGFOF!$B$5:$P$20</definedName>
    <definedName name="_xlnm._FilterDatabase" localSheetId="14" hidden="1">LEGROW!$B$5:$P$84</definedName>
    <definedName name="_xlnm._FilterDatabase" localSheetId="15" hidden="1">LEINFA!$B$5:$P$71</definedName>
    <definedName name="_xlnm._FilterDatabase" localSheetId="16" hidden="1">LEINNF!$B$5:$P$70</definedName>
    <definedName name="_xlnm._FilterDatabase" localSheetId="17" hidden="1">LEINSX!$B$5:$P$50</definedName>
    <definedName name="_xlnm._FilterDatabase" localSheetId="18" hidden="1">LELTVF!$B$5:$P$69</definedName>
    <definedName name="_xlnm._FilterDatabase" localSheetId="19" hidden="1">LEMETF!$B$5:$P$120</definedName>
    <definedName name="_xlnm._FilterDatabase" localSheetId="20" hidden="1">LEMIDF!$B$5:$P$94</definedName>
    <definedName name="_xlnm._FilterDatabase" localSheetId="21" hidden="1">LEMUCF!$B$5:$P$96</definedName>
    <definedName name="_xlnm._FilterDatabase" localSheetId="22" hidden="1">LENI50!$B$5:$P$70</definedName>
    <definedName name="_xlnm._FilterDatabase" localSheetId="23" hidden="1">'LET100'!$B$5:$P$121</definedName>
    <definedName name="_xlnm._FilterDatabase" localSheetId="24" hidden="1">LETAXP!$B$5:$P$77</definedName>
    <definedName name="_xlnm._FilterDatabase" localSheetId="25" hidden="1">LETF50!$B$5:$P$70</definedName>
    <definedName name="_xlnm._FilterDatabase" localSheetId="26" hidden="1">LETFSX!$B$5:$P$50</definedName>
    <definedName name="_xlnm._FilterDatabase" localSheetId="27" hidden="1">LEULIS!$B$5:$P$86</definedName>
    <definedName name="_xlnm._FilterDatabase" localSheetId="28" hidden="1">LICMFGOLDETF!$B$5:$P$20</definedName>
    <definedName name="Hedging_Positions_through_Futures_AS_ON_MMMM_DD__YYYY___NIL" localSheetId="1">LEARBF!$L$68:$P$84</definedName>
    <definedName name="Hedging_Positions_through_Futures_AS_ON_MMMM_DD__YYYY___NIL" localSheetId="2">LEBADF!$L$68:$P$84</definedName>
    <definedName name="Hedging_Positions_through_Futures_AS_ON_MMMM_DD__YYYY___NIL" localSheetId="3">LEBALF!$L$68:$P$84</definedName>
    <definedName name="Hedging_Positions_through_Futures_AS_ON_MMMM_DD__YYYY___NIL" localSheetId="4">LEBFSF!$L$68:$P$84</definedName>
    <definedName name="Hedging_Positions_through_Futures_AS_ON_MMMM_DD__YYYY___NIL" localSheetId="5">LECHID!$L$68:$P$84</definedName>
    <definedName name="Hedging_Positions_through_Futures_AS_ON_MMMM_DD__YYYY___NIL" localSheetId="6">LEDDYF!$L$68:$P$84</definedName>
    <definedName name="Hedging_Positions_through_Futures_AS_ON_MMMM_DD__YYYY___NIL" localSheetId="7">LEDHCF!$L$68:$P$84</definedName>
    <definedName name="Hedging_Positions_through_Futures_AS_ON_MMMM_DD__YYYY___NIL" localSheetId="8">LEEMCF!$L$68:$P$84</definedName>
    <definedName name="Hedging_Positions_through_Futures_AS_ON_MMMM_DD__YYYY___NIL" localSheetId="9">LEEQSF!$L$68:$P$84</definedName>
    <definedName name="Hedging_Positions_through_Futures_AS_ON_MMMM_DD__YYYY___NIL" localSheetId="10">LEEQTF!$L$68:$P$84</definedName>
    <definedName name="Hedging_Positions_through_Futures_AS_ON_MMMM_DD__YYYY___NIL" localSheetId="11">LEESCF!$L$68:$P$84</definedName>
    <definedName name="Hedging_Positions_through_Futures_AS_ON_MMMM_DD__YYYY___NIL" localSheetId="12">LEFE30!$L$68:$P$84</definedName>
    <definedName name="Hedging_Positions_through_Futures_AS_ON_MMMM_DD__YYYY___NIL" localSheetId="13">LEGFOF!$L$68:$P$84</definedName>
    <definedName name="Hedging_Positions_through_Futures_AS_ON_MMMM_DD__YYYY___NIL" localSheetId="14">LEGROW!$L$68:$P$84</definedName>
    <definedName name="Hedging_Positions_through_Futures_AS_ON_MMMM_DD__YYYY___NIL" localSheetId="15">LEINFA!$L$68:$P$84</definedName>
    <definedName name="Hedging_Positions_through_Futures_AS_ON_MMMM_DD__YYYY___NIL" localSheetId="16">LEINNF!$L$68:$P$84</definedName>
    <definedName name="Hedging_Positions_through_Futures_AS_ON_MMMM_DD__YYYY___NIL" localSheetId="17">LEINSX!$L$68:$P$84</definedName>
    <definedName name="Hedging_Positions_through_Futures_AS_ON_MMMM_DD__YYYY___NIL" localSheetId="18">LELTVF!$L$68:$P$84</definedName>
    <definedName name="Hedging_Positions_through_Futures_AS_ON_MMMM_DD__YYYY___NIL" localSheetId="19">LEMETF!$L$68:$P$84</definedName>
    <definedName name="Hedging_Positions_through_Futures_AS_ON_MMMM_DD__YYYY___NIL" localSheetId="20">LEMIDF!$L$68:$P$84</definedName>
    <definedName name="Hedging_Positions_through_Futures_AS_ON_MMMM_DD__YYYY___NIL" localSheetId="21">LEMUCF!$L$68:$P$84</definedName>
    <definedName name="Hedging_Positions_through_Futures_AS_ON_MMMM_DD__YYYY___NIL" localSheetId="22">LENI50!$L$68:$P$84</definedName>
    <definedName name="Hedging_Positions_through_Futures_AS_ON_MMMM_DD__YYYY___NIL" localSheetId="23">'LET100'!$L$68:$P$84</definedName>
    <definedName name="Hedging_Positions_through_Futures_AS_ON_MMMM_DD__YYYY___NIL" localSheetId="24">LETAXP!$L$68:$P$84</definedName>
    <definedName name="Hedging_Positions_through_Futures_AS_ON_MMMM_DD__YYYY___NIL" localSheetId="25">LETF50!$L$68:$P$84</definedName>
    <definedName name="Hedging_Positions_through_Futures_AS_ON_MMMM_DD__YYYY___NIL" localSheetId="26">LETFSX!$L$68:$P$84</definedName>
    <definedName name="Hedging_Positions_through_Futures_AS_ON_MMMM_DD__YYYY___NIL" localSheetId="27">LEULIS!$L$68:$P$84</definedName>
    <definedName name="Hedging_Positions_through_Futures_AS_ON_MMMM_DD__YYYY___NIL" localSheetId="28">LICMFGOLDETF!$L$68:$P$84</definedName>
    <definedName name="Hedging_Positions_through_Futures_AS_ON_MMMM_DD__YYYY___NIL">#REF!</definedName>
    <definedName name="JPM_Footer_disp" localSheetId="1">LEARBF!$L$74:$P$84</definedName>
    <definedName name="JPM_Footer_disp" localSheetId="2">LEBADF!$L$74:$P$84</definedName>
    <definedName name="JPM_Footer_disp" localSheetId="3">LEBALF!$L$74:$P$84</definedName>
    <definedName name="JPM_Footer_disp" localSheetId="4">LEBFSF!$L$74:$P$84</definedName>
    <definedName name="JPM_Footer_disp" localSheetId="5">LECHID!$L$74:$P$84</definedName>
    <definedName name="JPM_Footer_disp" localSheetId="6">LEDDYF!$L$74:$P$84</definedName>
    <definedName name="JPM_Footer_disp" localSheetId="7">LEDHCF!$L$74:$P$84</definedName>
    <definedName name="JPM_Footer_disp" localSheetId="8">LEEMCF!$L$74:$P$84</definedName>
    <definedName name="JPM_Footer_disp" localSheetId="9">LEEQSF!$L$74:$P$84</definedName>
    <definedName name="JPM_Footer_disp" localSheetId="10">LEEQTF!$L$74:$P$84</definedName>
    <definedName name="JPM_Footer_disp" localSheetId="11">LEESCF!$L$74:$P$84</definedName>
    <definedName name="JPM_Footer_disp" localSheetId="12">LEFE30!$L$74:$P$84</definedName>
    <definedName name="JPM_Footer_disp" localSheetId="13">LEGFOF!$L$74:$P$84</definedName>
    <definedName name="JPM_Footer_disp" localSheetId="14">LEGROW!$L$74:$P$84</definedName>
    <definedName name="JPM_Footer_disp" localSheetId="15">LEINFA!$L$74:$P$84</definedName>
    <definedName name="JPM_Footer_disp" localSheetId="16">LEINNF!$L$74:$P$84</definedName>
    <definedName name="JPM_Footer_disp" localSheetId="17">LEINSX!$L$74:$P$84</definedName>
    <definedName name="JPM_Footer_disp" localSheetId="18">LELTVF!$L$74:$P$84</definedName>
    <definedName name="JPM_Footer_disp" localSheetId="19">LEMETF!$L$74:$P$84</definedName>
    <definedName name="JPM_Footer_disp" localSheetId="20">LEMIDF!$L$74:$P$84</definedName>
    <definedName name="JPM_Footer_disp" localSheetId="21">LEMUCF!$L$74:$P$84</definedName>
    <definedName name="JPM_Footer_disp" localSheetId="22">LENI50!$L$74:$P$84</definedName>
    <definedName name="JPM_Footer_disp" localSheetId="23">'LET100'!$L$74:$P$84</definedName>
    <definedName name="JPM_Footer_disp" localSheetId="24">LETAXP!$L$74:$P$84</definedName>
    <definedName name="JPM_Footer_disp" localSheetId="25">LETF50!$L$74:$P$84</definedName>
    <definedName name="JPM_Footer_disp" localSheetId="26">LETFSX!$L$74:$P$84</definedName>
    <definedName name="JPM_Footer_disp" localSheetId="27">LEULIS!$L$74:$P$84</definedName>
    <definedName name="JPM_Footer_disp" localSheetId="28">LICMFGOLDETF!$L$74:$P$84</definedName>
    <definedName name="JPM_Footer_disp">#REF!</definedName>
    <definedName name="JPM_Footer_disp12" localSheetId="1">LEARBF!$L$68:$P$86</definedName>
    <definedName name="JPM_Footer_disp12" localSheetId="2">LEBADF!$L$68:$P$86</definedName>
    <definedName name="JPM_Footer_disp12" localSheetId="3">LEBALF!$L$68:$P$86</definedName>
    <definedName name="JPM_Footer_disp12" localSheetId="4">LEBFSF!$L$68:$P$86</definedName>
    <definedName name="JPM_Footer_disp12" localSheetId="5">LECHID!$L$68:$P$86</definedName>
    <definedName name="JPM_Footer_disp12" localSheetId="6">LEDDYF!$L$68:$P$86</definedName>
    <definedName name="JPM_Footer_disp12" localSheetId="7">LEDHCF!$L$68:$P$86</definedName>
    <definedName name="JPM_Footer_disp12" localSheetId="8">LEEMCF!$L$68:$P$86</definedName>
    <definedName name="JPM_Footer_disp12" localSheetId="9">LEEQSF!$L$68:$P$86</definedName>
    <definedName name="JPM_Footer_disp12" localSheetId="10">LEEQTF!$L$68:$P$86</definedName>
    <definedName name="JPM_Footer_disp12" localSheetId="11">LEESCF!$L$68:$P$86</definedName>
    <definedName name="JPM_Footer_disp12" localSheetId="12">LEFE30!$L$68:$P$86</definedName>
    <definedName name="JPM_Footer_disp12" localSheetId="13">LEGFOF!$L$68:$P$86</definedName>
    <definedName name="JPM_Footer_disp12" localSheetId="14">LEGROW!$L$68:$P$86</definedName>
    <definedName name="JPM_Footer_disp12" localSheetId="15">LEINFA!$L$68:$P$86</definedName>
    <definedName name="JPM_Footer_disp12" localSheetId="16">LEINNF!$L$68:$P$86</definedName>
    <definedName name="JPM_Footer_disp12" localSheetId="17">LEINSX!$L$68:$P$86</definedName>
    <definedName name="JPM_Footer_disp12" localSheetId="18">LELTVF!$L$68:$P$86</definedName>
    <definedName name="JPM_Footer_disp12" localSheetId="19">LEMETF!$L$68:$P$86</definedName>
    <definedName name="JPM_Footer_disp12" localSheetId="20">LEMIDF!$L$68:$P$86</definedName>
    <definedName name="JPM_Footer_disp12" localSheetId="21">LEMUCF!$L$68:$P$86</definedName>
    <definedName name="JPM_Footer_disp12" localSheetId="22">LENI50!$L$68:$P$86</definedName>
    <definedName name="JPM_Footer_disp12" localSheetId="23">'LET100'!$L$68:$P$86</definedName>
    <definedName name="JPM_Footer_disp12" localSheetId="24">LETAXP!$L$68:$P$86</definedName>
    <definedName name="JPM_Footer_disp12" localSheetId="25">LETF50!$L$68:$P$86</definedName>
    <definedName name="JPM_Footer_disp12" localSheetId="26">LETFSX!$L$68:$P$86</definedName>
    <definedName name="JPM_Footer_disp12" localSheetId="27">LEULIS!$L$68:$P$86</definedName>
    <definedName name="JPM_Footer_disp12" localSheetId="28">LICMFGOLDETF!$L$68:$P$86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41" l="1"/>
  <c r="G18" i="41" s="1"/>
  <c r="F16" i="41"/>
  <c r="F18" i="41" s="1"/>
  <c r="G10" i="41"/>
  <c r="G12" i="41" s="1"/>
  <c r="F10" i="41"/>
  <c r="F12" i="41" s="1"/>
  <c r="G20" i="41" l="1"/>
  <c r="F20" i="41"/>
</calcChain>
</file>

<file path=xl/sharedStrings.xml><?xml version="1.0" encoding="utf-8"?>
<sst xmlns="http://schemas.openxmlformats.org/spreadsheetml/2006/main" count="5680" uniqueCount="1084">
  <si>
    <t>Name of the Instrument</t>
  </si>
  <si>
    <t>ISIN</t>
  </si>
  <si>
    <t>Quantity</t>
  </si>
  <si>
    <t>Market/Fair Value (Rounded, Rs. In Lacs)</t>
  </si>
  <si>
    <t>Rounded, % to Net Assets</t>
  </si>
  <si>
    <t>Industry / Rating</t>
  </si>
  <si>
    <t>Yield</t>
  </si>
  <si>
    <t>Monthly Portfolio Statement as on April 30,2024</t>
  </si>
  <si>
    <t>Index</t>
  </si>
  <si>
    <t>LIC MF ARBITRAGE FUND</t>
  </si>
  <si>
    <t>LIC MF BALANCED ADVANTAGE FUND</t>
  </si>
  <si>
    <t>LIC MF AGGRESSIVE HYBRID FUND</t>
  </si>
  <si>
    <t>LIC MF BANKING AND FINANCIAL SERVICES FUND</t>
  </si>
  <si>
    <t>LIC MF CHILDREN’S GIFT FUND</t>
  </si>
  <si>
    <t>LIC MF DIVIDEND YIELD FUND</t>
  </si>
  <si>
    <t>LIC MF HEALTHCARE FUND</t>
  </si>
  <si>
    <t>LIC MF MID CAP FUND</t>
  </si>
  <si>
    <t>LIC MF EQUITY SAVINGS FUND</t>
  </si>
  <si>
    <t>LIC MF FLEXI CAP FUND</t>
  </si>
  <si>
    <t>LIC MF SMALL CAP FUND</t>
  </si>
  <si>
    <t>LIC MF FOCUSED 30 EQUITY FUND</t>
  </si>
  <si>
    <t>LIC MF GOLD ETF FUND OF FUND</t>
  </si>
  <si>
    <t>LIC MF LARGE CAP FUND</t>
  </si>
  <si>
    <t>LIC MF INFRASTRUCTURE FUND</t>
  </si>
  <si>
    <t>LIC MF NIFTY 50 INDEX FUND</t>
  </si>
  <si>
    <t>LIC MF S &amp; P BSE SENSEX INDEX FUND</t>
  </si>
  <si>
    <t>LIC MF LONG TERM VALUE FUND</t>
  </si>
  <si>
    <t>LIC MF NIFTY MIDCAP 100 ETF</t>
  </si>
  <si>
    <t>LIC MF LARGE &amp; MID CAP FUND</t>
  </si>
  <si>
    <t>LIC MF MULTI CAP FUND</t>
  </si>
  <si>
    <t>LIC MF NIFTY NEXT 50 INDEX FUND</t>
  </si>
  <si>
    <t>LIC MF NIFTY 100 ETF</t>
  </si>
  <si>
    <t>LIC MF ELSS TAX SAVER</t>
  </si>
  <si>
    <t>LIC MF NIFTY 50 ETF</t>
  </si>
  <si>
    <t>LIC MF S &amp; P BSE SENSEX ETF</t>
  </si>
  <si>
    <t>LIC MF UNIT LINKED INSURANCE SCHEME</t>
  </si>
  <si>
    <t>LDBOND</t>
  </si>
  <si>
    <t>LIC MF Medium to Long Duration Bond Fund</t>
  </si>
  <si>
    <t>LDGETF</t>
  </si>
  <si>
    <t>LIC MF Nifty 8-13 yr G-Sec ETF</t>
  </si>
  <si>
    <t>LDGSEC</t>
  </si>
  <si>
    <t>LIC MF Gilt Fund</t>
  </si>
  <si>
    <t>LDINPF</t>
  </si>
  <si>
    <t>LIC MF Banking &amp; PSU Debt Fund</t>
  </si>
  <si>
    <t>LDMIPF</t>
  </si>
  <si>
    <t>LIC MF Conservative Hybrid Fund</t>
  </si>
  <si>
    <t>LDMNMF</t>
  </si>
  <si>
    <t>LIC MF Money Market Fund</t>
  </si>
  <si>
    <t>LDONTF</t>
  </si>
  <si>
    <t>LIC MF Overnight Fund</t>
  </si>
  <si>
    <t>LDSAPF</t>
  </si>
  <si>
    <t>LIC MF Low Duration Fund</t>
  </si>
  <si>
    <t>LDSTDF</t>
  </si>
  <si>
    <t>LIC MF Short Duration Fund</t>
  </si>
  <si>
    <t>LDUSTF</t>
  </si>
  <si>
    <t>LIC MF Ultra Short Duration Fund</t>
  </si>
  <si>
    <t>LEARBF</t>
  </si>
  <si>
    <t>LIC MF Arbitrage Fund</t>
  </si>
  <si>
    <t>LEBADF</t>
  </si>
  <si>
    <t>LIC MF Balanced Advantage Fund</t>
  </si>
  <si>
    <t>LEBALF</t>
  </si>
  <si>
    <t>LIC MF Aggressive Hybrid Fund</t>
  </si>
  <si>
    <t>LEBFSF</t>
  </si>
  <si>
    <t>LIC MF Banking and Financial Services Fund</t>
  </si>
  <si>
    <t>LECHID</t>
  </si>
  <si>
    <t>LIC MF Children’s Gift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</si>
  <si>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</si>
  <si>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</si>
  <si>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</si>
  <si>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</si>
  <si>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</si>
  <si>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</si>
  <si>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</si>
  <si>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</si>
  <si>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</si>
  <si>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</si>
  <si>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</si>
  <si>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</si>
  <si>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</si>
  <si>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30 Equity Fund</t>
  </si>
  <si>
    <t>LEGFOF</t>
  </si>
  <si>
    <t>LIC MF Gold ETF Fund of Fund</t>
  </si>
  <si>
    <t>LEGROW</t>
  </si>
  <si>
    <t>LIC MF Large Cap Fund</t>
  </si>
  <si>
    <t>LEINFA</t>
  </si>
  <si>
    <t>LIC MF Infrastructure Fund</t>
  </si>
  <si>
    <t>LEINNF</t>
  </si>
  <si>
    <t>LIC MF Nifty 50 Index Fund</t>
  </si>
  <si>
    <t>LEINSX</t>
  </si>
  <si>
    <t>LIC MF S &amp; P BSE Sensex Index Fund</t>
  </si>
  <si>
    <t>LELTVF</t>
  </si>
  <si>
    <t>LIC MF Long Term Value Fund</t>
  </si>
  <si>
    <t>LEMETF</t>
  </si>
  <si>
    <t>LIC MF Nifty Midcap 100 ETF</t>
  </si>
  <si>
    <t>LEMIDF</t>
  </si>
  <si>
    <t>LIC MF Large &amp; Mid Cap Fund</t>
  </si>
  <si>
    <t>LEMUCF</t>
  </si>
  <si>
    <t>LIC MF Multi Cap Fund</t>
  </si>
  <si>
    <t>LENI50</t>
  </si>
  <si>
    <t>LIC MF Nifty Next 50 Index Fund</t>
  </si>
  <si>
    <t>LET100</t>
  </si>
  <si>
    <t>LIC MF Nifty 100 ETF</t>
  </si>
  <si>
    <t>LETAXP</t>
  </si>
  <si>
    <t>LIC MF ELSS Tax Saver</t>
  </si>
  <si>
    <t>LETF50</t>
  </si>
  <si>
    <t>LIC MF Nifty 50 ETF</t>
  </si>
  <si>
    <t>LETFSX</t>
  </si>
  <si>
    <t>LIC MF S &amp; P BSE Sensex ETF</t>
  </si>
  <si>
    <t>LEULIS</t>
  </si>
  <si>
    <t>LIC MF Unit Linked Insurance Scheme</t>
  </si>
  <si>
    <t>LLIQDF</t>
  </si>
  <si>
    <t>LIC MF Liquid Fund</t>
  </si>
  <si>
    <t>INDEX</t>
  </si>
  <si>
    <t>Monthly Portfolio Statement as on April 30, 2024</t>
  </si>
  <si>
    <t>Scheme</t>
  </si>
  <si>
    <t>Scheme Name</t>
  </si>
  <si>
    <t>Debt Instruments</t>
  </si>
  <si>
    <t>(a)Listed / Awaiting listing on stock Exchanges</t>
  </si>
  <si>
    <t>7.7% State Government of Maharashtra</t>
  </si>
  <si>
    <t>SOVEREIGN</t>
  </si>
  <si>
    <t>7.71% State Government of Maharashtra</t>
  </si>
  <si>
    <t>IN2220230139</t>
  </si>
  <si>
    <t>7.26% Government of India</t>
  </si>
  <si>
    <t>IN0020220060</t>
  </si>
  <si>
    <t>8.0% HDFC Bank Ltd. **</t>
  </si>
  <si>
    <t>INE040A08807</t>
  </si>
  <si>
    <t>CRISIL AAA</t>
  </si>
  <si>
    <t>IN0020220151</t>
  </si>
  <si>
    <t>Sub Total</t>
  </si>
  <si>
    <t>(b)Privately Placed/Unlisted</t>
  </si>
  <si>
    <t>NIL</t>
  </si>
  <si>
    <t>(c)Securitised Debt Instruments</t>
  </si>
  <si>
    <t>TOTAL</t>
  </si>
  <si>
    <t>Others</t>
  </si>
  <si>
    <t>Investment in Mutual fund</t>
  </si>
  <si>
    <t>Treps / Reverse Repo</t>
  </si>
  <si>
    <t>Treps</t>
  </si>
  <si>
    <t>Net Receivables / (Payables)</t>
  </si>
  <si>
    <t>GRAND TOTAL</t>
  </si>
  <si>
    <t>**  Non Traded Security</t>
  </si>
  <si>
    <t>7.4% National Bk for Agriculture &amp; Rural Dev.</t>
  </si>
  <si>
    <t>INE261F08DO9</t>
  </si>
  <si>
    <t>7.74% Power Finance Corporation Ltd. **</t>
  </si>
  <si>
    <t>INE134E08JI0</t>
  </si>
  <si>
    <t>7.42% State Government of Maharashtra</t>
  </si>
  <si>
    <t>IN2220230311</t>
  </si>
  <si>
    <t>5.63% Government of India</t>
  </si>
  <si>
    <t>IN0020210012</t>
  </si>
  <si>
    <t>Money Market Instruments</t>
  </si>
  <si>
    <t>Certificate of Deposit</t>
  </si>
  <si>
    <t>CRISIL A1+</t>
  </si>
  <si>
    <t>#  Unlisted Security</t>
  </si>
  <si>
    <t>Equity &amp; Equity related</t>
  </si>
  <si>
    <t>(a)Listed / Awaiting listing on Stock Exchanges</t>
  </si>
  <si>
    <t>ICICI Bank Ltd.</t>
  </si>
  <si>
    <t>INE090A01021</t>
  </si>
  <si>
    <t>Banks</t>
  </si>
  <si>
    <t>Infosys Ltd.</t>
  </si>
  <si>
    <t>INE009A01021</t>
  </si>
  <si>
    <t>IT - Software</t>
  </si>
  <si>
    <t>HDFC Bank Ltd.</t>
  </si>
  <si>
    <t>INE040A01034</t>
  </si>
  <si>
    <t>Reliance Industries Ltd.</t>
  </si>
  <si>
    <t>INE002A01018</t>
  </si>
  <si>
    <t>Petroleum Products</t>
  </si>
  <si>
    <t>Mahindra &amp; Mahindra Ltd.</t>
  </si>
  <si>
    <t>INE101A01026</t>
  </si>
  <si>
    <t>Automobiles</t>
  </si>
  <si>
    <t>Nestle India Ltd.</t>
  </si>
  <si>
    <t>INE239A01024</t>
  </si>
  <si>
    <t>Food Products</t>
  </si>
  <si>
    <t>Hindustan Unilever Ltd.</t>
  </si>
  <si>
    <t>INE030A01027</t>
  </si>
  <si>
    <t>Diversified FMCG</t>
  </si>
  <si>
    <t>LTIMindtree Ltd.</t>
  </si>
  <si>
    <t>INE214T01019</t>
  </si>
  <si>
    <t>(b) Unlisted</t>
  </si>
  <si>
    <t>7.38% Government of India</t>
  </si>
  <si>
    <t>IN0020220037</t>
  </si>
  <si>
    <t>7.17% Government of India</t>
  </si>
  <si>
    <t>IN0020230036</t>
  </si>
  <si>
    <t>8.03% State Government of Karnataka</t>
  </si>
  <si>
    <t>IN1920170165</t>
  </si>
  <si>
    <t>7.1% Government of India</t>
  </si>
  <si>
    <t>IN0020220011</t>
  </si>
  <si>
    <t>8.49% NTPC Ltd. **</t>
  </si>
  <si>
    <t>INE733E07JP6</t>
  </si>
  <si>
    <t>Axis Bank Ltd. ** #</t>
  </si>
  <si>
    <t>6.1% Government of India</t>
  </si>
  <si>
    <t>IN0020210095</t>
  </si>
  <si>
    <t>Canara Bank</t>
  </si>
  <si>
    <t>INE476A01014</t>
  </si>
  <si>
    <t>Vedanta Ltd.</t>
  </si>
  <si>
    <t>INE205A01025</t>
  </si>
  <si>
    <t>Diversified Metals</t>
  </si>
  <si>
    <t>Steel Authority of India Ltd.</t>
  </si>
  <si>
    <t>INE114A01011</t>
  </si>
  <si>
    <t>Ferrous Metals</t>
  </si>
  <si>
    <t>Tata Steel Ltd.</t>
  </si>
  <si>
    <t>INE081A01020</t>
  </si>
  <si>
    <t>Ashok Leyland Ltd.</t>
  </si>
  <si>
    <t>INE208A01029</t>
  </si>
  <si>
    <t>Agricultural, Commercial &amp; Construction Vehicles</t>
  </si>
  <si>
    <t>Punjab National Bank</t>
  </si>
  <si>
    <t>INE160A01022</t>
  </si>
  <si>
    <t>Bandhan Bank Ltd.</t>
  </si>
  <si>
    <t>INE545U01014</t>
  </si>
  <si>
    <t>Power Finance Corporation Ltd.</t>
  </si>
  <si>
    <t>INE134E01011</t>
  </si>
  <si>
    <t>Finance</t>
  </si>
  <si>
    <t>Bajaj Finance Ltd.</t>
  </si>
  <si>
    <t>INE296A01024</t>
  </si>
  <si>
    <t>Biocon Ltd.</t>
  </si>
  <si>
    <t>INE376G01013</t>
  </si>
  <si>
    <t>Pharmaceuticals &amp; Biotechnology</t>
  </si>
  <si>
    <t>Container Corporation Of India Ltd.</t>
  </si>
  <si>
    <t>INE111A01025</t>
  </si>
  <si>
    <t>Transport Services</t>
  </si>
  <si>
    <t>RBL Bank Ltd.</t>
  </si>
  <si>
    <t>INE976G01028</t>
  </si>
  <si>
    <t>IndusInd Bank Ltd.</t>
  </si>
  <si>
    <t>INE095A01012</t>
  </si>
  <si>
    <t>Shriram Finance Ltd.</t>
  </si>
  <si>
    <t>INE721A01013</t>
  </si>
  <si>
    <t>Hindustan Copper Ltd.</t>
  </si>
  <si>
    <t>INE531E01026</t>
  </si>
  <si>
    <t>Non - Ferrous Metals</t>
  </si>
  <si>
    <t>Kotak Mahindra Bank Ltd.</t>
  </si>
  <si>
    <t>INE237A01028</t>
  </si>
  <si>
    <t>Godrej Consumer Products Ltd.</t>
  </si>
  <si>
    <t>INE102D01028</t>
  </si>
  <si>
    <t>Personal Products</t>
  </si>
  <si>
    <t>Bharat Electronics Ltd.</t>
  </si>
  <si>
    <t>INE263A01024</t>
  </si>
  <si>
    <t>Aerospace &amp; Defense</t>
  </si>
  <si>
    <t>Bank of Baroda</t>
  </si>
  <si>
    <t>INE028A01039</t>
  </si>
  <si>
    <t>Aditya Birla Capital Ltd.</t>
  </si>
  <si>
    <t>INE674K01013</t>
  </si>
  <si>
    <t>NMDC Ltd.</t>
  </si>
  <si>
    <t>INE584A01023</t>
  </si>
  <si>
    <t>Minerals &amp; Mining</t>
  </si>
  <si>
    <t>The India Cements Ltd.</t>
  </si>
  <si>
    <t>INE383A01012</t>
  </si>
  <si>
    <t>Cement &amp; Cement Products</t>
  </si>
  <si>
    <t>IDFC First Bank Ltd.</t>
  </si>
  <si>
    <t>INE092T01019</t>
  </si>
  <si>
    <t>Axis Bank Ltd.</t>
  </si>
  <si>
    <t>INE238A01034</t>
  </si>
  <si>
    <t>Jindal Steel &amp; Power Ltd.</t>
  </si>
  <si>
    <t>INE749A01030</t>
  </si>
  <si>
    <t>Marico Ltd.</t>
  </si>
  <si>
    <t>INE196A01026</t>
  </si>
  <si>
    <t>Agricultural Food &amp; other Products</t>
  </si>
  <si>
    <t>Aurobindo Pharma Ltd.</t>
  </si>
  <si>
    <t>INE406A01037</t>
  </si>
  <si>
    <t>Zydus Lifesciences Ltd.</t>
  </si>
  <si>
    <t>INE010B01027</t>
  </si>
  <si>
    <t>Aarti Industries Ltd.</t>
  </si>
  <si>
    <t>INE769A01020</t>
  </si>
  <si>
    <t>Chemicals &amp; Petrochemicals</t>
  </si>
  <si>
    <t>Larsen &amp; Toubro Ltd.</t>
  </si>
  <si>
    <t>INE018A01030</t>
  </si>
  <si>
    <t>Construction</t>
  </si>
  <si>
    <t>Tech Mahindra Ltd.</t>
  </si>
  <si>
    <t>INE669C01036</t>
  </si>
  <si>
    <t>Indus Towers Ltd.</t>
  </si>
  <si>
    <t>INE121J01017</t>
  </si>
  <si>
    <t>Telecom - Services</t>
  </si>
  <si>
    <t>National Aluminium Company Ltd.</t>
  </si>
  <si>
    <t>INE139A01034</t>
  </si>
  <si>
    <t>Bajaj Finserv Ltd.</t>
  </si>
  <si>
    <t>INE918I01026</t>
  </si>
  <si>
    <t>JSW Steel Ltd.</t>
  </si>
  <si>
    <t>INE019A01038</t>
  </si>
  <si>
    <t>Mphasis Ltd.</t>
  </si>
  <si>
    <t>INE356A01018</t>
  </si>
  <si>
    <t>Indian Oil Corporation Ltd.</t>
  </si>
  <si>
    <t>INE242A01010</t>
  </si>
  <si>
    <t>Tata Power Company Ltd.</t>
  </si>
  <si>
    <t>INE245A01021</t>
  </si>
  <si>
    <t>Power</t>
  </si>
  <si>
    <t>Hindalco Industries Ltd.</t>
  </si>
  <si>
    <t>INE038A01020</t>
  </si>
  <si>
    <t>SBI Life Insurance Company Ltd.</t>
  </si>
  <si>
    <t>INE123W01016</t>
  </si>
  <si>
    <t>Insurance</t>
  </si>
  <si>
    <t>GMR Airports Infrastructure Ltd.</t>
  </si>
  <si>
    <t>INE776C01039</t>
  </si>
  <si>
    <t>Transport Infrastructure</t>
  </si>
  <si>
    <t>Pidilite Industries Ltd.</t>
  </si>
  <si>
    <t>INE318A01026</t>
  </si>
  <si>
    <t>ITC Ltd.</t>
  </si>
  <si>
    <t>INE154A01025</t>
  </si>
  <si>
    <t>Exide Industries Ltd.</t>
  </si>
  <si>
    <t>INE302A01020</t>
  </si>
  <si>
    <t>Auto Components</t>
  </si>
  <si>
    <t>REC Ltd.</t>
  </si>
  <si>
    <t>INE020B01018</t>
  </si>
  <si>
    <t>LIC Housing Finance Ltd.</t>
  </si>
  <si>
    <t>INE115A01026</t>
  </si>
  <si>
    <t>Godrej Properties Ltd.</t>
  </si>
  <si>
    <t>INE484J01027</t>
  </si>
  <si>
    <t>Realty</t>
  </si>
  <si>
    <t>Samvardhana Motherson International Ltd.</t>
  </si>
  <si>
    <t>INE775A01035</t>
  </si>
  <si>
    <t>Shree Cement Ltd.</t>
  </si>
  <si>
    <t>INE070A01015</t>
  </si>
  <si>
    <t>Balkrishna Industries Ltd.</t>
  </si>
  <si>
    <t>INE787D01026</t>
  </si>
  <si>
    <t>Coal India Ltd.</t>
  </si>
  <si>
    <t>INE522F01014</t>
  </si>
  <si>
    <t>Consumable Fuels</t>
  </si>
  <si>
    <t>The Indian Hotels Company Ltd.</t>
  </si>
  <si>
    <t>INE053A01029</t>
  </si>
  <si>
    <t>Leisure Services</t>
  </si>
  <si>
    <t>Piramal Enterprises Ltd.</t>
  </si>
  <si>
    <t>INE140A01024</t>
  </si>
  <si>
    <t>Dabur India Ltd.</t>
  </si>
  <si>
    <t>INE016A01026</t>
  </si>
  <si>
    <t>Grasim Industries Ltd.</t>
  </si>
  <si>
    <t>INE047A01021</t>
  </si>
  <si>
    <t>INE238AD6728</t>
  </si>
  <si>
    <t>LIC MF LIQUID FUND-DR PLN-GR</t>
  </si>
  <si>
    <t>INF767K01DN1</t>
  </si>
  <si>
    <t>Disclosure in Devrivtives</t>
  </si>
  <si>
    <t>Rounded,% TO Net Assets)</t>
  </si>
  <si>
    <t>Total</t>
  </si>
  <si>
    <t>Total outstanding position(as at 30 April 2024 ) in Derivative Instruments(Gross National) 14182.44 lacs.</t>
  </si>
  <si>
    <t>Total percentage of existing assets hedge through futures is 66.65%.</t>
  </si>
  <si>
    <t>State Bank of India</t>
  </si>
  <si>
    <t>INE062A01020</t>
  </si>
  <si>
    <t>Tata Consultancy Services Ltd.</t>
  </si>
  <si>
    <t>INE467B01029</t>
  </si>
  <si>
    <t>HCL Technologies Ltd.</t>
  </si>
  <si>
    <t>INE860A01027</t>
  </si>
  <si>
    <t>NTPC Ltd.</t>
  </si>
  <si>
    <t>INE733E01010</t>
  </si>
  <si>
    <t>R K Swamy Ltd.</t>
  </si>
  <si>
    <t>INE0NQ801033</t>
  </si>
  <si>
    <t>Media</t>
  </si>
  <si>
    <t>Shakti Pumps (India) Ltd.</t>
  </si>
  <si>
    <t>INE908D01010</t>
  </si>
  <si>
    <t>Industrial Products</t>
  </si>
  <si>
    <t>Maruti Suzuki India Ltd.</t>
  </si>
  <si>
    <t>INE585B01010</t>
  </si>
  <si>
    <t>Hero MotoCorp Ltd.</t>
  </si>
  <si>
    <t>INE158A01026</t>
  </si>
  <si>
    <t>Texmaco Rail &amp; Engineering Ltd.</t>
  </si>
  <si>
    <t>INE621L01012</t>
  </si>
  <si>
    <t>Industrial Manufacturing</t>
  </si>
  <si>
    <t>Mankind Pharma Ltd.</t>
  </si>
  <si>
    <t>INE634S01028</t>
  </si>
  <si>
    <t>Ultratech Cement Ltd.</t>
  </si>
  <si>
    <t>INE481G01011</t>
  </si>
  <si>
    <t>Power Grid Corporation of India Ltd.</t>
  </si>
  <si>
    <t>INE752E01010</t>
  </si>
  <si>
    <t>SRF Ltd.</t>
  </si>
  <si>
    <t>INE647A01010</t>
  </si>
  <si>
    <t>Syngene International Ltd.</t>
  </si>
  <si>
    <t>INE398R01022</t>
  </si>
  <si>
    <t>Healthcare Services</t>
  </si>
  <si>
    <t>Mahindra &amp; Mahindra Financial Serv Ltd.</t>
  </si>
  <si>
    <t>INE774D01024</t>
  </si>
  <si>
    <t>Torrent Pharmaceuticals Ltd.</t>
  </si>
  <si>
    <t>INE685A01028</t>
  </si>
  <si>
    <t>Bajaj Holdings &amp; Investment Ltd.</t>
  </si>
  <si>
    <t>INE118A01012</t>
  </si>
  <si>
    <t>APL Apollo Tubes Ltd.</t>
  </si>
  <si>
    <t>INE702C01027</t>
  </si>
  <si>
    <t>Emami Ltd.</t>
  </si>
  <si>
    <t>INE548C01032</t>
  </si>
  <si>
    <t>Piramal Pharma Ltd.</t>
  </si>
  <si>
    <t>INE0DK501011</t>
  </si>
  <si>
    <t>Bank of India</t>
  </si>
  <si>
    <t>INE084A01016</t>
  </si>
  <si>
    <t>Cholamandalam Investment &amp; Fin Co Ltd.</t>
  </si>
  <si>
    <t>INE121A01024</t>
  </si>
  <si>
    <t>VARUN BEVERAGES LIMITED</t>
  </si>
  <si>
    <t>INE200M01021</t>
  </si>
  <si>
    <t>Beverages</t>
  </si>
  <si>
    <t>EIH Ltd.</t>
  </si>
  <si>
    <t>INE230A01023</t>
  </si>
  <si>
    <t>City Union Bank Ltd.</t>
  </si>
  <si>
    <t>INE491A01021</t>
  </si>
  <si>
    <t>TVS Motor Company Ltd.</t>
  </si>
  <si>
    <t>INE494B01023</t>
  </si>
  <si>
    <t>Creditaccess Grameen Ltd.</t>
  </si>
  <si>
    <t>INE741K01010</t>
  </si>
  <si>
    <t>Dalmia Bharat Ltd.</t>
  </si>
  <si>
    <t>INE00R701025</t>
  </si>
  <si>
    <t>HDFC Life Insurance Company Ltd.</t>
  </si>
  <si>
    <t>INE795G01014</t>
  </si>
  <si>
    <t>Garware Hi-Tech Films Ltd.</t>
  </si>
  <si>
    <t>INE291A01017</t>
  </si>
  <si>
    <t>Alkem Laboratories Ltd.</t>
  </si>
  <si>
    <t>INE540L01014</t>
  </si>
  <si>
    <t>Sonata Software Ltd.</t>
  </si>
  <si>
    <t>INE269A01021</t>
  </si>
  <si>
    <t>Gujarat State Petronet Ltd.</t>
  </si>
  <si>
    <t>INE246F01010</t>
  </si>
  <si>
    <t>Gas</t>
  </si>
  <si>
    <t>Bharat Petroleum Corporation Ltd.</t>
  </si>
  <si>
    <t>INE029A01011</t>
  </si>
  <si>
    <t>Oil India Ltd.</t>
  </si>
  <si>
    <t>INE274J01014</t>
  </si>
  <si>
    <t>Oil</t>
  </si>
  <si>
    <t>Abbott India Ltd.</t>
  </si>
  <si>
    <t>INE358A01014</t>
  </si>
  <si>
    <t>JNK India Ltd.</t>
  </si>
  <si>
    <t>INE0OAF01028</t>
  </si>
  <si>
    <t>Dr. Reddy's Laboratories Ltd.</t>
  </si>
  <si>
    <t>INE089A01023</t>
  </si>
  <si>
    <t>Grasim Industries Ltd. PARTLY PAID UP FV 0.5</t>
  </si>
  <si>
    <t>IN9047A01011</t>
  </si>
  <si>
    <t>7.68% State Government of Karnataka</t>
  </si>
  <si>
    <t>IN1920230159</t>
  </si>
  <si>
    <t>7.8% State Government of Tamil Nadu</t>
  </si>
  <si>
    <t>IN3120220097</t>
  </si>
  <si>
    <t>IN1920230217</t>
  </si>
  <si>
    <t>7.54% Government of India</t>
  </si>
  <si>
    <t>IN0020220029</t>
  </si>
  <si>
    <t>Total outstanding position(as at 30 April 2024 ) in Derivative Instruments(Gross National) 20503.07 lacs.</t>
  </si>
  <si>
    <t>Total percentage of existing assets hedge through futures is 23.16%.</t>
  </si>
  <si>
    <t>Trent Ltd.</t>
  </si>
  <si>
    <t>INE849A01020</t>
  </si>
  <si>
    <t>Retailing</t>
  </si>
  <si>
    <t>Zomato Ltd.</t>
  </si>
  <si>
    <t>INE758T01015</t>
  </si>
  <si>
    <t>GE T&amp;D India Ltd.</t>
  </si>
  <si>
    <t>INE200A01026</t>
  </si>
  <si>
    <t>Electrical Equipment</t>
  </si>
  <si>
    <t>Azad Engineering Ltd.</t>
  </si>
  <si>
    <t>INE02IJ01035</t>
  </si>
  <si>
    <t>Bharti Airtel Ltd.</t>
  </si>
  <si>
    <t>INE397D01024</t>
  </si>
  <si>
    <t>Indian Railway Catering &amp;Tou. Corp. Ltd.</t>
  </si>
  <si>
    <t>INE335Y01020</t>
  </si>
  <si>
    <t>Equitas Small Finance Bank Ltd.</t>
  </si>
  <si>
    <t>INE063P01018</t>
  </si>
  <si>
    <t>Titan Company Ltd.</t>
  </si>
  <si>
    <t>INE280A01028</t>
  </si>
  <si>
    <t>Consumer Durables</t>
  </si>
  <si>
    <t>KEI Industries Ltd.</t>
  </si>
  <si>
    <t>INE878B01027</t>
  </si>
  <si>
    <t>Siemens Ltd.</t>
  </si>
  <si>
    <t>INE003A01024</t>
  </si>
  <si>
    <t>TD Power Systems Ltd.</t>
  </si>
  <si>
    <t>INE419M01027</t>
  </si>
  <si>
    <t>Havells India Ltd.</t>
  </si>
  <si>
    <t>INE176B01034</t>
  </si>
  <si>
    <t>Five Star Business Finance Ltd.</t>
  </si>
  <si>
    <t>INE128S01021</t>
  </si>
  <si>
    <t>Titagarh Rail Systems Ltd.</t>
  </si>
  <si>
    <t>INE615H01020</t>
  </si>
  <si>
    <t>AXISCADES Engineering Technologies Ltd.</t>
  </si>
  <si>
    <t>INE555B01013</t>
  </si>
  <si>
    <t>IT - Services</t>
  </si>
  <si>
    <t>Bharat Forge Ltd.</t>
  </si>
  <si>
    <t>INE465A01025</t>
  </si>
  <si>
    <t>Crompton Greaves Cons Electrical Ltd.</t>
  </si>
  <si>
    <t>INE299U01018</t>
  </si>
  <si>
    <t>Latent View Analytics Ltd.</t>
  </si>
  <si>
    <t>INE0I7C01011</t>
  </si>
  <si>
    <t>Macrotech Developers Ltd.</t>
  </si>
  <si>
    <t>INE670K01029</t>
  </si>
  <si>
    <t>Bikaji Foods International Ltd.</t>
  </si>
  <si>
    <t>INE00E101023</t>
  </si>
  <si>
    <t>Transport Corporation Of India Ltd.</t>
  </si>
  <si>
    <t>INE688A01022</t>
  </si>
  <si>
    <t>Sun Pharmaceutical Industries Ltd.</t>
  </si>
  <si>
    <t>INE044A01036</t>
  </si>
  <si>
    <t>Craftsman Automation Ltd.</t>
  </si>
  <si>
    <t>INE00LO01017</t>
  </si>
  <si>
    <t>Coforge Ltd.</t>
  </si>
  <si>
    <t>INE591G01017</t>
  </si>
  <si>
    <t>Sona BLW Precision Forgings Ltd.</t>
  </si>
  <si>
    <t>INE073K01018</t>
  </si>
  <si>
    <t>The Ramco Cements Ltd.</t>
  </si>
  <si>
    <t>INE331A01037</t>
  </si>
  <si>
    <t>7.7% State Government of Karnataka</t>
  </si>
  <si>
    <t>IN1920230068</t>
  </si>
  <si>
    <t>7.73% State Government of Karnataka</t>
  </si>
  <si>
    <t>IN1920230084</t>
  </si>
  <si>
    <t>6.54% Government of India</t>
  </si>
  <si>
    <t>IN0020210244</t>
  </si>
  <si>
    <t>IN2220230162</t>
  </si>
  <si>
    <t>7.76% State Government of Maharashtra</t>
  </si>
  <si>
    <t>IN2220220122</t>
  </si>
  <si>
    <t>7.725% Larsen &amp; Toubro Ltd. **</t>
  </si>
  <si>
    <t>INE018A08BE9</t>
  </si>
  <si>
    <t>$0.00%</t>
  </si>
  <si>
    <t>$ Less Than 0.01% of Net Asset Value</t>
  </si>
  <si>
    <t>The Federal Bank Ltd.</t>
  </si>
  <si>
    <t>INE171A01029</t>
  </si>
  <si>
    <t>DCB Bank Ltd.</t>
  </si>
  <si>
    <t>INE503A01015</t>
  </si>
  <si>
    <t>CSB Bank Ltd.</t>
  </si>
  <si>
    <t>INE679A01013</t>
  </si>
  <si>
    <t>L &amp; T Finance Ltd.</t>
  </si>
  <si>
    <t>INE498L01015</t>
  </si>
  <si>
    <t>Aavas Financiers Ltd.</t>
  </si>
  <si>
    <t>INE216P01012</t>
  </si>
  <si>
    <t>IIFL Finance Ltd.</t>
  </si>
  <si>
    <t>INE530B01024</t>
  </si>
  <si>
    <t>Spandana Sphoorty Financial Ltd.</t>
  </si>
  <si>
    <t>INE572J01011</t>
  </si>
  <si>
    <t>MAS Financial Services Ltd.</t>
  </si>
  <si>
    <t>INE348L01012</t>
  </si>
  <si>
    <t>Karur Vysya Bank Ltd.</t>
  </si>
  <si>
    <t>INE036D01028</t>
  </si>
  <si>
    <t>Max Financial Services Ltd.</t>
  </si>
  <si>
    <t>INE180A01020</t>
  </si>
  <si>
    <t>ICICI Securities Ltd.</t>
  </si>
  <si>
    <t>INE763G01038</t>
  </si>
  <si>
    <t>Capital Markets</t>
  </si>
  <si>
    <t>Utkarsh Small Finance Bank Ltd.</t>
  </si>
  <si>
    <t>INE735W01017</t>
  </si>
  <si>
    <t>Cholamandalam Financial Holdings Ltd.</t>
  </si>
  <si>
    <t>INE149A01033</t>
  </si>
  <si>
    <t>Nippon Life India Asset Management Ltd.</t>
  </si>
  <si>
    <t>INE298J01013</t>
  </si>
  <si>
    <t>Arman Financial Services Ltd.</t>
  </si>
  <si>
    <t>INE109C01017</t>
  </si>
  <si>
    <t>IIFL FINANCE LTD RIGHTS OFF 300 INR **</t>
  </si>
  <si>
    <t>INE530B20016</t>
  </si>
  <si>
    <t>Pitti Engineering Ltd.</t>
  </si>
  <si>
    <t>INE450D01021</t>
  </si>
  <si>
    <t>Neogen Chemicals Ltd.</t>
  </si>
  <si>
    <t>INE136S01016</t>
  </si>
  <si>
    <t>TARC Ltd.</t>
  </si>
  <si>
    <t>INE0EK901012</t>
  </si>
  <si>
    <t>Tata Motors Ltd.</t>
  </si>
  <si>
    <t>INE155A01022</t>
  </si>
  <si>
    <t>Gokaldas Exports Ltd.</t>
  </si>
  <si>
    <t>INE887G01027</t>
  </si>
  <si>
    <t>Textiles &amp; Apparels</t>
  </si>
  <si>
    <t>Arvind Fashions Ltd.</t>
  </si>
  <si>
    <t>INE955V01021</t>
  </si>
  <si>
    <t>NCC Ltd.</t>
  </si>
  <si>
    <t>INE868B01028</t>
  </si>
  <si>
    <t>Divgi Torqtransfer Systems Ltd.</t>
  </si>
  <si>
    <t>INE753U01022</t>
  </si>
  <si>
    <t>Elecon Engineering Company Ltd.</t>
  </si>
  <si>
    <t>INE205B01023</t>
  </si>
  <si>
    <t>Triveni Turbine Ltd.</t>
  </si>
  <si>
    <t>INE152M01016</t>
  </si>
  <si>
    <t>Motherson Sumi Wiring India Ltd.</t>
  </si>
  <si>
    <t>INE0FS801015</t>
  </si>
  <si>
    <t>Coromandel International Ltd.</t>
  </si>
  <si>
    <t>INE169A01031</t>
  </si>
  <si>
    <t>Fertilizers &amp; Agrochemicals</t>
  </si>
  <si>
    <t>Syrma Sgs Technology Ltd.</t>
  </si>
  <si>
    <t>INE0DYJ01015</t>
  </si>
  <si>
    <t>Kennametal India Ltd.</t>
  </si>
  <si>
    <t>INE717A01029</t>
  </si>
  <si>
    <t>Max Healthcare Institute Ltd.</t>
  </si>
  <si>
    <t>INE027H01010</t>
  </si>
  <si>
    <t>Cyient Ltd.</t>
  </si>
  <si>
    <t>INE136B01020</t>
  </si>
  <si>
    <t>Britannia Industries Ltd.</t>
  </si>
  <si>
    <t>INE216A01030</t>
  </si>
  <si>
    <t>Hindware Home Innovation Ltd.</t>
  </si>
  <si>
    <t>INE05AN01011</t>
  </si>
  <si>
    <t>Asian Paints Ltd.</t>
  </si>
  <si>
    <t>INE021A01026</t>
  </si>
  <si>
    <t>BEML Ltd.</t>
  </si>
  <si>
    <t>INE258A01016</t>
  </si>
  <si>
    <t>Sudarshan Chemical Industries Ltd.</t>
  </si>
  <si>
    <t>INE659A01023</t>
  </si>
  <si>
    <t>PSP Projects Ltd.</t>
  </si>
  <si>
    <t>INE488V01015</t>
  </si>
  <si>
    <t>Carborundum Universal Ltd.</t>
  </si>
  <si>
    <t>INE120A01034</t>
  </si>
  <si>
    <t>Sanofi India Ltd.</t>
  </si>
  <si>
    <t>INE058A01010</t>
  </si>
  <si>
    <t>Bharat Bijlee Ltd.</t>
  </si>
  <si>
    <t>INE464A01036</t>
  </si>
  <si>
    <t>Divi's Laboratories Ltd.</t>
  </si>
  <si>
    <t>INE361B01024</t>
  </si>
  <si>
    <t>Akzo Nobel India Ltd.</t>
  </si>
  <si>
    <t>INE133A01011</t>
  </si>
  <si>
    <t>Bajaj Auto Ltd.</t>
  </si>
  <si>
    <t>INE917I01010</t>
  </si>
  <si>
    <t>Sharda Cropchem Ltd.</t>
  </si>
  <si>
    <t>INE221J01015</t>
  </si>
  <si>
    <t>Mahanagar Gas Ltd.</t>
  </si>
  <si>
    <t>INE002S01010</t>
  </si>
  <si>
    <t>Radico Khaitan Ltd.</t>
  </si>
  <si>
    <t>INE944F01028</t>
  </si>
  <si>
    <t>Godfrey Phillips India Ltd.</t>
  </si>
  <si>
    <t>INE260B01028</t>
  </si>
  <si>
    <t>Cigarettes &amp; Tobacco Products</t>
  </si>
  <si>
    <t>CESC Ltd.</t>
  </si>
  <si>
    <t>INE486A01021</t>
  </si>
  <si>
    <t>PCBL Ltd.</t>
  </si>
  <si>
    <t>INE602A01031</t>
  </si>
  <si>
    <t>Schaeffler India Ltd.</t>
  </si>
  <si>
    <t>INE513A01022</t>
  </si>
  <si>
    <t>Artemis Medicare Services Ltd.</t>
  </si>
  <si>
    <t>INE025R01021</t>
  </si>
  <si>
    <t>Laurus Labs Ltd.</t>
  </si>
  <si>
    <t>INE947Q01028</t>
  </si>
  <si>
    <t>JB Chemicals &amp; Pharmaceuticals Ltd.</t>
  </si>
  <si>
    <t>INE572A01036</t>
  </si>
  <si>
    <t>Cipla Ltd.</t>
  </si>
  <si>
    <t>INE059A01026</t>
  </si>
  <si>
    <t>Glenmark Pharmaceuticals Ltd.</t>
  </si>
  <si>
    <t>INE935A01035</t>
  </si>
  <si>
    <t>IPCA Laboratories Ltd.</t>
  </si>
  <si>
    <t>INE571A01038</t>
  </si>
  <si>
    <t>Apollo Hospitals Enterprise Ltd.</t>
  </si>
  <si>
    <t>INE437A01024</t>
  </si>
  <si>
    <t>Global Health Ltd.</t>
  </si>
  <si>
    <t>INE474Q01031</t>
  </si>
  <si>
    <t>Metropolis Healthcare Ltd.</t>
  </si>
  <si>
    <t>INE112L01020</t>
  </si>
  <si>
    <t>UNO Minda Ltd.</t>
  </si>
  <si>
    <t>INE405E01023</t>
  </si>
  <si>
    <t>Torrent Power Ltd.</t>
  </si>
  <si>
    <t>INE813H01021</t>
  </si>
  <si>
    <t>Supreme Industries Ltd.</t>
  </si>
  <si>
    <t>INE195A01028</t>
  </si>
  <si>
    <t>Voltas Ltd.</t>
  </si>
  <si>
    <t>INE226A01021</t>
  </si>
  <si>
    <t>K.P.R. Mill Ltd.</t>
  </si>
  <si>
    <t>INE930H01031</t>
  </si>
  <si>
    <t>Info Edge (India) Ltd.</t>
  </si>
  <si>
    <t>INE663F01024</t>
  </si>
  <si>
    <t>P I INDUSTRIES LIMITED</t>
  </si>
  <si>
    <t>INE603J01030</t>
  </si>
  <si>
    <t>Astral Ltd.</t>
  </si>
  <si>
    <t>INE006I01046</t>
  </si>
  <si>
    <t>Endurance Technologies Ltd.</t>
  </si>
  <si>
    <t>INE913H01037</t>
  </si>
  <si>
    <t>Tata Elxsi Ltd.</t>
  </si>
  <si>
    <t>INE670A01012</t>
  </si>
  <si>
    <t>3M India Ltd.</t>
  </si>
  <si>
    <t>INE470A01017</t>
  </si>
  <si>
    <t>Diversified</t>
  </si>
  <si>
    <t>Swan Energy Ltd.</t>
  </si>
  <si>
    <t>INE665A01038</t>
  </si>
  <si>
    <t>Oberoi Realty Ltd.</t>
  </si>
  <si>
    <t>INE093I01010</t>
  </si>
  <si>
    <t>Escorts Kubota Ltd.</t>
  </si>
  <si>
    <t>INE042A01014</t>
  </si>
  <si>
    <t>Sumitomo Chemical India Ltd.</t>
  </si>
  <si>
    <t>INE258G01013</t>
  </si>
  <si>
    <t>Honeywell Automation India Ltd.</t>
  </si>
  <si>
    <t>INE671A01010</t>
  </si>
  <si>
    <t>Metro Brands Ltd.</t>
  </si>
  <si>
    <t>INE317I01021</t>
  </si>
  <si>
    <t>Jubilant Foodworks Ltd.</t>
  </si>
  <si>
    <t>INE797F01020</t>
  </si>
  <si>
    <t>ZF Commercial Vehicle Ctrl Sys Ind Ltd.</t>
  </si>
  <si>
    <t>INE342J01019</t>
  </si>
  <si>
    <t>Deepak Nitrite Ltd.</t>
  </si>
  <si>
    <t>INE288B01029</t>
  </si>
  <si>
    <t>ACC Ltd.</t>
  </si>
  <si>
    <t>INE012A01025</t>
  </si>
  <si>
    <t>Affle (India) Ltd.</t>
  </si>
  <si>
    <t>INE00WC01027</t>
  </si>
  <si>
    <t>Muthoot Finance Ltd.</t>
  </si>
  <si>
    <t>INE414G01012</t>
  </si>
  <si>
    <t>Sai Silk (Kalamandir) Ltd.</t>
  </si>
  <si>
    <t>INE438K01021</t>
  </si>
  <si>
    <t>CCL Products (India) Ltd.</t>
  </si>
  <si>
    <t>INE421D01022</t>
  </si>
  <si>
    <t>Campus Activewear Ltd.</t>
  </si>
  <si>
    <t>INE278Y01022</t>
  </si>
  <si>
    <t>Cummins India Ltd.</t>
  </si>
  <si>
    <t>INE298A01020</t>
  </si>
  <si>
    <t>Bharat Dynamics Ltd.</t>
  </si>
  <si>
    <t>INE171Z01018</t>
  </si>
  <si>
    <t>Oil &amp; Natural Gas Corporation Ltd.</t>
  </si>
  <si>
    <t>INE213A01029</t>
  </si>
  <si>
    <t>Total outstanding position(as at 30 April 2024 ) in Derivative Instruments(Gross National) 543.77 lacs.</t>
  </si>
  <si>
    <t>Total percentage of existing assets hedge through futures is 34.48%.</t>
  </si>
  <si>
    <t>VA Tech Wabag Ltd.</t>
  </si>
  <si>
    <t>INE956G01038</t>
  </si>
  <si>
    <t>Other Utilities</t>
  </si>
  <si>
    <t>ICICI Prudential Life Insurance Co Ltd.</t>
  </si>
  <si>
    <t>INE726G01019</t>
  </si>
  <si>
    <t>Apar Industries Ltd.</t>
  </si>
  <si>
    <t>INE372A01015</t>
  </si>
  <si>
    <t>Page Industries Ltd.</t>
  </si>
  <si>
    <t>INE761H01022</t>
  </si>
  <si>
    <t>MRS Bectors Food Specialities Ltd.</t>
  </si>
  <si>
    <t>INE495P01012</t>
  </si>
  <si>
    <t>Kajaria Ceramics Ltd.</t>
  </si>
  <si>
    <t>INE217B01036</t>
  </si>
  <si>
    <t>Jyothy Labs Ltd.</t>
  </si>
  <si>
    <t>INE668F01031</t>
  </si>
  <si>
    <t>Household Products</t>
  </si>
  <si>
    <t>Vinati Organics Ltd.</t>
  </si>
  <si>
    <t>INE410B01037</t>
  </si>
  <si>
    <t>Oracle Financial Services Software Ltd.</t>
  </si>
  <si>
    <t>INE881D01027</t>
  </si>
  <si>
    <t>Blue Dart Express Ltd.</t>
  </si>
  <si>
    <t>INE233B01017</t>
  </si>
  <si>
    <t>Ador Welding Ltd.</t>
  </si>
  <si>
    <t>INE045A01017</t>
  </si>
  <si>
    <t>TCI Express Ltd.</t>
  </si>
  <si>
    <t>INE586V01016</t>
  </si>
  <si>
    <t>GMM Pfaudler Ltd.</t>
  </si>
  <si>
    <t>INE541A01023</t>
  </si>
  <si>
    <t>Alicon Castalloy Ltd.</t>
  </si>
  <si>
    <t>INE062D01024</t>
  </si>
  <si>
    <t>Wendt India Ltd.</t>
  </si>
  <si>
    <t>INE274C01019</t>
  </si>
  <si>
    <t>TVS Holdings Ltd.</t>
  </si>
  <si>
    <t>INE105A01035</t>
  </si>
  <si>
    <t>Disa India Ltd.</t>
  </si>
  <si>
    <t>INE131C01011</t>
  </si>
  <si>
    <t>5.5% Britannia Industries Ltd. **</t>
  </si>
  <si>
    <t>INE216A08027</t>
  </si>
  <si>
    <t>Kirloskar Oil Engines Ltd.</t>
  </si>
  <si>
    <t>INE146L01010</t>
  </si>
  <si>
    <t>BSE Ltd.</t>
  </si>
  <si>
    <t>INE118H01025</t>
  </si>
  <si>
    <t>Blue Star Ltd.</t>
  </si>
  <si>
    <t>INE472A01039</t>
  </si>
  <si>
    <t>Lemon Tree Hotels Ltd.</t>
  </si>
  <si>
    <t>INE970X01018</t>
  </si>
  <si>
    <t>KSB Ltd.</t>
  </si>
  <si>
    <t>INE999A01015</t>
  </si>
  <si>
    <t>Elgi Equipments Ltd.</t>
  </si>
  <si>
    <t>INE285A01027</t>
  </si>
  <si>
    <t>Avalon Technologies Ltd.</t>
  </si>
  <si>
    <t>INE0LCL01028</t>
  </si>
  <si>
    <t>Huhtamaki India Ltd.</t>
  </si>
  <si>
    <t>INE275B01026</t>
  </si>
  <si>
    <t>Hitachi Energy India Ltd.</t>
  </si>
  <si>
    <t>INE07Y701011</t>
  </si>
  <si>
    <t>EID Parry India Ltd.</t>
  </si>
  <si>
    <t>INE126A01031</t>
  </si>
  <si>
    <t>Ratnamani Metals &amp; Tubes Ltd.</t>
  </si>
  <si>
    <t>INE703B01027</t>
  </si>
  <si>
    <t>Birlasoft Ltd.</t>
  </si>
  <si>
    <t>INE836A01035</t>
  </si>
  <si>
    <t>Grindwell Norton Ltd.</t>
  </si>
  <si>
    <t>INE536A01023</t>
  </si>
  <si>
    <t>Carysil Ltd.</t>
  </si>
  <si>
    <t>INE482D01024</t>
  </si>
  <si>
    <t>Bajaj Electricals Ltd.</t>
  </si>
  <si>
    <t>INE193E01025</t>
  </si>
  <si>
    <t>Techno Electric &amp; Engineering Co. Ltd.</t>
  </si>
  <si>
    <t>INE285K01026</t>
  </si>
  <si>
    <t>PNC Infratech Ltd.</t>
  </si>
  <si>
    <t>INE195J01029</t>
  </si>
  <si>
    <t>Timken India Ltd.</t>
  </si>
  <si>
    <t>INE325A01013</t>
  </si>
  <si>
    <t>Navin Fluorine International Ltd.</t>
  </si>
  <si>
    <t>INE048G01026</t>
  </si>
  <si>
    <t>Century Plyboards (India) Ltd.</t>
  </si>
  <si>
    <t>INE348B01021</t>
  </si>
  <si>
    <t>Kirloskar Pneumatic Co.Ltd.</t>
  </si>
  <si>
    <t>INE811A01020</t>
  </si>
  <si>
    <t>Saregama India Ltd.</t>
  </si>
  <si>
    <t>INE979A01025</t>
  </si>
  <si>
    <t>Entertainment</t>
  </si>
  <si>
    <t>Galaxy Surfactants Ltd.</t>
  </si>
  <si>
    <t>INE600K01018</t>
  </si>
  <si>
    <t>IRM Energy Ltd.</t>
  </si>
  <si>
    <t>INE07U701015</t>
  </si>
  <si>
    <t>Birla Corporation Ltd.</t>
  </si>
  <si>
    <t>INE340A01012</t>
  </si>
  <si>
    <t>Arvind Ltd.</t>
  </si>
  <si>
    <t>INE034A01011</t>
  </si>
  <si>
    <t>Greenpanel Industries Ltd.</t>
  </si>
  <si>
    <t>INE08ZM01014</t>
  </si>
  <si>
    <t>SP Apparels Ltd.</t>
  </si>
  <si>
    <t>INE212I01016</t>
  </si>
  <si>
    <t>INOX India Limited</t>
  </si>
  <si>
    <t>INE616N01034</t>
  </si>
  <si>
    <t>Berger Paints (I) Ltd.</t>
  </si>
  <si>
    <t>INE463A01038</t>
  </si>
  <si>
    <t>LIC Mutual Fund</t>
  </si>
  <si>
    <t>INF397L01554</t>
  </si>
  <si>
    <t>Tata Consumer Products Ltd.</t>
  </si>
  <si>
    <t>INE192A01025</t>
  </si>
  <si>
    <t>Eicher Motors Ltd.</t>
  </si>
  <si>
    <t>INE066A01021</t>
  </si>
  <si>
    <t>Avenue Supermarts Ltd.</t>
  </si>
  <si>
    <t>INE192R01011</t>
  </si>
  <si>
    <t>Hindustan Aeronautics Ltd.</t>
  </si>
  <si>
    <t>INE066F01020</t>
  </si>
  <si>
    <t>Schneider Electric Infrastructure Ltd.</t>
  </si>
  <si>
    <t>INE839M01018</t>
  </si>
  <si>
    <t>NLC India Ltd.</t>
  </si>
  <si>
    <t>INE589A01014</t>
  </si>
  <si>
    <t>Ashoka Buildcon Ltd.</t>
  </si>
  <si>
    <t>INE442H01029</t>
  </si>
  <si>
    <t>Foseco India Ltd.</t>
  </si>
  <si>
    <t>INE519A01011</t>
  </si>
  <si>
    <t>JSW Infrastructure Ltd.</t>
  </si>
  <si>
    <t>INE880J01026</t>
  </si>
  <si>
    <t>Vascon Engineers Ltd.</t>
  </si>
  <si>
    <t>INE893I01013</t>
  </si>
  <si>
    <t>Adani Ports &amp; Special Economic Zone Ltd.</t>
  </si>
  <si>
    <t>INE742F01042</t>
  </si>
  <si>
    <t>Adani Enterprises Ltd.</t>
  </si>
  <si>
    <t>INE423A01024</t>
  </si>
  <si>
    <t>Metals &amp; Minerals Trading</t>
  </si>
  <si>
    <t>Wipro Ltd.</t>
  </si>
  <si>
    <t>INE075A01022</t>
  </si>
  <si>
    <t>Aditya Birla Fashion and Retail Ltd.</t>
  </si>
  <si>
    <t>INE647O01011</t>
  </si>
  <si>
    <t>Persistent Systems Ltd.</t>
  </si>
  <si>
    <t>INE262H01021</t>
  </si>
  <si>
    <t>PVR Inox Ltd.</t>
  </si>
  <si>
    <t>INE191H01014</t>
  </si>
  <si>
    <t>Gujarat Gas Ltd.</t>
  </si>
  <si>
    <t>INE844O01030</t>
  </si>
  <si>
    <t>Yes Bank Ltd.</t>
  </si>
  <si>
    <t>INE528G01035</t>
  </si>
  <si>
    <t>Suzlon Energy Ltd.</t>
  </si>
  <si>
    <t>INE040H01021</t>
  </si>
  <si>
    <t>Tube Investments Of India Ltd.</t>
  </si>
  <si>
    <t>INE974X01010</t>
  </si>
  <si>
    <t>Lupin Ltd.</t>
  </si>
  <si>
    <t>INE326A01037</t>
  </si>
  <si>
    <t>HDFC Asset Management Company Ltd.</t>
  </si>
  <si>
    <t>INE127D01025</t>
  </si>
  <si>
    <t>PB Fintech Ltd.</t>
  </si>
  <si>
    <t>INE417T01026</t>
  </si>
  <si>
    <t>Financial Technology (Fintech)</t>
  </si>
  <si>
    <t>Bharat Heavy Electricals Ltd.</t>
  </si>
  <si>
    <t>INE257A01026</t>
  </si>
  <si>
    <t>CG Power and Industrial Solutions Ltd.</t>
  </si>
  <si>
    <t>INE067A01029</t>
  </si>
  <si>
    <t>Hindustan Petroleum Corporation Ltd.</t>
  </si>
  <si>
    <t>INE094A01015</t>
  </si>
  <si>
    <t>Dixon Technologies (India) Ltd.</t>
  </si>
  <si>
    <t>INE935N01020</t>
  </si>
  <si>
    <t>AU Small Finance Bank Ltd.</t>
  </si>
  <si>
    <t>INE949L01017</t>
  </si>
  <si>
    <t>NHPC Ltd.</t>
  </si>
  <si>
    <t>INE848E01016</t>
  </si>
  <si>
    <t>Union Bank of India</t>
  </si>
  <si>
    <t>INE692A01016</t>
  </si>
  <si>
    <t>MRF Ltd.</t>
  </si>
  <si>
    <t>INE883A01011</t>
  </si>
  <si>
    <t>JSW Energy Ltd.</t>
  </si>
  <si>
    <t>INE121E01018</t>
  </si>
  <si>
    <t>Polycab India Ltd.</t>
  </si>
  <si>
    <t>INE455K01017</t>
  </si>
  <si>
    <t>UPL Ltd.</t>
  </si>
  <si>
    <t>INE628A01036</t>
  </si>
  <si>
    <t>KPIT Technologies Ltd.</t>
  </si>
  <si>
    <t>INE04I401011</t>
  </si>
  <si>
    <t>FSN E-Commerce Ventures Ltd.</t>
  </si>
  <si>
    <t>INE388Y01029</t>
  </si>
  <si>
    <t>Petronet LNG Ltd.</t>
  </si>
  <si>
    <t>INE347G01014</t>
  </si>
  <si>
    <t>Fortis Healthcare Ltd.</t>
  </si>
  <si>
    <t>INE061F01013</t>
  </si>
  <si>
    <t>Tata Communications Ltd.</t>
  </si>
  <si>
    <t>INE151A01013</t>
  </si>
  <si>
    <t>Prestige Estates Projects Ltd.</t>
  </si>
  <si>
    <t>INE811K01011</t>
  </si>
  <si>
    <t>Indian Bank</t>
  </si>
  <si>
    <t>INE562A01011</t>
  </si>
  <si>
    <t>Delhivery Ltd.</t>
  </si>
  <si>
    <t>INE148O01028</t>
  </si>
  <si>
    <t>Apollo Tyres Ltd.</t>
  </si>
  <si>
    <t>INE438A01022</t>
  </si>
  <si>
    <t>Tata Chemicals Ltd.</t>
  </si>
  <si>
    <t>INE092A01019</t>
  </si>
  <si>
    <t>Indraprastha Gas Ltd.</t>
  </si>
  <si>
    <t>INE203G01027</t>
  </si>
  <si>
    <t>Rail Vikas Nigam Ltd.</t>
  </si>
  <si>
    <t>INE415G01027</t>
  </si>
  <si>
    <t>Poonawalla Fincorp Ltd.</t>
  </si>
  <si>
    <t>INE511C01022</t>
  </si>
  <si>
    <t>Patanjali Foods Ltd.</t>
  </si>
  <si>
    <t>INE619A01035</t>
  </si>
  <si>
    <t>Zee Entertainment Enterprises Ltd.</t>
  </si>
  <si>
    <t>INE256A01028</t>
  </si>
  <si>
    <t>L&amp;T Technology Services Ltd.</t>
  </si>
  <si>
    <t>INE010V01017</t>
  </si>
  <si>
    <t>Gland Pharma Ltd.</t>
  </si>
  <si>
    <t>INE068V01023</t>
  </si>
  <si>
    <t>One 97 Communications Ltd.</t>
  </si>
  <si>
    <t>INE982J01020</t>
  </si>
  <si>
    <t>Vodafone Idea Ltd.</t>
  </si>
  <si>
    <t>INE669E01016</t>
  </si>
  <si>
    <t>SJVN Ltd.</t>
  </si>
  <si>
    <t>INE002L01015</t>
  </si>
  <si>
    <t>Kalyan Jewellers India Ltd.</t>
  </si>
  <si>
    <t>INE303R01014</t>
  </si>
  <si>
    <t>Dr. Lal Path Labs Ltd.</t>
  </si>
  <si>
    <t>INE600L01024</t>
  </si>
  <si>
    <t>Mazagon Dock Shipbuilders Ltd.</t>
  </si>
  <si>
    <t>INE249Z01012</t>
  </si>
  <si>
    <t>Bank of Maharashtra</t>
  </si>
  <si>
    <t>INE457A01014</t>
  </si>
  <si>
    <t>Tata Technologies Ltd.</t>
  </si>
  <si>
    <t>INE142M01025</t>
  </si>
  <si>
    <t>Sun TV Network Ltd.</t>
  </si>
  <si>
    <t>INE424H01027</t>
  </si>
  <si>
    <t>IDBI Bank Ltd.</t>
  </si>
  <si>
    <t>INE008A01015</t>
  </si>
  <si>
    <t>Fertilizers &amp; Chemicals Travancore Ltd.</t>
  </si>
  <si>
    <t>INE188A01015</t>
  </si>
  <si>
    <t>Kansai Nerolac Paints Ltd.</t>
  </si>
  <si>
    <t>INE531A01024</t>
  </si>
  <si>
    <t>Sundram Fasteners Ltd.</t>
  </si>
  <si>
    <t>INE387A01021</t>
  </si>
  <si>
    <t>Star Health &amp; Allied Insurance Co Ltd.</t>
  </si>
  <si>
    <t>INE575P01011</t>
  </si>
  <si>
    <t>Bharti Hexacom Ltd.</t>
  </si>
  <si>
    <t>INE343G01021</t>
  </si>
  <si>
    <t>Sundaram Finance Ltd.</t>
  </si>
  <si>
    <t>INE660A01013</t>
  </si>
  <si>
    <t>Cello World Ltd.</t>
  </si>
  <si>
    <t>INE0LMW01024</t>
  </si>
  <si>
    <t>Vedant Fashions Ltd.</t>
  </si>
  <si>
    <t>INE825V01034</t>
  </si>
  <si>
    <t>DLF Ltd.</t>
  </si>
  <si>
    <t>INE271C01023</t>
  </si>
  <si>
    <t>InterGlobe Aviation Ltd.</t>
  </si>
  <si>
    <t>INE646L01027</t>
  </si>
  <si>
    <t>GAIL (India) Ltd.</t>
  </si>
  <si>
    <t>INE129A01019</t>
  </si>
  <si>
    <t>ICICI Lombard General Insurance Co. Ltd.</t>
  </si>
  <si>
    <t>INE765G01017</t>
  </si>
  <si>
    <t>Colgate Palmolive (India) Ltd.</t>
  </si>
  <si>
    <t>INE259A01022</t>
  </si>
  <si>
    <t>Ambuja Cements Ltd.</t>
  </si>
  <si>
    <t>INE079A01024</t>
  </si>
  <si>
    <t>Jio Financial Services Ltd.</t>
  </si>
  <si>
    <t>INE758E01017</t>
  </si>
  <si>
    <t>ABB India Ltd.</t>
  </si>
  <si>
    <t>INE117A01022</t>
  </si>
  <si>
    <t>United Spirits Ltd.</t>
  </si>
  <si>
    <t>INE854D01024</t>
  </si>
  <si>
    <t>Bosch Ltd.</t>
  </si>
  <si>
    <t>INE323A01026</t>
  </si>
  <si>
    <t>SBI Cards &amp; Payment Services Ltd.</t>
  </si>
  <si>
    <t>INE018E01016</t>
  </si>
  <si>
    <t>Adani Green Energy Ltd.</t>
  </si>
  <si>
    <t>INE364U01010</t>
  </si>
  <si>
    <t>Adani Power Ltd.</t>
  </si>
  <si>
    <t>INE814H01011</t>
  </si>
  <si>
    <t>Adani Energy Solutions Ltd.</t>
  </si>
  <si>
    <t>INE931S01010</t>
  </si>
  <si>
    <t>Indian Railway Finance Corporation Ltd.</t>
  </si>
  <si>
    <t>INE053F01010</t>
  </si>
  <si>
    <t>Adani Total Gas Ltd.</t>
  </si>
  <si>
    <t>INE399L01023</t>
  </si>
  <si>
    <t>Life Insurance Corporation of India</t>
  </si>
  <si>
    <t>INE0J1Y01017</t>
  </si>
  <si>
    <t>Tata Motors Ltd (DVR)</t>
  </si>
  <si>
    <t>IN9155A01020</t>
  </si>
  <si>
    <t>Thermax Ltd.</t>
  </si>
  <si>
    <t>INE152A01029</t>
  </si>
  <si>
    <t>Safari Industries India Ltd.</t>
  </si>
  <si>
    <t>INE429E01023</t>
  </si>
  <si>
    <t>AIA Engineering Ltd.</t>
  </si>
  <si>
    <t>INE212H01026</t>
  </si>
  <si>
    <t>Cera Sanitaryware Ltd.</t>
  </si>
  <si>
    <t>INE739E01017</t>
  </si>
  <si>
    <t>SKF India Ltd.</t>
  </si>
  <si>
    <t>INE640A01023</t>
  </si>
  <si>
    <t>MM Forgings Ltd.</t>
  </si>
  <si>
    <t>INE227C01017</t>
  </si>
  <si>
    <t>RHI Magnesita India Ltd.</t>
  </si>
  <si>
    <t>INE743M01012</t>
  </si>
  <si>
    <t>Bajel Projects Ltd.</t>
  </si>
  <si>
    <t>INE0KQN01018</t>
  </si>
  <si>
    <t>Bharti Airtel Ltd. PARTLY PAID UP FV 1.25</t>
  </si>
  <si>
    <t>IN9397D01014</t>
  </si>
  <si>
    <t>5.74% Government of India</t>
  </si>
  <si>
    <t>IN0020210186</t>
  </si>
  <si>
    <t>Riskometer</t>
  </si>
  <si>
    <t>Moderate</t>
  </si>
  <si>
    <t>Moderately High</t>
  </si>
  <si>
    <t>Low</t>
  </si>
  <si>
    <t>Low to Moderate</t>
  </si>
  <si>
    <t>The product is suitable for investors who are seeking*</t>
  </si>
  <si>
    <t>Riskometer - Scheme</t>
  </si>
  <si>
    <t>First Tier Benchmark</t>
  </si>
  <si>
    <t>Riskometer - First Tier Benchmark</t>
  </si>
  <si>
    <t>•Risk - Moderate</t>
  </si>
  <si>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</si>
  <si>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</si>
  <si>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</si>
  <si>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Very High</t>
  </si>
  <si>
    <t>High</t>
  </si>
  <si>
    <t>NSE Symbol: LICNMID100</t>
  </si>
  <si>
    <t>BSE Scrip Code: 544123</t>
  </si>
  <si>
    <t>NSE Symbol: LICNFNHGP</t>
  </si>
  <si>
    <t>BSE Scrip Code: 539784</t>
  </si>
  <si>
    <t>NSE Symbol: LICNETFN50</t>
  </si>
  <si>
    <t>BSE Scrip Code: 539480</t>
  </si>
  <si>
    <t>NSE Symbol: LICNETFSEN</t>
  </si>
  <si>
    <t>BSE Scrip Code: 539487</t>
  </si>
  <si>
    <t xml:space="preserve">          LIC MF Arbitrage Fund</t>
  </si>
  <si>
    <t>NIFTY 50 Arbitrage Index</t>
  </si>
  <si>
    <t>•Income over a short term investment horizon</t>
  </si>
  <si>
    <t>•Income through arbitrage opportunities between cash and derivative market and arbitrage opportunities within the derivative segment of the equity market</t>
  </si>
  <si>
    <r>
      <t>•</t>
    </r>
    <r>
      <rPr>
        <b/>
        <sz val="9"/>
        <color rgb="FF000000"/>
        <rFont val="Arial"/>
        <family val="2"/>
      </rPr>
      <t>Risk – Low</t>
    </r>
  </si>
  <si>
    <t>NIFTY 50 Hybrid Composite Debt 50:50 Index</t>
  </si>
  <si>
    <t>•Capital appreciation over a long period of time</t>
  </si>
  <si>
    <t>•Investments in a dynamically managed portfolio of equity and equity related instruments, debt and money market instruments</t>
  </si>
  <si>
    <r>
      <t>•</t>
    </r>
    <r>
      <rPr>
        <b/>
        <sz val="9"/>
        <color rgb="FF000000"/>
        <rFont val="Arial"/>
        <family val="2"/>
      </rPr>
      <t>Risk - Very High</t>
    </r>
  </si>
  <si>
    <r>
      <t>•</t>
    </r>
    <r>
      <rPr>
        <b/>
        <sz val="9"/>
        <color rgb="FF000000"/>
        <rFont val="Arial"/>
        <family val="2"/>
      </rPr>
      <t>Risk - High</t>
    </r>
  </si>
  <si>
    <t>CRISIL Hybrid 35+65 - Aggressive Index</t>
  </si>
  <si>
    <t>•Long term capital appreciation with current income</t>
  </si>
  <si>
    <t xml:space="preserve">•A fund that invests both in stocks and fixed income instruments. </t>
  </si>
  <si>
    <t>LIC MF Banking &amp; Financial Services Fund</t>
  </si>
  <si>
    <t>•Capital appreciation over long term.</t>
  </si>
  <si>
    <t>Nifty Financial Services TRI</t>
  </si>
  <si>
    <t>•Investing predominantly in portfolio of equity and equity related securities of companies engaged in banking and financial services.</t>
  </si>
  <si>
    <r>
      <t>•</t>
    </r>
    <r>
      <rPr>
        <b/>
        <sz val="9"/>
        <color rgb="FF000000"/>
        <rFont val="Arial"/>
        <family val="2"/>
      </rPr>
      <t>Risk – Very High</t>
    </r>
  </si>
  <si>
    <t>LIC MF Children's Gift Fund</t>
  </si>
  <si>
    <t>•Long term capital appreciation and current income</t>
  </si>
  <si>
    <t>•A fund that invests both in stocks and fixed income instruments.</t>
  </si>
  <si>
    <t>NIFTY 500  TRI</t>
  </si>
  <si>
    <t>•Long term capital appreciation</t>
  </si>
  <si>
    <t>•Investment predominantly in dividend yielding equity and equity related instruments.</t>
  </si>
  <si>
    <t>S&amp;P BSE Healthcare -  (TRI)</t>
  </si>
  <si>
    <t>•Investment predominantly in equity and equity related instruments of companies engaged in Healthcare &amp; Allied Sectors</t>
  </si>
  <si>
    <t>LIC MF Midcap Fund</t>
  </si>
  <si>
    <t>NIFTY Midcap 150 - TRI</t>
  </si>
  <si>
    <t>•Investment predominantly in equity and equity related instruments of Midcap companies.</t>
  </si>
  <si>
    <t>NIFTY Equity Savings Index</t>
  </si>
  <si>
    <t>•Regular income &amp; Capital appreciation over Medium to Long term</t>
  </si>
  <si>
    <t>•Investment in equity and equity related Instruments including equity derivatives, arbitrage and debt and money market instruments</t>
  </si>
  <si>
    <r>
      <t>•</t>
    </r>
    <r>
      <rPr>
        <b/>
        <sz val="9"/>
        <color rgb="FF000000"/>
        <rFont val="Arial"/>
        <family val="2"/>
      </rPr>
      <t>Risk - Moderately High</t>
    </r>
  </si>
  <si>
    <t>Nifty 500 TRI</t>
  </si>
  <si>
    <t>•Investing across Large, Mid &amp; Small Cap stocks.</t>
  </si>
  <si>
    <t>LIC MF SmallCap Fund</t>
  </si>
  <si>
    <t>NIFTY Smallcap 250 - TRI</t>
  </si>
  <si>
    <t>•Investment predominantly in equity and equity related instruments of Smallcap companies.</t>
  </si>
  <si>
    <t>LIC  MF Focused 30 Equity Fund</t>
  </si>
  <si>
    <t>NIFTY 500 - TRI</t>
  </si>
  <si>
    <t>• Investment predominantly in large cap focused equity &amp; equity related instruments of up to 30 ompanies and balance in debt &amp; money market instruments.</t>
  </si>
  <si>
    <t>Domestic Price of Gold</t>
  </si>
  <si>
    <t>•To replicate returns of LIC MF Gold ETF FOF with at least medium term horizon</t>
  </si>
  <si>
    <t>•Investments in units of LIC MF Gold ETF / Money Market Instruments/ LIC MF Liquid Fund Scheme</t>
  </si>
  <si>
    <t>NIFTY 100 TRI</t>
  </si>
  <si>
    <t>•Long Term Capital Appreciation</t>
  </si>
  <si>
    <t>•A Fund that primarily invest in large-cap stock.</t>
  </si>
  <si>
    <t>Nifty Infrastructure TRI</t>
  </si>
  <si>
    <t>•Long Term Capital Growth</t>
  </si>
  <si>
    <t>•Investment in equity and equity related instruments of companies engaged either directly or indirectly in infrastructure sector.</t>
  </si>
  <si>
    <t>NIFTY 50 TRI</t>
  </si>
  <si>
    <r>
      <t>•</t>
    </r>
    <r>
      <rPr>
        <sz val="9"/>
        <color rgb="FF000000"/>
        <rFont val="Arial"/>
        <family val="2"/>
      </rPr>
      <t>Long Term Capital Growth</t>
    </r>
  </si>
  <si>
    <r>
      <t>•</t>
    </r>
    <r>
      <rPr>
        <sz val="9"/>
        <color rgb="FF000000"/>
        <rFont val="Arial"/>
        <family val="2"/>
      </rPr>
      <t>Investment in equity instrument of respective index stocks subject to tracking error.</t>
    </r>
  </si>
  <si>
    <t>S&amp;P BSE Sensex TRI</t>
  </si>
  <si>
    <r>
      <t>•</t>
    </r>
    <r>
      <rPr>
        <sz val="9"/>
        <color rgb="FF000000"/>
        <rFont val="Arial"/>
        <family val="2"/>
      </rPr>
      <t>Investment in equity instrument of S &amp; P BSE Sensex index stocks subject to tracking error.</t>
    </r>
  </si>
  <si>
    <t>•Long term capital growth.</t>
  </si>
  <si>
    <t>•Investment in equity and equity related instruments by following value investment strategy.</t>
  </si>
  <si>
    <t>Nifty Midcap 100 TRI</t>
  </si>
  <si>
    <t>•Long term investment.</t>
  </si>
  <si>
    <t>•Investment in equity and equity related securities and portfolios replicating the composition of Nifty Midcap 100 Total Returns Index, subject to tracking errors.</t>
  </si>
  <si>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</si>
  <si>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</si>
  <si>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</si>
  <si>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NIFTY 500 Multicap 50:25:25 TRI</t>
  </si>
  <si>
    <r>
      <t>•</t>
    </r>
    <r>
      <rPr>
        <sz val="9"/>
        <color rgb="FF000000"/>
        <rFont val="Arial"/>
        <family val="2"/>
      </rPr>
      <t>Investment in equity and equity related instruments across Large, Mid &amp; Small Cap stocks.</t>
    </r>
  </si>
  <si>
    <t>NIFTY NEXT 50 - TRI</t>
  </si>
  <si>
    <t>•Long Term growth in a passively managed scheme tracking  NIFTY  Next 50 Index (TRI)</t>
  </si>
  <si>
    <t>•Investments only in and all stocks comprising Nifty Next 50 Index in the same weight of these stocks as in index with objective to replicate performance of NIFTY Next 50 Index (TRI)</t>
  </si>
  <si>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</si>
  <si>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</si>
  <si>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</si>
  <si>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t>LIC MF ELSS</t>
  </si>
  <si>
    <r>
      <t>•</t>
    </r>
    <r>
      <rPr>
        <sz val="9"/>
        <color rgb="FF000000"/>
        <rFont val="Arial"/>
        <family val="2"/>
      </rPr>
      <t>Investment in equity and equity related securities</t>
    </r>
  </si>
  <si>
    <r>
      <t>•</t>
    </r>
    <r>
      <rPr>
        <sz val="9"/>
        <color rgb="FF000000"/>
        <rFont val="Arial"/>
        <family val="2"/>
      </rPr>
      <t>Investment in securities covered by NIFTY 50 Index, subject to tracking errors.</t>
    </r>
  </si>
  <si>
    <r>
      <t>•</t>
    </r>
    <r>
      <rPr>
        <b/>
        <sz val="9"/>
        <color rgb="FF000000"/>
        <rFont val="Arial"/>
        <family val="2"/>
      </rPr>
      <t>Risk- Very High</t>
    </r>
  </si>
  <si>
    <r>
      <t>•</t>
    </r>
    <r>
      <rPr>
        <sz val="9"/>
        <color rgb="FF000000"/>
        <rFont val="Arial"/>
        <family val="2"/>
      </rPr>
      <t>Investment in securities covered by S&amp;P BSE SENSEX,  subject to tracking errors.</t>
    </r>
  </si>
  <si>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</si>
  <si>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</si>
  <si>
    <t>LICMFGOLDETF</t>
  </si>
  <si>
    <t>LIC MF Gold Exchange Traded Fund</t>
  </si>
  <si>
    <t>LIC MF GOLD EXCHANGE TRADED FUND (FORMERLY IDBI GOLD EXCHANGE TRADED FUND)</t>
  </si>
  <si>
    <r>
      <t xml:space="preserve">NSE Symbol: </t>
    </r>
    <r>
      <rPr>
        <b/>
        <sz val="9"/>
        <color theme="1"/>
        <rFont val="Arial"/>
        <family val="2"/>
      </rPr>
      <t>LICMFGOLD</t>
    </r>
  </si>
  <si>
    <r>
      <t xml:space="preserve">BSE Scrip Code: </t>
    </r>
    <r>
      <rPr>
        <b/>
        <sz val="9"/>
        <color theme="1"/>
        <rFont val="Arial"/>
        <family val="2"/>
      </rPr>
      <t>533719</t>
    </r>
  </si>
  <si>
    <t>Gold</t>
  </si>
  <si>
    <t>• To replicate the performance of gold in domestic prices with at least medium term horizon.</t>
  </si>
  <si>
    <t>• Investments in physical gold and gold related instruments / debt &amp; money market instruments.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</si>
</sst>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3"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right/>
      <top/>
      <bottom style="medium">
        <color indexed="64"/>
      </bottom>
      <diagonal/>
    </border>
    <border>
      <left/>
      <right style="medium">
        <color rgb="FF000000"/>
      </right>
      <top style="medium">
        <color indexed="64"/>
      </top>
      <bottom/>
      <diagonal/>
    </border>
    <border>
      <left/>
      <right style="medium">
        <color rgb="FF000000"/>
      </right>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style="thin">
        <color indexed="64"/>
      </top>
      <bottom style="thin">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12">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3" fillId="0" borderId="1" xfId="0" applyFont="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164" fontId="1" fillId="0" borderId="4" xfId="0" applyNumberFormat="1"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0" borderId="6" xfId="0" applyFont="1" applyBorder="1" applyAlignment="1">
      <alignment horizontal="left"/>
    </xf>
    <xf numFmtId="165" fontId="2" fillId="0" borderId="6"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167" fontId="2" fillId="0" borderId="6" xfId="1" applyNumberFormat="1" applyFont="1" applyBorder="1"/>
    <xf numFmtId="0" fontId="3" fillId="0" borderId="7" xfId="0" applyFont="1" applyBorder="1" applyAlignment="1">
      <alignment horizontal="left"/>
    </xf>
    <xf numFmtId="0" fontId="2" fillId="0" borderId="7" xfId="0" applyFont="1" applyBorder="1" applyAlignment="1">
      <alignment horizontal="left"/>
    </xf>
    <xf numFmtId="164" fontId="2" fillId="0" borderId="7" xfId="0" applyNumberFormat="1" applyFont="1" applyBorder="1"/>
    <xf numFmtId="4" fontId="2" fillId="0" borderId="7" xfId="0" applyNumberFormat="1" applyFont="1" applyBorder="1"/>
    <xf numFmtId="10" fontId="2" fillId="0" borderId="7" xfId="0" applyNumberFormat="1" applyFont="1" applyBorder="1" applyAlignment="1">
      <alignment horizontal="right"/>
    </xf>
    <xf numFmtId="10" fontId="2" fillId="0" borderId="7" xfId="1" applyNumberFormat="1" applyFont="1" applyBorder="1"/>
    <xf numFmtId="164" fontId="3" fillId="0" borderId="7"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7" xfId="1" applyNumberFormat="1" applyFont="1" applyBorder="1"/>
    <xf numFmtId="4" fontId="2" fillId="0" borderId="8" xfId="0" applyNumberFormat="1" applyFont="1" applyBorder="1" applyAlignment="1">
      <alignment horizontal="right"/>
    </xf>
    <xf numFmtId="10" fontId="2" fillId="0" borderId="8"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9" xfId="1" applyNumberFormat="1" applyFont="1" applyBorder="1"/>
    <xf numFmtId="0" fontId="3" fillId="0" borderId="6" xfId="0" applyFont="1" applyBorder="1" applyAlignment="1">
      <alignment horizontal="left"/>
    </xf>
    <xf numFmtId="0" fontId="2" fillId="0" borderId="10" xfId="0" applyFont="1" applyBorder="1" applyAlignment="1">
      <alignment horizontal="left"/>
    </xf>
    <xf numFmtId="168" fontId="2" fillId="0" borderId="10" xfId="0" applyNumberFormat="1" applyFont="1" applyBorder="1" applyAlignment="1">
      <alignment horizontal="left"/>
    </xf>
    <xf numFmtId="166" fontId="2" fillId="0" borderId="10" xfId="0" applyNumberFormat="1" applyFont="1" applyBorder="1" applyAlignment="1">
      <alignment horizontal="left"/>
    </xf>
    <xf numFmtId="10" fontId="2" fillId="0" borderId="10" xfId="0" applyNumberFormat="1" applyFont="1" applyBorder="1"/>
    <xf numFmtId="168" fontId="3" fillId="0" borderId="1" xfId="0" applyNumberFormat="1" applyFont="1" applyBorder="1" applyAlignment="1">
      <alignment horizontal="left"/>
    </xf>
    <xf numFmtId="166" fontId="3" fillId="0" borderId="1" xfId="0" applyNumberFormat="1" applyFont="1" applyBorder="1" applyAlignment="1">
      <alignment horizontal="left"/>
    </xf>
    <xf numFmtId="10" fontId="3" fillId="0" borderId="1" xfId="0" applyNumberFormat="1" applyFont="1" applyBorder="1"/>
    <xf numFmtId="10" fontId="2" fillId="0" borderId="0" xfId="0" applyNumberFormat="1" applyFont="1" applyAlignment="1">
      <alignment horizontal="left"/>
    </xf>
    <xf numFmtId="0" fontId="6" fillId="0" borderId="8" xfId="0" applyFont="1" applyBorder="1"/>
    <xf numFmtId="0" fontId="5" fillId="0" borderId="8" xfId="2" applyBorder="1"/>
    <xf numFmtId="0" fontId="0" fillId="0" borderId="8" xfId="0" applyBorder="1"/>
    <xf numFmtId="0" fontId="8" fillId="3" borderId="11" xfId="0" applyFont="1" applyFill="1" applyBorder="1" applyAlignment="1">
      <alignment horizontal="left" vertical="center" wrapText="1" readingOrder="1"/>
    </xf>
    <xf numFmtId="0" fontId="8" fillId="3" borderId="11" xfId="0" applyFont="1" applyFill="1" applyBorder="1" applyAlignment="1">
      <alignment horizontal="center" vertical="center" wrapText="1" readingOrder="1"/>
    </xf>
    <xf numFmtId="0" fontId="9" fillId="0" borderId="0" xfId="0" applyFont="1" applyAlignment="1">
      <alignment horizontal="left" vertical="center" indent="3" readingOrder="1"/>
    </xf>
    <xf numFmtId="0" fontId="2" fillId="0" borderId="0" xfId="0" applyFont="1" applyAlignment="1">
      <alignment horizontal="center"/>
    </xf>
    <xf numFmtId="0" fontId="10" fillId="0" borderId="0" xfId="0" applyFont="1" applyAlignment="1">
      <alignment horizontal="center" vertical="center" readingOrder="1"/>
    </xf>
    <xf numFmtId="0" fontId="11" fillId="0" borderId="0" xfId="0" applyFont="1" applyAlignment="1">
      <alignment horizontal="center" vertical="center" wrapText="1" readingOrder="1"/>
    </xf>
    <xf numFmtId="0" fontId="8" fillId="3" borderId="20" xfId="0" applyFont="1" applyFill="1" applyBorder="1" applyAlignment="1">
      <alignment horizontal="center" vertical="center" wrapText="1" readingOrder="1"/>
    </xf>
    <xf numFmtId="0" fontId="9" fillId="0" borderId="12" xfId="0" applyFont="1" applyBorder="1" applyAlignment="1">
      <alignment horizontal="left" vertical="center" wrapText="1" indent="3" readingOrder="1"/>
    </xf>
    <xf numFmtId="0" fontId="10" fillId="0" borderId="22" xfId="0" applyFont="1" applyBorder="1" applyAlignment="1">
      <alignment horizontal="center" vertical="center" wrapText="1" readingOrder="1"/>
    </xf>
    <xf numFmtId="0" fontId="12" fillId="0" borderId="13" xfId="0" applyFont="1" applyBorder="1" applyAlignment="1">
      <alignment horizontal="left" vertical="center" wrapText="1" indent="3" readingOrder="1"/>
    </xf>
    <xf numFmtId="2" fontId="9" fillId="0" borderId="12" xfId="0" applyNumberFormat="1" applyFont="1" applyBorder="1" applyAlignment="1">
      <alignment horizontal="left" vertical="center" wrapText="1" readingOrder="1"/>
    </xf>
    <xf numFmtId="0" fontId="12" fillId="0" borderId="14" xfId="0" applyFont="1" applyBorder="1" applyAlignment="1">
      <alignment horizontal="left" vertical="center" wrapText="1" indent="3" readingOrder="1"/>
    </xf>
    <xf numFmtId="0" fontId="12" fillId="0" borderId="17" xfId="0" applyFont="1" applyBorder="1" applyAlignment="1">
      <alignment horizontal="center" vertical="center" wrapText="1" readingOrder="1"/>
    </xf>
    <xf numFmtId="0" fontId="9" fillId="0" borderId="13" xfId="0" applyFont="1" applyBorder="1" applyAlignment="1">
      <alignment horizontal="left" vertical="center" wrapText="1" indent="3" readingOrder="1"/>
    </xf>
    <xf numFmtId="0" fontId="12" fillId="0" borderId="14" xfId="0" applyFont="1" applyBorder="1" applyAlignment="1">
      <alignment horizontal="center" vertical="center" wrapText="1" readingOrder="1"/>
    </xf>
    <xf numFmtId="0" fontId="12" fillId="0" borderId="13" xfId="0" applyFont="1" applyBorder="1" applyAlignment="1">
      <alignment horizontal="center" vertical="center" wrapText="1" readingOrder="1"/>
    </xf>
    <xf numFmtId="0" fontId="6" fillId="0" borderId="0" xfId="0" applyFont="1" applyAlignment="1">
      <alignment horizontal="center" vertical="center"/>
    </xf>
    <xf numFmtId="0" fontId="7" fillId="2" borderId="2" xfId="0" applyFont="1" applyFill="1" applyBorder="1" applyAlignment="1">
      <alignment horizontal="center" vertical="center"/>
    </xf>
    <xf numFmtId="0" fontId="8" fillId="0" borderId="0" xfId="0" applyFont="1" applyAlignment="1">
      <alignment horizontal="center" vertical="center" wrapText="1" readingOrder="1"/>
    </xf>
    <xf numFmtId="0" fontId="8" fillId="0" borderId="25" xfId="0" applyFont="1" applyBorder="1" applyAlignment="1">
      <alignment horizontal="center" vertical="center" wrapText="1" readingOrder="1"/>
    </xf>
    <xf numFmtId="0" fontId="11" fillId="0" borderId="15" xfId="0" applyFont="1" applyBorder="1" applyAlignment="1">
      <alignment horizontal="center" vertical="center" readingOrder="1"/>
    </xf>
    <xf numFmtId="0" fontId="11" fillId="0" borderId="16" xfId="0" applyFont="1" applyBorder="1" applyAlignment="1">
      <alignment horizontal="center" vertical="center" readingOrder="1"/>
    </xf>
    <xf numFmtId="0" fontId="8" fillId="0" borderId="21" xfId="0" applyFont="1" applyBorder="1" applyAlignment="1">
      <alignment horizontal="center" vertical="center" wrapText="1" readingOrder="1"/>
    </xf>
    <xf numFmtId="0" fontId="8" fillId="0" borderId="19"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8" fillId="0" borderId="23" xfId="0" applyFont="1" applyBorder="1" applyAlignment="1">
      <alignment horizontal="center" vertical="center" wrapText="1" readingOrder="1"/>
    </xf>
    <xf numFmtId="0" fontId="8" fillId="0" borderId="13" xfId="0" applyFont="1" applyBorder="1" applyAlignment="1">
      <alignment horizontal="center" vertical="center" wrapText="1" readingOrder="1"/>
    </xf>
    <xf numFmtId="0" fontId="8" fillId="0" borderId="24" xfId="0" applyFont="1" applyBorder="1" applyAlignment="1">
      <alignment horizontal="center" vertical="center" wrapText="1" readingOrder="1"/>
    </xf>
    <xf numFmtId="0" fontId="11" fillId="0" borderId="12" xfId="0" applyFont="1" applyBorder="1" applyAlignment="1">
      <alignment horizontal="center" vertical="center" wrapText="1" readingOrder="1"/>
    </xf>
    <xf numFmtId="0" fontId="11" fillId="0" borderId="13" xfId="0" applyFont="1" applyBorder="1" applyAlignment="1">
      <alignment horizontal="center" vertical="center" wrapText="1" readingOrder="1"/>
    </xf>
    <xf numFmtId="0" fontId="8" fillId="0" borderId="12" xfId="0" applyFont="1" applyBorder="1" applyAlignment="1">
      <alignment horizontal="center" vertical="center" wrapText="1" readingOrder="1"/>
    </xf>
    <xf numFmtId="0" fontId="8" fillId="0" borderId="14" xfId="0" applyFont="1" applyBorder="1" applyAlignment="1">
      <alignment horizontal="center" vertical="center" wrapText="1" readingOrder="1"/>
    </xf>
    <xf numFmtId="0" fontId="8" fillId="0" borderId="26" xfId="0" applyFont="1" applyBorder="1" applyAlignment="1">
      <alignment horizontal="center" vertical="center" wrapText="1" readingOrder="1"/>
    </xf>
    <xf numFmtId="0" fontId="8" fillId="0" borderId="27" xfId="0" applyFont="1" applyBorder="1" applyAlignment="1">
      <alignment horizontal="center" vertical="center" wrapText="1" readingOrder="1"/>
    </xf>
    <xf numFmtId="0" fontId="2" fillId="0" borderId="28" xfId="0" applyFont="1" applyBorder="1" applyAlignment="1">
      <alignment horizontal="left"/>
    </xf>
    <xf numFmtId="167" fontId="2" fillId="0" borderId="29" xfId="1" applyNumberFormat="1" applyFont="1" applyBorder="1"/>
    <xf numFmtId="0" fontId="2" fillId="0" borderId="30" xfId="0" applyFont="1" applyBorder="1" applyAlignment="1">
      <alignment horizontal="left"/>
    </xf>
    <xf numFmtId="164" fontId="2" fillId="0" borderId="10" xfId="0" applyNumberFormat="1" applyFont="1" applyBorder="1"/>
    <xf numFmtId="4" fontId="2" fillId="0" borderId="10" xfId="0" applyNumberFormat="1" applyFont="1" applyBorder="1"/>
    <xf numFmtId="10" fontId="2" fillId="0" borderId="10" xfId="0" applyNumberFormat="1" applyFont="1" applyBorder="1" applyAlignment="1">
      <alignment horizontal="right"/>
    </xf>
    <xf numFmtId="10" fontId="2" fillId="0" borderId="31" xfId="1" applyNumberFormat="1" applyFont="1" applyBorder="1"/>
    <xf numFmtId="0" fontId="3" fillId="0" borderId="30" xfId="0" applyFont="1" applyBorder="1" applyAlignment="1">
      <alignment horizontal="left"/>
    </xf>
    <xf numFmtId="0" fontId="3" fillId="0" borderId="10" xfId="0" applyFont="1" applyBorder="1" applyAlignment="1">
      <alignment horizontal="left"/>
    </xf>
    <xf numFmtId="164" fontId="3" fillId="0" borderId="10" xfId="0" applyNumberFormat="1" applyFont="1" applyBorder="1"/>
    <xf numFmtId="10" fontId="3" fillId="0" borderId="8" xfId="1" applyNumberFormat="1" applyFont="1" applyBorder="1"/>
    <xf numFmtId="10" fontId="3" fillId="0" borderId="31" xfId="1" applyNumberFormat="1" applyFont="1" applyBorder="1"/>
    <xf numFmtId="0" fontId="3" fillId="0" borderId="32" xfId="0" applyFont="1" applyBorder="1" applyAlignment="1">
      <alignment horizontal="left"/>
    </xf>
    <xf numFmtId="166" fontId="2" fillId="0" borderId="10" xfId="0" applyNumberFormat="1" applyFont="1" applyBorder="1"/>
    <xf numFmtId="167" fontId="2" fillId="0" borderId="10" xfId="0" applyNumberFormat="1" applyFont="1" applyBorder="1" applyAlignment="1">
      <alignment horizontal="right"/>
    </xf>
    <xf numFmtId="0" fontId="3" fillId="0" borderId="33" xfId="0" applyFont="1" applyBorder="1" applyAlignment="1">
      <alignment horizontal="left"/>
    </xf>
    <xf numFmtId="0" fontId="3" fillId="0" borderId="34" xfId="0" applyFont="1" applyBorder="1" applyAlignment="1">
      <alignment horizontal="left"/>
    </xf>
    <xf numFmtId="164" fontId="3" fillId="0" borderId="34" xfId="0" applyNumberFormat="1" applyFont="1" applyBorder="1"/>
    <xf numFmtId="4" fontId="3" fillId="0" borderId="34" xfId="0" applyNumberFormat="1" applyFont="1" applyBorder="1"/>
    <xf numFmtId="10" fontId="3" fillId="0" borderId="34" xfId="0" applyNumberFormat="1" applyFont="1" applyBorder="1" applyAlignment="1">
      <alignment horizontal="right"/>
    </xf>
    <xf numFmtId="10" fontId="3" fillId="0" borderId="35" xfId="1" applyNumberFormat="1" applyFont="1" applyBorder="1"/>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22.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164</xdr:row>
      <xdr:rowOff>50800</xdr:rowOff>
    </xdr:from>
    <xdr:to>
      <xdr:col>2</xdr:col>
      <xdr:colOff>1765299</xdr:colOff>
      <xdr:row>167</xdr:row>
      <xdr:rowOff>273050</xdr:rowOff>
    </xdr:to>
    <xdr:pic>
      <xdr:nvPicPr>
        <xdr:cNvPr id="2" name="Picture 1">
          <a:extLst>
            <a:ext uri="{FF2B5EF4-FFF2-40B4-BE49-F238E27FC236}">
              <a16:creationId xmlns:a16="http://schemas.microsoft.com/office/drawing/2014/main" id="{24DCB9E7-51A0-4ED9-BB88-F016B37D3D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8950" y="32746950"/>
          <a:ext cx="1708149" cy="165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63500</xdr:colOff>
      <xdr:row>164</xdr:row>
      <xdr:rowOff>44450</xdr:rowOff>
    </xdr:from>
    <xdr:to>
      <xdr:col>4</xdr:col>
      <xdr:colOff>1860549</xdr:colOff>
      <xdr:row>167</xdr:row>
      <xdr:rowOff>311150</xdr:rowOff>
    </xdr:to>
    <xdr:pic>
      <xdr:nvPicPr>
        <xdr:cNvPr id="3" name="Picture 2">
          <a:extLst>
            <a:ext uri="{FF2B5EF4-FFF2-40B4-BE49-F238E27FC236}">
              <a16:creationId xmlns:a16="http://schemas.microsoft.com/office/drawing/2014/main" id="{1CC547D8-DCB1-44F2-A146-AC23C7DE58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42200" y="32740600"/>
          <a:ext cx="1797049" cy="1695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85725</xdr:colOff>
      <xdr:row>127</xdr:row>
      <xdr:rowOff>41275</xdr:rowOff>
    </xdr:from>
    <xdr:to>
      <xdr:col>4</xdr:col>
      <xdr:colOff>2019336</xdr:colOff>
      <xdr:row>130</xdr:row>
      <xdr:rowOff>260350</xdr:rowOff>
    </xdr:to>
    <xdr:pic>
      <xdr:nvPicPr>
        <xdr:cNvPr id="2" name="Picture 1">
          <a:extLst>
            <a:ext uri="{FF2B5EF4-FFF2-40B4-BE49-F238E27FC236}">
              <a16:creationId xmlns:a16="http://schemas.microsoft.com/office/drawing/2014/main" id="{188A8C2F-4F31-4791-9FF3-5E8B5A9BD0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1675" y="25453975"/>
          <a:ext cx="1933611" cy="156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50800</xdr:colOff>
      <xdr:row>127</xdr:row>
      <xdr:rowOff>38100</xdr:rowOff>
    </xdr:from>
    <xdr:to>
      <xdr:col>2</xdr:col>
      <xdr:colOff>1625600</xdr:colOff>
      <xdr:row>130</xdr:row>
      <xdr:rowOff>241300</xdr:rowOff>
    </xdr:to>
    <xdr:pic>
      <xdr:nvPicPr>
        <xdr:cNvPr id="3" name="Picture 2">
          <a:extLst>
            <a:ext uri="{FF2B5EF4-FFF2-40B4-BE49-F238E27FC236}">
              <a16:creationId xmlns:a16="http://schemas.microsoft.com/office/drawing/2014/main" id="{CC342D87-ED87-476E-BFE9-8247BA9813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22600" y="25450800"/>
          <a:ext cx="1574800" cy="1549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38101</xdr:colOff>
      <xdr:row>104</xdr:row>
      <xdr:rowOff>8126</xdr:rowOff>
    </xdr:from>
    <xdr:to>
      <xdr:col>2</xdr:col>
      <xdr:colOff>1955801</xdr:colOff>
      <xdr:row>107</xdr:row>
      <xdr:rowOff>184150</xdr:rowOff>
    </xdr:to>
    <xdr:pic>
      <xdr:nvPicPr>
        <xdr:cNvPr id="2" name="Picture 1">
          <a:extLst>
            <a:ext uri="{FF2B5EF4-FFF2-40B4-BE49-F238E27FC236}">
              <a16:creationId xmlns:a16="http://schemas.microsoft.com/office/drawing/2014/main" id="{DD1369B5-2FEF-48CA-8C6D-079575E660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6351" y="20893276"/>
          <a:ext cx="1917700" cy="1319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25401</xdr:colOff>
      <xdr:row>104</xdr:row>
      <xdr:rowOff>24179</xdr:rowOff>
    </xdr:from>
    <xdr:to>
      <xdr:col>4</xdr:col>
      <xdr:colOff>1797050</xdr:colOff>
      <xdr:row>107</xdr:row>
      <xdr:rowOff>203200</xdr:rowOff>
    </xdr:to>
    <xdr:pic>
      <xdr:nvPicPr>
        <xdr:cNvPr id="3" name="Picture 2">
          <a:extLst>
            <a:ext uri="{FF2B5EF4-FFF2-40B4-BE49-F238E27FC236}">
              <a16:creationId xmlns:a16="http://schemas.microsoft.com/office/drawing/2014/main" id="{D9AFA085-6D2F-4150-9F4F-297FC03F17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70801" y="20909329"/>
          <a:ext cx="1771649" cy="13220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22785</xdr:colOff>
      <xdr:row>55</xdr:row>
      <xdr:rowOff>47514</xdr:rowOff>
    </xdr:from>
    <xdr:to>
      <xdr:col>2</xdr:col>
      <xdr:colOff>1924050</xdr:colOff>
      <xdr:row>58</xdr:row>
      <xdr:rowOff>330200</xdr:rowOff>
    </xdr:to>
    <xdr:pic>
      <xdr:nvPicPr>
        <xdr:cNvPr id="2" name="Picture 1">
          <a:extLst>
            <a:ext uri="{FF2B5EF4-FFF2-40B4-BE49-F238E27FC236}">
              <a16:creationId xmlns:a16="http://schemas.microsoft.com/office/drawing/2014/main" id="{9F2E2CC0-5FAA-4BD3-898C-4492C37305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1035" y="11287014"/>
          <a:ext cx="1901265" cy="16034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57150</xdr:colOff>
      <xdr:row>55</xdr:row>
      <xdr:rowOff>38100</xdr:rowOff>
    </xdr:from>
    <xdr:to>
      <xdr:col>4</xdr:col>
      <xdr:colOff>2048295</xdr:colOff>
      <xdr:row>58</xdr:row>
      <xdr:rowOff>330200</xdr:rowOff>
    </xdr:to>
    <xdr:pic>
      <xdr:nvPicPr>
        <xdr:cNvPr id="3" name="Picture 2">
          <a:extLst>
            <a:ext uri="{FF2B5EF4-FFF2-40B4-BE49-F238E27FC236}">
              <a16:creationId xmlns:a16="http://schemas.microsoft.com/office/drawing/2014/main" id="{67F2DF99-84EC-4539-BC26-8BED7151A1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83500" y="11277600"/>
          <a:ext cx="1991145" cy="161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57151</xdr:colOff>
      <xdr:row>80</xdr:row>
      <xdr:rowOff>53555</xdr:rowOff>
    </xdr:from>
    <xdr:to>
      <xdr:col>4</xdr:col>
      <xdr:colOff>1905001</xdr:colOff>
      <xdr:row>83</xdr:row>
      <xdr:rowOff>241300</xdr:rowOff>
    </xdr:to>
    <xdr:pic>
      <xdr:nvPicPr>
        <xdr:cNvPr id="2" name="Picture 1">
          <a:extLst>
            <a:ext uri="{FF2B5EF4-FFF2-40B4-BE49-F238E27FC236}">
              <a16:creationId xmlns:a16="http://schemas.microsoft.com/office/drawing/2014/main" id="{A1CEBA3D-9D91-4B69-B49B-6C0A390E34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88251" y="16214305"/>
          <a:ext cx="1847850" cy="1572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43329</xdr:colOff>
      <xdr:row>80</xdr:row>
      <xdr:rowOff>55418</xdr:rowOff>
    </xdr:from>
    <xdr:to>
      <xdr:col>2</xdr:col>
      <xdr:colOff>1828800</xdr:colOff>
      <xdr:row>83</xdr:row>
      <xdr:rowOff>247650</xdr:rowOff>
    </xdr:to>
    <xdr:pic>
      <xdr:nvPicPr>
        <xdr:cNvPr id="3" name="Picture 2">
          <a:extLst>
            <a:ext uri="{FF2B5EF4-FFF2-40B4-BE49-F238E27FC236}">
              <a16:creationId xmlns:a16="http://schemas.microsoft.com/office/drawing/2014/main" id="{FCF9E129-2F48-4A06-B28C-0170164CEA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21579" y="16216168"/>
          <a:ext cx="1785471" cy="1576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50801</xdr:colOff>
      <xdr:row>72</xdr:row>
      <xdr:rowOff>58171</xdr:rowOff>
    </xdr:from>
    <xdr:to>
      <xdr:col>4</xdr:col>
      <xdr:colOff>1885951</xdr:colOff>
      <xdr:row>75</xdr:row>
      <xdr:rowOff>266700</xdr:rowOff>
    </xdr:to>
    <xdr:pic>
      <xdr:nvPicPr>
        <xdr:cNvPr id="2" name="Picture 1">
          <a:extLst>
            <a:ext uri="{FF2B5EF4-FFF2-40B4-BE49-F238E27FC236}">
              <a16:creationId xmlns:a16="http://schemas.microsoft.com/office/drawing/2014/main" id="{1BF4A971-62A8-4DEF-A62A-9B978362FB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99351" y="14644121"/>
          <a:ext cx="1835150" cy="1592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63501</xdr:colOff>
      <xdr:row>72</xdr:row>
      <xdr:rowOff>38100</xdr:rowOff>
    </xdr:from>
    <xdr:to>
      <xdr:col>2</xdr:col>
      <xdr:colOff>1758950</xdr:colOff>
      <xdr:row>75</xdr:row>
      <xdr:rowOff>222250</xdr:rowOff>
    </xdr:to>
    <xdr:pic>
      <xdr:nvPicPr>
        <xdr:cNvPr id="3" name="Picture 2">
          <a:extLst>
            <a:ext uri="{FF2B5EF4-FFF2-40B4-BE49-F238E27FC236}">
              <a16:creationId xmlns:a16="http://schemas.microsoft.com/office/drawing/2014/main" id="{07C25761-3F06-4DDF-B7C1-B6F85763B3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41751" y="14624050"/>
          <a:ext cx="1695449" cy="156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63501</xdr:colOff>
      <xdr:row>42</xdr:row>
      <xdr:rowOff>25401</xdr:rowOff>
    </xdr:from>
    <xdr:to>
      <xdr:col>2</xdr:col>
      <xdr:colOff>1765300</xdr:colOff>
      <xdr:row>45</xdr:row>
      <xdr:rowOff>209550</xdr:rowOff>
    </xdr:to>
    <xdr:pic>
      <xdr:nvPicPr>
        <xdr:cNvPr id="2" name="Picture 1">
          <a:extLst>
            <a:ext uri="{FF2B5EF4-FFF2-40B4-BE49-F238E27FC236}">
              <a16:creationId xmlns:a16="http://schemas.microsoft.com/office/drawing/2014/main" id="{05DE67EB-1FAA-4570-95F9-BB66F15F41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1751" y="8705851"/>
          <a:ext cx="1701799" cy="1568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25401</xdr:colOff>
      <xdr:row>42</xdr:row>
      <xdr:rowOff>19051</xdr:rowOff>
    </xdr:from>
    <xdr:to>
      <xdr:col>4</xdr:col>
      <xdr:colOff>1905000</xdr:colOff>
      <xdr:row>45</xdr:row>
      <xdr:rowOff>254000</xdr:rowOff>
    </xdr:to>
    <xdr:pic>
      <xdr:nvPicPr>
        <xdr:cNvPr id="3" name="Picture 2">
          <a:extLst>
            <a:ext uri="{FF2B5EF4-FFF2-40B4-BE49-F238E27FC236}">
              <a16:creationId xmlns:a16="http://schemas.microsoft.com/office/drawing/2014/main" id="{E5FD598B-3241-43E2-AD3A-FDCF8C94CC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12051" y="8699501"/>
          <a:ext cx="1879599" cy="1619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19051</xdr:colOff>
      <xdr:row>79</xdr:row>
      <xdr:rowOff>19051</xdr:rowOff>
    </xdr:from>
    <xdr:to>
      <xdr:col>4</xdr:col>
      <xdr:colOff>1898651</xdr:colOff>
      <xdr:row>82</xdr:row>
      <xdr:rowOff>266700</xdr:rowOff>
    </xdr:to>
    <xdr:pic>
      <xdr:nvPicPr>
        <xdr:cNvPr id="2" name="Picture 1">
          <a:extLst>
            <a:ext uri="{FF2B5EF4-FFF2-40B4-BE49-F238E27FC236}">
              <a16:creationId xmlns:a16="http://schemas.microsoft.com/office/drawing/2014/main" id="{91081161-65DA-49A1-865D-1A26EC9228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3951" y="15982951"/>
          <a:ext cx="1879600" cy="1631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19050</xdr:rowOff>
    </xdr:from>
    <xdr:to>
      <xdr:col>2</xdr:col>
      <xdr:colOff>1778000</xdr:colOff>
      <xdr:row>82</xdr:row>
      <xdr:rowOff>254000</xdr:rowOff>
    </xdr:to>
    <xdr:pic>
      <xdr:nvPicPr>
        <xdr:cNvPr id="3" name="Picture 2">
          <a:extLst>
            <a:ext uri="{FF2B5EF4-FFF2-40B4-BE49-F238E27FC236}">
              <a16:creationId xmlns:a16="http://schemas.microsoft.com/office/drawing/2014/main" id="{2E5364B8-BA1B-470A-A88E-18564AF52D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0" y="15982950"/>
          <a:ext cx="1778000" cy="161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44451</xdr:colOff>
      <xdr:row>109</xdr:row>
      <xdr:rowOff>44451</xdr:rowOff>
    </xdr:from>
    <xdr:to>
      <xdr:col>2</xdr:col>
      <xdr:colOff>1949450</xdr:colOff>
      <xdr:row>112</xdr:row>
      <xdr:rowOff>247650</xdr:rowOff>
    </xdr:to>
    <xdr:pic>
      <xdr:nvPicPr>
        <xdr:cNvPr id="2" name="Picture 1">
          <a:extLst>
            <a:ext uri="{FF2B5EF4-FFF2-40B4-BE49-F238E27FC236}">
              <a16:creationId xmlns:a16="http://schemas.microsoft.com/office/drawing/2014/main" id="{36966B4A-2A34-490E-9BA1-A52B90D16C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16251" y="21913851"/>
          <a:ext cx="1904999" cy="1587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44451</xdr:colOff>
      <xdr:row>109</xdr:row>
      <xdr:rowOff>12701</xdr:rowOff>
    </xdr:from>
    <xdr:to>
      <xdr:col>4</xdr:col>
      <xdr:colOff>1714500</xdr:colOff>
      <xdr:row>112</xdr:row>
      <xdr:rowOff>254000</xdr:rowOff>
    </xdr:to>
    <xdr:pic>
      <xdr:nvPicPr>
        <xdr:cNvPr id="3" name="Picture 2">
          <a:extLst>
            <a:ext uri="{FF2B5EF4-FFF2-40B4-BE49-F238E27FC236}">
              <a16:creationId xmlns:a16="http://schemas.microsoft.com/office/drawing/2014/main" id="{20502FBC-78E2-4BDF-A29B-7776A9C041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1" y="21882101"/>
          <a:ext cx="1670049" cy="1625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1</xdr:colOff>
      <xdr:row>96</xdr:row>
      <xdr:rowOff>1</xdr:rowOff>
    </xdr:from>
    <xdr:to>
      <xdr:col>4</xdr:col>
      <xdr:colOff>2025651</xdr:colOff>
      <xdr:row>99</xdr:row>
      <xdr:rowOff>323850</xdr:rowOff>
    </xdr:to>
    <xdr:pic>
      <xdr:nvPicPr>
        <xdr:cNvPr id="2" name="Picture 1">
          <a:extLst>
            <a:ext uri="{FF2B5EF4-FFF2-40B4-BE49-F238E27FC236}">
              <a16:creationId xmlns:a16="http://schemas.microsoft.com/office/drawing/2014/main" id="{0FB4457A-DAA5-4D35-B2A1-8494302C10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07301" y="19310351"/>
          <a:ext cx="2025650" cy="1631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96</xdr:row>
      <xdr:rowOff>0</xdr:rowOff>
    </xdr:from>
    <xdr:to>
      <xdr:col>2</xdr:col>
      <xdr:colOff>1917700</xdr:colOff>
      <xdr:row>99</xdr:row>
      <xdr:rowOff>279400</xdr:rowOff>
    </xdr:to>
    <xdr:pic>
      <xdr:nvPicPr>
        <xdr:cNvPr id="3" name="Picture 2">
          <a:extLst>
            <a:ext uri="{FF2B5EF4-FFF2-40B4-BE49-F238E27FC236}">
              <a16:creationId xmlns:a16="http://schemas.microsoft.com/office/drawing/2014/main" id="{9B8D26F5-93F9-4618-8EAE-7603C06663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9310350"/>
          <a:ext cx="1917699" cy="158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12701</xdr:colOff>
      <xdr:row>85</xdr:row>
      <xdr:rowOff>25401</xdr:rowOff>
    </xdr:from>
    <xdr:to>
      <xdr:col>2</xdr:col>
      <xdr:colOff>1784350</xdr:colOff>
      <xdr:row>88</xdr:row>
      <xdr:rowOff>215900</xdr:rowOff>
    </xdr:to>
    <xdr:pic>
      <xdr:nvPicPr>
        <xdr:cNvPr id="2" name="Picture 1">
          <a:extLst>
            <a:ext uri="{FF2B5EF4-FFF2-40B4-BE49-F238E27FC236}">
              <a16:creationId xmlns:a16="http://schemas.microsoft.com/office/drawing/2014/main" id="{D1C0872E-563F-4BFD-A6FA-0B29E4FAF3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1" y="17170401"/>
          <a:ext cx="1771649" cy="1574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31751</xdr:colOff>
      <xdr:row>85</xdr:row>
      <xdr:rowOff>25401</xdr:rowOff>
    </xdr:from>
    <xdr:to>
      <xdr:col>4</xdr:col>
      <xdr:colOff>1968500</xdr:colOff>
      <xdr:row>88</xdr:row>
      <xdr:rowOff>234950</xdr:rowOff>
    </xdr:to>
    <xdr:pic>
      <xdr:nvPicPr>
        <xdr:cNvPr id="3" name="Picture 2">
          <a:extLst>
            <a:ext uri="{FF2B5EF4-FFF2-40B4-BE49-F238E27FC236}">
              <a16:creationId xmlns:a16="http://schemas.microsoft.com/office/drawing/2014/main" id="{2445DC06-8CBA-4CE8-8A94-E72C77FD5B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12051" y="17170401"/>
          <a:ext cx="1936749" cy="1593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1</xdr:colOff>
      <xdr:row>49</xdr:row>
      <xdr:rowOff>0</xdr:rowOff>
    </xdr:from>
    <xdr:to>
      <xdr:col>2</xdr:col>
      <xdr:colOff>1771650</xdr:colOff>
      <xdr:row>52</xdr:row>
      <xdr:rowOff>247650</xdr:rowOff>
    </xdr:to>
    <xdr:pic>
      <xdr:nvPicPr>
        <xdr:cNvPr id="2" name="Picture 1">
          <a:extLst>
            <a:ext uri="{FF2B5EF4-FFF2-40B4-BE49-F238E27FC236}">
              <a16:creationId xmlns:a16="http://schemas.microsoft.com/office/drawing/2014/main" id="{69623398-BA6A-4B0A-8817-63BF992E11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0058400"/>
          <a:ext cx="1771649" cy="163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49</xdr:row>
      <xdr:rowOff>1</xdr:rowOff>
    </xdr:from>
    <xdr:to>
      <xdr:col>4</xdr:col>
      <xdr:colOff>1917700</xdr:colOff>
      <xdr:row>52</xdr:row>
      <xdr:rowOff>215900</xdr:rowOff>
    </xdr:to>
    <xdr:pic>
      <xdr:nvPicPr>
        <xdr:cNvPr id="3" name="Picture 2">
          <a:extLst>
            <a:ext uri="{FF2B5EF4-FFF2-40B4-BE49-F238E27FC236}">
              <a16:creationId xmlns:a16="http://schemas.microsoft.com/office/drawing/2014/main" id="{2C783274-7060-43CF-97C7-7171BCCB82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67601" y="10058401"/>
          <a:ext cx="1917699" cy="1600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44450</xdr:colOff>
      <xdr:row>22</xdr:row>
      <xdr:rowOff>38747</xdr:rowOff>
    </xdr:from>
    <xdr:to>
      <xdr:col>4</xdr:col>
      <xdr:colOff>1701799</xdr:colOff>
      <xdr:row>25</xdr:row>
      <xdr:rowOff>247650</xdr:rowOff>
    </xdr:to>
    <xdr:pic>
      <xdr:nvPicPr>
        <xdr:cNvPr id="2" name="Picture 1">
          <a:extLst>
            <a:ext uri="{FF2B5EF4-FFF2-40B4-BE49-F238E27FC236}">
              <a16:creationId xmlns:a16="http://schemas.microsoft.com/office/drawing/2014/main" id="{11D6B7FA-F6DC-4F07-9FA4-991A48D735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50150" y="4782197"/>
          <a:ext cx="1657349" cy="15932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22</xdr:row>
      <xdr:rowOff>1</xdr:rowOff>
    </xdr:from>
    <xdr:to>
      <xdr:col>2</xdr:col>
      <xdr:colOff>1841500</xdr:colOff>
      <xdr:row>25</xdr:row>
      <xdr:rowOff>228600</xdr:rowOff>
    </xdr:to>
    <xdr:pic>
      <xdr:nvPicPr>
        <xdr:cNvPr id="3" name="Picture 2">
          <a:extLst>
            <a:ext uri="{FF2B5EF4-FFF2-40B4-BE49-F238E27FC236}">
              <a16:creationId xmlns:a16="http://schemas.microsoft.com/office/drawing/2014/main" id="{02DE20B2-B098-4110-9168-7D78C7131E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4743451"/>
          <a:ext cx="1841499" cy="1612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30628</xdr:colOff>
      <xdr:row>87</xdr:row>
      <xdr:rowOff>44451</xdr:rowOff>
    </xdr:from>
    <xdr:to>
      <xdr:col>2</xdr:col>
      <xdr:colOff>1809750</xdr:colOff>
      <xdr:row>90</xdr:row>
      <xdr:rowOff>292100</xdr:rowOff>
    </xdr:to>
    <xdr:pic>
      <xdr:nvPicPr>
        <xdr:cNvPr id="2" name="Picture 1">
          <a:extLst>
            <a:ext uri="{FF2B5EF4-FFF2-40B4-BE49-F238E27FC236}">
              <a16:creationId xmlns:a16="http://schemas.microsoft.com/office/drawing/2014/main" id="{142FDDB2-67A7-4937-A1D5-83A464564C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8878" y="17583151"/>
          <a:ext cx="1779122" cy="1612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76200</xdr:colOff>
      <xdr:row>87</xdr:row>
      <xdr:rowOff>1</xdr:rowOff>
    </xdr:from>
    <xdr:to>
      <xdr:col>4</xdr:col>
      <xdr:colOff>2209800</xdr:colOff>
      <xdr:row>90</xdr:row>
      <xdr:rowOff>273050</xdr:rowOff>
    </xdr:to>
    <xdr:pic>
      <xdr:nvPicPr>
        <xdr:cNvPr id="3" name="Picture 2">
          <a:extLst>
            <a:ext uri="{FF2B5EF4-FFF2-40B4-BE49-F238E27FC236}">
              <a16:creationId xmlns:a16="http://schemas.microsoft.com/office/drawing/2014/main" id="{8F3946C4-1701-4F24-A00E-43D9762CE2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75550" y="17538701"/>
          <a:ext cx="2133600" cy="1638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44449</xdr:colOff>
      <xdr:row>73</xdr:row>
      <xdr:rowOff>1</xdr:rowOff>
    </xdr:from>
    <xdr:to>
      <xdr:col>4</xdr:col>
      <xdr:colOff>2120900</xdr:colOff>
      <xdr:row>76</xdr:row>
      <xdr:rowOff>374650</xdr:rowOff>
    </xdr:to>
    <xdr:pic>
      <xdr:nvPicPr>
        <xdr:cNvPr id="2" name="Picture 1">
          <a:extLst>
            <a:ext uri="{FF2B5EF4-FFF2-40B4-BE49-F238E27FC236}">
              <a16:creationId xmlns:a16="http://schemas.microsoft.com/office/drawing/2014/main" id="{7C85AB9B-ABA8-45E0-9B6B-634C8676E6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50149" y="14782801"/>
          <a:ext cx="2076451" cy="1587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73</xdr:row>
      <xdr:rowOff>1</xdr:rowOff>
    </xdr:from>
    <xdr:to>
      <xdr:col>2</xdr:col>
      <xdr:colOff>1822450</xdr:colOff>
      <xdr:row>76</xdr:row>
      <xdr:rowOff>323850</xdr:rowOff>
    </xdr:to>
    <xdr:pic>
      <xdr:nvPicPr>
        <xdr:cNvPr id="3" name="Picture 2">
          <a:extLst>
            <a:ext uri="{FF2B5EF4-FFF2-40B4-BE49-F238E27FC236}">
              <a16:creationId xmlns:a16="http://schemas.microsoft.com/office/drawing/2014/main" id="{590AAF60-EEE5-4C26-97EC-CB82EED44E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4782801"/>
          <a:ext cx="1822449" cy="1536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38100</xdr:colOff>
      <xdr:row>72</xdr:row>
      <xdr:rowOff>0</xdr:rowOff>
    </xdr:from>
    <xdr:to>
      <xdr:col>2</xdr:col>
      <xdr:colOff>1930400</xdr:colOff>
      <xdr:row>75</xdr:row>
      <xdr:rowOff>215900</xdr:rowOff>
    </xdr:to>
    <xdr:pic>
      <xdr:nvPicPr>
        <xdr:cNvPr id="2" name="Picture 1">
          <a:extLst>
            <a:ext uri="{FF2B5EF4-FFF2-40B4-BE49-F238E27FC236}">
              <a16:creationId xmlns:a16="http://schemas.microsoft.com/office/drawing/2014/main" id="{2A642A4E-0293-4C48-BB7B-C8C30D2DB4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6350" y="14585950"/>
          <a:ext cx="1892300" cy="1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57150</xdr:colOff>
      <xdr:row>72</xdr:row>
      <xdr:rowOff>1</xdr:rowOff>
    </xdr:from>
    <xdr:to>
      <xdr:col>4</xdr:col>
      <xdr:colOff>2184400</xdr:colOff>
      <xdr:row>75</xdr:row>
      <xdr:rowOff>273050</xdr:rowOff>
    </xdr:to>
    <xdr:pic>
      <xdr:nvPicPr>
        <xdr:cNvPr id="3" name="Picture 2">
          <a:extLst>
            <a:ext uri="{FF2B5EF4-FFF2-40B4-BE49-F238E27FC236}">
              <a16:creationId xmlns:a16="http://schemas.microsoft.com/office/drawing/2014/main" id="{EACB094F-4962-4884-80F0-7DD9C2CC7B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89850" y="14585951"/>
          <a:ext cx="2127250" cy="15303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1</xdr:colOff>
      <xdr:row>54</xdr:row>
      <xdr:rowOff>1</xdr:rowOff>
    </xdr:from>
    <xdr:to>
      <xdr:col>4</xdr:col>
      <xdr:colOff>1905000</xdr:colOff>
      <xdr:row>57</xdr:row>
      <xdr:rowOff>311150</xdr:rowOff>
    </xdr:to>
    <xdr:pic>
      <xdr:nvPicPr>
        <xdr:cNvPr id="2" name="Picture 1">
          <a:extLst>
            <a:ext uri="{FF2B5EF4-FFF2-40B4-BE49-F238E27FC236}">
              <a16:creationId xmlns:a16="http://schemas.microsoft.com/office/drawing/2014/main" id="{0C4E1445-9916-4847-95FD-4014A4D11F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54901" y="11042651"/>
          <a:ext cx="1904999" cy="1435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54</xdr:row>
      <xdr:rowOff>1</xdr:rowOff>
    </xdr:from>
    <xdr:to>
      <xdr:col>2</xdr:col>
      <xdr:colOff>1765300</xdr:colOff>
      <xdr:row>57</xdr:row>
      <xdr:rowOff>292100</xdr:rowOff>
    </xdr:to>
    <xdr:pic>
      <xdr:nvPicPr>
        <xdr:cNvPr id="3" name="Picture 2">
          <a:extLst>
            <a:ext uri="{FF2B5EF4-FFF2-40B4-BE49-F238E27FC236}">
              <a16:creationId xmlns:a16="http://schemas.microsoft.com/office/drawing/2014/main" id="{F12C5D5E-7ED2-4631-8DF6-4D92CE233D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1042651"/>
          <a:ext cx="1765299" cy="1416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50799</xdr:colOff>
      <xdr:row>71</xdr:row>
      <xdr:rowOff>0</xdr:rowOff>
    </xdr:from>
    <xdr:to>
      <xdr:col>2</xdr:col>
      <xdr:colOff>1790700</xdr:colOff>
      <xdr:row>74</xdr:row>
      <xdr:rowOff>215900</xdr:rowOff>
    </xdr:to>
    <xdr:pic>
      <xdr:nvPicPr>
        <xdr:cNvPr id="2" name="Picture 1">
          <a:extLst>
            <a:ext uri="{FF2B5EF4-FFF2-40B4-BE49-F238E27FC236}">
              <a16:creationId xmlns:a16="http://schemas.microsoft.com/office/drawing/2014/main" id="{525620AB-CD04-4FDC-A30E-D88E8644DC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29049" y="14389100"/>
          <a:ext cx="1739901" cy="160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57150</xdr:colOff>
      <xdr:row>71</xdr:row>
      <xdr:rowOff>1</xdr:rowOff>
    </xdr:from>
    <xdr:to>
      <xdr:col>4</xdr:col>
      <xdr:colOff>1949450</xdr:colOff>
      <xdr:row>74</xdr:row>
      <xdr:rowOff>247650</xdr:rowOff>
    </xdr:to>
    <xdr:pic>
      <xdr:nvPicPr>
        <xdr:cNvPr id="3" name="Picture 2">
          <a:extLst>
            <a:ext uri="{FF2B5EF4-FFF2-40B4-BE49-F238E27FC236}">
              <a16:creationId xmlns:a16="http://schemas.microsoft.com/office/drawing/2014/main" id="{449D097C-961A-45FF-AC74-99C0A812FB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50150" y="14389101"/>
          <a:ext cx="1892300" cy="1631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4</xdr:col>
      <xdr:colOff>82551</xdr:colOff>
      <xdr:row>122</xdr:row>
      <xdr:rowOff>6351</xdr:rowOff>
    </xdr:from>
    <xdr:to>
      <xdr:col>4</xdr:col>
      <xdr:colOff>2022475</xdr:colOff>
      <xdr:row>125</xdr:row>
      <xdr:rowOff>273050</xdr:rowOff>
    </xdr:to>
    <xdr:pic>
      <xdr:nvPicPr>
        <xdr:cNvPr id="2" name="Picture 1">
          <a:extLst>
            <a:ext uri="{FF2B5EF4-FFF2-40B4-BE49-F238E27FC236}">
              <a16:creationId xmlns:a16="http://schemas.microsoft.com/office/drawing/2014/main" id="{3FD2105B-CDE0-47EB-893D-640E6C61E8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89851" y="24434801"/>
          <a:ext cx="1939924" cy="1650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88899</xdr:colOff>
      <xdr:row>122</xdr:row>
      <xdr:rowOff>1</xdr:rowOff>
    </xdr:from>
    <xdr:to>
      <xdr:col>2</xdr:col>
      <xdr:colOff>1882774</xdr:colOff>
      <xdr:row>125</xdr:row>
      <xdr:rowOff>222250</xdr:rowOff>
    </xdr:to>
    <xdr:pic>
      <xdr:nvPicPr>
        <xdr:cNvPr id="3" name="Picture 2">
          <a:extLst>
            <a:ext uri="{FF2B5EF4-FFF2-40B4-BE49-F238E27FC236}">
              <a16:creationId xmlns:a16="http://schemas.microsoft.com/office/drawing/2014/main" id="{38BF5293-AF38-40A5-9489-8FA0DDF5C5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67149" y="24428451"/>
          <a:ext cx="1793875" cy="1606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1</xdr:colOff>
      <xdr:row>96</xdr:row>
      <xdr:rowOff>1</xdr:rowOff>
    </xdr:from>
    <xdr:to>
      <xdr:col>2</xdr:col>
      <xdr:colOff>1974850</xdr:colOff>
      <xdr:row>99</xdr:row>
      <xdr:rowOff>184150</xdr:rowOff>
    </xdr:to>
    <xdr:pic>
      <xdr:nvPicPr>
        <xdr:cNvPr id="2" name="Picture 1">
          <a:extLst>
            <a:ext uri="{FF2B5EF4-FFF2-40B4-BE49-F238E27FC236}">
              <a16:creationId xmlns:a16="http://schemas.microsoft.com/office/drawing/2014/main" id="{B0A3B2EA-CC52-4648-9FF1-1CC22EBC13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9310351"/>
          <a:ext cx="1974849" cy="1441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96</xdr:row>
      <xdr:rowOff>1</xdr:rowOff>
    </xdr:from>
    <xdr:to>
      <xdr:col>4</xdr:col>
      <xdr:colOff>1917700</xdr:colOff>
      <xdr:row>99</xdr:row>
      <xdr:rowOff>254000</xdr:rowOff>
    </xdr:to>
    <xdr:pic>
      <xdr:nvPicPr>
        <xdr:cNvPr id="3" name="Picture 2">
          <a:extLst>
            <a:ext uri="{FF2B5EF4-FFF2-40B4-BE49-F238E27FC236}">
              <a16:creationId xmlns:a16="http://schemas.microsoft.com/office/drawing/2014/main" id="{5FDA4DFA-168B-41D0-B67F-37764B1F75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45401" y="19310351"/>
          <a:ext cx="1917699" cy="1511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4</xdr:col>
      <xdr:colOff>57151</xdr:colOff>
      <xdr:row>98</xdr:row>
      <xdr:rowOff>38101</xdr:rowOff>
    </xdr:from>
    <xdr:to>
      <xdr:col>4</xdr:col>
      <xdr:colOff>2006600</xdr:colOff>
      <xdr:row>101</xdr:row>
      <xdr:rowOff>247650</xdr:rowOff>
    </xdr:to>
    <xdr:pic>
      <xdr:nvPicPr>
        <xdr:cNvPr id="2" name="Picture 1">
          <a:extLst>
            <a:ext uri="{FF2B5EF4-FFF2-40B4-BE49-F238E27FC236}">
              <a16:creationId xmlns:a16="http://schemas.microsoft.com/office/drawing/2014/main" id="{5EA7E401-1729-48A3-BE2F-AF0D7E37FA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3951" y="19742151"/>
          <a:ext cx="1949449" cy="1466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98</xdr:row>
      <xdr:rowOff>1</xdr:rowOff>
    </xdr:from>
    <xdr:to>
      <xdr:col>2</xdr:col>
      <xdr:colOff>1739900</xdr:colOff>
      <xdr:row>101</xdr:row>
      <xdr:rowOff>209550</xdr:rowOff>
    </xdr:to>
    <xdr:pic>
      <xdr:nvPicPr>
        <xdr:cNvPr id="3" name="Picture 2">
          <a:extLst>
            <a:ext uri="{FF2B5EF4-FFF2-40B4-BE49-F238E27FC236}">
              <a16:creationId xmlns:a16="http://schemas.microsoft.com/office/drawing/2014/main" id="{5980387B-186A-4785-9E85-B939999A0B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9704051"/>
          <a:ext cx="1739899" cy="1466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1</xdr:colOff>
      <xdr:row>72</xdr:row>
      <xdr:rowOff>1</xdr:rowOff>
    </xdr:from>
    <xdr:to>
      <xdr:col>2</xdr:col>
      <xdr:colOff>1809750</xdr:colOff>
      <xdr:row>75</xdr:row>
      <xdr:rowOff>241300</xdr:rowOff>
    </xdr:to>
    <xdr:pic>
      <xdr:nvPicPr>
        <xdr:cNvPr id="2" name="Picture 1">
          <a:extLst>
            <a:ext uri="{FF2B5EF4-FFF2-40B4-BE49-F238E27FC236}">
              <a16:creationId xmlns:a16="http://schemas.microsoft.com/office/drawing/2014/main" id="{7D7B025E-1AD5-40FF-A732-72B48924EA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4585951"/>
          <a:ext cx="1809749" cy="1689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72</xdr:row>
      <xdr:rowOff>1</xdr:rowOff>
    </xdr:from>
    <xdr:to>
      <xdr:col>4</xdr:col>
      <xdr:colOff>1924050</xdr:colOff>
      <xdr:row>75</xdr:row>
      <xdr:rowOff>234950</xdr:rowOff>
    </xdr:to>
    <xdr:pic>
      <xdr:nvPicPr>
        <xdr:cNvPr id="3" name="Picture 2">
          <a:extLst>
            <a:ext uri="{FF2B5EF4-FFF2-40B4-BE49-F238E27FC236}">
              <a16:creationId xmlns:a16="http://schemas.microsoft.com/office/drawing/2014/main" id="{0E5238D8-B51D-4D95-83EF-3B3A7BF70D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3001" y="14585951"/>
          <a:ext cx="1924049" cy="16827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xdr:col>
      <xdr:colOff>12701</xdr:colOff>
      <xdr:row>123</xdr:row>
      <xdr:rowOff>25401</xdr:rowOff>
    </xdr:from>
    <xdr:to>
      <xdr:col>4</xdr:col>
      <xdr:colOff>1847850</xdr:colOff>
      <xdr:row>126</xdr:row>
      <xdr:rowOff>298450</xdr:rowOff>
    </xdr:to>
    <xdr:pic>
      <xdr:nvPicPr>
        <xdr:cNvPr id="2" name="Picture 1">
          <a:extLst>
            <a:ext uri="{FF2B5EF4-FFF2-40B4-BE49-F238E27FC236}">
              <a16:creationId xmlns:a16="http://schemas.microsoft.com/office/drawing/2014/main" id="{430B0599-8A85-4260-A6FE-618140D655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37451" y="24650701"/>
          <a:ext cx="1835149" cy="1562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123</xdr:row>
      <xdr:rowOff>0</xdr:rowOff>
    </xdr:from>
    <xdr:to>
      <xdr:col>2</xdr:col>
      <xdr:colOff>1822450</xdr:colOff>
      <xdr:row>126</xdr:row>
      <xdr:rowOff>323850</xdr:rowOff>
    </xdr:to>
    <xdr:pic>
      <xdr:nvPicPr>
        <xdr:cNvPr id="3" name="Picture 2">
          <a:extLst>
            <a:ext uri="{FF2B5EF4-FFF2-40B4-BE49-F238E27FC236}">
              <a16:creationId xmlns:a16="http://schemas.microsoft.com/office/drawing/2014/main" id="{3327CB3D-ACFA-4238-BF7C-71705CC7A4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24625300"/>
          <a:ext cx="1822449" cy="161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1</xdr:colOff>
      <xdr:row>79</xdr:row>
      <xdr:rowOff>0</xdr:rowOff>
    </xdr:from>
    <xdr:to>
      <xdr:col>2</xdr:col>
      <xdr:colOff>1720850</xdr:colOff>
      <xdr:row>83</xdr:row>
      <xdr:rowOff>0</xdr:rowOff>
    </xdr:to>
    <xdr:pic>
      <xdr:nvPicPr>
        <xdr:cNvPr id="2" name="Picture 1">
          <a:extLst>
            <a:ext uri="{FF2B5EF4-FFF2-40B4-BE49-F238E27FC236}">
              <a16:creationId xmlns:a16="http://schemas.microsoft.com/office/drawing/2014/main" id="{B9F3A9A2-C458-4BDB-8CA8-69E60CE3A0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5963900"/>
          <a:ext cx="1720849" cy="1511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31751</xdr:colOff>
      <xdr:row>79</xdr:row>
      <xdr:rowOff>19051</xdr:rowOff>
    </xdr:from>
    <xdr:to>
      <xdr:col>4</xdr:col>
      <xdr:colOff>2057401</xdr:colOff>
      <xdr:row>82</xdr:row>
      <xdr:rowOff>330200</xdr:rowOff>
    </xdr:to>
    <xdr:pic>
      <xdr:nvPicPr>
        <xdr:cNvPr id="3" name="Picture 2">
          <a:extLst>
            <a:ext uri="{FF2B5EF4-FFF2-40B4-BE49-F238E27FC236}">
              <a16:creationId xmlns:a16="http://schemas.microsoft.com/office/drawing/2014/main" id="{C9A6D239-1FF4-4628-B39C-5F47D5200E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35851" y="15982951"/>
          <a:ext cx="2025650" cy="1441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4</xdr:col>
      <xdr:colOff>82550</xdr:colOff>
      <xdr:row>74</xdr:row>
      <xdr:rowOff>22983</xdr:rowOff>
    </xdr:from>
    <xdr:to>
      <xdr:col>4</xdr:col>
      <xdr:colOff>1803400</xdr:colOff>
      <xdr:row>77</xdr:row>
      <xdr:rowOff>247650</xdr:rowOff>
    </xdr:to>
    <xdr:pic>
      <xdr:nvPicPr>
        <xdr:cNvPr id="2" name="Picture 1">
          <a:extLst>
            <a:ext uri="{FF2B5EF4-FFF2-40B4-BE49-F238E27FC236}">
              <a16:creationId xmlns:a16="http://schemas.microsoft.com/office/drawing/2014/main" id="{BFCF170C-B1E4-4C2F-A414-CAFF1E8FC7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0" y="15002633"/>
          <a:ext cx="1720850" cy="14756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74</xdr:row>
      <xdr:rowOff>1</xdr:rowOff>
    </xdr:from>
    <xdr:to>
      <xdr:col>2</xdr:col>
      <xdr:colOff>1828800</xdr:colOff>
      <xdr:row>77</xdr:row>
      <xdr:rowOff>323850</xdr:rowOff>
    </xdr:to>
    <xdr:pic>
      <xdr:nvPicPr>
        <xdr:cNvPr id="3" name="Picture 2">
          <a:extLst>
            <a:ext uri="{FF2B5EF4-FFF2-40B4-BE49-F238E27FC236}">
              <a16:creationId xmlns:a16="http://schemas.microsoft.com/office/drawing/2014/main" id="{B515079E-E1B5-455F-9ACE-E6CAA87407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4979651"/>
          <a:ext cx="1828799" cy="1574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1</xdr:colOff>
      <xdr:row>52</xdr:row>
      <xdr:rowOff>1</xdr:rowOff>
    </xdr:from>
    <xdr:to>
      <xdr:col>2</xdr:col>
      <xdr:colOff>1771650</xdr:colOff>
      <xdr:row>55</xdr:row>
      <xdr:rowOff>336550</xdr:rowOff>
    </xdr:to>
    <xdr:pic>
      <xdr:nvPicPr>
        <xdr:cNvPr id="2" name="Picture 1">
          <a:extLst>
            <a:ext uri="{FF2B5EF4-FFF2-40B4-BE49-F238E27FC236}">
              <a16:creationId xmlns:a16="http://schemas.microsoft.com/office/drawing/2014/main" id="{69212AEC-F738-4D67-A61E-ABF75473D0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0648951"/>
          <a:ext cx="1771649" cy="1663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52</xdr:row>
      <xdr:rowOff>1</xdr:rowOff>
    </xdr:from>
    <xdr:to>
      <xdr:col>4</xdr:col>
      <xdr:colOff>1682751</xdr:colOff>
      <xdr:row>55</xdr:row>
      <xdr:rowOff>336550</xdr:rowOff>
    </xdr:to>
    <xdr:pic>
      <xdr:nvPicPr>
        <xdr:cNvPr id="3" name="Picture 2">
          <a:extLst>
            <a:ext uri="{FF2B5EF4-FFF2-40B4-BE49-F238E27FC236}">
              <a16:creationId xmlns:a16="http://schemas.microsoft.com/office/drawing/2014/main" id="{FCF9B168-052E-4DDB-ABDC-EABD446AF8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05701" y="10648951"/>
          <a:ext cx="1682750" cy="1663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4</xdr:col>
      <xdr:colOff>44450</xdr:colOff>
      <xdr:row>88</xdr:row>
      <xdr:rowOff>1</xdr:rowOff>
    </xdr:from>
    <xdr:to>
      <xdr:col>4</xdr:col>
      <xdr:colOff>1943100</xdr:colOff>
      <xdr:row>91</xdr:row>
      <xdr:rowOff>209550</xdr:rowOff>
    </xdr:to>
    <xdr:pic>
      <xdr:nvPicPr>
        <xdr:cNvPr id="2" name="Picture 1">
          <a:extLst>
            <a:ext uri="{FF2B5EF4-FFF2-40B4-BE49-F238E27FC236}">
              <a16:creationId xmlns:a16="http://schemas.microsoft.com/office/drawing/2014/main" id="{758B5373-9D40-440B-A9A6-D83DA2F7A3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10450" y="17735551"/>
          <a:ext cx="1898650" cy="1593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88</xdr:row>
      <xdr:rowOff>1</xdr:rowOff>
    </xdr:from>
    <xdr:to>
      <xdr:col>2</xdr:col>
      <xdr:colOff>1651000</xdr:colOff>
      <xdr:row>91</xdr:row>
      <xdr:rowOff>279400</xdr:rowOff>
    </xdr:to>
    <xdr:pic>
      <xdr:nvPicPr>
        <xdr:cNvPr id="3" name="Picture 2">
          <a:extLst>
            <a:ext uri="{FF2B5EF4-FFF2-40B4-BE49-F238E27FC236}">
              <a16:creationId xmlns:a16="http://schemas.microsoft.com/office/drawing/2014/main" id="{F69C0EB2-9A85-4BC2-9E21-B4FB7C7BEF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7735551"/>
          <a:ext cx="1650999" cy="1663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161925</xdr:colOff>
      <xdr:row>22</xdr:row>
      <xdr:rowOff>228600</xdr:rowOff>
    </xdr:from>
    <xdr:to>
      <xdr:col>2</xdr:col>
      <xdr:colOff>1542164</xdr:colOff>
      <xdr:row>25</xdr:row>
      <xdr:rowOff>123825</xdr:rowOff>
    </xdr:to>
    <xdr:pic>
      <xdr:nvPicPr>
        <xdr:cNvPr id="2" name="Picture 1">
          <a:extLst>
            <a:ext uri="{FF2B5EF4-FFF2-40B4-BE49-F238E27FC236}">
              <a16:creationId xmlns:a16="http://schemas.microsoft.com/office/drawing/2014/main" id="{52FEE384-4CF6-4730-9963-4E76BF1000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33825" y="4972050"/>
          <a:ext cx="1380239" cy="127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171451</xdr:colOff>
      <xdr:row>22</xdr:row>
      <xdr:rowOff>190499</xdr:rowOff>
    </xdr:from>
    <xdr:to>
      <xdr:col>4</xdr:col>
      <xdr:colOff>1714501</xdr:colOff>
      <xdr:row>25</xdr:row>
      <xdr:rowOff>82185</xdr:rowOff>
    </xdr:to>
    <xdr:pic>
      <xdr:nvPicPr>
        <xdr:cNvPr id="3" name="Picture 2">
          <a:extLst>
            <a:ext uri="{FF2B5EF4-FFF2-40B4-BE49-F238E27FC236}">
              <a16:creationId xmlns:a16="http://schemas.microsoft.com/office/drawing/2014/main" id="{999747E3-633F-4202-B802-862C450912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45401" y="4933949"/>
          <a:ext cx="1543050" cy="12759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84151-6B9D-4B43-9EB0-494E54C7B85A}">
  <dimension ref="A1:C42"/>
  <sheetViews>
    <sheetView tabSelected="1" workbookViewId="0">
      <selection sqref="A1:B1"/>
    </sheetView>
  </sheetViews>
  <sheetFormatPr defaultRowHeight="14.5" x14ac:dyDescent="0.35"/>
  <cols>
    <col min="1" max="1" width="41.81640625" bestFit="1" customWidth="1"/>
    <col min="2" max="2" width="41.1796875" bestFit="1" customWidth="1"/>
    <col min="3" max="3" width="15.1796875" bestFit="1" customWidth="1"/>
  </cols>
  <sheetData>
    <row r="1" spans="1:3" x14ac:dyDescent="0.35">
      <c r="A1" s="73" t="s">
        <v>112</v>
      </c>
      <c r="B1" s="73"/>
    </row>
    <row r="2" spans="1:3" x14ac:dyDescent="0.35">
      <c r="A2" s="74" t="s">
        <v>113</v>
      </c>
      <c r="B2" s="74"/>
    </row>
    <row r="3" spans="1:3" x14ac:dyDescent="0.35">
      <c r="A3" s="54" t="s">
        <v>114</v>
      </c>
      <c r="B3" s="54" t="s">
        <v>115</v>
      </c>
      <c r="C3" s="54" t="s">
        <v>975</v>
      </c>
    </row>
    <row r="4" spans="1:3" x14ac:dyDescent="0.35">
      <c r="A4" s="55" t="s">
        <v>36</v>
      </c>
      <c r="B4" s="56" t="s">
        <v>37</v>
      </c>
      <c r="C4" s="56" t="s">
        <v>976</v>
      </c>
    </row>
    <row r="5" spans="1:3" x14ac:dyDescent="0.35">
      <c r="A5" s="55" t="s">
        <v>38</v>
      </c>
      <c r="B5" s="56" t="s">
        <v>39</v>
      </c>
      <c r="C5" s="56" t="s">
        <v>976</v>
      </c>
    </row>
    <row r="6" spans="1:3" x14ac:dyDescent="0.35">
      <c r="A6" s="55" t="s">
        <v>40</v>
      </c>
      <c r="B6" s="56" t="s">
        <v>41</v>
      </c>
      <c r="C6" s="56" t="s">
        <v>976</v>
      </c>
    </row>
    <row r="7" spans="1:3" x14ac:dyDescent="0.35">
      <c r="A7" s="55" t="s">
        <v>42</v>
      </c>
      <c r="B7" s="56" t="s">
        <v>43</v>
      </c>
      <c r="C7" s="56" t="s">
        <v>976</v>
      </c>
    </row>
    <row r="8" spans="1:3" x14ac:dyDescent="0.35">
      <c r="A8" s="55" t="s">
        <v>44</v>
      </c>
      <c r="B8" s="56" t="s">
        <v>45</v>
      </c>
      <c r="C8" s="56" t="s">
        <v>977</v>
      </c>
    </row>
    <row r="9" spans="1:3" x14ac:dyDescent="0.35">
      <c r="A9" s="55" t="s">
        <v>46</v>
      </c>
      <c r="B9" s="56" t="s">
        <v>47</v>
      </c>
      <c r="C9" s="56" t="s">
        <v>978</v>
      </c>
    </row>
    <row r="10" spans="1:3" x14ac:dyDescent="0.35">
      <c r="A10" s="55" t="s">
        <v>48</v>
      </c>
      <c r="B10" s="56" t="s">
        <v>49</v>
      </c>
      <c r="C10" s="56" t="s">
        <v>978</v>
      </c>
    </row>
    <row r="11" spans="1:3" x14ac:dyDescent="0.35">
      <c r="A11" s="55" t="s">
        <v>50</v>
      </c>
      <c r="B11" s="56" t="s">
        <v>51</v>
      </c>
      <c r="C11" s="56" t="s">
        <v>979</v>
      </c>
    </row>
    <row r="12" spans="1:3" x14ac:dyDescent="0.35">
      <c r="A12" s="55" t="s">
        <v>52</v>
      </c>
      <c r="B12" s="56" t="s">
        <v>53</v>
      </c>
      <c r="C12" s="56" t="s">
        <v>976</v>
      </c>
    </row>
    <row r="13" spans="1:3" x14ac:dyDescent="0.35">
      <c r="A13" s="55" t="s">
        <v>54</v>
      </c>
      <c r="B13" s="56" t="s">
        <v>55</v>
      </c>
      <c r="C13" s="56" t="s">
        <v>979</v>
      </c>
    </row>
    <row r="14" spans="1:3" x14ac:dyDescent="0.35">
      <c r="A14" s="55" t="s">
        <v>56</v>
      </c>
      <c r="B14" s="56" t="s">
        <v>57</v>
      </c>
      <c r="C14" s="56" t="s">
        <v>978</v>
      </c>
    </row>
    <row r="15" spans="1:3" x14ac:dyDescent="0.35">
      <c r="A15" s="55" t="s">
        <v>58</v>
      </c>
      <c r="B15" s="56" t="s">
        <v>59</v>
      </c>
      <c r="C15" s="56" t="s">
        <v>988</v>
      </c>
    </row>
    <row r="16" spans="1:3" x14ac:dyDescent="0.35">
      <c r="A16" s="55" t="s">
        <v>60</v>
      </c>
      <c r="B16" s="56" t="s">
        <v>61</v>
      </c>
      <c r="C16" s="56" t="s">
        <v>988</v>
      </c>
    </row>
    <row r="17" spans="1:3" x14ac:dyDescent="0.35">
      <c r="A17" s="55" t="s">
        <v>62</v>
      </c>
      <c r="B17" s="56" t="s">
        <v>63</v>
      </c>
      <c r="C17" s="56" t="s">
        <v>988</v>
      </c>
    </row>
    <row r="18" spans="1:3" x14ac:dyDescent="0.35">
      <c r="A18" s="55" t="s">
        <v>64</v>
      </c>
      <c r="B18" s="56" t="s">
        <v>65</v>
      </c>
      <c r="C18" s="56" t="s">
        <v>988</v>
      </c>
    </row>
    <row r="19" spans="1:3" x14ac:dyDescent="0.35">
      <c r="A19" s="55" t="s">
        <v>66</v>
      </c>
      <c r="B19" s="56" t="s">
        <v>67</v>
      </c>
      <c r="C19" s="56" t="s">
        <v>988</v>
      </c>
    </row>
    <row r="20" spans="1:3" x14ac:dyDescent="0.35">
      <c r="A20" s="55" t="s">
        <v>68</v>
      </c>
      <c r="B20" s="56" t="s">
        <v>69</v>
      </c>
      <c r="C20" s="56" t="s">
        <v>988</v>
      </c>
    </row>
    <row r="21" spans="1:3" x14ac:dyDescent="0.35">
      <c r="A21" s="55" t="s">
        <v>70</v>
      </c>
      <c r="B21" s="56" t="s">
        <v>71</v>
      </c>
      <c r="C21" s="56" t="s">
        <v>988</v>
      </c>
    </row>
    <row r="22" spans="1:3" x14ac:dyDescent="0.35">
      <c r="A22" s="55" t="s">
        <v>72</v>
      </c>
      <c r="B22" s="56" t="s">
        <v>73</v>
      </c>
      <c r="C22" s="56" t="s">
        <v>977</v>
      </c>
    </row>
    <row r="23" spans="1:3" x14ac:dyDescent="0.35">
      <c r="A23" s="55" t="s">
        <v>74</v>
      </c>
      <c r="B23" s="56" t="s">
        <v>75</v>
      </c>
      <c r="C23" s="56" t="s">
        <v>988</v>
      </c>
    </row>
    <row r="24" spans="1:3" x14ac:dyDescent="0.35">
      <c r="A24" s="55" t="s">
        <v>76</v>
      </c>
      <c r="B24" s="56" t="s">
        <v>77</v>
      </c>
      <c r="C24" s="56" t="s">
        <v>988</v>
      </c>
    </row>
    <row r="25" spans="1:3" x14ac:dyDescent="0.35">
      <c r="A25" s="55" t="s">
        <v>78</v>
      </c>
      <c r="B25" s="56" t="s">
        <v>79</v>
      </c>
      <c r="C25" s="56" t="s">
        <v>988</v>
      </c>
    </row>
    <row r="26" spans="1:3" x14ac:dyDescent="0.35">
      <c r="A26" s="55" t="s">
        <v>80</v>
      </c>
      <c r="B26" s="56" t="s">
        <v>81</v>
      </c>
      <c r="C26" s="56" t="s">
        <v>989</v>
      </c>
    </row>
    <row r="27" spans="1:3" x14ac:dyDescent="0.35">
      <c r="A27" s="55" t="s">
        <v>82</v>
      </c>
      <c r="B27" s="56" t="s">
        <v>83</v>
      </c>
      <c r="C27" s="56" t="s">
        <v>988</v>
      </c>
    </row>
    <row r="28" spans="1:3" x14ac:dyDescent="0.35">
      <c r="A28" s="55" t="s">
        <v>84</v>
      </c>
      <c r="B28" s="56" t="s">
        <v>85</v>
      </c>
      <c r="C28" s="56" t="s">
        <v>988</v>
      </c>
    </row>
    <row r="29" spans="1:3" x14ac:dyDescent="0.35">
      <c r="A29" s="55" t="s">
        <v>86</v>
      </c>
      <c r="B29" s="56" t="s">
        <v>87</v>
      </c>
      <c r="C29" s="56" t="s">
        <v>988</v>
      </c>
    </row>
    <row r="30" spans="1:3" x14ac:dyDescent="0.35">
      <c r="A30" s="55" t="s">
        <v>88</v>
      </c>
      <c r="B30" s="56" t="s">
        <v>89</v>
      </c>
      <c r="C30" s="56" t="s">
        <v>988</v>
      </c>
    </row>
    <row r="31" spans="1:3" x14ac:dyDescent="0.35">
      <c r="A31" s="55" t="s">
        <v>90</v>
      </c>
      <c r="B31" s="56" t="s">
        <v>91</v>
      </c>
      <c r="C31" s="56" t="s">
        <v>988</v>
      </c>
    </row>
    <row r="32" spans="1:3" x14ac:dyDescent="0.35">
      <c r="A32" s="55" t="s">
        <v>92</v>
      </c>
      <c r="B32" s="56" t="s">
        <v>93</v>
      </c>
      <c r="C32" s="56" t="s">
        <v>988</v>
      </c>
    </row>
    <row r="33" spans="1:3" x14ac:dyDescent="0.35">
      <c r="A33" s="55" t="s">
        <v>94</v>
      </c>
      <c r="B33" s="56" t="s">
        <v>95</v>
      </c>
      <c r="C33" s="56" t="s">
        <v>988</v>
      </c>
    </row>
    <row r="34" spans="1:3" x14ac:dyDescent="0.35">
      <c r="A34" s="55" t="s">
        <v>96</v>
      </c>
      <c r="B34" s="56" t="s">
        <v>97</v>
      </c>
      <c r="C34" s="56" t="s">
        <v>988</v>
      </c>
    </row>
    <row r="35" spans="1:3" x14ac:dyDescent="0.35">
      <c r="A35" s="55" t="s">
        <v>98</v>
      </c>
      <c r="B35" s="56" t="s">
        <v>99</v>
      </c>
      <c r="C35" s="56" t="s">
        <v>988</v>
      </c>
    </row>
    <row r="36" spans="1:3" x14ac:dyDescent="0.35">
      <c r="A36" s="55" t="s">
        <v>100</v>
      </c>
      <c r="B36" s="56" t="s">
        <v>101</v>
      </c>
      <c r="C36" s="56" t="s">
        <v>988</v>
      </c>
    </row>
    <row r="37" spans="1:3" x14ac:dyDescent="0.35">
      <c r="A37" s="55" t="s">
        <v>102</v>
      </c>
      <c r="B37" s="56" t="s">
        <v>103</v>
      </c>
      <c r="C37" s="56" t="s">
        <v>988</v>
      </c>
    </row>
    <row r="38" spans="1:3" x14ac:dyDescent="0.35">
      <c r="A38" s="55" t="s">
        <v>104</v>
      </c>
      <c r="B38" s="56" t="s">
        <v>105</v>
      </c>
      <c r="C38" s="56" t="s">
        <v>988</v>
      </c>
    </row>
    <row r="39" spans="1:3" x14ac:dyDescent="0.35">
      <c r="A39" s="55" t="s">
        <v>106</v>
      </c>
      <c r="B39" s="56" t="s">
        <v>107</v>
      </c>
      <c r="C39" s="56" t="s">
        <v>988</v>
      </c>
    </row>
    <row r="40" spans="1:3" x14ac:dyDescent="0.35">
      <c r="A40" s="55" t="s">
        <v>108</v>
      </c>
      <c r="B40" s="56" t="s">
        <v>109</v>
      </c>
      <c r="C40" s="56" t="s">
        <v>988</v>
      </c>
    </row>
    <row r="41" spans="1:3" x14ac:dyDescent="0.35">
      <c r="A41" s="55" t="s">
        <v>110</v>
      </c>
      <c r="B41" s="56" t="s">
        <v>111</v>
      </c>
      <c r="C41" s="56" t="s">
        <v>976</v>
      </c>
    </row>
    <row r="42" spans="1:3" x14ac:dyDescent="0.35">
      <c r="A42" s="55" t="s">
        <v>1076</v>
      </c>
      <c r="B42" s="56" t="s">
        <v>1077</v>
      </c>
      <c r="C42" s="56" t="s">
        <v>989</v>
      </c>
    </row>
  </sheetData>
  <mergeCells count="2">
    <mergeCell ref="A1:B1"/>
    <mergeCell ref="A2:B2"/>
  </mergeCells>
  <hyperlinks>
    <hyperlink ref="A4" location="'LDBOND'!A1" display="LDBOND" xr:uid="{B7FA3C64-E5C4-405F-883C-E73DADC090A2}"/>
    <hyperlink ref="A5" location="'LDGETF'!A1" display="LDGETF" xr:uid="{C0E5FDE6-23EA-4449-8317-69011A127F01}"/>
    <hyperlink ref="A6" location="'LDGSEC'!A1" display="LDGSEC" xr:uid="{57F63650-B215-44BB-AB46-5C3A5725AE64}"/>
    <hyperlink ref="A7" location="'LDINPF'!A1" display="LDINPF" xr:uid="{CC7776FD-7477-4346-B589-B27F9AACF2C4}"/>
    <hyperlink ref="A8" location="'LDMIPF'!A1" display="LDMIPF" xr:uid="{6BA8EAA8-4444-4786-A6A1-290C3874C9EB}"/>
    <hyperlink ref="A9" location="'LDMNMF'!A1" display="LDMNMF" xr:uid="{F8652A25-0326-4A10-88B5-C8E9251E07A2}"/>
    <hyperlink ref="A10" location="'LDONTF'!A1" display="LDONTF" xr:uid="{C1620956-317D-4614-ABDD-712F82B39CDD}"/>
    <hyperlink ref="A11" location="'LDSAPF'!A1" display="LDSAPF" xr:uid="{659F062B-13AC-411D-ACFD-E0779770F009}"/>
    <hyperlink ref="A12" location="'LDSTDF'!A1" display="LDSTDF" xr:uid="{18843A08-0FE2-4ECE-8402-5CAE5617F0B4}"/>
    <hyperlink ref="A13" location="'LDUSTF'!A1" display="LDUSTF" xr:uid="{5764015C-710B-4FF4-B575-754FA3542183}"/>
    <hyperlink ref="A14" location="'LEARBF'!A1" display="LEARBF" xr:uid="{8A0362F6-F689-4947-8BF8-A1C864F431BF}"/>
    <hyperlink ref="A15" location="'LEBADF'!A1" display="LEBADF" xr:uid="{86E27F95-FAEC-49B7-8332-D77DBCA147F1}"/>
    <hyperlink ref="A16" location="'LEBALF'!A1" display="LEBALF" xr:uid="{80A03E70-6EF2-477F-894E-763AA940D5AD}"/>
    <hyperlink ref="A17" location="'LEBFSF'!A1" display="LEBFSF" xr:uid="{BB415887-C79C-4B76-801A-DEA98E535B3E}"/>
    <hyperlink ref="A18" location="'LECHID'!A1" display="LECHID" xr:uid="{5E877A48-2341-430A-9D45-D99D8CDFBE04}"/>
    <hyperlink ref="A19" location="'LEDDYF'!A1" display="LEDDYF" xr:uid="{1A626491-2467-434D-85BE-97C7E1C6365E}"/>
    <hyperlink ref="A20" location="'LEDHCF'!A1" display="LEDHCF" xr:uid="{9AC46C68-3D21-49AE-9E26-421634C7E986}"/>
    <hyperlink ref="A21" location="'LEEMCF'!A1" display="LEEMCF" xr:uid="{EF1F46B3-416A-4AD2-AC00-7D4C3716A748}"/>
    <hyperlink ref="A22" location="'LEEQSF'!A1" display="LEEQSF" xr:uid="{80952944-D501-4E82-B9DB-94E494143217}"/>
    <hyperlink ref="A23" location="'LEEQTF'!A1" display="LEEQTF" xr:uid="{7ECBC94B-FA0A-4755-981A-ADA58D512CD8}"/>
    <hyperlink ref="A24" location="'LEESCF'!A1" display="LEESCF" xr:uid="{F458CC64-3CBE-436B-AF49-9AFB8CC4C296}"/>
    <hyperlink ref="A25" location="'LEFE30'!A1" display="LEFE30" xr:uid="{750BE2E0-F566-4B87-8DF5-C033BE5E865B}"/>
    <hyperlink ref="A26" location="'LEGFOF'!A1" display="LEGFOF" xr:uid="{0DE9204F-3C14-4064-9AB7-0F62EFEFAA8B}"/>
    <hyperlink ref="A27" location="'LEGROW'!A1" display="LEGROW" xr:uid="{897FDDA0-6078-45B8-B071-83E65FE073C9}"/>
    <hyperlink ref="A28" location="'LEINFA'!A1" display="LEINFA" xr:uid="{B406B593-9490-403D-B75A-D66EE598C2FA}"/>
    <hyperlink ref="A29" location="'LEINNF'!A1" display="LEINNF" xr:uid="{CC1D92C7-0FA1-427E-BCD9-ED97A94DCEC0}"/>
    <hyperlink ref="A30" location="'LEINSX'!A1" display="LEINSX" xr:uid="{08C4376C-38E2-4290-83E4-E0ED48109D77}"/>
    <hyperlink ref="A31" location="'LELTVF'!A1" display="LELTVF" xr:uid="{69A681B5-0925-4332-925D-8522D045C1E4}"/>
    <hyperlink ref="A32" location="'LEMETF'!A1" display="LEMETF" xr:uid="{FE000F8E-748B-47DE-99D5-41C1362080EE}"/>
    <hyperlink ref="A33" location="'LEMIDF'!A1" display="LEMIDF" xr:uid="{5525E0AA-5436-4212-941B-0AF9860D18BB}"/>
    <hyperlink ref="A34" location="'LEMUCF'!A1" display="LEMUCF" xr:uid="{A1D438D6-24AC-4F4B-8655-03D520AAACD9}"/>
    <hyperlink ref="A35" location="'LENI50'!A1" display="LENI50" xr:uid="{9060F994-49A0-42A5-B4B6-8EF592469DD6}"/>
    <hyperlink ref="A36" location="'LET100'!A1" display="LET100" xr:uid="{33471788-50C2-4AA8-A7AD-487E2AE6485C}"/>
    <hyperlink ref="A37" location="'LETAXP'!A1" display="LETAXP" xr:uid="{D07D204E-55E0-4CE7-A752-B5C04593F468}"/>
    <hyperlink ref="A38" location="'LETF50'!A1" display="LETF50" xr:uid="{9C4C1907-5406-4B9B-9F79-335AD8F294EC}"/>
    <hyperlink ref="A39" location="'LETFSX'!A1" display="LETFSX" xr:uid="{5D699B54-EC1B-487D-98F5-19CEA3ACD2C4}"/>
    <hyperlink ref="A40" location="'LEULIS'!A1" display="LEULIS" xr:uid="{45E6410E-11AE-4DDA-8178-8C7DA4636A91}"/>
    <hyperlink ref="A41" location="'LLIQDF'!A1" display="LLIQDF" xr:uid="{64B81006-61B1-449E-8EA5-5799E9F96238}"/>
    <hyperlink ref="A42" location="LICMFGOLDETF!A1" display="LICMFGOLDETF" xr:uid="{1C667687-7054-4E84-820D-3699993EAFFF}"/>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C5F79-13DE-4E1A-9F20-B9605D727B45}">
  <dimension ref="B1:P172"/>
  <sheetViews>
    <sheetView workbookViewId="0">
      <selection activeCell="A2" sqref="A2"/>
    </sheetView>
  </sheetViews>
  <sheetFormatPr defaultColWidth="9.1796875" defaultRowHeight="15.75" customHeight="1" x14ac:dyDescent="0.25"/>
  <cols>
    <col min="1" max="1" width="3.6328125" style="2" customWidth="1"/>
    <col min="2" max="2" width="38.90625" style="9" bestFit="1" customWidth="1"/>
    <col min="3" max="3" width="26.453125" style="9" customWidth="1"/>
    <col min="4" max="4" width="36.6328125" style="9" bestFit="1" customWidth="1"/>
    <col min="5" max="5" width="27.26953125" style="2" customWidth="1"/>
    <col min="6" max="6" width="16.453125" style="2" customWidth="1"/>
    <col min="7" max="7" width="15.26953125" style="8" customWidth="1"/>
    <col min="8" max="8" width="5.4531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9</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160</v>
      </c>
      <c r="C7" s="25" t="s">
        <v>161</v>
      </c>
      <c r="D7" s="25" t="s">
        <v>156</v>
      </c>
      <c r="E7" s="26">
        <v>44000</v>
      </c>
      <c r="F7" s="27">
        <v>668.84</v>
      </c>
      <c r="G7" s="28">
        <v>3.1399999999999997E-2</v>
      </c>
      <c r="H7" s="29"/>
    </row>
    <row r="8" spans="2:9" ht="15.75" customHeight="1" x14ac:dyDescent="0.25">
      <c r="B8" s="25" t="s">
        <v>190</v>
      </c>
      <c r="C8" s="25" t="s">
        <v>191</v>
      </c>
      <c r="D8" s="25" t="s">
        <v>156</v>
      </c>
      <c r="E8" s="26">
        <v>106650</v>
      </c>
      <c r="F8" s="27">
        <v>663.31</v>
      </c>
      <c r="G8" s="28">
        <v>3.1199999999999999E-2</v>
      </c>
      <c r="H8" s="29"/>
    </row>
    <row r="9" spans="2:9" ht="15.75" customHeight="1" x14ac:dyDescent="0.25">
      <c r="B9" s="25" t="s">
        <v>192</v>
      </c>
      <c r="C9" s="25" t="s">
        <v>193</v>
      </c>
      <c r="D9" s="25" t="s">
        <v>194</v>
      </c>
      <c r="E9" s="26">
        <v>140300</v>
      </c>
      <c r="F9" s="27">
        <v>558.17999999999995</v>
      </c>
      <c r="G9" s="28">
        <v>2.6200000000000001E-2</v>
      </c>
      <c r="H9" s="29"/>
    </row>
    <row r="10" spans="2:9" ht="15.75" customHeight="1" x14ac:dyDescent="0.25">
      <c r="B10" s="25" t="s">
        <v>195</v>
      </c>
      <c r="C10" s="25" t="s">
        <v>196</v>
      </c>
      <c r="D10" s="25" t="s">
        <v>197</v>
      </c>
      <c r="E10" s="26">
        <v>320000</v>
      </c>
      <c r="F10" s="27">
        <v>525.44000000000005</v>
      </c>
      <c r="G10" s="28">
        <v>2.47E-2</v>
      </c>
      <c r="H10" s="29"/>
    </row>
    <row r="11" spans="2:9" ht="15.75" customHeight="1" x14ac:dyDescent="0.25">
      <c r="B11" s="25" t="s">
        <v>198</v>
      </c>
      <c r="C11" s="25" t="s">
        <v>199</v>
      </c>
      <c r="D11" s="25" t="s">
        <v>197</v>
      </c>
      <c r="E11" s="26">
        <v>313500</v>
      </c>
      <c r="F11" s="27">
        <v>517.28</v>
      </c>
      <c r="G11" s="28">
        <v>2.4299999999999999E-2</v>
      </c>
      <c r="H11" s="29"/>
    </row>
    <row r="12" spans="2:9" ht="15.75" customHeight="1" x14ac:dyDescent="0.25">
      <c r="B12" s="25" t="s">
        <v>200</v>
      </c>
      <c r="C12" s="25" t="s">
        <v>201</v>
      </c>
      <c r="D12" s="25" t="s">
        <v>202</v>
      </c>
      <c r="E12" s="26">
        <v>265000</v>
      </c>
      <c r="F12" s="27">
        <v>510.52</v>
      </c>
      <c r="G12" s="28">
        <v>2.4E-2</v>
      </c>
      <c r="H12" s="29"/>
    </row>
    <row r="13" spans="2:9" ht="15.75" customHeight="1" x14ac:dyDescent="0.25">
      <c r="B13" s="25" t="s">
        <v>203</v>
      </c>
      <c r="C13" s="25" t="s">
        <v>204</v>
      </c>
      <c r="D13" s="25" t="s">
        <v>156</v>
      </c>
      <c r="E13" s="26">
        <v>360000</v>
      </c>
      <c r="F13" s="27">
        <v>507.78</v>
      </c>
      <c r="G13" s="28">
        <v>2.3900000000000001E-2</v>
      </c>
      <c r="H13" s="29"/>
    </row>
    <row r="14" spans="2:9" ht="15.75" customHeight="1" x14ac:dyDescent="0.25">
      <c r="B14" s="25" t="s">
        <v>205</v>
      </c>
      <c r="C14" s="25" t="s">
        <v>206</v>
      </c>
      <c r="D14" s="25" t="s">
        <v>156</v>
      </c>
      <c r="E14" s="26">
        <v>267500</v>
      </c>
      <c r="F14" s="27">
        <v>503.7</v>
      </c>
      <c r="G14" s="28">
        <v>2.3699999999999999E-2</v>
      </c>
      <c r="H14" s="29"/>
    </row>
    <row r="15" spans="2:9" ht="15.75" customHeight="1" x14ac:dyDescent="0.25">
      <c r="B15" s="25" t="s">
        <v>207</v>
      </c>
      <c r="C15" s="25" t="s">
        <v>208</v>
      </c>
      <c r="D15" s="25" t="s">
        <v>209</v>
      </c>
      <c r="E15" s="26">
        <v>112375</v>
      </c>
      <c r="F15" s="27">
        <v>496.19</v>
      </c>
      <c r="G15" s="28">
        <v>2.3300000000000001E-2</v>
      </c>
      <c r="H15" s="29"/>
    </row>
    <row r="16" spans="2:9" ht="15.75" customHeight="1" x14ac:dyDescent="0.25">
      <c r="B16" s="25" t="s">
        <v>210</v>
      </c>
      <c r="C16" s="25" t="s">
        <v>211</v>
      </c>
      <c r="D16" s="25" t="s">
        <v>209</v>
      </c>
      <c r="E16" s="26">
        <v>7125</v>
      </c>
      <c r="F16" s="27">
        <v>493.3</v>
      </c>
      <c r="G16" s="28">
        <v>2.3199999999999998E-2</v>
      </c>
      <c r="H16" s="29"/>
    </row>
    <row r="17" spans="2:8" ht="15.75" customHeight="1" x14ac:dyDescent="0.25">
      <c r="B17" s="25" t="s">
        <v>212</v>
      </c>
      <c r="C17" s="25" t="s">
        <v>213</v>
      </c>
      <c r="D17" s="25" t="s">
        <v>214</v>
      </c>
      <c r="E17" s="26">
        <v>162500</v>
      </c>
      <c r="F17" s="27">
        <v>485.14</v>
      </c>
      <c r="G17" s="28">
        <v>2.2800000000000001E-2</v>
      </c>
      <c r="H17" s="29"/>
    </row>
    <row r="18" spans="2:8" ht="15.75" customHeight="1" x14ac:dyDescent="0.25">
      <c r="B18" s="25" t="s">
        <v>215</v>
      </c>
      <c r="C18" s="25" t="s">
        <v>216</v>
      </c>
      <c r="D18" s="25" t="s">
        <v>217</v>
      </c>
      <c r="E18" s="26">
        <v>46000</v>
      </c>
      <c r="F18" s="27">
        <v>472.88</v>
      </c>
      <c r="G18" s="28">
        <v>2.2200000000000001E-2</v>
      </c>
      <c r="H18" s="29"/>
    </row>
    <row r="19" spans="2:8" ht="15.75" customHeight="1" x14ac:dyDescent="0.25">
      <c r="B19" s="25" t="s">
        <v>218</v>
      </c>
      <c r="C19" s="25" t="s">
        <v>219</v>
      </c>
      <c r="D19" s="25" t="s">
        <v>156</v>
      </c>
      <c r="E19" s="26">
        <v>167500</v>
      </c>
      <c r="F19" s="27">
        <v>436</v>
      </c>
      <c r="G19" s="28">
        <v>2.0500000000000001E-2</v>
      </c>
      <c r="H19" s="29"/>
    </row>
    <row r="20" spans="2:8" ht="15.75" customHeight="1" x14ac:dyDescent="0.25">
      <c r="B20" s="25" t="s">
        <v>220</v>
      </c>
      <c r="C20" s="25" t="s">
        <v>221</v>
      </c>
      <c r="D20" s="25" t="s">
        <v>156</v>
      </c>
      <c r="E20" s="26">
        <v>28000</v>
      </c>
      <c r="F20" s="27">
        <v>424.4</v>
      </c>
      <c r="G20" s="28">
        <v>1.9900000000000001E-2</v>
      </c>
      <c r="H20" s="29"/>
    </row>
    <row r="21" spans="2:8" ht="15.75" customHeight="1" x14ac:dyDescent="0.25">
      <c r="B21" s="25" t="s">
        <v>222</v>
      </c>
      <c r="C21" s="25" t="s">
        <v>223</v>
      </c>
      <c r="D21" s="25" t="s">
        <v>209</v>
      </c>
      <c r="E21" s="26">
        <v>16200</v>
      </c>
      <c r="F21" s="27">
        <v>413.38</v>
      </c>
      <c r="G21" s="28">
        <v>1.9400000000000001E-2</v>
      </c>
      <c r="H21" s="29"/>
    </row>
    <row r="22" spans="2:8" ht="15.75" customHeight="1" x14ac:dyDescent="0.25">
      <c r="B22" s="25" t="s">
        <v>224</v>
      </c>
      <c r="C22" s="25" t="s">
        <v>225</v>
      </c>
      <c r="D22" s="25" t="s">
        <v>226</v>
      </c>
      <c r="E22" s="26">
        <v>106000</v>
      </c>
      <c r="F22" s="27">
        <v>409.16</v>
      </c>
      <c r="G22" s="28">
        <v>1.9199999999999998E-2</v>
      </c>
      <c r="H22" s="29"/>
    </row>
    <row r="23" spans="2:8" ht="15.75" customHeight="1" x14ac:dyDescent="0.25">
      <c r="B23" s="25" t="s">
        <v>227</v>
      </c>
      <c r="C23" s="25" t="s">
        <v>228</v>
      </c>
      <c r="D23" s="25" t="s">
        <v>156</v>
      </c>
      <c r="E23" s="26">
        <v>24800</v>
      </c>
      <c r="F23" s="27">
        <v>402.74</v>
      </c>
      <c r="G23" s="28">
        <v>1.89E-2</v>
      </c>
      <c r="H23" s="29"/>
    </row>
    <row r="24" spans="2:8" ht="15.75" customHeight="1" x14ac:dyDescent="0.25">
      <c r="B24" s="25" t="s">
        <v>229</v>
      </c>
      <c r="C24" s="25" t="s">
        <v>230</v>
      </c>
      <c r="D24" s="25" t="s">
        <v>231</v>
      </c>
      <c r="E24" s="26">
        <v>28500</v>
      </c>
      <c r="F24" s="27">
        <v>347.56</v>
      </c>
      <c r="G24" s="28">
        <v>1.6299999999999999E-2</v>
      </c>
      <c r="H24" s="29"/>
    </row>
    <row r="25" spans="2:8" ht="15.75" customHeight="1" x14ac:dyDescent="0.25">
      <c r="B25" s="25" t="s">
        <v>232</v>
      </c>
      <c r="C25" s="25" t="s">
        <v>233</v>
      </c>
      <c r="D25" s="25" t="s">
        <v>234</v>
      </c>
      <c r="E25" s="26">
        <v>142500</v>
      </c>
      <c r="F25" s="27">
        <v>333.09</v>
      </c>
      <c r="G25" s="28">
        <v>1.5699999999999999E-2</v>
      </c>
      <c r="H25" s="29"/>
    </row>
    <row r="26" spans="2:8" ht="15.75" customHeight="1" x14ac:dyDescent="0.25">
      <c r="B26" s="25" t="s">
        <v>235</v>
      </c>
      <c r="C26" s="25" t="s">
        <v>236</v>
      </c>
      <c r="D26" s="25" t="s">
        <v>156</v>
      </c>
      <c r="E26" s="26">
        <v>111150</v>
      </c>
      <c r="F26" s="27">
        <v>312.89</v>
      </c>
      <c r="G26" s="28">
        <v>1.47E-2</v>
      </c>
      <c r="H26" s="29"/>
    </row>
    <row r="27" spans="2:8" ht="15.75" customHeight="1" x14ac:dyDescent="0.25">
      <c r="B27" s="25" t="s">
        <v>237</v>
      </c>
      <c r="C27" s="25" t="s">
        <v>238</v>
      </c>
      <c r="D27" s="25" t="s">
        <v>209</v>
      </c>
      <c r="E27" s="26">
        <v>135000</v>
      </c>
      <c r="F27" s="27">
        <v>312.39</v>
      </c>
      <c r="G27" s="28">
        <v>1.47E-2</v>
      </c>
      <c r="H27" s="29"/>
    </row>
    <row r="28" spans="2:8" ht="15.75" customHeight="1" x14ac:dyDescent="0.25">
      <c r="B28" s="25" t="s">
        <v>239</v>
      </c>
      <c r="C28" s="25" t="s">
        <v>240</v>
      </c>
      <c r="D28" s="25" t="s">
        <v>241</v>
      </c>
      <c r="E28" s="26">
        <v>94500</v>
      </c>
      <c r="F28" s="27">
        <v>240.41</v>
      </c>
      <c r="G28" s="28">
        <v>1.1299999999999999E-2</v>
      </c>
      <c r="H28" s="29"/>
    </row>
    <row r="29" spans="2:8" ht="15.75" customHeight="1" x14ac:dyDescent="0.25">
      <c r="B29" s="25" t="s">
        <v>242</v>
      </c>
      <c r="C29" s="25" t="s">
        <v>243</v>
      </c>
      <c r="D29" s="25" t="s">
        <v>244</v>
      </c>
      <c r="E29" s="26">
        <v>104400</v>
      </c>
      <c r="F29" s="27">
        <v>234.27</v>
      </c>
      <c r="G29" s="28">
        <v>1.0999999999999999E-2</v>
      </c>
      <c r="H29" s="29"/>
    </row>
    <row r="30" spans="2:8" ht="15.75" customHeight="1" x14ac:dyDescent="0.25">
      <c r="B30" s="25" t="s">
        <v>245</v>
      </c>
      <c r="C30" s="25" t="s">
        <v>246</v>
      </c>
      <c r="D30" s="25" t="s">
        <v>156</v>
      </c>
      <c r="E30" s="26">
        <v>285000</v>
      </c>
      <c r="F30" s="27">
        <v>234.13</v>
      </c>
      <c r="G30" s="28">
        <v>1.0999999999999999E-2</v>
      </c>
      <c r="H30" s="29"/>
    </row>
    <row r="31" spans="2:8" ht="15.75" customHeight="1" x14ac:dyDescent="0.25">
      <c r="B31" s="25" t="s">
        <v>247</v>
      </c>
      <c r="C31" s="25" t="s">
        <v>248</v>
      </c>
      <c r="D31" s="25" t="s">
        <v>156</v>
      </c>
      <c r="E31" s="26">
        <v>18125</v>
      </c>
      <c r="F31" s="27">
        <v>211.32</v>
      </c>
      <c r="G31" s="28">
        <v>9.9000000000000008E-3</v>
      </c>
      <c r="H31" s="29"/>
    </row>
    <row r="32" spans="2:8" ht="15.75" customHeight="1" x14ac:dyDescent="0.25">
      <c r="B32" s="25" t="s">
        <v>249</v>
      </c>
      <c r="C32" s="25" t="s">
        <v>250</v>
      </c>
      <c r="D32" s="25" t="s">
        <v>197</v>
      </c>
      <c r="E32" s="26">
        <v>22500</v>
      </c>
      <c r="F32" s="27">
        <v>209.17</v>
      </c>
      <c r="G32" s="28">
        <v>9.7999999999999997E-3</v>
      </c>
      <c r="H32" s="29"/>
    </row>
    <row r="33" spans="2:8" ht="15.75" customHeight="1" x14ac:dyDescent="0.25">
      <c r="B33" s="25" t="s">
        <v>251</v>
      </c>
      <c r="C33" s="25" t="s">
        <v>252</v>
      </c>
      <c r="D33" s="25" t="s">
        <v>253</v>
      </c>
      <c r="E33" s="26">
        <v>39600</v>
      </c>
      <c r="F33" s="27">
        <v>205.13</v>
      </c>
      <c r="G33" s="28">
        <v>9.5999999999999992E-3</v>
      </c>
      <c r="H33" s="29"/>
    </row>
    <row r="34" spans="2:8" ht="15.75" customHeight="1" x14ac:dyDescent="0.25">
      <c r="B34" s="25" t="s">
        <v>254</v>
      </c>
      <c r="C34" s="25" t="s">
        <v>255</v>
      </c>
      <c r="D34" s="25" t="s">
        <v>214</v>
      </c>
      <c r="E34" s="26">
        <v>17600</v>
      </c>
      <c r="F34" s="27">
        <v>203.02</v>
      </c>
      <c r="G34" s="28">
        <v>9.4999999999999998E-3</v>
      </c>
      <c r="H34" s="29"/>
    </row>
    <row r="35" spans="2:8" ht="15.75" customHeight="1" x14ac:dyDescent="0.25">
      <c r="B35" s="25" t="s">
        <v>256</v>
      </c>
      <c r="C35" s="25" t="s">
        <v>257</v>
      </c>
      <c r="D35" s="25" t="s">
        <v>214</v>
      </c>
      <c r="E35" s="26">
        <v>20700</v>
      </c>
      <c r="F35" s="27">
        <v>197.38</v>
      </c>
      <c r="G35" s="28">
        <v>9.2999999999999992E-3</v>
      </c>
      <c r="H35" s="29"/>
    </row>
    <row r="36" spans="2:8" ht="15.75" customHeight="1" x14ac:dyDescent="0.25">
      <c r="B36" s="25" t="s">
        <v>258</v>
      </c>
      <c r="C36" s="25" t="s">
        <v>259</v>
      </c>
      <c r="D36" s="25" t="s">
        <v>260</v>
      </c>
      <c r="E36" s="26">
        <v>25000</v>
      </c>
      <c r="F36" s="27">
        <v>185.44</v>
      </c>
      <c r="G36" s="28">
        <v>8.6999999999999994E-3</v>
      </c>
      <c r="H36" s="29"/>
    </row>
    <row r="37" spans="2:8" ht="15.75" customHeight="1" x14ac:dyDescent="0.25">
      <c r="B37" s="25" t="s">
        <v>261</v>
      </c>
      <c r="C37" s="25" t="s">
        <v>262</v>
      </c>
      <c r="D37" s="25" t="s">
        <v>263</v>
      </c>
      <c r="E37" s="26">
        <v>5100</v>
      </c>
      <c r="F37" s="27">
        <v>183.31</v>
      </c>
      <c r="G37" s="28">
        <v>8.6E-3</v>
      </c>
      <c r="H37" s="29"/>
    </row>
    <row r="38" spans="2:8" ht="15.75" customHeight="1" x14ac:dyDescent="0.25">
      <c r="B38" s="25" t="s">
        <v>264</v>
      </c>
      <c r="C38" s="25" t="s">
        <v>265</v>
      </c>
      <c r="D38" s="25" t="s">
        <v>159</v>
      </c>
      <c r="E38" s="26">
        <v>13800</v>
      </c>
      <c r="F38" s="27">
        <v>174.36</v>
      </c>
      <c r="G38" s="28">
        <v>8.2000000000000007E-3</v>
      </c>
      <c r="H38" s="29"/>
    </row>
    <row r="39" spans="2:8" ht="15.75" customHeight="1" x14ac:dyDescent="0.25">
      <c r="B39" s="25" t="s">
        <v>266</v>
      </c>
      <c r="C39" s="25" t="s">
        <v>267</v>
      </c>
      <c r="D39" s="25" t="s">
        <v>268</v>
      </c>
      <c r="E39" s="26">
        <v>47600</v>
      </c>
      <c r="F39" s="27">
        <v>168.88</v>
      </c>
      <c r="G39" s="28">
        <v>7.9000000000000008E-3</v>
      </c>
      <c r="H39" s="29"/>
    </row>
    <row r="40" spans="2:8" ht="15.75" customHeight="1" x14ac:dyDescent="0.25">
      <c r="B40" s="25" t="s">
        <v>269</v>
      </c>
      <c r="C40" s="25" t="s">
        <v>270</v>
      </c>
      <c r="D40" s="25" t="s">
        <v>226</v>
      </c>
      <c r="E40" s="26">
        <v>90000</v>
      </c>
      <c r="F40" s="27">
        <v>166.73</v>
      </c>
      <c r="G40" s="28">
        <v>7.7999999999999996E-3</v>
      </c>
      <c r="H40" s="29"/>
    </row>
    <row r="41" spans="2:8" ht="15.75" customHeight="1" x14ac:dyDescent="0.25">
      <c r="B41" s="25" t="s">
        <v>271</v>
      </c>
      <c r="C41" s="25" t="s">
        <v>272</v>
      </c>
      <c r="D41" s="25" t="s">
        <v>209</v>
      </c>
      <c r="E41" s="26">
        <v>10000</v>
      </c>
      <c r="F41" s="27">
        <v>161.5</v>
      </c>
      <c r="G41" s="28">
        <v>7.6E-3</v>
      </c>
      <c r="H41" s="29"/>
    </row>
    <row r="42" spans="2:8" ht="15.75" customHeight="1" x14ac:dyDescent="0.25">
      <c r="B42" s="25" t="s">
        <v>273</v>
      </c>
      <c r="C42" s="25" t="s">
        <v>274</v>
      </c>
      <c r="D42" s="25" t="s">
        <v>197</v>
      </c>
      <c r="E42" s="26">
        <v>16875</v>
      </c>
      <c r="F42" s="27">
        <v>148.87</v>
      </c>
      <c r="G42" s="28">
        <v>7.0000000000000001E-3</v>
      </c>
      <c r="H42" s="29"/>
    </row>
    <row r="43" spans="2:8" ht="15.75" customHeight="1" x14ac:dyDescent="0.25">
      <c r="B43" s="25" t="s">
        <v>275</v>
      </c>
      <c r="C43" s="25" t="s">
        <v>276</v>
      </c>
      <c r="D43" s="25" t="s">
        <v>159</v>
      </c>
      <c r="E43" s="26">
        <v>6050</v>
      </c>
      <c r="F43" s="27">
        <v>140.05000000000001</v>
      </c>
      <c r="G43" s="28">
        <v>6.6E-3</v>
      </c>
      <c r="H43" s="29"/>
    </row>
    <row r="44" spans="2:8" ht="15.75" customHeight="1" x14ac:dyDescent="0.25">
      <c r="B44" s="25" t="s">
        <v>165</v>
      </c>
      <c r="C44" s="25" t="s">
        <v>166</v>
      </c>
      <c r="D44" s="25" t="s">
        <v>167</v>
      </c>
      <c r="E44" s="26">
        <v>6300</v>
      </c>
      <c r="F44" s="27">
        <v>135.85</v>
      </c>
      <c r="G44" s="28">
        <v>6.4000000000000003E-3</v>
      </c>
      <c r="H44" s="29"/>
    </row>
    <row r="45" spans="2:8" ht="15.75" customHeight="1" x14ac:dyDescent="0.25">
      <c r="B45" s="25" t="s">
        <v>277</v>
      </c>
      <c r="C45" s="25" t="s">
        <v>278</v>
      </c>
      <c r="D45" s="25" t="s">
        <v>164</v>
      </c>
      <c r="E45" s="26">
        <v>78000</v>
      </c>
      <c r="F45" s="27">
        <v>131.69999999999999</v>
      </c>
      <c r="G45" s="28">
        <v>6.1999999999999998E-3</v>
      </c>
      <c r="H45" s="29"/>
    </row>
    <row r="46" spans="2:8" ht="15.75" customHeight="1" x14ac:dyDescent="0.25">
      <c r="B46" s="25" t="s">
        <v>279</v>
      </c>
      <c r="C46" s="25" t="s">
        <v>280</v>
      </c>
      <c r="D46" s="25" t="s">
        <v>281</v>
      </c>
      <c r="E46" s="26">
        <v>20250</v>
      </c>
      <c r="F46" s="27">
        <v>90.97</v>
      </c>
      <c r="G46" s="28">
        <v>4.3E-3</v>
      </c>
      <c r="H46" s="29"/>
    </row>
    <row r="47" spans="2:8" ht="15.75" customHeight="1" x14ac:dyDescent="0.25">
      <c r="B47" s="25" t="s">
        <v>282</v>
      </c>
      <c r="C47" s="25" t="s">
        <v>283</v>
      </c>
      <c r="D47" s="25" t="s">
        <v>226</v>
      </c>
      <c r="E47" s="26">
        <v>14000</v>
      </c>
      <c r="F47" s="27">
        <v>90.22</v>
      </c>
      <c r="G47" s="28">
        <v>4.1999999999999997E-3</v>
      </c>
      <c r="H47" s="29"/>
    </row>
    <row r="48" spans="2:8" ht="15.75" customHeight="1" x14ac:dyDescent="0.25">
      <c r="B48" s="25" t="s">
        <v>154</v>
      </c>
      <c r="C48" s="25" t="s">
        <v>155</v>
      </c>
      <c r="D48" s="25" t="s">
        <v>156</v>
      </c>
      <c r="E48" s="26">
        <v>7700</v>
      </c>
      <c r="F48" s="27">
        <v>88.58</v>
      </c>
      <c r="G48" s="28">
        <v>4.1999999999999997E-3</v>
      </c>
      <c r="H48" s="29"/>
    </row>
    <row r="49" spans="2:8" ht="15.75" customHeight="1" x14ac:dyDescent="0.25">
      <c r="B49" s="25" t="s">
        <v>284</v>
      </c>
      <c r="C49" s="25" t="s">
        <v>285</v>
      </c>
      <c r="D49" s="25" t="s">
        <v>286</v>
      </c>
      <c r="E49" s="26">
        <v>5625</v>
      </c>
      <c r="F49" s="27">
        <v>80.81</v>
      </c>
      <c r="G49" s="28">
        <v>3.8E-3</v>
      </c>
      <c r="H49" s="29"/>
    </row>
    <row r="50" spans="2:8" ht="15.75" customHeight="1" x14ac:dyDescent="0.25">
      <c r="B50" s="25" t="s">
        <v>287</v>
      </c>
      <c r="C50" s="25" t="s">
        <v>288</v>
      </c>
      <c r="D50" s="25" t="s">
        <v>289</v>
      </c>
      <c r="E50" s="26">
        <v>90000</v>
      </c>
      <c r="F50" s="27">
        <v>76.64</v>
      </c>
      <c r="G50" s="28">
        <v>3.5999999999999999E-3</v>
      </c>
      <c r="H50" s="29"/>
    </row>
    <row r="51" spans="2:8" ht="15.75" customHeight="1" x14ac:dyDescent="0.25">
      <c r="B51" s="25" t="s">
        <v>290</v>
      </c>
      <c r="C51" s="25" t="s">
        <v>291</v>
      </c>
      <c r="D51" s="25" t="s">
        <v>260</v>
      </c>
      <c r="E51" s="26">
        <v>2500</v>
      </c>
      <c r="F51" s="27">
        <v>76.23</v>
      </c>
      <c r="G51" s="28">
        <v>3.5999999999999999E-3</v>
      </c>
      <c r="H51" s="29"/>
    </row>
    <row r="52" spans="2:8" ht="15.75" customHeight="1" x14ac:dyDescent="0.25">
      <c r="B52" s="25" t="s">
        <v>157</v>
      </c>
      <c r="C52" s="25" t="s">
        <v>158</v>
      </c>
      <c r="D52" s="25" t="s">
        <v>159</v>
      </c>
      <c r="E52" s="26">
        <v>4000</v>
      </c>
      <c r="F52" s="27">
        <v>56.82</v>
      </c>
      <c r="G52" s="28">
        <v>2.7000000000000001E-3</v>
      </c>
      <c r="H52" s="29"/>
    </row>
    <row r="53" spans="2:8" ht="15.75" customHeight="1" x14ac:dyDescent="0.25">
      <c r="B53" s="25" t="s">
        <v>292</v>
      </c>
      <c r="C53" s="25" t="s">
        <v>293</v>
      </c>
      <c r="D53" s="25" t="s">
        <v>173</v>
      </c>
      <c r="E53" s="26">
        <v>12800</v>
      </c>
      <c r="F53" s="27">
        <v>55.76</v>
      </c>
      <c r="G53" s="28">
        <v>2.5999999999999999E-3</v>
      </c>
      <c r="H53" s="29"/>
    </row>
    <row r="54" spans="2:8" ht="15.75" customHeight="1" x14ac:dyDescent="0.25">
      <c r="B54" s="25" t="s">
        <v>294</v>
      </c>
      <c r="C54" s="25" t="s">
        <v>295</v>
      </c>
      <c r="D54" s="25" t="s">
        <v>296</v>
      </c>
      <c r="E54" s="26">
        <v>9000</v>
      </c>
      <c r="F54" s="27">
        <v>42.52</v>
      </c>
      <c r="G54" s="28">
        <v>2E-3</v>
      </c>
      <c r="H54" s="29"/>
    </row>
    <row r="55" spans="2:8" ht="15.75" customHeight="1" x14ac:dyDescent="0.25">
      <c r="B55" s="25" t="s">
        <v>297</v>
      </c>
      <c r="C55" s="25" t="s">
        <v>298</v>
      </c>
      <c r="D55" s="25" t="s">
        <v>209</v>
      </c>
      <c r="E55" s="26">
        <v>8000</v>
      </c>
      <c r="F55" s="27">
        <v>40.57</v>
      </c>
      <c r="G55" s="28">
        <v>1.9E-3</v>
      </c>
      <c r="H55" s="29"/>
    </row>
    <row r="56" spans="2:8" ht="15.75" customHeight="1" x14ac:dyDescent="0.25">
      <c r="B56" s="25" t="s">
        <v>299</v>
      </c>
      <c r="C56" s="25" t="s">
        <v>300</v>
      </c>
      <c r="D56" s="25" t="s">
        <v>209</v>
      </c>
      <c r="E56" s="26">
        <v>6000</v>
      </c>
      <c r="F56" s="27">
        <v>40.43</v>
      </c>
      <c r="G56" s="28">
        <v>1.9E-3</v>
      </c>
      <c r="H56" s="29"/>
    </row>
    <row r="57" spans="2:8" ht="15.75" customHeight="1" x14ac:dyDescent="0.25">
      <c r="B57" s="25" t="s">
        <v>301</v>
      </c>
      <c r="C57" s="25" t="s">
        <v>302</v>
      </c>
      <c r="D57" s="25" t="s">
        <v>303</v>
      </c>
      <c r="E57" s="26">
        <v>1425</v>
      </c>
      <c r="F57" s="27">
        <v>37.729999999999997</v>
      </c>
      <c r="G57" s="28">
        <v>1.8E-3</v>
      </c>
      <c r="H57" s="29"/>
    </row>
    <row r="58" spans="2:8" ht="15.75" customHeight="1" x14ac:dyDescent="0.25">
      <c r="B58" s="25" t="s">
        <v>304</v>
      </c>
      <c r="C58" s="25" t="s">
        <v>305</v>
      </c>
      <c r="D58" s="25" t="s">
        <v>296</v>
      </c>
      <c r="E58" s="26">
        <v>28400</v>
      </c>
      <c r="F58" s="27">
        <v>37.26</v>
      </c>
      <c r="G58" s="28">
        <v>1.8E-3</v>
      </c>
      <c r="H58" s="29"/>
    </row>
    <row r="59" spans="2:8" ht="15.75" customHeight="1" x14ac:dyDescent="0.25">
      <c r="B59" s="25" t="s">
        <v>171</v>
      </c>
      <c r="C59" s="25" t="s">
        <v>172</v>
      </c>
      <c r="D59" s="25" t="s">
        <v>173</v>
      </c>
      <c r="E59" s="26">
        <v>1500</v>
      </c>
      <c r="F59" s="27">
        <v>33.46</v>
      </c>
      <c r="G59" s="28">
        <v>1.6000000000000001E-3</v>
      </c>
      <c r="H59" s="29"/>
    </row>
    <row r="60" spans="2:8" ht="15.75" customHeight="1" x14ac:dyDescent="0.25">
      <c r="B60" s="25" t="s">
        <v>306</v>
      </c>
      <c r="C60" s="25" t="s">
        <v>307</v>
      </c>
      <c r="D60" s="25" t="s">
        <v>244</v>
      </c>
      <c r="E60" s="26">
        <v>125</v>
      </c>
      <c r="F60" s="27">
        <v>30.56</v>
      </c>
      <c r="G60" s="28">
        <v>1.4E-3</v>
      </c>
      <c r="H60" s="29"/>
    </row>
    <row r="61" spans="2:8" ht="15.75" customHeight="1" x14ac:dyDescent="0.25">
      <c r="B61" s="25" t="s">
        <v>308</v>
      </c>
      <c r="C61" s="25" t="s">
        <v>309</v>
      </c>
      <c r="D61" s="25" t="s">
        <v>296</v>
      </c>
      <c r="E61" s="26">
        <v>900</v>
      </c>
      <c r="F61" s="27">
        <v>21.87</v>
      </c>
      <c r="G61" s="28">
        <v>1E-3</v>
      </c>
      <c r="H61" s="29"/>
    </row>
    <row r="62" spans="2:8" ht="15.75" customHeight="1" x14ac:dyDescent="0.25">
      <c r="B62" s="25" t="s">
        <v>310</v>
      </c>
      <c r="C62" s="25" t="s">
        <v>311</v>
      </c>
      <c r="D62" s="25" t="s">
        <v>312</v>
      </c>
      <c r="E62" s="26">
        <v>4200</v>
      </c>
      <c r="F62" s="27">
        <v>19.079999999999998</v>
      </c>
      <c r="G62" s="28">
        <v>8.9999999999999998E-4</v>
      </c>
      <c r="H62" s="29"/>
    </row>
    <row r="63" spans="2:8" ht="15.75" customHeight="1" x14ac:dyDescent="0.25">
      <c r="B63" s="25" t="s">
        <v>313</v>
      </c>
      <c r="C63" s="25" t="s">
        <v>314</v>
      </c>
      <c r="D63" s="25" t="s">
        <v>315</v>
      </c>
      <c r="E63" s="26">
        <v>3000</v>
      </c>
      <c r="F63" s="27">
        <v>17.3</v>
      </c>
      <c r="G63" s="28">
        <v>8.0000000000000004E-4</v>
      </c>
      <c r="H63" s="29"/>
    </row>
    <row r="64" spans="2:8" ht="15.75" customHeight="1" x14ac:dyDescent="0.25">
      <c r="B64" s="25" t="s">
        <v>316</v>
      </c>
      <c r="C64" s="25" t="s">
        <v>317</v>
      </c>
      <c r="D64" s="25" t="s">
        <v>209</v>
      </c>
      <c r="E64" s="26">
        <v>1500</v>
      </c>
      <c r="F64" s="27">
        <v>13.87</v>
      </c>
      <c r="G64" s="28">
        <v>6.9999999999999999E-4</v>
      </c>
      <c r="H64" s="29"/>
    </row>
    <row r="65" spans="2:16" ht="15.75" customHeight="1" x14ac:dyDescent="0.25">
      <c r="B65" s="25" t="s">
        <v>318</v>
      </c>
      <c r="C65" s="25" t="s">
        <v>319</v>
      </c>
      <c r="D65" s="25" t="s">
        <v>231</v>
      </c>
      <c r="E65" s="26">
        <v>2500</v>
      </c>
      <c r="F65" s="27">
        <v>12.69</v>
      </c>
      <c r="G65" s="28">
        <v>5.9999999999999995E-4</v>
      </c>
      <c r="H65" s="29"/>
    </row>
    <row r="66" spans="2:16" ht="15.75" customHeight="1" x14ac:dyDescent="0.25">
      <c r="B66" s="25" t="s">
        <v>320</v>
      </c>
      <c r="C66" s="25" t="s">
        <v>321</v>
      </c>
      <c r="D66" s="25" t="s">
        <v>244</v>
      </c>
      <c r="E66" s="26">
        <v>477</v>
      </c>
      <c r="F66" s="27">
        <v>11.5</v>
      </c>
      <c r="G66" s="28">
        <v>5.0000000000000001E-4</v>
      </c>
      <c r="H66" s="29"/>
    </row>
    <row r="67" spans="2:16" ht="15.75" customHeight="1" x14ac:dyDescent="0.25">
      <c r="B67" s="24" t="s">
        <v>128</v>
      </c>
      <c r="C67" s="24"/>
      <c r="D67" s="24"/>
      <c r="E67" s="30"/>
      <c r="F67" s="31">
        <v>14100.56</v>
      </c>
      <c r="G67" s="32">
        <v>0.66259999999999997</v>
      </c>
      <c r="H67" s="33"/>
    </row>
    <row r="68" spans="2:16" ht="15.75" customHeight="1" x14ac:dyDescent="0.25">
      <c r="B68" s="24" t="s">
        <v>176</v>
      </c>
      <c r="C68" s="25"/>
      <c r="D68" s="25"/>
      <c r="E68" s="26"/>
      <c r="F68" s="27"/>
      <c r="G68" s="28"/>
      <c r="H68" s="29"/>
      <c r="L68" s="3"/>
    </row>
    <row r="69" spans="2:16" ht="15.75" customHeight="1" x14ac:dyDescent="0.25">
      <c r="B69" s="24" t="s">
        <v>128</v>
      </c>
      <c r="C69" s="25"/>
      <c r="D69" s="25"/>
      <c r="E69" s="26"/>
      <c r="F69" s="34" t="s">
        <v>130</v>
      </c>
      <c r="G69" s="35" t="s">
        <v>130</v>
      </c>
      <c r="H69" s="29"/>
    </row>
    <row r="70" spans="2:16" ht="15.75" customHeight="1" x14ac:dyDescent="0.25">
      <c r="B70" s="25"/>
      <c r="C70" s="25"/>
      <c r="D70" s="25"/>
      <c r="E70" s="26"/>
      <c r="F70" s="27"/>
      <c r="G70" s="28"/>
      <c r="H70" s="29"/>
      <c r="L70" s="3"/>
    </row>
    <row r="71" spans="2:16" ht="15.75" customHeight="1" x14ac:dyDescent="0.25">
      <c r="B71" s="36" t="s">
        <v>132</v>
      </c>
      <c r="C71" s="36"/>
      <c r="D71" s="36"/>
      <c r="E71" s="37"/>
      <c r="F71" s="31">
        <v>14100.56</v>
      </c>
      <c r="G71" s="32">
        <v>0.66259999999999997</v>
      </c>
      <c r="H71" s="33"/>
      <c r="L71" s="3"/>
    </row>
    <row r="72" spans="2:16" ht="15.75" customHeight="1" x14ac:dyDescent="0.25">
      <c r="B72" s="25"/>
      <c r="C72" s="25"/>
      <c r="D72" s="25"/>
      <c r="E72" s="26"/>
      <c r="F72" s="27"/>
      <c r="G72" s="28"/>
      <c r="H72" s="29"/>
      <c r="L72" s="3"/>
    </row>
    <row r="73" spans="2:16" ht="15.75" customHeight="1" x14ac:dyDescent="0.25">
      <c r="B73" s="24" t="s">
        <v>148</v>
      </c>
      <c r="C73" s="25"/>
      <c r="D73" s="25"/>
      <c r="E73" s="26"/>
      <c r="F73" s="27"/>
      <c r="G73" s="28"/>
      <c r="H73" s="29"/>
      <c r="L73" s="3"/>
    </row>
    <row r="74" spans="2:16" ht="15.75" customHeight="1" x14ac:dyDescent="0.25">
      <c r="B74" s="25"/>
      <c r="C74" s="25"/>
      <c r="D74" s="25"/>
      <c r="E74" s="26"/>
      <c r="F74" s="27"/>
      <c r="G74" s="28"/>
      <c r="H74" s="29"/>
      <c r="L74" s="3"/>
    </row>
    <row r="75" spans="2:16" ht="15.75" customHeight="1" x14ac:dyDescent="0.25">
      <c r="B75" s="24" t="s">
        <v>149</v>
      </c>
      <c r="C75" s="25"/>
      <c r="D75" s="25"/>
      <c r="E75" s="26"/>
      <c r="F75" s="27"/>
      <c r="G75" s="28"/>
      <c r="H75" s="29"/>
      <c r="L75" s="5"/>
      <c r="M75" s="5"/>
      <c r="N75" s="6"/>
      <c r="O75" s="6"/>
      <c r="P75" s="5"/>
    </row>
    <row r="76" spans="2:16" ht="15.75" customHeight="1" x14ac:dyDescent="0.25">
      <c r="B76" s="25" t="s">
        <v>187</v>
      </c>
      <c r="C76" s="25" t="s">
        <v>322</v>
      </c>
      <c r="D76" s="25" t="s">
        <v>150</v>
      </c>
      <c r="E76" s="26">
        <v>100</v>
      </c>
      <c r="F76" s="27">
        <v>494.66</v>
      </c>
      <c r="G76" s="28">
        <v>2.3199999999999998E-2</v>
      </c>
      <c r="H76" s="29">
        <v>7.1654999999999996E-2</v>
      </c>
    </row>
    <row r="77" spans="2:16" ht="15.75" customHeight="1" x14ac:dyDescent="0.25">
      <c r="B77" s="24" t="s">
        <v>128</v>
      </c>
      <c r="C77" s="24"/>
      <c r="D77" s="24"/>
      <c r="E77" s="30"/>
      <c r="F77" s="31">
        <v>494.66</v>
      </c>
      <c r="G77" s="32">
        <v>2.3199999999999998E-2</v>
      </c>
      <c r="H77" s="33"/>
    </row>
    <row r="78" spans="2:16" ht="15.75" customHeight="1" x14ac:dyDescent="0.25">
      <c r="B78" s="25"/>
      <c r="C78" s="25"/>
      <c r="D78" s="25"/>
      <c r="E78" s="26"/>
      <c r="F78" s="27"/>
      <c r="G78" s="28"/>
      <c r="H78" s="29"/>
      <c r="L78" s="7"/>
      <c r="M78" s="7"/>
      <c r="N78" s="7"/>
      <c r="O78" s="7"/>
      <c r="P78" s="7"/>
    </row>
    <row r="79" spans="2:16" ht="15.75" customHeight="1" x14ac:dyDescent="0.25">
      <c r="B79" s="36" t="s">
        <v>132</v>
      </c>
      <c r="C79" s="36"/>
      <c r="D79" s="36"/>
      <c r="E79" s="37"/>
      <c r="F79" s="31">
        <v>494.66</v>
      </c>
      <c r="G79" s="32">
        <v>2.3199999999999998E-2</v>
      </c>
      <c r="H79" s="33"/>
      <c r="L79" s="7"/>
      <c r="M79" s="7"/>
      <c r="N79" s="7"/>
      <c r="O79" s="7"/>
      <c r="P79" s="7"/>
    </row>
    <row r="80" spans="2:16" ht="15.75" customHeight="1" x14ac:dyDescent="0.25">
      <c r="B80" s="25"/>
      <c r="C80" s="25"/>
      <c r="D80" s="25"/>
      <c r="E80" s="26"/>
      <c r="F80" s="27"/>
      <c r="G80" s="28"/>
      <c r="H80" s="29"/>
      <c r="L80" s="7"/>
      <c r="M80" s="7"/>
      <c r="N80" s="7"/>
      <c r="O80" s="7"/>
      <c r="P80" s="7"/>
    </row>
    <row r="81" spans="2:16" ht="15.75" customHeight="1" x14ac:dyDescent="0.25">
      <c r="B81" s="25"/>
      <c r="C81" s="25"/>
      <c r="D81" s="25"/>
      <c r="E81" s="26"/>
      <c r="F81" s="27"/>
      <c r="G81" s="28"/>
      <c r="H81" s="29"/>
      <c r="L81" s="7"/>
      <c r="M81" s="7"/>
      <c r="N81" s="7"/>
      <c r="O81" s="7"/>
      <c r="P81" s="7"/>
    </row>
    <row r="82" spans="2:16" ht="15.75" customHeight="1" x14ac:dyDescent="0.25">
      <c r="B82" s="24" t="s">
        <v>133</v>
      </c>
      <c r="C82" s="25"/>
      <c r="D82" s="25"/>
      <c r="E82" s="26"/>
      <c r="F82" s="27"/>
      <c r="G82" s="28"/>
      <c r="H82" s="29"/>
      <c r="L82" s="7"/>
      <c r="M82" s="7"/>
      <c r="N82" s="7"/>
      <c r="O82" s="7"/>
      <c r="P82" s="7"/>
    </row>
    <row r="83" spans="2:16" ht="15.75" customHeight="1" x14ac:dyDescent="0.25">
      <c r="B83" s="24" t="s">
        <v>134</v>
      </c>
      <c r="C83" s="25"/>
      <c r="D83" s="25"/>
      <c r="E83" s="26"/>
      <c r="F83" s="27"/>
      <c r="G83" s="28"/>
      <c r="H83" s="29"/>
      <c r="L83" s="7"/>
      <c r="M83" s="7"/>
      <c r="N83" s="7"/>
      <c r="O83" s="7"/>
      <c r="P83" s="7"/>
    </row>
    <row r="84" spans="2:16" ht="15.75" customHeight="1" x14ac:dyDescent="0.25">
      <c r="B84" s="25" t="s">
        <v>323</v>
      </c>
      <c r="C84" s="25" t="s">
        <v>324</v>
      </c>
      <c r="D84" s="25"/>
      <c r="E84" s="26">
        <v>107873.92</v>
      </c>
      <c r="F84" s="27">
        <v>4760.25</v>
      </c>
      <c r="G84" s="28">
        <v>0.22370000000000001</v>
      </c>
      <c r="H84" s="29"/>
      <c r="L84" s="7"/>
      <c r="M84" s="7"/>
      <c r="N84" s="7"/>
      <c r="O84" s="7"/>
      <c r="P84" s="7"/>
    </row>
    <row r="85" spans="2:16" ht="15.75" customHeight="1" x14ac:dyDescent="0.25">
      <c r="B85" s="25"/>
      <c r="C85" s="25"/>
      <c r="D85" s="25"/>
      <c r="E85" s="26"/>
      <c r="F85" s="27"/>
      <c r="G85" s="28"/>
      <c r="H85" s="29"/>
    </row>
    <row r="86" spans="2:16" ht="15.75" customHeight="1" x14ac:dyDescent="0.25">
      <c r="B86" s="36" t="s">
        <v>132</v>
      </c>
      <c r="C86" s="36"/>
      <c r="D86" s="36"/>
      <c r="E86" s="37"/>
      <c r="F86" s="31">
        <v>4760.25</v>
      </c>
      <c r="G86" s="32">
        <v>0.22370000000000001</v>
      </c>
      <c r="H86" s="33"/>
      <c r="L86" s="3"/>
    </row>
    <row r="87" spans="2:16" ht="15.75" customHeight="1" x14ac:dyDescent="0.25">
      <c r="B87" s="25"/>
      <c r="C87" s="25"/>
      <c r="D87" s="25"/>
      <c r="E87" s="26"/>
      <c r="F87" s="27"/>
      <c r="G87" s="28"/>
      <c r="H87" s="29"/>
    </row>
    <row r="88" spans="2:16" ht="15.75" customHeight="1" x14ac:dyDescent="0.25">
      <c r="B88" s="24" t="s">
        <v>135</v>
      </c>
      <c r="C88" s="25"/>
      <c r="D88" s="25"/>
      <c r="E88" s="26"/>
      <c r="F88" s="27"/>
      <c r="G88" s="28"/>
      <c r="H88" s="29"/>
    </row>
    <row r="89" spans="2:16" ht="15.75" customHeight="1" x14ac:dyDescent="0.25">
      <c r="B89" s="25" t="s">
        <v>136</v>
      </c>
      <c r="C89" s="25"/>
      <c r="D89" s="25"/>
      <c r="E89" s="26"/>
      <c r="F89" s="27">
        <v>5695.79</v>
      </c>
      <c r="G89" s="28">
        <v>0.26769999999999999</v>
      </c>
      <c r="H89" s="29"/>
    </row>
    <row r="90" spans="2:16" ht="15.75" customHeight="1" x14ac:dyDescent="0.25">
      <c r="B90" s="24" t="s">
        <v>128</v>
      </c>
      <c r="C90" s="24"/>
      <c r="D90" s="24"/>
      <c r="E90" s="30"/>
      <c r="F90" s="31">
        <v>5695.79</v>
      </c>
      <c r="G90" s="32">
        <v>0.26769999999999999</v>
      </c>
      <c r="H90" s="33"/>
    </row>
    <row r="91" spans="2:16" ht="15.75" customHeight="1" x14ac:dyDescent="0.25">
      <c r="B91" s="25"/>
      <c r="C91" s="25"/>
      <c r="D91" s="25"/>
      <c r="E91" s="26"/>
      <c r="F91" s="27"/>
      <c r="G91" s="28"/>
      <c r="H91" s="29"/>
    </row>
    <row r="92" spans="2:16" ht="15.75" customHeight="1" x14ac:dyDescent="0.25">
      <c r="B92" s="36" t="s">
        <v>132</v>
      </c>
      <c r="C92" s="36"/>
      <c r="D92" s="36"/>
      <c r="E92" s="37"/>
      <c r="F92" s="31">
        <v>5695.79</v>
      </c>
      <c r="G92" s="32">
        <v>0.26769999999999999</v>
      </c>
      <c r="H92" s="33"/>
    </row>
    <row r="93" spans="2:16" ht="15.75" customHeight="1" x14ac:dyDescent="0.25">
      <c r="B93" s="25" t="s">
        <v>137</v>
      </c>
      <c r="C93" s="25"/>
      <c r="D93" s="25"/>
      <c r="E93" s="26"/>
      <c r="F93" s="38">
        <v>-3772.59</v>
      </c>
      <c r="G93" s="39">
        <v>-0.17720000000000002</v>
      </c>
      <c r="H93" s="29"/>
    </row>
    <row r="94" spans="2:16" ht="15.75" customHeight="1" x14ac:dyDescent="0.25">
      <c r="B94" s="40" t="s">
        <v>138</v>
      </c>
      <c r="C94" s="40"/>
      <c r="D94" s="40"/>
      <c r="E94" s="41"/>
      <c r="F94" s="42">
        <v>21278.67</v>
      </c>
      <c r="G94" s="43">
        <v>1</v>
      </c>
      <c r="H94" s="44"/>
    </row>
    <row r="95" spans="2:16" ht="15.75" customHeight="1" x14ac:dyDescent="0.25">
      <c r="B95" s="2"/>
    </row>
    <row r="96" spans="2:16" ht="15.75" customHeight="1" x14ac:dyDescent="0.25">
      <c r="B96" s="12" t="s">
        <v>151</v>
      </c>
    </row>
    <row r="97" spans="2:5" ht="15.75" customHeight="1" x14ac:dyDescent="0.25">
      <c r="B97" s="12" t="s">
        <v>139</v>
      </c>
    </row>
    <row r="98" spans="2:5" ht="15.75" customHeight="1" x14ac:dyDescent="0.25">
      <c r="B98" s="53"/>
    </row>
    <row r="99" spans="2:5" ht="15.75" customHeight="1" x14ac:dyDescent="0.25">
      <c r="B99" s="9" t="s">
        <v>328</v>
      </c>
    </row>
    <row r="100" spans="2:5" ht="15.75" customHeight="1" x14ac:dyDescent="0.25">
      <c r="B100" s="9" t="s">
        <v>329</v>
      </c>
    </row>
    <row r="101" spans="2:5" ht="15.75" customHeight="1" x14ac:dyDescent="0.25">
      <c r="B101" s="13" t="s">
        <v>325</v>
      </c>
      <c r="C101" s="50" t="s">
        <v>2</v>
      </c>
      <c r="D101" s="51" t="s">
        <v>3</v>
      </c>
      <c r="E101" s="52" t="s">
        <v>326</v>
      </c>
    </row>
    <row r="102" spans="2:5" ht="15.75" customHeight="1" x14ac:dyDescent="0.25">
      <c r="B102" s="46" t="s">
        <v>308</v>
      </c>
      <c r="C102" s="47">
        <v>-900</v>
      </c>
      <c r="D102" s="48">
        <v>-22.03</v>
      </c>
      <c r="E102" s="49">
        <v>-1E-3</v>
      </c>
    </row>
    <row r="103" spans="2:5" ht="15.75" customHeight="1" x14ac:dyDescent="0.25">
      <c r="B103" s="46" t="s">
        <v>284</v>
      </c>
      <c r="C103" s="47">
        <v>-5625</v>
      </c>
      <c r="D103" s="48">
        <v>-81.39</v>
      </c>
      <c r="E103" s="49">
        <v>-3.8E-3</v>
      </c>
    </row>
    <row r="104" spans="2:5" ht="15.75" customHeight="1" x14ac:dyDescent="0.25">
      <c r="B104" s="46" t="s">
        <v>205</v>
      </c>
      <c r="C104" s="47">
        <v>-267500</v>
      </c>
      <c r="D104" s="48">
        <v>-506.91</v>
      </c>
      <c r="E104" s="49">
        <v>-2.3800000000000002E-2</v>
      </c>
    </row>
    <row r="105" spans="2:5" ht="15.75" customHeight="1" x14ac:dyDescent="0.25">
      <c r="B105" s="46" t="s">
        <v>190</v>
      </c>
      <c r="C105" s="47">
        <v>-106650</v>
      </c>
      <c r="D105" s="48">
        <v>-668.43</v>
      </c>
      <c r="E105" s="49">
        <v>-3.1399999999999997E-2</v>
      </c>
    </row>
    <row r="106" spans="2:5" ht="15.75" customHeight="1" x14ac:dyDescent="0.25">
      <c r="B106" s="46" t="s">
        <v>266</v>
      </c>
      <c r="C106" s="47">
        <v>-47600</v>
      </c>
      <c r="D106" s="48">
        <v>-169.88</v>
      </c>
      <c r="E106" s="49">
        <v>-8.0000000000000002E-3</v>
      </c>
    </row>
    <row r="107" spans="2:5" ht="15.75" customHeight="1" x14ac:dyDescent="0.25">
      <c r="B107" s="46" t="s">
        <v>275</v>
      </c>
      <c r="C107" s="47">
        <v>-6050</v>
      </c>
      <c r="D107" s="48">
        <v>-141.13</v>
      </c>
      <c r="E107" s="49">
        <v>-6.6E-3</v>
      </c>
    </row>
    <row r="108" spans="2:5" ht="15.75" customHeight="1" x14ac:dyDescent="0.25">
      <c r="B108" s="46" t="s">
        <v>195</v>
      </c>
      <c r="C108" s="47">
        <v>-320000</v>
      </c>
      <c r="D108" s="48">
        <v>-528.96</v>
      </c>
      <c r="E108" s="49">
        <v>-2.4899999999999999E-2</v>
      </c>
    </row>
    <row r="109" spans="2:5" ht="15.75" customHeight="1" x14ac:dyDescent="0.25">
      <c r="B109" s="46" t="s">
        <v>247</v>
      </c>
      <c r="C109" s="47">
        <v>-18125</v>
      </c>
      <c r="D109" s="48">
        <v>-212.57</v>
      </c>
      <c r="E109" s="49">
        <v>-0.01</v>
      </c>
    </row>
    <row r="110" spans="2:5" ht="15.75" customHeight="1" x14ac:dyDescent="0.25">
      <c r="B110" s="46" t="s">
        <v>235</v>
      </c>
      <c r="C110" s="47">
        <v>-111150</v>
      </c>
      <c r="D110" s="48">
        <v>-315</v>
      </c>
      <c r="E110" s="49">
        <v>-1.4800000000000001E-2</v>
      </c>
    </row>
    <row r="111" spans="2:5" ht="15.75" customHeight="1" x14ac:dyDescent="0.25">
      <c r="B111" s="46" t="s">
        <v>310</v>
      </c>
      <c r="C111" s="47">
        <v>-4200</v>
      </c>
      <c r="D111" s="48">
        <v>-19.170000000000002</v>
      </c>
      <c r="E111" s="49">
        <v>-8.9999999999999998E-4</v>
      </c>
    </row>
    <row r="112" spans="2:5" ht="15.75" customHeight="1" x14ac:dyDescent="0.25">
      <c r="B112" s="46" t="s">
        <v>224</v>
      </c>
      <c r="C112" s="47">
        <v>-106000</v>
      </c>
      <c r="D112" s="48">
        <v>-412.45</v>
      </c>
      <c r="E112" s="49">
        <v>-1.9400000000000001E-2</v>
      </c>
    </row>
    <row r="113" spans="2:5" ht="15.75" customHeight="1" x14ac:dyDescent="0.25">
      <c r="B113" s="46" t="s">
        <v>218</v>
      </c>
      <c r="C113" s="47">
        <v>-167500</v>
      </c>
      <c r="D113" s="48">
        <v>-438.43</v>
      </c>
      <c r="E113" s="49">
        <v>-2.06E-2</v>
      </c>
    </row>
    <row r="114" spans="2:5" ht="15.75" customHeight="1" x14ac:dyDescent="0.25">
      <c r="B114" s="46" t="s">
        <v>160</v>
      </c>
      <c r="C114" s="47">
        <v>-44000</v>
      </c>
      <c r="D114" s="48">
        <v>-665.81</v>
      </c>
      <c r="E114" s="49">
        <v>-3.1300000000000001E-2</v>
      </c>
    </row>
    <row r="115" spans="2:5" ht="15.75" customHeight="1" x14ac:dyDescent="0.25">
      <c r="B115" s="46" t="s">
        <v>318</v>
      </c>
      <c r="C115" s="47">
        <v>-2500</v>
      </c>
      <c r="D115" s="48">
        <v>-12.78</v>
      </c>
      <c r="E115" s="49">
        <v>-5.9999999999999995E-4</v>
      </c>
    </row>
    <row r="116" spans="2:5" ht="15.75" customHeight="1" x14ac:dyDescent="0.25">
      <c r="B116" s="46" t="s">
        <v>254</v>
      </c>
      <c r="C116" s="47">
        <v>-17600</v>
      </c>
      <c r="D116" s="48">
        <v>-204.24</v>
      </c>
      <c r="E116" s="49">
        <v>-9.5999999999999992E-3</v>
      </c>
    </row>
    <row r="117" spans="2:5" ht="15.75" customHeight="1" x14ac:dyDescent="0.25">
      <c r="B117" s="46" t="s">
        <v>271</v>
      </c>
      <c r="C117" s="47">
        <v>-10000</v>
      </c>
      <c r="D117" s="48">
        <v>-162.54</v>
      </c>
      <c r="E117" s="49">
        <v>-7.6E-3</v>
      </c>
    </row>
    <row r="118" spans="2:5" ht="15.75" customHeight="1" x14ac:dyDescent="0.25">
      <c r="B118" s="46" t="s">
        <v>212</v>
      </c>
      <c r="C118" s="47">
        <v>-162500</v>
      </c>
      <c r="D118" s="48">
        <v>-487.58</v>
      </c>
      <c r="E118" s="49">
        <v>-2.29E-2</v>
      </c>
    </row>
    <row r="119" spans="2:5" ht="15.75" customHeight="1" x14ac:dyDescent="0.25">
      <c r="B119" s="46" t="s">
        <v>313</v>
      </c>
      <c r="C119" s="47">
        <v>-3000</v>
      </c>
      <c r="D119" s="48">
        <v>-17.43</v>
      </c>
      <c r="E119" s="49">
        <v>-8.0000000000000004E-4</v>
      </c>
    </row>
    <row r="120" spans="2:5" ht="15.75" customHeight="1" x14ac:dyDescent="0.25">
      <c r="B120" s="46" t="s">
        <v>251</v>
      </c>
      <c r="C120" s="47">
        <v>-39600</v>
      </c>
      <c r="D120" s="48">
        <v>-206.06</v>
      </c>
      <c r="E120" s="49">
        <v>-9.7000000000000003E-3</v>
      </c>
    </row>
    <row r="121" spans="2:5" ht="15.75" customHeight="1" x14ac:dyDescent="0.25">
      <c r="B121" s="46" t="s">
        <v>207</v>
      </c>
      <c r="C121" s="47">
        <v>-112375</v>
      </c>
      <c r="D121" s="48">
        <v>-498.33</v>
      </c>
      <c r="E121" s="49">
        <v>-2.3400000000000001E-2</v>
      </c>
    </row>
    <row r="122" spans="2:5" ht="15.75" customHeight="1" x14ac:dyDescent="0.25">
      <c r="B122" s="46" t="s">
        <v>297</v>
      </c>
      <c r="C122" s="47">
        <v>-8000</v>
      </c>
      <c r="D122" s="48">
        <v>-40.78</v>
      </c>
      <c r="E122" s="49">
        <v>-1.9E-3</v>
      </c>
    </row>
    <row r="123" spans="2:5" ht="15.75" customHeight="1" x14ac:dyDescent="0.25">
      <c r="B123" s="46" t="s">
        <v>306</v>
      </c>
      <c r="C123" s="47">
        <v>-125</v>
      </c>
      <c r="D123" s="48">
        <v>-30.81</v>
      </c>
      <c r="E123" s="49">
        <v>-1.4E-3</v>
      </c>
    </row>
    <row r="124" spans="2:5" ht="15.75" customHeight="1" x14ac:dyDescent="0.25">
      <c r="B124" s="46" t="s">
        <v>294</v>
      </c>
      <c r="C124" s="47">
        <v>-9000</v>
      </c>
      <c r="D124" s="48">
        <v>-42.83</v>
      </c>
      <c r="E124" s="49">
        <v>-2E-3</v>
      </c>
    </row>
    <row r="125" spans="2:5" ht="15.75" customHeight="1" x14ac:dyDescent="0.25">
      <c r="B125" s="46" t="s">
        <v>277</v>
      </c>
      <c r="C125" s="47">
        <v>-78000</v>
      </c>
      <c r="D125" s="48">
        <v>-132.37</v>
      </c>
      <c r="E125" s="49">
        <v>-6.1999999999999998E-3</v>
      </c>
    </row>
    <row r="126" spans="2:5" ht="15.75" customHeight="1" x14ac:dyDescent="0.25">
      <c r="B126" s="46" t="s">
        <v>264</v>
      </c>
      <c r="C126" s="47">
        <v>-13800</v>
      </c>
      <c r="D126" s="48">
        <v>-175.69</v>
      </c>
      <c r="E126" s="49">
        <v>-8.3000000000000001E-3</v>
      </c>
    </row>
    <row r="127" spans="2:5" ht="15.75" customHeight="1" x14ac:dyDescent="0.25">
      <c r="B127" s="46" t="s">
        <v>227</v>
      </c>
      <c r="C127" s="47">
        <v>-24800</v>
      </c>
      <c r="D127" s="48">
        <v>-405.83</v>
      </c>
      <c r="E127" s="49">
        <v>-1.9099999999999999E-2</v>
      </c>
    </row>
    <row r="128" spans="2:5" ht="15.75" customHeight="1" x14ac:dyDescent="0.25">
      <c r="B128" s="46" t="s">
        <v>232</v>
      </c>
      <c r="C128" s="47">
        <v>-142500</v>
      </c>
      <c r="D128" s="48">
        <v>-335.16</v>
      </c>
      <c r="E128" s="49">
        <v>-1.5800000000000002E-2</v>
      </c>
    </row>
    <row r="129" spans="2:5" ht="15.75" customHeight="1" x14ac:dyDescent="0.25">
      <c r="B129" s="46" t="s">
        <v>320</v>
      </c>
      <c r="C129" s="47">
        <v>-477</v>
      </c>
      <c r="D129" s="48">
        <v>-11.54</v>
      </c>
      <c r="E129" s="49">
        <v>-5.0000000000000001E-4</v>
      </c>
    </row>
    <row r="130" spans="2:5" ht="15.75" customHeight="1" x14ac:dyDescent="0.25">
      <c r="B130" s="46" t="s">
        <v>258</v>
      </c>
      <c r="C130" s="47">
        <v>-25000</v>
      </c>
      <c r="D130" s="48">
        <v>-186.6</v>
      </c>
      <c r="E130" s="49">
        <v>-8.8000000000000005E-3</v>
      </c>
    </row>
    <row r="131" spans="2:5" ht="15.75" customHeight="1" x14ac:dyDescent="0.25">
      <c r="B131" s="46" t="s">
        <v>273</v>
      </c>
      <c r="C131" s="47">
        <v>-16875</v>
      </c>
      <c r="D131" s="48">
        <v>-149.94999999999999</v>
      </c>
      <c r="E131" s="49">
        <v>-7.0000000000000001E-3</v>
      </c>
    </row>
    <row r="132" spans="2:5" ht="15.75" customHeight="1" x14ac:dyDescent="0.25">
      <c r="B132" s="46" t="s">
        <v>239</v>
      </c>
      <c r="C132" s="47">
        <v>-94500</v>
      </c>
      <c r="D132" s="48">
        <v>-242.2</v>
      </c>
      <c r="E132" s="49">
        <v>-1.14E-2</v>
      </c>
    </row>
    <row r="133" spans="2:5" ht="15.75" customHeight="1" x14ac:dyDescent="0.25">
      <c r="B133" s="46" t="s">
        <v>256</v>
      </c>
      <c r="C133" s="47">
        <v>-20700</v>
      </c>
      <c r="D133" s="48">
        <v>-198.19</v>
      </c>
      <c r="E133" s="49">
        <v>-9.2999999999999992E-3</v>
      </c>
    </row>
    <row r="134" spans="2:5" ht="15.75" customHeight="1" x14ac:dyDescent="0.25">
      <c r="B134" s="46" t="s">
        <v>290</v>
      </c>
      <c r="C134" s="47">
        <v>-2500</v>
      </c>
      <c r="D134" s="48">
        <v>-76.55</v>
      </c>
      <c r="E134" s="49">
        <v>-3.5999999999999999E-3</v>
      </c>
    </row>
    <row r="135" spans="2:5" ht="15.75" customHeight="1" x14ac:dyDescent="0.25">
      <c r="B135" s="46" t="s">
        <v>282</v>
      </c>
      <c r="C135" s="47">
        <v>-14000</v>
      </c>
      <c r="D135" s="48">
        <v>-90.86</v>
      </c>
      <c r="E135" s="49">
        <v>-4.3E-3</v>
      </c>
    </row>
    <row r="136" spans="2:5" ht="15.75" customHeight="1" x14ac:dyDescent="0.25">
      <c r="B136" s="46" t="s">
        <v>171</v>
      </c>
      <c r="C136" s="47">
        <v>-1500</v>
      </c>
      <c r="D136" s="48">
        <v>-33.69</v>
      </c>
      <c r="E136" s="49">
        <v>-1.6000000000000001E-3</v>
      </c>
    </row>
    <row r="137" spans="2:5" ht="15.75" customHeight="1" x14ac:dyDescent="0.25">
      <c r="B137" s="46" t="s">
        <v>261</v>
      </c>
      <c r="C137" s="47">
        <v>-5100</v>
      </c>
      <c r="D137" s="48">
        <v>-184.5</v>
      </c>
      <c r="E137" s="49">
        <v>-8.6999999999999994E-3</v>
      </c>
    </row>
    <row r="138" spans="2:5" ht="15.75" customHeight="1" x14ac:dyDescent="0.25">
      <c r="B138" s="46" t="s">
        <v>292</v>
      </c>
      <c r="C138" s="47">
        <v>-12800</v>
      </c>
      <c r="D138" s="48">
        <v>-55.99</v>
      </c>
      <c r="E138" s="49">
        <v>-2.5999999999999999E-3</v>
      </c>
    </row>
    <row r="139" spans="2:5" ht="15.75" customHeight="1" x14ac:dyDescent="0.25">
      <c r="B139" s="46" t="s">
        <v>165</v>
      </c>
      <c r="C139" s="47">
        <v>-6300</v>
      </c>
      <c r="D139" s="48">
        <v>-136.72</v>
      </c>
      <c r="E139" s="49">
        <v>-6.4000000000000003E-3</v>
      </c>
    </row>
    <row r="140" spans="2:5" ht="15.75" customHeight="1" x14ac:dyDescent="0.25">
      <c r="B140" s="46" t="s">
        <v>287</v>
      </c>
      <c r="C140" s="47">
        <v>-90000</v>
      </c>
      <c r="D140" s="48">
        <v>-77.22</v>
      </c>
      <c r="E140" s="49">
        <v>-3.5999999999999999E-3</v>
      </c>
    </row>
    <row r="141" spans="2:5" ht="15.75" customHeight="1" x14ac:dyDescent="0.25">
      <c r="B141" s="46" t="s">
        <v>242</v>
      </c>
      <c r="C141" s="47">
        <v>-104400</v>
      </c>
      <c r="D141" s="48">
        <v>-235.06</v>
      </c>
      <c r="E141" s="49">
        <v>-1.0999999999999999E-2</v>
      </c>
    </row>
    <row r="142" spans="2:5" ht="15.75" customHeight="1" x14ac:dyDescent="0.25">
      <c r="B142" s="46" t="s">
        <v>269</v>
      </c>
      <c r="C142" s="47">
        <v>-90000</v>
      </c>
      <c r="D142" s="48">
        <v>-167.9</v>
      </c>
      <c r="E142" s="49">
        <v>-7.9000000000000008E-3</v>
      </c>
    </row>
    <row r="143" spans="2:5" ht="15.75" customHeight="1" x14ac:dyDescent="0.25">
      <c r="B143" s="46" t="s">
        <v>316</v>
      </c>
      <c r="C143" s="47">
        <v>-1500</v>
      </c>
      <c r="D143" s="48">
        <v>-13.96</v>
      </c>
      <c r="E143" s="49">
        <v>-6.9999999999999999E-4</v>
      </c>
    </row>
    <row r="144" spans="2:5" ht="15.75" customHeight="1" x14ac:dyDescent="0.25">
      <c r="B144" s="46" t="s">
        <v>192</v>
      </c>
      <c r="C144" s="47">
        <v>-140300</v>
      </c>
      <c r="D144" s="48">
        <v>-561.48</v>
      </c>
      <c r="E144" s="49">
        <v>-2.64E-2</v>
      </c>
    </row>
    <row r="145" spans="2:5" ht="15.75" customHeight="1" x14ac:dyDescent="0.25">
      <c r="B145" s="46" t="s">
        <v>154</v>
      </c>
      <c r="C145" s="47">
        <v>-7700</v>
      </c>
      <c r="D145" s="48">
        <v>-89.15</v>
      </c>
      <c r="E145" s="49">
        <v>-4.1999999999999997E-3</v>
      </c>
    </row>
    <row r="146" spans="2:5" ht="15.75" customHeight="1" x14ac:dyDescent="0.25">
      <c r="B146" s="46" t="s">
        <v>237</v>
      </c>
      <c r="C146" s="47">
        <v>-135000</v>
      </c>
      <c r="D146" s="48">
        <v>-314.20999999999998</v>
      </c>
      <c r="E146" s="49">
        <v>-1.4800000000000001E-2</v>
      </c>
    </row>
    <row r="147" spans="2:5" ht="15.75" customHeight="1" x14ac:dyDescent="0.25">
      <c r="B147" s="46" t="s">
        <v>215</v>
      </c>
      <c r="C147" s="47">
        <v>-46000</v>
      </c>
      <c r="D147" s="48">
        <v>-476.42</v>
      </c>
      <c r="E147" s="49">
        <v>-2.24E-2</v>
      </c>
    </row>
    <row r="148" spans="2:5" ht="15.75" customHeight="1" x14ac:dyDescent="0.25">
      <c r="B148" s="46" t="s">
        <v>229</v>
      </c>
      <c r="C148" s="47">
        <v>-28500</v>
      </c>
      <c r="D148" s="48">
        <v>-349.25</v>
      </c>
      <c r="E148" s="49">
        <v>-1.6400000000000001E-2</v>
      </c>
    </row>
    <row r="149" spans="2:5" ht="15.75" customHeight="1" x14ac:dyDescent="0.25">
      <c r="B149" s="46" t="s">
        <v>245</v>
      </c>
      <c r="C149" s="47">
        <v>-285000</v>
      </c>
      <c r="D149" s="48">
        <v>-235.98</v>
      </c>
      <c r="E149" s="49">
        <v>-1.11E-2</v>
      </c>
    </row>
    <row r="150" spans="2:5" ht="15.75" customHeight="1" x14ac:dyDescent="0.25">
      <c r="B150" s="46" t="s">
        <v>203</v>
      </c>
      <c r="C150" s="47">
        <v>-360000</v>
      </c>
      <c r="D150" s="48">
        <v>-510.84</v>
      </c>
      <c r="E150" s="49">
        <v>-2.4E-2</v>
      </c>
    </row>
    <row r="151" spans="2:5" ht="15.75" customHeight="1" x14ac:dyDescent="0.25">
      <c r="B151" s="46" t="s">
        <v>279</v>
      </c>
      <c r="C151" s="47">
        <v>-20250</v>
      </c>
      <c r="D151" s="48">
        <v>-91.41</v>
      </c>
      <c r="E151" s="49">
        <v>-4.3E-3</v>
      </c>
    </row>
    <row r="152" spans="2:5" ht="15.75" customHeight="1" x14ac:dyDescent="0.25">
      <c r="B152" s="46" t="s">
        <v>198</v>
      </c>
      <c r="C152" s="47">
        <v>-313500</v>
      </c>
      <c r="D152" s="48">
        <v>-521.04</v>
      </c>
      <c r="E152" s="49">
        <v>-2.4500000000000001E-2</v>
      </c>
    </row>
    <row r="153" spans="2:5" ht="15.75" customHeight="1" x14ac:dyDescent="0.25">
      <c r="B153" s="46" t="s">
        <v>157</v>
      </c>
      <c r="C153" s="47">
        <v>-4000</v>
      </c>
      <c r="D153" s="48">
        <v>-57.24</v>
      </c>
      <c r="E153" s="49">
        <v>-2.7000000000000001E-3</v>
      </c>
    </row>
    <row r="154" spans="2:5" ht="15.75" customHeight="1" x14ac:dyDescent="0.25">
      <c r="B154" s="46" t="s">
        <v>210</v>
      </c>
      <c r="C154" s="47">
        <v>-7125</v>
      </c>
      <c r="D154" s="48">
        <v>-496.58</v>
      </c>
      <c r="E154" s="49">
        <v>-2.3300000000000001E-2</v>
      </c>
    </row>
    <row r="155" spans="2:5" ht="15.75" customHeight="1" x14ac:dyDescent="0.25">
      <c r="B155" s="46" t="s">
        <v>299</v>
      </c>
      <c r="C155" s="47">
        <v>-6000</v>
      </c>
      <c r="D155" s="48">
        <v>-40.71</v>
      </c>
      <c r="E155" s="49">
        <v>-1.9E-3</v>
      </c>
    </row>
    <row r="156" spans="2:5" ht="15.75" customHeight="1" x14ac:dyDescent="0.25">
      <c r="B156" s="46" t="s">
        <v>304</v>
      </c>
      <c r="C156" s="47">
        <v>-28400</v>
      </c>
      <c r="D156" s="48">
        <v>-37.46</v>
      </c>
      <c r="E156" s="49">
        <v>-1.8E-3</v>
      </c>
    </row>
    <row r="157" spans="2:5" ht="15.75" customHeight="1" x14ac:dyDescent="0.25">
      <c r="B157" s="46" t="s">
        <v>301</v>
      </c>
      <c r="C157" s="47">
        <v>-1425</v>
      </c>
      <c r="D157" s="48">
        <v>-37.99</v>
      </c>
      <c r="E157" s="49">
        <v>-1.8E-3</v>
      </c>
    </row>
    <row r="158" spans="2:5" ht="15.75" customHeight="1" x14ac:dyDescent="0.25">
      <c r="B158" s="46" t="s">
        <v>220</v>
      </c>
      <c r="C158" s="47">
        <v>-28000</v>
      </c>
      <c r="D158" s="48">
        <v>-427.11</v>
      </c>
      <c r="E158" s="49">
        <v>-2.01E-2</v>
      </c>
    </row>
    <row r="159" spans="2:5" ht="15.75" customHeight="1" x14ac:dyDescent="0.25">
      <c r="B159" s="46" t="s">
        <v>222</v>
      </c>
      <c r="C159" s="47">
        <v>-16200</v>
      </c>
      <c r="D159" s="48">
        <v>-415.51</v>
      </c>
      <c r="E159" s="49">
        <v>-1.95E-2</v>
      </c>
    </row>
    <row r="160" spans="2:5" ht="15.75" customHeight="1" x14ac:dyDescent="0.25">
      <c r="B160" s="46" t="s">
        <v>249</v>
      </c>
      <c r="C160" s="47">
        <v>-22500</v>
      </c>
      <c r="D160" s="48">
        <v>-210.04</v>
      </c>
      <c r="E160" s="49">
        <v>-9.9000000000000008E-3</v>
      </c>
    </row>
    <row r="161" spans="2:8" ht="15.75" customHeight="1" x14ac:dyDescent="0.25">
      <c r="B161" s="46" t="s">
        <v>200</v>
      </c>
      <c r="C161" s="47">
        <v>-265000</v>
      </c>
      <c r="D161" s="48">
        <v>-514.5</v>
      </c>
      <c r="E161" s="49">
        <v>-2.4199999999999999E-2</v>
      </c>
    </row>
    <row r="162" spans="2:8" ht="15.75" customHeight="1" x14ac:dyDescent="0.25">
      <c r="B162" s="13" t="s">
        <v>327</v>
      </c>
      <c r="C162" s="50">
        <v>-4029652</v>
      </c>
      <c r="D162" s="51">
        <v>-14182.44</v>
      </c>
      <c r="E162" s="52">
        <v>-0.66649999999999998</v>
      </c>
    </row>
    <row r="163" spans="2:8" ht="15.75" customHeight="1" thickBot="1" x14ac:dyDescent="0.3"/>
    <row r="164" spans="2:8" ht="27" customHeight="1" thickBot="1" x14ac:dyDescent="0.3">
      <c r="B164" s="57" t="s">
        <v>980</v>
      </c>
      <c r="C164" s="58" t="s">
        <v>981</v>
      </c>
      <c r="D164" s="58" t="s">
        <v>982</v>
      </c>
      <c r="E164" s="63" t="s">
        <v>983</v>
      </c>
      <c r="G164" s="2"/>
      <c r="H164" s="2"/>
    </row>
    <row r="165" spans="2:8" ht="28.5" customHeight="1" x14ac:dyDescent="0.25">
      <c r="B165" s="67" t="s">
        <v>998</v>
      </c>
      <c r="C165" s="75"/>
      <c r="D165" s="77" t="s">
        <v>999</v>
      </c>
      <c r="E165" s="79"/>
      <c r="G165" s="2"/>
      <c r="H165" s="2"/>
    </row>
    <row r="166" spans="2:8" ht="28.5" customHeight="1" x14ac:dyDescent="0.25">
      <c r="B166" s="66" t="s">
        <v>1000</v>
      </c>
      <c r="C166" s="75"/>
      <c r="D166" s="78"/>
      <c r="E166" s="80"/>
      <c r="G166" s="2"/>
      <c r="H166" s="2"/>
    </row>
    <row r="167" spans="2:8" ht="55.5" customHeight="1" x14ac:dyDescent="0.25">
      <c r="B167" s="66" t="s">
        <v>1001</v>
      </c>
      <c r="C167" s="75"/>
      <c r="D167" s="78"/>
      <c r="E167" s="80"/>
      <c r="G167" s="2"/>
      <c r="H167" s="2"/>
    </row>
    <row r="168" spans="2:8" ht="28.5" customHeight="1" thickBot="1" x14ac:dyDescent="0.3">
      <c r="B168" s="68" t="s">
        <v>1002</v>
      </c>
      <c r="C168" s="76"/>
      <c r="D168" s="69" t="s">
        <v>1002</v>
      </c>
      <c r="E168" s="81"/>
      <c r="G168" s="2"/>
      <c r="H168" s="2"/>
    </row>
    <row r="169" spans="2:8" ht="25" customHeight="1" x14ac:dyDescent="0.25">
      <c r="B169" s="59" t="s">
        <v>985</v>
      </c>
      <c r="C169" s="60"/>
      <c r="D169" s="61"/>
      <c r="E169" s="62"/>
      <c r="G169" s="2"/>
      <c r="H169" s="2"/>
    </row>
    <row r="171" spans="2:8" ht="11.5" x14ac:dyDescent="0.25">
      <c r="B171" s="2" t="s">
        <v>986</v>
      </c>
      <c r="C171" s="2"/>
      <c r="D171" s="2"/>
      <c r="G171" s="2"/>
      <c r="H171" s="2"/>
    </row>
    <row r="172" spans="2:8" ht="11.5" x14ac:dyDescent="0.25">
      <c r="B172" s="3" t="s">
        <v>987</v>
      </c>
      <c r="C172" s="2"/>
      <c r="D172" s="2"/>
      <c r="G172" s="2"/>
      <c r="H172" s="2"/>
    </row>
  </sheetData>
  <mergeCells count="3">
    <mergeCell ref="C165:C168"/>
    <mergeCell ref="D165:D167"/>
    <mergeCell ref="E165:E168"/>
  </mergeCells>
  <hyperlinks>
    <hyperlink ref="I1" location="'Sheet1'!A1" display="Index" xr:uid="{3C425984-8E13-4749-AFFC-6150E87F0FE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6D0FB-05FF-4FEC-9A2E-25CFBFDC0F73}">
  <dimension ref="B1:P135"/>
  <sheetViews>
    <sheetView workbookViewId="0"/>
  </sheetViews>
  <sheetFormatPr defaultColWidth="9.1796875" defaultRowHeight="15.75" customHeight="1" x14ac:dyDescent="0.25"/>
  <cols>
    <col min="1" max="1" width="3.6328125" style="2" customWidth="1"/>
    <col min="2" max="2" width="38.90625" style="9" bestFit="1" customWidth="1"/>
    <col min="3" max="3" width="23.7265625" style="9" customWidth="1"/>
    <col min="4" max="4" width="33.453125" style="9" bestFit="1" customWidth="1"/>
    <col min="5" max="5" width="29.54296875" style="2" customWidth="1"/>
    <col min="6" max="6" width="16.453125" style="2" customWidth="1"/>
    <col min="7" max="7" width="15.26953125" style="8" customWidth="1"/>
    <col min="8" max="8" width="5.4531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10</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160</v>
      </c>
      <c r="C7" s="25" t="s">
        <v>161</v>
      </c>
      <c r="D7" s="25" t="s">
        <v>156</v>
      </c>
      <c r="E7" s="26">
        <v>496574</v>
      </c>
      <c r="F7" s="27">
        <v>7548.42</v>
      </c>
      <c r="G7" s="28">
        <v>8.5199999999999998E-2</v>
      </c>
      <c r="H7" s="29"/>
    </row>
    <row r="8" spans="2:9" ht="15.75" customHeight="1" x14ac:dyDescent="0.25">
      <c r="B8" s="25" t="s">
        <v>154</v>
      </c>
      <c r="C8" s="25" t="s">
        <v>155</v>
      </c>
      <c r="D8" s="25" t="s">
        <v>156</v>
      </c>
      <c r="E8" s="26">
        <v>548940</v>
      </c>
      <c r="F8" s="27">
        <v>6315.01</v>
      </c>
      <c r="G8" s="28">
        <v>7.1300000000000002E-2</v>
      </c>
      <c r="H8" s="29"/>
    </row>
    <row r="9" spans="2:9" ht="15.75" customHeight="1" x14ac:dyDescent="0.25">
      <c r="B9" s="25" t="s">
        <v>162</v>
      </c>
      <c r="C9" s="25" t="s">
        <v>163</v>
      </c>
      <c r="D9" s="25" t="s">
        <v>164</v>
      </c>
      <c r="E9" s="26">
        <v>205626</v>
      </c>
      <c r="F9" s="27">
        <v>6033.07</v>
      </c>
      <c r="G9" s="28">
        <v>6.8099999999999994E-2</v>
      </c>
      <c r="H9" s="29"/>
    </row>
    <row r="10" spans="2:9" ht="15.75" customHeight="1" x14ac:dyDescent="0.25">
      <c r="B10" s="25" t="s">
        <v>330</v>
      </c>
      <c r="C10" s="25" t="s">
        <v>331</v>
      </c>
      <c r="D10" s="25" t="s">
        <v>156</v>
      </c>
      <c r="E10" s="26">
        <v>520451</v>
      </c>
      <c r="F10" s="27">
        <v>4300.2299999999996</v>
      </c>
      <c r="G10" s="28">
        <v>4.8500000000000001E-2</v>
      </c>
      <c r="H10" s="29"/>
    </row>
    <row r="11" spans="2:9" ht="15.75" customHeight="1" x14ac:dyDescent="0.25">
      <c r="B11" s="25" t="s">
        <v>292</v>
      </c>
      <c r="C11" s="25" t="s">
        <v>293</v>
      </c>
      <c r="D11" s="25" t="s">
        <v>173</v>
      </c>
      <c r="E11" s="26">
        <v>837182</v>
      </c>
      <c r="F11" s="27">
        <v>3647.18</v>
      </c>
      <c r="G11" s="28">
        <v>4.1200000000000001E-2</v>
      </c>
      <c r="H11" s="29"/>
    </row>
    <row r="12" spans="2:9" ht="15.75" customHeight="1" x14ac:dyDescent="0.25">
      <c r="B12" s="25" t="s">
        <v>165</v>
      </c>
      <c r="C12" s="25" t="s">
        <v>166</v>
      </c>
      <c r="D12" s="25" t="s">
        <v>167</v>
      </c>
      <c r="E12" s="26">
        <v>158322</v>
      </c>
      <c r="F12" s="27">
        <v>3413.98</v>
      </c>
      <c r="G12" s="28">
        <v>3.85E-2</v>
      </c>
      <c r="H12" s="29"/>
    </row>
    <row r="13" spans="2:9" ht="15.75" customHeight="1" x14ac:dyDescent="0.25">
      <c r="B13" s="25" t="s">
        <v>157</v>
      </c>
      <c r="C13" s="25" t="s">
        <v>158</v>
      </c>
      <c r="D13" s="25" t="s">
        <v>159</v>
      </c>
      <c r="E13" s="26">
        <v>223125</v>
      </c>
      <c r="F13" s="27">
        <v>3169.6</v>
      </c>
      <c r="G13" s="28">
        <v>3.5799999999999998E-2</v>
      </c>
      <c r="H13" s="29"/>
    </row>
    <row r="14" spans="2:9" ht="15.75" customHeight="1" x14ac:dyDescent="0.25">
      <c r="B14" s="25" t="s">
        <v>332</v>
      </c>
      <c r="C14" s="25" t="s">
        <v>333</v>
      </c>
      <c r="D14" s="25" t="s">
        <v>159</v>
      </c>
      <c r="E14" s="26">
        <v>81079</v>
      </c>
      <c r="F14" s="27">
        <v>3097.74</v>
      </c>
      <c r="G14" s="28">
        <v>3.5000000000000003E-2</v>
      </c>
      <c r="H14" s="29"/>
    </row>
    <row r="15" spans="2:9" ht="15.75" customHeight="1" x14ac:dyDescent="0.25">
      <c r="B15" s="25" t="s">
        <v>171</v>
      </c>
      <c r="C15" s="25" t="s">
        <v>172</v>
      </c>
      <c r="D15" s="25" t="s">
        <v>173</v>
      </c>
      <c r="E15" s="26">
        <v>107481</v>
      </c>
      <c r="F15" s="27">
        <v>2397.31</v>
      </c>
      <c r="G15" s="28">
        <v>2.7099999999999999E-2</v>
      </c>
      <c r="H15" s="29"/>
    </row>
    <row r="16" spans="2:9" ht="15.75" customHeight="1" x14ac:dyDescent="0.25">
      <c r="B16" s="25" t="s">
        <v>247</v>
      </c>
      <c r="C16" s="25" t="s">
        <v>248</v>
      </c>
      <c r="D16" s="25" t="s">
        <v>156</v>
      </c>
      <c r="E16" s="26">
        <v>175849</v>
      </c>
      <c r="F16" s="27">
        <v>2050.2199999999998</v>
      </c>
      <c r="G16" s="28">
        <v>2.3099999999999999E-2</v>
      </c>
      <c r="H16" s="29"/>
    </row>
    <row r="17" spans="2:8" ht="15.75" customHeight="1" x14ac:dyDescent="0.25">
      <c r="B17" s="25" t="s">
        <v>227</v>
      </c>
      <c r="C17" s="25" t="s">
        <v>228</v>
      </c>
      <c r="D17" s="25" t="s">
        <v>156</v>
      </c>
      <c r="E17" s="26">
        <v>125198</v>
      </c>
      <c r="F17" s="27">
        <v>2033.15</v>
      </c>
      <c r="G17" s="28">
        <v>2.29E-2</v>
      </c>
      <c r="H17" s="29"/>
    </row>
    <row r="18" spans="2:8" ht="15.75" customHeight="1" x14ac:dyDescent="0.25">
      <c r="B18" s="25" t="s">
        <v>210</v>
      </c>
      <c r="C18" s="25" t="s">
        <v>211</v>
      </c>
      <c r="D18" s="25" t="s">
        <v>209</v>
      </c>
      <c r="E18" s="26">
        <v>25327</v>
      </c>
      <c r="F18" s="27">
        <v>1753.53</v>
      </c>
      <c r="G18" s="28">
        <v>1.9800000000000002E-2</v>
      </c>
      <c r="H18" s="29"/>
    </row>
    <row r="19" spans="2:8" ht="15.75" customHeight="1" x14ac:dyDescent="0.25">
      <c r="B19" s="25" t="s">
        <v>334</v>
      </c>
      <c r="C19" s="25" t="s">
        <v>335</v>
      </c>
      <c r="D19" s="25" t="s">
        <v>159</v>
      </c>
      <c r="E19" s="26">
        <v>127206</v>
      </c>
      <c r="F19" s="27">
        <v>1738.4</v>
      </c>
      <c r="G19" s="28">
        <v>1.9599999999999999E-2</v>
      </c>
      <c r="H19" s="29"/>
    </row>
    <row r="20" spans="2:8" ht="15.75" customHeight="1" x14ac:dyDescent="0.25">
      <c r="B20" s="25" t="s">
        <v>336</v>
      </c>
      <c r="C20" s="25" t="s">
        <v>337</v>
      </c>
      <c r="D20" s="25" t="s">
        <v>281</v>
      </c>
      <c r="E20" s="26">
        <v>334560</v>
      </c>
      <c r="F20" s="27">
        <v>1215.1199999999999</v>
      </c>
      <c r="G20" s="28">
        <v>1.37E-2</v>
      </c>
      <c r="H20" s="29"/>
    </row>
    <row r="21" spans="2:8" ht="15.75" customHeight="1" x14ac:dyDescent="0.25">
      <c r="B21" s="25" t="s">
        <v>338</v>
      </c>
      <c r="C21" s="25" t="s">
        <v>339</v>
      </c>
      <c r="D21" s="25" t="s">
        <v>340</v>
      </c>
      <c r="E21" s="26">
        <v>312500</v>
      </c>
      <c r="F21" s="27">
        <v>871.25</v>
      </c>
      <c r="G21" s="28">
        <v>9.7999999999999997E-3</v>
      </c>
      <c r="H21" s="29"/>
    </row>
    <row r="22" spans="2:8" ht="15.75" customHeight="1" x14ac:dyDescent="0.25">
      <c r="B22" s="25" t="s">
        <v>264</v>
      </c>
      <c r="C22" s="25" t="s">
        <v>265</v>
      </c>
      <c r="D22" s="25" t="s">
        <v>159</v>
      </c>
      <c r="E22" s="26">
        <v>68355</v>
      </c>
      <c r="F22" s="27">
        <v>863.67</v>
      </c>
      <c r="G22" s="28">
        <v>9.7000000000000003E-3</v>
      </c>
      <c r="H22" s="29"/>
    </row>
    <row r="23" spans="2:8" ht="15.75" customHeight="1" x14ac:dyDescent="0.25">
      <c r="B23" s="25" t="s">
        <v>320</v>
      </c>
      <c r="C23" s="25" t="s">
        <v>321</v>
      </c>
      <c r="D23" s="25" t="s">
        <v>244</v>
      </c>
      <c r="E23" s="26">
        <v>35769</v>
      </c>
      <c r="F23" s="27">
        <v>862.62</v>
      </c>
      <c r="G23" s="28">
        <v>9.7000000000000003E-3</v>
      </c>
      <c r="H23" s="29"/>
    </row>
    <row r="24" spans="2:8" ht="15.75" customHeight="1" x14ac:dyDescent="0.25">
      <c r="B24" s="25" t="s">
        <v>341</v>
      </c>
      <c r="C24" s="25" t="s">
        <v>342</v>
      </c>
      <c r="D24" s="25" t="s">
        <v>343</v>
      </c>
      <c r="E24" s="26">
        <v>41374</v>
      </c>
      <c r="F24" s="27">
        <v>819.76</v>
      </c>
      <c r="G24" s="28">
        <v>9.2999999999999992E-3</v>
      </c>
      <c r="H24" s="29"/>
    </row>
    <row r="25" spans="2:8" ht="15.75" customHeight="1" x14ac:dyDescent="0.25">
      <c r="B25" s="25" t="s">
        <v>344</v>
      </c>
      <c r="C25" s="25" t="s">
        <v>345</v>
      </c>
      <c r="D25" s="25" t="s">
        <v>167</v>
      </c>
      <c r="E25" s="26">
        <v>6050</v>
      </c>
      <c r="F25" s="27">
        <v>775.46</v>
      </c>
      <c r="G25" s="28">
        <v>8.8000000000000005E-3</v>
      </c>
      <c r="H25" s="29"/>
    </row>
    <row r="26" spans="2:8" ht="15.75" customHeight="1" x14ac:dyDescent="0.25">
      <c r="B26" s="25" t="s">
        <v>346</v>
      </c>
      <c r="C26" s="25" t="s">
        <v>347</v>
      </c>
      <c r="D26" s="25" t="s">
        <v>167</v>
      </c>
      <c r="E26" s="26">
        <v>17003</v>
      </c>
      <c r="F26" s="27">
        <v>772.45</v>
      </c>
      <c r="G26" s="28">
        <v>8.6999999999999994E-3</v>
      </c>
      <c r="H26" s="29"/>
    </row>
    <row r="27" spans="2:8" ht="15.75" customHeight="1" x14ac:dyDescent="0.25">
      <c r="B27" s="25" t="s">
        <v>232</v>
      </c>
      <c r="C27" s="25" t="s">
        <v>233</v>
      </c>
      <c r="D27" s="25" t="s">
        <v>234</v>
      </c>
      <c r="E27" s="26">
        <v>330132</v>
      </c>
      <c r="F27" s="27">
        <v>771.68</v>
      </c>
      <c r="G27" s="28">
        <v>8.6999999999999994E-3</v>
      </c>
      <c r="H27" s="29"/>
    </row>
    <row r="28" spans="2:8" ht="15.75" customHeight="1" x14ac:dyDescent="0.25">
      <c r="B28" s="25" t="s">
        <v>348</v>
      </c>
      <c r="C28" s="25" t="s">
        <v>349</v>
      </c>
      <c r="D28" s="25" t="s">
        <v>350</v>
      </c>
      <c r="E28" s="26">
        <v>374618</v>
      </c>
      <c r="F28" s="27">
        <v>682.74</v>
      </c>
      <c r="G28" s="28">
        <v>7.7000000000000002E-3</v>
      </c>
      <c r="H28" s="29"/>
    </row>
    <row r="29" spans="2:8" ht="15.75" customHeight="1" x14ac:dyDescent="0.25">
      <c r="B29" s="25" t="s">
        <v>282</v>
      </c>
      <c r="C29" s="25" t="s">
        <v>283</v>
      </c>
      <c r="D29" s="25" t="s">
        <v>226</v>
      </c>
      <c r="E29" s="26">
        <v>98464</v>
      </c>
      <c r="F29" s="27">
        <v>634.5</v>
      </c>
      <c r="G29" s="28">
        <v>7.1999999999999998E-3</v>
      </c>
      <c r="H29" s="29"/>
    </row>
    <row r="30" spans="2:8" ht="15.75" customHeight="1" x14ac:dyDescent="0.25">
      <c r="B30" s="25" t="s">
        <v>351</v>
      </c>
      <c r="C30" s="25" t="s">
        <v>352</v>
      </c>
      <c r="D30" s="25" t="s">
        <v>214</v>
      </c>
      <c r="E30" s="26">
        <v>25867</v>
      </c>
      <c r="F30" s="27">
        <v>611.6</v>
      </c>
      <c r="G30" s="28">
        <v>6.8999999999999999E-3</v>
      </c>
      <c r="H30" s="29"/>
    </row>
    <row r="31" spans="2:8" ht="15.75" customHeight="1" x14ac:dyDescent="0.25">
      <c r="B31" s="25" t="s">
        <v>353</v>
      </c>
      <c r="C31" s="25" t="s">
        <v>354</v>
      </c>
      <c r="D31" s="25" t="s">
        <v>244</v>
      </c>
      <c r="E31" s="26">
        <v>5060</v>
      </c>
      <c r="F31" s="27">
        <v>504.58</v>
      </c>
      <c r="G31" s="28">
        <v>5.7000000000000002E-3</v>
      </c>
      <c r="H31" s="29"/>
    </row>
    <row r="32" spans="2:8" ht="15.75" customHeight="1" x14ac:dyDescent="0.25">
      <c r="B32" s="25" t="s">
        <v>355</v>
      </c>
      <c r="C32" s="25" t="s">
        <v>356</v>
      </c>
      <c r="D32" s="25" t="s">
        <v>281</v>
      </c>
      <c r="E32" s="26">
        <v>153823</v>
      </c>
      <c r="F32" s="27">
        <v>464.31</v>
      </c>
      <c r="G32" s="28">
        <v>5.1999999999999998E-3</v>
      </c>
      <c r="H32" s="29"/>
    </row>
    <row r="33" spans="2:8" ht="15.75" customHeight="1" x14ac:dyDescent="0.25">
      <c r="B33" s="25" t="s">
        <v>220</v>
      </c>
      <c r="C33" s="25" t="s">
        <v>221</v>
      </c>
      <c r="D33" s="25" t="s">
        <v>156</v>
      </c>
      <c r="E33" s="26">
        <v>30105</v>
      </c>
      <c r="F33" s="27">
        <v>456.3</v>
      </c>
      <c r="G33" s="28">
        <v>5.1000000000000004E-3</v>
      </c>
      <c r="H33" s="29"/>
    </row>
    <row r="34" spans="2:8" ht="15.75" customHeight="1" x14ac:dyDescent="0.25">
      <c r="B34" s="25" t="s">
        <v>316</v>
      </c>
      <c r="C34" s="25" t="s">
        <v>317</v>
      </c>
      <c r="D34" s="25" t="s">
        <v>209</v>
      </c>
      <c r="E34" s="26">
        <v>47352</v>
      </c>
      <c r="F34" s="27">
        <v>437.86</v>
      </c>
      <c r="G34" s="28">
        <v>4.8999999999999998E-3</v>
      </c>
      <c r="H34" s="29"/>
    </row>
    <row r="35" spans="2:8" ht="15.75" customHeight="1" x14ac:dyDescent="0.25">
      <c r="B35" s="25" t="s">
        <v>357</v>
      </c>
      <c r="C35" s="25" t="s">
        <v>358</v>
      </c>
      <c r="D35" s="25" t="s">
        <v>260</v>
      </c>
      <c r="E35" s="26">
        <v>16500</v>
      </c>
      <c r="F35" s="27">
        <v>432.47</v>
      </c>
      <c r="G35" s="28">
        <v>4.8999999999999998E-3</v>
      </c>
      <c r="H35" s="29"/>
    </row>
    <row r="36" spans="2:8" ht="15.75" customHeight="1" x14ac:dyDescent="0.25">
      <c r="B36" s="25" t="s">
        <v>207</v>
      </c>
      <c r="C36" s="25" t="s">
        <v>208</v>
      </c>
      <c r="D36" s="25" t="s">
        <v>209</v>
      </c>
      <c r="E36" s="26">
        <v>95255</v>
      </c>
      <c r="F36" s="27">
        <v>420.6</v>
      </c>
      <c r="G36" s="28">
        <v>4.7000000000000002E-3</v>
      </c>
      <c r="H36" s="29"/>
    </row>
    <row r="37" spans="2:8" ht="15.75" customHeight="1" x14ac:dyDescent="0.25">
      <c r="B37" s="25" t="s">
        <v>359</v>
      </c>
      <c r="C37" s="25" t="s">
        <v>360</v>
      </c>
      <c r="D37" s="25" t="s">
        <v>361</v>
      </c>
      <c r="E37" s="26">
        <v>60802</v>
      </c>
      <c r="F37" s="27">
        <v>419.02</v>
      </c>
      <c r="G37" s="28">
        <v>4.7000000000000002E-3</v>
      </c>
      <c r="H37" s="29"/>
    </row>
    <row r="38" spans="2:8" ht="15.75" customHeight="1" x14ac:dyDescent="0.25">
      <c r="B38" s="25" t="s">
        <v>229</v>
      </c>
      <c r="C38" s="25" t="s">
        <v>230</v>
      </c>
      <c r="D38" s="25" t="s">
        <v>231</v>
      </c>
      <c r="E38" s="26">
        <v>32925</v>
      </c>
      <c r="F38" s="27">
        <v>401.52</v>
      </c>
      <c r="G38" s="28">
        <v>4.4999999999999997E-3</v>
      </c>
      <c r="H38" s="29"/>
    </row>
    <row r="39" spans="2:8" ht="15.75" customHeight="1" x14ac:dyDescent="0.25">
      <c r="B39" s="25" t="s">
        <v>362</v>
      </c>
      <c r="C39" s="25" t="s">
        <v>363</v>
      </c>
      <c r="D39" s="25" t="s">
        <v>209</v>
      </c>
      <c r="E39" s="26">
        <v>150488</v>
      </c>
      <c r="F39" s="27">
        <v>393</v>
      </c>
      <c r="G39" s="28">
        <v>4.4000000000000003E-3</v>
      </c>
      <c r="H39" s="29"/>
    </row>
    <row r="40" spans="2:8" ht="15.75" customHeight="1" x14ac:dyDescent="0.25">
      <c r="B40" s="25" t="s">
        <v>364</v>
      </c>
      <c r="C40" s="25" t="s">
        <v>365</v>
      </c>
      <c r="D40" s="25" t="s">
        <v>214</v>
      </c>
      <c r="E40" s="26">
        <v>13198</v>
      </c>
      <c r="F40" s="27">
        <v>348.76</v>
      </c>
      <c r="G40" s="28">
        <v>3.8999999999999998E-3</v>
      </c>
      <c r="H40" s="29"/>
    </row>
    <row r="41" spans="2:8" ht="15.75" customHeight="1" x14ac:dyDescent="0.25">
      <c r="B41" s="25" t="s">
        <v>284</v>
      </c>
      <c r="C41" s="25" t="s">
        <v>285</v>
      </c>
      <c r="D41" s="25" t="s">
        <v>286</v>
      </c>
      <c r="E41" s="26">
        <v>22877</v>
      </c>
      <c r="F41" s="27">
        <v>328.64</v>
      </c>
      <c r="G41" s="28">
        <v>3.7000000000000002E-3</v>
      </c>
      <c r="H41" s="29"/>
    </row>
    <row r="42" spans="2:8" ht="15.75" customHeight="1" x14ac:dyDescent="0.25">
      <c r="B42" s="25" t="s">
        <v>366</v>
      </c>
      <c r="C42" s="25" t="s">
        <v>367</v>
      </c>
      <c r="D42" s="25" t="s">
        <v>209</v>
      </c>
      <c r="E42" s="26">
        <v>3950</v>
      </c>
      <c r="F42" s="27">
        <v>320.58999999999997</v>
      </c>
      <c r="G42" s="28">
        <v>3.5999999999999999E-3</v>
      </c>
      <c r="H42" s="29"/>
    </row>
    <row r="43" spans="2:8" ht="15.75" customHeight="1" x14ac:dyDescent="0.25">
      <c r="B43" s="25" t="s">
        <v>368</v>
      </c>
      <c r="C43" s="25" t="s">
        <v>369</v>
      </c>
      <c r="D43" s="25" t="s">
        <v>343</v>
      </c>
      <c r="E43" s="26">
        <v>19539</v>
      </c>
      <c r="F43" s="27">
        <v>304.27</v>
      </c>
      <c r="G43" s="28">
        <v>3.3999999999999998E-3</v>
      </c>
      <c r="H43" s="29"/>
    </row>
    <row r="44" spans="2:8" ht="15.75" customHeight="1" x14ac:dyDescent="0.25">
      <c r="B44" s="25" t="s">
        <v>297</v>
      </c>
      <c r="C44" s="25" t="s">
        <v>298</v>
      </c>
      <c r="D44" s="25" t="s">
        <v>209</v>
      </c>
      <c r="E44" s="26">
        <v>58245</v>
      </c>
      <c r="F44" s="27">
        <v>295.39</v>
      </c>
      <c r="G44" s="28">
        <v>3.3E-3</v>
      </c>
      <c r="H44" s="29"/>
    </row>
    <row r="45" spans="2:8" ht="15.75" customHeight="1" x14ac:dyDescent="0.25">
      <c r="B45" s="25" t="s">
        <v>370</v>
      </c>
      <c r="C45" s="25" t="s">
        <v>371</v>
      </c>
      <c r="D45" s="25" t="s">
        <v>231</v>
      </c>
      <c r="E45" s="26">
        <v>56382</v>
      </c>
      <c r="F45" s="27">
        <v>274.52</v>
      </c>
      <c r="G45" s="28">
        <v>3.0999999999999999E-3</v>
      </c>
      <c r="H45" s="29"/>
    </row>
    <row r="46" spans="2:8" ht="15.75" customHeight="1" x14ac:dyDescent="0.25">
      <c r="B46" s="25" t="s">
        <v>372</v>
      </c>
      <c r="C46" s="25" t="s">
        <v>373</v>
      </c>
      <c r="D46" s="25" t="s">
        <v>214</v>
      </c>
      <c r="E46" s="26">
        <v>189265</v>
      </c>
      <c r="F46" s="27">
        <v>271.88</v>
      </c>
      <c r="G46" s="28">
        <v>3.0999999999999999E-3</v>
      </c>
      <c r="H46" s="29"/>
    </row>
    <row r="47" spans="2:8" ht="15.75" customHeight="1" x14ac:dyDescent="0.25">
      <c r="B47" s="25" t="s">
        <v>374</v>
      </c>
      <c r="C47" s="25" t="s">
        <v>375</v>
      </c>
      <c r="D47" s="25" t="s">
        <v>156</v>
      </c>
      <c r="E47" s="26">
        <v>171288</v>
      </c>
      <c r="F47" s="27">
        <v>265.67</v>
      </c>
      <c r="G47" s="28">
        <v>3.0000000000000001E-3</v>
      </c>
      <c r="H47" s="29"/>
    </row>
    <row r="48" spans="2:8" ht="15.75" customHeight="1" x14ac:dyDescent="0.25">
      <c r="B48" s="25" t="s">
        <v>376</v>
      </c>
      <c r="C48" s="25" t="s">
        <v>377</v>
      </c>
      <c r="D48" s="25" t="s">
        <v>209</v>
      </c>
      <c r="E48" s="26">
        <v>21911</v>
      </c>
      <c r="F48" s="27">
        <v>261.45999999999998</v>
      </c>
      <c r="G48" s="28">
        <v>3.0000000000000001E-3</v>
      </c>
      <c r="H48" s="29"/>
    </row>
    <row r="49" spans="2:8" ht="15.75" customHeight="1" x14ac:dyDescent="0.25">
      <c r="B49" s="25" t="s">
        <v>378</v>
      </c>
      <c r="C49" s="25" t="s">
        <v>379</v>
      </c>
      <c r="D49" s="25" t="s">
        <v>380</v>
      </c>
      <c r="E49" s="26">
        <v>17648</v>
      </c>
      <c r="F49" s="27">
        <v>261.08999999999997</v>
      </c>
      <c r="G49" s="28">
        <v>2.8999999999999998E-3</v>
      </c>
      <c r="H49" s="29"/>
    </row>
    <row r="50" spans="2:8" ht="15.75" customHeight="1" x14ac:dyDescent="0.25">
      <c r="B50" s="25" t="s">
        <v>381</v>
      </c>
      <c r="C50" s="25" t="s">
        <v>382</v>
      </c>
      <c r="D50" s="25" t="s">
        <v>315</v>
      </c>
      <c r="E50" s="26">
        <v>54391</v>
      </c>
      <c r="F50" s="27">
        <v>260.18</v>
      </c>
      <c r="G50" s="28">
        <v>2.8999999999999998E-3</v>
      </c>
      <c r="H50" s="29"/>
    </row>
    <row r="51" spans="2:8" ht="15.75" customHeight="1" x14ac:dyDescent="0.25">
      <c r="B51" s="25" t="s">
        <v>383</v>
      </c>
      <c r="C51" s="25" t="s">
        <v>384</v>
      </c>
      <c r="D51" s="25" t="s">
        <v>156</v>
      </c>
      <c r="E51" s="26">
        <v>161095</v>
      </c>
      <c r="F51" s="27">
        <v>258.88</v>
      </c>
      <c r="G51" s="28">
        <v>2.8999999999999998E-3</v>
      </c>
      <c r="H51" s="29"/>
    </row>
    <row r="52" spans="2:8" ht="15.75" customHeight="1" x14ac:dyDescent="0.25">
      <c r="B52" s="25" t="s">
        <v>385</v>
      </c>
      <c r="C52" s="25" t="s">
        <v>386</v>
      </c>
      <c r="D52" s="25" t="s">
        <v>167</v>
      </c>
      <c r="E52" s="26">
        <v>12463</v>
      </c>
      <c r="F52" s="27">
        <v>256.74</v>
      </c>
      <c r="G52" s="28">
        <v>2.8999999999999998E-3</v>
      </c>
      <c r="H52" s="29"/>
    </row>
    <row r="53" spans="2:8" ht="15.75" customHeight="1" x14ac:dyDescent="0.25">
      <c r="B53" s="25" t="s">
        <v>245</v>
      </c>
      <c r="C53" s="25" t="s">
        <v>246</v>
      </c>
      <c r="D53" s="25" t="s">
        <v>156</v>
      </c>
      <c r="E53" s="26">
        <v>310602</v>
      </c>
      <c r="F53" s="27">
        <v>255.16</v>
      </c>
      <c r="G53" s="28">
        <v>2.8999999999999998E-3</v>
      </c>
      <c r="H53" s="29"/>
    </row>
    <row r="54" spans="2:8" ht="15.75" customHeight="1" x14ac:dyDescent="0.25">
      <c r="B54" s="25" t="s">
        <v>387</v>
      </c>
      <c r="C54" s="25" t="s">
        <v>388</v>
      </c>
      <c r="D54" s="25" t="s">
        <v>209</v>
      </c>
      <c r="E54" s="26">
        <v>16766</v>
      </c>
      <c r="F54" s="27">
        <v>252.91</v>
      </c>
      <c r="G54" s="28">
        <v>2.8999999999999998E-3</v>
      </c>
      <c r="H54" s="29"/>
    </row>
    <row r="55" spans="2:8" ht="15.75" customHeight="1" x14ac:dyDescent="0.25">
      <c r="B55" s="25" t="s">
        <v>389</v>
      </c>
      <c r="C55" s="25" t="s">
        <v>390</v>
      </c>
      <c r="D55" s="25" t="s">
        <v>244</v>
      </c>
      <c r="E55" s="26">
        <v>12298</v>
      </c>
      <c r="F55" s="27">
        <v>226.06</v>
      </c>
      <c r="G55" s="28">
        <v>2.5999999999999999E-3</v>
      </c>
      <c r="H55" s="29"/>
    </row>
    <row r="56" spans="2:8" ht="15.75" customHeight="1" x14ac:dyDescent="0.25">
      <c r="B56" s="25" t="s">
        <v>391</v>
      </c>
      <c r="C56" s="25" t="s">
        <v>392</v>
      </c>
      <c r="D56" s="25" t="s">
        <v>286</v>
      </c>
      <c r="E56" s="26">
        <v>35388</v>
      </c>
      <c r="F56" s="27">
        <v>206.54</v>
      </c>
      <c r="G56" s="28">
        <v>2.3E-3</v>
      </c>
      <c r="H56" s="29"/>
    </row>
    <row r="57" spans="2:8" ht="15.75" customHeight="1" x14ac:dyDescent="0.25">
      <c r="B57" s="25" t="s">
        <v>393</v>
      </c>
      <c r="C57" s="25" t="s">
        <v>394</v>
      </c>
      <c r="D57" s="25" t="s">
        <v>343</v>
      </c>
      <c r="E57" s="26">
        <v>10777</v>
      </c>
      <c r="F57" s="27">
        <v>192.73</v>
      </c>
      <c r="G57" s="28">
        <v>2.2000000000000001E-3</v>
      </c>
      <c r="H57" s="29"/>
    </row>
    <row r="58" spans="2:8" ht="15.75" customHeight="1" x14ac:dyDescent="0.25">
      <c r="B58" s="25" t="s">
        <v>395</v>
      </c>
      <c r="C58" s="25" t="s">
        <v>396</v>
      </c>
      <c r="D58" s="25" t="s">
        <v>214</v>
      </c>
      <c r="E58" s="26">
        <v>3749</v>
      </c>
      <c r="F58" s="27">
        <v>181.19</v>
      </c>
      <c r="G58" s="28">
        <v>2E-3</v>
      </c>
      <c r="H58" s="29"/>
    </row>
    <row r="59" spans="2:8" ht="15.75" customHeight="1" x14ac:dyDescent="0.25">
      <c r="B59" s="25" t="s">
        <v>304</v>
      </c>
      <c r="C59" s="25" t="s">
        <v>305</v>
      </c>
      <c r="D59" s="25" t="s">
        <v>296</v>
      </c>
      <c r="E59" s="26">
        <v>133097</v>
      </c>
      <c r="F59" s="27">
        <v>174.62</v>
      </c>
      <c r="G59" s="28">
        <v>2E-3</v>
      </c>
      <c r="H59" s="29"/>
    </row>
    <row r="60" spans="2:8" ht="15.75" customHeight="1" x14ac:dyDescent="0.25">
      <c r="B60" s="25" t="s">
        <v>397</v>
      </c>
      <c r="C60" s="25" t="s">
        <v>398</v>
      </c>
      <c r="D60" s="25" t="s">
        <v>159</v>
      </c>
      <c r="E60" s="26">
        <v>23749</v>
      </c>
      <c r="F60" s="27">
        <v>164.14</v>
      </c>
      <c r="G60" s="28">
        <v>1.9E-3</v>
      </c>
      <c r="H60" s="29"/>
    </row>
    <row r="61" spans="2:8" ht="15.75" customHeight="1" x14ac:dyDescent="0.25">
      <c r="B61" s="25" t="s">
        <v>399</v>
      </c>
      <c r="C61" s="25" t="s">
        <v>400</v>
      </c>
      <c r="D61" s="25" t="s">
        <v>401</v>
      </c>
      <c r="E61" s="26">
        <v>53763</v>
      </c>
      <c r="F61" s="27">
        <v>159.13999999999999</v>
      </c>
      <c r="G61" s="28">
        <v>1.8E-3</v>
      </c>
      <c r="H61" s="29"/>
    </row>
    <row r="62" spans="2:8" ht="15.75" customHeight="1" x14ac:dyDescent="0.25">
      <c r="B62" s="25" t="s">
        <v>402</v>
      </c>
      <c r="C62" s="25" t="s">
        <v>403</v>
      </c>
      <c r="D62" s="25" t="s">
        <v>164</v>
      </c>
      <c r="E62" s="26">
        <v>25743</v>
      </c>
      <c r="F62" s="27">
        <v>156.35</v>
      </c>
      <c r="G62" s="28">
        <v>1.8E-3</v>
      </c>
      <c r="H62" s="29"/>
    </row>
    <row r="63" spans="2:8" ht="15.75" customHeight="1" x14ac:dyDescent="0.25">
      <c r="B63" s="25" t="s">
        <v>404</v>
      </c>
      <c r="C63" s="25" t="s">
        <v>405</v>
      </c>
      <c r="D63" s="25" t="s">
        <v>406</v>
      </c>
      <c r="E63" s="26">
        <v>23403</v>
      </c>
      <c r="F63" s="27">
        <v>145.13</v>
      </c>
      <c r="G63" s="28">
        <v>1.6000000000000001E-3</v>
      </c>
      <c r="H63" s="29"/>
    </row>
    <row r="64" spans="2:8" ht="15.75" customHeight="1" x14ac:dyDescent="0.25">
      <c r="B64" s="25" t="s">
        <v>407</v>
      </c>
      <c r="C64" s="25" t="s">
        <v>408</v>
      </c>
      <c r="D64" s="25" t="s">
        <v>214</v>
      </c>
      <c r="E64" s="26">
        <v>476</v>
      </c>
      <c r="F64" s="27">
        <v>125.88</v>
      </c>
      <c r="G64" s="28">
        <v>1.4E-3</v>
      </c>
      <c r="H64" s="29"/>
    </row>
    <row r="65" spans="2:16" ht="15.75" customHeight="1" x14ac:dyDescent="0.25">
      <c r="B65" s="25" t="s">
        <v>409</v>
      </c>
      <c r="C65" s="25" t="s">
        <v>410</v>
      </c>
      <c r="D65" s="25" t="s">
        <v>350</v>
      </c>
      <c r="E65" s="26">
        <v>4206</v>
      </c>
      <c r="F65" s="27">
        <v>29.21</v>
      </c>
      <c r="G65" s="28">
        <v>2.9999999999999997E-4</v>
      </c>
      <c r="H65" s="29"/>
    </row>
    <row r="66" spans="2:16" ht="15.75" customHeight="1" x14ac:dyDescent="0.25">
      <c r="B66" s="25" t="s">
        <v>411</v>
      </c>
      <c r="C66" s="25" t="s">
        <v>412</v>
      </c>
      <c r="D66" s="25" t="s">
        <v>214</v>
      </c>
      <c r="E66" s="26">
        <v>129</v>
      </c>
      <c r="F66" s="27">
        <v>8</v>
      </c>
      <c r="G66" s="28">
        <v>1E-4</v>
      </c>
      <c r="H66" s="29"/>
    </row>
    <row r="67" spans="2:16" ht="15.75" customHeight="1" x14ac:dyDescent="0.25">
      <c r="B67" s="25" t="s">
        <v>413</v>
      </c>
      <c r="C67" s="25" t="s">
        <v>414</v>
      </c>
      <c r="D67" s="25" t="s">
        <v>244</v>
      </c>
      <c r="E67" s="26">
        <v>594</v>
      </c>
      <c r="F67" s="27">
        <v>6.88</v>
      </c>
      <c r="G67" s="28">
        <v>1E-4</v>
      </c>
      <c r="H67" s="29"/>
    </row>
    <row r="68" spans="2:16" ht="15.75" customHeight="1" x14ac:dyDescent="0.25">
      <c r="B68" s="24" t="s">
        <v>128</v>
      </c>
      <c r="C68" s="24"/>
      <c r="D68" s="24"/>
      <c r="E68" s="30"/>
      <c r="F68" s="31">
        <v>66300.36</v>
      </c>
      <c r="G68" s="32">
        <v>0.74819999999999998</v>
      </c>
      <c r="H68" s="33"/>
      <c r="L68" s="3"/>
    </row>
    <row r="69" spans="2:16" ht="15.75" customHeight="1" x14ac:dyDescent="0.25">
      <c r="B69" s="24" t="s">
        <v>176</v>
      </c>
      <c r="C69" s="25"/>
      <c r="D69" s="25"/>
      <c r="E69" s="26"/>
      <c r="F69" s="27"/>
      <c r="G69" s="28"/>
      <c r="H69" s="29"/>
    </row>
    <row r="70" spans="2:16" ht="15.75" customHeight="1" x14ac:dyDescent="0.25">
      <c r="B70" s="24" t="s">
        <v>128</v>
      </c>
      <c r="C70" s="25"/>
      <c r="D70" s="25"/>
      <c r="E70" s="26"/>
      <c r="F70" s="34" t="s">
        <v>130</v>
      </c>
      <c r="G70" s="35" t="s">
        <v>130</v>
      </c>
      <c r="H70" s="29"/>
      <c r="L70" s="3"/>
    </row>
    <row r="71" spans="2:16" ht="15.75" customHeight="1" x14ac:dyDescent="0.25">
      <c r="B71" s="25"/>
      <c r="C71" s="25"/>
      <c r="D71" s="25"/>
      <c r="E71" s="26"/>
      <c r="F71" s="27"/>
      <c r="G71" s="28"/>
      <c r="H71" s="29"/>
      <c r="L71" s="3"/>
    </row>
    <row r="72" spans="2:16" ht="15.75" customHeight="1" x14ac:dyDescent="0.25">
      <c r="B72" s="36" t="s">
        <v>132</v>
      </c>
      <c r="C72" s="36"/>
      <c r="D72" s="36"/>
      <c r="E72" s="37"/>
      <c r="F72" s="31">
        <v>66300.36</v>
      </c>
      <c r="G72" s="32">
        <v>0.74819999999999998</v>
      </c>
      <c r="H72" s="33"/>
      <c r="L72" s="3"/>
    </row>
    <row r="73" spans="2:16" ht="15.75" customHeight="1" x14ac:dyDescent="0.25">
      <c r="B73" s="25"/>
      <c r="C73" s="25"/>
      <c r="D73" s="25"/>
      <c r="E73" s="26"/>
      <c r="F73" s="27"/>
      <c r="G73" s="28"/>
      <c r="H73" s="29"/>
      <c r="L73" s="3"/>
    </row>
    <row r="74" spans="2:16" ht="15.75" customHeight="1" x14ac:dyDescent="0.25">
      <c r="B74" s="24" t="s">
        <v>116</v>
      </c>
      <c r="C74" s="25"/>
      <c r="D74" s="25"/>
      <c r="E74" s="26"/>
      <c r="F74" s="27"/>
      <c r="G74" s="28"/>
      <c r="H74" s="29"/>
      <c r="L74" s="3"/>
    </row>
    <row r="75" spans="2:16" ht="15.75" customHeight="1" x14ac:dyDescent="0.25">
      <c r="B75" s="24" t="s">
        <v>117</v>
      </c>
      <c r="C75" s="25"/>
      <c r="D75" s="25"/>
      <c r="E75" s="26"/>
      <c r="F75" s="27"/>
      <c r="G75" s="28"/>
      <c r="H75" s="29"/>
      <c r="L75" s="5"/>
      <c r="M75" s="5"/>
      <c r="N75" s="6"/>
      <c r="O75" s="6"/>
      <c r="P75" s="5"/>
    </row>
    <row r="76" spans="2:16" ht="15.75" customHeight="1" x14ac:dyDescent="0.25">
      <c r="B76" s="25" t="s">
        <v>122</v>
      </c>
      <c r="C76" s="25" t="s">
        <v>123</v>
      </c>
      <c r="D76" s="25" t="s">
        <v>119</v>
      </c>
      <c r="E76" s="26">
        <v>7500000</v>
      </c>
      <c r="F76" s="27">
        <v>7626.27</v>
      </c>
      <c r="G76" s="28">
        <v>8.6099999999999996E-2</v>
      </c>
      <c r="H76" s="29">
        <v>7.3401999999999995E-2</v>
      </c>
    </row>
    <row r="77" spans="2:16" ht="15.75" customHeight="1" x14ac:dyDescent="0.25">
      <c r="B77" s="25" t="s">
        <v>124</v>
      </c>
      <c r="C77" s="25" t="s">
        <v>125</v>
      </c>
      <c r="D77" s="25" t="s">
        <v>126</v>
      </c>
      <c r="E77" s="26">
        <v>250</v>
      </c>
      <c r="F77" s="27">
        <v>2675.5</v>
      </c>
      <c r="G77" s="28">
        <v>3.0200000000000001E-2</v>
      </c>
      <c r="H77" s="29">
        <v>7.8345999999999999E-2</v>
      </c>
    </row>
    <row r="78" spans="2:16" ht="15.75" customHeight="1" x14ac:dyDescent="0.25">
      <c r="B78" s="25" t="s">
        <v>120</v>
      </c>
      <c r="C78" s="25" t="s">
        <v>121</v>
      </c>
      <c r="D78" s="25" t="s">
        <v>119</v>
      </c>
      <c r="E78" s="26">
        <v>2500000</v>
      </c>
      <c r="F78" s="27">
        <v>2629.95</v>
      </c>
      <c r="G78" s="28">
        <v>2.9700000000000001E-2</v>
      </c>
      <c r="H78" s="29">
        <v>7.6276999999999998E-2</v>
      </c>
      <c r="L78" s="7"/>
      <c r="M78" s="7"/>
      <c r="N78" s="7"/>
      <c r="O78" s="7"/>
      <c r="P78" s="7"/>
    </row>
    <row r="79" spans="2:16" ht="15.75" customHeight="1" x14ac:dyDescent="0.25">
      <c r="B79" s="25" t="s">
        <v>415</v>
      </c>
      <c r="C79" s="25" t="s">
        <v>416</v>
      </c>
      <c r="D79" s="25" t="s">
        <v>119</v>
      </c>
      <c r="E79" s="26">
        <v>2511400</v>
      </c>
      <c r="F79" s="27">
        <v>2615.14</v>
      </c>
      <c r="G79" s="28">
        <v>2.9499999999999998E-2</v>
      </c>
      <c r="H79" s="29">
        <v>7.6432E-2</v>
      </c>
      <c r="L79" s="7"/>
      <c r="M79" s="7"/>
      <c r="N79" s="7"/>
      <c r="O79" s="7"/>
      <c r="P79" s="7"/>
    </row>
    <row r="80" spans="2:16" ht="15.75" customHeight="1" x14ac:dyDescent="0.25">
      <c r="B80" s="25" t="s">
        <v>417</v>
      </c>
      <c r="C80" s="25" t="s">
        <v>418</v>
      </c>
      <c r="D80" s="25" t="s">
        <v>119</v>
      </c>
      <c r="E80" s="26">
        <v>2500000</v>
      </c>
      <c r="F80" s="27">
        <v>2598.02</v>
      </c>
      <c r="G80" s="28">
        <v>2.93E-2</v>
      </c>
      <c r="H80" s="29">
        <v>7.6266E-2</v>
      </c>
      <c r="L80" s="7"/>
      <c r="M80" s="7"/>
      <c r="N80" s="7"/>
      <c r="O80" s="7"/>
      <c r="P80" s="7"/>
    </row>
    <row r="81" spans="2:16" ht="15.75" customHeight="1" x14ac:dyDescent="0.25">
      <c r="B81" s="25" t="s">
        <v>415</v>
      </c>
      <c r="C81" s="25" t="s">
        <v>419</v>
      </c>
      <c r="D81" s="25" t="s">
        <v>119</v>
      </c>
      <c r="E81" s="26">
        <v>1082000</v>
      </c>
      <c r="F81" s="27">
        <v>1122.03</v>
      </c>
      <c r="G81" s="28">
        <v>1.2699999999999999E-2</v>
      </c>
      <c r="H81" s="29">
        <v>7.6509999999999995E-2</v>
      </c>
      <c r="L81" s="7"/>
      <c r="M81" s="7"/>
      <c r="N81" s="7"/>
      <c r="O81" s="7"/>
      <c r="P81" s="7"/>
    </row>
    <row r="82" spans="2:16" ht="15.75" customHeight="1" x14ac:dyDescent="0.25">
      <c r="B82" s="25" t="s">
        <v>420</v>
      </c>
      <c r="C82" s="25" t="s">
        <v>421</v>
      </c>
      <c r="D82" s="25" t="s">
        <v>119</v>
      </c>
      <c r="E82" s="26">
        <v>1000000</v>
      </c>
      <c r="F82" s="27">
        <v>1057.05</v>
      </c>
      <c r="G82" s="28">
        <v>1.1900000000000001E-2</v>
      </c>
      <c r="H82" s="29">
        <v>7.3689000000000004E-2</v>
      </c>
      <c r="L82" s="7"/>
      <c r="M82" s="7"/>
      <c r="N82" s="7"/>
      <c r="O82" s="7"/>
      <c r="P82" s="7"/>
    </row>
    <row r="83" spans="2:16" ht="15.75" customHeight="1" x14ac:dyDescent="0.25">
      <c r="B83" s="24" t="s">
        <v>128</v>
      </c>
      <c r="C83" s="24"/>
      <c r="D83" s="24"/>
      <c r="E83" s="30"/>
      <c r="F83" s="31">
        <v>20323.96</v>
      </c>
      <c r="G83" s="32">
        <v>0.22939999999999999</v>
      </c>
      <c r="H83" s="33"/>
      <c r="L83" s="7"/>
      <c r="M83" s="7"/>
      <c r="N83" s="7"/>
      <c r="O83" s="7"/>
      <c r="P83" s="7"/>
    </row>
    <row r="84" spans="2:16" ht="15.75" customHeight="1" x14ac:dyDescent="0.25">
      <c r="B84" s="25"/>
      <c r="C84" s="25"/>
      <c r="D84" s="25"/>
      <c r="E84" s="26"/>
      <c r="F84" s="27"/>
      <c r="G84" s="28"/>
      <c r="H84" s="29"/>
      <c r="L84" s="7"/>
      <c r="M84" s="7"/>
      <c r="N84" s="7"/>
      <c r="O84" s="7"/>
      <c r="P84" s="7"/>
    </row>
    <row r="85" spans="2:16" ht="15.75" customHeight="1" x14ac:dyDescent="0.25">
      <c r="B85" s="24" t="s">
        <v>129</v>
      </c>
      <c r="C85" s="25"/>
      <c r="D85" s="25"/>
      <c r="E85" s="26"/>
      <c r="F85" s="27"/>
      <c r="G85" s="28"/>
      <c r="H85" s="29"/>
    </row>
    <row r="86" spans="2:16" ht="15.75" customHeight="1" x14ac:dyDescent="0.25">
      <c r="B86" s="24" t="s">
        <v>128</v>
      </c>
      <c r="C86" s="25"/>
      <c r="D86" s="25"/>
      <c r="E86" s="26"/>
      <c r="F86" s="34" t="s">
        <v>130</v>
      </c>
      <c r="G86" s="35" t="s">
        <v>130</v>
      </c>
      <c r="H86" s="29"/>
      <c r="L86" s="3"/>
    </row>
    <row r="87" spans="2:16" ht="15.75" customHeight="1" x14ac:dyDescent="0.25">
      <c r="B87" s="25"/>
      <c r="C87" s="25"/>
      <c r="D87" s="25"/>
      <c r="E87" s="26"/>
      <c r="F87" s="27"/>
      <c r="G87" s="28"/>
      <c r="H87" s="29"/>
    </row>
    <row r="88" spans="2:16" ht="15.75" customHeight="1" x14ac:dyDescent="0.25">
      <c r="B88" s="24" t="s">
        <v>131</v>
      </c>
      <c r="C88" s="25"/>
      <c r="D88" s="25"/>
      <c r="E88" s="26"/>
      <c r="F88" s="27"/>
      <c r="G88" s="28"/>
      <c r="H88" s="29"/>
    </row>
    <row r="89" spans="2:16" ht="15.75" customHeight="1" x14ac:dyDescent="0.25">
      <c r="B89" s="24" t="s">
        <v>128</v>
      </c>
      <c r="C89" s="25"/>
      <c r="D89" s="25"/>
      <c r="E89" s="26"/>
      <c r="F89" s="34" t="s">
        <v>130</v>
      </c>
      <c r="G89" s="35" t="s">
        <v>130</v>
      </c>
      <c r="H89" s="29"/>
    </row>
    <row r="90" spans="2:16" ht="15.75" customHeight="1" x14ac:dyDescent="0.25">
      <c r="B90" s="25"/>
      <c r="C90" s="25"/>
      <c r="D90" s="25"/>
      <c r="E90" s="26"/>
      <c r="F90" s="27"/>
      <c r="G90" s="28"/>
      <c r="H90" s="29"/>
    </row>
    <row r="91" spans="2:16" ht="15.75" customHeight="1" x14ac:dyDescent="0.25">
      <c r="B91" s="36" t="s">
        <v>132</v>
      </c>
      <c r="C91" s="36"/>
      <c r="D91" s="36"/>
      <c r="E91" s="37"/>
      <c r="F91" s="31">
        <v>20323.96</v>
      </c>
      <c r="G91" s="32">
        <v>0.2293</v>
      </c>
      <c r="H91" s="33"/>
    </row>
    <row r="92" spans="2:16" ht="15.75" customHeight="1" x14ac:dyDescent="0.25">
      <c r="B92" s="25"/>
      <c r="C92" s="25"/>
      <c r="D92" s="25"/>
      <c r="E92" s="26"/>
      <c r="F92" s="27"/>
      <c r="G92" s="28"/>
      <c r="H92" s="29"/>
    </row>
    <row r="93" spans="2:16" ht="15.75" customHeight="1" x14ac:dyDescent="0.25">
      <c r="B93" s="25"/>
      <c r="C93" s="25"/>
      <c r="D93" s="25"/>
      <c r="E93" s="26"/>
      <c r="F93" s="27"/>
      <c r="G93" s="28"/>
      <c r="H93" s="29"/>
    </row>
    <row r="94" spans="2:16" ht="15.75" customHeight="1" x14ac:dyDescent="0.25">
      <c r="B94" s="24" t="s">
        <v>135</v>
      </c>
      <c r="C94" s="25"/>
      <c r="D94" s="25"/>
      <c r="E94" s="26"/>
      <c r="F94" s="27"/>
      <c r="G94" s="28"/>
      <c r="H94" s="29"/>
    </row>
    <row r="95" spans="2:16" ht="15.75" customHeight="1" x14ac:dyDescent="0.25">
      <c r="B95" s="25" t="s">
        <v>136</v>
      </c>
      <c r="C95" s="25"/>
      <c r="D95" s="25"/>
      <c r="E95" s="26"/>
      <c r="F95" s="27">
        <v>2265.83</v>
      </c>
      <c r="G95" s="28">
        <v>2.5600000000000001E-2</v>
      </c>
      <c r="H95" s="29"/>
    </row>
    <row r="96" spans="2:16" ht="15.75" customHeight="1" x14ac:dyDescent="0.25">
      <c r="B96" s="24" t="s">
        <v>128</v>
      </c>
      <c r="C96" s="24"/>
      <c r="D96" s="24"/>
      <c r="E96" s="30"/>
      <c r="F96" s="31">
        <v>2265.83</v>
      </c>
      <c r="G96" s="32">
        <v>2.5600000000000001E-2</v>
      </c>
      <c r="H96" s="33"/>
    </row>
    <row r="97" spans="2:8" ht="15.75" customHeight="1" x14ac:dyDescent="0.25">
      <c r="B97" s="25"/>
      <c r="C97" s="25"/>
      <c r="D97" s="25"/>
      <c r="E97" s="26"/>
      <c r="F97" s="27"/>
      <c r="G97" s="28"/>
      <c r="H97" s="29"/>
    </row>
    <row r="98" spans="2:8" ht="15.75" customHeight="1" x14ac:dyDescent="0.25">
      <c r="B98" s="36" t="s">
        <v>132</v>
      </c>
      <c r="C98" s="36"/>
      <c r="D98" s="36"/>
      <c r="E98" s="37"/>
      <c r="F98" s="31">
        <v>2265.83</v>
      </c>
      <c r="G98" s="32">
        <v>2.5600000000000001E-2</v>
      </c>
      <c r="H98" s="33"/>
    </row>
    <row r="99" spans="2:8" ht="15.75" customHeight="1" x14ac:dyDescent="0.25">
      <c r="B99" s="25" t="s">
        <v>137</v>
      </c>
      <c r="C99" s="25"/>
      <c r="D99" s="25"/>
      <c r="E99" s="26"/>
      <c r="F99" s="38">
        <v>-275.88</v>
      </c>
      <c r="G99" s="39">
        <v>-3.1000000000001027E-3</v>
      </c>
      <c r="H99" s="29"/>
    </row>
    <row r="100" spans="2:8" ht="15.75" customHeight="1" x14ac:dyDescent="0.25">
      <c r="B100" s="40" t="s">
        <v>138</v>
      </c>
      <c r="C100" s="40"/>
      <c r="D100" s="40"/>
      <c r="E100" s="41"/>
      <c r="F100" s="42">
        <v>88614.27</v>
      </c>
      <c r="G100" s="43">
        <v>1</v>
      </c>
      <c r="H100" s="44"/>
    </row>
    <row r="101" spans="2:8" ht="15.75" customHeight="1" x14ac:dyDescent="0.25">
      <c r="B101" s="2"/>
    </row>
    <row r="102" spans="2:8" ht="15.75" customHeight="1" x14ac:dyDescent="0.25">
      <c r="B102" s="12" t="s">
        <v>139</v>
      </c>
    </row>
    <row r="103" spans="2:8" ht="15.75" customHeight="1" x14ac:dyDescent="0.25">
      <c r="B103" s="53"/>
    </row>
    <row r="104" spans="2:8" ht="15.75" customHeight="1" x14ac:dyDescent="0.25">
      <c r="B104" s="9" t="s">
        <v>422</v>
      </c>
    </row>
    <row r="105" spans="2:8" ht="15.75" customHeight="1" x14ac:dyDescent="0.25">
      <c r="B105" s="9" t="s">
        <v>423</v>
      </c>
    </row>
    <row r="106" spans="2:8" ht="15.75" customHeight="1" x14ac:dyDescent="0.25">
      <c r="B106" s="13" t="s">
        <v>325</v>
      </c>
      <c r="C106" s="50" t="s">
        <v>2</v>
      </c>
      <c r="D106" s="51" t="s">
        <v>3</v>
      </c>
      <c r="E106" s="52" t="s">
        <v>326</v>
      </c>
    </row>
    <row r="107" spans="2:8" ht="15.75" customHeight="1" x14ac:dyDescent="0.25">
      <c r="B107" s="46" t="s">
        <v>336</v>
      </c>
      <c r="C107" s="47">
        <v>-195000</v>
      </c>
      <c r="D107" s="48">
        <v>-711.75</v>
      </c>
      <c r="E107" s="49">
        <v>-8.0000000000000002E-3</v>
      </c>
    </row>
    <row r="108" spans="2:8" ht="15.75" customHeight="1" x14ac:dyDescent="0.25">
      <c r="B108" s="46" t="s">
        <v>171</v>
      </c>
      <c r="C108" s="47">
        <v>-49200</v>
      </c>
      <c r="D108" s="48">
        <v>-1105.1600000000001</v>
      </c>
      <c r="E108" s="49">
        <v>-1.2500000000000001E-2</v>
      </c>
    </row>
    <row r="109" spans="2:8" ht="15.75" customHeight="1" x14ac:dyDescent="0.25">
      <c r="B109" s="46" t="s">
        <v>344</v>
      </c>
      <c r="C109" s="47">
        <v>-4250</v>
      </c>
      <c r="D109" s="48">
        <v>-547.29</v>
      </c>
      <c r="E109" s="49">
        <v>-6.1999999999999998E-3</v>
      </c>
    </row>
    <row r="110" spans="2:8" ht="15.75" customHeight="1" x14ac:dyDescent="0.25">
      <c r="B110" s="46" t="s">
        <v>162</v>
      </c>
      <c r="C110" s="47">
        <v>-51500</v>
      </c>
      <c r="D110" s="48">
        <v>-1521.23</v>
      </c>
      <c r="E110" s="49">
        <v>-1.72E-2</v>
      </c>
    </row>
    <row r="111" spans="2:8" ht="15.75" customHeight="1" x14ac:dyDescent="0.25">
      <c r="B111" s="46" t="s">
        <v>332</v>
      </c>
      <c r="C111" s="47">
        <v>-34300</v>
      </c>
      <c r="D111" s="48">
        <v>-1311.31</v>
      </c>
      <c r="E111" s="49">
        <v>-1.4800000000000001E-2</v>
      </c>
    </row>
    <row r="112" spans="2:8" ht="15.75" customHeight="1" x14ac:dyDescent="0.25">
      <c r="B112" s="46" t="s">
        <v>247</v>
      </c>
      <c r="C112" s="47">
        <v>-143750</v>
      </c>
      <c r="D112" s="48">
        <v>-1685.9</v>
      </c>
      <c r="E112" s="49">
        <v>-1.9E-2</v>
      </c>
    </row>
    <row r="113" spans="2:8" ht="15.75" customHeight="1" x14ac:dyDescent="0.25">
      <c r="B113" s="46" t="s">
        <v>210</v>
      </c>
      <c r="C113" s="47">
        <v>-6875</v>
      </c>
      <c r="D113" s="48">
        <v>-479.16</v>
      </c>
      <c r="E113" s="49">
        <v>-5.4000000000000003E-3</v>
      </c>
    </row>
    <row r="114" spans="2:8" ht="15.75" customHeight="1" x14ac:dyDescent="0.25">
      <c r="B114" s="46" t="s">
        <v>154</v>
      </c>
      <c r="C114" s="47">
        <v>-317100</v>
      </c>
      <c r="D114" s="48">
        <v>-3671.23</v>
      </c>
      <c r="E114" s="49">
        <v>-4.1399999999999999E-2</v>
      </c>
    </row>
    <row r="115" spans="2:8" ht="15.75" customHeight="1" x14ac:dyDescent="0.25">
      <c r="B115" s="46" t="s">
        <v>160</v>
      </c>
      <c r="C115" s="47">
        <v>-28050</v>
      </c>
      <c r="D115" s="48">
        <v>-424.45</v>
      </c>
      <c r="E115" s="49">
        <v>-4.7999999999999996E-3</v>
      </c>
    </row>
    <row r="116" spans="2:8" ht="15.75" customHeight="1" x14ac:dyDescent="0.25">
      <c r="B116" s="46" t="s">
        <v>282</v>
      </c>
      <c r="C116" s="47">
        <v>-42000</v>
      </c>
      <c r="D116" s="48">
        <v>-272.58</v>
      </c>
      <c r="E116" s="49">
        <v>-3.0999999999999999E-3</v>
      </c>
    </row>
    <row r="117" spans="2:8" ht="15.75" customHeight="1" x14ac:dyDescent="0.25">
      <c r="B117" s="46" t="s">
        <v>292</v>
      </c>
      <c r="C117" s="47">
        <v>-94400</v>
      </c>
      <c r="D117" s="48">
        <v>-412.91</v>
      </c>
      <c r="E117" s="49">
        <v>-4.7000000000000002E-3</v>
      </c>
    </row>
    <row r="118" spans="2:8" ht="15.75" customHeight="1" x14ac:dyDescent="0.25">
      <c r="B118" s="46" t="s">
        <v>232</v>
      </c>
      <c r="C118" s="47">
        <v>-228000</v>
      </c>
      <c r="D118" s="48">
        <v>-536.26</v>
      </c>
      <c r="E118" s="49">
        <v>-6.1000000000000004E-3</v>
      </c>
    </row>
    <row r="119" spans="2:8" ht="15.75" customHeight="1" x14ac:dyDescent="0.25">
      <c r="B119" s="46" t="s">
        <v>357</v>
      </c>
      <c r="C119" s="47">
        <v>-16500</v>
      </c>
      <c r="D119" s="48">
        <v>-434.78</v>
      </c>
      <c r="E119" s="49">
        <v>-4.8999999999999998E-3</v>
      </c>
    </row>
    <row r="120" spans="2:8" ht="15.75" customHeight="1" x14ac:dyDescent="0.25">
      <c r="B120" s="46" t="s">
        <v>330</v>
      </c>
      <c r="C120" s="47">
        <v>-139500</v>
      </c>
      <c r="D120" s="48">
        <v>-1150.18</v>
      </c>
      <c r="E120" s="49">
        <v>-1.2999999999999999E-2</v>
      </c>
    </row>
    <row r="121" spans="2:8" ht="15.75" customHeight="1" x14ac:dyDescent="0.25">
      <c r="B121" s="46" t="s">
        <v>264</v>
      </c>
      <c r="C121" s="47">
        <v>-19200</v>
      </c>
      <c r="D121" s="48">
        <v>-244.44</v>
      </c>
      <c r="E121" s="49">
        <v>-2.8E-3</v>
      </c>
    </row>
    <row r="122" spans="2:8" ht="15.75" customHeight="1" x14ac:dyDescent="0.25">
      <c r="B122" s="46" t="s">
        <v>334</v>
      </c>
      <c r="C122" s="47">
        <v>-83300</v>
      </c>
      <c r="D122" s="48">
        <v>-1131.92</v>
      </c>
      <c r="E122" s="49">
        <v>-1.2800000000000001E-2</v>
      </c>
    </row>
    <row r="123" spans="2:8" ht="15.75" customHeight="1" x14ac:dyDescent="0.25">
      <c r="B123" s="46" t="s">
        <v>157</v>
      </c>
      <c r="C123" s="47">
        <v>-102000</v>
      </c>
      <c r="D123" s="48">
        <v>-1459.72</v>
      </c>
      <c r="E123" s="49">
        <v>-1.6500000000000001E-2</v>
      </c>
    </row>
    <row r="124" spans="2:8" ht="15.75" customHeight="1" x14ac:dyDescent="0.25">
      <c r="B124" s="46" t="s">
        <v>165</v>
      </c>
      <c r="C124" s="47">
        <v>-156800</v>
      </c>
      <c r="D124" s="48">
        <v>-3402.8</v>
      </c>
      <c r="E124" s="49">
        <v>-3.8399999999999997E-2</v>
      </c>
    </row>
    <row r="125" spans="2:8" ht="15.75" customHeight="1" x14ac:dyDescent="0.25">
      <c r="B125" s="13" t="s">
        <v>327</v>
      </c>
      <c r="C125" s="50">
        <v>-1711725</v>
      </c>
      <c r="D125" s="51">
        <v>-20503.07</v>
      </c>
      <c r="E125" s="52">
        <v>-0.2316</v>
      </c>
    </row>
    <row r="126" spans="2:8" ht="15.75" customHeight="1" thickBot="1" x14ac:dyDescent="0.3"/>
    <row r="127" spans="2:8" ht="27" customHeight="1" thickBot="1" x14ac:dyDescent="0.3">
      <c r="B127" s="57" t="s">
        <v>980</v>
      </c>
      <c r="C127" s="58" t="s">
        <v>981</v>
      </c>
      <c r="D127" s="58" t="s">
        <v>982</v>
      </c>
      <c r="E127" s="63" t="s">
        <v>983</v>
      </c>
      <c r="G127" s="2"/>
      <c r="H127" s="2"/>
    </row>
    <row r="128" spans="2:8" ht="29.25" customHeight="1" x14ac:dyDescent="0.25">
      <c r="B128" s="70" t="s">
        <v>59</v>
      </c>
      <c r="C128" s="82"/>
      <c r="D128" s="85" t="s">
        <v>1003</v>
      </c>
      <c r="E128" s="87"/>
      <c r="G128" s="2"/>
      <c r="H128" s="2"/>
    </row>
    <row r="129" spans="2:8" ht="26.25" customHeight="1" x14ac:dyDescent="0.25">
      <c r="B129" s="66" t="s">
        <v>1004</v>
      </c>
      <c r="C129" s="83"/>
      <c r="D129" s="86"/>
      <c r="E129" s="83"/>
      <c r="G129" s="2"/>
      <c r="H129" s="2"/>
    </row>
    <row r="130" spans="2:8" ht="51" customHeight="1" x14ac:dyDescent="0.25">
      <c r="B130" s="66" t="s">
        <v>1005</v>
      </c>
      <c r="C130" s="83"/>
      <c r="D130" s="86"/>
      <c r="E130" s="83"/>
      <c r="G130" s="2"/>
      <c r="H130" s="2"/>
    </row>
    <row r="131" spans="2:8" ht="23.25" customHeight="1" thickBot="1" x14ac:dyDescent="0.3">
      <c r="B131" s="68" t="s">
        <v>1006</v>
      </c>
      <c r="C131" s="84"/>
      <c r="D131" s="71" t="s">
        <v>1007</v>
      </c>
      <c r="E131" s="88"/>
      <c r="G131" s="2"/>
      <c r="H131" s="2"/>
    </row>
    <row r="132" spans="2:8" ht="25" customHeight="1" x14ac:dyDescent="0.25">
      <c r="B132" s="59" t="s">
        <v>985</v>
      </c>
      <c r="C132" s="60"/>
      <c r="D132" s="61"/>
      <c r="E132" s="62"/>
      <c r="G132" s="2"/>
      <c r="H132" s="2"/>
    </row>
    <row r="134" spans="2:8" ht="11.5" x14ac:dyDescent="0.25">
      <c r="B134" s="2" t="s">
        <v>986</v>
      </c>
      <c r="C134" s="2"/>
      <c r="D134" s="2"/>
      <c r="G134" s="2"/>
      <c r="H134" s="2"/>
    </row>
    <row r="135" spans="2:8" ht="11.5" x14ac:dyDescent="0.25">
      <c r="B135" s="3" t="s">
        <v>987</v>
      </c>
      <c r="C135" s="2"/>
      <c r="D135" s="2"/>
      <c r="G135" s="2"/>
      <c r="H135" s="2"/>
    </row>
  </sheetData>
  <mergeCells count="3">
    <mergeCell ref="C128:C131"/>
    <mergeCell ref="D128:D130"/>
    <mergeCell ref="E128:E131"/>
  </mergeCells>
  <hyperlinks>
    <hyperlink ref="I1" location="'Sheet1'!A1" display="Index" xr:uid="{3D1244EF-D903-406A-8851-A623891ACC2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34DEE-4528-42E8-9C05-70D8BE85B188}">
  <dimension ref="B1:P112"/>
  <sheetViews>
    <sheetView workbookViewId="0"/>
  </sheetViews>
  <sheetFormatPr defaultColWidth="9.1796875" defaultRowHeight="15.75" customHeight="1" x14ac:dyDescent="0.25"/>
  <cols>
    <col min="1" max="1" width="3.6328125" style="2" customWidth="1"/>
    <col min="2" max="2" width="50.453125" style="9" customWidth="1"/>
    <col min="3" max="3" width="28.7265625" style="9" customWidth="1"/>
    <col min="4" max="4" width="26.6328125" style="9" customWidth="1"/>
    <col min="5" max="5" width="26.54296875" style="2" customWidth="1"/>
    <col min="6" max="6" width="16.453125" style="2" customWidth="1"/>
    <col min="7" max="7" width="15.26953125" style="8" customWidth="1"/>
    <col min="8" max="8" width="5.4531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11</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160</v>
      </c>
      <c r="C7" s="25" t="s">
        <v>161</v>
      </c>
      <c r="D7" s="25" t="s">
        <v>156</v>
      </c>
      <c r="E7" s="26">
        <v>189056</v>
      </c>
      <c r="F7" s="27">
        <v>2873.84</v>
      </c>
      <c r="G7" s="28">
        <v>5.5599999999999997E-2</v>
      </c>
      <c r="H7" s="29"/>
    </row>
    <row r="8" spans="2:9" ht="15.75" customHeight="1" x14ac:dyDescent="0.25">
      <c r="B8" s="25" t="s">
        <v>154</v>
      </c>
      <c r="C8" s="25" t="s">
        <v>155</v>
      </c>
      <c r="D8" s="25" t="s">
        <v>156</v>
      </c>
      <c r="E8" s="26">
        <v>207685</v>
      </c>
      <c r="F8" s="27">
        <v>2389.21</v>
      </c>
      <c r="G8" s="28">
        <v>4.6199999999999998E-2</v>
      </c>
      <c r="H8" s="29"/>
    </row>
    <row r="9" spans="2:9" ht="15.75" customHeight="1" x14ac:dyDescent="0.25">
      <c r="B9" s="25" t="s">
        <v>162</v>
      </c>
      <c r="C9" s="25" t="s">
        <v>163</v>
      </c>
      <c r="D9" s="25" t="s">
        <v>164</v>
      </c>
      <c r="E9" s="26">
        <v>62030</v>
      </c>
      <c r="F9" s="27">
        <v>1819.96</v>
      </c>
      <c r="G9" s="28">
        <v>3.5200000000000002E-2</v>
      </c>
      <c r="H9" s="29"/>
    </row>
    <row r="10" spans="2:9" ht="15.75" customHeight="1" x14ac:dyDescent="0.25">
      <c r="B10" s="25" t="s">
        <v>292</v>
      </c>
      <c r="C10" s="25" t="s">
        <v>293</v>
      </c>
      <c r="D10" s="25" t="s">
        <v>173</v>
      </c>
      <c r="E10" s="26">
        <v>292074</v>
      </c>
      <c r="F10" s="27">
        <v>1272.42</v>
      </c>
      <c r="G10" s="28">
        <v>2.46E-2</v>
      </c>
      <c r="H10" s="29"/>
    </row>
    <row r="11" spans="2:9" ht="15.75" customHeight="1" x14ac:dyDescent="0.25">
      <c r="B11" s="25" t="s">
        <v>424</v>
      </c>
      <c r="C11" s="25" t="s">
        <v>425</v>
      </c>
      <c r="D11" s="25" t="s">
        <v>426</v>
      </c>
      <c r="E11" s="26">
        <v>28382</v>
      </c>
      <c r="F11" s="27">
        <v>1251.6199999999999</v>
      </c>
      <c r="G11" s="28">
        <v>2.4199999999999999E-2</v>
      </c>
      <c r="H11" s="29"/>
    </row>
    <row r="12" spans="2:9" ht="15.75" customHeight="1" x14ac:dyDescent="0.25">
      <c r="B12" s="25" t="s">
        <v>157</v>
      </c>
      <c r="C12" s="25" t="s">
        <v>158</v>
      </c>
      <c r="D12" s="25" t="s">
        <v>159</v>
      </c>
      <c r="E12" s="26">
        <v>80123</v>
      </c>
      <c r="F12" s="27">
        <v>1138.19</v>
      </c>
      <c r="G12" s="28">
        <v>2.1999999999999999E-2</v>
      </c>
      <c r="H12" s="29"/>
    </row>
    <row r="13" spans="2:9" ht="15.75" customHeight="1" x14ac:dyDescent="0.25">
      <c r="B13" s="25" t="s">
        <v>427</v>
      </c>
      <c r="C13" s="25" t="s">
        <v>428</v>
      </c>
      <c r="D13" s="25" t="s">
        <v>426</v>
      </c>
      <c r="E13" s="26">
        <v>553310</v>
      </c>
      <c r="F13" s="27">
        <v>1068.72</v>
      </c>
      <c r="G13" s="28">
        <v>2.07E-2</v>
      </c>
      <c r="H13" s="29"/>
    </row>
    <row r="14" spans="2:9" ht="15.75" customHeight="1" x14ac:dyDescent="0.25">
      <c r="B14" s="25" t="s">
        <v>261</v>
      </c>
      <c r="C14" s="25" t="s">
        <v>262</v>
      </c>
      <c r="D14" s="25" t="s">
        <v>263</v>
      </c>
      <c r="E14" s="26">
        <v>29555</v>
      </c>
      <c r="F14" s="27">
        <v>1062.3</v>
      </c>
      <c r="G14" s="28">
        <v>2.06E-2</v>
      </c>
      <c r="H14" s="29"/>
    </row>
    <row r="15" spans="2:9" ht="15.75" customHeight="1" x14ac:dyDescent="0.25">
      <c r="B15" s="25" t="s">
        <v>336</v>
      </c>
      <c r="C15" s="25" t="s">
        <v>337</v>
      </c>
      <c r="D15" s="25" t="s">
        <v>281</v>
      </c>
      <c r="E15" s="26">
        <v>288389</v>
      </c>
      <c r="F15" s="27">
        <v>1047.43</v>
      </c>
      <c r="G15" s="28">
        <v>2.0299999999999999E-2</v>
      </c>
      <c r="H15" s="29"/>
    </row>
    <row r="16" spans="2:9" ht="15.75" customHeight="1" x14ac:dyDescent="0.25">
      <c r="B16" s="25" t="s">
        <v>429</v>
      </c>
      <c r="C16" s="25" t="s">
        <v>430</v>
      </c>
      <c r="D16" s="25" t="s">
        <v>431</v>
      </c>
      <c r="E16" s="26">
        <v>87629</v>
      </c>
      <c r="F16" s="27">
        <v>1001.77</v>
      </c>
      <c r="G16" s="28">
        <v>1.9400000000000001E-2</v>
      </c>
      <c r="H16" s="29"/>
    </row>
    <row r="17" spans="2:8" ht="15.75" customHeight="1" x14ac:dyDescent="0.25">
      <c r="B17" s="25" t="s">
        <v>330</v>
      </c>
      <c r="C17" s="25" t="s">
        <v>331</v>
      </c>
      <c r="D17" s="25" t="s">
        <v>156</v>
      </c>
      <c r="E17" s="26">
        <v>119153</v>
      </c>
      <c r="F17" s="27">
        <v>984.5</v>
      </c>
      <c r="G17" s="28">
        <v>1.9E-2</v>
      </c>
      <c r="H17" s="29"/>
    </row>
    <row r="18" spans="2:8" ht="15.75" customHeight="1" x14ac:dyDescent="0.25">
      <c r="B18" s="25" t="s">
        <v>332</v>
      </c>
      <c r="C18" s="25" t="s">
        <v>333</v>
      </c>
      <c r="D18" s="25" t="s">
        <v>159</v>
      </c>
      <c r="E18" s="26">
        <v>23289</v>
      </c>
      <c r="F18" s="27">
        <v>889.79</v>
      </c>
      <c r="G18" s="28">
        <v>1.72E-2</v>
      </c>
      <c r="H18" s="29"/>
    </row>
    <row r="19" spans="2:8" ht="15.75" customHeight="1" x14ac:dyDescent="0.25">
      <c r="B19" s="25" t="s">
        <v>372</v>
      </c>
      <c r="C19" s="25" t="s">
        <v>373</v>
      </c>
      <c r="D19" s="25" t="s">
        <v>214</v>
      </c>
      <c r="E19" s="26">
        <v>594532</v>
      </c>
      <c r="F19" s="27">
        <v>854.05</v>
      </c>
      <c r="G19" s="28">
        <v>1.6500000000000001E-2</v>
      </c>
      <c r="H19" s="29"/>
    </row>
    <row r="20" spans="2:8" ht="15.75" customHeight="1" x14ac:dyDescent="0.25">
      <c r="B20" s="25" t="s">
        <v>247</v>
      </c>
      <c r="C20" s="25" t="s">
        <v>248</v>
      </c>
      <c r="D20" s="25" t="s">
        <v>156</v>
      </c>
      <c r="E20" s="26">
        <v>68876</v>
      </c>
      <c r="F20" s="27">
        <v>803.03</v>
      </c>
      <c r="G20" s="28">
        <v>1.55E-2</v>
      </c>
      <c r="H20" s="29"/>
    </row>
    <row r="21" spans="2:8" ht="15.75" customHeight="1" x14ac:dyDescent="0.25">
      <c r="B21" s="25" t="s">
        <v>432</v>
      </c>
      <c r="C21" s="25" t="s">
        <v>433</v>
      </c>
      <c r="D21" s="25" t="s">
        <v>431</v>
      </c>
      <c r="E21" s="26">
        <v>59807</v>
      </c>
      <c r="F21" s="27">
        <v>795.34</v>
      </c>
      <c r="G21" s="28">
        <v>1.54E-2</v>
      </c>
      <c r="H21" s="29"/>
    </row>
    <row r="22" spans="2:8" ht="15.75" customHeight="1" x14ac:dyDescent="0.25">
      <c r="B22" s="25" t="s">
        <v>434</v>
      </c>
      <c r="C22" s="25" t="s">
        <v>435</v>
      </c>
      <c r="D22" s="25" t="s">
        <v>268</v>
      </c>
      <c r="E22" s="26">
        <v>60099</v>
      </c>
      <c r="F22" s="27">
        <v>794.69</v>
      </c>
      <c r="G22" s="28">
        <v>1.54E-2</v>
      </c>
      <c r="H22" s="29"/>
    </row>
    <row r="23" spans="2:8" ht="15.75" customHeight="1" x14ac:dyDescent="0.25">
      <c r="B23" s="25" t="s">
        <v>368</v>
      </c>
      <c r="C23" s="25" t="s">
        <v>369</v>
      </c>
      <c r="D23" s="25" t="s">
        <v>343</v>
      </c>
      <c r="E23" s="26">
        <v>50605</v>
      </c>
      <c r="F23" s="27">
        <v>788.05</v>
      </c>
      <c r="G23" s="28">
        <v>1.52E-2</v>
      </c>
      <c r="H23" s="29"/>
    </row>
    <row r="24" spans="2:8" ht="15.75" customHeight="1" x14ac:dyDescent="0.25">
      <c r="B24" s="25" t="s">
        <v>304</v>
      </c>
      <c r="C24" s="25" t="s">
        <v>305</v>
      </c>
      <c r="D24" s="25" t="s">
        <v>296</v>
      </c>
      <c r="E24" s="26">
        <v>579968</v>
      </c>
      <c r="F24" s="27">
        <v>760.92</v>
      </c>
      <c r="G24" s="28">
        <v>1.47E-2</v>
      </c>
      <c r="H24" s="29"/>
    </row>
    <row r="25" spans="2:8" ht="15.75" customHeight="1" x14ac:dyDescent="0.25">
      <c r="B25" s="25" t="s">
        <v>436</v>
      </c>
      <c r="C25" s="25" t="s">
        <v>437</v>
      </c>
      <c r="D25" s="25" t="s">
        <v>315</v>
      </c>
      <c r="E25" s="26">
        <v>71301</v>
      </c>
      <c r="F25" s="27">
        <v>740.64</v>
      </c>
      <c r="G25" s="28">
        <v>1.43E-2</v>
      </c>
      <c r="H25" s="29"/>
    </row>
    <row r="26" spans="2:8" ht="15.75" customHeight="1" x14ac:dyDescent="0.25">
      <c r="B26" s="25" t="s">
        <v>438</v>
      </c>
      <c r="C26" s="25" t="s">
        <v>439</v>
      </c>
      <c r="D26" s="25" t="s">
        <v>156</v>
      </c>
      <c r="E26" s="26">
        <v>724565</v>
      </c>
      <c r="F26" s="27">
        <v>703.19</v>
      </c>
      <c r="G26" s="28">
        <v>1.3599999999999999E-2</v>
      </c>
      <c r="H26" s="29"/>
    </row>
    <row r="27" spans="2:8" ht="15.75" customHeight="1" x14ac:dyDescent="0.25">
      <c r="B27" s="25" t="s">
        <v>351</v>
      </c>
      <c r="C27" s="25" t="s">
        <v>352</v>
      </c>
      <c r="D27" s="25" t="s">
        <v>214</v>
      </c>
      <c r="E27" s="26">
        <v>29052</v>
      </c>
      <c r="F27" s="27">
        <v>686.91</v>
      </c>
      <c r="G27" s="28">
        <v>1.3299999999999999E-2</v>
      </c>
      <c r="H27" s="29"/>
    </row>
    <row r="28" spans="2:8" ht="15.75" customHeight="1" x14ac:dyDescent="0.25">
      <c r="B28" s="25" t="s">
        <v>440</v>
      </c>
      <c r="C28" s="25" t="s">
        <v>441</v>
      </c>
      <c r="D28" s="25" t="s">
        <v>442</v>
      </c>
      <c r="E28" s="26">
        <v>18613</v>
      </c>
      <c r="F28" s="27">
        <v>668.07</v>
      </c>
      <c r="G28" s="28">
        <v>1.29E-2</v>
      </c>
      <c r="H28" s="29"/>
    </row>
    <row r="29" spans="2:8" ht="15.75" customHeight="1" x14ac:dyDescent="0.25">
      <c r="B29" s="25" t="s">
        <v>443</v>
      </c>
      <c r="C29" s="25" t="s">
        <v>444</v>
      </c>
      <c r="D29" s="25" t="s">
        <v>343</v>
      </c>
      <c r="E29" s="26">
        <v>16631</v>
      </c>
      <c r="F29" s="27">
        <v>664.51</v>
      </c>
      <c r="G29" s="28">
        <v>1.29E-2</v>
      </c>
      <c r="H29" s="29"/>
    </row>
    <row r="30" spans="2:8" ht="15.75" customHeight="1" x14ac:dyDescent="0.25">
      <c r="B30" s="25" t="s">
        <v>245</v>
      </c>
      <c r="C30" s="25" t="s">
        <v>246</v>
      </c>
      <c r="D30" s="25" t="s">
        <v>156</v>
      </c>
      <c r="E30" s="26">
        <v>795452</v>
      </c>
      <c r="F30" s="27">
        <v>653.46</v>
      </c>
      <c r="G30" s="28">
        <v>1.26E-2</v>
      </c>
      <c r="H30" s="29"/>
    </row>
    <row r="31" spans="2:8" ht="15.75" customHeight="1" x14ac:dyDescent="0.25">
      <c r="B31" s="25" t="s">
        <v>445</v>
      </c>
      <c r="C31" s="25" t="s">
        <v>446</v>
      </c>
      <c r="D31" s="25" t="s">
        <v>431</v>
      </c>
      <c r="E31" s="26">
        <v>11021</v>
      </c>
      <c r="F31" s="27">
        <v>643.80999999999995</v>
      </c>
      <c r="G31" s="28">
        <v>1.2500000000000001E-2</v>
      </c>
      <c r="H31" s="29"/>
    </row>
    <row r="32" spans="2:8" ht="15.75" customHeight="1" x14ac:dyDescent="0.25">
      <c r="B32" s="25" t="s">
        <v>378</v>
      </c>
      <c r="C32" s="25" t="s">
        <v>379</v>
      </c>
      <c r="D32" s="25" t="s">
        <v>380</v>
      </c>
      <c r="E32" s="26">
        <v>43111</v>
      </c>
      <c r="F32" s="27">
        <v>637.80999999999995</v>
      </c>
      <c r="G32" s="28">
        <v>1.23E-2</v>
      </c>
      <c r="H32" s="29"/>
    </row>
    <row r="33" spans="2:8" ht="15.75" customHeight="1" x14ac:dyDescent="0.25">
      <c r="B33" s="25" t="s">
        <v>447</v>
      </c>
      <c r="C33" s="25" t="s">
        <v>448</v>
      </c>
      <c r="D33" s="25" t="s">
        <v>431</v>
      </c>
      <c r="E33" s="26">
        <v>187101</v>
      </c>
      <c r="F33" s="27">
        <v>627.63</v>
      </c>
      <c r="G33" s="28">
        <v>1.21E-2</v>
      </c>
      <c r="H33" s="29"/>
    </row>
    <row r="34" spans="2:8" ht="15.75" customHeight="1" x14ac:dyDescent="0.25">
      <c r="B34" s="25" t="s">
        <v>449</v>
      </c>
      <c r="C34" s="25" t="s">
        <v>450</v>
      </c>
      <c r="D34" s="25" t="s">
        <v>442</v>
      </c>
      <c r="E34" s="26">
        <v>36916</v>
      </c>
      <c r="F34" s="27">
        <v>614.28</v>
      </c>
      <c r="G34" s="28">
        <v>1.1900000000000001E-2</v>
      </c>
      <c r="H34" s="29"/>
    </row>
    <row r="35" spans="2:8" ht="15.75" customHeight="1" x14ac:dyDescent="0.25">
      <c r="B35" s="25" t="s">
        <v>207</v>
      </c>
      <c r="C35" s="25" t="s">
        <v>208</v>
      </c>
      <c r="D35" s="25" t="s">
        <v>209</v>
      </c>
      <c r="E35" s="26">
        <v>135379</v>
      </c>
      <c r="F35" s="27">
        <v>597.77</v>
      </c>
      <c r="G35" s="28">
        <v>1.1599999999999999E-2</v>
      </c>
      <c r="H35" s="29"/>
    </row>
    <row r="36" spans="2:8" ht="15.75" customHeight="1" x14ac:dyDescent="0.25">
      <c r="B36" s="25" t="s">
        <v>357</v>
      </c>
      <c r="C36" s="25" t="s">
        <v>358</v>
      </c>
      <c r="D36" s="25" t="s">
        <v>260</v>
      </c>
      <c r="E36" s="26">
        <v>22191</v>
      </c>
      <c r="F36" s="27">
        <v>581.64</v>
      </c>
      <c r="G36" s="28">
        <v>1.1299999999999999E-2</v>
      </c>
      <c r="H36" s="29"/>
    </row>
    <row r="37" spans="2:8" ht="15.75" customHeight="1" x14ac:dyDescent="0.25">
      <c r="B37" s="25" t="s">
        <v>451</v>
      </c>
      <c r="C37" s="25" t="s">
        <v>452</v>
      </c>
      <c r="D37" s="25" t="s">
        <v>209</v>
      </c>
      <c r="E37" s="26">
        <v>76250</v>
      </c>
      <c r="F37" s="27">
        <v>578.20000000000005</v>
      </c>
      <c r="G37" s="28">
        <v>1.12E-2</v>
      </c>
      <c r="H37" s="29"/>
    </row>
    <row r="38" spans="2:8" ht="15.75" customHeight="1" x14ac:dyDescent="0.25">
      <c r="B38" s="25" t="s">
        <v>453</v>
      </c>
      <c r="C38" s="25" t="s">
        <v>454</v>
      </c>
      <c r="D38" s="25" t="s">
        <v>350</v>
      </c>
      <c r="E38" s="26">
        <v>54496</v>
      </c>
      <c r="F38" s="27">
        <v>576.49</v>
      </c>
      <c r="G38" s="28">
        <v>1.12E-2</v>
      </c>
      <c r="H38" s="29"/>
    </row>
    <row r="39" spans="2:8" ht="15.75" customHeight="1" x14ac:dyDescent="0.25">
      <c r="B39" s="25" t="s">
        <v>455</v>
      </c>
      <c r="C39" s="25" t="s">
        <v>456</v>
      </c>
      <c r="D39" s="25" t="s">
        <v>457</v>
      </c>
      <c r="E39" s="26">
        <v>90634</v>
      </c>
      <c r="F39" s="27">
        <v>575.48</v>
      </c>
      <c r="G39" s="28">
        <v>1.11E-2</v>
      </c>
      <c r="H39" s="29"/>
    </row>
    <row r="40" spans="2:8" ht="15.75" customHeight="1" x14ac:dyDescent="0.25">
      <c r="B40" s="25" t="s">
        <v>385</v>
      </c>
      <c r="C40" s="25" t="s">
        <v>386</v>
      </c>
      <c r="D40" s="25" t="s">
        <v>167</v>
      </c>
      <c r="E40" s="26">
        <v>26869</v>
      </c>
      <c r="F40" s="27">
        <v>553.5</v>
      </c>
      <c r="G40" s="28">
        <v>1.0699999999999999E-2</v>
      </c>
      <c r="H40" s="29"/>
    </row>
    <row r="41" spans="2:8" ht="15.75" customHeight="1" x14ac:dyDescent="0.25">
      <c r="B41" s="25" t="s">
        <v>374</v>
      </c>
      <c r="C41" s="25" t="s">
        <v>375</v>
      </c>
      <c r="D41" s="25" t="s">
        <v>156</v>
      </c>
      <c r="E41" s="26">
        <v>352538</v>
      </c>
      <c r="F41" s="27">
        <v>546.79</v>
      </c>
      <c r="G41" s="28">
        <v>1.06E-2</v>
      </c>
      <c r="H41" s="29"/>
    </row>
    <row r="42" spans="2:8" ht="15.75" customHeight="1" x14ac:dyDescent="0.25">
      <c r="B42" s="25" t="s">
        <v>458</v>
      </c>
      <c r="C42" s="25" t="s">
        <v>459</v>
      </c>
      <c r="D42" s="25" t="s">
        <v>296</v>
      </c>
      <c r="E42" s="26">
        <v>42132</v>
      </c>
      <c r="F42" s="27">
        <v>535.58000000000004</v>
      </c>
      <c r="G42" s="28">
        <v>1.04E-2</v>
      </c>
      <c r="H42" s="29"/>
    </row>
    <row r="43" spans="2:8" ht="15.75" customHeight="1" x14ac:dyDescent="0.25">
      <c r="B43" s="25" t="s">
        <v>171</v>
      </c>
      <c r="C43" s="25" t="s">
        <v>172</v>
      </c>
      <c r="D43" s="25" t="s">
        <v>173</v>
      </c>
      <c r="E43" s="26">
        <v>23827</v>
      </c>
      <c r="F43" s="27">
        <v>531.45000000000005</v>
      </c>
      <c r="G43" s="28">
        <v>1.03E-2</v>
      </c>
      <c r="H43" s="29"/>
    </row>
    <row r="44" spans="2:8" ht="15.75" customHeight="1" x14ac:dyDescent="0.25">
      <c r="B44" s="25" t="s">
        <v>346</v>
      </c>
      <c r="C44" s="25" t="s">
        <v>347</v>
      </c>
      <c r="D44" s="25" t="s">
        <v>167</v>
      </c>
      <c r="E44" s="26">
        <v>11523</v>
      </c>
      <c r="F44" s="27">
        <v>523.5</v>
      </c>
      <c r="G44" s="28">
        <v>1.01E-2</v>
      </c>
      <c r="H44" s="29"/>
    </row>
    <row r="45" spans="2:8" ht="15.75" customHeight="1" x14ac:dyDescent="0.25">
      <c r="B45" s="25" t="s">
        <v>168</v>
      </c>
      <c r="C45" s="25" t="s">
        <v>169</v>
      </c>
      <c r="D45" s="25" t="s">
        <v>170</v>
      </c>
      <c r="E45" s="26">
        <v>20179</v>
      </c>
      <c r="F45" s="27">
        <v>505.97</v>
      </c>
      <c r="G45" s="28">
        <v>9.7999999999999997E-3</v>
      </c>
      <c r="H45" s="29"/>
    </row>
    <row r="46" spans="2:8" ht="15.75" customHeight="1" x14ac:dyDescent="0.25">
      <c r="B46" s="25" t="s">
        <v>210</v>
      </c>
      <c r="C46" s="25" t="s">
        <v>211</v>
      </c>
      <c r="D46" s="25" t="s">
        <v>209</v>
      </c>
      <c r="E46" s="26">
        <v>7300</v>
      </c>
      <c r="F46" s="27">
        <v>505.42</v>
      </c>
      <c r="G46" s="28">
        <v>9.7999999999999997E-3</v>
      </c>
      <c r="H46" s="29"/>
    </row>
    <row r="47" spans="2:8" ht="15.75" customHeight="1" x14ac:dyDescent="0.25">
      <c r="B47" s="25" t="s">
        <v>460</v>
      </c>
      <c r="C47" s="25" t="s">
        <v>461</v>
      </c>
      <c r="D47" s="25" t="s">
        <v>442</v>
      </c>
      <c r="E47" s="26">
        <v>157610</v>
      </c>
      <c r="F47" s="27">
        <v>501.83</v>
      </c>
      <c r="G47" s="28">
        <v>9.7000000000000003E-3</v>
      </c>
      <c r="H47" s="29"/>
    </row>
    <row r="48" spans="2:8" ht="15.75" customHeight="1" x14ac:dyDescent="0.25">
      <c r="B48" s="25" t="s">
        <v>462</v>
      </c>
      <c r="C48" s="25" t="s">
        <v>463</v>
      </c>
      <c r="D48" s="25" t="s">
        <v>159</v>
      </c>
      <c r="E48" s="26">
        <v>97058</v>
      </c>
      <c r="F48" s="27">
        <v>483.59</v>
      </c>
      <c r="G48" s="28">
        <v>9.4000000000000004E-3</v>
      </c>
      <c r="H48" s="29"/>
    </row>
    <row r="49" spans="2:8" ht="15.75" customHeight="1" x14ac:dyDescent="0.25">
      <c r="B49" s="25" t="s">
        <v>464</v>
      </c>
      <c r="C49" s="25" t="s">
        <v>465</v>
      </c>
      <c r="D49" s="25" t="s">
        <v>303</v>
      </c>
      <c r="E49" s="26">
        <v>38990</v>
      </c>
      <c r="F49" s="27">
        <v>482.93</v>
      </c>
      <c r="G49" s="28">
        <v>9.2999999999999992E-3</v>
      </c>
      <c r="H49" s="29"/>
    </row>
    <row r="50" spans="2:8" ht="15.75" customHeight="1" x14ac:dyDescent="0.25">
      <c r="B50" s="25" t="s">
        <v>264</v>
      </c>
      <c r="C50" s="25" t="s">
        <v>265</v>
      </c>
      <c r="D50" s="25" t="s">
        <v>159</v>
      </c>
      <c r="E50" s="26">
        <v>36695</v>
      </c>
      <c r="F50" s="27">
        <v>463.64</v>
      </c>
      <c r="G50" s="28">
        <v>8.9999999999999993E-3</v>
      </c>
      <c r="H50" s="29"/>
    </row>
    <row r="51" spans="2:8" ht="15.75" customHeight="1" x14ac:dyDescent="0.25">
      <c r="B51" s="25" t="s">
        <v>344</v>
      </c>
      <c r="C51" s="25" t="s">
        <v>345</v>
      </c>
      <c r="D51" s="25" t="s">
        <v>167</v>
      </c>
      <c r="E51" s="26">
        <v>3482</v>
      </c>
      <c r="F51" s="27">
        <v>446.31</v>
      </c>
      <c r="G51" s="28">
        <v>8.6E-3</v>
      </c>
      <c r="H51" s="29"/>
    </row>
    <row r="52" spans="2:8" ht="15.75" customHeight="1" x14ac:dyDescent="0.25">
      <c r="B52" s="25" t="s">
        <v>466</v>
      </c>
      <c r="C52" s="25" t="s">
        <v>467</v>
      </c>
      <c r="D52" s="25" t="s">
        <v>170</v>
      </c>
      <c r="E52" s="26">
        <v>77805</v>
      </c>
      <c r="F52" s="27">
        <v>414.58</v>
      </c>
      <c r="G52" s="28">
        <v>8.0000000000000002E-3</v>
      </c>
      <c r="H52" s="29"/>
    </row>
    <row r="53" spans="2:8" ht="15.75" customHeight="1" x14ac:dyDescent="0.25">
      <c r="B53" s="25" t="s">
        <v>468</v>
      </c>
      <c r="C53" s="25" t="s">
        <v>469</v>
      </c>
      <c r="D53" s="25" t="s">
        <v>217</v>
      </c>
      <c r="E53" s="26">
        <v>47107</v>
      </c>
      <c r="F53" s="27">
        <v>413.27</v>
      </c>
      <c r="G53" s="28">
        <v>8.0000000000000002E-3</v>
      </c>
      <c r="H53" s="29"/>
    </row>
    <row r="54" spans="2:8" ht="15.75" customHeight="1" x14ac:dyDescent="0.25">
      <c r="B54" s="25" t="s">
        <v>470</v>
      </c>
      <c r="C54" s="25" t="s">
        <v>471</v>
      </c>
      <c r="D54" s="25" t="s">
        <v>214</v>
      </c>
      <c r="E54" s="26">
        <v>25658</v>
      </c>
      <c r="F54" s="27">
        <v>385.41</v>
      </c>
      <c r="G54" s="28">
        <v>7.4999999999999997E-3</v>
      </c>
      <c r="H54" s="29"/>
    </row>
    <row r="55" spans="2:8" ht="15.75" customHeight="1" x14ac:dyDescent="0.25">
      <c r="B55" s="25" t="s">
        <v>472</v>
      </c>
      <c r="C55" s="25" t="s">
        <v>473</v>
      </c>
      <c r="D55" s="25" t="s">
        <v>296</v>
      </c>
      <c r="E55" s="26">
        <v>8323</v>
      </c>
      <c r="F55" s="27">
        <v>368.41</v>
      </c>
      <c r="G55" s="28">
        <v>7.1000000000000004E-3</v>
      </c>
      <c r="H55" s="29"/>
    </row>
    <row r="56" spans="2:8" ht="15.75" customHeight="1" x14ac:dyDescent="0.25">
      <c r="B56" s="25" t="s">
        <v>474</v>
      </c>
      <c r="C56" s="25" t="s">
        <v>475</v>
      </c>
      <c r="D56" s="25" t="s">
        <v>159</v>
      </c>
      <c r="E56" s="26">
        <v>6527</v>
      </c>
      <c r="F56" s="27">
        <v>333.09</v>
      </c>
      <c r="G56" s="28">
        <v>6.4000000000000003E-3</v>
      </c>
      <c r="H56" s="29"/>
    </row>
    <row r="57" spans="2:8" ht="15.75" customHeight="1" x14ac:dyDescent="0.25">
      <c r="B57" s="25" t="s">
        <v>310</v>
      </c>
      <c r="C57" s="25" t="s">
        <v>311</v>
      </c>
      <c r="D57" s="25" t="s">
        <v>312</v>
      </c>
      <c r="E57" s="26">
        <v>70926</v>
      </c>
      <c r="F57" s="27">
        <v>322.22000000000003</v>
      </c>
      <c r="G57" s="28">
        <v>6.1999999999999998E-3</v>
      </c>
      <c r="H57" s="29"/>
    </row>
    <row r="58" spans="2:8" ht="15.75" customHeight="1" x14ac:dyDescent="0.25">
      <c r="B58" s="25" t="s">
        <v>476</v>
      </c>
      <c r="C58" s="25" t="s">
        <v>477</v>
      </c>
      <c r="D58" s="25" t="s">
        <v>296</v>
      </c>
      <c r="E58" s="26">
        <v>49058</v>
      </c>
      <c r="F58" s="27">
        <v>306.77999999999997</v>
      </c>
      <c r="G58" s="28">
        <v>5.8999999999999999E-3</v>
      </c>
      <c r="H58" s="29"/>
    </row>
    <row r="59" spans="2:8" ht="15.75" customHeight="1" x14ac:dyDescent="0.25">
      <c r="B59" s="25" t="s">
        <v>478</v>
      </c>
      <c r="C59" s="25" t="s">
        <v>479</v>
      </c>
      <c r="D59" s="25" t="s">
        <v>244</v>
      </c>
      <c r="E59" s="26">
        <v>29638</v>
      </c>
      <c r="F59" s="27">
        <v>235.5</v>
      </c>
      <c r="G59" s="28">
        <v>4.5999999999999999E-3</v>
      </c>
      <c r="H59" s="29"/>
    </row>
    <row r="60" spans="2:8" ht="15.75" customHeight="1" x14ac:dyDescent="0.25">
      <c r="B60" s="24" t="s">
        <v>128</v>
      </c>
      <c r="C60" s="24"/>
      <c r="D60" s="24"/>
      <c r="E60" s="30"/>
      <c r="F60" s="31">
        <v>40005.49</v>
      </c>
      <c r="G60" s="32">
        <v>0.77390000000000003</v>
      </c>
      <c r="H60" s="33"/>
    </row>
    <row r="61" spans="2:8" ht="15.75" customHeight="1" x14ac:dyDescent="0.25">
      <c r="B61" s="24" t="s">
        <v>176</v>
      </c>
      <c r="C61" s="25"/>
      <c r="D61" s="25"/>
      <c r="E61" s="26"/>
      <c r="F61" s="27"/>
      <c r="G61" s="28"/>
      <c r="H61" s="29"/>
    </row>
    <row r="62" spans="2:8" ht="15.75" customHeight="1" x14ac:dyDescent="0.25">
      <c r="B62" s="24" t="s">
        <v>128</v>
      </c>
      <c r="C62" s="25"/>
      <c r="D62" s="25"/>
      <c r="E62" s="26"/>
      <c r="F62" s="34" t="s">
        <v>130</v>
      </c>
      <c r="G62" s="35" t="s">
        <v>130</v>
      </c>
      <c r="H62" s="29"/>
    </row>
    <row r="63" spans="2:8" ht="15.75" customHeight="1" x14ac:dyDescent="0.25">
      <c r="B63" s="25"/>
      <c r="C63" s="25"/>
      <c r="D63" s="25"/>
      <c r="E63" s="26"/>
      <c r="F63" s="27"/>
      <c r="G63" s="28"/>
      <c r="H63" s="29"/>
    </row>
    <row r="64" spans="2:8" ht="15.75" customHeight="1" x14ac:dyDescent="0.25">
      <c r="B64" s="36" t="s">
        <v>132</v>
      </c>
      <c r="C64" s="36"/>
      <c r="D64" s="36"/>
      <c r="E64" s="37"/>
      <c r="F64" s="31">
        <v>40005.49</v>
      </c>
      <c r="G64" s="32">
        <v>0.77390000000000003</v>
      </c>
      <c r="H64" s="33"/>
    </row>
    <row r="65" spans="2:16" ht="15.75" customHeight="1" x14ac:dyDescent="0.25">
      <c r="B65" s="25"/>
      <c r="C65" s="25"/>
      <c r="D65" s="25"/>
      <c r="E65" s="26"/>
      <c r="F65" s="27"/>
      <c r="G65" s="28"/>
      <c r="H65" s="29"/>
    </row>
    <row r="66" spans="2:16" ht="15.75" customHeight="1" x14ac:dyDescent="0.25">
      <c r="B66" s="24" t="s">
        <v>116</v>
      </c>
      <c r="C66" s="25"/>
      <c r="D66" s="25"/>
      <c r="E66" s="26"/>
      <c r="F66" s="27"/>
      <c r="G66" s="28"/>
      <c r="H66" s="29"/>
    </row>
    <row r="67" spans="2:16" ht="15.75" customHeight="1" x14ac:dyDescent="0.25">
      <c r="B67" s="24" t="s">
        <v>117</v>
      </c>
      <c r="C67" s="25"/>
      <c r="D67" s="25"/>
      <c r="E67" s="26"/>
      <c r="F67" s="27"/>
      <c r="G67" s="28"/>
      <c r="H67" s="29"/>
    </row>
    <row r="68" spans="2:16" ht="15.75" customHeight="1" x14ac:dyDescent="0.25">
      <c r="B68" s="25" t="s">
        <v>480</v>
      </c>
      <c r="C68" s="25" t="s">
        <v>481</v>
      </c>
      <c r="D68" s="25" t="s">
        <v>119</v>
      </c>
      <c r="E68" s="26">
        <v>1500000</v>
      </c>
      <c r="F68" s="27">
        <v>1577.1</v>
      </c>
      <c r="G68" s="28">
        <v>3.0499999999999999E-2</v>
      </c>
      <c r="H68" s="29">
        <v>7.6255000000000003E-2</v>
      </c>
      <c r="L68" s="3"/>
    </row>
    <row r="69" spans="2:16" ht="15.75" customHeight="1" x14ac:dyDescent="0.25">
      <c r="B69" s="25" t="s">
        <v>188</v>
      </c>
      <c r="C69" s="25" t="s">
        <v>189</v>
      </c>
      <c r="D69" s="25" t="s">
        <v>119</v>
      </c>
      <c r="E69" s="26">
        <v>1500000</v>
      </c>
      <c r="F69" s="27">
        <v>1434.09</v>
      </c>
      <c r="G69" s="28">
        <v>2.7699999999999999E-2</v>
      </c>
      <c r="H69" s="29">
        <v>7.3553999999999994E-2</v>
      </c>
    </row>
    <row r="70" spans="2:16" ht="15.75" customHeight="1" x14ac:dyDescent="0.25">
      <c r="B70" s="25" t="s">
        <v>482</v>
      </c>
      <c r="C70" s="25" t="s">
        <v>483</v>
      </c>
      <c r="D70" s="25" t="s">
        <v>119</v>
      </c>
      <c r="E70" s="26">
        <v>1000000</v>
      </c>
      <c r="F70" s="27">
        <v>1050.3800000000001</v>
      </c>
      <c r="G70" s="28">
        <v>2.0299999999999999E-2</v>
      </c>
      <c r="H70" s="29">
        <v>7.6230000000000006E-2</v>
      </c>
      <c r="L70" s="3"/>
    </row>
    <row r="71" spans="2:16" ht="15.75" customHeight="1" x14ac:dyDescent="0.25">
      <c r="B71" s="25" t="s">
        <v>122</v>
      </c>
      <c r="C71" s="25" t="s">
        <v>127</v>
      </c>
      <c r="D71" s="25" t="s">
        <v>119</v>
      </c>
      <c r="E71" s="26">
        <v>1000000</v>
      </c>
      <c r="F71" s="27">
        <v>1019.81</v>
      </c>
      <c r="G71" s="28">
        <v>1.9699999999999999E-2</v>
      </c>
      <c r="H71" s="29">
        <v>7.3460999999999999E-2</v>
      </c>
      <c r="L71" s="3"/>
    </row>
    <row r="72" spans="2:16" ht="15.75" customHeight="1" x14ac:dyDescent="0.25">
      <c r="B72" s="25" t="s">
        <v>484</v>
      </c>
      <c r="C72" s="25" t="s">
        <v>485</v>
      </c>
      <c r="D72" s="25" t="s">
        <v>119</v>
      </c>
      <c r="E72" s="26">
        <v>1000000</v>
      </c>
      <c r="F72" s="27">
        <v>979.3</v>
      </c>
      <c r="G72" s="28">
        <v>1.89E-2</v>
      </c>
      <c r="H72" s="29">
        <v>7.3462E-2</v>
      </c>
      <c r="L72" s="3"/>
    </row>
    <row r="73" spans="2:16" ht="15.75" customHeight="1" x14ac:dyDescent="0.25">
      <c r="B73" s="25" t="s">
        <v>177</v>
      </c>
      <c r="C73" s="25" t="s">
        <v>178</v>
      </c>
      <c r="D73" s="25" t="s">
        <v>119</v>
      </c>
      <c r="E73" s="26">
        <v>650000</v>
      </c>
      <c r="F73" s="27">
        <v>670.8</v>
      </c>
      <c r="G73" s="28">
        <v>1.2999999999999999E-2</v>
      </c>
      <c r="H73" s="29">
        <v>7.3180999999999996E-2</v>
      </c>
      <c r="L73" s="3"/>
    </row>
    <row r="74" spans="2:16" ht="15.75" customHeight="1" x14ac:dyDescent="0.25">
      <c r="B74" s="25" t="s">
        <v>181</v>
      </c>
      <c r="C74" s="25" t="s">
        <v>182</v>
      </c>
      <c r="D74" s="25" t="s">
        <v>119</v>
      </c>
      <c r="E74" s="26">
        <v>550000</v>
      </c>
      <c r="F74" s="27">
        <v>570.88</v>
      </c>
      <c r="G74" s="28">
        <v>1.0999999999999999E-2</v>
      </c>
      <c r="H74" s="29">
        <v>7.6148999999999994E-2</v>
      </c>
      <c r="L74" s="3"/>
    </row>
    <row r="75" spans="2:16" ht="15.75" customHeight="1" x14ac:dyDescent="0.25">
      <c r="B75" s="25" t="s">
        <v>118</v>
      </c>
      <c r="C75" s="25" t="s">
        <v>486</v>
      </c>
      <c r="D75" s="25" t="s">
        <v>119</v>
      </c>
      <c r="E75" s="26">
        <v>500000</v>
      </c>
      <c r="F75" s="27">
        <v>525.05999999999995</v>
      </c>
      <c r="G75" s="28">
        <v>1.0200000000000001E-2</v>
      </c>
      <c r="H75" s="29">
        <v>7.6367000000000004E-2</v>
      </c>
      <c r="L75" s="5"/>
      <c r="M75" s="5"/>
      <c r="N75" s="6"/>
      <c r="O75" s="6"/>
      <c r="P75" s="5"/>
    </row>
    <row r="76" spans="2:16" ht="15.75" customHeight="1" x14ac:dyDescent="0.25">
      <c r="B76" s="25" t="s">
        <v>142</v>
      </c>
      <c r="C76" s="25" t="s">
        <v>143</v>
      </c>
      <c r="D76" s="25" t="s">
        <v>126</v>
      </c>
      <c r="E76" s="26">
        <v>50</v>
      </c>
      <c r="F76" s="27">
        <v>510.55</v>
      </c>
      <c r="G76" s="28">
        <v>9.9000000000000008E-3</v>
      </c>
      <c r="H76" s="29">
        <v>7.6707999999999998E-2</v>
      </c>
    </row>
    <row r="77" spans="2:16" ht="15.75" customHeight="1" x14ac:dyDescent="0.25">
      <c r="B77" s="25" t="s">
        <v>487</v>
      </c>
      <c r="C77" s="25" t="s">
        <v>488</v>
      </c>
      <c r="D77" s="25" t="s">
        <v>119</v>
      </c>
      <c r="E77" s="26">
        <v>500000</v>
      </c>
      <c r="F77" s="27">
        <v>509.27</v>
      </c>
      <c r="G77" s="28">
        <v>9.9000000000000008E-3</v>
      </c>
      <c r="H77" s="29">
        <v>7.6457999999999998E-2</v>
      </c>
    </row>
    <row r="78" spans="2:16" ht="15.75" customHeight="1" x14ac:dyDescent="0.25">
      <c r="B78" s="25" t="s">
        <v>140</v>
      </c>
      <c r="C78" s="25" t="s">
        <v>141</v>
      </c>
      <c r="D78" s="25" t="s">
        <v>126</v>
      </c>
      <c r="E78" s="26">
        <v>50</v>
      </c>
      <c r="F78" s="27">
        <v>505.73</v>
      </c>
      <c r="G78" s="28">
        <v>9.7999999999999997E-3</v>
      </c>
      <c r="H78" s="29">
        <v>7.8200000000000006E-2</v>
      </c>
      <c r="L78" s="7"/>
      <c r="M78" s="7"/>
      <c r="N78" s="7"/>
      <c r="O78" s="7"/>
      <c r="P78" s="7"/>
    </row>
    <row r="79" spans="2:16" ht="15.75" customHeight="1" x14ac:dyDescent="0.25">
      <c r="B79" s="25" t="s">
        <v>489</v>
      </c>
      <c r="C79" s="25" t="s">
        <v>490</v>
      </c>
      <c r="D79" s="25" t="s">
        <v>126</v>
      </c>
      <c r="E79" s="26">
        <v>500</v>
      </c>
      <c r="F79" s="27">
        <v>502.22</v>
      </c>
      <c r="G79" s="28">
        <v>9.7000000000000003E-3</v>
      </c>
      <c r="H79" s="29">
        <v>7.6100000000000001E-2</v>
      </c>
      <c r="L79" s="7"/>
      <c r="M79" s="7"/>
      <c r="N79" s="7"/>
      <c r="O79" s="7"/>
      <c r="P79" s="7"/>
    </row>
    <row r="80" spans="2:16" ht="15.75" customHeight="1" x14ac:dyDescent="0.25">
      <c r="B80" s="25" t="s">
        <v>122</v>
      </c>
      <c r="C80" s="25" t="s">
        <v>123</v>
      </c>
      <c r="D80" s="25" t="s">
        <v>119</v>
      </c>
      <c r="E80" s="26">
        <v>350000</v>
      </c>
      <c r="F80" s="27">
        <v>355.89</v>
      </c>
      <c r="G80" s="28">
        <v>6.8999999999999999E-3</v>
      </c>
      <c r="H80" s="29">
        <v>7.3401999999999995E-2</v>
      </c>
      <c r="L80" s="7"/>
      <c r="M80" s="7"/>
      <c r="N80" s="7"/>
      <c r="O80" s="7"/>
      <c r="P80" s="7"/>
    </row>
    <row r="81" spans="2:16" ht="15.75" customHeight="1" x14ac:dyDescent="0.25">
      <c r="B81" s="25" t="s">
        <v>185</v>
      </c>
      <c r="C81" s="25" t="s">
        <v>186</v>
      </c>
      <c r="D81" s="25" t="s">
        <v>126</v>
      </c>
      <c r="E81" s="26">
        <v>37500</v>
      </c>
      <c r="F81" s="27">
        <v>1.83</v>
      </c>
      <c r="G81" s="28" t="s">
        <v>491</v>
      </c>
      <c r="H81" s="29">
        <v>7.5675000000000006E-2</v>
      </c>
      <c r="L81" s="7"/>
      <c r="M81" s="7"/>
      <c r="N81" s="7"/>
      <c r="O81" s="7"/>
      <c r="P81" s="7"/>
    </row>
    <row r="82" spans="2:16" ht="15.75" customHeight="1" x14ac:dyDescent="0.25">
      <c r="B82" s="24" t="s">
        <v>128</v>
      </c>
      <c r="C82" s="24"/>
      <c r="D82" s="24"/>
      <c r="E82" s="30"/>
      <c r="F82" s="31">
        <v>10212.91</v>
      </c>
      <c r="G82" s="32">
        <v>0.19750000000000001</v>
      </c>
      <c r="H82" s="33"/>
      <c r="L82" s="7"/>
      <c r="M82" s="7"/>
      <c r="N82" s="7"/>
      <c r="O82" s="7"/>
      <c r="P82" s="7"/>
    </row>
    <row r="83" spans="2:16" ht="15.75" customHeight="1" x14ac:dyDescent="0.25">
      <c r="B83" s="25"/>
      <c r="C83" s="25"/>
      <c r="D83" s="25"/>
      <c r="E83" s="26"/>
      <c r="F83" s="27"/>
      <c r="G83" s="28"/>
      <c r="H83" s="29"/>
      <c r="L83" s="7"/>
      <c r="M83" s="7"/>
      <c r="N83" s="7"/>
      <c r="O83" s="7"/>
      <c r="P83" s="7"/>
    </row>
    <row r="84" spans="2:16" ht="15.75" customHeight="1" x14ac:dyDescent="0.25">
      <c r="B84" s="24" t="s">
        <v>129</v>
      </c>
      <c r="C84" s="25"/>
      <c r="D84" s="25"/>
      <c r="E84" s="26"/>
      <c r="F84" s="27"/>
      <c r="G84" s="28"/>
      <c r="H84" s="29"/>
      <c r="L84" s="7"/>
      <c r="M84" s="7"/>
      <c r="N84" s="7"/>
      <c r="O84" s="7"/>
      <c r="P84" s="7"/>
    </row>
    <row r="85" spans="2:16" ht="15.75" customHeight="1" x14ac:dyDescent="0.25">
      <c r="B85" s="24" t="s">
        <v>128</v>
      </c>
      <c r="C85" s="25"/>
      <c r="D85" s="25"/>
      <c r="E85" s="26"/>
      <c r="F85" s="34" t="s">
        <v>130</v>
      </c>
      <c r="G85" s="35" t="s">
        <v>130</v>
      </c>
      <c r="H85" s="29"/>
    </row>
    <row r="86" spans="2:16" ht="15.75" customHeight="1" x14ac:dyDescent="0.25">
      <c r="B86" s="25"/>
      <c r="C86" s="25"/>
      <c r="D86" s="25"/>
      <c r="E86" s="26"/>
      <c r="F86" s="27"/>
      <c r="G86" s="28"/>
      <c r="H86" s="29"/>
      <c r="L86" s="3"/>
    </row>
    <row r="87" spans="2:16" ht="15.75" customHeight="1" x14ac:dyDescent="0.25">
      <c r="B87" s="24" t="s">
        <v>131</v>
      </c>
      <c r="C87" s="25"/>
      <c r="D87" s="25"/>
      <c r="E87" s="26"/>
      <c r="F87" s="27"/>
      <c r="G87" s="28"/>
      <c r="H87" s="29"/>
    </row>
    <row r="88" spans="2:16" ht="15.75" customHeight="1" x14ac:dyDescent="0.25">
      <c r="B88" s="24" t="s">
        <v>128</v>
      </c>
      <c r="C88" s="25"/>
      <c r="D88" s="25"/>
      <c r="E88" s="26"/>
      <c r="F88" s="34" t="s">
        <v>130</v>
      </c>
      <c r="G88" s="35" t="s">
        <v>130</v>
      </c>
      <c r="H88" s="29"/>
    </row>
    <row r="89" spans="2:16" ht="15.75" customHeight="1" x14ac:dyDescent="0.25">
      <c r="B89" s="25"/>
      <c r="C89" s="25"/>
      <c r="D89" s="25"/>
      <c r="E89" s="26"/>
      <c r="F89" s="27"/>
      <c r="G89" s="28"/>
      <c r="H89" s="29"/>
    </row>
    <row r="90" spans="2:16" ht="15.75" customHeight="1" x14ac:dyDescent="0.25">
      <c r="B90" s="36" t="s">
        <v>132</v>
      </c>
      <c r="C90" s="36"/>
      <c r="D90" s="36"/>
      <c r="E90" s="37"/>
      <c r="F90" s="31">
        <v>10212.91</v>
      </c>
      <c r="G90" s="32">
        <v>0.1976</v>
      </c>
      <c r="H90" s="33"/>
    </row>
    <row r="91" spans="2:16" ht="15.75" customHeight="1" x14ac:dyDescent="0.25">
      <c r="B91" s="25"/>
      <c r="C91" s="25"/>
      <c r="D91" s="25"/>
      <c r="E91" s="26"/>
      <c r="F91" s="27"/>
      <c r="G91" s="28"/>
      <c r="H91" s="29"/>
    </row>
    <row r="92" spans="2:16" ht="15.75" customHeight="1" x14ac:dyDescent="0.25">
      <c r="B92" s="25"/>
      <c r="C92" s="25"/>
      <c r="D92" s="25"/>
      <c r="E92" s="26"/>
      <c r="F92" s="27"/>
      <c r="G92" s="28"/>
      <c r="H92" s="29"/>
    </row>
    <row r="93" spans="2:16" ht="15.75" customHeight="1" x14ac:dyDescent="0.25">
      <c r="B93" s="24" t="s">
        <v>135</v>
      </c>
      <c r="C93" s="25"/>
      <c r="D93" s="25"/>
      <c r="E93" s="26"/>
      <c r="F93" s="27"/>
      <c r="G93" s="28"/>
      <c r="H93" s="29"/>
    </row>
    <row r="94" spans="2:16" ht="15.75" customHeight="1" x14ac:dyDescent="0.25">
      <c r="B94" s="25" t="s">
        <v>136</v>
      </c>
      <c r="C94" s="25"/>
      <c r="D94" s="25"/>
      <c r="E94" s="26"/>
      <c r="F94" s="27">
        <v>1661.2</v>
      </c>
      <c r="G94" s="28">
        <v>3.2099999999999997E-2</v>
      </c>
      <c r="H94" s="29"/>
    </row>
    <row r="95" spans="2:16" ht="15.75" customHeight="1" x14ac:dyDescent="0.25">
      <c r="B95" s="24" t="s">
        <v>128</v>
      </c>
      <c r="C95" s="24"/>
      <c r="D95" s="24"/>
      <c r="E95" s="30"/>
      <c r="F95" s="31">
        <v>1661.2</v>
      </c>
      <c r="G95" s="32">
        <v>3.2099999999999997E-2</v>
      </c>
      <c r="H95" s="33"/>
    </row>
    <row r="96" spans="2:16" ht="15.75" customHeight="1" x14ac:dyDescent="0.25">
      <c r="B96" s="25"/>
      <c r="C96" s="25"/>
      <c r="D96" s="25"/>
      <c r="E96" s="26"/>
      <c r="F96" s="27"/>
      <c r="G96" s="28"/>
      <c r="H96" s="29"/>
    </row>
    <row r="97" spans="2:8" ht="15.75" customHeight="1" x14ac:dyDescent="0.25">
      <c r="B97" s="36" t="s">
        <v>132</v>
      </c>
      <c r="C97" s="36"/>
      <c r="D97" s="36"/>
      <c r="E97" s="37"/>
      <c r="F97" s="31">
        <v>1661.2</v>
      </c>
      <c r="G97" s="32">
        <v>3.2099999999999997E-2</v>
      </c>
      <c r="H97" s="33"/>
    </row>
    <row r="98" spans="2:8" ht="15.75" customHeight="1" x14ac:dyDescent="0.25">
      <c r="B98" s="25" t="s">
        <v>137</v>
      </c>
      <c r="C98" s="25"/>
      <c r="D98" s="25"/>
      <c r="E98" s="26"/>
      <c r="F98" s="38">
        <v>-191.01</v>
      </c>
      <c r="G98" s="39">
        <v>-3.6000000000000476E-3</v>
      </c>
      <c r="H98" s="29"/>
    </row>
    <row r="99" spans="2:8" ht="15.75" customHeight="1" x14ac:dyDescent="0.25">
      <c r="B99" s="40" t="s">
        <v>138</v>
      </c>
      <c r="C99" s="40"/>
      <c r="D99" s="40"/>
      <c r="E99" s="41"/>
      <c r="F99" s="42">
        <v>51688.59</v>
      </c>
      <c r="G99" s="43">
        <v>1</v>
      </c>
      <c r="H99" s="44"/>
    </row>
    <row r="100" spans="2:8" ht="15.75" customHeight="1" x14ac:dyDescent="0.25">
      <c r="B100" s="2"/>
    </row>
    <row r="101" spans="2:8" ht="15.75" customHeight="1" x14ac:dyDescent="0.25">
      <c r="B101" s="12" t="s">
        <v>492</v>
      </c>
    </row>
    <row r="102" spans="2:8" ht="15.75" customHeight="1" x14ac:dyDescent="0.25">
      <c r="B102" s="12" t="s">
        <v>139</v>
      </c>
    </row>
    <row r="103" spans="2:8" ht="15.75" customHeight="1" thickBot="1" x14ac:dyDescent="0.3"/>
    <row r="104" spans="2:8" ht="27" customHeight="1" thickBot="1" x14ac:dyDescent="0.3">
      <c r="B104" s="57" t="s">
        <v>980</v>
      </c>
      <c r="C104" s="58" t="s">
        <v>981</v>
      </c>
      <c r="D104" s="58" t="s">
        <v>982</v>
      </c>
      <c r="E104" s="63" t="s">
        <v>983</v>
      </c>
      <c r="G104" s="2"/>
      <c r="H104" s="2"/>
    </row>
    <row r="105" spans="2:8" ht="35.25" customHeight="1" x14ac:dyDescent="0.25">
      <c r="B105" s="64" t="s">
        <v>11</v>
      </c>
      <c r="C105" s="89"/>
      <c r="D105" s="86" t="s">
        <v>1008</v>
      </c>
      <c r="E105" s="87"/>
      <c r="G105" s="2"/>
      <c r="H105" s="2"/>
    </row>
    <row r="106" spans="2:8" ht="18.75" customHeight="1" x14ac:dyDescent="0.25">
      <c r="B106" s="66" t="s">
        <v>1009</v>
      </c>
      <c r="C106" s="80"/>
      <c r="D106" s="86"/>
      <c r="E106" s="83"/>
      <c r="G106" s="2"/>
      <c r="H106" s="2"/>
    </row>
    <row r="107" spans="2:8" ht="36.75" customHeight="1" x14ac:dyDescent="0.25">
      <c r="B107" s="66" t="s">
        <v>1010</v>
      </c>
      <c r="C107" s="80"/>
      <c r="D107" s="86"/>
      <c r="E107" s="83"/>
      <c r="G107" s="2"/>
      <c r="H107" s="2"/>
    </row>
    <row r="108" spans="2:8" ht="20.149999999999999" customHeight="1" thickBot="1" x14ac:dyDescent="0.3">
      <c r="B108" s="68" t="s">
        <v>1006</v>
      </c>
      <c r="C108" s="90"/>
      <c r="D108" s="71" t="s">
        <v>1006</v>
      </c>
      <c r="E108" s="88"/>
      <c r="G108" s="2"/>
      <c r="H108" s="2"/>
    </row>
    <row r="109" spans="2:8" ht="25" customHeight="1" x14ac:dyDescent="0.25">
      <c r="B109" s="59" t="s">
        <v>985</v>
      </c>
      <c r="C109" s="60"/>
      <c r="D109" s="61"/>
      <c r="E109" s="62"/>
      <c r="G109" s="2"/>
      <c r="H109" s="2"/>
    </row>
    <row r="111" spans="2:8" ht="11.5" x14ac:dyDescent="0.25">
      <c r="B111" s="2" t="s">
        <v>986</v>
      </c>
      <c r="C111" s="2"/>
      <c r="D111" s="2"/>
      <c r="G111" s="2"/>
      <c r="H111" s="2"/>
    </row>
    <row r="112" spans="2:8" ht="11.5" x14ac:dyDescent="0.25">
      <c r="B112" s="3" t="s">
        <v>987</v>
      </c>
      <c r="C112" s="2"/>
      <c r="D112" s="2"/>
      <c r="G112" s="2"/>
      <c r="H112" s="2"/>
    </row>
  </sheetData>
  <mergeCells count="3">
    <mergeCell ref="C105:C108"/>
    <mergeCell ref="D105:D107"/>
    <mergeCell ref="E105:E108"/>
  </mergeCells>
  <hyperlinks>
    <hyperlink ref="I1" location="'Sheet1'!A1" display="Index" xr:uid="{394D86B4-C556-48F5-96AC-1C09ADA5F39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B2FE2-508A-441E-B753-72167994D7F3}">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8.453125" style="9" customWidth="1"/>
    <col min="4" max="4" width="26.6328125" style="9" customWidth="1"/>
    <col min="5" max="5" width="30.54296875" style="2" customWidth="1"/>
    <col min="6" max="6" width="16.453125" style="2" customWidth="1"/>
    <col min="7" max="7" width="15.26953125" style="8" customWidth="1"/>
    <col min="8" max="8" width="4.906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12</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160</v>
      </c>
      <c r="C7" s="25" t="s">
        <v>161</v>
      </c>
      <c r="D7" s="25" t="s">
        <v>156</v>
      </c>
      <c r="E7" s="26">
        <v>409860</v>
      </c>
      <c r="F7" s="27">
        <v>6230.28</v>
      </c>
      <c r="G7" s="28">
        <v>0.20419999999999999</v>
      </c>
      <c r="H7" s="29"/>
    </row>
    <row r="8" spans="2:9" ht="15.75" customHeight="1" x14ac:dyDescent="0.25">
      <c r="B8" s="25" t="s">
        <v>154</v>
      </c>
      <c r="C8" s="25" t="s">
        <v>155</v>
      </c>
      <c r="D8" s="25" t="s">
        <v>156</v>
      </c>
      <c r="E8" s="26">
        <v>323223</v>
      </c>
      <c r="F8" s="27">
        <v>3718.36</v>
      </c>
      <c r="G8" s="28">
        <v>0.12189999999999999</v>
      </c>
      <c r="H8" s="29"/>
    </row>
    <row r="9" spans="2:9" ht="15.75" customHeight="1" x14ac:dyDescent="0.25">
      <c r="B9" s="25" t="s">
        <v>247</v>
      </c>
      <c r="C9" s="25" t="s">
        <v>248</v>
      </c>
      <c r="D9" s="25" t="s">
        <v>156</v>
      </c>
      <c r="E9" s="26">
        <v>179475</v>
      </c>
      <c r="F9" s="27">
        <v>2092.5</v>
      </c>
      <c r="G9" s="28">
        <v>6.8599999999999994E-2</v>
      </c>
      <c r="H9" s="29"/>
    </row>
    <row r="10" spans="2:9" ht="15.75" customHeight="1" x14ac:dyDescent="0.25">
      <c r="B10" s="25" t="s">
        <v>330</v>
      </c>
      <c r="C10" s="25" t="s">
        <v>331</v>
      </c>
      <c r="D10" s="25" t="s">
        <v>156</v>
      </c>
      <c r="E10" s="26">
        <v>205453</v>
      </c>
      <c r="F10" s="27">
        <v>1697.56</v>
      </c>
      <c r="G10" s="28">
        <v>5.5599999999999997E-2</v>
      </c>
      <c r="H10" s="29"/>
    </row>
    <row r="11" spans="2:9" ht="15.75" customHeight="1" x14ac:dyDescent="0.25">
      <c r="B11" s="25" t="s">
        <v>493</v>
      </c>
      <c r="C11" s="25" t="s">
        <v>494</v>
      </c>
      <c r="D11" s="25" t="s">
        <v>156</v>
      </c>
      <c r="E11" s="26">
        <v>831927</v>
      </c>
      <c r="F11" s="27">
        <v>1352.71</v>
      </c>
      <c r="G11" s="28">
        <v>4.4299999999999999E-2</v>
      </c>
      <c r="H11" s="29"/>
    </row>
    <row r="12" spans="2:9" ht="15.75" customHeight="1" x14ac:dyDescent="0.25">
      <c r="B12" s="25" t="s">
        <v>387</v>
      </c>
      <c r="C12" s="25" t="s">
        <v>388</v>
      </c>
      <c r="D12" s="25" t="s">
        <v>209</v>
      </c>
      <c r="E12" s="26">
        <v>73451</v>
      </c>
      <c r="F12" s="27">
        <v>1107.97</v>
      </c>
      <c r="G12" s="28">
        <v>3.6299999999999999E-2</v>
      </c>
      <c r="H12" s="29"/>
    </row>
    <row r="13" spans="2:9" ht="15.75" customHeight="1" x14ac:dyDescent="0.25">
      <c r="B13" s="25" t="s">
        <v>495</v>
      </c>
      <c r="C13" s="25" t="s">
        <v>496</v>
      </c>
      <c r="D13" s="25" t="s">
        <v>156</v>
      </c>
      <c r="E13" s="26">
        <v>780100</v>
      </c>
      <c r="F13" s="27">
        <v>1089.8</v>
      </c>
      <c r="G13" s="28">
        <v>3.5700000000000003E-2</v>
      </c>
      <c r="H13" s="29"/>
    </row>
    <row r="14" spans="2:9" ht="15.75" customHeight="1" x14ac:dyDescent="0.25">
      <c r="B14" s="25" t="s">
        <v>207</v>
      </c>
      <c r="C14" s="25" t="s">
        <v>208</v>
      </c>
      <c r="D14" s="25" t="s">
        <v>209</v>
      </c>
      <c r="E14" s="26">
        <v>236274</v>
      </c>
      <c r="F14" s="27">
        <v>1043.27</v>
      </c>
      <c r="G14" s="28">
        <v>3.4200000000000001E-2</v>
      </c>
      <c r="H14" s="29"/>
    </row>
    <row r="15" spans="2:9" ht="15.75" customHeight="1" x14ac:dyDescent="0.25">
      <c r="B15" s="25" t="s">
        <v>316</v>
      </c>
      <c r="C15" s="25" t="s">
        <v>317</v>
      </c>
      <c r="D15" s="25" t="s">
        <v>209</v>
      </c>
      <c r="E15" s="26">
        <v>107161</v>
      </c>
      <c r="F15" s="27">
        <v>990.92</v>
      </c>
      <c r="G15" s="28">
        <v>3.2500000000000001E-2</v>
      </c>
      <c r="H15" s="29"/>
    </row>
    <row r="16" spans="2:9" ht="15.75" customHeight="1" x14ac:dyDescent="0.25">
      <c r="B16" s="25" t="s">
        <v>497</v>
      </c>
      <c r="C16" s="25" t="s">
        <v>498</v>
      </c>
      <c r="D16" s="25" t="s">
        <v>156</v>
      </c>
      <c r="E16" s="26">
        <v>245748</v>
      </c>
      <c r="F16" s="27">
        <v>916.27</v>
      </c>
      <c r="G16" s="28">
        <v>0.03</v>
      </c>
      <c r="H16" s="29"/>
    </row>
    <row r="17" spans="2:8" ht="15.75" customHeight="1" x14ac:dyDescent="0.25">
      <c r="B17" s="25" t="s">
        <v>499</v>
      </c>
      <c r="C17" s="25" t="s">
        <v>500</v>
      </c>
      <c r="D17" s="25" t="s">
        <v>209</v>
      </c>
      <c r="E17" s="26">
        <v>517534</v>
      </c>
      <c r="F17" s="27">
        <v>862.47</v>
      </c>
      <c r="G17" s="28">
        <v>2.8299999999999999E-2</v>
      </c>
      <c r="H17" s="29"/>
    </row>
    <row r="18" spans="2:8" ht="15.75" customHeight="1" x14ac:dyDescent="0.25">
      <c r="B18" s="25" t="s">
        <v>501</v>
      </c>
      <c r="C18" s="25" t="s">
        <v>502</v>
      </c>
      <c r="D18" s="25" t="s">
        <v>209</v>
      </c>
      <c r="E18" s="26">
        <v>50984</v>
      </c>
      <c r="F18" s="27">
        <v>828.03</v>
      </c>
      <c r="G18" s="28">
        <v>2.7099999999999999E-2</v>
      </c>
      <c r="H18" s="29"/>
    </row>
    <row r="19" spans="2:8" ht="15.75" customHeight="1" x14ac:dyDescent="0.25">
      <c r="B19" s="25" t="s">
        <v>220</v>
      </c>
      <c r="C19" s="25" t="s">
        <v>221</v>
      </c>
      <c r="D19" s="25" t="s">
        <v>156</v>
      </c>
      <c r="E19" s="26">
        <v>54510</v>
      </c>
      <c r="F19" s="27">
        <v>826.21</v>
      </c>
      <c r="G19" s="28">
        <v>2.7099999999999999E-2</v>
      </c>
      <c r="H19" s="29"/>
    </row>
    <row r="20" spans="2:8" ht="15.75" customHeight="1" x14ac:dyDescent="0.25">
      <c r="B20" s="25" t="s">
        <v>227</v>
      </c>
      <c r="C20" s="25" t="s">
        <v>228</v>
      </c>
      <c r="D20" s="25" t="s">
        <v>156</v>
      </c>
      <c r="E20" s="26">
        <v>49613</v>
      </c>
      <c r="F20" s="27">
        <v>805.69</v>
      </c>
      <c r="G20" s="28">
        <v>2.64E-2</v>
      </c>
      <c r="H20" s="29"/>
    </row>
    <row r="21" spans="2:8" ht="15.75" customHeight="1" x14ac:dyDescent="0.25">
      <c r="B21" s="25" t="s">
        <v>451</v>
      </c>
      <c r="C21" s="25" t="s">
        <v>452</v>
      </c>
      <c r="D21" s="25" t="s">
        <v>209</v>
      </c>
      <c r="E21" s="26">
        <v>105409</v>
      </c>
      <c r="F21" s="27">
        <v>799.32</v>
      </c>
      <c r="G21" s="28">
        <v>2.6200000000000001E-2</v>
      </c>
      <c r="H21" s="29"/>
    </row>
    <row r="22" spans="2:8" ht="15.75" customHeight="1" x14ac:dyDescent="0.25">
      <c r="B22" s="25" t="s">
        <v>438</v>
      </c>
      <c r="C22" s="25" t="s">
        <v>439</v>
      </c>
      <c r="D22" s="25" t="s">
        <v>156</v>
      </c>
      <c r="E22" s="26">
        <v>734059</v>
      </c>
      <c r="F22" s="27">
        <v>712.4</v>
      </c>
      <c r="G22" s="28">
        <v>2.3400000000000001E-2</v>
      </c>
      <c r="H22" s="29"/>
    </row>
    <row r="23" spans="2:8" ht="15.75" customHeight="1" x14ac:dyDescent="0.25">
      <c r="B23" s="25" t="s">
        <v>503</v>
      </c>
      <c r="C23" s="25" t="s">
        <v>504</v>
      </c>
      <c r="D23" s="25" t="s">
        <v>209</v>
      </c>
      <c r="E23" s="26">
        <v>148991</v>
      </c>
      <c r="F23" s="27">
        <v>604.9</v>
      </c>
      <c r="G23" s="28">
        <v>1.9800000000000002E-2</v>
      </c>
      <c r="H23" s="29"/>
    </row>
    <row r="24" spans="2:8" ht="15.75" customHeight="1" x14ac:dyDescent="0.25">
      <c r="B24" s="25" t="s">
        <v>505</v>
      </c>
      <c r="C24" s="25" t="s">
        <v>506</v>
      </c>
      <c r="D24" s="25" t="s">
        <v>209</v>
      </c>
      <c r="E24" s="26">
        <v>52424</v>
      </c>
      <c r="F24" s="27">
        <v>457.85</v>
      </c>
      <c r="G24" s="28">
        <v>1.4999999999999999E-2</v>
      </c>
      <c r="H24" s="29"/>
    </row>
    <row r="25" spans="2:8" ht="15.75" customHeight="1" x14ac:dyDescent="0.25">
      <c r="B25" s="25" t="s">
        <v>507</v>
      </c>
      <c r="C25" s="25" t="s">
        <v>508</v>
      </c>
      <c r="D25" s="25" t="s">
        <v>209</v>
      </c>
      <c r="E25" s="26">
        <v>134622</v>
      </c>
      <c r="F25" s="27">
        <v>401.85</v>
      </c>
      <c r="G25" s="28">
        <v>1.32E-2</v>
      </c>
      <c r="H25" s="29"/>
    </row>
    <row r="26" spans="2:8" ht="15.75" customHeight="1" x14ac:dyDescent="0.25">
      <c r="B26" s="25" t="s">
        <v>366</v>
      </c>
      <c r="C26" s="25" t="s">
        <v>367</v>
      </c>
      <c r="D26" s="25" t="s">
        <v>209</v>
      </c>
      <c r="E26" s="26">
        <v>4701</v>
      </c>
      <c r="F26" s="27">
        <v>381.54</v>
      </c>
      <c r="G26" s="28">
        <v>1.2500000000000001E-2</v>
      </c>
      <c r="H26" s="29"/>
    </row>
    <row r="27" spans="2:8" ht="15.75" customHeight="1" x14ac:dyDescent="0.25">
      <c r="B27" s="25" t="s">
        <v>509</v>
      </c>
      <c r="C27" s="25" t="s">
        <v>510</v>
      </c>
      <c r="D27" s="25" t="s">
        <v>156</v>
      </c>
      <c r="E27" s="26">
        <v>181350</v>
      </c>
      <c r="F27" s="27">
        <v>369.86</v>
      </c>
      <c r="G27" s="28">
        <v>1.21E-2</v>
      </c>
      <c r="H27" s="29"/>
    </row>
    <row r="28" spans="2:8" ht="15.75" customHeight="1" x14ac:dyDescent="0.25">
      <c r="B28" s="25" t="s">
        <v>362</v>
      </c>
      <c r="C28" s="25" t="s">
        <v>363</v>
      </c>
      <c r="D28" s="25" t="s">
        <v>209</v>
      </c>
      <c r="E28" s="26">
        <v>138844</v>
      </c>
      <c r="F28" s="27">
        <v>362.59</v>
      </c>
      <c r="G28" s="28">
        <v>1.1900000000000001E-2</v>
      </c>
      <c r="H28" s="29"/>
    </row>
    <row r="29" spans="2:8" ht="15.75" customHeight="1" x14ac:dyDescent="0.25">
      <c r="B29" s="25" t="s">
        <v>511</v>
      </c>
      <c r="C29" s="25" t="s">
        <v>512</v>
      </c>
      <c r="D29" s="25" t="s">
        <v>286</v>
      </c>
      <c r="E29" s="26">
        <v>32917</v>
      </c>
      <c r="F29" s="27">
        <v>332.76</v>
      </c>
      <c r="G29" s="28">
        <v>1.09E-2</v>
      </c>
      <c r="H29" s="29"/>
    </row>
    <row r="30" spans="2:8" ht="15.75" customHeight="1" x14ac:dyDescent="0.25">
      <c r="B30" s="25" t="s">
        <v>513</v>
      </c>
      <c r="C30" s="25" t="s">
        <v>514</v>
      </c>
      <c r="D30" s="25" t="s">
        <v>515</v>
      </c>
      <c r="E30" s="26">
        <v>40769</v>
      </c>
      <c r="F30" s="27">
        <v>308.32</v>
      </c>
      <c r="G30" s="28">
        <v>1.01E-2</v>
      </c>
      <c r="H30" s="29"/>
    </row>
    <row r="31" spans="2:8" ht="15.75" customHeight="1" x14ac:dyDescent="0.25">
      <c r="B31" s="25" t="s">
        <v>245</v>
      </c>
      <c r="C31" s="25" t="s">
        <v>246</v>
      </c>
      <c r="D31" s="25" t="s">
        <v>156</v>
      </c>
      <c r="E31" s="26">
        <v>341486</v>
      </c>
      <c r="F31" s="27">
        <v>280.52999999999997</v>
      </c>
      <c r="G31" s="28">
        <v>9.1999999999999998E-3</v>
      </c>
      <c r="H31" s="29"/>
    </row>
    <row r="32" spans="2:8" ht="15.75" customHeight="1" x14ac:dyDescent="0.25">
      <c r="B32" s="25" t="s">
        <v>516</v>
      </c>
      <c r="C32" s="25" t="s">
        <v>517</v>
      </c>
      <c r="D32" s="25" t="s">
        <v>156</v>
      </c>
      <c r="E32" s="26">
        <v>489067</v>
      </c>
      <c r="F32" s="27">
        <v>279.5</v>
      </c>
      <c r="G32" s="28">
        <v>9.1999999999999998E-3</v>
      </c>
      <c r="H32" s="29"/>
    </row>
    <row r="33" spans="2:8" ht="15.75" customHeight="1" x14ac:dyDescent="0.25">
      <c r="B33" s="25" t="s">
        <v>518</v>
      </c>
      <c r="C33" s="25" t="s">
        <v>519</v>
      </c>
      <c r="D33" s="25" t="s">
        <v>209</v>
      </c>
      <c r="E33" s="26">
        <v>25829</v>
      </c>
      <c r="F33" s="27">
        <v>278.13</v>
      </c>
      <c r="G33" s="28">
        <v>9.1000000000000004E-3</v>
      </c>
      <c r="H33" s="29"/>
    </row>
    <row r="34" spans="2:8" ht="15.75" customHeight="1" x14ac:dyDescent="0.25">
      <c r="B34" s="25" t="s">
        <v>222</v>
      </c>
      <c r="C34" s="25" t="s">
        <v>223</v>
      </c>
      <c r="D34" s="25" t="s">
        <v>209</v>
      </c>
      <c r="E34" s="26">
        <v>9137</v>
      </c>
      <c r="F34" s="27">
        <v>233.15</v>
      </c>
      <c r="G34" s="28">
        <v>7.6E-3</v>
      </c>
      <c r="H34" s="29"/>
    </row>
    <row r="35" spans="2:8" ht="15.75" customHeight="1" x14ac:dyDescent="0.25">
      <c r="B35" s="25" t="s">
        <v>520</v>
      </c>
      <c r="C35" s="25" t="s">
        <v>521</v>
      </c>
      <c r="D35" s="25" t="s">
        <v>515</v>
      </c>
      <c r="E35" s="26">
        <v>33605</v>
      </c>
      <c r="F35" s="27">
        <v>197.82</v>
      </c>
      <c r="G35" s="28">
        <v>6.4999999999999997E-3</v>
      </c>
      <c r="H35" s="29"/>
    </row>
    <row r="36" spans="2:8" ht="15.75" customHeight="1" x14ac:dyDescent="0.25">
      <c r="B36" s="25" t="s">
        <v>522</v>
      </c>
      <c r="C36" s="25" t="s">
        <v>523</v>
      </c>
      <c r="D36" s="25" t="s">
        <v>209</v>
      </c>
      <c r="E36" s="26">
        <v>4346</v>
      </c>
      <c r="F36" s="27">
        <v>87.68</v>
      </c>
      <c r="G36" s="28">
        <v>2.8999999999999998E-3</v>
      </c>
      <c r="H36" s="29"/>
    </row>
    <row r="37" spans="2:8" ht="15.75" customHeight="1" x14ac:dyDescent="0.25">
      <c r="B37" s="25" t="s">
        <v>524</v>
      </c>
      <c r="C37" s="25" t="s">
        <v>525</v>
      </c>
      <c r="D37" s="25" t="s">
        <v>209</v>
      </c>
      <c r="E37" s="26">
        <v>16554</v>
      </c>
      <c r="F37" s="27">
        <v>17.55</v>
      </c>
      <c r="G37" s="28">
        <v>5.9999999999999995E-4</v>
      </c>
      <c r="H37" s="29"/>
    </row>
    <row r="38" spans="2:8" ht="15.75" customHeight="1" x14ac:dyDescent="0.25">
      <c r="B38" s="24" t="s">
        <v>128</v>
      </c>
      <c r="C38" s="24"/>
      <c r="D38" s="24"/>
      <c r="E38" s="30"/>
      <c r="F38" s="31">
        <v>29667.79</v>
      </c>
      <c r="G38" s="32">
        <v>0.97240000000000004</v>
      </c>
      <c r="H38" s="33"/>
    </row>
    <row r="39" spans="2:8" ht="15.75" customHeight="1" x14ac:dyDescent="0.25">
      <c r="B39" s="24" t="s">
        <v>176</v>
      </c>
      <c r="C39" s="25"/>
      <c r="D39" s="25"/>
      <c r="E39" s="26"/>
      <c r="F39" s="27"/>
      <c r="G39" s="28"/>
      <c r="H39" s="29"/>
    </row>
    <row r="40" spans="2:8" ht="15.75" customHeight="1" x14ac:dyDescent="0.25">
      <c r="B40" s="24" t="s">
        <v>128</v>
      </c>
      <c r="C40" s="25"/>
      <c r="D40" s="25"/>
      <c r="E40" s="26"/>
      <c r="F40" s="34" t="s">
        <v>130</v>
      </c>
      <c r="G40" s="35" t="s">
        <v>130</v>
      </c>
      <c r="H40" s="29"/>
    </row>
    <row r="41" spans="2:8" ht="15.75" customHeight="1" x14ac:dyDescent="0.25">
      <c r="B41" s="25"/>
      <c r="C41" s="25"/>
      <c r="D41" s="25"/>
      <c r="E41" s="26"/>
      <c r="F41" s="27"/>
      <c r="G41" s="28"/>
      <c r="H41" s="29"/>
    </row>
    <row r="42" spans="2:8" ht="15.75" customHeight="1" x14ac:dyDescent="0.25">
      <c r="B42" s="36" t="s">
        <v>132</v>
      </c>
      <c r="C42" s="36"/>
      <c r="D42" s="36"/>
      <c r="E42" s="37"/>
      <c r="F42" s="31">
        <v>29667.79</v>
      </c>
      <c r="G42" s="32">
        <v>0.97240000000000004</v>
      </c>
      <c r="H42" s="33"/>
    </row>
    <row r="43" spans="2:8" ht="15.75" customHeight="1" x14ac:dyDescent="0.25">
      <c r="B43" s="25"/>
      <c r="C43" s="25"/>
      <c r="D43" s="25"/>
      <c r="E43" s="26"/>
      <c r="F43" s="27"/>
      <c r="G43" s="28"/>
      <c r="H43" s="29"/>
    </row>
    <row r="44" spans="2:8" ht="15.75" customHeight="1" x14ac:dyDescent="0.25">
      <c r="B44" s="25"/>
      <c r="C44" s="25"/>
      <c r="D44" s="25"/>
      <c r="E44" s="26"/>
      <c r="F44" s="27"/>
      <c r="G44" s="28"/>
      <c r="H44" s="29"/>
    </row>
    <row r="45" spans="2:8" ht="15.75" customHeight="1" x14ac:dyDescent="0.25">
      <c r="B45" s="24" t="s">
        <v>135</v>
      </c>
      <c r="C45" s="25"/>
      <c r="D45" s="25"/>
      <c r="E45" s="26"/>
      <c r="F45" s="27"/>
      <c r="G45" s="28"/>
      <c r="H45" s="29"/>
    </row>
    <row r="46" spans="2:8" ht="15.75" customHeight="1" x14ac:dyDescent="0.25">
      <c r="B46" s="25" t="s">
        <v>136</v>
      </c>
      <c r="C46" s="25"/>
      <c r="D46" s="25"/>
      <c r="E46" s="26"/>
      <c r="F46" s="27">
        <v>1109.46</v>
      </c>
      <c r="G46" s="28">
        <v>3.6400000000000002E-2</v>
      </c>
      <c r="H46" s="29"/>
    </row>
    <row r="47" spans="2:8" ht="15.75" customHeight="1" x14ac:dyDescent="0.25">
      <c r="B47" s="24" t="s">
        <v>128</v>
      </c>
      <c r="C47" s="24"/>
      <c r="D47" s="24"/>
      <c r="E47" s="30"/>
      <c r="F47" s="31">
        <v>1109.46</v>
      </c>
      <c r="G47" s="32">
        <v>3.6400000000000002E-2</v>
      </c>
      <c r="H47" s="33"/>
    </row>
    <row r="48" spans="2:8" ht="15.75" customHeight="1" x14ac:dyDescent="0.25">
      <c r="B48" s="25"/>
      <c r="C48" s="25"/>
      <c r="D48" s="25"/>
      <c r="E48" s="26"/>
      <c r="F48" s="27"/>
      <c r="G48" s="28"/>
      <c r="H48" s="29"/>
    </row>
    <row r="49" spans="2:8" ht="15.75" customHeight="1" x14ac:dyDescent="0.25">
      <c r="B49" s="36" t="s">
        <v>132</v>
      </c>
      <c r="C49" s="36"/>
      <c r="D49" s="36"/>
      <c r="E49" s="37"/>
      <c r="F49" s="31">
        <v>1109.46</v>
      </c>
      <c r="G49" s="32">
        <v>3.6400000000000002E-2</v>
      </c>
      <c r="H49" s="33"/>
    </row>
    <row r="50" spans="2:8" ht="15.75" customHeight="1" x14ac:dyDescent="0.25">
      <c r="B50" s="25" t="s">
        <v>137</v>
      </c>
      <c r="C50" s="25"/>
      <c r="D50" s="25"/>
      <c r="E50" s="26"/>
      <c r="F50" s="38">
        <v>-267.69</v>
      </c>
      <c r="G50" s="39">
        <v>-8.800000000000141E-3</v>
      </c>
      <c r="H50" s="29"/>
    </row>
    <row r="51" spans="2:8" ht="15.75" customHeight="1" x14ac:dyDescent="0.25">
      <c r="B51" s="40" t="s">
        <v>138</v>
      </c>
      <c r="C51" s="40"/>
      <c r="D51" s="40"/>
      <c r="E51" s="41"/>
      <c r="F51" s="42">
        <v>30509.56</v>
      </c>
      <c r="G51" s="43">
        <v>1</v>
      </c>
      <c r="H51" s="44"/>
    </row>
    <row r="52" spans="2:8" ht="15.75" customHeight="1" x14ac:dyDescent="0.25">
      <c r="B52" s="2"/>
    </row>
    <row r="53" spans="2:8" ht="15.75" customHeight="1" x14ac:dyDescent="0.25">
      <c r="B53" s="12" t="s">
        <v>139</v>
      </c>
    </row>
    <row r="54" spans="2:8" ht="15.75" customHeight="1" thickBot="1" x14ac:dyDescent="0.3"/>
    <row r="55" spans="2:8" ht="27" customHeight="1" thickBot="1" x14ac:dyDescent="0.3">
      <c r="B55" s="57" t="s">
        <v>980</v>
      </c>
      <c r="C55" s="58" t="s">
        <v>981</v>
      </c>
      <c r="D55" s="58" t="s">
        <v>982</v>
      </c>
      <c r="E55" s="63" t="s">
        <v>983</v>
      </c>
      <c r="G55" s="2"/>
      <c r="H55" s="2"/>
    </row>
    <row r="56" spans="2:8" ht="20.25" customHeight="1" x14ac:dyDescent="0.25">
      <c r="B56" s="70" t="s">
        <v>1011</v>
      </c>
      <c r="C56" s="82"/>
      <c r="D56" s="72"/>
      <c r="E56" s="87"/>
      <c r="G56" s="2"/>
      <c r="H56" s="2"/>
    </row>
    <row r="57" spans="2:8" ht="40" customHeight="1" x14ac:dyDescent="0.25">
      <c r="B57" s="66" t="s">
        <v>1012</v>
      </c>
      <c r="C57" s="83"/>
      <c r="D57" s="86" t="s">
        <v>1013</v>
      </c>
      <c r="E57" s="83"/>
      <c r="G57" s="2"/>
      <c r="H57" s="2"/>
    </row>
    <row r="58" spans="2:8" ht="44.25" customHeight="1" x14ac:dyDescent="0.25">
      <c r="B58" s="66" t="s">
        <v>1014</v>
      </c>
      <c r="C58" s="83"/>
      <c r="D58" s="86"/>
      <c r="E58" s="83"/>
      <c r="G58" s="2"/>
      <c r="H58" s="2"/>
    </row>
    <row r="59" spans="2:8" ht="29.25" customHeight="1" thickBot="1" x14ac:dyDescent="0.3">
      <c r="B59" s="68" t="s">
        <v>1015</v>
      </c>
      <c r="C59" s="84"/>
      <c r="D59" s="71" t="s">
        <v>1015</v>
      </c>
      <c r="E59" s="88"/>
      <c r="G59" s="2"/>
      <c r="H59" s="2"/>
    </row>
    <row r="60" spans="2:8" ht="25" customHeight="1" x14ac:dyDescent="0.25">
      <c r="B60" s="59" t="s">
        <v>985</v>
      </c>
      <c r="C60" s="60"/>
      <c r="D60" s="61"/>
      <c r="E60" s="62"/>
      <c r="G60" s="2"/>
      <c r="H60" s="2"/>
    </row>
    <row r="62" spans="2:8" ht="11.5" x14ac:dyDescent="0.25">
      <c r="B62" s="2" t="s">
        <v>986</v>
      </c>
      <c r="C62" s="2"/>
      <c r="D62" s="2"/>
      <c r="G62" s="2"/>
      <c r="H62" s="2"/>
    </row>
    <row r="63" spans="2:8" ht="11.5" x14ac:dyDescent="0.25">
      <c r="B63" s="3" t="s">
        <v>987</v>
      </c>
      <c r="C63" s="2"/>
      <c r="D63" s="2"/>
      <c r="G63" s="2"/>
      <c r="H63" s="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8" spans="12:16" ht="15.75" customHeight="1" x14ac:dyDescent="0.25">
      <c r="L78" s="7"/>
      <c r="M78" s="7"/>
      <c r="N78" s="7"/>
      <c r="O78" s="7"/>
      <c r="P78" s="7"/>
    </row>
    <row r="79" spans="12:16" ht="15.75" customHeight="1" x14ac:dyDescent="0.25">
      <c r="L79" s="7"/>
      <c r="M79" s="7"/>
      <c r="N79" s="7"/>
      <c r="O79" s="7"/>
      <c r="P79" s="7"/>
    </row>
    <row r="80" spans="1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3">
    <mergeCell ref="C56:C59"/>
    <mergeCell ref="E56:E59"/>
    <mergeCell ref="D57:D58"/>
  </mergeCells>
  <hyperlinks>
    <hyperlink ref="I1" location="'Sheet1'!A1" display="Index" xr:uid="{A5CFF560-9B53-4E7C-B95E-0DDDE70501D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79CC0-CD3F-47FC-9396-5073AE614846}">
  <dimension ref="B1:P88"/>
  <sheetViews>
    <sheetView workbookViewId="0"/>
  </sheetViews>
  <sheetFormatPr defaultColWidth="9.1796875" defaultRowHeight="15.75" customHeight="1" x14ac:dyDescent="0.25"/>
  <cols>
    <col min="1" max="1" width="3.6328125" style="2" customWidth="1"/>
    <col min="2" max="2" width="50.453125" style="9" customWidth="1"/>
    <col min="3" max="3" width="27.08984375" style="9" customWidth="1"/>
    <col min="4" max="4" width="26.6328125" style="9" customWidth="1"/>
    <col min="5" max="5" width="28.54296875" style="2" customWidth="1"/>
    <col min="6" max="6" width="16.453125" style="2" customWidth="1"/>
    <col min="7" max="7" width="15.26953125" style="8" customWidth="1"/>
    <col min="8" max="8" width="5.4531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13</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154</v>
      </c>
      <c r="C7" s="25" t="s">
        <v>155</v>
      </c>
      <c r="D7" s="25" t="s">
        <v>156</v>
      </c>
      <c r="E7" s="26">
        <v>9275</v>
      </c>
      <c r="F7" s="27">
        <v>106.7</v>
      </c>
      <c r="G7" s="28">
        <v>6.7900000000000002E-2</v>
      </c>
      <c r="H7" s="29"/>
    </row>
    <row r="8" spans="2:9" ht="15.75" customHeight="1" x14ac:dyDescent="0.25">
      <c r="B8" s="25" t="s">
        <v>160</v>
      </c>
      <c r="C8" s="25" t="s">
        <v>161</v>
      </c>
      <c r="D8" s="25" t="s">
        <v>156</v>
      </c>
      <c r="E8" s="26">
        <v>5827</v>
      </c>
      <c r="F8" s="27">
        <v>88.58</v>
      </c>
      <c r="G8" s="28">
        <v>5.6399999999999999E-2</v>
      </c>
      <c r="H8" s="29"/>
    </row>
    <row r="9" spans="2:9" ht="15.75" customHeight="1" x14ac:dyDescent="0.25">
      <c r="B9" s="25" t="s">
        <v>162</v>
      </c>
      <c r="C9" s="25" t="s">
        <v>163</v>
      </c>
      <c r="D9" s="25" t="s">
        <v>164</v>
      </c>
      <c r="E9" s="26">
        <v>2062</v>
      </c>
      <c r="F9" s="27">
        <v>60.5</v>
      </c>
      <c r="G9" s="28">
        <v>3.85E-2</v>
      </c>
      <c r="H9" s="29"/>
    </row>
    <row r="10" spans="2:9" ht="15.75" customHeight="1" x14ac:dyDescent="0.25">
      <c r="B10" s="25" t="s">
        <v>424</v>
      </c>
      <c r="C10" s="25" t="s">
        <v>425</v>
      </c>
      <c r="D10" s="25" t="s">
        <v>426</v>
      </c>
      <c r="E10" s="26">
        <v>1173</v>
      </c>
      <c r="F10" s="27">
        <v>51.73</v>
      </c>
      <c r="G10" s="28">
        <v>3.2899999999999999E-2</v>
      </c>
      <c r="H10" s="29"/>
    </row>
    <row r="11" spans="2:9" ht="15.75" customHeight="1" x14ac:dyDescent="0.25">
      <c r="B11" s="25" t="s">
        <v>330</v>
      </c>
      <c r="C11" s="25" t="s">
        <v>331</v>
      </c>
      <c r="D11" s="25" t="s">
        <v>156</v>
      </c>
      <c r="E11" s="26">
        <v>6141</v>
      </c>
      <c r="F11" s="27">
        <v>50.74</v>
      </c>
      <c r="G11" s="28">
        <v>3.2300000000000002E-2</v>
      </c>
      <c r="H11" s="29"/>
    </row>
    <row r="12" spans="2:9" ht="15.75" customHeight="1" x14ac:dyDescent="0.25">
      <c r="B12" s="25" t="s">
        <v>247</v>
      </c>
      <c r="C12" s="25" t="s">
        <v>248</v>
      </c>
      <c r="D12" s="25" t="s">
        <v>156</v>
      </c>
      <c r="E12" s="26">
        <v>4154</v>
      </c>
      <c r="F12" s="27">
        <v>48.43</v>
      </c>
      <c r="G12" s="28">
        <v>3.0800000000000001E-2</v>
      </c>
      <c r="H12" s="29"/>
    </row>
    <row r="13" spans="2:9" ht="15.75" customHeight="1" x14ac:dyDescent="0.25">
      <c r="B13" s="25" t="s">
        <v>261</v>
      </c>
      <c r="C13" s="25" t="s">
        <v>262</v>
      </c>
      <c r="D13" s="25" t="s">
        <v>263</v>
      </c>
      <c r="E13" s="26">
        <v>1302</v>
      </c>
      <c r="F13" s="27">
        <v>46.8</v>
      </c>
      <c r="G13" s="28">
        <v>2.98E-2</v>
      </c>
      <c r="H13" s="29"/>
    </row>
    <row r="14" spans="2:9" ht="15.75" customHeight="1" x14ac:dyDescent="0.25">
      <c r="B14" s="25" t="s">
        <v>157</v>
      </c>
      <c r="C14" s="25" t="s">
        <v>158</v>
      </c>
      <c r="D14" s="25" t="s">
        <v>159</v>
      </c>
      <c r="E14" s="26">
        <v>3202</v>
      </c>
      <c r="F14" s="27">
        <v>45.49</v>
      </c>
      <c r="G14" s="28">
        <v>2.8899999999999999E-2</v>
      </c>
      <c r="H14" s="29"/>
    </row>
    <row r="15" spans="2:9" ht="15.75" customHeight="1" x14ac:dyDescent="0.25">
      <c r="B15" s="25" t="s">
        <v>526</v>
      </c>
      <c r="C15" s="25" t="s">
        <v>527</v>
      </c>
      <c r="D15" s="25" t="s">
        <v>350</v>
      </c>
      <c r="E15" s="26">
        <v>4343</v>
      </c>
      <c r="F15" s="27">
        <v>38.17</v>
      </c>
      <c r="G15" s="28">
        <v>2.4299999999999999E-2</v>
      </c>
      <c r="H15" s="29"/>
    </row>
    <row r="16" spans="2:9" ht="15.75" customHeight="1" x14ac:dyDescent="0.25">
      <c r="B16" s="25" t="s">
        <v>432</v>
      </c>
      <c r="C16" s="25" t="s">
        <v>433</v>
      </c>
      <c r="D16" s="25" t="s">
        <v>431</v>
      </c>
      <c r="E16" s="26">
        <v>2681</v>
      </c>
      <c r="F16" s="27">
        <v>35.65</v>
      </c>
      <c r="G16" s="28">
        <v>2.2700000000000001E-2</v>
      </c>
      <c r="H16" s="29"/>
    </row>
    <row r="17" spans="2:8" ht="15.75" customHeight="1" x14ac:dyDescent="0.25">
      <c r="B17" s="25" t="s">
        <v>466</v>
      </c>
      <c r="C17" s="25" t="s">
        <v>467</v>
      </c>
      <c r="D17" s="25" t="s">
        <v>170</v>
      </c>
      <c r="E17" s="26">
        <v>6569</v>
      </c>
      <c r="F17" s="27">
        <v>35</v>
      </c>
      <c r="G17" s="28">
        <v>2.23E-2</v>
      </c>
      <c r="H17" s="29"/>
    </row>
    <row r="18" spans="2:8" ht="15.75" customHeight="1" x14ac:dyDescent="0.25">
      <c r="B18" s="25" t="s">
        <v>528</v>
      </c>
      <c r="C18" s="25" t="s">
        <v>529</v>
      </c>
      <c r="D18" s="25" t="s">
        <v>260</v>
      </c>
      <c r="E18" s="26">
        <v>2167</v>
      </c>
      <c r="F18" s="27">
        <v>33.43</v>
      </c>
      <c r="G18" s="28">
        <v>2.1299999999999999E-2</v>
      </c>
      <c r="H18" s="29"/>
    </row>
    <row r="19" spans="2:8" ht="15.75" customHeight="1" x14ac:dyDescent="0.25">
      <c r="B19" s="25" t="s">
        <v>332</v>
      </c>
      <c r="C19" s="25" t="s">
        <v>333</v>
      </c>
      <c r="D19" s="25" t="s">
        <v>159</v>
      </c>
      <c r="E19" s="26">
        <v>851</v>
      </c>
      <c r="F19" s="27">
        <v>32.51</v>
      </c>
      <c r="G19" s="28">
        <v>2.07E-2</v>
      </c>
      <c r="H19" s="29"/>
    </row>
    <row r="20" spans="2:8" ht="15.75" customHeight="1" x14ac:dyDescent="0.25">
      <c r="B20" s="25" t="s">
        <v>530</v>
      </c>
      <c r="C20" s="25" t="s">
        <v>531</v>
      </c>
      <c r="D20" s="25" t="s">
        <v>303</v>
      </c>
      <c r="E20" s="26">
        <v>20738</v>
      </c>
      <c r="F20" s="27">
        <v>32.130000000000003</v>
      </c>
      <c r="G20" s="28">
        <v>2.0500000000000001E-2</v>
      </c>
      <c r="H20" s="29"/>
    </row>
    <row r="21" spans="2:8" ht="15.75" customHeight="1" x14ac:dyDescent="0.25">
      <c r="B21" s="25" t="s">
        <v>434</v>
      </c>
      <c r="C21" s="25" t="s">
        <v>435</v>
      </c>
      <c r="D21" s="25" t="s">
        <v>268</v>
      </c>
      <c r="E21" s="26">
        <v>2192</v>
      </c>
      <c r="F21" s="27">
        <v>28.98</v>
      </c>
      <c r="G21" s="28">
        <v>1.84E-2</v>
      </c>
      <c r="H21" s="29"/>
    </row>
    <row r="22" spans="2:8" ht="15.75" customHeight="1" x14ac:dyDescent="0.25">
      <c r="B22" s="25" t="s">
        <v>532</v>
      </c>
      <c r="C22" s="25" t="s">
        <v>533</v>
      </c>
      <c r="D22" s="25" t="s">
        <v>167</v>
      </c>
      <c r="E22" s="26">
        <v>2719</v>
      </c>
      <c r="F22" s="27">
        <v>27.4</v>
      </c>
      <c r="G22" s="28">
        <v>1.7399999999999999E-2</v>
      </c>
      <c r="H22" s="29"/>
    </row>
    <row r="23" spans="2:8" ht="15.75" customHeight="1" x14ac:dyDescent="0.25">
      <c r="B23" s="25" t="s">
        <v>534</v>
      </c>
      <c r="C23" s="25" t="s">
        <v>535</v>
      </c>
      <c r="D23" s="25" t="s">
        <v>536</v>
      </c>
      <c r="E23" s="26">
        <v>2997</v>
      </c>
      <c r="F23" s="27">
        <v>26.35</v>
      </c>
      <c r="G23" s="28">
        <v>1.6799999999999999E-2</v>
      </c>
      <c r="H23" s="29"/>
    </row>
    <row r="24" spans="2:8" ht="15.75" customHeight="1" x14ac:dyDescent="0.25">
      <c r="B24" s="25" t="s">
        <v>537</v>
      </c>
      <c r="C24" s="25" t="s">
        <v>538</v>
      </c>
      <c r="D24" s="25" t="s">
        <v>426</v>
      </c>
      <c r="E24" s="26">
        <v>5423</v>
      </c>
      <c r="F24" s="27">
        <v>26.03</v>
      </c>
      <c r="G24" s="28">
        <v>1.66E-2</v>
      </c>
      <c r="H24" s="29"/>
    </row>
    <row r="25" spans="2:8" ht="15.75" customHeight="1" x14ac:dyDescent="0.25">
      <c r="B25" s="25" t="s">
        <v>353</v>
      </c>
      <c r="C25" s="25" t="s">
        <v>354</v>
      </c>
      <c r="D25" s="25" t="s">
        <v>244</v>
      </c>
      <c r="E25" s="26">
        <v>258</v>
      </c>
      <c r="F25" s="27">
        <v>25.73</v>
      </c>
      <c r="G25" s="28">
        <v>1.6400000000000001E-2</v>
      </c>
      <c r="H25" s="29"/>
    </row>
    <row r="26" spans="2:8" ht="15.75" customHeight="1" x14ac:dyDescent="0.25">
      <c r="B26" s="25" t="s">
        <v>171</v>
      </c>
      <c r="C26" s="25" t="s">
        <v>172</v>
      </c>
      <c r="D26" s="25" t="s">
        <v>173</v>
      </c>
      <c r="E26" s="26">
        <v>1140</v>
      </c>
      <c r="F26" s="27">
        <v>25.43</v>
      </c>
      <c r="G26" s="28">
        <v>1.6199999999999999E-2</v>
      </c>
      <c r="H26" s="29"/>
    </row>
    <row r="27" spans="2:8" ht="15.75" customHeight="1" x14ac:dyDescent="0.25">
      <c r="B27" s="25" t="s">
        <v>539</v>
      </c>
      <c r="C27" s="25" t="s">
        <v>540</v>
      </c>
      <c r="D27" s="25" t="s">
        <v>263</v>
      </c>
      <c r="E27" s="26">
        <v>10219</v>
      </c>
      <c r="F27" s="27">
        <v>24.75</v>
      </c>
      <c r="G27" s="28">
        <v>1.5800000000000002E-2</v>
      </c>
      <c r="H27" s="29"/>
    </row>
    <row r="28" spans="2:8" ht="15.75" customHeight="1" x14ac:dyDescent="0.25">
      <c r="B28" s="25" t="s">
        <v>541</v>
      </c>
      <c r="C28" s="25" t="s">
        <v>542</v>
      </c>
      <c r="D28" s="25" t="s">
        <v>296</v>
      </c>
      <c r="E28" s="26">
        <v>2897</v>
      </c>
      <c r="F28" s="27">
        <v>24.13</v>
      </c>
      <c r="G28" s="28">
        <v>1.54E-2</v>
      </c>
      <c r="H28" s="29"/>
    </row>
    <row r="29" spans="2:8" ht="15.75" customHeight="1" x14ac:dyDescent="0.25">
      <c r="B29" s="25" t="s">
        <v>344</v>
      </c>
      <c r="C29" s="25" t="s">
        <v>345</v>
      </c>
      <c r="D29" s="25" t="s">
        <v>167</v>
      </c>
      <c r="E29" s="26">
        <v>188</v>
      </c>
      <c r="F29" s="27">
        <v>24.1</v>
      </c>
      <c r="G29" s="28">
        <v>1.5299999999999999E-2</v>
      </c>
      <c r="H29" s="29"/>
    </row>
    <row r="30" spans="2:8" ht="15.75" customHeight="1" x14ac:dyDescent="0.25">
      <c r="B30" s="25" t="s">
        <v>543</v>
      </c>
      <c r="C30" s="25" t="s">
        <v>544</v>
      </c>
      <c r="D30" s="25" t="s">
        <v>350</v>
      </c>
      <c r="E30" s="26">
        <v>2118</v>
      </c>
      <c r="F30" s="27">
        <v>24.03</v>
      </c>
      <c r="G30" s="28">
        <v>1.5299999999999999E-2</v>
      </c>
      <c r="H30" s="29"/>
    </row>
    <row r="31" spans="2:8" ht="15.75" customHeight="1" x14ac:dyDescent="0.25">
      <c r="B31" s="25" t="s">
        <v>545</v>
      </c>
      <c r="C31" s="25" t="s">
        <v>546</v>
      </c>
      <c r="D31" s="25" t="s">
        <v>431</v>
      </c>
      <c r="E31" s="26">
        <v>4456</v>
      </c>
      <c r="F31" s="27">
        <v>23.95</v>
      </c>
      <c r="G31" s="28">
        <v>1.52E-2</v>
      </c>
      <c r="H31" s="29"/>
    </row>
    <row r="32" spans="2:8" ht="15.75" customHeight="1" x14ac:dyDescent="0.25">
      <c r="B32" s="25" t="s">
        <v>168</v>
      </c>
      <c r="C32" s="25" t="s">
        <v>169</v>
      </c>
      <c r="D32" s="25" t="s">
        <v>170</v>
      </c>
      <c r="E32" s="26">
        <v>950</v>
      </c>
      <c r="F32" s="27">
        <v>23.82</v>
      </c>
      <c r="G32" s="28">
        <v>1.52E-2</v>
      </c>
      <c r="H32" s="29"/>
    </row>
    <row r="33" spans="2:8" ht="15.75" customHeight="1" x14ac:dyDescent="0.25">
      <c r="B33" s="25" t="s">
        <v>357</v>
      </c>
      <c r="C33" s="25" t="s">
        <v>358</v>
      </c>
      <c r="D33" s="25" t="s">
        <v>260</v>
      </c>
      <c r="E33" s="26">
        <v>893</v>
      </c>
      <c r="F33" s="27">
        <v>23.41</v>
      </c>
      <c r="G33" s="28">
        <v>1.49E-2</v>
      </c>
      <c r="H33" s="29"/>
    </row>
    <row r="34" spans="2:8" ht="15.75" customHeight="1" x14ac:dyDescent="0.25">
      <c r="B34" s="25" t="s">
        <v>547</v>
      </c>
      <c r="C34" s="25" t="s">
        <v>548</v>
      </c>
      <c r="D34" s="25" t="s">
        <v>296</v>
      </c>
      <c r="E34" s="26">
        <v>33895</v>
      </c>
      <c r="F34" s="27">
        <v>23.4</v>
      </c>
      <c r="G34" s="28">
        <v>1.49E-2</v>
      </c>
      <c r="H34" s="29"/>
    </row>
    <row r="35" spans="2:8" ht="15.75" customHeight="1" x14ac:dyDescent="0.25">
      <c r="B35" s="25" t="s">
        <v>549</v>
      </c>
      <c r="C35" s="25" t="s">
        <v>550</v>
      </c>
      <c r="D35" s="25" t="s">
        <v>551</v>
      </c>
      <c r="E35" s="26">
        <v>1862</v>
      </c>
      <c r="F35" s="27">
        <v>22.49</v>
      </c>
      <c r="G35" s="28">
        <v>1.43E-2</v>
      </c>
      <c r="H35" s="29"/>
    </row>
    <row r="36" spans="2:8" ht="15.75" customHeight="1" x14ac:dyDescent="0.25">
      <c r="B36" s="25" t="s">
        <v>470</v>
      </c>
      <c r="C36" s="25" t="s">
        <v>471</v>
      </c>
      <c r="D36" s="25" t="s">
        <v>214</v>
      </c>
      <c r="E36" s="26">
        <v>1418</v>
      </c>
      <c r="F36" s="27">
        <v>21.3</v>
      </c>
      <c r="G36" s="28">
        <v>1.3599999999999999E-2</v>
      </c>
      <c r="H36" s="29"/>
    </row>
    <row r="37" spans="2:8" ht="15.75" customHeight="1" x14ac:dyDescent="0.25">
      <c r="B37" s="25" t="s">
        <v>495</v>
      </c>
      <c r="C37" s="25" t="s">
        <v>496</v>
      </c>
      <c r="D37" s="25" t="s">
        <v>156</v>
      </c>
      <c r="E37" s="26">
        <v>14905</v>
      </c>
      <c r="F37" s="27">
        <v>20.82</v>
      </c>
      <c r="G37" s="28">
        <v>1.3299999999999999E-2</v>
      </c>
      <c r="H37" s="29"/>
    </row>
    <row r="38" spans="2:8" ht="15.75" customHeight="1" x14ac:dyDescent="0.25">
      <c r="B38" s="25" t="s">
        <v>552</v>
      </c>
      <c r="C38" s="25" t="s">
        <v>553</v>
      </c>
      <c r="D38" s="25" t="s">
        <v>350</v>
      </c>
      <c r="E38" s="26">
        <v>4174</v>
      </c>
      <c r="F38" s="27">
        <v>20.36</v>
      </c>
      <c r="G38" s="28">
        <v>1.2999999999999999E-2</v>
      </c>
      <c r="H38" s="29"/>
    </row>
    <row r="39" spans="2:8" ht="15.75" customHeight="1" x14ac:dyDescent="0.25">
      <c r="B39" s="25" t="s">
        <v>501</v>
      </c>
      <c r="C39" s="25" t="s">
        <v>502</v>
      </c>
      <c r="D39" s="25" t="s">
        <v>209</v>
      </c>
      <c r="E39" s="26">
        <v>1244</v>
      </c>
      <c r="F39" s="27">
        <v>20.2</v>
      </c>
      <c r="G39" s="28">
        <v>1.29E-2</v>
      </c>
      <c r="H39" s="29"/>
    </row>
    <row r="40" spans="2:8" ht="15.75" customHeight="1" x14ac:dyDescent="0.25">
      <c r="B40" s="25" t="s">
        <v>174</v>
      </c>
      <c r="C40" s="25" t="s">
        <v>175</v>
      </c>
      <c r="D40" s="25" t="s">
        <v>159</v>
      </c>
      <c r="E40" s="26">
        <v>421</v>
      </c>
      <c r="F40" s="27">
        <v>19.809999999999999</v>
      </c>
      <c r="G40" s="28">
        <v>1.26E-2</v>
      </c>
      <c r="H40" s="29"/>
    </row>
    <row r="41" spans="2:8" ht="15.75" customHeight="1" x14ac:dyDescent="0.25">
      <c r="B41" s="25" t="s">
        <v>334</v>
      </c>
      <c r="C41" s="25" t="s">
        <v>335</v>
      </c>
      <c r="D41" s="25" t="s">
        <v>159</v>
      </c>
      <c r="E41" s="26">
        <v>1320</v>
      </c>
      <c r="F41" s="27">
        <v>18.04</v>
      </c>
      <c r="G41" s="28">
        <v>1.15E-2</v>
      </c>
      <c r="H41" s="29"/>
    </row>
    <row r="42" spans="2:8" ht="15.75" customHeight="1" x14ac:dyDescent="0.25">
      <c r="B42" s="25" t="s">
        <v>554</v>
      </c>
      <c r="C42" s="25" t="s">
        <v>555</v>
      </c>
      <c r="D42" s="25" t="s">
        <v>350</v>
      </c>
      <c r="E42" s="26">
        <v>672</v>
      </c>
      <c r="F42" s="27">
        <v>16.87</v>
      </c>
      <c r="G42" s="28">
        <v>1.0699999999999999E-2</v>
      </c>
      <c r="H42" s="29"/>
    </row>
    <row r="43" spans="2:8" ht="15.75" customHeight="1" x14ac:dyDescent="0.25">
      <c r="B43" s="25" t="s">
        <v>227</v>
      </c>
      <c r="C43" s="25" t="s">
        <v>228</v>
      </c>
      <c r="D43" s="25" t="s">
        <v>156</v>
      </c>
      <c r="E43" s="26">
        <v>1029</v>
      </c>
      <c r="F43" s="27">
        <v>16.71</v>
      </c>
      <c r="G43" s="28">
        <v>1.06E-2</v>
      </c>
      <c r="H43" s="29"/>
    </row>
    <row r="44" spans="2:8" ht="15.75" customHeight="1" x14ac:dyDescent="0.25">
      <c r="B44" s="25" t="s">
        <v>556</v>
      </c>
      <c r="C44" s="25" t="s">
        <v>557</v>
      </c>
      <c r="D44" s="25" t="s">
        <v>361</v>
      </c>
      <c r="E44" s="26">
        <v>1982</v>
      </c>
      <c r="F44" s="27">
        <v>16.649999999999999</v>
      </c>
      <c r="G44" s="28">
        <v>1.06E-2</v>
      </c>
      <c r="H44" s="29"/>
    </row>
    <row r="45" spans="2:8" ht="15.75" customHeight="1" x14ac:dyDescent="0.25">
      <c r="B45" s="25" t="s">
        <v>558</v>
      </c>
      <c r="C45" s="25" t="s">
        <v>559</v>
      </c>
      <c r="D45" s="25" t="s">
        <v>457</v>
      </c>
      <c r="E45" s="26">
        <v>905</v>
      </c>
      <c r="F45" s="27">
        <v>16.350000000000001</v>
      </c>
      <c r="G45" s="28">
        <v>1.04E-2</v>
      </c>
      <c r="H45" s="29"/>
    </row>
    <row r="46" spans="2:8" ht="15.75" customHeight="1" x14ac:dyDescent="0.25">
      <c r="B46" s="25" t="s">
        <v>395</v>
      </c>
      <c r="C46" s="25" t="s">
        <v>396</v>
      </c>
      <c r="D46" s="25" t="s">
        <v>214</v>
      </c>
      <c r="E46" s="26">
        <v>338</v>
      </c>
      <c r="F46" s="27">
        <v>16.34</v>
      </c>
      <c r="G46" s="28">
        <v>1.04E-2</v>
      </c>
      <c r="H46" s="29"/>
    </row>
    <row r="47" spans="2:8" ht="15.75" customHeight="1" x14ac:dyDescent="0.25">
      <c r="B47" s="25" t="s">
        <v>346</v>
      </c>
      <c r="C47" s="25" t="s">
        <v>347</v>
      </c>
      <c r="D47" s="25" t="s">
        <v>167</v>
      </c>
      <c r="E47" s="26">
        <v>352</v>
      </c>
      <c r="F47" s="27">
        <v>15.99</v>
      </c>
      <c r="G47" s="28">
        <v>1.0200000000000001E-2</v>
      </c>
      <c r="H47" s="29"/>
    </row>
    <row r="48" spans="2:8" ht="15.75" customHeight="1" x14ac:dyDescent="0.25">
      <c r="B48" s="25" t="s">
        <v>560</v>
      </c>
      <c r="C48" s="25" t="s">
        <v>561</v>
      </c>
      <c r="D48" s="25" t="s">
        <v>170</v>
      </c>
      <c r="E48" s="26">
        <v>327</v>
      </c>
      <c r="F48" s="27">
        <v>15.62</v>
      </c>
      <c r="G48" s="28">
        <v>9.9000000000000008E-3</v>
      </c>
      <c r="H48" s="29"/>
    </row>
    <row r="49" spans="2:8" ht="15.75" customHeight="1" x14ac:dyDescent="0.25">
      <c r="B49" s="25" t="s">
        <v>562</v>
      </c>
      <c r="C49" s="25" t="s">
        <v>563</v>
      </c>
      <c r="D49" s="25" t="s">
        <v>442</v>
      </c>
      <c r="E49" s="26">
        <v>4274</v>
      </c>
      <c r="F49" s="27">
        <v>15.4</v>
      </c>
      <c r="G49" s="28">
        <v>9.7999999999999997E-3</v>
      </c>
      <c r="H49" s="29"/>
    </row>
    <row r="50" spans="2:8" ht="15.75" customHeight="1" x14ac:dyDescent="0.25">
      <c r="B50" s="25" t="s">
        <v>364</v>
      </c>
      <c r="C50" s="25" t="s">
        <v>365</v>
      </c>
      <c r="D50" s="25" t="s">
        <v>214</v>
      </c>
      <c r="E50" s="26">
        <v>436</v>
      </c>
      <c r="F50" s="27">
        <v>11.52</v>
      </c>
      <c r="G50" s="28">
        <v>7.3000000000000001E-3</v>
      </c>
      <c r="H50" s="29"/>
    </row>
    <row r="51" spans="2:8" ht="15.75" customHeight="1" x14ac:dyDescent="0.25">
      <c r="B51" s="25" t="s">
        <v>564</v>
      </c>
      <c r="C51" s="25" t="s">
        <v>565</v>
      </c>
      <c r="D51" s="25" t="s">
        <v>442</v>
      </c>
      <c r="E51" s="26">
        <v>400</v>
      </c>
      <c r="F51" s="27">
        <v>11.5</v>
      </c>
      <c r="G51" s="28">
        <v>7.3000000000000001E-3</v>
      </c>
      <c r="H51" s="29"/>
    </row>
    <row r="52" spans="2:8" ht="15.75" customHeight="1" x14ac:dyDescent="0.25">
      <c r="B52" s="24" t="s">
        <v>128</v>
      </c>
      <c r="C52" s="24"/>
      <c r="D52" s="24"/>
      <c r="E52" s="30"/>
      <c r="F52" s="31">
        <v>1353.34</v>
      </c>
      <c r="G52" s="32">
        <v>0.86129999999999995</v>
      </c>
      <c r="H52" s="33"/>
    </row>
    <row r="53" spans="2:8" ht="15.75" customHeight="1" x14ac:dyDescent="0.25">
      <c r="B53" s="24" t="s">
        <v>176</v>
      </c>
      <c r="C53" s="25"/>
      <c r="D53" s="25"/>
      <c r="E53" s="26"/>
      <c r="F53" s="27"/>
      <c r="G53" s="28"/>
      <c r="H53" s="29"/>
    </row>
    <row r="54" spans="2:8" ht="15.75" customHeight="1" x14ac:dyDescent="0.25">
      <c r="B54" s="24" t="s">
        <v>128</v>
      </c>
      <c r="C54" s="25"/>
      <c r="D54" s="25"/>
      <c r="E54" s="26"/>
      <c r="F54" s="34" t="s">
        <v>130</v>
      </c>
      <c r="G54" s="35" t="s">
        <v>130</v>
      </c>
      <c r="H54" s="29"/>
    </row>
    <row r="55" spans="2:8" ht="15.75" customHeight="1" x14ac:dyDescent="0.25">
      <c r="B55" s="25"/>
      <c r="C55" s="25"/>
      <c r="D55" s="25"/>
      <c r="E55" s="26"/>
      <c r="F55" s="27"/>
      <c r="G55" s="28"/>
      <c r="H55" s="29"/>
    </row>
    <row r="56" spans="2:8" ht="15.75" customHeight="1" x14ac:dyDescent="0.25">
      <c r="B56" s="36" t="s">
        <v>132</v>
      </c>
      <c r="C56" s="36"/>
      <c r="D56" s="36"/>
      <c r="E56" s="37"/>
      <c r="F56" s="31">
        <v>1353.34</v>
      </c>
      <c r="G56" s="32">
        <v>0.86129999999999995</v>
      </c>
      <c r="H56" s="33"/>
    </row>
    <row r="57" spans="2:8" ht="15.75" customHeight="1" x14ac:dyDescent="0.25">
      <c r="B57" s="25"/>
      <c r="C57" s="25"/>
      <c r="D57" s="25"/>
      <c r="E57" s="26"/>
      <c r="F57" s="27"/>
      <c r="G57" s="28"/>
      <c r="H57" s="29"/>
    </row>
    <row r="58" spans="2:8" ht="15.75" customHeight="1" x14ac:dyDescent="0.25">
      <c r="B58" s="24" t="s">
        <v>116</v>
      </c>
      <c r="C58" s="25"/>
      <c r="D58" s="25"/>
      <c r="E58" s="26"/>
      <c r="F58" s="27"/>
      <c r="G58" s="28"/>
      <c r="H58" s="29"/>
    </row>
    <row r="59" spans="2:8" ht="15.75" customHeight="1" x14ac:dyDescent="0.25">
      <c r="B59" s="24" t="s">
        <v>117</v>
      </c>
      <c r="C59" s="25"/>
      <c r="D59" s="25"/>
      <c r="E59" s="26"/>
      <c r="F59" s="27"/>
      <c r="G59" s="28"/>
      <c r="H59" s="29"/>
    </row>
    <row r="60" spans="2:8" ht="15.75" customHeight="1" x14ac:dyDescent="0.25">
      <c r="B60" s="25" t="s">
        <v>177</v>
      </c>
      <c r="C60" s="25" t="s">
        <v>178</v>
      </c>
      <c r="D60" s="25" t="s">
        <v>119</v>
      </c>
      <c r="E60" s="26">
        <v>150000</v>
      </c>
      <c r="F60" s="27">
        <v>154.80000000000001</v>
      </c>
      <c r="G60" s="28">
        <v>9.8500000000000004E-2</v>
      </c>
      <c r="H60" s="29">
        <v>7.3180999999999996E-2</v>
      </c>
    </row>
    <row r="61" spans="2:8" ht="15.75" customHeight="1" x14ac:dyDescent="0.25">
      <c r="B61" s="24" t="s">
        <v>128</v>
      </c>
      <c r="C61" s="24"/>
      <c r="D61" s="24"/>
      <c r="E61" s="30"/>
      <c r="F61" s="31">
        <v>154.80000000000001</v>
      </c>
      <c r="G61" s="32">
        <v>9.8500000000000004E-2</v>
      </c>
      <c r="H61" s="33"/>
    </row>
    <row r="62" spans="2:8" ht="15.75" customHeight="1" x14ac:dyDescent="0.25">
      <c r="B62" s="25"/>
      <c r="C62" s="25"/>
      <c r="D62" s="25"/>
      <c r="E62" s="26"/>
      <c r="F62" s="27"/>
      <c r="G62" s="28"/>
      <c r="H62" s="29"/>
    </row>
    <row r="63" spans="2:8" ht="15.75" customHeight="1" x14ac:dyDescent="0.25">
      <c r="B63" s="24" t="s">
        <v>129</v>
      </c>
      <c r="C63" s="25"/>
      <c r="D63" s="25"/>
      <c r="E63" s="26"/>
      <c r="F63" s="27"/>
      <c r="G63" s="28"/>
      <c r="H63" s="29"/>
    </row>
    <row r="64" spans="2:8" ht="15.75" customHeight="1" x14ac:dyDescent="0.25">
      <c r="B64" s="24" t="s">
        <v>128</v>
      </c>
      <c r="C64" s="25"/>
      <c r="D64" s="25"/>
      <c r="E64" s="26"/>
      <c r="F64" s="34" t="s">
        <v>130</v>
      </c>
      <c r="G64" s="35" t="s">
        <v>130</v>
      </c>
      <c r="H64" s="29"/>
    </row>
    <row r="65" spans="2:16" ht="15.75" customHeight="1" x14ac:dyDescent="0.25">
      <c r="B65" s="25"/>
      <c r="C65" s="25"/>
      <c r="D65" s="25"/>
      <c r="E65" s="26"/>
      <c r="F65" s="27"/>
      <c r="G65" s="28"/>
      <c r="H65" s="29"/>
    </row>
    <row r="66" spans="2:16" ht="15.75" customHeight="1" x14ac:dyDescent="0.25">
      <c r="B66" s="24" t="s">
        <v>131</v>
      </c>
      <c r="C66" s="25"/>
      <c r="D66" s="25"/>
      <c r="E66" s="26"/>
      <c r="F66" s="27"/>
      <c r="G66" s="28"/>
      <c r="H66" s="29"/>
    </row>
    <row r="67" spans="2:16" ht="15.75" customHeight="1" x14ac:dyDescent="0.25">
      <c r="B67" s="24" t="s">
        <v>128</v>
      </c>
      <c r="C67" s="25"/>
      <c r="D67" s="25"/>
      <c r="E67" s="26"/>
      <c r="F67" s="34" t="s">
        <v>130</v>
      </c>
      <c r="G67" s="35" t="s">
        <v>130</v>
      </c>
      <c r="H67" s="29"/>
    </row>
    <row r="68" spans="2:16" ht="15.75" customHeight="1" x14ac:dyDescent="0.25">
      <c r="B68" s="25"/>
      <c r="C68" s="25"/>
      <c r="D68" s="25"/>
      <c r="E68" s="26"/>
      <c r="F68" s="27"/>
      <c r="G68" s="28"/>
      <c r="H68" s="29"/>
      <c r="L68" s="3"/>
    </row>
    <row r="69" spans="2:16" ht="15.75" customHeight="1" x14ac:dyDescent="0.25">
      <c r="B69" s="36" t="s">
        <v>132</v>
      </c>
      <c r="C69" s="36"/>
      <c r="D69" s="36"/>
      <c r="E69" s="37"/>
      <c r="F69" s="31">
        <v>154.80000000000001</v>
      </c>
      <c r="G69" s="32">
        <v>9.8500000000000004E-2</v>
      </c>
      <c r="H69" s="33"/>
    </row>
    <row r="70" spans="2:16" ht="15.75" customHeight="1" x14ac:dyDescent="0.25">
      <c r="B70" s="25"/>
      <c r="C70" s="25"/>
      <c r="D70" s="25"/>
      <c r="E70" s="26"/>
      <c r="F70" s="27"/>
      <c r="G70" s="28"/>
      <c r="H70" s="29"/>
      <c r="L70" s="3"/>
    </row>
    <row r="71" spans="2:16" ht="15.75" customHeight="1" x14ac:dyDescent="0.25">
      <c r="B71" s="25"/>
      <c r="C71" s="25"/>
      <c r="D71" s="25"/>
      <c r="E71" s="26"/>
      <c r="F71" s="27"/>
      <c r="G71" s="28"/>
      <c r="H71" s="29"/>
      <c r="L71" s="3"/>
    </row>
    <row r="72" spans="2:16" ht="15.75" customHeight="1" x14ac:dyDescent="0.25">
      <c r="B72" s="24" t="s">
        <v>135</v>
      </c>
      <c r="C72" s="25"/>
      <c r="D72" s="25"/>
      <c r="E72" s="26"/>
      <c r="F72" s="27"/>
      <c r="G72" s="28"/>
      <c r="H72" s="29"/>
      <c r="L72" s="3"/>
    </row>
    <row r="73" spans="2:16" ht="15.75" customHeight="1" x14ac:dyDescent="0.25">
      <c r="B73" s="25" t="s">
        <v>136</v>
      </c>
      <c r="C73" s="25"/>
      <c r="D73" s="25"/>
      <c r="E73" s="26"/>
      <c r="F73" s="27">
        <v>67.599999999999994</v>
      </c>
      <c r="G73" s="28">
        <v>4.2999999999999997E-2</v>
      </c>
      <c r="H73" s="29"/>
      <c r="L73" s="3"/>
    </row>
    <row r="74" spans="2:16" ht="15.75" customHeight="1" x14ac:dyDescent="0.25">
      <c r="B74" s="24" t="s">
        <v>128</v>
      </c>
      <c r="C74" s="24"/>
      <c r="D74" s="24"/>
      <c r="E74" s="30"/>
      <c r="F74" s="31">
        <v>67.599999999999994</v>
      </c>
      <c r="G74" s="32">
        <v>4.2999999999999997E-2</v>
      </c>
      <c r="H74" s="33"/>
      <c r="L74" s="3"/>
    </row>
    <row r="75" spans="2:16" ht="15.75" customHeight="1" x14ac:dyDescent="0.25">
      <c r="B75" s="25"/>
      <c r="C75" s="25"/>
      <c r="D75" s="25"/>
      <c r="E75" s="26"/>
      <c r="F75" s="27"/>
      <c r="G75" s="28"/>
      <c r="H75" s="29"/>
      <c r="L75" s="5"/>
      <c r="M75" s="5"/>
      <c r="N75" s="6"/>
      <c r="O75" s="6"/>
      <c r="P75" s="5"/>
    </row>
    <row r="76" spans="2:16" ht="15.75" customHeight="1" x14ac:dyDescent="0.25">
      <c r="B76" s="36" t="s">
        <v>132</v>
      </c>
      <c r="C76" s="36"/>
      <c r="D76" s="36"/>
      <c r="E76" s="37"/>
      <c r="F76" s="31">
        <v>67.599999999999994</v>
      </c>
      <c r="G76" s="32">
        <v>4.2999999999999997E-2</v>
      </c>
      <c r="H76" s="33"/>
    </row>
    <row r="77" spans="2:16" ht="15.75" customHeight="1" x14ac:dyDescent="0.25">
      <c r="B77" s="25" t="s">
        <v>137</v>
      </c>
      <c r="C77" s="25"/>
      <c r="D77" s="25"/>
      <c r="E77" s="26"/>
      <c r="F77" s="38">
        <v>-4.5199999999999996</v>
      </c>
      <c r="G77" s="39">
        <v>-2.7999999999999137E-3</v>
      </c>
      <c r="H77" s="29"/>
    </row>
    <row r="78" spans="2:16" ht="15.75" customHeight="1" x14ac:dyDescent="0.25">
      <c r="B78" s="40" t="s">
        <v>138</v>
      </c>
      <c r="C78" s="40"/>
      <c r="D78" s="40"/>
      <c r="E78" s="41"/>
      <c r="F78" s="42">
        <v>1571.22</v>
      </c>
      <c r="G78" s="43">
        <v>1</v>
      </c>
      <c r="H78" s="44"/>
      <c r="L78" s="7"/>
      <c r="M78" s="7"/>
      <c r="N78" s="7"/>
      <c r="O78" s="7"/>
      <c r="P78" s="7"/>
    </row>
    <row r="79" spans="2:16" ht="15.75" customHeight="1" thickBot="1" x14ac:dyDescent="0.3">
      <c r="B79" s="2"/>
      <c r="L79" s="7"/>
      <c r="M79" s="7"/>
      <c r="N79" s="7"/>
      <c r="O79" s="7"/>
      <c r="P79" s="7"/>
    </row>
    <row r="80" spans="2:16" ht="27" customHeight="1" thickBot="1" x14ac:dyDescent="0.3">
      <c r="B80" s="57" t="s">
        <v>980</v>
      </c>
      <c r="C80" s="58" t="s">
        <v>981</v>
      </c>
      <c r="D80" s="58" t="s">
        <v>982</v>
      </c>
      <c r="E80" s="63" t="s">
        <v>983</v>
      </c>
      <c r="G80" s="2"/>
      <c r="H80" s="2"/>
    </row>
    <row r="81" spans="2:8" ht="29.25" customHeight="1" x14ac:dyDescent="0.25">
      <c r="B81" s="64" t="s">
        <v>1016</v>
      </c>
      <c r="C81" s="82"/>
      <c r="D81" s="85" t="s">
        <v>1008</v>
      </c>
      <c r="E81" s="87"/>
      <c r="G81" s="2"/>
      <c r="H81" s="2"/>
    </row>
    <row r="82" spans="2:8" ht="40" customHeight="1" x14ac:dyDescent="0.25">
      <c r="B82" s="66" t="s">
        <v>1017</v>
      </c>
      <c r="C82" s="83"/>
      <c r="D82" s="86"/>
      <c r="E82" s="83"/>
      <c r="G82" s="2"/>
      <c r="H82" s="2"/>
    </row>
    <row r="83" spans="2:8" ht="40" customHeight="1" x14ac:dyDescent="0.25">
      <c r="B83" s="66" t="s">
        <v>1018</v>
      </c>
      <c r="C83" s="83"/>
      <c r="D83" s="86"/>
      <c r="E83" s="83"/>
      <c r="G83" s="2"/>
      <c r="H83" s="2"/>
    </row>
    <row r="84" spans="2:8" ht="23.25" customHeight="1" thickBot="1" x14ac:dyDescent="0.3">
      <c r="B84" s="68" t="s">
        <v>1006</v>
      </c>
      <c r="C84" s="84"/>
      <c r="D84" s="71" t="s">
        <v>1006</v>
      </c>
      <c r="E84" s="88"/>
      <c r="G84" s="2"/>
      <c r="H84" s="2"/>
    </row>
    <row r="85" spans="2:8" ht="25" customHeight="1" x14ac:dyDescent="0.25">
      <c r="B85" s="59" t="s">
        <v>985</v>
      </c>
      <c r="C85" s="60"/>
      <c r="D85" s="61"/>
      <c r="E85" s="62"/>
      <c r="G85" s="2"/>
      <c r="H85" s="2"/>
    </row>
    <row r="87" spans="2:8" ht="11.5" x14ac:dyDescent="0.25">
      <c r="B87" s="2" t="s">
        <v>986</v>
      </c>
      <c r="C87" s="2"/>
      <c r="D87" s="2"/>
      <c r="G87" s="2"/>
      <c r="H87" s="2"/>
    </row>
    <row r="88" spans="2:8" ht="11.5" x14ac:dyDescent="0.25">
      <c r="B88" s="3" t="s">
        <v>987</v>
      </c>
      <c r="C88" s="2"/>
      <c r="D88" s="2"/>
      <c r="G88" s="2"/>
      <c r="H88" s="2"/>
    </row>
  </sheetData>
  <mergeCells count="3">
    <mergeCell ref="C81:C84"/>
    <mergeCell ref="D81:D83"/>
    <mergeCell ref="E81:E84"/>
  </mergeCells>
  <hyperlinks>
    <hyperlink ref="I1" location="'Sheet1'!A1" display="Index" xr:uid="{F4800E7F-5D0C-40BF-AD91-CFF97D38CF3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52D36-5F32-438F-B406-D8B15B320E53}">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5.90625" style="9" customWidth="1"/>
    <col min="4" max="4" width="26.6328125" style="9" customWidth="1"/>
    <col min="5" max="5" width="28.1796875" style="2" customWidth="1"/>
    <col min="6" max="6" width="16.453125" style="2" customWidth="1"/>
    <col min="7" max="7" width="15.26953125" style="8" customWidth="1"/>
    <col min="8" max="8" width="4.906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14</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154</v>
      </c>
      <c r="C7" s="25" t="s">
        <v>155</v>
      </c>
      <c r="D7" s="25" t="s">
        <v>156</v>
      </c>
      <c r="E7" s="26">
        <v>68631</v>
      </c>
      <c r="F7" s="27">
        <v>789.53</v>
      </c>
      <c r="G7" s="28">
        <v>5.16E-2</v>
      </c>
      <c r="H7" s="29"/>
    </row>
    <row r="8" spans="2:9" ht="15.75" customHeight="1" x14ac:dyDescent="0.25">
      <c r="B8" s="25" t="s">
        <v>332</v>
      </c>
      <c r="C8" s="25" t="s">
        <v>333</v>
      </c>
      <c r="D8" s="25" t="s">
        <v>159</v>
      </c>
      <c r="E8" s="26">
        <v>19001</v>
      </c>
      <c r="F8" s="27">
        <v>725.96</v>
      </c>
      <c r="G8" s="28">
        <v>4.7399999999999998E-2</v>
      </c>
      <c r="H8" s="29"/>
    </row>
    <row r="9" spans="2:9" ht="15.75" customHeight="1" x14ac:dyDescent="0.25">
      <c r="B9" s="25" t="s">
        <v>207</v>
      </c>
      <c r="C9" s="25" t="s">
        <v>208</v>
      </c>
      <c r="D9" s="25" t="s">
        <v>209</v>
      </c>
      <c r="E9" s="26">
        <v>126499</v>
      </c>
      <c r="F9" s="27">
        <v>558.55999999999995</v>
      </c>
      <c r="G9" s="28">
        <v>3.6499999999999998E-2</v>
      </c>
      <c r="H9" s="29"/>
    </row>
    <row r="10" spans="2:9" ht="15.75" customHeight="1" x14ac:dyDescent="0.25">
      <c r="B10" s="25" t="s">
        <v>247</v>
      </c>
      <c r="C10" s="25" t="s">
        <v>248</v>
      </c>
      <c r="D10" s="25" t="s">
        <v>156</v>
      </c>
      <c r="E10" s="26">
        <v>40363</v>
      </c>
      <c r="F10" s="27">
        <v>470.59</v>
      </c>
      <c r="G10" s="28">
        <v>3.0700000000000002E-2</v>
      </c>
      <c r="H10" s="29"/>
    </row>
    <row r="11" spans="2:9" ht="15.75" customHeight="1" x14ac:dyDescent="0.25">
      <c r="B11" s="25" t="s">
        <v>232</v>
      </c>
      <c r="C11" s="25" t="s">
        <v>233</v>
      </c>
      <c r="D11" s="25" t="s">
        <v>234</v>
      </c>
      <c r="E11" s="26">
        <v>199660</v>
      </c>
      <c r="F11" s="27">
        <v>466.71</v>
      </c>
      <c r="G11" s="28">
        <v>3.0499999999999999E-2</v>
      </c>
      <c r="H11" s="29"/>
    </row>
    <row r="12" spans="2:9" ht="15.75" customHeight="1" x14ac:dyDescent="0.25">
      <c r="B12" s="25" t="s">
        <v>165</v>
      </c>
      <c r="C12" s="25" t="s">
        <v>166</v>
      </c>
      <c r="D12" s="25" t="s">
        <v>167</v>
      </c>
      <c r="E12" s="26">
        <v>20000</v>
      </c>
      <c r="F12" s="27">
        <v>431.27</v>
      </c>
      <c r="G12" s="28">
        <v>2.8199999999999999E-2</v>
      </c>
      <c r="H12" s="29"/>
    </row>
    <row r="13" spans="2:9" ht="15.75" customHeight="1" x14ac:dyDescent="0.25">
      <c r="B13" s="25" t="s">
        <v>344</v>
      </c>
      <c r="C13" s="25" t="s">
        <v>345</v>
      </c>
      <c r="D13" s="25" t="s">
        <v>167</v>
      </c>
      <c r="E13" s="26">
        <v>3338</v>
      </c>
      <c r="F13" s="27">
        <v>427.85</v>
      </c>
      <c r="G13" s="28">
        <v>2.7900000000000001E-2</v>
      </c>
      <c r="H13" s="29"/>
    </row>
    <row r="14" spans="2:9" ht="15.75" customHeight="1" x14ac:dyDescent="0.25">
      <c r="B14" s="25" t="s">
        <v>336</v>
      </c>
      <c r="C14" s="25" t="s">
        <v>337</v>
      </c>
      <c r="D14" s="25" t="s">
        <v>281</v>
      </c>
      <c r="E14" s="26">
        <v>115002</v>
      </c>
      <c r="F14" s="27">
        <v>417.69</v>
      </c>
      <c r="G14" s="28">
        <v>2.7300000000000001E-2</v>
      </c>
      <c r="H14" s="29"/>
    </row>
    <row r="15" spans="2:9" ht="15.75" customHeight="1" x14ac:dyDescent="0.25">
      <c r="B15" s="25" t="s">
        <v>330</v>
      </c>
      <c r="C15" s="25" t="s">
        <v>331</v>
      </c>
      <c r="D15" s="25" t="s">
        <v>156</v>
      </c>
      <c r="E15" s="26">
        <v>49951</v>
      </c>
      <c r="F15" s="27">
        <v>412.72</v>
      </c>
      <c r="G15" s="28">
        <v>2.7E-2</v>
      </c>
      <c r="H15" s="29"/>
    </row>
    <row r="16" spans="2:9" ht="15.75" customHeight="1" x14ac:dyDescent="0.25">
      <c r="B16" s="25" t="s">
        <v>279</v>
      </c>
      <c r="C16" s="25" t="s">
        <v>280</v>
      </c>
      <c r="D16" s="25" t="s">
        <v>281</v>
      </c>
      <c r="E16" s="26">
        <v>83751</v>
      </c>
      <c r="F16" s="27">
        <v>376.25</v>
      </c>
      <c r="G16" s="28">
        <v>2.46E-2</v>
      </c>
      <c r="H16" s="29"/>
    </row>
    <row r="17" spans="2:8" ht="15.75" customHeight="1" x14ac:dyDescent="0.25">
      <c r="B17" s="25" t="s">
        <v>157</v>
      </c>
      <c r="C17" s="25" t="s">
        <v>158</v>
      </c>
      <c r="D17" s="25" t="s">
        <v>159</v>
      </c>
      <c r="E17" s="26">
        <v>26348</v>
      </c>
      <c r="F17" s="27">
        <v>374.29</v>
      </c>
      <c r="G17" s="28">
        <v>2.4500000000000001E-2</v>
      </c>
      <c r="H17" s="29"/>
    </row>
    <row r="18" spans="2:8" ht="15.75" customHeight="1" x14ac:dyDescent="0.25">
      <c r="B18" s="25" t="s">
        <v>264</v>
      </c>
      <c r="C18" s="25" t="s">
        <v>265</v>
      </c>
      <c r="D18" s="25" t="s">
        <v>159</v>
      </c>
      <c r="E18" s="26">
        <v>28273</v>
      </c>
      <c r="F18" s="27">
        <v>357.23</v>
      </c>
      <c r="G18" s="28">
        <v>2.3300000000000001E-2</v>
      </c>
      <c r="H18" s="29"/>
    </row>
    <row r="19" spans="2:8" ht="15.75" customHeight="1" x14ac:dyDescent="0.25">
      <c r="B19" s="25" t="s">
        <v>566</v>
      </c>
      <c r="C19" s="25" t="s">
        <v>567</v>
      </c>
      <c r="D19" s="25" t="s">
        <v>202</v>
      </c>
      <c r="E19" s="26">
        <v>10000</v>
      </c>
      <c r="F19" s="27">
        <v>350.75</v>
      </c>
      <c r="G19" s="28">
        <v>2.29E-2</v>
      </c>
      <c r="H19" s="29"/>
    </row>
    <row r="20" spans="2:8" ht="15.75" customHeight="1" x14ac:dyDescent="0.25">
      <c r="B20" s="25" t="s">
        <v>261</v>
      </c>
      <c r="C20" s="25" t="s">
        <v>262</v>
      </c>
      <c r="D20" s="25" t="s">
        <v>263</v>
      </c>
      <c r="E20" s="26">
        <v>9471</v>
      </c>
      <c r="F20" s="27">
        <v>340.42</v>
      </c>
      <c r="G20" s="28">
        <v>2.2200000000000001E-2</v>
      </c>
      <c r="H20" s="29"/>
    </row>
    <row r="21" spans="2:8" ht="15.75" customHeight="1" x14ac:dyDescent="0.25">
      <c r="B21" s="25" t="s">
        <v>547</v>
      </c>
      <c r="C21" s="25" t="s">
        <v>548</v>
      </c>
      <c r="D21" s="25" t="s">
        <v>296</v>
      </c>
      <c r="E21" s="26">
        <v>486156</v>
      </c>
      <c r="F21" s="27">
        <v>335.69</v>
      </c>
      <c r="G21" s="28">
        <v>2.1899999999999999E-2</v>
      </c>
      <c r="H21" s="29"/>
    </row>
    <row r="22" spans="2:8" ht="15.75" customHeight="1" x14ac:dyDescent="0.25">
      <c r="B22" s="25" t="s">
        <v>341</v>
      </c>
      <c r="C22" s="25" t="s">
        <v>342</v>
      </c>
      <c r="D22" s="25" t="s">
        <v>343</v>
      </c>
      <c r="E22" s="26">
        <v>16549</v>
      </c>
      <c r="F22" s="27">
        <v>327.89</v>
      </c>
      <c r="G22" s="28">
        <v>2.1399999999999999E-2</v>
      </c>
      <c r="H22" s="29"/>
    </row>
    <row r="23" spans="2:8" ht="15.75" customHeight="1" x14ac:dyDescent="0.25">
      <c r="B23" s="25" t="s">
        <v>440</v>
      </c>
      <c r="C23" s="25" t="s">
        <v>441</v>
      </c>
      <c r="D23" s="25" t="s">
        <v>442</v>
      </c>
      <c r="E23" s="26">
        <v>9000</v>
      </c>
      <c r="F23" s="27">
        <v>323.02999999999997</v>
      </c>
      <c r="G23" s="28">
        <v>2.1100000000000001E-2</v>
      </c>
      <c r="H23" s="29"/>
    </row>
    <row r="24" spans="2:8" ht="15.75" customHeight="1" x14ac:dyDescent="0.25">
      <c r="B24" s="25" t="s">
        <v>355</v>
      </c>
      <c r="C24" s="25" t="s">
        <v>356</v>
      </c>
      <c r="D24" s="25" t="s">
        <v>281</v>
      </c>
      <c r="E24" s="26">
        <v>103907</v>
      </c>
      <c r="F24" s="27">
        <v>313.64</v>
      </c>
      <c r="G24" s="28">
        <v>2.0500000000000001E-2</v>
      </c>
      <c r="H24" s="29"/>
    </row>
    <row r="25" spans="2:8" ht="15.75" customHeight="1" x14ac:dyDescent="0.25">
      <c r="B25" s="25" t="s">
        <v>568</v>
      </c>
      <c r="C25" s="25" t="s">
        <v>569</v>
      </c>
      <c r="D25" s="25" t="s">
        <v>260</v>
      </c>
      <c r="E25" s="26">
        <v>41804</v>
      </c>
      <c r="F25" s="27">
        <v>309.18</v>
      </c>
      <c r="G25" s="28">
        <v>2.0199999999999999E-2</v>
      </c>
      <c r="H25" s="29"/>
    </row>
    <row r="26" spans="2:8" ht="15.75" customHeight="1" x14ac:dyDescent="0.25">
      <c r="B26" s="25" t="s">
        <v>570</v>
      </c>
      <c r="C26" s="25" t="s">
        <v>571</v>
      </c>
      <c r="D26" s="25" t="s">
        <v>263</v>
      </c>
      <c r="E26" s="26">
        <v>44776</v>
      </c>
      <c r="F26" s="27">
        <v>302.27999999999997</v>
      </c>
      <c r="G26" s="28">
        <v>1.9699999999999999E-2</v>
      </c>
      <c r="H26" s="29"/>
    </row>
    <row r="27" spans="2:8" ht="15.75" customHeight="1" x14ac:dyDescent="0.25">
      <c r="B27" s="25" t="s">
        <v>220</v>
      </c>
      <c r="C27" s="25" t="s">
        <v>221</v>
      </c>
      <c r="D27" s="25" t="s">
        <v>156</v>
      </c>
      <c r="E27" s="26">
        <v>19832</v>
      </c>
      <c r="F27" s="27">
        <v>300.58999999999997</v>
      </c>
      <c r="G27" s="28">
        <v>1.9599999999999999E-2</v>
      </c>
      <c r="H27" s="29"/>
    </row>
    <row r="28" spans="2:8" ht="15.75" customHeight="1" x14ac:dyDescent="0.25">
      <c r="B28" s="25" t="s">
        <v>162</v>
      </c>
      <c r="C28" s="25" t="s">
        <v>163</v>
      </c>
      <c r="D28" s="25" t="s">
        <v>164</v>
      </c>
      <c r="E28" s="26">
        <v>10000</v>
      </c>
      <c r="F28" s="27">
        <v>293.39999999999998</v>
      </c>
      <c r="G28" s="28">
        <v>1.9199999999999998E-2</v>
      </c>
      <c r="H28" s="29"/>
    </row>
    <row r="29" spans="2:8" ht="15.75" customHeight="1" x14ac:dyDescent="0.25">
      <c r="B29" s="25" t="s">
        <v>572</v>
      </c>
      <c r="C29" s="25" t="s">
        <v>573</v>
      </c>
      <c r="D29" s="25" t="s">
        <v>343</v>
      </c>
      <c r="E29" s="26">
        <v>20136</v>
      </c>
      <c r="F29" s="27">
        <v>286.39</v>
      </c>
      <c r="G29" s="28">
        <v>1.8700000000000001E-2</v>
      </c>
      <c r="H29" s="29"/>
    </row>
    <row r="30" spans="2:8" ht="15.75" customHeight="1" x14ac:dyDescent="0.25">
      <c r="B30" s="25" t="s">
        <v>574</v>
      </c>
      <c r="C30" s="25" t="s">
        <v>575</v>
      </c>
      <c r="D30" s="25" t="s">
        <v>214</v>
      </c>
      <c r="E30" s="26">
        <v>3377</v>
      </c>
      <c r="F30" s="27">
        <v>281.14999999999998</v>
      </c>
      <c r="G30" s="28">
        <v>1.84E-2</v>
      </c>
      <c r="H30" s="29"/>
    </row>
    <row r="31" spans="2:8" ht="15.75" customHeight="1" x14ac:dyDescent="0.25">
      <c r="B31" s="25" t="s">
        <v>576</v>
      </c>
      <c r="C31" s="25" t="s">
        <v>577</v>
      </c>
      <c r="D31" s="25" t="s">
        <v>431</v>
      </c>
      <c r="E31" s="26">
        <v>8626</v>
      </c>
      <c r="F31" s="27">
        <v>279.87</v>
      </c>
      <c r="G31" s="28">
        <v>1.83E-2</v>
      </c>
      <c r="H31" s="29"/>
    </row>
    <row r="32" spans="2:8" ht="15.75" customHeight="1" x14ac:dyDescent="0.25">
      <c r="B32" s="25" t="s">
        <v>578</v>
      </c>
      <c r="C32" s="25" t="s">
        <v>579</v>
      </c>
      <c r="D32" s="25" t="s">
        <v>214</v>
      </c>
      <c r="E32" s="26">
        <v>6840</v>
      </c>
      <c r="F32" s="27">
        <v>273.76</v>
      </c>
      <c r="G32" s="28">
        <v>1.7899999999999999E-2</v>
      </c>
      <c r="H32" s="29"/>
    </row>
    <row r="33" spans="2:8" ht="15.75" customHeight="1" x14ac:dyDescent="0.25">
      <c r="B33" s="25" t="s">
        <v>458</v>
      </c>
      <c r="C33" s="25" t="s">
        <v>459</v>
      </c>
      <c r="D33" s="25" t="s">
        <v>296</v>
      </c>
      <c r="E33" s="26">
        <v>20000</v>
      </c>
      <c r="F33" s="27">
        <v>254.24</v>
      </c>
      <c r="G33" s="28">
        <v>1.66E-2</v>
      </c>
      <c r="H33" s="29"/>
    </row>
    <row r="34" spans="2:8" ht="15.75" customHeight="1" x14ac:dyDescent="0.25">
      <c r="B34" s="25" t="s">
        <v>580</v>
      </c>
      <c r="C34" s="25" t="s">
        <v>581</v>
      </c>
      <c r="D34" s="25" t="s">
        <v>442</v>
      </c>
      <c r="E34" s="26">
        <v>9612</v>
      </c>
      <c r="F34" s="27">
        <v>235.48</v>
      </c>
      <c r="G34" s="28">
        <v>1.54E-2</v>
      </c>
      <c r="H34" s="29"/>
    </row>
    <row r="35" spans="2:8" ht="15.75" customHeight="1" x14ac:dyDescent="0.25">
      <c r="B35" s="25" t="s">
        <v>381</v>
      </c>
      <c r="C35" s="25" t="s">
        <v>382</v>
      </c>
      <c r="D35" s="25" t="s">
        <v>315</v>
      </c>
      <c r="E35" s="26">
        <v>49152</v>
      </c>
      <c r="F35" s="27">
        <v>235.12</v>
      </c>
      <c r="G35" s="28">
        <v>1.54E-2</v>
      </c>
      <c r="H35" s="29"/>
    </row>
    <row r="36" spans="2:8" ht="15.75" customHeight="1" x14ac:dyDescent="0.25">
      <c r="B36" s="25" t="s">
        <v>582</v>
      </c>
      <c r="C36" s="25" t="s">
        <v>583</v>
      </c>
      <c r="D36" s="25" t="s">
        <v>167</v>
      </c>
      <c r="E36" s="26">
        <v>2519</v>
      </c>
      <c r="F36" s="27">
        <v>224.28</v>
      </c>
      <c r="G36" s="28">
        <v>1.47E-2</v>
      </c>
      <c r="H36" s="29"/>
    </row>
    <row r="37" spans="2:8" ht="15.75" customHeight="1" x14ac:dyDescent="0.25">
      <c r="B37" s="25" t="s">
        <v>584</v>
      </c>
      <c r="C37" s="25" t="s">
        <v>585</v>
      </c>
      <c r="D37" s="25" t="s">
        <v>551</v>
      </c>
      <c r="E37" s="26">
        <v>59159</v>
      </c>
      <c r="F37" s="27">
        <v>218.06</v>
      </c>
      <c r="G37" s="28">
        <v>1.4200000000000001E-2</v>
      </c>
      <c r="H37" s="29"/>
    </row>
    <row r="38" spans="2:8" ht="15.75" customHeight="1" x14ac:dyDescent="0.25">
      <c r="B38" s="25" t="s">
        <v>586</v>
      </c>
      <c r="C38" s="25" t="s">
        <v>587</v>
      </c>
      <c r="D38" s="25" t="s">
        <v>401</v>
      </c>
      <c r="E38" s="26">
        <v>14774</v>
      </c>
      <c r="F38" s="27">
        <v>213.26</v>
      </c>
      <c r="G38" s="28">
        <v>1.3899999999999999E-2</v>
      </c>
      <c r="H38" s="29"/>
    </row>
    <row r="39" spans="2:8" ht="15.75" customHeight="1" x14ac:dyDescent="0.25">
      <c r="B39" s="25" t="s">
        <v>399</v>
      </c>
      <c r="C39" s="25" t="s">
        <v>400</v>
      </c>
      <c r="D39" s="25" t="s">
        <v>401</v>
      </c>
      <c r="E39" s="26">
        <v>71456</v>
      </c>
      <c r="F39" s="27">
        <v>211.51</v>
      </c>
      <c r="G39" s="28">
        <v>1.38E-2</v>
      </c>
      <c r="H39" s="29"/>
    </row>
    <row r="40" spans="2:8" ht="15.75" customHeight="1" x14ac:dyDescent="0.25">
      <c r="B40" s="25" t="s">
        <v>460</v>
      </c>
      <c r="C40" s="25" t="s">
        <v>461</v>
      </c>
      <c r="D40" s="25" t="s">
        <v>442</v>
      </c>
      <c r="E40" s="26">
        <v>64085</v>
      </c>
      <c r="F40" s="27">
        <v>204.05</v>
      </c>
      <c r="G40" s="28">
        <v>1.3299999999999999E-2</v>
      </c>
      <c r="H40" s="29"/>
    </row>
    <row r="41" spans="2:8" ht="15.75" customHeight="1" x14ac:dyDescent="0.25">
      <c r="B41" s="25" t="s">
        <v>320</v>
      </c>
      <c r="C41" s="25" t="s">
        <v>321</v>
      </c>
      <c r="D41" s="25" t="s">
        <v>244</v>
      </c>
      <c r="E41" s="26">
        <v>8416</v>
      </c>
      <c r="F41" s="27">
        <v>202.96</v>
      </c>
      <c r="G41" s="28">
        <v>1.3299999999999999E-2</v>
      </c>
      <c r="H41" s="29"/>
    </row>
    <row r="42" spans="2:8" ht="15.75" customHeight="1" x14ac:dyDescent="0.25">
      <c r="B42" s="25" t="s">
        <v>588</v>
      </c>
      <c r="C42" s="25" t="s">
        <v>589</v>
      </c>
      <c r="D42" s="25" t="s">
        <v>380</v>
      </c>
      <c r="E42" s="26">
        <v>11425</v>
      </c>
      <c r="F42" s="27">
        <v>200.75</v>
      </c>
      <c r="G42" s="28">
        <v>1.3100000000000001E-2</v>
      </c>
      <c r="H42" s="29"/>
    </row>
    <row r="43" spans="2:8" ht="15.75" customHeight="1" x14ac:dyDescent="0.25">
      <c r="B43" s="25" t="s">
        <v>397</v>
      </c>
      <c r="C43" s="25" t="s">
        <v>398</v>
      </c>
      <c r="D43" s="25" t="s">
        <v>159</v>
      </c>
      <c r="E43" s="26">
        <v>28954</v>
      </c>
      <c r="F43" s="27">
        <v>200.12</v>
      </c>
      <c r="G43" s="28">
        <v>1.3100000000000001E-2</v>
      </c>
      <c r="H43" s="29"/>
    </row>
    <row r="44" spans="2:8" ht="15.75" customHeight="1" x14ac:dyDescent="0.25">
      <c r="B44" s="25" t="s">
        <v>590</v>
      </c>
      <c r="C44" s="25" t="s">
        <v>591</v>
      </c>
      <c r="D44" s="25" t="s">
        <v>592</v>
      </c>
      <c r="E44" s="26">
        <v>5918</v>
      </c>
      <c r="F44" s="27">
        <v>197.95</v>
      </c>
      <c r="G44" s="28">
        <v>1.29E-2</v>
      </c>
      <c r="H44" s="29"/>
    </row>
    <row r="45" spans="2:8" ht="15.75" customHeight="1" x14ac:dyDescent="0.25">
      <c r="B45" s="25" t="s">
        <v>292</v>
      </c>
      <c r="C45" s="25" t="s">
        <v>293</v>
      </c>
      <c r="D45" s="25" t="s">
        <v>173</v>
      </c>
      <c r="E45" s="26">
        <v>43046</v>
      </c>
      <c r="F45" s="27">
        <v>187.53</v>
      </c>
      <c r="G45" s="28">
        <v>1.23E-2</v>
      </c>
      <c r="H45" s="29"/>
    </row>
    <row r="46" spans="2:8" ht="15.75" customHeight="1" x14ac:dyDescent="0.25">
      <c r="B46" s="25" t="s">
        <v>593</v>
      </c>
      <c r="C46" s="25" t="s">
        <v>594</v>
      </c>
      <c r="D46" s="25" t="s">
        <v>281</v>
      </c>
      <c r="E46" s="26">
        <v>123469</v>
      </c>
      <c r="F46" s="27">
        <v>181.93</v>
      </c>
      <c r="G46" s="28">
        <v>1.1900000000000001E-2</v>
      </c>
      <c r="H46" s="29"/>
    </row>
    <row r="47" spans="2:8" ht="15.75" customHeight="1" x14ac:dyDescent="0.25">
      <c r="B47" s="25" t="s">
        <v>595</v>
      </c>
      <c r="C47" s="25" t="s">
        <v>596</v>
      </c>
      <c r="D47" s="25" t="s">
        <v>260</v>
      </c>
      <c r="E47" s="26">
        <v>66312</v>
      </c>
      <c r="F47" s="27">
        <v>179.47</v>
      </c>
      <c r="G47" s="28">
        <v>1.17E-2</v>
      </c>
      <c r="H47" s="29"/>
    </row>
    <row r="48" spans="2:8" ht="15.75" customHeight="1" x14ac:dyDescent="0.25">
      <c r="B48" s="25" t="s">
        <v>597</v>
      </c>
      <c r="C48" s="25" t="s">
        <v>598</v>
      </c>
      <c r="D48" s="25" t="s">
        <v>296</v>
      </c>
      <c r="E48" s="26">
        <v>4607</v>
      </c>
      <c r="F48" s="27">
        <v>169.99</v>
      </c>
      <c r="G48" s="28">
        <v>1.11E-2</v>
      </c>
      <c r="H48" s="29"/>
    </row>
    <row r="49" spans="2:8" ht="15.75" customHeight="1" x14ac:dyDescent="0.25">
      <c r="B49" s="25" t="s">
        <v>227</v>
      </c>
      <c r="C49" s="25" t="s">
        <v>228</v>
      </c>
      <c r="D49" s="25" t="s">
        <v>156</v>
      </c>
      <c r="E49" s="26">
        <v>10037</v>
      </c>
      <c r="F49" s="27">
        <v>163</v>
      </c>
      <c r="G49" s="28">
        <v>1.06E-2</v>
      </c>
      <c r="H49" s="29"/>
    </row>
    <row r="50" spans="2:8" ht="15.75" customHeight="1" x14ac:dyDescent="0.25">
      <c r="B50" s="25" t="s">
        <v>520</v>
      </c>
      <c r="C50" s="25" t="s">
        <v>521</v>
      </c>
      <c r="D50" s="25" t="s">
        <v>515</v>
      </c>
      <c r="E50" s="26">
        <v>27391</v>
      </c>
      <c r="F50" s="27">
        <v>161.24</v>
      </c>
      <c r="G50" s="28">
        <v>1.0500000000000001E-2</v>
      </c>
      <c r="H50" s="29"/>
    </row>
    <row r="51" spans="2:8" ht="15.75" customHeight="1" x14ac:dyDescent="0.25">
      <c r="B51" s="25" t="s">
        <v>222</v>
      </c>
      <c r="C51" s="25" t="s">
        <v>223</v>
      </c>
      <c r="D51" s="25" t="s">
        <v>209</v>
      </c>
      <c r="E51" s="26">
        <v>6300</v>
      </c>
      <c r="F51" s="27">
        <v>160.76</v>
      </c>
      <c r="G51" s="28">
        <v>1.0500000000000001E-2</v>
      </c>
      <c r="H51" s="29"/>
    </row>
    <row r="52" spans="2:8" ht="15.75" customHeight="1" x14ac:dyDescent="0.25">
      <c r="B52" s="25" t="s">
        <v>537</v>
      </c>
      <c r="C52" s="25" t="s">
        <v>538</v>
      </c>
      <c r="D52" s="25" t="s">
        <v>426</v>
      </c>
      <c r="E52" s="26">
        <v>32241</v>
      </c>
      <c r="F52" s="27">
        <v>154.76</v>
      </c>
      <c r="G52" s="28">
        <v>1.01E-2</v>
      </c>
      <c r="H52" s="29"/>
    </row>
    <row r="53" spans="2:8" ht="15.75" customHeight="1" x14ac:dyDescent="0.25">
      <c r="B53" s="25" t="s">
        <v>449</v>
      </c>
      <c r="C53" s="25" t="s">
        <v>450</v>
      </c>
      <c r="D53" s="25" t="s">
        <v>442</v>
      </c>
      <c r="E53" s="26">
        <v>9228</v>
      </c>
      <c r="F53" s="27">
        <v>153.55000000000001</v>
      </c>
      <c r="G53" s="28">
        <v>0.01</v>
      </c>
      <c r="H53" s="29"/>
    </row>
    <row r="54" spans="2:8" ht="15.75" customHeight="1" x14ac:dyDescent="0.25">
      <c r="B54" s="25" t="s">
        <v>599</v>
      </c>
      <c r="C54" s="25" t="s">
        <v>600</v>
      </c>
      <c r="D54" s="25" t="s">
        <v>361</v>
      </c>
      <c r="E54" s="26">
        <v>79326</v>
      </c>
      <c r="F54" s="27">
        <v>144.69</v>
      </c>
      <c r="G54" s="28">
        <v>9.4999999999999998E-3</v>
      </c>
      <c r="H54" s="29"/>
    </row>
    <row r="55" spans="2:8" ht="15.75" customHeight="1" x14ac:dyDescent="0.25">
      <c r="B55" s="25" t="s">
        <v>601</v>
      </c>
      <c r="C55" s="25" t="s">
        <v>602</v>
      </c>
      <c r="D55" s="25" t="s">
        <v>214</v>
      </c>
      <c r="E55" s="26">
        <v>29046</v>
      </c>
      <c r="F55" s="27">
        <v>130.71</v>
      </c>
      <c r="G55" s="28">
        <v>8.5000000000000006E-3</v>
      </c>
      <c r="H55" s="29"/>
    </row>
    <row r="56" spans="2:8" ht="15.75" customHeight="1" x14ac:dyDescent="0.25">
      <c r="B56" s="25" t="s">
        <v>466</v>
      </c>
      <c r="C56" s="25" t="s">
        <v>467</v>
      </c>
      <c r="D56" s="25" t="s">
        <v>170</v>
      </c>
      <c r="E56" s="26">
        <v>22552</v>
      </c>
      <c r="F56" s="27">
        <v>120.17</v>
      </c>
      <c r="G56" s="28">
        <v>7.9000000000000008E-3</v>
      </c>
      <c r="H56" s="29"/>
    </row>
    <row r="57" spans="2:8" ht="15.75" customHeight="1" x14ac:dyDescent="0.25">
      <c r="B57" s="24" t="s">
        <v>128</v>
      </c>
      <c r="C57" s="24"/>
      <c r="D57" s="24"/>
      <c r="E57" s="30"/>
      <c r="F57" s="31">
        <v>14632.27</v>
      </c>
      <c r="G57" s="32">
        <v>0.95579999999999998</v>
      </c>
      <c r="H57" s="33"/>
    </row>
    <row r="58" spans="2:8" ht="15.75" customHeight="1" x14ac:dyDescent="0.25">
      <c r="B58" s="24" t="s">
        <v>176</v>
      </c>
      <c r="C58" s="25"/>
      <c r="D58" s="25"/>
      <c r="E58" s="26"/>
      <c r="F58" s="27"/>
      <c r="G58" s="28"/>
      <c r="H58" s="29"/>
    </row>
    <row r="59" spans="2:8" ht="15.75" customHeight="1" x14ac:dyDescent="0.25">
      <c r="B59" s="24" t="s">
        <v>128</v>
      </c>
      <c r="C59" s="25"/>
      <c r="D59" s="25"/>
      <c r="E59" s="26"/>
      <c r="F59" s="34" t="s">
        <v>130</v>
      </c>
      <c r="G59" s="35" t="s">
        <v>130</v>
      </c>
      <c r="H59" s="29"/>
    </row>
    <row r="60" spans="2:8" ht="15.75" customHeight="1" x14ac:dyDescent="0.25">
      <c r="B60" s="25"/>
      <c r="C60" s="25"/>
      <c r="D60" s="25"/>
      <c r="E60" s="26"/>
      <c r="F60" s="27"/>
      <c r="G60" s="28"/>
      <c r="H60" s="29"/>
    </row>
    <row r="61" spans="2:8" ht="15.75" customHeight="1" x14ac:dyDescent="0.25">
      <c r="B61" s="36" t="s">
        <v>132</v>
      </c>
      <c r="C61" s="36"/>
      <c r="D61" s="36"/>
      <c r="E61" s="37"/>
      <c r="F61" s="31">
        <v>14632.27</v>
      </c>
      <c r="G61" s="32">
        <v>0.95579999999999998</v>
      </c>
      <c r="H61" s="33"/>
    </row>
    <row r="62" spans="2:8" ht="15.75" customHeight="1" x14ac:dyDescent="0.25">
      <c r="B62" s="25"/>
      <c r="C62" s="25"/>
      <c r="D62" s="25"/>
      <c r="E62" s="26"/>
      <c r="F62" s="27"/>
      <c r="G62" s="28"/>
      <c r="H62" s="29"/>
    </row>
    <row r="63" spans="2:8" ht="15.75" customHeight="1" x14ac:dyDescent="0.25">
      <c r="B63" s="25"/>
      <c r="C63" s="25"/>
      <c r="D63" s="25"/>
      <c r="E63" s="26"/>
      <c r="F63" s="27"/>
      <c r="G63" s="28"/>
      <c r="H63" s="29"/>
    </row>
    <row r="64" spans="2:8" ht="15.75" customHeight="1" x14ac:dyDescent="0.25">
      <c r="B64" s="24" t="s">
        <v>135</v>
      </c>
      <c r="C64" s="25"/>
      <c r="D64" s="25"/>
      <c r="E64" s="26"/>
      <c r="F64" s="27"/>
      <c r="G64" s="28"/>
      <c r="H64" s="29"/>
    </row>
    <row r="65" spans="2:12" ht="15.75" customHeight="1" x14ac:dyDescent="0.25">
      <c r="B65" s="25" t="s">
        <v>136</v>
      </c>
      <c r="C65" s="25"/>
      <c r="D65" s="25"/>
      <c r="E65" s="26"/>
      <c r="F65" s="27">
        <v>710.7</v>
      </c>
      <c r="G65" s="28">
        <v>4.6399999999999997E-2</v>
      </c>
      <c r="H65" s="29"/>
    </row>
    <row r="66" spans="2:12" ht="15.75" customHeight="1" x14ac:dyDescent="0.25">
      <c r="B66" s="24" t="s">
        <v>128</v>
      </c>
      <c r="C66" s="24"/>
      <c r="D66" s="24"/>
      <c r="E66" s="30"/>
      <c r="F66" s="31">
        <v>710.7</v>
      </c>
      <c r="G66" s="32">
        <v>4.6399999999999997E-2</v>
      </c>
      <c r="H66" s="33"/>
    </row>
    <row r="67" spans="2:12" ht="15.75" customHeight="1" x14ac:dyDescent="0.25">
      <c r="B67" s="25"/>
      <c r="C67" s="25"/>
      <c r="D67" s="25"/>
      <c r="E67" s="26"/>
      <c r="F67" s="27"/>
      <c r="G67" s="28"/>
      <c r="H67" s="29"/>
    </row>
    <row r="68" spans="2:12" ht="15.75" customHeight="1" x14ac:dyDescent="0.25">
      <c r="B68" s="36" t="s">
        <v>132</v>
      </c>
      <c r="C68" s="36"/>
      <c r="D68" s="36"/>
      <c r="E68" s="37"/>
      <c r="F68" s="31">
        <v>710.7</v>
      </c>
      <c r="G68" s="32">
        <v>4.6399999999999997E-2</v>
      </c>
      <c r="H68" s="33"/>
      <c r="L68" s="3"/>
    </row>
    <row r="69" spans="2:12" ht="15.75" customHeight="1" x14ac:dyDescent="0.25">
      <c r="B69" s="25" t="s">
        <v>137</v>
      </c>
      <c r="C69" s="25"/>
      <c r="D69" s="25"/>
      <c r="E69" s="26"/>
      <c r="F69" s="38">
        <v>-34.950000000000003</v>
      </c>
      <c r="G69" s="39">
        <v>-2.1999999999999797E-3</v>
      </c>
      <c r="H69" s="29"/>
    </row>
    <row r="70" spans="2:12" ht="15.75" customHeight="1" x14ac:dyDescent="0.25">
      <c r="B70" s="40" t="s">
        <v>138</v>
      </c>
      <c r="C70" s="40"/>
      <c r="D70" s="40"/>
      <c r="E70" s="41"/>
      <c r="F70" s="42">
        <v>15308.02</v>
      </c>
      <c r="G70" s="43">
        <v>1</v>
      </c>
      <c r="H70" s="44"/>
      <c r="L70" s="3"/>
    </row>
    <row r="71" spans="2:12" ht="15.75" customHeight="1" thickBot="1" x14ac:dyDescent="0.3">
      <c r="B71" s="2"/>
      <c r="L71" s="3"/>
    </row>
    <row r="72" spans="2:12" ht="27" customHeight="1" thickBot="1" x14ac:dyDescent="0.3">
      <c r="B72" s="57" t="s">
        <v>980</v>
      </c>
      <c r="C72" s="58" t="s">
        <v>981</v>
      </c>
      <c r="D72" s="58" t="s">
        <v>982</v>
      </c>
      <c r="E72" s="63" t="s">
        <v>983</v>
      </c>
      <c r="G72" s="2"/>
      <c r="H72" s="2"/>
    </row>
    <row r="73" spans="2:12" ht="29.25" customHeight="1" x14ac:dyDescent="0.25">
      <c r="B73" s="64" t="s">
        <v>67</v>
      </c>
      <c r="C73" s="82"/>
      <c r="D73" s="85" t="s">
        <v>1019</v>
      </c>
      <c r="E73" s="87"/>
      <c r="G73" s="2"/>
      <c r="H73" s="2"/>
    </row>
    <row r="74" spans="2:12" ht="40" customHeight="1" x14ac:dyDescent="0.25">
      <c r="B74" s="66" t="s">
        <v>1020</v>
      </c>
      <c r="C74" s="83"/>
      <c r="D74" s="86"/>
      <c r="E74" s="83"/>
      <c r="G74" s="2"/>
      <c r="H74" s="2"/>
    </row>
    <row r="75" spans="2:12" ht="40" customHeight="1" x14ac:dyDescent="0.25">
      <c r="B75" s="66" t="s">
        <v>1021</v>
      </c>
      <c r="C75" s="83"/>
      <c r="D75" s="86"/>
      <c r="E75" s="83"/>
      <c r="G75" s="2"/>
      <c r="H75" s="2"/>
    </row>
    <row r="76" spans="2:12" ht="23.25" customHeight="1" thickBot="1" x14ac:dyDescent="0.3">
      <c r="B76" s="68" t="s">
        <v>1006</v>
      </c>
      <c r="C76" s="84"/>
      <c r="D76" s="71" t="s">
        <v>1006</v>
      </c>
      <c r="E76" s="88"/>
      <c r="G76" s="2"/>
      <c r="H76" s="2"/>
    </row>
    <row r="77" spans="2:12" ht="25" customHeight="1" x14ac:dyDescent="0.25">
      <c r="B77" s="59" t="s">
        <v>985</v>
      </c>
      <c r="C77" s="60"/>
      <c r="D77" s="61"/>
      <c r="E77" s="62"/>
      <c r="G77" s="2"/>
      <c r="H77" s="2"/>
    </row>
    <row r="79" spans="2:12" ht="11.5" x14ac:dyDescent="0.25">
      <c r="B79" s="2" t="s">
        <v>986</v>
      </c>
      <c r="C79" s="2"/>
      <c r="D79" s="2"/>
      <c r="G79" s="2"/>
      <c r="H79" s="2"/>
    </row>
    <row r="80" spans="2:12" ht="11.5" x14ac:dyDescent="0.25">
      <c r="B80" s="3" t="s">
        <v>987</v>
      </c>
      <c r="C80" s="2"/>
      <c r="D80" s="2"/>
      <c r="G80" s="2"/>
      <c r="H80" s="2"/>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3">
    <mergeCell ref="C73:C76"/>
    <mergeCell ref="D73:D75"/>
    <mergeCell ref="E73:E76"/>
  </mergeCells>
  <hyperlinks>
    <hyperlink ref="I1" location="'Sheet1'!A1" display="Index" xr:uid="{BEDE7E90-1199-42F0-A77A-9AE7D63C48B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05EA5-90B2-4461-A8D0-7B5AA09F3FC3}">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6.453125" style="9" customWidth="1"/>
    <col min="4" max="4" width="26.6328125" style="9" customWidth="1"/>
    <col min="5" max="5" width="28.36328125" style="2" customWidth="1"/>
    <col min="6" max="6" width="16.453125" style="2" customWidth="1"/>
    <col min="7" max="7" width="15.26953125" style="8" customWidth="1"/>
    <col min="8" max="8" width="4.906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15</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470</v>
      </c>
      <c r="C7" s="25" t="s">
        <v>471</v>
      </c>
      <c r="D7" s="25" t="s">
        <v>214</v>
      </c>
      <c r="E7" s="26">
        <v>46390</v>
      </c>
      <c r="F7" s="27">
        <v>696.82</v>
      </c>
      <c r="G7" s="28">
        <v>0.1119</v>
      </c>
      <c r="H7" s="29"/>
    </row>
    <row r="8" spans="2:9" ht="15.75" customHeight="1" x14ac:dyDescent="0.25">
      <c r="B8" s="25" t="s">
        <v>256</v>
      </c>
      <c r="C8" s="25" t="s">
        <v>257</v>
      </c>
      <c r="D8" s="25" t="s">
        <v>214</v>
      </c>
      <c r="E8" s="26">
        <v>45705</v>
      </c>
      <c r="F8" s="27">
        <v>435.82</v>
      </c>
      <c r="G8" s="28">
        <v>7.0000000000000007E-2</v>
      </c>
      <c r="H8" s="29"/>
    </row>
    <row r="9" spans="2:9" ht="15.75" customHeight="1" x14ac:dyDescent="0.25">
      <c r="B9" s="25" t="s">
        <v>603</v>
      </c>
      <c r="C9" s="25" t="s">
        <v>604</v>
      </c>
      <c r="D9" s="25" t="s">
        <v>214</v>
      </c>
      <c r="E9" s="26">
        <v>21054</v>
      </c>
      <c r="F9" s="27">
        <v>401.13</v>
      </c>
      <c r="G9" s="28">
        <v>6.4399999999999999E-2</v>
      </c>
      <c r="H9" s="29"/>
    </row>
    <row r="10" spans="2:9" ht="15.75" customHeight="1" x14ac:dyDescent="0.25">
      <c r="B10" s="25" t="s">
        <v>372</v>
      </c>
      <c r="C10" s="25" t="s">
        <v>373</v>
      </c>
      <c r="D10" s="25" t="s">
        <v>214</v>
      </c>
      <c r="E10" s="26">
        <v>276700</v>
      </c>
      <c r="F10" s="27">
        <v>397.48</v>
      </c>
      <c r="G10" s="28">
        <v>6.3799999999999996E-2</v>
      </c>
      <c r="H10" s="29"/>
    </row>
    <row r="11" spans="2:9" ht="15.75" customHeight="1" x14ac:dyDescent="0.25">
      <c r="B11" s="25" t="s">
        <v>605</v>
      </c>
      <c r="C11" s="25" t="s">
        <v>606</v>
      </c>
      <c r="D11" s="25" t="s">
        <v>214</v>
      </c>
      <c r="E11" s="26">
        <v>27126</v>
      </c>
      <c r="F11" s="27">
        <v>379.76</v>
      </c>
      <c r="G11" s="28">
        <v>6.0999999999999999E-2</v>
      </c>
      <c r="H11" s="29"/>
    </row>
    <row r="12" spans="2:9" ht="15.75" customHeight="1" x14ac:dyDescent="0.25">
      <c r="B12" s="25" t="s">
        <v>578</v>
      </c>
      <c r="C12" s="25" t="s">
        <v>579</v>
      </c>
      <c r="D12" s="25" t="s">
        <v>214</v>
      </c>
      <c r="E12" s="26">
        <v>8304</v>
      </c>
      <c r="F12" s="27">
        <v>332.36</v>
      </c>
      <c r="G12" s="28">
        <v>5.3400000000000003E-2</v>
      </c>
      <c r="H12" s="29"/>
    </row>
    <row r="13" spans="2:9" ht="15.75" customHeight="1" x14ac:dyDescent="0.25">
      <c r="B13" s="25" t="s">
        <v>364</v>
      </c>
      <c r="C13" s="25" t="s">
        <v>365</v>
      </c>
      <c r="D13" s="25" t="s">
        <v>214</v>
      </c>
      <c r="E13" s="26">
        <v>12401</v>
      </c>
      <c r="F13" s="27">
        <v>327.7</v>
      </c>
      <c r="G13" s="28">
        <v>5.2600000000000001E-2</v>
      </c>
      <c r="H13" s="29"/>
    </row>
    <row r="14" spans="2:9" ht="15.75" customHeight="1" x14ac:dyDescent="0.25">
      <c r="B14" s="25" t="s">
        <v>411</v>
      </c>
      <c r="C14" s="25" t="s">
        <v>412</v>
      </c>
      <c r="D14" s="25" t="s">
        <v>214</v>
      </c>
      <c r="E14" s="26">
        <v>5105</v>
      </c>
      <c r="F14" s="27">
        <v>316.73</v>
      </c>
      <c r="G14" s="28">
        <v>5.0900000000000001E-2</v>
      </c>
      <c r="H14" s="29"/>
    </row>
    <row r="15" spans="2:9" ht="15.75" customHeight="1" x14ac:dyDescent="0.25">
      <c r="B15" s="25" t="s">
        <v>607</v>
      </c>
      <c r="C15" s="25" t="s">
        <v>608</v>
      </c>
      <c r="D15" s="25" t="s">
        <v>214</v>
      </c>
      <c r="E15" s="26">
        <v>27907</v>
      </c>
      <c r="F15" s="27">
        <v>295.02999999999997</v>
      </c>
      <c r="G15" s="28">
        <v>4.7399999999999998E-2</v>
      </c>
      <c r="H15" s="29"/>
    </row>
    <row r="16" spans="2:9" ht="15.75" customHeight="1" x14ac:dyDescent="0.25">
      <c r="B16" s="25" t="s">
        <v>609</v>
      </c>
      <c r="C16" s="25" t="s">
        <v>610</v>
      </c>
      <c r="D16" s="25" t="s">
        <v>214</v>
      </c>
      <c r="E16" s="26">
        <v>21440</v>
      </c>
      <c r="F16" s="27">
        <v>287.19</v>
      </c>
      <c r="G16" s="28">
        <v>4.6100000000000002E-2</v>
      </c>
      <c r="H16" s="29"/>
    </row>
    <row r="17" spans="2:8" ht="15.75" customHeight="1" x14ac:dyDescent="0.25">
      <c r="B17" s="25" t="s">
        <v>351</v>
      </c>
      <c r="C17" s="25" t="s">
        <v>352</v>
      </c>
      <c r="D17" s="25" t="s">
        <v>214</v>
      </c>
      <c r="E17" s="26">
        <v>12068</v>
      </c>
      <c r="F17" s="27">
        <v>285.33999999999997</v>
      </c>
      <c r="G17" s="28">
        <v>4.58E-2</v>
      </c>
      <c r="H17" s="29"/>
    </row>
    <row r="18" spans="2:8" ht="15.75" customHeight="1" x14ac:dyDescent="0.25">
      <c r="B18" s="25" t="s">
        <v>599</v>
      </c>
      <c r="C18" s="25" t="s">
        <v>600</v>
      </c>
      <c r="D18" s="25" t="s">
        <v>361</v>
      </c>
      <c r="E18" s="26">
        <v>156172</v>
      </c>
      <c r="F18" s="27">
        <v>284.86</v>
      </c>
      <c r="G18" s="28">
        <v>4.58E-2</v>
      </c>
      <c r="H18" s="29"/>
    </row>
    <row r="19" spans="2:8" ht="15.75" customHeight="1" x14ac:dyDescent="0.25">
      <c r="B19" s="25" t="s">
        <v>407</v>
      </c>
      <c r="C19" s="25" t="s">
        <v>408</v>
      </c>
      <c r="D19" s="25" t="s">
        <v>214</v>
      </c>
      <c r="E19" s="26">
        <v>1026</v>
      </c>
      <c r="F19" s="27">
        <v>271.33999999999997</v>
      </c>
      <c r="G19" s="28">
        <v>4.36E-2</v>
      </c>
      <c r="H19" s="29"/>
    </row>
    <row r="20" spans="2:8" ht="15.75" customHeight="1" x14ac:dyDescent="0.25">
      <c r="B20" s="25" t="s">
        <v>611</v>
      </c>
      <c r="C20" s="25" t="s">
        <v>612</v>
      </c>
      <c r="D20" s="25" t="s">
        <v>361</v>
      </c>
      <c r="E20" s="26">
        <v>4511</v>
      </c>
      <c r="F20" s="27">
        <v>268.27</v>
      </c>
      <c r="G20" s="28">
        <v>4.3099999999999999E-2</v>
      </c>
      <c r="H20" s="29"/>
    </row>
    <row r="21" spans="2:8" ht="15.75" customHeight="1" x14ac:dyDescent="0.25">
      <c r="B21" s="25" t="s">
        <v>613</v>
      </c>
      <c r="C21" s="25" t="s">
        <v>614</v>
      </c>
      <c r="D21" s="25" t="s">
        <v>361</v>
      </c>
      <c r="E21" s="26">
        <v>18037</v>
      </c>
      <c r="F21" s="27">
        <v>260.67</v>
      </c>
      <c r="G21" s="28">
        <v>4.19E-2</v>
      </c>
      <c r="H21" s="29"/>
    </row>
    <row r="22" spans="2:8" ht="15.75" customHeight="1" x14ac:dyDescent="0.25">
      <c r="B22" s="25" t="s">
        <v>395</v>
      </c>
      <c r="C22" s="25" t="s">
        <v>396</v>
      </c>
      <c r="D22" s="25" t="s">
        <v>214</v>
      </c>
      <c r="E22" s="26">
        <v>4829</v>
      </c>
      <c r="F22" s="27">
        <v>233.39</v>
      </c>
      <c r="G22" s="28">
        <v>3.7499999999999999E-2</v>
      </c>
      <c r="H22" s="29"/>
    </row>
    <row r="23" spans="2:8" ht="15.75" customHeight="1" x14ac:dyDescent="0.25">
      <c r="B23" s="25" t="s">
        <v>615</v>
      </c>
      <c r="C23" s="25" t="s">
        <v>616</v>
      </c>
      <c r="D23" s="25" t="s">
        <v>361</v>
      </c>
      <c r="E23" s="26">
        <v>10322</v>
      </c>
      <c r="F23" s="27">
        <v>187.63</v>
      </c>
      <c r="G23" s="28">
        <v>3.0099999999999998E-2</v>
      </c>
      <c r="H23" s="29"/>
    </row>
    <row r="24" spans="2:8" ht="15.75" customHeight="1" x14ac:dyDescent="0.25">
      <c r="B24" s="25" t="s">
        <v>601</v>
      </c>
      <c r="C24" s="25" t="s">
        <v>602</v>
      </c>
      <c r="D24" s="25" t="s">
        <v>214</v>
      </c>
      <c r="E24" s="26">
        <v>31100</v>
      </c>
      <c r="F24" s="27">
        <v>139.94999999999999</v>
      </c>
      <c r="G24" s="28">
        <v>2.2499999999999999E-2</v>
      </c>
      <c r="H24" s="29"/>
    </row>
    <row r="25" spans="2:8" ht="15.75" customHeight="1" x14ac:dyDescent="0.25">
      <c r="B25" s="25" t="s">
        <v>528</v>
      </c>
      <c r="C25" s="25" t="s">
        <v>529</v>
      </c>
      <c r="D25" s="25" t="s">
        <v>260</v>
      </c>
      <c r="E25" s="26">
        <v>7037</v>
      </c>
      <c r="F25" s="27">
        <v>108.55</v>
      </c>
      <c r="G25" s="28">
        <v>1.7399999999999999E-2</v>
      </c>
      <c r="H25" s="29"/>
    </row>
    <row r="26" spans="2:8" ht="15.75" customHeight="1" x14ac:dyDescent="0.25">
      <c r="B26" s="25" t="s">
        <v>359</v>
      </c>
      <c r="C26" s="25" t="s">
        <v>360</v>
      </c>
      <c r="D26" s="25" t="s">
        <v>361</v>
      </c>
      <c r="E26" s="26">
        <v>13737</v>
      </c>
      <c r="F26" s="27">
        <v>94.67</v>
      </c>
      <c r="G26" s="28">
        <v>1.52E-2</v>
      </c>
      <c r="H26" s="29"/>
    </row>
    <row r="27" spans="2:8" ht="15.75" customHeight="1" x14ac:dyDescent="0.25">
      <c r="B27" s="24" t="s">
        <v>128</v>
      </c>
      <c r="C27" s="24"/>
      <c r="D27" s="24"/>
      <c r="E27" s="30"/>
      <c r="F27" s="31">
        <v>6004.69</v>
      </c>
      <c r="G27" s="32">
        <v>0.96440000000000003</v>
      </c>
      <c r="H27" s="33"/>
    </row>
    <row r="28" spans="2:8" ht="15.75" customHeight="1" x14ac:dyDescent="0.25">
      <c r="B28" s="24" t="s">
        <v>176</v>
      </c>
      <c r="C28" s="25"/>
      <c r="D28" s="25"/>
      <c r="E28" s="26"/>
      <c r="F28" s="27"/>
      <c r="G28" s="28"/>
      <c r="H28" s="29"/>
    </row>
    <row r="29" spans="2:8" ht="15.75" customHeight="1" x14ac:dyDescent="0.25">
      <c r="B29" s="24" t="s">
        <v>128</v>
      </c>
      <c r="C29" s="25"/>
      <c r="D29" s="25"/>
      <c r="E29" s="26"/>
      <c r="F29" s="34" t="s">
        <v>130</v>
      </c>
      <c r="G29" s="35" t="s">
        <v>130</v>
      </c>
      <c r="H29" s="29"/>
    </row>
    <row r="30" spans="2:8" ht="15.75" customHeight="1" x14ac:dyDescent="0.25">
      <c r="B30" s="25"/>
      <c r="C30" s="25"/>
      <c r="D30" s="25"/>
      <c r="E30" s="26"/>
      <c r="F30" s="27"/>
      <c r="G30" s="28"/>
      <c r="H30" s="29"/>
    </row>
    <row r="31" spans="2:8" ht="15.75" customHeight="1" x14ac:dyDescent="0.25">
      <c r="B31" s="36" t="s">
        <v>132</v>
      </c>
      <c r="C31" s="36"/>
      <c r="D31" s="36"/>
      <c r="E31" s="37"/>
      <c r="F31" s="31">
        <v>6004.69</v>
      </c>
      <c r="G31" s="32">
        <v>0.96440000000000003</v>
      </c>
      <c r="H31" s="33"/>
    </row>
    <row r="32" spans="2:8" ht="15.75" customHeight="1" x14ac:dyDescent="0.25">
      <c r="B32" s="25"/>
      <c r="C32" s="25"/>
      <c r="D32" s="25"/>
      <c r="E32" s="26"/>
      <c r="F32" s="27"/>
      <c r="G32" s="28"/>
      <c r="H32" s="29"/>
    </row>
    <row r="33" spans="2:8" ht="15.75" customHeight="1" x14ac:dyDescent="0.25">
      <c r="B33" s="25"/>
      <c r="C33" s="25"/>
      <c r="D33" s="25"/>
      <c r="E33" s="26"/>
      <c r="F33" s="27"/>
      <c r="G33" s="28"/>
      <c r="H33" s="29"/>
    </row>
    <row r="34" spans="2:8" ht="15.75" customHeight="1" x14ac:dyDescent="0.25">
      <c r="B34" s="24" t="s">
        <v>135</v>
      </c>
      <c r="C34" s="25"/>
      <c r="D34" s="25"/>
      <c r="E34" s="26"/>
      <c r="F34" s="27"/>
      <c r="G34" s="28"/>
      <c r="H34" s="29"/>
    </row>
    <row r="35" spans="2:8" ht="15.75" customHeight="1" x14ac:dyDescent="0.25">
      <c r="B35" s="25" t="s">
        <v>136</v>
      </c>
      <c r="C35" s="25"/>
      <c r="D35" s="25"/>
      <c r="E35" s="26"/>
      <c r="F35" s="27">
        <v>257.89999999999998</v>
      </c>
      <c r="G35" s="28">
        <v>4.1399999999999999E-2</v>
      </c>
      <c r="H35" s="29"/>
    </row>
    <row r="36" spans="2:8" ht="15.75" customHeight="1" x14ac:dyDescent="0.25">
      <c r="B36" s="24" t="s">
        <v>128</v>
      </c>
      <c r="C36" s="24"/>
      <c r="D36" s="24"/>
      <c r="E36" s="30"/>
      <c r="F36" s="31">
        <v>257.89999999999998</v>
      </c>
      <c r="G36" s="32">
        <v>4.1399999999999999E-2</v>
      </c>
      <c r="H36" s="33"/>
    </row>
    <row r="37" spans="2:8" ht="15.75" customHeight="1" x14ac:dyDescent="0.25">
      <c r="B37" s="25"/>
      <c r="C37" s="25"/>
      <c r="D37" s="25"/>
      <c r="E37" s="26"/>
      <c r="F37" s="27"/>
      <c r="G37" s="28"/>
      <c r="H37" s="29"/>
    </row>
    <row r="38" spans="2:8" ht="15.75" customHeight="1" x14ac:dyDescent="0.25">
      <c r="B38" s="36" t="s">
        <v>132</v>
      </c>
      <c r="C38" s="36"/>
      <c r="D38" s="36"/>
      <c r="E38" s="37"/>
      <c r="F38" s="31">
        <v>257.89999999999998</v>
      </c>
      <c r="G38" s="32">
        <v>4.1399999999999999E-2</v>
      </c>
      <c r="H38" s="33"/>
    </row>
    <row r="39" spans="2:8" ht="15.75" customHeight="1" x14ac:dyDescent="0.25">
      <c r="B39" s="25" t="s">
        <v>137</v>
      </c>
      <c r="C39" s="25"/>
      <c r="D39" s="25"/>
      <c r="E39" s="26"/>
      <c r="F39" s="38">
        <v>-36.44</v>
      </c>
      <c r="G39" s="39">
        <v>-5.8000000000000274E-3</v>
      </c>
      <c r="H39" s="29"/>
    </row>
    <row r="40" spans="2:8" ht="15.75" customHeight="1" x14ac:dyDescent="0.25">
      <c r="B40" s="40" t="s">
        <v>138</v>
      </c>
      <c r="C40" s="40"/>
      <c r="D40" s="40"/>
      <c r="E40" s="41"/>
      <c r="F40" s="42">
        <v>6226.15</v>
      </c>
      <c r="G40" s="43">
        <v>1</v>
      </c>
      <c r="H40" s="44"/>
    </row>
    <row r="41" spans="2:8" ht="15.75" customHeight="1" thickBot="1" x14ac:dyDescent="0.3">
      <c r="B41" s="2"/>
    </row>
    <row r="42" spans="2:8" ht="27" customHeight="1" thickBot="1" x14ac:dyDescent="0.3">
      <c r="B42" s="57" t="s">
        <v>980</v>
      </c>
      <c r="C42" s="58" t="s">
        <v>981</v>
      </c>
      <c r="D42" s="58" t="s">
        <v>982</v>
      </c>
      <c r="E42" s="63" t="s">
        <v>983</v>
      </c>
      <c r="G42" s="2"/>
      <c r="H42" s="2"/>
    </row>
    <row r="43" spans="2:8" ht="29.25" customHeight="1" x14ac:dyDescent="0.25">
      <c r="B43" s="64" t="s">
        <v>69</v>
      </c>
      <c r="C43" s="82"/>
      <c r="D43" s="85" t="s">
        <v>1022</v>
      </c>
      <c r="E43" s="87"/>
      <c r="G43" s="2"/>
      <c r="H43" s="2"/>
    </row>
    <row r="44" spans="2:8" ht="40" customHeight="1" x14ac:dyDescent="0.25">
      <c r="B44" s="66" t="s">
        <v>1020</v>
      </c>
      <c r="C44" s="83"/>
      <c r="D44" s="86"/>
      <c r="E44" s="83"/>
      <c r="G44" s="2"/>
      <c r="H44" s="2"/>
    </row>
    <row r="45" spans="2:8" ht="40" customHeight="1" x14ac:dyDescent="0.25">
      <c r="B45" s="66" t="s">
        <v>1023</v>
      </c>
      <c r="C45" s="83"/>
      <c r="D45" s="86"/>
      <c r="E45" s="83"/>
      <c r="G45" s="2"/>
      <c r="H45" s="2"/>
    </row>
    <row r="46" spans="2:8" ht="23.25" customHeight="1" thickBot="1" x14ac:dyDescent="0.3">
      <c r="B46" s="68" t="s">
        <v>1006</v>
      </c>
      <c r="C46" s="84"/>
      <c r="D46" s="71" t="s">
        <v>1006</v>
      </c>
      <c r="E46" s="88"/>
      <c r="G46" s="2"/>
      <c r="H46" s="2"/>
    </row>
    <row r="47" spans="2:8" ht="25" customHeight="1" x14ac:dyDescent="0.25">
      <c r="B47" s="59" t="s">
        <v>985</v>
      </c>
      <c r="C47" s="60"/>
      <c r="D47" s="61"/>
      <c r="E47" s="62"/>
      <c r="G47" s="2"/>
      <c r="H47" s="2"/>
    </row>
    <row r="49" spans="2:8" ht="11.5" x14ac:dyDescent="0.25">
      <c r="B49" s="2" t="s">
        <v>986</v>
      </c>
      <c r="C49" s="2"/>
      <c r="D49" s="2"/>
      <c r="G49" s="2"/>
      <c r="H49" s="2"/>
    </row>
    <row r="50" spans="2:8" ht="11.5" x14ac:dyDescent="0.25">
      <c r="B50" s="3" t="s">
        <v>987</v>
      </c>
      <c r="C50" s="2"/>
      <c r="D50" s="2"/>
      <c r="G50" s="2"/>
      <c r="H50" s="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8" spans="12:16" ht="15.75" customHeight="1" x14ac:dyDescent="0.25">
      <c r="L78" s="7"/>
      <c r="M78" s="7"/>
      <c r="N78" s="7"/>
      <c r="O78" s="7"/>
      <c r="P78" s="7"/>
    </row>
    <row r="79" spans="12:16" ht="15.75" customHeight="1" x14ac:dyDescent="0.25">
      <c r="L79" s="7"/>
      <c r="M79" s="7"/>
      <c r="N79" s="7"/>
      <c r="O79" s="7"/>
      <c r="P79" s="7"/>
    </row>
    <row r="80" spans="1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3">
    <mergeCell ref="C43:C46"/>
    <mergeCell ref="D43:D45"/>
    <mergeCell ref="E43:E46"/>
  </mergeCells>
  <hyperlinks>
    <hyperlink ref="I1" location="'Sheet1'!A1" display="Index" xr:uid="{3BD4C649-81FE-45FD-937E-286E5ECD349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15DB9-F68C-4FC9-A961-E5AAE6E1924A}">
  <dimension ref="B1:P87"/>
  <sheetViews>
    <sheetView workbookViewId="0"/>
  </sheetViews>
  <sheetFormatPr defaultColWidth="9.1796875" defaultRowHeight="15.75" customHeight="1" x14ac:dyDescent="0.25"/>
  <cols>
    <col min="1" max="1" width="3.6328125" style="2" customWidth="1"/>
    <col min="2" max="2" width="50.453125" style="9" customWidth="1"/>
    <col min="3" max="3" width="26" style="9" customWidth="1"/>
    <col min="4" max="4" width="26.6328125" style="9" customWidth="1"/>
    <col min="5" max="5" width="27.90625" style="2" customWidth="1"/>
    <col min="6" max="6" width="16.453125" style="2" customWidth="1"/>
    <col min="7" max="7" width="15.26953125" style="8" customWidth="1"/>
    <col min="8" max="8" width="4.906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16</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424</v>
      </c>
      <c r="C7" s="25" t="s">
        <v>425</v>
      </c>
      <c r="D7" s="25" t="s">
        <v>426</v>
      </c>
      <c r="E7" s="26">
        <v>23267</v>
      </c>
      <c r="F7" s="27">
        <v>1026.05</v>
      </c>
      <c r="G7" s="28">
        <v>3.95E-2</v>
      </c>
      <c r="H7" s="29"/>
    </row>
    <row r="8" spans="2:9" ht="15.75" customHeight="1" x14ac:dyDescent="0.25">
      <c r="B8" s="25" t="s">
        <v>617</v>
      </c>
      <c r="C8" s="25" t="s">
        <v>618</v>
      </c>
      <c r="D8" s="25" t="s">
        <v>296</v>
      </c>
      <c r="E8" s="26">
        <v>120460</v>
      </c>
      <c r="F8" s="27">
        <v>888.99</v>
      </c>
      <c r="G8" s="28">
        <v>3.4200000000000001E-2</v>
      </c>
      <c r="H8" s="29"/>
    </row>
    <row r="9" spans="2:9" ht="15.75" customHeight="1" x14ac:dyDescent="0.25">
      <c r="B9" s="25" t="s">
        <v>341</v>
      </c>
      <c r="C9" s="25" t="s">
        <v>342</v>
      </c>
      <c r="D9" s="25" t="s">
        <v>343</v>
      </c>
      <c r="E9" s="26">
        <v>41374</v>
      </c>
      <c r="F9" s="27">
        <v>819.76</v>
      </c>
      <c r="G9" s="28">
        <v>3.15E-2</v>
      </c>
      <c r="H9" s="29"/>
    </row>
    <row r="10" spans="2:9" ht="15.75" customHeight="1" x14ac:dyDescent="0.25">
      <c r="B10" s="25" t="s">
        <v>154</v>
      </c>
      <c r="C10" s="25" t="s">
        <v>155</v>
      </c>
      <c r="D10" s="25" t="s">
        <v>156</v>
      </c>
      <c r="E10" s="26">
        <v>66889</v>
      </c>
      <c r="F10" s="27">
        <v>769.49</v>
      </c>
      <c r="G10" s="28">
        <v>2.9600000000000001E-2</v>
      </c>
      <c r="H10" s="29"/>
    </row>
    <row r="11" spans="2:9" ht="15.75" customHeight="1" x14ac:dyDescent="0.25">
      <c r="B11" s="25" t="s">
        <v>493</v>
      </c>
      <c r="C11" s="25" t="s">
        <v>494</v>
      </c>
      <c r="D11" s="25" t="s">
        <v>156</v>
      </c>
      <c r="E11" s="26">
        <v>433372</v>
      </c>
      <c r="F11" s="27">
        <v>704.66</v>
      </c>
      <c r="G11" s="28">
        <v>2.7099999999999999E-2</v>
      </c>
      <c r="H11" s="29"/>
    </row>
    <row r="12" spans="2:9" ht="15.75" customHeight="1" x14ac:dyDescent="0.25">
      <c r="B12" s="25" t="s">
        <v>232</v>
      </c>
      <c r="C12" s="25" t="s">
        <v>233</v>
      </c>
      <c r="D12" s="25" t="s">
        <v>234</v>
      </c>
      <c r="E12" s="26">
        <v>299704</v>
      </c>
      <c r="F12" s="27">
        <v>700.56</v>
      </c>
      <c r="G12" s="28">
        <v>2.69E-2</v>
      </c>
      <c r="H12" s="29"/>
    </row>
    <row r="13" spans="2:9" ht="15.75" customHeight="1" x14ac:dyDescent="0.25">
      <c r="B13" s="25" t="s">
        <v>207</v>
      </c>
      <c r="C13" s="25" t="s">
        <v>208</v>
      </c>
      <c r="D13" s="25" t="s">
        <v>209</v>
      </c>
      <c r="E13" s="26">
        <v>149792</v>
      </c>
      <c r="F13" s="27">
        <v>661.41</v>
      </c>
      <c r="G13" s="28">
        <v>2.5399999999999999E-2</v>
      </c>
      <c r="H13" s="29"/>
    </row>
    <row r="14" spans="2:9" ht="15.75" customHeight="1" x14ac:dyDescent="0.25">
      <c r="B14" s="25" t="s">
        <v>395</v>
      </c>
      <c r="C14" s="25" t="s">
        <v>396</v>
      </c>
      <c r="D14" s="25" t="s">
        <v>214</v>
      </c>
      <c r="E14" s="26">
        <v>12978</v>
      </c>
      <c r="F14" s="27">
        <v>627.23</v>
      </c>
      <c r="G14" s="28">
        <v>2.41E-2</v>
      </c>
      <c r="H14" s="29"/>
    </row>
    <row r="15" spans="2:9" ht="15.75" customHeight="1" x14ac:dyDescent="0.25">
      <c r="B15" s="25" t="s">
        <v>619</v>
      </c>
      <c r="C15" s="25" t="s">
        <v>620</v>
      </c>
      <c r="D15" s="25" t="s">
        <v>281</v>
      </c>
      <c r="E15" s="26">
        <v>40692</v>
      </c>
      <c r="F15" s="27">
        <v>610.83000000000004</v>
      </c>
      <c r="G15" s="28">
        <v>2.35E-2</v>
      </c>
      <c r="H15" s="29"/>
    </row>
    <row r="16" spans="2:9" ht="15.75" customHeight="1" x14ac:dyDescent="0.25">
      <c r="B16" s="25" t="s">
        <v>474</v>
      </c>
      <c r="C16" s="25" t="s">
        <v>475</v>
      </c>
      <c r="D16" s="25" t="s">
        <v>159</v>
      </c>
      <c r="E16" s="26">
        <v>11425</v>
      </c>
      <c r="F16" s="27">
        <v>583.04999999999995</v>
      </c>
      <c r="G16" s="28">
        <v>2.24E-2</v>
      </c>
      <c r="H16" s="29"/>
    </row>
    <row r="17" spans="2:8" ht="15.75" customHeight="1" x14ac:dyDescent="0.25">
      <c r="B17" s="25" t="s">
        <v>313</v>
      </c>
      <c r="C17" s="25" t="s">
        <v>314</v>
      </c>
      <c r="D17" s="25" t="s">
        <v>315</v>
      </c>
      <c r="E17" s="26">
        <v>96224</v>
      </c>
      <c r="F17" s="27">
        <v>554.97</v>
      </c>
      <c r="G17" s="28">
        <v>2.1299999999999999E-2</v>
      </c>
      <c r="H17" s="29"/>
    </row>
    <row r="18" spans="2:8" ht="15.75" customHeight="1" x14ac:dyDescent="0.25">
      <c r="B18" s="25" t="s">
        <v>427</v>
      </c>
      <c r="C18" s="25" t="s">
        <v>428</v>
      </c>
      <c r="D18" s="25" t="s">
        <v>426</v>
      </c>
      <c r="E18" s="26">
        <v>278011</v>
      </c>
      <c r="F18" s="27">
        <v>536.98</v>
      </c>
      <c r="G18" s="28">
        <v>2.06E-2</v>
      </c>
      <c r="H18" s="29"/>
    </row>
    <row r="19" spans="2:8" ht="15.75" customHeight="1" x14ac:dyDescent="0.25">
      <c r="B19" s="25" t="s">
        <v>621</v>
      </c>
      <c r="C19" s="25" t="s">
        <v>622</v>
      </c>
      <c r="D19" s="25" t="s">
        <v>343</v>
      </c>
      <c r="E19" s="26">
        <v>10581</v>
      </c>
      <c r="F19" s="27">
        <v>535.62</v>
      </c>
      <c r="G19" s="28">
        <v>2.06E-2</v>
      </c>
      <c r="H19" s="29"/>
    </row>
    <row r="20" spans="2:8" ht="15.75" customHeight="1" x14ac:dyDescent="0.25">
      <c r="B20" s="25" t="s">
        <v>623</v>
      </c>
      <c r="C20" s="25" t="s">
        <v>624</v>
      </c>
      <c r="D20" s="25" t="s">
        <v>442</v>
      </c>
      <c r="E20" s="26">
        <v>36110</v>
      </c>
      <c r="F20" s="27">
        <v>532.53</v>
      </c>
      <c r="G20" s="28">
        <v>2.0500000000000001E-2</v>
      </c>
      <c r="H20" s="29"/>
    </row>
    <row r="21" spans="2:8" ht="15.75" customHeight="1" x14ac:dyDescent="0.25">
      <c r="B21" s="25" t="s">
        <v>597</v>
      </c>
      <c r="C21" s="25" t="s">
        <v>598</v>
      </c>
      <c r="D21" s="25" t="s">
        <v>296</v>
      </c>
      <c r="E21" s="26">
        <v>14429</v>
      </c>
      <c r="F21" s="27">
        <v>532.41</v>
      </c>
      <c r="G21" s="28">
        <v>2.0500000000000001E-2</v>
      </c>
      <c r="H21" s="29"/>
    </row>
    <row r="22" spans="2:8" ht="15.75" customHeight="1" x14ac:dyDescent="0.25">
      <c r="B22" s="25" t="s">
        <v>330</v>
      </c>
      <c r="C22" s="25" t="s">
        <v>331</v>
      </c>
      <c r="D22" s="25" t="s">
        <v>156</v>
      </c>
      <c r="E22" s="26">
        <v>63824</v>
      </c>
      <c r="F22" s="27">
        <v>527.35</v>
      </c>
      <c r="G22" s="28">
        <v>2.0299999999999999E-2</v>
      </c>
      <c r="H22" s="29"/>
    </row>
    <row r="23" spans="2:8" ht="15.75" customHeight="1" x14ac:dyDescent="0.25">
      <c r="B23" s="25" t="s">
        <v>625</v>
      </c>
      <c r="C23" s="25" t="s">
        <v>626</v>
      </c>
      <c r="D23" s="25" t="s">
        <v>536</v>
      </c>
      <c r="E23" s="26">
        <v>62076</v>
      </c>
      <c r="F23" s="27">
        <v>525.69000000000005</v>
      </c>
      <c r="G23" s="28">
        <v>2.0199999999999999E-2</v>
      </c>
      <c r="H23" s="29"/>
    </row>
    <row r="24" spans="2:8" ht="15.75" customHeight="1" x14ac:dyDescent="0.25">
      <c r="B24" s="25" t="s">
        <v>368</v>
      </c>
      <c r="C24" s="25" t="s">
        <v>369</v>
      </c>
      <c r="D24" s="25" t="s">
        <v>343</v>
      </c>
      <c r="E24" s="26">
        <v>32409</v>
      </c>
      <c r="F24" s="27">
        <v>504.69</v>
      </c>
      <c r="G24" s="28">
        <v>1.9400000000000001E-2</v>
      </c>
      <c r="H24" s="29"/>
    </row>
    <row r="25" spans="2:8" ht="15.75" customHeight="1" x14ac:dyDescent="0.25">
      <c r="B25" s="25" t="s">
        <v>460</v>
      </c>
      <c r="C25" s="25" t="s">
        <v>461</v>
      </c>
      <c r="D25" s="25" t="s">
        <v>442</v>
      </c>
      <c r="E25" s="26">
        <v>157154</v>
      </c>
      <c r="F25" s="27">
        <v>500.38</v>
      </c>
      <c r="G25" s="28">
        <v>1.9199999999999998E-2</v>
      </c>
      <c r="H25" s="29"/>
    </row>
    <row r="26" spans="2:8" ht="15.75" customHeight="1" x14ac:dyDescent="0.25">
      <c r="B26" s="25" t="s">
        <v>627</v>
      </c>
      <c r="C26" s="25" t="s">
        <v>628</v>
      </c>
      <c r="D26" s="25" t="s">
        <v>426</v>
      </c>
      <c r="E26" s="26">
        <v>8219</v>
      </c>
      <c r="F26" s="27">
        <v>497.56</v>
      </c>
      <c r="G26" s="28">
        <v>1.9099999999999999E-2</v>
      </c>
      <c r="H26" s="29"/>
    </row>
    <row r="27" spans="2:8" ht="15.75" customHeight="1" x14ac:dyDescent="0.25">
      <c r="B27" s="25" t="s">
        <v>215</v>
      </c>
      <c r="C27" s="25" t="s">
        <v>216</v>
      </c>
      <c r="D27" s="25" t="s">
        <v>217</v>
      </c>
      <c r="E27" s="26">
        <v>47706</v>
      </c>
      <c r="F27" s="27">
        <v>490.42</v>
      </c>
      <c r="G27" s="28">
        <v>1.89E-2</v>
      </c>
      <c r="H27" s="29"/>
    </row>
    <row r="28" spans="2:8" ht="15.75" customHeight="1" x14ac:dyDescent="0.25">
      <c r="B28" s="25" t="s">
        <v>629</v>
      </c>
      <c r="C28" s="25" t="s">
        <v>630</v>
      </c>
      <c r="D28" s="25" t="s">
        <v>551</v>
      </c>
      <c r="E28" s="26">
        <v>13380</v>
      </c>
      <c r="F28" s="27">
        <v>488.92</v>
      </c>
      <c r="G28" s="28">
        <v>1.8800000000000001E-2</v>
      </c>
      <c r="H28" s="29"/>
    </row>
    <row r="29" spans="2:8" ht="15.75" customHeight="1" x14ac:dyDescent="0.25">
      <c r="B29" s="25" t="s">
        <v>387</v>
      </c>
      <c r="C29" s="25" t="s">
        <v>388</v>
      </c>
      <c r="D29" s="25" t="s">
        <v>209</v>
      </c>
      <c r="E29" s="26">
        <v>32085</v>
      </c>
      <c r="F29" s="27">
        <v>483.99</v>
      </c>
      <c r="G29" s="28">
        <v>1.8599999999999998E-2</v>
      </c>
      <c r="H29" s="29"/>
    </row>
    <row r="30" spans="2:8" ht="15.75" customHeight="1" x14ac:dyDescent="0.25">
      <c r="B30" s="25" t="s">
        <v>436</v>
      </c>
      <c r="C30" s="25" t="s">
        <v>437</v>
      </c>
      <c r="D30" s="25" t="s">
        <v>315</v>
      </c>
      <c r="E30" s="26">
        <v>46152</v>
      </c>
      <c r="F30" s="27">
        <v>479.4</v>
      </c>
      <c r="G30" s="28">
        <v>1.84E-2</v>
      </c>
      <c r="H30" s="29"/>
    </row>
    <row r="31" spans="2:8" ht="15.75" customHeight="1" x14ac:dyDescent="0.25">
      <c r="B31" s="25" t="s">
        <v>385</v>
      </c>
      <c r="C31" s="25" t="s">
        <v>386</v>
      </c>
      <c r="D31" s="25" t="s">
        <v>167</v>
      </c>
      <c r="E31" s="26">
        <v>23094</v>
      </c>
      <c r="F31" s="27">
        <v>475.74</v>
      </c>
      <c r="G31" s="28">
        <v>1.83E-2</v>
      </c>
      <c r="H31" s="29"/>
    </row>
    <row r="32" spans="2:8" ht="15.75" customHeight="1" x14ac:dyDescent="0.25">
      <c r="B32" s="25" t="s">
        <v>631</v>
      </c>
      <c r="C32" s="25" t="s">
        <v>632</v>
      </c>
      <c r="D32" s="25" t="s">
        <v>343</v>
      </c>
      <c r="E32" s="26">
        <v>22151</v>
      </c>
      <c r="F32" s="27">
        <v>469.18</v>
      </c>
      <c r="G32" s="28">
        <v>1.7999999999999999E-2</v>
      </c>
      <c r="H32" s="29"/>
    </row>
    <row r="33" spans="2:8" ht="15.75" customHeight="1" x14ac:dyDescent="0.25">
      <c r="B33" s="25" t="s">
        <v>458</v>
      </c>
      <c r="C33" s="25" t="s">
        <v>459</v>
      </c>
      <c r="D33" s="25" t="s">
        <v>296</v>
      </c>
      <c r="E33" s="26">
        <v>36000</v>
      </c>
      <c r="F33" s="27">
        <v>457.63</v>
      </c>
      <c r="G33" s="28">
        <v>1.7600000000000001E-2</v>
      </c>
      <c r="H33" s="29"/>
    </row>
    <row r="34" spans="2:8" ht="15.75" customHeight="1" x14ac:dyDescent="0.25">
      <c r="B34" s="25" t="s">
        <v>633</v>
      </c>
      <c r="C34" s="25" t="s">
        <v>634</v>
      </c>
      <c r="D34" s="25" t="s">
        <v>296</v>
      </c>
      <c r="E34" s="26">
        <v>21903</v>
      </c>
      <c r="F34" s="27">
        <v>433.34</v>
      </c>
      <c r="G34" s="28">
        <v>1.67E-2</v>
      </c>
      <c r="H34" s="29"/>
    </row>
    <row r="35" spans="2:8" ht="15.75" customHeight="1" x14ac:dyDescent="0.25">
      <c r="B35" s="25" t="s">
        <v>308</v>
      </c>
      <c r="C35" s="25" t="s">
        <v>309</v>
      </c>
      <c r="D35" s="25" t="s">
        <v>296</v>
      </c>
      <c r="E35" s="26">
        <v>17630</v>
      </c>
      <c r="F35" s="27">
        <v>428.39</v>
      </c>
      <c r="G35" s="28">
        <v>1.6500000000000001E-2</v>
      </c>
      <c r="H35" s="29"/>
    </row>
    <row r="36" spans="2:8" ht="15.75" customHeight="1" x14ac:dyDescent="0.25">
      <c r="B36" s="25" t="s">
        <v>376</v>
      </c>
      <c r="C36" s="25" t="s">
        <v>377</v>
      </c>
      <c r="D36" s="25" t="s">
        <v>209</v>
      </c>
      <c r="E36" s="26">
        <v>32538</v>
      </c>
      <c r="F36" s="27">
        <v>388.28</v>
      </c>
      <c r="G36" s="28">
        <v>1.49E-2</v>
      </c>
      <c r="H36" s="29"/>
    </row>
    <row r="37" spans="2:8" ht="15.75" customHeight="1" x14ac:dyDescent="0.25">
      <c r="B37" s="25" t="s">
        <v>635</v>
      </c>
      <c r="C37" s="25" t="s">
        <v>636</v>
      </c>
      <c r="D37" s="25" t="s">
        <v>159</v>
      </c>
      <c r="E37" s="26">
        <v>5370</v>
      </c>
      <c r="F37" s="27">
        <v>378.69</v>
      </c>
      <c r="G37" s="28">
        <v>1.46E-2</v>
      </c>
      <c r="H37" s="29"/>
    </row>
    <row r="38" spans="2:8" ht="15.75" customHeight="1" x14ac:dyDescent="0.25">
      <c r="B38" s="25" t="s">
        <v>346</v>
      </c>
      <c r="C38" s="25" t="s">
        <v>347</v>
      </c>
      <c r="D38" s="25" t="s">
        <v>167</v>
      </c>
      <c r="E38" s="26">
        <v>8194</v>
      </c>
      <c r="F38" s="27">
        <v>372.26</v>
      </c>
      <c r="G38" s="28">
        <v>1.43E-2</v>
      </c>
      <c r="H38" s="29"/>
    </row>
    <row r="39" spans="2:8" ht="15.75" customHeight="1" x14ac:dyDescent="0.25">
      <c r="B39" s="25" t="s">
        <v>637</v>
      </c>
      <c r="C39" s="25" t="s">
        <v>638</v>
      </c>
      <c r="D39" s="25" t="s">
        <v>639</v>
      </c>
      <c r="E39" s="26">
        <v>1217</v>
      </c>
      <c r="F39" s="27">
        <v>370.8</v>
      </c>
      <c r="G39" s="28">
        <v>1.43E-2</v>
      </c>
      <c r="H39" s="29"/>
    </row>
    <row r="40" spans="2:8" ht="15.75" customHeight="1" x14ac:dyDescent="0.25">
      <c r="B40" s="25" t="s">
        <v>640</v>
      </c>
      <c r="C40" s="25" t="s">
        <v>641</v>
      </c>
      <c r="D40" s="25" t="s">
        <v>639</v>
      </c>
      <c r="E40" s="26">
        <v>59701</v>
      </c>
      <c r="F40" s="27">
        <v>370.39</v>
      </c>
      <c r="G40" s="28">
        <v>1.4200000000000001E-2</v>
      </c>
      <c r="H40" s="29"/>
    </row>
    <row r="41" spans="2:8" ht="15.75" customHeight="1" x14ac:dyDescent="0.25">
      <c r="B41" s="25" t="s">
        <v>297</v>
      </c>
      <c r="C41" s="25" t="s">
        <v>298</v>
      </c>
      <c r="D41" s="25" t="s">
        <v>209</v>
      </c>
      <c r="E41" s="26">
        <v>72213</v>
      </c>
      <c r="F41" s="27">
        <v>366.23</v>
      </c>
      <c r="G41" s="28">
        <v>1.41E-2</v>
      </c>
      <c r="H41" s="29"/>
    </row>
    <row r="42" spans="2:8" ht="15.75" customHeight="1" x14ac:dyDescent="0.25">
      <c r="B42" s="25" t="s">
        <v>478</v>
      </c>
      <c r="C42" s="25" t="s">
        <v>479</v>
      </c>
      <c r="D42" s="25" t="s">
        <v>244</v>
      </c>
      <c r="E42" s="26">
        <v>45525</v>
      </c>
      <c r="F42" s="27">
        <v>361.74</v>
      </c>
      <c r="G42" s="28">
        <v>1.3899999999999999E-2</v>
      </c>
      <c r="H42" s="29"/>
    </row>
    <row r="43" spans="2:8" ht="15.75" customHeight="1" x14ac:dyDescent="0.25">
      <c r="B43" s="25" t="s">
        <v>595</v>
      </c>
      <c r="C43" s="25" t="s">
        <v>596</v>
      </c>
      <c r="D43" s="25" t="s">
        <v>260</v>
      </c>
      <c r="E43" s="26">
        <v>132867</v>
      </c>
      <c r="F43" s="27">
        <v>359.6</v>
      </c>
      <c r="G43" s="28">
        <v>1.38E-2</v>
      </c>
      <c r="H43" s="29"/>
    </row>
    <row r="44" spans="2:8" ht="15.75" customHeight="1" x14ac:dyDescent="0.25">
      <c r="B44" s="25" t="s">
        <v>642</v>
      </c>
      <c r="C44" s="25" t="s">
        <v>643</v>
      </c>
      <c r="D44" s="25" t="s">
        <v>303</v>
      </c>
      <c r="E44" s="26">
        <v>23858</v>
      </c>
      <c r="F44" s="27">
        <v>353.9</v>
      </c>
      <c r="G44" s="28">
        <v>1.3599999999999999E-2</v>
      </c>
      <c r="H44" s="29"/>
    </row>
    <row r="45" spans="2:8" ht="15.75" customHeight="1" x14ac:dyDescent="0.25">
      <c r="B45" s="25" t="s">
        <v>374</v>
      </c>
      <c r="C45" s="25" t="s">
        <v>375</v>
      </c>
      <c r="D45" s="25" t="s">
        <v>156</v>
      </c>
      <c r="E45" s="26">
        <v>220375</v>
      </c>
      <c r="F45" s="27">
        <v>341.8</v>
      </c>
      <c r="G45" s="28">
        <v>1.3100000000000001E-2</v>
      </c>
      <c r="H45" s="29"/>
    </row>
    <row r="46" spans="2:8" ht="15.75" customHeight="1" x14ac:dyDescent="0.25">
      <c r="B46" s="25" t="s">
        <v>644</v>
      </c>
      <c r="C46" s="25" t="s">
        <v>645</v>
      </c>
      <c r="D46" s="25" t="s">
        <v>202</v>
      </c>
      <c r="E46" s="26">
        <v>10122</v>
      </c>
      <c r="F46" s="27">
        <v>339.95</v>
      </c>
      <c r="G46" s="28">
        <v>1.3100000000000001E-2</v>
      </c>
      <c r="H46" s="29"/>
    </row>
    <row r="47" spans="2:8" ht="15.75" customHeight="1" x14ac:dyDescent="0.25">
      <c r="B47" s="25" t="s">
        <v>646</v>
      </c>
      <c r="C47" s="25" t="s">
        <v>647</v>
      </c>
      <c r="D47" s="25" t="s">
        <v>551</v>
      </c>
      <c r="E47" s="26">
        <v>84507</v>
      </c>
      <c r="F47" s="27">
        <v>338.96</v>
      </c>
      <c r="G47" s="28">
        <v>1.2999999999999999E-2</v>
      </c>
      <c r="H47" s="29"/>
    </row>
    <row r="48" spans="2:8" ht="15.75" customHeight="1" x14ac:dyDescent="0.25">
      <c r="B48" s="25" t="s">
        <v>549</v>
      </c>
      <c r="C48" s="25" t="s">
        <v>550</v>
      </c>
      <c r="D48" s="25" t="s">
        <v>551</v>
      </c>
      <c r="E48" s="26">
        <v>27611</v>
      </c>
      <c r="F48" s="27">
        <v>333.5</v>
      </c>
      <c r="G48" s="28">
        <v>1.2800000000000001E-2</v>
      </c>
      <c r="H48" s="29"/>
    </row>
    <row r="49" spans="2:8" ht="15.75" customHeight="1" x14ac:dyDescent="0.25">
      <c r="B49" s="25" t="s">
        <v>648</v>
      </c>
      <c r="C49" s="25" t="s">
        <v>649</v>
      </c>
      <c r="D49" s="25" t="s">
        <v>350</v>
      </c>
      <c r="E49" s="26">
        <v>737</v>
      </c>
      <c r="F49" s="27">
        <v>332.67</v>
      </c>
      <c r="G49" s="28">
        <v>1.2800000000000001E-2</v>
      </c>
      <c r="H49" s="29"/>
    </row>
    <row r="50" spans="2:8" ht="15.75" customHeight="1" x14ac:dyDescent="0.25">
      <c r="B50" s="25" t="s">
        <v>520</v>
      </c>
      <c r="C50" s="25" t="s">
        <v>521</v>
      </c>
      <c r="D50" s="25" t="s">
        <v>515</v>
      </c>
      <c r="E50" s="26">
        <v>56073</v>
      </c>
      <c r="F50" s="27">
        <v>330.07</v>
      </c>
      <c r="G50" s="28">
        <v>1.2699999999999999E-2</v>
      </c>
      <c r="H50" s="29"/>
    </row>
    <row r="51" spans="2:8" ht="15.75" customHeight="1" x14ac:dyDescent="0.25">
      <c r="B51" s="25" t="s">
        <v>316</v>
      </c>
      <c r="C51" s="25" t="s">
        <v>317</v>
      </c>
      <c r="D51" s="25" t="s">
        <v>209</v>
      </c>
      <c r="E51" s="26">
        <v>34708</v>
      </c>
      <c r="F51" s="27">
        <v>320.94</v>
      </c>
      <c r="G51" s="28">
        <v>1.23E-2</v>
      </c>
      <c r="H51" s="29"/>
    </row>
    <row r="52" spans="2:8" ht="15.75" customHeight="1" x14ac:dyDescent="0.25">
      <c r="B52" s="25" t="s">
        <v>650</v>
      </c>
      <c r="C52" s="25" t="s">
        <v>651</v>
      </c>
      <c r="D52" s="25" t="s">
        <v>442</v>
      </c>
      <c r="E52" s="26">
        <v>29833</v>
      </c>
      <c r="F52" s="27">
        <v>320.26</v>
      </c>
      <c r="G52" s="28">
        <v>1.23E-2</v>
      </c>
      <c r="H52" s="29"/>
    </row>
    <row r="53" spans="2:8" ht="15.75" customHeight="1" x14ac:dyDescent="0.25">
      <c r="B53" s="25" t="s">
        <v>652</v>
      </c>
      <c r="C53" s="25" t="s">
        <v>653</v>
      </c>
      <c r="D53" s="25" t="s">
        <v>315</v>
      </c>
      <c r="E53" s="26">
        <v>69044</v>
      </c>
      <c r="F53" s="27">
        <v>319.81</v>
      </c>
      <c r="G53" s="28">
        <v>1.23E-2</v>
      </c>
      <c r="H53" s="29"/>
    </row>
    <row r="54" spans="2:8" ht="15.75" customHeight="1" x14ac:dyDescent="0.25">
      <c r="B54" s="25" t="s">
        <v>654</v>
      </c>
      <c r="C54" s="25" t="s">
        <v>655</v>
      </c>
      <c r="D54" s="25" t="s">
        <v>296</v>
      </c>
      <c r="E54" s="26">
        <v>2185</v>
      </c>
      <c r="F54" s="27">
        <v>299.08</v>
      </c>
      <c r="G54" s="28">
        <v>1.15E-2</v>
      </c>
      <c r="H54" s="29"/>
    </row>
    <row r="55" spans="2:8" ht="15.75" customHeight="1" x14ac:dyDescent="0.25">
      <c r="B55" s="25" t="s">
        <v>389</v>
      </c>
      <c r="C55" s="25" t="s">
        <v>390</v>
      </c>
      <c r="D55" s="25" t="s">
        <v>244</v>
      </c>
      <c r="E55" s="26">
        <v>15683</v>
      </c>
      <c r="F55" s="27">
        <v>288.27999999999997</v>
      </c>
      <c r="G55" s="28">
        <v>1.11E-2</v>
      </c>
      <c r="H55" s="29"/>
    </row>
    <row r="56" spans="2:8" ht="15.75" customHeight="1" x14ac:dyDescent="0.25">
      <c r="B56" s="25" t="s">
        <v>656</v>
      </c>
      <c r="C56" s="25" t="s">
        <v>657</v>
      </c>
      <c r="D56" s="25" t="s">
        <v>260</v>
      </c>
      <c r="E56" s="26">
        <v>11218</v>
      </c>
      <c r="F56" s="27">
        <v>272.66000000000003</v>
      </c>
      <c r="G56" s="28">
        <v>1.0500000000000001E-2</v>
      </c>
      <c r="H56" s="29"/>
    </row>
    <row r="57" spans="2:8" ht="15.75" customHeight="1" x14ac:dyDescent="0.25">
      <c r="B57" s="25" t="s">
        <v>658</v>
      </c>
      <c r="C57" s="25" t="s">
        <v>659</v>
      </c>
      <c r="D57" s="25" t="s">
        <v>244</v>
      </c>
      <c r="E57" s="26">
        <v>10330</v>
      </c>
      <c r="F57" s="27">
        <v>261.52999999999997</v>
      </c>
      <c r="G57" s="28">
        <v>1.01E-2</v>
      </c>
      <c r="H57" s="29"/>
    </row>
    <row r="58" spans="2:8" ht="15.75" customHeight="1" x14ac:dyDescent="0.25">
      <c r="B58" s="25" t="s">
        <v>660</v>
      </c>
      <c r="C58" s="25" t="s">
        <v>661</v>
      </c>
      <c r="D58" s="25" t="s">
        <v>457</v>
      </c>
      <c r="E58" s="26">
        <v>22808</v>
      </c>
      <c r="F58" s="27">
        <v>255.45</v>
      </c>
      <c r="G58" s="28">
        <v>9.7999999999999997E-3</v>
      </c>
      <c r="H58" s="29"/>
    </row>
    <row r="59" spans="2:8" ht="15.75" customHeight="1" x14ac:dyDescent="0.25">
      <c r="B59" s="25" t="s">
        <v>662</v>
      </c>
      <c r="C59" s="25" t="s">
        <v>663</v>
      </c>
      <c r="D59" s="25" t="s">
        <v>209</v>
      </c>
      <c r="E59" s="26">
        <v>14802</v>
      </c>
      <c r="F59" s="27">
        <v>254.69</v>
      </c>
      <c r="G59" s="28">
        <v>9.7999999999999997E-3</v>
      </c>
      <c r="H59" s="29"/>
    </row>
    <row r="60" spans="2:8" ht="15.75" customHeight="1" x14ac:dyDescent="0.25">
      <c r="B60" s="25" t="s">
        <v>443</v>
      </c>
      <c r="C60" s="25" t="s">
        <v>444</v>
      </c>
      <c r="D60" s="25" t="s">
        <v>343</v>
      </c>
      <c r="E60" s="26">
        <v>5921</v>
      </c>
      <c r="F60" s="27">
        <v>236.58</v>
      </c>
      <c r="G60" s="28">
        <v>9.1000000000000004E-3</v>
      </c>
      <c r="H60" s="29"/>
    </row>
    <row r="61" spans="2:8" ht="15.75" customHeight="1" x14ac:dyDescent="0.25">
      <c r="B61" s="25" t="s">
        <v>664</v>
      </c>
      <c r="C61" s="25" t="s">
        <v>665</v>
      </c>
      <c r="D61" s="25" t="s">
        <v>426</v>
      </c>
      <c r="E61" s="26">
        <v>104868</v>
      </c>
      <c r="F61" s="27">
        <v>215.03</v>
      </c>
      <c r="G61" s="28">
        <v>8.3000000000000001E-3</v>
      </c>
      <c r="H61" s="29"/>
    </row>
    <row r="62" spans="2:8" ht="15.75" customHeight="1" x14ac:dyDescent="0.25">
      <c r="B62" s="25" t="s">
        <v>570</v>
      </c>
      <c r="C62" s="25" t="s">
        <v>571</v>
      </c>
      <c r="D62" s="25" t="s">
        <v>263</v>
      </c>
      <c r="E62" s="26">
        <v>29851</v>
      </c>
      <c r="F62" s="27">
        <v>201.52</v>
      </c>
      <c r="G62" s="28">
        <v>7.7000000000000002E-3</v>
      </c>
      <c r="H62" s="29"/>
    </row>
    <row r="63" spans="2:8" ht="15.75" customHeight="1" x14ac:dyDescent="0.25">
      <c r="B63" s="25" t="s">
        <v>607</v>
      </c>
      <c r="C63" s="25" t="s">
        <v>608</v>
      </c>
      <c r="D63" s="25" t="s">
        <v>214</v>
      </c>
      <c r="E63" s="26">
        <v>18343</v>
      </c>
      <c r="F63" s="27">
        <v>193.92</v>
      </c>
      <c r="G63" s="28">
        <v>7.4999999999999997E-3</v>
      </c>
      <c r="H63" s="29"/>
    </row>
    <row r="64" spans="2:8" ht="15.75" customHeight="1" x14ac:dyDescent="0.25">
      <c r="B64" s="24" t="s">
        <v>128</v>
      </c>
      <c r="C64" s="24"/>
      <c r="D64" s="24"/>
      <c r="E64" s="30"/>
      <c r="F64" s="31">
        <v>25625.81</v>
      </c>
      <c r="G64" s="32">
        <v>0.98540000000000005</v>
      </c>
      <c r="H64" s="33"/>
    </row>
    <row r="65" spans="2:16" ht="15.75" customHeight="1" x14ac:dyDescent="0.25">
      <c r="B65" s="24" t="s">
        <v>176</v>
      </c>
      <c r="C65" s="25"/>
      <c r="D65" s="25"/>
      <c r="E65" s="26"/>
      <c r="F65" s="27"/>
      <c r="G65" s="28"/>
      <c r="H65" s="29"/>
    </row>
    <row r="66" spans="2:16" ht="15.75" customHeight="1" x14ac:dyDescent="0.25">
      <c r="B66" s="24" t="s">
        <v>128</v>
      </c>
      <c r="C66" s="25"/>
      <c r="D66" s="25"/>
      <c r="E66" s="26"/>
      <c r="F66" s="34" t="s">
        <v>130</v>
      </c>
      <c r="G66" s="35" t="s">
        <v>130</v>
      </c>
      <c r="H66" s="29"/>
    </row>
    <row r="67" spans="2:16" ht="15.75" customHeight="1" x14ac:dyDescent="0.25">
      <c r="B67" s="25"/>
      <c r="C67" s="25"/>
      <c r="D67" s="25"/>
      <c r="E67" s="26"/>
      <c r="F67" s="27"/>
      <c r="G67" s="28"/>
      <c r="H67" s="29"/>
    </row>
    <row r="68" spans="2:16" ht="15.75" customHeight="1" x14ac:dyDescent="0.25">
      <c r="B68" s="36" t="s">
        <v>132</v>
      </c>
      <c r="C68" s="36"/>
      <c r="D68" s="36"/>
      <c r="E68" s="37"/>
      <c r="F68" s="31">
        <v>25625.81</v>
      </c>
      <c r="G68" s="32">
        <v>0.98540000000000005</v>
      </c>
      <c r="H68" s="33"/>
      <c r="L68" s="3"/>
    </row>
    <row r="69" spans="2:16" ht="15.75" customHeight="1" x14ac:dyDescent="0.25">
      <c r="B69" s="25"/>
      <c r="C69" s="25"/>
      <c r="D69" s="25"/>
      <c r="E69" s="26"/>
      <c r="F69" s="27"/>
      <c r="G69" s="28"/>
      <c r="H69" s="29"/>
    </row>
    <row r="70" spans="2:16" ht="15.75" customHeight="1" x14ac:dyDescent="0.25">
      <c r="B70" s="25"/>
      <c r="C70" s="25"/>
      <c r="D70" s="25"/>
      <c r="E70" s="26"/>
      <c r="F70" s="27"/>
      <c r="G70" s="28"/>
      <c r="H70" s="29"/>
      <c r="L70" s="3"/>
    </row>
    <row r="71" spans="2:16" ht="15.75" customHeight="1" x14ac:dyDescent="0.25">
      <c r="B71" s="24" t="s">
        <v>135</v>
      </c>
      <c r="C71" s="25"/>
      <c r="D71" s="25"/>
      <c r="E71" s="26"/>
      <c r="F71" s="27"/>
      <c r="G71" s="28"/>
      <c r="H71" s="29"/>
      <c r="L71" s="3"/>
    </row>
    <row r="72" spans="2:16" ht="15.75" customHeight="1" x14ac:dyDescent="0.25">
      <c r="B72" s="25" t="s">
        <v>136</v>
      </c>
      <c r="C72" s="25"/>
      <c r="D72" s="25"/>
      <c r="E72" s="26"/>
      <c r="F72" s="27">
        <v>450.79</v>
      </c>
      <c r="G72" s="28">
        <v>1.7299999999999999E-2</v>
      </c>
      <c r="H72" s="29"/>
      <c r="L72" s="3"/>
    </row>
    <row r="73" spans="2:16" ht="15.75" customHeight="1" x14ac:dyDescent="0.25">
      <c r="B73" s="24" t="s">
        <v>128</v>
      </c>
      <c r="C73" s="24"/>
      <c r="D73" s="24"/>
      <c r="E73" s="30"/>
      <c r="F73" s="31">
        <v>450.79</v>
      </c>
      <c r="G73" s="32">
        <v>1.7299999999999999E-2</v>
      </c>
      <c r="H73" s="33"/>
      <c r="L73" s="3"/>
    </row>
    <row r="74" spans="2:16" ht="15.75" customHeight="1" x14ac:dyDescent="0.25">
      <c r="B74" s="25"/>
      <c r="C74" s="25"/>
      <c r="D74" s="25"/>
      <c r="E74" s="26"/>
      <c r="F74" s="27"/>
      <c r="G74" s="28"/>
      <c r="H74" s="29"/>
      <c r="L74" s="3"/>
    </row>
    <row r="75" spans="2:16" ht="15.75" customHeight="1" x14ac:dyDescent="0.25">
      <c r="B75" s="36" t="s">
        <v>132</v>
      </c>
      <c r="C75" s="36"/>
      <c r="D75" s="36"/>
      <c r="E75" s="37"/>
      <c r="F75" s="31">
        <v>450.79</v>
      </c>
      <c r="G75" s="32">
        <v>1.7299999999999999E-2</v>
      </c>
      <c r="H75" s="33"/>
      <c r="L75" s="5"/>
      <c r="M75" s="5"/>
      <c r="N75" s="6"/>
      <c r="O75" s="6"/>
      <c r="P75" s="5"/>
    </row>
    <row r="76" spans="2:16" ht="15.75" customHeight="1" x14ac:dyDescent="0.25">
      <c r="B76" s="25" t="s">
        <v>137</v>
      </c>
      <c r="C76" s="25"/>
      <c r="D76" s="25"/>
      <c r="E76" s="26"/>
      <c r="F76" s="38">
        <v>-72.63</v>
      </c>
      <c r="G76" s="39">
        <v>-2.7000000000001467E-3</v>
      </c>
      <c r="H76" s="29"/>
    </row>
    <row r="77" spans="2:16" ht="15.75" customHeight="1" x14ac:dyDescent="0.25">
      <c r="B77" s="40" t="s">
        <v>138</v>
      </c>
      <c r="C77" s="40"/>
      <c r="D77" s="40"/>
      <c r="E77" s="41"/>
      <c r="F77" s="42">
        <v>26003.97</v>
      </c>
      <c r="G77" s="43">
        <v>1</v>
      </c>
      <c r="H77" s="44"/>
    </row>
    <row r="78" spans="2:16" ht="15.75" customHeight="1" thickBot="1" x14ac:dyDescent="0.3">
      <c r="B78" s="2"/>
      <c r="L78" s="7"/>
      <c r="M78" s="7"/>
      <c r="N78" s="7"/>
      <c r="O78" s="7"/>
      <c r="P78" s="7"/>
    </row>
    <row r="79" spans="2:16" ht="27" customHeight="1" thickBot="1" x14ac:dyDescent="0.3">
      <c r="B79" s="57" t="s">
        <v>980</v>
      </c>
      <c r="C79" s="58" t="s">
        <v>981</v>
      </c>
      <c r="D79" s="58" t="s">
        <v>982</v>
      </c>
      <c r="E79" s="63" t="s">
        <v>983</v>
      </c>
      <c r="G79" s="2"/>
      <c r="H79" s="2"/>
    </row>
    <row r="80" spans="2:16" ht="29.25" customHeight="1" x14ac:dyDescent="0.25">
      <c r="B80" s="64" t="s">
        <v>1024</v>
      </c>
      <c r="C80" s="82"/>
      <c r="D80" s="85" t="s">
        <v>1025</v>
      </c>
      <c r="E80" s="87"/>
      <c r="G80" s="2"/>
      <c r="H80" s="2"/>
    </row>
    <row r="81" spans="2:8" ht="40" customHeight="1" x14ac:dyDescent="0.25">
      <c r="B81" s="66" t="s">
        <v>1020</v>
      </c>
      <c r="C81" s="83"/>
      <c r="D81" s="86"/>
      <c r="E81" s="83"/>
      <c r="G81" s="2"/>
      <c r="H81" s="2"/>
    </row>
    <row r="82" spans="2:8" ht="40" customHeight="1" x14ac:dyDescent="0.25">
      <c r="B82" s="66" t="s">
        <v>1026</v>
      </c>
      <c r="C82" s="83"/>
      <c r="D82" s="86"/>
      <c r="E82" s="83"/>
      <c r="G82" s="2"/>
      <c r="H82" s="2"/>
    </row>
    <row r="83" spans="2:8" ht="23.25" customHeight="1" thickBot="1" x14ac:dyDescent="0.3">
      <c r="B83" s="68" t="s">
        <v>1006</v>
      </c>
      <c r="C83" s="84"/>
      <c r="D83" s="71" t="s">
        <v>1006</v>
      </c>
      <c r="E83" s="88"/>
      <c r="G83" s="2"/>
      <c r="H83" s="2"/>
    </row>
    <row r="84" spans="2:8" ht="25" customHeight="1" x14ac:dyDescent="0.25">
      <c r="B84" s="59" t="s">
        <v>985</v>
      </c>
      <c r="C84" s="60"/>
      <c r="D84" s="61"/>
      <c r="E84" s="62"/>
      <c r="G84" s="2"/>
      <c r="H84" s="2"/>
    </row>
    <row r="86" spans="2:8" ht="11.5" x14ac:dyDescent="0.25">
      <c r="B86" s="2" t="s">
        <v>986</v>
      </c>
      <c r="C86" s="2"/>
      <c r="D86" s="2"/>
      <c r="G86" s="2"/>
      <c r="H86" s="2"/>
    </row>
    <row r="87" spans="2:8" ht="11.5" x14ac:dyDescent="0.25">
      <c r="B87" s="3" t="s">
        <v>987</v>
      </c>
      <c r="C87" s="2"/>
      <c r="D87" s="2"/>
      <c r="G87" s="2"/>
      <c r="H87" s="2"/>
    </row>
  </sheetData>
  <mergeCells count="3">
    <mergeCell ref="C80:C83"/>
    <mergeCell ref="D80:D82"/>
    <mergeCell ref="E80:E83"/>
  </mergeCells>
  <hyperlinks>
    <hyperlink ref="I1" location="'Sheet1'!A1" display="Index" xr:uid="{B2F37E0C-E510-49CC-A2FF-BA59AA5D639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FE3FA-0009-4202-A8E6-4EEE74EDC2C7}">
  <dimension ref="B1:P117"/>
  <sheetViews>
    <sheetView workbookViewId="0"/>
  </sheetViews>
  <sheetFormatPr defaultColWidth="9.1796875" defaultRowHeight="15.75" customHeight="1" x14ac:dyDescent="0.25"/>
  <cols>
    <col min="1" max="1" width="3.6328125" style="2" customWidth="1"/>
    <col min="2" max="2" width="38.90625" style="9" bestFit="1" customWidth="1"/>
    <col min="3" max="3" width="29" style="9" customWidth="1"/>
    <col min="4" max="4" width="36.6328125" style="9" bestFit="1" customWidth="1"/>
    <col min="5" max="5" width="25.1796875" style="2" customWidth="1"/>
    <col min="6" max="6" width="16.453125" style="2" customWidth="1"/>
    <col min="7" max="7" width="15.26953125" style="8" customWidth="1"/>
    <col min="8" max="8" width="5.4531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17</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198</v>
      </c>
      <c r="C7" s="25" t="s">
        <v>199</v>
      </c>
      <c r="D7" s="25" t="s">
        <v>197</v>
      </c>
      <c r="E7" s="26">
        <v>49500</v>
      </c>
      <c r="F7" s="27">
        <v>81.680000000000007</v>
      </c>
      <c r="G7" s="28">
        <v>5.1799999999999999E-2</v>
      </c>
      <c r="H7" s="29"/>
    </row>
    <row r="8" spans="2:9" ht="15.75" customHeight="1" x14ac:dyDescent="0.25">
      <c r="B8" s="25" t="s">
        <v>332</v>
      </c>
      <c r="C8" s="25" t="s">
        <v>333</v>
      </c>
      <c r="D8" s="25" t="s">
        <v>159</v>
      </c>
      <c r="E8" s="26">
        <v>2100</v>
      </c>
      <c r="F8" s="27">
        <v>80.23</v>
      </c>
      <c r="G8" s="28">
        <v>5.0900000000000001E-2</v>
      </c>
      <c r="H8" s="29"/>
    </row>
    <row r="9" spans="2:9" ht="15.75" customHeight="1" x14ac:dyDescent="0.25">
      <c r="B9" s="25" t="s">
        <v>154</v>
      </c>
      <c r="C9" s="25" t="s">
        <v>155</v>
      </c>
      <c r="D9" s="25" t="s">
        <v>156</v>
      </c>
      <c r="E9" s="26">
        <v>5253</v>
      </c>
      <c r="F9" s="27">
        <v>60.43</v>
      </c>
      <c r="G9" s="28">
        <v>3.8300000000000001E-2</v>
      </c>
      <c r="H9" s="29"/>
    </row>
    <row r="10" spans="2:9" ht="15.75" customHeight="1" x14ac:dyDescent="0.25">
      <c r="B10" s="25" t="s">
        <v>171</v>
      </c>
      <c r="C10" s="25" t="s">
        <v>172</v>
      </c>
      <c r="D10" s="25" t="s">
        <v>173</v>
      </c>
      <c r="E10" s="26">
        <v>2400</v>
      </c>
      <c r="F10" s="27">
        <v>53.53</v>
      </c>
      <c r="G10" s="28">
        <v>3.39E-2</v>
      </c>
      <c r="H10" s="29"/>
    </row>
    <row r="11" spans="2:9" ht="15.75" customHeight="1" x14ac:dyDescent="0.25">
      <c r="B11" s="25" t="s">
        <v>157</v>
      </c>
      <c r="C11" s="25" t="s">
        <v>158</v>
      </c>
      <c r="D11" s="25" t="s">
        <v>159</v>
      </c>
      <c r="E11" s="26">
        <v>3600</v>
      </c>
      <c r="F11" s="27">
        <v>51.14</v>
      </c>
      <c r="G11" s="28">
        <v>3.2399999999999998E-2</v>
      </c>
      <c r="H11" s="29"/>
    </row>
    <row r="12" spans="2:9" ht="15.75" customHeight="1" x14ac:dyDescent="0.25">
      <c r="B12" s="25" t="s">
        <v>353</v>
      </c>
      <c r="C12" s="25" t="s">
        <v>354</v>
      </c>
      <c r="D12" s="25" t="s">
        <v>244</v>
      </c>
      <c r="E12" s="26">
        <v>500</v>
      </c>
      <c r="F12" s="27">
        <v>49.86</v>
      </c>
      <c r="G12" s="28">
        <v>3.1600000000000003E-2</v>
      </c>
      <c r="H12" s="29"/>
    </row>
    <row r="13" spans="2:9" ht="15.75" customHeight="1" x14ac:dyDescent="0.25">
      <c r="B13" s="25" t="s">
        <v>160</v>
      </c>
      <c r="C13" s="25" t="s">
        <v>161</v>
      </c>
      <c r="D13" s="25" t="s">
        <v>156</v>
      </c>
      <c r="E13" s="26">
        <v>2844</v>
      </c>
      <c r="F13" s="27">
        <v>43.23</v>
      </c>
      <c r="G13" s="28">
        <v>2.7400000000000001E-2</v>
      </c>
      <c r="H13" s="29"/>
    </row>
    <row r="14" spans="2:9" ht="15.75" customHeight="1" x14ac:dyDescent="0.25">
      <c r="B14" s="25" t="s">
        <v>269</v>
      </c>
      <c r="C14" s="25" t="s">
        <v>270</v>
      </c>
      <c r="D14" s="25" t="s">
        <v>226</v>
      </c>
      <c r="E14" s="26">
        <v>22500</v>
      </c>
      <c r="F14" s="27">
        <v>41.68</v>
      </c>
      <c r="G14" s="28">
        <v>2.64E-2</v>
      </c>
      <c r="H14" s="29"/>
    </row>
    <row r="15" spans="2:9" ht="15.75" customHeight="1" x14ac:dyDescent="0.25">
      <c r="B15" s="25" t="s">
        <v>292</v>
      </c>
      <c r="C15" s="25" t="s">
        <v>293</v>
      </c>
      <c r="D15" s="25" t="s">
        <v>173</v>
      </c>
      <c r="E15" s="26">
        <v>9395</v>
      </c>
      <c r="F15" s="27">
        <v>40.93</v>
      </c>
      <c r="G15" s="28">
        <v>2.5899999999999999E-2</v>
      </c>
      <c r="H15" s="29"/>
    </row>
    <row r="16" spans="2:9" ht="15.75" customHeight="1" x14ac:dyDescent="0.25">
      <c r="B16" s="25" t="s">
        <v>200</v>
      </c>
      <c r="C16" s="25" t="s">
        <v>201</v>
      </c>
      <c r="D16" s="25" t="s">
        <v>202</v>
      </c>
      <c r="E16" s="26">
        <v>20000</v>
      </c>
      <c r="F16" s="27">
        <v>38.53</v>
      </c>
      <c r="G16" s="28">
        <v>2.4400000000000002E-2</v>
      </c>
      <c r="H16" s="29"/>
    </row>
    <row r="17" spans="2:8" ht="15.75" customHeight="1" x14ac:dyDescent="0.25">
      <c r="B17" s="25" t="s">
        <v>470</v>
      </c>
      <c r="C17" s="25" t="s">
        <v>471</v>
      </c>
      <c r="D17" s="25" t="s">
        <v>214</v>
      </c>
      <c r="E17" s="26">
        <v>2100</v>
      </c>
      <c r="F17" s="27">
        <v>31.54</v>
      </c>
      <c r="G17" s="28">
        <v>0.02</v>
      </c>
      <c r="H17" s="29"/>
    </row>
    <row r="18" spans="2:8" ht="15.75" customHeight="1" x14ac:dyDescent="0.25">
      <c r="B18" s="25" t="s">
        <v>165</v>
      </c>
      <c r="C18" s="25" t="s">
        <v>166</v>
      </c>
      <c r="D18" s="25" t="s">
        <v>167</v>
      </c>
      <c r="E18" s="26">
        <v>1400</v>
      </c>
      <c r="F18" s="27">
        <v>30.19</v>
      </c>
      <c r="G18" s="28">
        <v>1.9099999999999999E-2</v>
      </c>
      <c r="H18" s="29"/>
    </row>
    <row r="19" spans="2:8" ht="15.75" customHeight="1" x14ac:dyDescent="0.25">
      <c r="B19" s="25" t="s">
        <v>247</v>
      </c>
      <c r="C19" s="25" t="s">
        <v>248</v>
      </c>
      <c r="D19" s="25" t="s">
        <v>156</v>
      </c>
      <c r="E19" s="26">
        <v>2500</v>
      </c>
      <c r="F19" s="27">
        <v>29.15</v>
      </c>
      <c r="G19" s="28">
        <v>1.8499999999999999E-2</v>
      </c>
      <c r="H19" s="29"/>
    </row>
    <row r="20" spans="2:8" ht="15.75" customHeight="1" x14ac:dyDescent="0.25">
      <c r="B20" s="25" t="s">
        <v>330</v>
      </c>
      <c r="C20" s="25" t="s">
        <v>331</v>
      </c>
      <c r="D20" s="25" t="s">
        <v>156</v>
      </c>
      <c r="E20" s="26">
        <v>3312</v>
      </c>
      <c r="F20" s="27">
        <v>27.37</v>
      </c>
      <c r="G20" s="28">
        <v>1.7299999999999999E-2</v>
      </c>
      <c r="H20" s="29"/>
    </row>
    <row r="21" spans="2:8" ht="15.75" customHeight="1" x14ac:dyDescent="0.25">
      <c r="B21" s="25" t="s">
        <v>282</v>
      </c>
      <c r="C21" s="25" t="s">
        <v>283</v>
      </c>
      <c r="D21" s="25" t="s">
        <v>226</v>
      </c>
      <c r="E21" s="26">
        <v>4200</v>
      </c>
      <c r="F21" s="27">
        <v>27.06</v>
      </c>
      <c r="G21" s="28">
        <v>1.72E-2</v>
      </c>
      <c r="H21" s="29"/>
    </row>
    <row r="22" spans="2:8" ht="15.75" customHeight="1" x14ac:dyDescent="0.25">
      <c r="B22" s="25" t="s">
        <v>227</v>
      </c>
      <c r="C22" s="25" t="s">
        <v>228</v>
      </c>
      <c r="D22" s="25" t="s">
        <v>156</v>
      </c>
      <c r="E22" s="26">
        <v>1600</v>
      </c>
      <c r="F22" s="27">
        <v>25.98</v>
      </c>
      <c r="G22" s="28">
        <v>1.6500000000000001E-2</v>
      </c>
      <c r="H22" s="29"/>
    </row>
    <row r="23" spans="2:8" ht="15.75" customHeight="1" x14ac:dyDescent="0.25">
      <c r="B23" s="25" t="s">
        <v>162</v>
      </c>
      <c r="C23" s="25" t="s">
        <v>163</v>
      </c>
      <c r="D23" s="25" t="s">
        <v>164</v>
      </c>
      <c r="E23" s="26">
        <v>861</v>
      </c>
      <c r="F23" s="27">
        <v>25.26</v>
      </c>
      <c r="G23" s="28">
        <v>1.6E-2</v>
      </c>
      <c r="H23" s="29"/>
    </row>
    <row r="24" spans="2:8" ht="15.75" customHeight="1" x14ac:dyDescent="0.25">
      <c r="B24" s="25" t="s">
        <v>334</v>
      </c>
      <c r="C24" s="25" t="s">
        <v>335</v>
      </c>
      <c r="D24" s="25" t="s">
        <v>159</v>
      </c>
      <c r="E24" s="26">
        <v>1791</v>
      </c>
      <c r="F24" s="27">
        <v>24.48</v>
      </c>
      <c r="G24" s="28">
        <v>1.55E-2</v>
      </c>
      <c r="H24" s="29"/>
    </row>
    <row r="25" spans="2:8" ht="15.75" customHeight="1" x14ac:dyDescent="0.25">
      <c r="B25" s="25" t="s">
        <v>387</v>
      </c>
      <c r="C25" s="25" t="s">
        <v>388</v>
      </c>
      <c r="D25" s="25" t="s">
        <v>209</v>
      </c>
      <c r="E25" s="26">
        <v>1520</v>
      </c>
      <c r="F25" s="27">
        <v>22.93</v>
      </c>
      <c r="G25" s="28">
        <v>1.4500000000000001E-2</v>
      </c>
      <c r="H25" s="29"/>
    </row>
    <row r="26" spans="2:8" ht="15.75" customHeight="1" x14ac:dyDescent="0.25">
      <c r="B26" s="25" t="s">
        <v>320</v>
      </c>
      <c r="C26" s="25" t="s">
        <v>321</v>
      </c>
      <c r="D26" s="25" t="s">
        <v>244</v>
      </c>
      <c r="E26" s="26">
        <v>894</v>
      </c>
      <c r="F26" s="27">
        <v>21.56</v>
      </c>
      <c r="G26" s="28">
        <v>1.37E-2</v>
      </c>
      <c r="H26" s="29"/>
    </row>
    <row r="27" spans="2:8" ht="15.75" customHeight="1" x14ac:dyDescent="0.25">
      <c r="B27" s="25" t="s">
        <v>261</v>
      </c>
      <c r="C27" s="25" t="s">
        <v>262</v>
      </c>
      <c r="D27" s="25" t="s">
        <v>263</v>
      </c>
      <c r="E27" s="26">
        <v>598</v>
      </c>
      <c r="F27" s="27">
        <v>21.49</v>
      </c>
      <c r="G27" s="28">
        <v>1.3599999999999999E-2</v>
      </c>
      <c r="H27" s="29"/>
    </row>
    <row r="28" spans="2:8" ht="15.75" customHeight="1" x14ac:dyDescent="0.25">
      <c r="B28" s="25" t="s">
        <v>279</v>
      </c>
      <c r="C28" s="25" t="s">
        <v>280</v>
      </c>
      <c r="D28" s="25" t="s">
        <v>281</v>
      </c>
      <c r="E28" s="26">
        <v>4780</v>
      </c>
      <c r="F28" s="27">
        <v>21.47</v>
      </c>
      <c r="G28" s="28">
        <v>1.3599999999999999E-2</v>
      </c>
      <c r="H28" s="29"/>
    </row>
    <row r="29" spans="2:8" ht="15.75" customHeight="1" x14ac:dyDescent="0.25">
      <c r="B29" s="25" t="s">
        <v>436</v>
      </c>
      <c r="C29" s="25" t="s">
        <v>437</v>
      </c>
      <c r="D29" s="25" t="s">
        <v>315</v>
      </c>
      <c r="E29" s="26">
        <v>1963</v>
      </c>
      <c r="F29" s="27">
        <v>20.39</v>
      </c>
      <c r="G29" s="28">
        <v>1.29E-2</v>
      </c>
      <c r="H29" s="29"/>
    </row>
    <row r="30" spans="2:8" ht="15.75" customHeight="1" x14ac:dyDescent="0.25">
      <c r="B30" s="25" t="s">
        <v>637</v>
      </c>
      <c r="C30" s="25" t="s">
        <v>638</v>
      </c>
      <c r="D30" s="25" t="s">
        <v>639</v>
      </c>
      <c r="E30" s="26">
        <v>63</v>
      </c>
      <c r="F30" s="27">
        <v>19.190000000000001</v>
      </c>
      <c r="G30" s="28">
        <v>1.2200000000000001E-2</v>
      </c>
      <c r="H30" s="29"/>
    </row>
    <row r="31" spans="2:8" ht="15.75" customHeight="1" x14ac:dyDescent="0.25">
      <c r="B31" s="25" t="s">
        <v>520</v>
      </c>
      <c r="C31" s="25" t="s">
        <v>521</v>
      </c>
      <c r="D31" s="25" t="s">
        <v>515</v>
      </c>
      <c r="E31" s="26">
        <v>3177</v>
      </c>
      <c r="F31" s="27">
        <v>18.7</v>
      </c>
      <c r="G31" s="28">
        <v>1.1900000000000001E-2</v>
      </c>
      <c r="H31" s="29"/>
    </row>
    <row r="32" spans="2:8" ht="15.75" customHeight="1" x14ac:dyDescent="0.25">
      <c r="B32" s="25" t="s">
        <v>499</v>
      </c>
      <c r="C32" s="25" t="s">
        <v>500</v>
      </c>
      <c r="D32" s="25" t="s">
        <v>209</v>
      </c>
      <c r="E32" s="26">
        <v>9991</v>
      </c>
      <c r="F32" s="27">
        <v>16.649999999999999</v>
      </c>
      <c r="G32" s="28">
        <v>1.06E-2</v>
      </c>
      <c r="H32" s="29"/>
    </row>
    <row r="33" spans="2:8" ht="15.75" customHeight="1" x14ac:dyDescent="0.25">
      <c r="B33" s="25" t="s">
        <v>348</v>
      </c>
      <c r="C33" s="25" t="s">
        <v>349</v>
      </c>
      <c r="D33" s="25" t="s">
        <v>350</v>
      </c>
      <c r="E33" s="26">
        <v>8733</v>
      </c>
      <c r="F33" s="27">
        <v>15.92</v>
      </c>
      <c r="G33" s="28">
        <v>1.01E-2</v>
      </c>
      <c r="H33" s="29"/>
    </row>
    <row r="34" spans="2:8" ht="15.75" customHeight="1" x14ac:dyDescent="0.25">
      <c r="B34" s="25" t="s">
        <v>378</v>
      </c>
      <c r="C34" s="25" t="s">
        <v>379</v>
      </c>
      <c r="D34" s="25" t="s">
        <v>380</v>
      </c>
      <c r="E34" s="26">
        <v>984</v>
      </c>
      <c r="F34" s="27">
        <v>14.56</v>
      </c>
      <c r="G34" s="28">
        <v>9.1999999999999998E-3</v>
      </c>
      <c r="H34" s="29"/>
    </row>
    <row r="35" spans="2:8" ht="15.75" customHeight="1" x14ac:dyDescent="0.25">
      <c r="B35" s="25" t="s">
        <v>666</v>
      </c>
      <c r="C35" s="25" t="s">
        <v>667</v>
      </c>
      <c r="D35" s="25" t="s">
        <v>253</v>
      </c>
      <c r="E35" s="26">
        <v>2242</v>
      </c>
      <c r="F35" s="27">
        <v>13.26</v>
      </c>
      <c r="G35" s="28">
        <v>8.3999999999999995E-3</v>
      </c>
      <c r="H35" s="29"/>
    </row>
    <row r="36" spans="2:8" ht="15.75" customHeight="1" x14ac:dyDescent="0.25">
      <c r="B36" s="25" t="s">
        <v>368</v>
      </c>
      <c r="C36" s="25" t="s">
        <v>369</v>
      </c>
      <c r="D36" s="25" t="s">
        <v>343</v>
      </c>
      <c r="E36" s="26">
        <v>826</v>
      </c>
      <c r="F36" s="27">
        <v>12.86</v>
      </c>
      <c r="G36" s="28">
        <v>8.2000000000000007E-3</v>
      </c>
      <c r="H36" s="29"/>
    </row>
    <row r="37" spans="2:8" ht="15.75" customHeight="1" x14ac:dyDescent="0.25">
      <c r="B37" s="25" t="s">
        <v>397</v>
      </c>
      <c r="C37" s="25" t="s">
        <v>398</v>
      </c>
      <c r="D37" s="25" t="s">
        <v>159</v>
      </c>
      <c r="E37" s="26">
        <v>1779</v>
      </c>
      <c r="F37" s="27">
        <v>12.3</v>
      </c>
      <c r="G37" s="28">
        <v>7.7999999999999996E-3</v>
      </c>
      <c r="H37" s="29"/>
    </row>
    <row r="38" spans="2:8" ht="15.75" customHeight="1" x14ac:dyDescent="0.25">
      <c r="B38" s="25" t="s">
        <v>495</v>
      </c>
      <c r="C38" s="25" t="s">
        <v>496</v>
      </c>
      <c r="D38" s="25" t="s">
        <v>156</v>
      </c>
      <c r="E38" s="26">
        <v>8615</v>
      </c>
      <c r="F38" s="27">
        <v>12.04</v>
      </c>
      <c r="G38" s="28">
        <v>7.6E-3</v>
      </c>
      <c r="H38" s="29"/>
    </row>
    <row r="39" spans="2:8" ht="15.75" customHeight="1" x14ac:dyDescent="0.25">
      <c r="B39" s="25" t="s">
        <v>389</v>
      </c>
      <c r="C39" s="25" t="s">
        <v>390</v>
      </c>
      <c r="D39" s="25" t="s">
        <v>244</v>
      </c>
      <c r="E39" s="26">
        <v>640</v>
      </c>
      <c r="F39" s="27">
        <v>11.76</v>
      </c>
      <c r="G39" s="28">
        <v>7.4999999999999997E-3</v>
      </c>
      <c r="H39" s="29"/>
    </row>
    <row r="40" spans="2:8" ht="15.75" customHeight="1" x14ac:dyDescent="0.25">
      <c r="B40" s="25" t="s">
        <v>668</v>
      </c>
      <c r="C40" s="25" t="s">
        <v>669</v>
      </c>
      <c r="D40" s="25" t="s">
        <v>442</v>
      </c>
      <c r="E40" s="26">
        <v>4520</v>
      </c>
      <c r="F40" s="27">
        <v>11.18</v>
      </c>
      <c r="G40" s="28">
        <v>7.1000000000000004E-3</v>
      </c>
      <c r="H40" s="29"/>
    </row>
    <row r="41" spans="2:8" ht="15.75" customHeight="1" x14ac:dyDescent="0.25">
      <c r="B41" s="25" t="s">
        <v>264</v>
      </c>
      <c r="C41" s="25" t="s">
        <v>265</v>
      </c>
      <c r="D41" s="25" t="s">
        <v>159</v>
      </c>
      <c r="E41" s="26">
        <v>879</v>
      </c>
      <c r="F41" s="27">
        <v>11.11</v>
      </c>
      <c r="G41" s="28">
        <v>7.0000000000000001E-3</v>
      </c>
      <c r="H41" s="29"/>
    </row>
    <row r="42" spans="2:8" ht="15.75" customHeight="1" x14ac:dyDescent="0.25">
      <c r="B42" s="25" t="s">
        <v>362</v>
      </c>
      <c r="C42" s="25" t="s">
        <v>363</v>
      </c>
      <c r="D42" s="25" t="s">
        <v>209</v>
      </c>
      <c r="E42" s="26">
        <v>4010</v>
      </c>
      <c r="F42" s="27">
        <v>10.47</v>
      </c>
      <c r="G42" s="28">
        <v>6.6E-3</v>
      </c>
      <c r="H42" s="29"/>
    </row>
    <row r="43" spans="2:8" ht="15.75" customHeight="1" x14ac:dyDescent="0.25">
      <c r="B43" s="25" t="s">
        <v>443</v>
      </c>
      <c r="C43" s="25" t="s">
        <v>444</v>
      </c>
      <c r="D43" s="25" t="s">
        <v>343</v>
      </c>
      <c r="E43" s="26">
        <v>257</v>
      </c>
      <c r="F43" s="27">
        <v>10.27</v>
      </c>
      <c r="G43" s="28">
        <v>6.4999999999999997E-3</v>
      </c>
      <c r="H43" s="29"/>
    </row>
    <row r="44" spans="2:8" ht="15.75" customHeight="1" x14ac:dyDescent="0.25">
      <c r="B44" s="25" t="s">
        <v>478</v>
      </c>
      <c r="C44" s="25" t="s">
        <v>479</v>
      </c>
      <c r="D44" s="25" t="s">
        <v>244</v>
      </c>
      <c r="E44" s="26">
        <v>1259</v>
      </c>
      <c r="F44" s="27">
        <v>10</v>
      </c>
      <c r="G44" s="28">
        <v>6.3E-3</v>
      </c>
      <c r="H44" s="29"/>
    </row>
    <row r="45" spans="2:8" ht="15.75" customHeight="1" x14ac:dyDescent="0.25">
      <c r="B45" s="25" t="s">
        <v>427</v>
      </c>
      <c r="C45" s="25" t="s">
        <v>428</v>
      </c>
      <c r="D45" s="25" t="s">
        <v>426</v>
      </c>
      <c r="E45" s="26">
        <v>4343</v>
      </c>
      <c r="F45" s="27">
        <v>8.39</v>
      </c>
      <c r="G45" s="28">
        <v>5.3E-3</v>
      </c>
      <c r="H45" s="29"/>
    </row>
    <row r="46" spans="2:8" ht="15.75" customHeight="1" x14ac:dyDescent="0.25">
      <c r="B46" s="25" t="s">
        <v>670</v>
      </c>
      <c r="C46" s="25" t="s">
        <v>671</v>
      </c>
      <c r="D46" s="25" t="s">
        <v>343</v>
      </c>
      <c r="E46" s="26">
        <v>251</v>
      </c>
      <c r="F46" s="27">
        <v>8.2200000000000006</v>
      </c>
      <c r="G46" s="28">
        <v>5.1999999999999998E-3</v>
      </c>
      <c r="H46" s="29"/>
    </row>
    <row r="47" spans="2:8" ht="15.75" customHeight="1" x14ac:dyDescent="0.25">
      <c r="B47" s="25" t="s">
        <v>351</v>
      </c>
      <c r="C47" s="25" t="s">
        <v>352</v>
      </c>
      <c r="D47" s="25" t="s">
        <v>214</v>
      </c>
      <c r="E47" s="26">
        <v>313</v>
      </c>
      <c r="F47" s="27">
        <v>7.4</v>
      </c>
      <c r="G47" s="28">
        <v>4.7000000000000002E-3</v>
      </c>
      <c r="H47" s="29"/>
    </row>
    <row r="48" spans="2:8" ht="15.75" customHeight="1" x14ac:dyDescent="0.25">
      <c r="B48" s="25" t="s">
        <v>672</v>
      </c>
      <c r="C48" s="25" t="s">
        <v>673</v>
      </c>
      <c r="D48" s="25" t="s">
        <v>234</v>
      </c>
      <c r="E48" s="26">
        <v>371</v>
      </c>
      <c r="F48" s="27">
        <v>7.34</v>
      </c>
      <c r="G48" s="28">
        <v>4.7000000000000002E-3</v>
      </c>
      <c r="H48" s="29"/>
    </row>
    <row r="49" spans="2:8" ht="15.75" customHeight="1" x14ac:dyDescent="0.25">
      <c r="B49" s="25" t="s">
        <v>493</v>
      </c>
      <c r="C49" s="25" t="s">
        <v>494</v>
      </c>
      <c r="D49" s="25" t="s">
        <v>156</v>
      </c>
      <c r="E49" s="26">
        <v>4473</v>
      </c>
      <c r="F49" s="27">
        <v>7.27</v>
      </c>
      <c r="G49" s="28">
        <v>4.5999999999999999E-3</v>
      </c>
      <c r="H49" s="29"/>
    </row>
    <row r="50" spans="2:8" ht="15.75" customHeight="1" x14ac:dyDescent="0.25">
      <c r="B50" s="25" t="s">
        <v>599</v>
      </c>
      <c r="C50" s="25" t="s">
        <v>600</v>
      </c>
      <c r="D50" s="25" t="s">
        <v>361</v>
      </c>
      <c r="E50" s="26">
        <v>3888</v>
      </c>
      <c r="F50" s="27">
        <v>7.09</v>
      </c>
      <c r="G50" s="28">
        <v>4.4999999999999997E-3</v>
      </c>
      <c r="H50" s="29"/>
    </row>
    <row r="51" spans="2:8" ht="15.75" customHeight="1" x14ac:dyDescent="0.25">
      <c r="B51" s="25" t="s">
        <v>642</v>
      </c>
      <c r="C51" s="25" t="s">
        <v>643</v>
      </c>
      <c r="D51" s="25" t="s">
        <v>303</v>
      </c>
      <c r="E51" s="26">
        <v>474</v>
      </c>
      <c r="F51" s="27">
        <v>7.03</v>
      </c>
      <c r="G51" s="28">
        <v>4.4999999999999997E-3</v>
      </c>
      <c r="H51" s="29"/>
    </row>
    <row r="52" spans="2:8" ht="15.75" customHeight="1" x14ac:dyDescent="0.25">
      <c r="B52" s="25" t="s">
        <v>674</v>
      </c>
      <c r="C52" s="25" t="s">
        <v>675</v>
      </c>
      <c r="D52" s="25" t="s">
        <v>406</v>
      </c>
      <c r="E52" s="26">
        <v>2339</v>
      </c>
      <c r="F52" s="27">
        <v>6.62</v>
      </c>
      <c r="G52" s="28">
        <v>4.1999999999999997E-3</v>
      </c>
      <c r="H52" s="29"/>
    </row>
    <row r="53" spans="2:8" ht="15.75" customHeight="1" x14ac:dyDescent="0.25">
      <c r="B53" s="25" t="s">
        <v>460</v>
      </c>
      <c r="C53" s="25" t="s">
        <v>461</v>
      </c>
      <c r="D53" s="25" t="s">
        <v>442</v>
      </c>
      <c r="E53" s="26">
        <v>2031</v>
      </c>
      <c r="F53" s="27">
        <v>6.47</v>
      </c>
      <c r="G53" s="28">
        <v>4.1000000000000003E-3</v>
      </c>
      <c r="H53" s="29"/>
    </row>
    <row r="54" spans="2:8" ht="15.75" customHeight="1" x14ac:dyDescent="0.25">
      <c r="B54" s="25" t="s">
        <v>232</v>
      </c>
      <c r="C54" s="25" t="s">
        <v>233</v>
      </c>
      <c r="D54" s="25" t="s">
        <v>234</v>
      </c>
      <c r="E54" s="26">
        <v>1765</v>
      </c>
      <c r="F54" s="27">
        <v>4.13</v>
      </c>
      <c r="G54" s="28">
        <v>2.5999999999999999E-3</v>
      </c>
      <c r="H54" s="29"/>
    </row>
    <row r="55" spans="2:8" ht="15.75" customHeight="1" x14ac:dyDescent="0.25">
      <c r="B55" s="25" t="s">
        <v>413</v>
      </c>
      <c r="C55" s="25" t="s">
        <v>414</v>
      </c>
      <c r="D55" s="25" t="s">
        <v>244</v>
      </c>
      <c r="E55" s="26">
        <v>39</v>
      </c>
      <c r="F55" s="27">
        <v>0.45</v>
      </c>
      <c r="G55" s="28">
        <v>2.9999999999999997E-4</v>
      </c>
      <c r="H55" s="29"/>
    </row>
    <row r="56" spans="2:8" ht="15.75" customHeight="1" x14ac:dyDescent="0.25">
      <c r="B56" s="24" t="s">
        <v>128</v>
      </c>
      <c r="C56" s="24"/>
      <c r="D56" s="24"/>
      <c r="E56" s="30"/>
      <c r="F56" s="31">
        <v>1140.79</v>
      </c>
      <c r="G56" s="32">
        <v>0.72319999999999995</v>
      </c>
      <c r="H56" s="33"/>
    </row>
    <row r="57" spans="2:8" ht="15.75" customHeight="1" x14ac:dyDescent="0.25">
      <c r="B57" s="24" t="s">
        <v>176</v>
      </c>
      <c r="C57" s="25"/>
      <c r="D57" s="25"/>
      <c r="E57" s="26"/>
      <c r="F57" s="27"/>
      <c r="G57" s="28"/>
      <c r="H57" s="29"/>
    </row>
    <row r="58" spans="2:8" ht="15.75" customHeight="1" x14ac:dyDescent="0.25">
      <c r="B58" s="24" t="s">
        <v>128</v>
      </c>
      <c r="C58" s="25"/>
      <c r="D58" s="25"/>
      <c r="E58" s="26"/>
      <c r="F58" s="34" t="s">
        <v>130</v>
      </c>
      <c r="G58" s="35" t="s">
        <v>130</v>
      </c>
      <c r="H58" s="29"/>
    </row>
    <row r="59" spans="2:8" ht="15.75" customHeight="1" x14ac:dyDescent="0.25">
      <c r="B59" s="25"/>
      <c r="C59" s="25"/>
      <c r="D59" s="25"/>
      <c r="E59" s="26"/>
      <c r="F59" s="27"/>
      <c r="G59" s="28"/>
      <c r="H59" s="29"/>
    </row>
    <row r="60" spans="2:8" ht="15.75" customHeight="1" x14ac:dyDescent="0.25">
      <c r="B60" s="36" t="s">
        <v>132</v>
      </c>
      <c r="C60" s="36"/>
      <c r="D60" s="36"/>
      <c r="E60" s="37"/>
      <c r="F60" s="31">
        <v>1140.79</v>
      </c>
      <c r="G60" s="32">
        <v>0.72319999999999995</v>
      </c>
      <c r="H60" s="33"/>
    </row>
    <row r="61" spans="2:8" ht="15.75" customHeight="1" x14ac:dyDescent="0.25">
      <c r="B61" s="25"/>
      <c r="C61" s="25"/>
      <c r="D61" s="25"/>
      <c r="E61" s="26"/>
      <c r="F61" s="27"/>
      <c r="G61" s="28"/>
      <c r="H61" s="29"/>
    </row>
    <row r="62" spans="2:8" ht="15.75" customHeight="1" x14ac:dyDescent="0.25">
      <c r="B62" s="24" t="s">
        <v>116</v>
      </c>
      <c r="C62" s="25"/>
      <c r="D62" s="25"/>
      <c r="E62" s="26"/>
      <c r="F62" s="27"/>
      <c r="G62" s="28"/>
      <c r="H62" s="29"/>
    </row>
    <row r="63" spans="2:8" ht="15.75" customHeight="1" x14ac:dyDescent="0.25">
      <c r="B63" s="24" t="s">
        <v>117</v>
      </c>
      <c r="C63" s="25"/>
      <c r="D63" s="25"/>
      <c r="E63" s="26"/>
      <c r="F63" s="27"/>
      <c r="G63" s="28"/>
      <c r="H63" s="29"/>
    </row>
    <row r="64" spans="2:8" ht="15.75" customHeight="1" x14ac:dyDescent="0.25">
      <c r="B64" s="25" t="s">
        <v>185</v>
      </c>
      <c r="C64" s="25" t="s">
        <v>186</v>
      </c>
      <c r="D64" s="25" t="s">
        <v>126</v>
      </c>
      <c r="E64" s="26">
        <v>70223.958333333299</v>
      </c>
      <c r="F64" s="27">
        <v>3.43</v>
      </c>
      <c r="G64" s="28">
        <v>2.2000000000000001E-3</v>
      </c>
      <c r="H64" s="29">
        <v>7.5675000000000006E-2</v>
      </c>
    </row>
    <row r="65" spans="2:16" ht="15.75" customHeight="1" x14ac:dyDescent="0.25">
      <c r="B65" s="24" t="s">
        <v>128</v>
      </c>
      <c r="C65" s="24"/>
      <c r="D65" s="24"/>
      <c r="E65" s="30"/>
      <c r="F65" s="31">
        <v>3.43</v>
      </c>
      <c r="G65" s="32">
        <v>2.2000000000000001E-3</v>
      </c>
      <c r="H65" s="33"/>
    </row>
    <row r="66" spans="2:16" ht="15.75" customHeight="1" x14ac:dyDescent="0.25">
      <c r="B66" s="25"/>
      <c r="C66" s="25"/>
      <c r="D66" s="25"/>
      <c r="E66" s="26"/>
      <c r="F66" s="27"/>
      <c r="G66" s="28"/>
      <c r="H66" s="29"/>
    </row>
    <row r="67" spans="2:16" ht="15.75" customHeight="1" x14ac:dyDescent="0.25">
      <c r="B67" s="24" t="s">
        <v>129</v>
      </c>
      <c r="C67" s="25"/>
      <c r="D67" s="25"/>
      <c r="E67" s="26"/>
      <c r="F67" s="27"/>
      <c r="G67" s="28"/>
      <c r="H67" s="29"/>
    </row>
    <row r="68" spans="2:16" ht="15.75" customHeight="1" x14ac:dyDescent="0.25">
      <c r="B68" s="24" t="s">
        <v>128</v>
      </c>
      <c r="C68" s="25"/>
      <c r="D68" s="25"/>
      <c r="E68" s="26"/>
      <c r="F68" s="34" t="s">
        <v>130</v>
      </c>
      <c r="G68" s="35" t="s">
        <v>130</v>
      </c>
      <c r="H68" s="29"/>
      <c r="L68" s="3"/>
    </row>
    <row r="69" spans="2:16" ht="15.75" customHeight="1" x14ac:dyDescent="0.25">
      <c r="B69" s="25"/>
      <c r="C69" s="25"/>
      <c r="D69" s="25"/>
      <c r="E69" s="26"/>
      <c r="F69" s="27"/>
      <c r="G69" s="28"/>
      <c r="H69" s="29"/>
    </row>
    <row r="70" spans="2:16" ht="15.75" customHeight="1" x14ac:dyDescent="0.25">
      <c r="B70" s="24" t="s">
        <v>131</v>
      </c>
      <c r="C70" s="25"/>
      <c r="D70" s="25"/>
      <c r="E70" s="26"/>
      <c r="F70" s="27"/>
      <c r="G70" s="28"/>
      <c r="H70" s="29"/>
      <c r="L70" s="3"/>
    </row>
    <row r="71" spans="2:16" ht="15.75" customHeight="1" x14ac:dyDescent="0.25">
      <c r="B71" s="24" t="s">
        <v>128</v>
      </c>
      <c r="C71" s="25"/>
      <c r="D71" s="25"/>
      <c r="E71" s="26"/>
      <c r="F71" s="34" t="s">
        <v>130</v>
      </c>
      <c r="G71" s="35" t="s">
        <v>130</v>
      </c>
      <c r="H71" s="29"/>
      <c r="L71" s="3"/>
    </row>
    <row r="72" spans="2:16" ht="15.75" customHeight="1" x14ac:dyDescent="0.25">
      <c r="B72" s="25"/>
      <c r="C72" s="25"/>
      <c r="D72" s="25"/>
      <c r="E72" s="26"/>
      <c r="F72" s="27"/>
      <c r="G72" s="28"/>
      <c r="H72" s="29"/>
      <c r="L72" s="3"/>
    </row>
    <row r="73" spans="2:16" ht="15.75" customHeight="1" x14ac:dyDescent="0.25">
      <c r="B73" s="36" t="s">
        <v>132</v>
      </c>
      <c r="C73" s="36"/>
      <c r="D73" s="36"/>
      <c r="E73" s="37"/>
      <c r="F73" s="31">
        <v>3.43</v>
      </c>
      <c r="G73" s="32">
        <v>2.2000000000000001E-3</v>
      </c>
      <c r="H73" s="33"/>
      <c r="L73" s="3"/>
    </row>
    <row r="74" spans="2:16" ht="15.75" customHeight="1" x14ac:dyDescent="0.25">
      <c r="B74" s="25"/>
      <c r="C74" s="25"/>
      <c r="D74" s="25"/>
      <c r="E74" s="26"/>
      <c r="F74" s="27"/>
      <c r="G74" s="28"/>
      <c r="H74" s="29"/>
      <c r="L74" s="3"/>
    </row>
    <row r="75" spans="2:16" ht="15.75" customHeight="1" x14ac:dyDescent="0.25">
      <c r="B75" s="25"/>
      <c r="C75" s="25"/>
      <c r="D75" s="25"/>
      <c r="E75" s="26"/>
      <c r="F75" s="27"/>
      <c r="G75" s="28"/>
      <c r="H75" s="29"/>
      <c r="L75" s="5"/>
      <c r="M75" s="5"/>
      <c r="N75" s="6"/>
      <c r="O75" s="6"/>
      <c r="P75" s="5"/>
    </row>
    <row r="76" spans="2:16" ht="15.75" customHeight="1" x14ac:dyDescent="0.25">
      <c r="B76" s="24" t="s">
        <v>133</v>
      </c>
      <c r="C76" s="25"/>
      <c r="D76" s="25"/>
      <c r="E76" s="26"/>
      <c r="F76" s="27"/>
      <c r="G76" s="28"/>
      <c r="H76" s="29"/>
    </row>
    <row r="77" spans="2:16" ht="15.75" customHeight="1" x14ac:dyDescent="0.25">
      <c r="B77" s="24" t="s">
        <v>134</v>
      </c>
      <c r="C77" s="25"/>
      <c r="D77" s="25"/>
      <c r="E77" s="26"/>
      <c r="F77" s="27"/>
      <c r="G77" s="28"/>
      <c r="H77" s="29"/>
    </row>
    <row r="78" spans="2:16" ht="15.75" customHeight="1" x14ac:dyDescent="0.25">
      <c r="B78" s="25" t="s">
        <v>323</v>
      </c>
      <c r="C78" s="25" t="s">
        <v>324</v>
      </c>
      <c r="D78" s="25"/>
      <c r="E78" s="26">
        <v>3653.5059999999999</v>
      </c>
      <c r="F78" s="27">
        <v>161.22</v>
      </c>
      <c r="G78" s="28">
        <v>0.1022</v>
      </c>
      <c r="H78" s="29"/>
      <c r="L78" s="7"/>
      <c r="M78" s="7"/>
      <c r="N78" s="7"/>
      <c r="O78" s="7"/>
      <c r="P78" s="7"/>
    </row>
    <row r="79" spans="2:16" ht="15.75" customHeight="1" x14ac:dyDescent="0.25">
      <c r="B79" s="25"/>
      <c r="C79" s="25"/>
      <c r="D79" s="25"/>
      <c r="E79" s="26"/>
      <c r="F79" s="27"/>
      <c r="G79" s="28"/>
      <c r="H79" s="29"/>
      <c r="L79" s="7"/>
      <c r="M79" s="7"/>
      <c r="N79" s="7"/>
      <c r="O79" s="7"/>
      <c r="P79" s="7"/>
    </row>
    <row r="80" spans="2:16" ht="15.75" customHeight="1" x14ac:dyDescent="0.25">
      <c r="B80" s="36" t="s">
        <v>132</v>
      </c>
      <c r="C80" s="36"/>
      <c r="D80" s="36"/>
      <c r="E80" s="37"/>
      <c r="F80" s="31">
        <v>161.22</v>
      </c>
      <c r="G80" s="32">
        <v>0.1022</v>
      </c>
      <c r="H80" s="33"/>
      <c r="L80" s="7"/>
      <c r="M80" s="7"/>
      <c r="N80" s="7"/>
      <c r="O80" s="7"/>
      <c r="P80" s="7"/>
    </row>
    <row r="81" spans="2:16" ht="15.75" customHeight="1" x14ac:dyDescent="0.25">
      <c r="B81" s="25"/>
      <c r="C81" s="25"/>
      <c r="D81" s="25"/>
      <c r="E81" s="26"/>
      <c r="F81" s="27"/>
      <c r="G81" s="28"/>
      <c r="H81" s="29"/>
      <c r="L81" s="7"/>
      <c r="M81" s="7"/>
      <c r="N81" s="7"/>
      <c r="O81" s="7"/>
      <c r="P81" s="7"/>
    </row>
    <row r="82" spans="2:16" ht="15.75" customHeight="1" x14ac:dyDescent="0.25">
      <c r="B82" s="24" t="s">
        <v>135</v>
      </c>
      <c r="C82" s="25"/>
      <c r="D82" s="25"/>
      <c r="E82" s="26"/>
      <c r="F82" s="27"/>
      <c r="G82" s="28"/>
      <c r="H82" s="29"/>
      <c r="L82" s="7"/>
      <c r="M82" s="7"/>
      <c r="N82" s="7"/>
      <c r="O82" s="7"/>
      <c r="P82" s="7"/>
    </row>
    <row r="83" spans="2:16" ht="15.75" customHeight="1" x14ac:dyDescent="0.25">
      <c r="B83" s="25" t="s">
        <v>136</v>
      </c>
      <c r="C83" s="25"/>
      <c r="D83" s="25"/>
      <c r="E83" s="26"/>
      <c r="F83" s="27">
        <v>278.08999999999997</v>
      </c>
      <c r="G83" s="28">
        <v>0.17630000000000001</v>
      </c>
      <c r="H83" s="29"/>
      <c r="L83" s="7"/>
      <c r="M83" s="7"/>
      <c r="N83" s="7"/>
      <c r="O83" s="7"/>
      <c r="P83" s="7"/>
    </row>
    <row r="84" spans="2:16" ht="15.75" customHeight="1" x14ac:dyDescent="0.25">
      <c r="B84" s="24" t="s">
        <v>128</v>
      </c>
      <c r="C84" s="24"/>
      <c r="D84" s="24"/>
      <c r="E84" s="30"/>
      <c r="F84" s="31">
        <v>278.08999999999997</v>
      </c>
      <c r="G84" s="32">
        <v>0.17630000000000001</v>
      </c>
      <c r="H84" s="33"/>
      <c r="L84" s="7"/>
      <c r="M84" s="7"/>
      <c r="N84" s="7"/>
      <c r="O84" s="7"/>
      <c r="P84" s="7"/>
    </row>
    <row r="85" spans="2:16" ht="15.75" customHeight="1" x14ac:dyDescent="0.25">
      <c r="B85" s="25"/>
      <c r="C85" s="25"/>
      <c r="D85" s="25"/>
      <c r="E85" s="26"/>
      <c r="F85" s="27"/>
      <c r="G85" s="28"/>
      <c r="H85" s="29"/>
    </row>
    <row r="86" spans="2:16" ht="15.75" customHeight="1" x14ac:dyDescent="0.25">
      <c r="B86" s="36" t="s">
        <v>132</v>
      </c>
      <c r="C86" s="36"/>
      <c r="D86" s="36"/>
      <c r="E86" s="37"/>
      <c r="F86" s="31">
        <v>278.08999999999997</v>
      </c>
      <c r="G86" s="32">
        <v>0.17630000000000001</v>
      </c>
      <c r="H86" s="33"/>
      <c r="L86" s="3"/>
    </row>
    <row r="87" spans="2:16" ht="15.75" customHeight="1" x14ac:dyDescent="0.25">
      <c r="B87" s="25" t="s">
        <v>137</v>
      </c>
      <c r="C87" s="25"/>
      <c r="D87" s="25"/>
      <c r="E87" s="26"/>
      <c r="F87" s="38">
        <v>-6.15</v>
      </c>
      <c r="G87" s="39">
        <v>-3.8999999999997925E-3</v>
      </c>
      <c r="H87" s="29"/>
    </row>
    <row r="88" spans="2:16" ht="15.75" customHeight="1" x14ac:dyDescent="0.25">
      <c r="B88" s="40" t="s">
        <v>138</v>
      </c>
      <c r="C88" s="40"/>
      <c r="D88" s="40"/>
      <c r="E88" s="41"/>
      <c r="F88" s="42">
        <v>1577.38</v>
      </c>
      <c r="G88" s="43">
        <v>1</v>
      </c>
      <c r="H88" s="44"/>
    </row>
    <row r="89" spans="2:16" ht="15.75" customHeight="1" x14ac:dyDescent="0.25">
      <c r="B89" s="2"/>
    </row>
    <row r="90" spans="2:16" ht="15.75" customHeight="1" x14ac:dyDescent="0.25">
      <c r="B90" s="12" t="s">
        <v>139</v>
      </c>
    </row>
    <row r="91" spans="2:16" ht="15.75" customHeight="1" x14ac:dyDescent="0.25">
      <c r="B91" s="53"/>
    </row>
    <row r="92" spans="2:16" ht="15.75" customHeight="1" x14ac:dyDescent="0.25">
      <c r="B92" s="9" t="s">
        <v>676</v>
      </c>
    </row>
    <row r="93" spans="2:16" ht="15.75" customHeight="1" x14ac:dyDescent="0.25">
      <c r="B93" s="9" t="s">
        <v>677</v>
      </c>
    </row>
    <row r="94" spans="2:16" ht="15.75" customHeight="1" x14ac:dyDescent="0.25">
      <c r="B94" s="13" t="s">
        <v>325</v>
      </c>
      <c r="C94" s="50" t="s">
        <v>2</v>
      </c>
      <c r="D94" s="51" t="s">
        <v>3</v>
      </c>
      <c r="E94" s="52" t="s">
        <v>326</v>
      </c>
    </row>
    <row r="95" spans="2:16" ht="15.75" customHeight="1" x14ac:dyDescent="0.25">
      <c r="B95" s="46" t="s">
        <v>198</v>
      </c>
      <c r="C95" s="47">
        <v>-49500</v>
      </c>
      <c r="D95" s="48">
        <v>-82.27</v>
      </c>
      <c r="E95" s="49">
        <v>-5.2200000000000003E-2</v>
      </c>
    </row>
    <row r="96" spans="2:16" ht="15.75" customHeight="1" x14ac:dyDescent="0.25">
      <c r="B96" s="46" t="s">
        <v>171</v>
      </c>
      <c r="C96" s="47">
        <v>-2400</v>
      </c>
      <c r="D96" s="48">
        <v>-53.91</v>
      </c>
      <c r="E96" s="49">
        <v>-3.4200000000000001E-2</v>
      </c>
    </row>
    <row r="97" spans="2:8" ht="15.75" customHeight="1" x14ac:dyDescent="0.25">
      <c r="B97" s="46" t="s">
        <v>470</v>
      </c>
      <c r="C97" s="47">
        <v>-2100</v>
      </c>
      <c r="D97" s="48">
        <v>-31.77</v>
      </c>
      <c r="E97" s="49">
        <v>-2.01E-2</v>
      </c>
    </row>
    <row r="98" spans="2:8" ht="15.75" customHeight="1" x14ac:dyDescent="0.25">
      <c r="B98" s="46" t="s">
        <v>332</v>
      </c>
      <c r="C98" s="47">
        <v>-2100</v>
      </c>
      <c r="D98" s="48">
        <v>-80.28</v>
      </c>
      <c r="E98" s="49">
        <v>-5.0900000000000001E-2</v>
      </c>
    </row>
    <row r="99" spans="2:8" ht="15.75" customHeight="1" x14ac:dyDescent="0.25">
      <c r="B99" s="46" t="s">
        <v>200</v>
      </c>
      <c r="C99" s="47">
        <v>-20000</v>
      </c>
      <c r="D99" s="48">
        <v>-38.83</v>
      </c>
      <c r="E99" s="49">
        <v>-2.46E-2</v>
      </c>
    </row>
    <row r="100" spans="2:8" ht="15.75" customHeight="1" x14ac:dyDescent="0.25">
      <c r="B100" s="46" t="s">
        <v>247</v>
      </c>
      <c r="C100" s="47">
        <v>-2500</v>
      </c>
      <c r="D100" s="48">
        <v>-29.32</v>
      </c>
      <c r="E100" s="49">
        <v>-1.8599999999999998E-2</v>
      </c>
    </row>
    <row r="101" spans="2:8" ht="15.75" customHeight="1" x14ac:dyDescent="0.25">
      <c r="B101" s="46" t="s">
        <v>282</v>
      </c>
      <c r="C101" s="47">
        <v>-4200</v>
      </c>
      <c r="D101" s="48">
        <v>-27.26</v>
      </c>
      <c r="E101" s="49">
        <v>-1.7299999999999999E-2</v>
      </c>
    </row>
    <row r="102" spans="2:8" ht="15.75" customHeight="1" x14ac:dyDescent="0.25">
      <c r="B102" s="46" t="s">
        <v>227</v>
      </c>
      <c r="C102" s="47">
        <v>-1600</v>
      </c>
      <c r="D102" s="48">
        <v>-26.18</v>
      </c>
      <c r="E102" s="49">
        <v>-1.66E-2</v>
      </c>
    </row>
    <row r="103" spans="2:8" ht="15.75" customHeight="1" x14ac:dyDescent="0.25">
      <c r="B103" s="46" t="s">
        <v>157</v>
      </c>
      <c r="C103" s="47">
        <v>-3600</v>
      </c>
      <c r="D103" s="48">
        <v>-51.52</v>
      </c>
      <c r="E103" s="49">
        <v>-3.27E-2</v>
      </c>
    </row>
    <row r="104" spans="2:8" ht="15.75" customHeight="1" x14ac:dyDescent="0.25">
      <c r="B104" s="46" t="s">
        <v>269</v>
      </c>
      <c r="C104" s="47">
        <v>-22500</v>
      </c>
      <c r="D104" s="48">
        <v>-41.97</v>
      </c>
      <c r="E104" s="49">
        <v>-2.6599999999999999E-2</v>
      </c>
    </row>
    <row r="105" spans="2:8" ht="15.75" customHeight="1" x14ac:dyDescent="0.25">
      <c r="B105" s="46" t="s">
        <v>353</v>
      </c>
      <c r="C105" s="47">
        <v>-500</v>
      </c>
      <c r="D105" s="48">
        <v>-50.08</v>
      </c>
      <c r="E105" s="49">
        <v>-3.1699999999999999E-2</v>
      </c>
    </row>
    <row r="106" spans="2:8" ht="15.75" customHeight="1" x14ac:dyDescent="0.25">
      <c r="B106" s="46" t="s">
        <v>165</v>
      </c>
      <c r="C106" s="47">
        <v>-1400</v>
      </c>
      <c r="D106" s="48">
        <v>-30.38</v>
      </c>
      <c r="E106" s="49">
        <v>-1.9300000000000001E-2</v>
      </c>
    </row>
    <row r="107" spans="2:8" ht="15.75" customHeight="1" x14ac:dyDescent="0.25">
      <c r="B107" s="13" t="s">
        <v>327</v>
      </c>
      <c r="C107" s="50">
        <v>-112400</v>
      </c>
      <c r="D107" s="51">
        <v>-543.77</v>
      </c>
      <c r="E107" s="52">
        <v>-0.3448</v>
      </c>
    </row>
    <row r="108" spans="2:8" ht="15.75" customHeight="1" thickBot="1" x14ac:dyDescent="0.3"/>
    <row r="109" spans="2:8" ht="27" customHeight="1" thickBot="1" x14ac:dyDescent="0.3">
      <c r="B109" s="57" t="s">
        <v>980</v>
      </c>
      <c r="C109" s="58" t="s">
        <v>981</v>
      </c>
      <c r="D109" s="58" t="s">
        <v>982</v>
      </c>
      <c r="E109" s="63" t="s">
        <v>983</v>
      </c>
      <c r="G109" s="2"/>
      <c r="H109" s="2"/>
    </row>
    <row r="110" spans="2:8" ht="29.25" customHeight="1" x14ac:dyDescent="0.25">
      <c r="B110" s="64" t="s">
        <v>73</v>
      </c>
      <c r="C110" s="82"/>
      <c r="D110" s="85" t="s">
        <v>1027</v>
      </c>
      <c r="E110" s="87"/>
      <c r="G110" s="2"/>
      <c r="H110" s="2"/>
    </row>
    <row r="111" spans="2:8" ht="40" customHeight="1" x14ac:dyDescent="0.25">
      <c r="B111" s="66" t="s">
        <v>1028</v>
      </c>
      <c r="C111" s="83"/>
      <c r="D111" s="86"/>
      <c r="E111" s="83"/>
      <c r="G111" s="2"/>
      <c r="H111" s="2"/>
    </row>
    <row r="112" spans="2:8" ht="40" customHeight="1" x14ac:dyDescent="0.25">
      <c r="B112" s="66" t="s">
        <v>1029</v>
      </c>
      <c r="C112" s="83"/>
      <c r="D112" s="86"/>
      <c r="E112" s="83"/>
      <c r="G112" s="2"/>
      <c r="H112" s="2"/>
    </row>
    <row r="113" spans="2:8" ht="23.25" customHeight="1" thickBot="1" x14ac:dyDescent="0.3">
      <c r="B113" s="68" t="s">
        <v>1030</v>
      </c>
      <c r="C113" s="84"/>
      <c r="D113" s="65" t="s">
        <v>984</v>
      </c>
      <c r="E113" s="88"/>
      <c r="G113" s="2"/>
      <c r="H113" s="2"/>
    </row>
    <row r="114" spans="2:8" ht="25" customHeight="1" x14ac:dyDescent="0.25">
      <c r="B114" s="59" t="s">
        <v>985</v>
      </c>
      <c r="C114" s="60"/>
      <c r="D114" s="61"/>
      <c r="E114" s="62"/>
      <c r="G114" s="2"/>
      <c r="H114" s="2"/>
    </row>
    <row r="116" spans="2:8" ht="11.5" x14ac:dyDescent="0.25">
      <c r="B116" s="2" t="s">
        <v>986</v>
      </c>
      <c r="C116" s="2"/>
      <c r="D116" s="2"/>
      <c r="G116" s="2"/>
      <c r="H116" s="2"/>
    </row>
    <row r="117" spans="2:8" ht="11.5" x14ac:dyDescent="0.25">
      <c r="B117" s="3" t="s">
        <v>987</v>
      </c>
      <c r="C117" s="2"/>
      <c r="D117" s="2"/>
      <c r="G117" s="2"/>
      <c r="H117" s="2"/>
    </row>
  </sheetData>
  <mergeCells count="3">
    <mergeCell ref="C110:C113"/>
    <mergeCell ref="D110:D112"/>
    <mergeCell ref="E110:E113"/>
  </mergeCells>
  <hyperlinks>
    <hyperlink ref="I1" location="'Sheet1'!A1" display="Index" xr:uid="{4CD9704B-C0E2-45C1-B7A2-56E3DA227EE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838D-1FBC-4848-87B2-1FD32D08BFE5}">
  <dimension ref="B1:P104"/>
  <sheetViews>
    <sheetView workbookViewId="0"/>
  </sheetViews>
  <sheetFormatPr defaultColWidth="9.1796875" defaultRowHeight="15.75" customHeight="1" x14ac:dyDescent="0.25"/>
  <cols>
    <col min="1" max="1" width="3.6328125" style="2" customWidth="1"/>
    <col min="2" max="2" width="50.453125" style="9" customWidth="1"/>
    <col min="3" max="3" width="28.1796875" style="9" customWidth="1"/>
    <col min="4" max="4" width="26.6328125" style="9" customWidth="1"/>
    <col min="5" max="5" width="29.7265625" style="2" customWidth="1"/>
    <col min="6" max="6" width="16.453125" style="2" customWidth="1"/>
    <col min="7" max="7" width="15.26953125" style="8" customWidth="1"/>
    <col min="8" max="8" width="5.4531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18</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160</v>
      </c>
      <c r="C7" s="25" t="s">
        <v>161</v>
      </c>
      <c r="D7" s="25" t="s">
        <v>156</v>
      </c>
      <c r="E7" s="26">
        <v>431695</v>
      </c>
      <c r="F7" s="27">
        <v>6562.2</v>
      </c>
      <c r="G7" s="28">
        <v>6.7199999999999996E-2</v>
      </c>
      <c r="H7" s="29"/>
    </row>
    <row r="8" spans="2:9" ht="15.75" customHeight="1" x14ac:dyDescent="0.25">
      <c r="B8" s="25" t="s">
        <v>227</v>
      </c>
      <c r="C8" s="25" t="s">
        <v>228</v>
      </c>
      <c r="D8" s="25" t="s">
        <v>156</v>
      </c>
      <c r="E8" s="26">
        <v>259446</v>
      </c>
      <c r="F8" s="27">
        <v>4213.2700000000004</v>
      </c>
      <c r="G8" s="28">
        <v>4.3200000000000002E-2</v>
      </c>
      <c r="H8" s="29"/>
    </row>
    <row r="9" spans="2:9" ht="15.75" customHeight="1" x14ac:dyDescent="0.25">
      <c r="B9" s="25" t="s">
        <v>330</v>
      </c>
      <c r="C9" s="25" t="s">
        <v>331</v>
      </c>
      <c r="D9" s="25" t="s">
        <v>156</v>
      </c>
      <c r="E9" s="26">
        <v>460890</v>
      </c>
      <c r="F9" s="27">
        <v>3808.1</v>
      </c>
      <c r="G9" s="28">
        <v>3.9E-2</v>
      </c>
      <c r="H9" s="29"/>
    </row>
    <row r="10" spans="2:9" ht="15.75" customHeight="1" x14ac:dyDescent="0.25">
      <c r="B10" s="25" t="s">
        <v>381</v>
      </c>
      <c r="C10" s="25" t="s">
        <v>382</v>
      </c>
      <c r="D10" s="25" t="s">
        <v>315</v>
      </c>
      <c r="E10" s="26">
        <v>758820</v>
      </c>
      <c r="F10" s="27">
        <v>3629.82</v>
      </c>
      <c r="G10" s="28">
        <v>3.7199999999999997E-2</v>
      </c>
      <c r="H10" s="29"/>
    </row>
    <row r="11" spans="2:9" ht="15.75" customHeight="1" x14ac:dyDescent="0.25">
      <c r="B11" s="25" t="s">
        <v>171</v>
      </c>
      <c r="C11" s="25" t="s">
        <v>172</v>
      </c>
      <c r="D11" s="25" t="s">
        <v>173</v>
      </c>
      <c r="E11" s="26">
        <v>162187</v>
      </c>
      <c r="F11" s="27">
        <v>3617.5</v>
      </c>
      <c r="G11" s="28">
        <v>3.7100000000000001E-2</v>
      </c>
      <c r="H11" s="29"/>
    </row>
    <row r="12" spans="2:9" ht="15.75" customHeight="1" x14ac:dyDescent="0.25">
      <c r="B12" s="25" t="s">
        <v>372</v>
      </c>
      <c r="C12" s="25" t="s">
        <v>373</v>
      </c>
      <c r="D12" s="25" t="s">
        <v>214</v>
      </c>
      <c r="E12" s="26">
        <v>2441655</v>
      </c>
      <c r="F12" s="27">
        <v>3507.44</v>
      </c>
      <c r="G12" s="28">
        <v>3.5900000000000001E-2</v>
      </c>
      <c r="H12" s="29"/>
    </row>
    <row r="13" spans="2:9" ht="15.75" customHeight="1" x14ac:dyDescent="0.25">
      <c r="B13" s="25" t="s">
        <v>304</v>
      </c>
      <c r="C13" s="25" t="s">
        <v>305</v>
      </c>
      <c r="D13" s="25" t="s">
        <v>296</v>
      </c>
      <c r="E13" s="26">
        <v>2557718</v>
      </c>
      <c r="F13" s="27">
        <v>3355.73</v>
      </c>
      <c r="G13" s="28">
        <v>3.44E-2</v>
      </c>
      <c r="H13" s="29"/>
    </row>
    <row r="14" spans="2:9" ht="15.75" customHeight="1" x14ac:dyDescent="0.25">
      <c r="B14" s="25" t="s">
        <v>220</v>
      </c>
      <c r="C14" s="25" t="s">
        <v>221</v>
      </c>
      <c r="D14" s="25" t="s">
        <v>156</v>
      </c>
      <c r="E14" s="26">
        <v>213072</v>
      </c>
      <c r="F14" s="27">
        <v>3229.53</v>
      </c>
      <c r="G14" s="28">
        <v>3.3099999999999997E-2</v>
      </c>
      <c r="H14" s="29"/>
    </row>
    <row r="15" spans="2:9" ht="15.75" customHeight="1" x14ac:dyDescent="0.25">
      <c r="B15" s="25" t="s">
        <v>210</v>
      </c>
      <c r="C15" s="25" t="s">
        <v>211</v>
      </c>
      <c r="D15" s="25" t="s">
        <v>209</v>
      </c>
      <c r="E15" s="26">
        <v>42822</v>
      </c>
      <c r="F15" s="27">
        <v>2964.8</v>
      </c>
      <c r="G15" s="28">
        <v>3.04E-2</v>
      </c>
      <c r="H15" s="29"/>
    </row>
    <row r="16" spans="2:9" ht="15.75" customHeight="1" x14ac:dyDescent="0.25">
      <c r="B16" s="25" t="s">
        <v>264</v>
      </c>
      <c r="C16" s="25" t="s">
        <v>265</v>
      </c>
      <c r="D16" s="25" t="s">
        <v>159</v>
      </c>
      <c r="E16" s="26">
        <v>232191</v>
      </c>
      <c r="F16" s="27">
        <v>2933.73</v>
      </c>
      <c r="G16" s="28">
        <v>3.0099999999999998E-2</v>
      </c>
      <c r="H16" s="29"/>
    </row>
    <row r="17" spans="2:8" ht="15.75" customHeight="1" x14ac:dyDescent="0.25">
      <c r="B17" s="25" t="s">
        <v>493</v>
      </c>
      <c r="C17" s="25" t="s">
        <v>494</v>
      </c>
      <c r="D17" s="25" t="s">
        <v>156</v>
      </c>
      <c r="E17" s="26">
        <v>1750427</v>
      </c>
      <c r="F17" s="27">
        <v>2846.19</v>
      </c>
      <c r="G17" s="28">
        <v>2.92E-2</v>
      </c>
      <c r="H17" s="29"/>
    </row>
    <row r="18" spans="2:8" ht="15.75" customHeight="1" x14ac:dyDescent="0.25">
      <c r="B18" s="25" t="s">
        <v>247</v>
      </c>
      <c r="C18" s="25" t="s">
        <v>248</v>
      </c>
      <c r="D18" s="25" t="s">
        <v>156</v>
      </c>
      <c r="E18" s="26">
        <v>222567</v>
      </c>
      <c r="F18" s="27">
        <v>2594.91</v>
      </c>
      <c r="G18" s="28">
        <v>2.6599999999999999E-2</v>
      </c>
      <c r="H18" s="29"/>
    </row>
    <row r="19" spans="2:8" ht="15.75" customHeight="1" x14ac:dyDescent="0.25">
      <c r="B19" s="25" t="s">
        <v>495</v>
      </c>
      <c r="C19" s="25" t="s">
        <v>496</v>
      </c>
      <c r="D19" s="25" t="s">
        <v>156</v>
      </c>
      <c r="E19" s="26">
        <v>1702044</v>
      </c>
      <c r="F19" s="27">
        <v>2377.7600000000002</v>
      </c>
      <c r="G19" s="28">
        <v>2.4400000000000002E-2</v>
      </c>
      <c r="H19" s="29"/>
    </row>
    <row r="20" spans="2:8" ht="15.75" customHeight="1" x14ac:dyDescent="0.25">
      <c r="B20" s="25" t="s">
        <v>499</v>
      </c>
      <c r="C20" s="25" t="s">
        <v>500</v>
      </c>
      <c r="D20" s="25" t="s">
        <v>209</v>
      </c>
      <c r="E20" s="26">
        <v>1278414</v>
      </c>
      <c r="F20" s="27">
        <v>2130.48</v>
      </c>
      <c r="G20" s="28">
        <v>2.18E-2</v>
      </c>
      <c r="H20" s="29"/>
    </row>
    <row r="21" spans="2:8" ht="15.75" customHeight="1" x14ac:dyDescent="0.25">
      <c r="B21" s="25" t="s">
        <v>229</v>
      </c>
      <c r="C21" s="25" t="s">
        <v>230</v>
      </c>
      <c r="D21" s="25" t="s">
        <v>231</v>
      </c>
      <c r="E21" s="26">
        <v>174349</v>
      </c>
      <c r="F21" s="27">
        <v>2126.19</v>
      </c>
      <c r="G21" s="28">
        <v>2.18E-2</v>
      </c>
      <c r="H21" s="29"/>
    </row>
    <row r="22" spans="2:8" ht="15.75" customHeight="1" x14ac:dyDescent="0.25">
      <c r="B22" s="25" t="s">
        <v>678</v>
      </c>
      <c r="C22" s="25" t="s">
        <v>679</v>
      </c>
      <c r="D22" s="25" t="s">
        <v>680</v>
      </c>
      <c r="E22" s="26">
        <v>206465</v>
      </c>
      <c r="F22" s="27">
        <v>1994.56</v>
      </c>
      <c r="G22" s="28">
        <v>2.0400000000000001E-2</v>
      </c>
      <c r="H22" s="29"/>
    </row>
    <row r="23" spans="2:8" ht="15.75" customHeight="1" x14ac:dyDescent="0.25">
      <c r="B23" s="25" t="s">
        <v>590</v>
      </c>
      <c r="C23" s="25" t="s">
        <v>591</v>
      </c>
      <c r="D23" s="25" t="s">
        <v>592</v>
      </c>
      <c r="E23" s="26">
        <v>56314</v>
      </c>
      <c r="F23" s="27">
        <v>1883.65</v>
      </c>
      <c r="G23" s="28">
        <v>1.9300000000000001E-2</v>
      </c>
      <c r="H23" s="29"/>
    </row>
    <row r="24" spans="2:8" ht="15.75" customHeight="1" x14ac:dyDescent="0.25">
      <c r="B24" s="25" t="s">
        <v>562</v>
      </c>
      <c r="C24" s="25" t="s">
        <v>563</v>
      </c>
      <c r="D24" s="25" t="s">
        <v>442</v>
      </c>
      <c r="E24" s="26">
        <v>502889</v>
      </c>
      <c r="F24" s="27">
        <v>1811.91</v>
      </c>
      <c r="G24" s="28">
        <v>1.8599999999999998E-2</v>
      </c>
      <c r="H24" s="29"/>
    </row>
    <row r="25" spans="2:8" ht="15.75" customHeight="1" x14ac:dyDescent="0.25">
      <c r="B25" s="25" t="s">
        <v>637</v>
      </c>
      <c r="C25" s="25" t="s">
        <v>638</v>
      </c>
      <c r="D25" s="25" t="s">
        <v>639</v>
      </c>
      <c r="E25" s="26">
        <v>5562</v>
      </c>
      <c r="F25" s="27">
        <v>1694.64</v>
      </c>
      <c r="G25" s="28">
        <v>1.7399999999999999E-2</v>
      </c>
      <c r="H25" s="29"/>
    </row>
    <row r="26" spans="2:8" ht="15.75" customHeight="1" x14ac:dyDescent="0.25">
      <c r="B26" s="25" t="s">
        <v>568</v>
      </c>
      <c r="C26" s="25" t="s">
        <v>569</v>
      </c>
      <c r="D26" s="25" t="s">
        <v>260</v>
      </c>
      <c r="E26" s="26">
        <v>224988</v>
      </c>
      <c r="F26" s="27">
        <v>1664.01</v>
      </c>
      <c r="G26" s="28">
        <v>1.7100000000000001E-2</v>
      </c>
      <c r="H26" s="29"/>
    </row>
    <row r="27" spans="2:8" ht="15.75" customHeight="1" x14ac:dyDescent="0.25">
      <c r="B27" s="25" t="s">
        <v>334</v>
      </c>
      <c r="C27" s="25" t="s">
        <v>335</v>
      </c>
      <c r="D27" s="25" t="s">
        <v>159</v>
      </c>
      <c r="E27" s="26">
        <v>120250</v>
      </c>
      <c r="F27" s="27">
        <v>1643.34</v>
      </c>
      <c r="G27" s="28">
        <v>1.6799999999999999E-2</v>
      </c>
      <c r="H27" s="29"/>
    </row>
    <row r="28" spans="2:8" ht="15.75" customHeight="1" x14ac:dyDescent="0.25">
      <c r="B28" s="25" t="s">
        <v>648</v>
      </c>
      <c r="C28" s="25" t="s">
        <v>649</v>
      </c>
      <c r="D28" s="25" t="s">
        <v>350</v>
      </c>
      <c r="E28" s="26">
        <v>3182</v>
      </c>
      <c r="F28" s="27">
        <v>1436.31</v>
      </c>
      <c r="G28" s="28">
        <v>1.47E-2</v>
      </c>
      <c r="H28" s="29"/>
    </row>
    <row r="29" spans="2:8" ht="15.75" customHeight="1" x14ac:dyDescent="0.25">
      <c r="B29" s="25" t="s">
        <v>497</v>
      </c>
      <c r="C29" s="25" t="s">
        <v>498</v>
      </c>
      <c r="D29" s="25" t="s">
        <v>156</v>
      </c>
      <c r="E29" s="26">
        <v>382980</v>
      </c>
      <c r="F29" s="27">
        <v>1427.94</v>
      </c>
      <c r="G29" s="28">
        <v>1.46E-2</v>
      </c>
      <c r="H29" s="29"/>
    </row>
    <row r="30" spans="2:8" ht="15.75" customHeight="1" x14ac:dyDescent="0.25">
      <c r="B30" s="25" t="s">
        <v>681</v>
      </c>
      <c r="C30" s="25" t="s">
        <v>682</v>
      </c>
      <c r="D30" s="25" t="s">
        <v>286</v>
      </c>
      <c r="E30" s="26">
        <v>245183</v>
      </c>
      <c r="F30" s="27">
        <v>1404.65</v>
      </c>
      <c r="G30" s="28">
        <v>1.44E-2</v>
      </c>
      <c r="H30" s="29"/>
    </row>
    <row r="31" spans="2:8" ht="15.75" customHeight="1" x14ac:dyDescent="0.25">
      <c r="B31" s="25" t="s">
        <v>683</v>
      </c>
      <c r="C31" s="25" t="s">
        <v>684</v>
      </c>
      <c r="D31" s="25" t="s">
        <v>431</v>
      </c>
      <c r="E31" s="26">
        <v>17201</v>
      </c>
      <c r="F31" s="27">
        <v>1355.46</v>
      </c>
      <c r="G31" s="28">
        <v>1.3899999999999999E-2</v>
      </c>
      <c r="H31" s="29"/>
    </row>
    <row r="32" spans="2:8" ht="15.75" customHeight="1" x14ac:dyDescent="0.25">
      <c r="B32" s="25" t="s">
        <v>460</v>
      </c>
      <c r="C32" s="25" t="s">
        <v>461</v>
      </c>
      <c r="D32" s="25" t="s">
        <v>442</v>
      </c>
      <c r="E32" s="26">
        <v>420200</v>
      </c>
      <c r="F32" s="27">
        <v>1337.92</v>
      </c>
      <c r="G32" s="28">
        <v>1.37E-2</v>
      </c>
      <c r="H32" s="29"/>
    </row>
    <row r="33" spans="2:8" ht="15.75" customHeight="1" x14ac:dyDescent="0.25">
      <c r="B33" s="25" t="s">
        <v>685</v>
      </c>
      <c r="C33" s="25" t="s">
        <v>686</v>
      </c>
      <c r="D33" s="25" t="s">
        <v>536</v>
      </c>
      <c r="E33" s="26">
        <v>3656</v>
      </c>
      <c r="F33" s="27">
        <v>1271.7</v>
      </c>
      <c r="G33" s="28">
        <v>1.2999999999999999E-2</v>
      </c>
      <c r="H33" s="29"/>
    </row>
    <row r="34" spans="2:8" ht="15.75" customHeight="1" x14ac:dyDescent="0.25">
      <c r="B34" s="25" t="s">
        <v>378</v>
      </c>
      <c r="C34" s="25" t="s">
        <v>379</v>
      </c>
      <c r="D34" s="25" t="s">
        <v>380</v>
      </c>
      <c r="E34" s="26">
        <v>85364</v>
      </c>
      <c r="F34" s="27">
        <v>1262.92</v>
      </c>
      <c r="G34" s="28">
        <v>1.29E-2</v>
      </c>
      <c r="H34" s="29"/>
    </row>
    <row r="35" spans="2:8" ht="15.75" customHeight="1" x14ac:dyDescent="0.25">
      <c r="B35" s="25" t="s">
        <v>597</v>
      </c>
      <c r="C35" s="25" t="s">
        <v>598</v>
      </c>
      <c r="D35" s="25" t="s">
        <v>296</v>
      </c>
      <c r="E35" s="26">
        <v>33274</v>
      </c>
      <c r="F35" s="27">
        <v>1227.76</v>
      </c>
      <c r="G35" s="28">
        <v>1.26E-2</v>
      </c>
      <c r="H35" s="29"/>
    </row>
    <row r="36" spans="2:8" ht="15.75" customHeight="1" x14ac:dyDescent="0.25">
      <c r="B36" s="25" t="s">
        <v>687</v>
      </c>
      <c r="C36" s="25" t="s">
        <v>688</v>
      </c>
      <c r="D36" s="25" t="s">
        <v>170</v>
      </c>
      <c r="E36" s="26">
        <v>95854</v>
      </c>
      <c r="F36" s="27">
        <v>1223.43</v>
      </c>
      <c r="G36" s="28">
        <v>1.2500000000000001E-2</v>
      </c>
      <c r="H36" s="29"/>
    </row>
    <row r="37" spans="2:8" ht="15.75" customHeight="1" x14ac:dyDescent="0.25">
      <c r="B37" s="25" t="s">
        <v>292</v>
      </c>
      <c r="C37" s="25" t="s">
        <v>293</v>
      </c>
      <c r="D37" s="25" t="s">
        <v>173</v>
      </c>
      <c r="E37" s="26">
        <v>272224</v>
      </c>
      <c r="F37" s="27">
        <v>1185.94</v>
      </c>
      <c r="G37" s="28">
        <v>1.2200000000000001E-2</v>
      </c>
      <c r="H37" s="29"/>
    </row>
    <row r="38" spans="2:8" ht="15.75" customHeight="1" x14ac:dyDescent="0.25">
      <c r="B38" s="25" t="s">
        <v>578</v>
      </c>
      <c r="C38" s="25" t="s">
        <v>579</v>
      </c>
      <c r="D38" s="25" t="s">
        <v>214</v>
      </c>
      <c r="E38" s="26">
        <v>29048</v>
      </c>
      <c r="F38" s="27">
        <v>1162.6199999999999</v>
      </c>
      <c r="G38" s="28">
        <v>1.1900000000000001E-2</v>
      </c>
      <c r="H38" s="29"/>
    </row>
    <row r="39" spans="2:8" ht="15.75" customHeight="1" x14ac:dyDescent="0.25">
      <c r="B39" s="25" t="s">
        <v>666</v>
      </c>
      <c r="C39" s="25" t="s">
        <v>667</v>
      </c>
      <c r="D39" s="25" t="s">
        <v>253</v>
      </c>
      <c r="E39" s="26">
        <v>194778</v>
      </c>
      <c r="F39" s="27">
        <v>1152.21</v>
      </c>
      <c r="G39" s="28">
        <v>1.18E-2</v>
      </c>
      <c r="H39" s="29"/>
    </row>
    <row r="40" spans="2:8" ht="15.75" customHeight="1" x14ac:dyDescent="0.25">
      <c r="B40" s="25" t="s">
        <v>689</v>
      </c>
      <c r="C40" s="25" t="s">
        <v>690</v>
      </c>
      <c r="D40" s="25" t="s">
        <v>442</v>
      </c>
      <c r="E40" s="26">
        <v>91538</v>
      </c>
      <c r="F40" s="27">
        <v>1102.53</v>
      </c>
      <c r="G40" s="28">
        <v>1.1299999999999999E-2</v>
      </c>
      <c r="H40" s="29"/>
    </row>
    <row r="41" spans="2:8" ht="15.75" customHeight="1" x14ac:dyDescent="0.25">
      <c r="B41" s="25" t="s">
        <v>691</v>
      </c>
      <c r="C41" s="25" t="s">
        <v>692</v>
      </c>
      <c r="D41" s="25" t="s">
        <v>693</v>
      </c>
      <c r="E41" s="26">
        <v>242654</v>
      </c>
      <c r="F41" s="27">
        <v>1053.97</v>
      </c>
      <c r="G41" s="28">
        <v>1.0800000000000001E-2</v>
      </c>
      <c r="H41" s="29"/>
    </row>
    <row r="42" spans="2:8" ht="15.75" customHeight="1" x14ac:dyDescent="0.25">
      <c r="B42" s="25" t="s">
        <v>694</v>
      </c>
      <c r="C42" s="25" t="s">
        <v>695</v>
      </c>
      <c r="D42" s="25" t="s">
        <v>260</v>
      </c>
      <c r="E42" s="26">
        <v>63196</v>
      </c>
      <c r="F42" s="27">
        <v>1034.27</v>
      </c>
      <c r="G42" s="28">
        <v>1.06E-2</v>
      </c>
      <c r="H42" s="29"/>
    </row>
    <row r="43" spans="2:8" ht="15.75" customHeight="1" x14ac:dyDescent="0.25">
      <c r="B43" s="25" t="s">
        <v>397</v>
      </c>
      <c r="C43" s="25" t="s">
        <v>398</v>
      </c>
      <c r="D43" s="25" t="s">
        <v>159</v>
      </c>
      <c r="E43" s="26">
        <v>148578</v>
      </c>
      <c r="F43" s="27">
        <v>1026.9000000000001</v>
      </c>
      <c r="G43" s="28">
        <v>1.0500000000000001E-2</v>
      </c>
      <c r="H43" s="29"/>
    </row>
    <row r="44" spans="2:8" ht="15.75" customHeight="1" x14ac:dyDescent="0.25">
      <c r="B44" s="25" t="s">
        <v>696</v>
      </c>
      <c r="C44" s="25" t="s">
        <v>697</v>
      </c>
      <c r="D44" s="25" t="s">
        <v>159</v>
      </c>
      <c r="E44" s="26">
        <v>13295</v>
      </c>
      <c r="F44" s="27">
        <v>1010.24</v>
      </c>
      <c r="G44" s="28">
        <v>1.04E-2</v>
      </c>
      <c r="H44" s="29"/>
    </row>
    <row r="45" spans="2:8" ht="15.75" customHeight="1" x14ac:dyDescent="0.25">
      <c r="B45" s="25" t="s">
        <v>698</v>
      </c>
      <c r="C45" s="25" t="s">
        <v>699</v>
      </c>
      <c r="D45" s="25" t="s">
        <v>217</v>
      </c>
      <c r="E45" s="26">
        <v>14869</v>
      </c>
      <c r="F45" s="27">
        <v>938.43</v>
      </c>
      <c r="G45" s="28">
        <v>9.5999999999999992E-3</v>
      </c>
      <c r="H45" s="29"/>
    </row>
    <row r="46" spans="2:8" ht="15.75" customHeight="1" x14ac:dyDescent="0.25">
      <c r="B46" s="25" t="s">
        <v>700</v>
      </c>
      <c r="C46" s="25" t="s">
        <v>701</v>
      </c>
      <c r="D46" s="25" t="s">
        <v>343</v>
      </c>
      <c r="E46" s="26">
        <v>61209</v>
      </c>
      <c r="F46" s="27">
        <v>910.15</v>
      </c>
      <c r="G46" s="28">
        <v>9.2999999999999992E-3</v>
      </c>
      <c r="H46" s="29"/>
    </row>
    <row r="47" spans="2:8" ht="15.75" customHeight="1" x14ac:dyDescent="0.25">
      <c r="B47" s="25" t="s">
        <v>389</v>
      </c>
      <c r="C47" s="25" t="s">
        <v>390</v>
      </c>
      <c r="D47" s="25" t="s">
        <v>244</v>
      </c>
      <c r="E47" s="26">
        <v>49283</v>
      </c>
      <c r="F47" s="27">
        <v>905.9</v>
      </c>
      <c r="G47" s="28">
        <v>9.2999999999999992E-3</v>
      </c>
      <c r="H47" s="29"/>
    </row>
    <row r="48" spans="2:8" ht="15.75" customHeight="1" x14ac:dyDescent="0.25">
      <c r="B48" s="25" t="s">
        <v>359</v>
      </c>
      <c r="C48" s="25" t="s">
        <v>360</v>
      </c>
      <c r="D48" s="25" t="s">
        <v>361</v>
      </c>
      <c r="E48" s="26">
        <v>130423</v>
      </c>
      <c r="F48" s="27">
        <v>898.81</v>
      </c>
      <c r="G48" s="28">
        <v>9.1999999999999998E-3</v>
      </c>
      <c r="H48" s="29"/>
    </row>
    <row r="49" spans="2:8" ht="15.75" customHeight="1" x14ac:dyDescent="0.25">
      <c r="B49" s="25" t="s">
        <v>702</v>
      </c>
      <c r="C49" s="25" t="s">
        <v>703</v>
      </c>
      <c r="D49" s="25" t="s">
        <v>217</v>
      </c>
      <c r="E49" s="26">
        <v>86133</v>
      </c>
      <c r="F49" s="27">
        <v>889.97</v>
      </c>
      <c r="G49" s="28">
        <v>9.1000000000000004E-3</v>
      </c>
      <c r="H49" s="29"/>
    </row>
    <row r="50" spans="2:8" ht="15.75" customHeight="1" x14ac:dyDescent="0.25">
      <c r="B50" s="25" t="s">
        <v>537</v>
      </c>
      <c r="C50" s="25" t="s">
        <v>538</v>
      </c>
      <c r="D50" s="25" t="s">
        <v>426</v>
      </c>
      <c r="E50" s="26">
        <v>175850</v>
      </c>
      <c r="F50" s="27">
        <v>844.08</v>
      </c>
      <c r="G50" s="28">
        <v>8.6E-3</v>
      </c>
      <c r="H50" s="29"/>
    </row>
    <row r="51" spans="2:8" ht="15.75" customHeight="1" x14ac:dyDescent="0.25">
      <c r="B51" s="25" t="s">
        <v>704</v>
      </c>
      <c r="C51" s="25" t="s">
        <v>705</v>
      </c>
      <c r="D51" s="25" t="s">
        <v>350</v>
      </c>
      <c r="E51" s="26">
        <v>58632</v>
      </c>
      <c r="F51" s="27">
        <v>838.88</v>
      </c>
      <c r="G51" s="28">
        <v>8.6E-3</v>
      </c>
      <c r="H51" s="29"/>
    </row>
    <row r="52" spans="2:8" ht="15.75" customHeight="1" x14ac:dyDescent="0.25">
      <c r="B52" s="25" t="s">
        <v>706</v>
      </c>
      <c r="C52" s="25" t="s">
        <v>707</v>
      </c>
      <c r="D52" s="25" t="s">
        <v>296</v>
      </c>
      <c r="E52" s="26">
        <v>83267</v>
      </c>
      <c r="F52" s="27">
        <v>784.5</v>
      </c>
      <c r="G52" s="28">
        <v>8.0000000000000002E-3</v>
      </c>
      <c r="H52" s="29"/>
    </row>
    <row r="53" spans="2:8" ht="15.75" customHeight="1" x14ac:dyDescent="0.25">
      <c r="B53" s="25" t="s">
        <v>708</v>
      </c>
      <c r="C53" s="25" t="s">
        <v>709</v>
      </c>
      <c r="D53" s="25" t="s">
        <v>343</v>
      </c>
      <c r="E53" s="26">
        <v>5319</v>
      </c>
      <c r="F53" s="27">
        <v>749.82</v>
      </c>
      <c r="G53" s="28">
        <v>7.7000000000000002E-3</v>
      </c>
      <c r="H53" s="29"/>
    </row>
    <row r="54" spans="2:8" ht="15.75" customHeight="1" x14ac:dyDescent="0.25">
      <c r="B54" s="25" t="s">
        <v>157</v>
      </c>
      <c r="C54" s="25" t="s">
        <v>158</v>
      </c>
      <c r="D54" s="25" t="s">
        <v>159</v>
      </c>
      <c r="E54" s="26">
        <v>50581</v>
      </c>
      <c r="F54" s="27">
        <v>718.53</v>
      </c>
      <c r="G54" s="28">
        <v>7.4000000000000003E-3</v>
      </c>
      <c r="H54" s="29"/>
    </row>
    <row r="55" spans="2:8" ht="15.75" customHeight="1" x14ac:dyDescent="0.25">
      <c r="B55" s="25" t="s">
        <v>362</v>
      </c>
      <c r="C55" s="25" t="s">
        <v>363</v>
      </c>
      <c r="D55" s="25" t="s">
        <v>209</v>
      </c>
      <c r="E55" s="26">
        <v>241070</v>
      </c>
      <c r="F55" s="27">
        <v>629.54999999999995</v>
      </c>
      <c r="G55" s="28">
        <v>6.4999999999999997E-3</v>
      </c>
      <c r="H55" s="29"/>
    </row>
    <row r="56" spans="2:8" ht="15.75" customHeight="1" x14ac:dyDescent="0.25">
      <c r="B56" s="25" t="s">
        <v>212</v>
      </c>
      <c r="C56" s="25" t="s">
        <v>213</v>
      </c>
      <c r="D56" s="25" t="s">
        <v>214</v>
      </c>
      <c r="E56" s="26">
        <v>182610</v>
      </c>
      <c r="F56" s="27">
        <v>545.17999999999995</v>
      </c>
      <c r="G56" s="28">
        <v>5.5999999999999999E-3</v>
      </c>
      <c r="H56" s="29"/>
    </row>
    <row r="57" spans="2:8" ht="15.75" customHeight="1" x14ac:dyDescent="0.25">
      <c r="B57" s="25" t="s">
        <v>710</v>
      </c>
      <c r="C57" s="25" t="s">
        <v>711</v>
      </c>
      <c r="D57" s="25" t="s">
        <v>296</v>
      </c>
      <c r="E57" s="26">
        <v>6171</v>
      </c>
      <c r="F57" s="27">
        <v>536.20000000000005</v>
      </c>
      <c r="G57" s="28">
        <v>5.4999999999999997E-3</v>
      </c>
      <c r="H57" s="29"/>
    </row>
    <row r="58" spans="2:8" ht="15.75" customHeight="1" x14ac:dyDescent="0.25">
      <c r="B58" s="25" t="s">
        <v>633</v>
      </c>
      <c r="C58" s="25" t="s">
        <v>634</v>
      </c>
      <c r="D58" s="25" t="s">
        <v>296</v>
      </c>
      <c r="E58" s="26">
        <v>23799</v>
      </c>
      <c r="F58" s="27">
        <v>470.85</v>
      </c>
      <c r="G58" s="28">
        <v>4.7999999999999996E-3</v>
      </c>
      <c r="H58" s="29"/>
    </row>
    <row r="59" spans="2:8" ht="15.75" customHeight="1" x14ac:dyDescent="0.25">
      <c r="B59" s="25" t="s">
        <v>584</v>
      </c>
      <c r="C59" s="25" t="s">
        <v>585</v>
      </c>
      <c r="D59" s="25" t="s">
        <v>551</v>
      </c>
      <c r="E59" s="26">
        <v>121660</v>
      </c>
      <c r="F59" s="27">
        <v>448.44</v>
      </c>
      <c r="G59" s="28">
        <v>4.5999999999999999E-3</v>
      </c>
      <c r="H59" s="29"/>
    </row>
    <row r="60" spans="2:8" ht="15.75" customHeight="1" x14ac:dyDescent="0.25">
      <c r="B60" s="25" t="s">
        <v>570</v>
      </c>
      <c r="C60" s="25" t="s">
        <v>571</v>
      </c>
      <c r="D60" s="25" t="s">
        <v>263</v>
      </c>
      <c r="E60" s="26">
        <v>44776</v>
      </c>
      <c r="F60" s="27">
        <v>302.27999999999997</v>
      </c>
      <c r="G60" s="28">
        <v>3.0999999999999999E-3</v>
      </c>
      <c r="H60" s="29"/>
    </row>
    <row r="61" spans="2:8" ht="15.75" customHeight="1" x14ac:dyDescent="0.25">
      <c r="B61" s="25" t="s">
        <v>712</v>
      </c>
      <c r="C61" s="25" t="s">
        <v>713</v>
      </c>
      <c r="D61" s="25" t="s">
        <v>350</v>
      </c>
      <c r="E61" s="26">
        <v>1242</v>
      </c>
      <c r="F61" s="27">
        <v>172.64</v>
      </c>
      <c r="G61" s="28">
        <v>1.8E-3</v>
      </c>
      <c r="H61" s="29"/>
    </row>
    <row r="62" spans="2:8" ht="15.75" customHeight="1" x14ac:dyDescent="0.25">
      <c r="B62" s="25" t="s">
        <v>357</v>
      </c>
      <c r="C62" s="25" t="s">
        <v>358</v>
      </c>
      <c r="D62" s="25" t="s">
        <v>260</v>
      </c>
      <c r="E62" s="26">
        <v>2160</v>
      </c>
      <c r="F62" s="27">
        <v>56.61</v>
      </c>
      <c r="G62" s="28">
        <v>5.9999999999999995E-4</v>
      </c>
      <c r="H62" s="29"/>
    </row>
    <row r="63" spans="2:8" ht="15.75" customHeight="1" x14ac:dyDescent="0.25">
      <c r="B63" s="25" t="s">
        <v>409</v>
      </c>
      <c r="C63" s="25" t="s">
        <v>410</v>
      </c>
      <c r="D63" s="25" t="s">
        <v>350</v>
      </c>
      <c r="E63" s="26">
        <v>4206</v>
      </c>
      <c r="F63" s="27">
        <v>29.21</v>
      </c>
      <c r="G63" s="28">
        <v>2.9999999999999997E-4</v>
      </c>
      <c r="H63" s="29"/>
    </row>
    <row r="64" spans="2:8" ht="15.75" customHeight="1" x14ac:dyDescent="0.25">
      <c r="B64" s="25" t="s">
        <v>554</v>
      </c>
      <c r="C64" s="25" t="s">
        <v>555</v>
      </c>
      <c r="D64" s="25" t="s">
        <v>350</v>
      </c>
      <c r="E64" s="26">
        <v>261</v>
      </c>
      <c r="F64" s="27">
        <v>6.55</v>
      </c>
      <c r="G64" s="28">
        <v>1E-4</v>
      </c>
      <c r="H64" s="29"/>
    </row>
    <row r="65" spans="2:16" ht="15.75" customHeight="1" x14ac:dyDescent="0.25">
      <c r="B65" s="24" t="s">
        <v>128</v>
      </c>
      <c r="C65" s="24"/>
      <c r="D65" s="24"/>
      <c r="E65" s="30"/>
      <c r="F65" s="31">
        <v>92943.11</v>
      </c>
      <c r="G65" s="32">
        <v>0.95240000000000002</v>
      </c>
      <c r="H65" s="33"/>
    </row>
    <row r="66" spans="2:16" ht="15.75" customHeight="1" x14ac:dyDescent="0.25">
      <c r="B66" s="24" t="s">
        <v>176</v>
      </c>
      <c r="C66" s="25"/>
      <c r="D66" s="25"/>
      <c r="E66" s="26"/>
      <c r="F66" s="27"/>
      <c r="G66" s="28"/>
      <c r="H66" s="29"/>
    </row>
    <row r="67" spans="2:16" ht="15.75" customHeight="1" x14ac:dyDescent="0.25">
      <c r="B67" s="24" t="s">
        <v>128</v>
      </c>
      <c r="C67" s="25"/>
      <c r="D67" s="25"/>
      <c r="E67" s="26"/>
      <c r="F67" s="34" t="s">
        <v>130</v>
      </c>
      <c r="G67" s="35" t="s">
        <v>130</v>
      </c>
      <c r="H67" s="29"/>
    </row>
    <row r="68" spans="2:16" ht="15.75" customHeight="1" x14ac:dyDescent="0.25">
      <c r="B68" s="25"/>
      <c r="C68" s="25"/>
      <c r="D68" s="25"/>
      <c r="E68" s="26"/>
      <c r="F68" s="27"/>
      <c r="G68" s="28"/>
      <c r="H68" s="29"/>
      <c r="L68" s="3"/>
    </row>
    <row r="69" spans="2:16" ht="15.75" customHeight="1" x14ac:dyDescent="0.25">
      <c r="B69" s="36" t="s">
        <v>132</v>
      </c>
      <c r="C69" s="36"/>
      <c r="D69" s="36"/>
      <c r="E69" s="37"/>
      <c r="F69" s="31">
        <v>92943.11</v>
      </c>
      <c r="G69" s="32">
        <v>0.95240000000000002</v>
      </c>
      <c r="H69" s="33"/>
    </row>
    <row r="70" spans="2:16" ht="15.75" customHeight="1" x14ac:dyDescent="0.25">
      <c r="B70" s="25"/>
      <c r="C70" s="25"/>
      <c r="D70" s="25"/>
      <c r="E70" s="26"/>
      <c r="F70" s="27"/>
      <c r="G70" s="28"/>
      <c r="H70" s="29"/>
      <c r="L70" s="3"/>
    </row>
    <row r="71" spans="2:16" ht="15.75" customHeight="1" x14ac:dyDescent="0.25">
      <c r="B71" s="24" t="s">
        <v>116</v>
      </c>
      <c r="C71" s="25"/>
      <c r="D71" s="25"/>
      <c r="E71" s="26"/>
      <c r="F71" s="27"/>
      <c r="G71" s="28"/>
      <c r="H71" s="29"/>
      <c r="L71" s="3"/>
    </row>
    <row r="72" spans="2:16" ht="15.75" customHeight="1" x14ac:dyDescent="0.25">
      <c r="B72" s="24" t="s">
        <v>117</v>
      </c>
      <c r="C72" s="25"/>
      <c r="D72" s="25"/>
      <c r="E72" s="26"/>
      <c r="F72" s="27"/>
      <c r="G72" s="28"/>
      <c r="H72" s="29"/>
      <c r="L72" s="3"/>
    </row>
    <row r="73" spans="2:16" ht="15.75" customHeight="1" x14ac:dyDescent="0.25">
      <c r="B73" s="25" t="s">
        <v>714</v>
      </c>
      <c r="C73" s="25" t="s">
        <v>715</v>
      </c>
      <c r="D73" s="25" t="s">
        <v>126</v>
      </c>
      <c r="E73" s="26">
        <v>10248</v>
      </c>
      <c r="F73" s="27">
        <v>3.11</v>
      </c>
      <c r="G73" s="28" t="s">
        <v>491</v>
      </c>
      <c r="H73" s="29">
        <v>7.5849E-2</v>
      </c>
      <c r="L73" s="3"/>
    </row>
    <row r="74" spans="2:16" ht="15.75" customHeight="1" x14ac:dyDescent="0.25">
      <c r="B74" s="24" t="s">
        <v>128</v>
      </c>
      <c r="C74" s="24"/>
      <c r="D74" s="24"/>
      <c r="E74" s="30"/>
      <c r="F74" s="31">
        <v>3.11</v>
      </c>
      <c r="G74" s="32" t="s">
        <v>491</v>
      </c>
      <c r="H74" s="33"/>
      <c r="L74" s="3"/>
    </row>
    <row r="75" spans="2:16" ht="15.75" customHeight="1" x14ac:dyDescent="0.25">
      <c r="B75" s="25"/>
      <c r="C75" s="25"/>
      <c r="D75" s="25"/>
      <c r="E75" s="26"/>
      <c r="F75" s="27"/>
      <c r="G75" s="28"/>
      <c r="H75" s="29"/>
      <c r="L75" s="5"/>
      <c r="M75" s="5"/>
      <c r="N75" s="6"/>
      <c r="O75" s="6"/>
      <c r="P75" s="5"/>
    </row>
    <row r="76" spans="2:16" ht="15.75" customHeight="1" x14ac:dyDescent="0.25">
      <c r="B76" s="24" t="s">
        <v>129</v>
      </c>
      <c r="C76" s="25"/>
      <c r="D76" s="25"/>
      <c r="E76" s="26"/>
      <c r="F76" s="27"/>
      <c r="G76" s="28"/>
      <c r="H76" s="29"/>
    </row>
    <row r="77" spans="2:16" ht="15.75" customHeight="1" x14ac:dyDescent="0.25">
      <c r="B77" s="24" t="s">
        <v>128</v>
      </c>
      <c r="C77" s="25"/>
      <c r="D77" s="25"/>
      <c r="E77" s="26"/>
      <c r="F77" s="34" t="s">
        <v>130</v>
      </c>
      <c r="G77" s="35" t="s">
        <v>130</v>
      </c>
      <c r="H77" s="29"/>
    </row>
    <row r="78" spans="2:16" ht="15.75" customHeight="1" x14ac:dyDescent="0.25">
      <c r="B78" s="25"/>
      <c r="C78" s="25"/>
      <c r="D78" s="25"/>
      <c r="E78" s="26"/>
      <c r="F78" s="27"/>
      <c r="G78" s="28"/>
      <c r="H78" s="29"/>
      <c r="L78" s="7"/>
      <c r="M78" s="7"/>
      <c r="N78" s="7"/>
      <c r="O78" s="7"/>
      <c r="P78" s="7"/>
    </row>
    <row r="79" spans="2:16" ht="15.75" customHeight="1" x14ac:dyDescent="0.25">
      <c r="B79" s="24" t="s">
        <v>131</v>
      </c>
      <c r="C79" s="25"/>
      <c r="D79" s="25"/>
      <c r="E79" s="26"/>
      <c r="F79" s="27"/>
      <c r="G79" s="28"/>
      <c r="H79" s="29"/>
      <c r="L79" s="7"/>
      <c r="M79" s="7"/>
      <c r="N79" s="7"/>
      <c r="O79" s="7"/>
      <c r="P79" s="7"/>
    </row>
    <row r="80" spans="2:16" ht="15.75" customHeight="1" x14ac:dyDescent="0.25">
      <c r="B80" s="24" t="s">
        <v>128</v>
      </c>
      <c r="C80" s="25"/>
      <c r="D80" s="25"/>
      <c r="E80" s="26"/>
      <c r="F80" s="34" t="s">
        <v>130</v>
      </c>
      <c r="G80" s="35" t="s">
        <v>130</v>
      </c>
      <c r="H80" s="29"/>
      <c r="L80" s="7"/>
      <c r="M80" s="7"/>
      <c r="N80" s="7"/>
      <c r="O80" s="7"/>
      <c r="P80" s="7"/>
    </row>
    <row r="81" spans="2:16" ht="15.75" customHeight="1" x14ac:dyDescent="0.25">
      <c r="B81" s="25"/>
      <c r="C81" s="25"/>
      <c r="D81" s="25"/>
      <c r="E81" s="26"/>
      <c r="F81" s="27"/>
      <c r="G81" s="28"/>
      <c r="H81" s="29"/>
      <c r="L81" s="7"/>
      <c r="M81" s="7"/>
      <c r="N81" s="7"/>
      <c r="O81" s="7"/>
      <c r="P81" s="7"/>
    </row>
    <row r="82" spans="2:16" ht="15.75" customHeight="1" x14ac:dyDescent="0.25">
      <c r="B82" s="36" t="s">
        <v>132</v>
      </c>
      <c r="C82" s="36"/>
      <c r="D82" s="36"/>
      <c r="E82" s="37"/>
      <c r="F82" s="31">
        <v>3.11</v>
      </c>
      <c r="G82" s="32" t="s">
        <v>491</v>
      </c>
      <c r="H82" s="33"/>
      <c r="L82" s="7"/>
      <c r="M82" s="7"/>
      <c r="N82" s="7"/>
      <c r="O82" s="7"/>
      <c r="P82" s="7"/>
    </row>
    <row r="83" spans="2:16" ht="15.75" customHeight="1" x14ac:dyDescent="0.25">
      <c r="B83" s="25"/>
      <c r="C83" s="25"/>
      <c r="D83" s="25"/>
      <c r="E83" s="26"/>
      <c r="F83" s="27"/>
      <c r="G83" s="28"/>
      <c r="H83" s="29"/>
      <c r="L83" s="7"/>
      <c r="M83" s="7"/>
      <c r="N83" s="7"/>
      <c r="O83" s="7"/>
      <c r="P83" s="7"/>
    </row>
    <row r="84" spans="2:16" ht="15.75" customHeight="1" x14ac:dyDescent="0.25">
      <c r="B84" s="25"/>
      <c r="C84" s="25"/>
      <c r="D84" s="25"/>
      <c r="E84" s="26"/>
      <c r="F84" s="27"/>
      <c r="G84" s="28"/>
      <c r="H84" s="29"/>
      <c r="L84" s="7"/>
      <c r="M84" s="7"/>
      <c r="N84" s="7"/>
      <c r="O84" s="7"/>
      <c r="P84" s="7"/>
    </row>
    <row r="85" spans="2:16" ht="15.75" customHeight="1" x14ac:dyDescent="0.25">
      <c r="B85" s="24" t="s">
        <v>135</v>
      </c>
      <c r="C85" s="25"/>
      <c r="D85" s="25"/>
      <c r="E85" s="26"/>
      <c r="F85" s="27"/>
      <c r="G85" s="28"/>
      <c r="H85" s="29"/>
    </row>
    <row r="86" spans="2:16" ht="15.75" customHeight="1" x14ac:dyDescent="0.25">
      <c r="B86" s="25" t="s">
        <v>136</v>
      </c>
      <c r="C86" s="25"/>
      <c r="D86" s="25"/>
      <c r="E86" s="26"/>
      <c r="F86" s="27">
        <v>5308.46</v>
      </c>
      <c r="G86" s="28">
        <v>5.4399999999999997E-2</v>
      </c>
      <c r="H86" s="29"/>
      <c r="L86" s="3"/>
    </row>
    <row r="87" spans="2:16" ht="15.75" customHeight="1" x14ac:dyDescent="0.25">
      <c r="B87" s="24" t="s">
        <v>128</v>
      </c>
      <c r="C87" s="24"/>
      <c r="D87" s="24"/>
      <c r="E87" s="30"/>
      <c r="F87" s="31">
        <v>5308.46</v>
      </c>
      <c r="G87" s="32">
        <v>5.4399999999999997E-2</v>
      </c>
      <c r="H87" s="33"/>
    </row>
    <row r="88" spans="2:16" ht="15.75" customHeight="1" x14ac:dyDescent="0.25">
      <c r="B88" s="25"/>
      <c r="C88" s="25"/>
      <c r="D88" s="25"/>
      <c r="E88" s="26"/>
      <c r="F88" s="27"/>
      <c r="G88" s="28"/>
      <c r="H88" s="29"/>
    </row>
    <row r="89" spans="2:16" ht="15.75" customHeight="1" x14ac:dyDescent="0.25">
      <c r="B89" s="36" t="s">
        <v>132</v>
      </c>
      <c r="C89" s="36"/>
      <c r="D89" s="36"/>
      <c r="E89" s="37"/>
      <c r="F89" s="31">
        <v>5308.46</v>
      </c>
      <c r="G89" s="32">
        <v>5.4399999999999997E-2</v>
      </c>
      <c r="H89" s="33"/>
    </row>
    <row r="90" spans="2:16" ht="15.75" customHeight="1" x14ac:dyDescent="0.25">
      <c r="B90" s="25" t="s">
        <v>137</v>
      </c>
      <c r="C90" s="25"/>
      <c r="D90" s="25"/>
      <c r="E90" s="26"/>
      <c r="F90" s="38">
        <v>-668.46</v>
      </c>
      <c r="G90" s="39">
        <v>-6.7999999999999172E-3</v>
      </c>
      <c r="H90" s="29"/>
    </row>
    <row r="91" spans="2:16" ht="15.75" customHeight="1" x14ac:dyDescent="0.25">
      <c r="B91" s="40" t="s">
        <v>138</v>
      </c>
      <c r="C91" s="40"/>
      <c r="D91" s="40"/>
      <c r="E91" s="41"/>
      <c r="F91" s="42">
        <v>97586.22</v>
      </c>
      <c r="G91" s="43">
        <v>1</v>
      </c>
      <c r="H91" s="44"/>
    </row>
    <row r="92" spans="2:16" ht="15.75" customHeight="1" x14ac:dyDescent="0.25">
      <c r="B92" s="2"/>
    </row>
    <row r="93" spans="2:16" ht="15.75" customHeight="1" x14ac:dyDescent="0.25">
      <c r="B93" s="12" t="s">
        <v>492</v>
      </c>
    </row>
    <row r="94" spans="2:16" ht="15.75" customHeight="1" x14ac:dyDescent="0.25">
      <c r="B94" s="12" t="s">
        <v>139</v>
      </c>
    </row>
    <row r="95" spans="2:16" ht="15.75" customHeight="1" thickBot="1" x14ac:dyDescent="0.3"/>
    <row r="96" spans="2:16" ht="27" customHeight="1" thickBot="1" x14ac:dyDescent="0.3">
      <c r="B96" s="57" t="s">
        <v>980</v>
      </c>
      <c r="C96" s="58" t="s">
        <v>981</v>
      </c>
      <c r="D96" s="58" t="s">
        <v>982</v>
      </c>
      <c r="E96" s="63" t="s">
        <v>983</v>
      </c>
      <c r="G96" s="2"/>
      <c r="H96" s="2"/>
    </row>
    <row r="97" spans="2:16" ht="23.25" customHeight="1" x14ac:dyDescent="0.25">
      <c r="B97" s="64" t="s">
        <v>75</v>
      </c>
      <c r="C97" s="82"/>
      <c r="D97" s="85" t="s">
        <v>1031</v>
      </c>
      <c r="E97" s="87"/>
      <c r="G97" s="2"/>
      <c r="H97" s="2"/>
    </row>
    <row r="98" spans="2:16" ht="40" customHeight="1" x14ac:dyDescent="0.25">
      <c r="B98" s="66" t="s">
        <v>1020</v>
      </c>
      <c r="C98" s="83"/>
      <c r="D98" s="86"/>
      <c r="E98" s="83"/>
      <c r="G98" s="2"/>
      <c r="H98" s="2"/>
    </row>
    <row r="99" spans="2:16" ht="40" customHeight="1" x14ac:dyDescent="0.25">
      <c r="B99" s="66" t="s">
        <v>1032</v>
      </c>
      <c r="C99" s="83"/>
      <c r="D99" s="86"/>
      <c r="E99" s="83"/>
      <c r="G99" s="2"/>
      <c r="H99" s="2"/>
    </row>
    <row r="100" spans="2:16" ht="27.75" customHeight="1" thickBot="1" x14ac:dyDescent="0.3">
      <c r="B100" s="68" t="s">
        <v>1006</v>
      </c>
      <c r="C100" s="84"/>
      <c r="D100" s="71" t="s">
        <v>1015</v>
      </c>
      <c r="E100" s="88"/>
      <c r="G100" s="2"/>
      <c r="H100" s="2"/>
    </row>
    <row r="101" spans="2:16" ht="25" customHeight="1" x14ac:dyDescent="0.25">
      <c r="B101" s="59" t="s">
        <v>985</v>
      </c>
      <c r="C101" s="60"/>
      <c r="D101" s="61"/>
      <c r="E101" s="62"/>
      <c r="G101" s="2"/>
      <c r="H101" s="2"/>
    </row>
    <row r="102" spans="2:16" ht="15.75" customHeight="1" x14ac:dyDescent="0.25">
      <c r="L102" s="7"/>
      <c r="M102" s="7"/>
      <c r="N102" s="7"/>
      <c r="O102" s="7"/>
      <c r="P102" s="7"/>
    </row>
    <row r="103" spans="2:16" ht="11.5" x14ac:dyDescent="0.25">
      <c r="B103" s="2" t="s">
        <v>986</v>
      </c>
      <c r="C103" s="2"/>
      <c r="D103" s="2"/>
      <c r="G103" s="2"/>
      <c r="H103" s="2"/>
    </row>
    <row r="104" spans="2:16" ht="11.5" x14ac:dyDescent="0.25">
      <c r="B104" s="3" t="s">
        <v>987</v>
      </c>
      <c r="C104" s="2"/>
      <c r="D104" s="2"/>
      <c r="G104" s="2"/>
      <c r="H104" s="2"/>
    </row>
  </sheetData>
  <mergeCells count="3">
    <mergeCell ref="C97:C100"/>
    <mergeCell ref="D97:D99"/>
    <mergeCell ref="E97:E100"/>
  </mergeCells>
  <hyperlinks>
    <hyperlink ref="I1" location="'Sheet1'!A1" display="Index" xr:uid="{CC8F2221-4C66-45A5-95AA-A236AC58613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57C6F-6558-4695-AE18-DBE49B7F50FD}">
  <dimension ref="B1:P93"/>
  <sheetViews>
    <sheetView workbookViewId="0"/>
  </sheetViews>
  <sheetFormatPr defaultColWidth="9.1796875" defaultRowHeight="15.75" customHeight="1" x14ac:dyDescent="0.25"/>
  <cols>
    <col min="1" max="1" width="3.6328125" style="2" customWidth="1"/>
    <col min="2" max="2" width="50.453125" style="9" customWidth="1"/>
    <col min="3" max="3" width="26.36328125" style="9" customWidth="1"/>
    <col min="4" max="4" width="26.6328125" style="9" customWidth="1"/>
    <col min="5" max="5" width="28.36328125" style="2" customWidth="1"/>
    <col min="6" max="6" width="16.453125" style="2" customWidth="1"/>
    <col min="7" max="7" width="15.26953125" style="8" customWidth="1"/>
    <col min="8" max="8" width="4.906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19</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393</v>
      </c>
      <c r="C7" s="25" t="s">
        <v>394</v>
      </c>
      <c r="D7" s="25" t="s">
        <v>343</v>
      </c>
      <c r="E7" s="26">
        <v>59819</v>
      </c>
      <c r="F7" s="27">
        <v>1069.77</v>
      </c>
      <c r="G7" s="28">
        <v>4.7899999999999998E-2</v>
      </c>
      <c r="H7" s="29"/>
    </row>
    <row r="8" spans="2:9" ht="15.75" customHeight="1" x14ac:dyDescent="0.25">
      <c r="B8" s="25" t="s">
        <v>716</v>
      </c>
      <c r="C8" s="25" t="s">
        <v>717</v>
      </c>
      <c r="D8" s="25" t="s">
        <v>343</v>
      </c>
      <c r="E8" s="26">
        <v>86263</v>
      </c>
      <c r="F8" s="27">
        <v>881.91</v>
      </c>
      <c r="G8" s="28">
        <v>3.95E-2</v>
      </c>
      <c r="H8" s="29"/>
    </row>
    <row r="9" spans="2:9" ht="15.75" customHeight="1" x14ac:dyDescent="0.25">
      <c r="B9" s="25" t="s">
        <v>718</v>
      </c>
      <c r="C9" s="25" t="s">
        <v>719</v>
      </c>
      <c r="D9" s="25" t="s">
        <v>515</v>
      </c>
      <c r="E9" s="26">
        <v>26037</v>
      </c>
      <c r="F9" s="27">
        <v>726.47</v>
      </c>
      <c r="G9" s="28">
        <v>3.2599999999999997E-2</v>
      </c>
      <c r="H9" s="29"/>
    </row>
    <row r="10" spans="2:9" ht="15.75" customHeight="1" x14ac:dyDescent="0.25">
      <c r="B10" s="25" t="s">
        <v>443</v>
      </c>
      <c r="C10" s="25" t="s">
        <v>444</v>
      </c>
      <c r="D10" s="25" t="s">
        <v>343</v>
      </c>
      <c r="E10" s="26">
        <v>17539</v>
      </c>
      <c r="F10" s="27">
        <v>700.79</v>
      </c>
      <c r="G10" s="28">
        <v>3.1399999999999997E-2</v>
      </c>
      <c r="H10" s="29"/>
    </row>
    <row r="11" spans="2:9" ht="15.75" customHeight="1" x14ac:dyDescent="0.25">
      <c r="B11" s="25" t="s">
        <v>554</v>
      </c>
      <c r="C11" s="25" t="s">
        <v>555</v>
      </c>
      <c r="D11" s="25" t="s">
        <v>350</v>
      </c>
      <c r="E11" s="26">
        <v>26305</v>
      </c>
      <c r="F11" s="27">
        <v>660.48</v>
      </c>
      <c r="G11" s="28">
        <v>2.9600000000000001E-2</v>
      </c>
      <c r="H11" s="29"/>
    </row>
    <row r="12" spans="2:9" ht="15.75" customHeight="1" x14ac:dyDescent="0.25">
      <c r="B12" s="25" t="s">
        <v>720</v>
      </c>
      <c r="C12" s="25" t="s">
        <v>721</v>
      </c>
      <c r="D12" s="25" t="s">
        <v>442</v>
      </c>
      <c r="E12" s="26">
        <v>42799</v>
      </c>
      <c r="F12" s="27">
        <v>640.34</v>
      </c>
      <c r="G12" s="28">
        <v>2.87E-2</v>
      </c>
      <c r="H12" s="29"/>
    </row>
    <row r="13" spans="2:9" ht="15.75" customHeight="1" x14ac:dyDescent="0.25">
      <c r="B13" s="25" t="s">
        <v>341</v>
      </c>
      <c r="C13" s="25" t="s">
        <v>342</v>
      </c>
      <c r="D13" s="25" t="s">
        <v>343</v>
      </c>
      <c r="E13" s="26">
        <v>32064</v>
      </c>
      <c r="F13" s="27">
        <v>635.29999999999995</v>
      </c>
      <c r="G13" s="28">
        <v>2.8500000000000001E-2</v>
      </c>
      <c r="H13" s="29"/>
    </row>
    <row r="14" spans="2:9" ht="15.75" customHeight="1" x14ac:dyDescent="0.25">
      <c r="B14" s="25" t="s">
        <v>348</v>
      </c>
      <c r="C14" s="25" t="s">
        <v>349</v>
      </c>
      <c r="D14" s="25" t="s">
        <v>350</v>
      </c>
      <c r="E14" s="26">
        <v>342201</v>
      </c>
      <c r="F14" s="27">
        <v>623.66</v>
      </c>
      <c r="G14" s="28">
        <v>2.7900000000000001E-2</v>
      </c>
      <c r="H14" s="29"/>
    </row>
    <row r="15" spans="2:9" ht="15.75" customHeight="1" x14ac:dyDescent="0.25">
      <c r="B15" s="25" t="s">
        <v>576</v>
      </c>
      <c r="C15" s="25" t="s">
        <v>577</v>
      </c>
      <c r="D15" s="25" t="s">
        <v>431</v>
      </c>
      <c r="E15" s="26">
        <v>17360</v>
      </c>
      <c r="F15" s="27">
        <v>563.24</v>
      </c>
      <c r="G15" s="28">
        <v>2.52E-2</v>
      </c>
      <c r="H15" s="29"/>
    </row>
    <row r="16" spans="2:9" ht="15.75" customHeight="1" x14ac:dyDescent="0.25">
      <c r="B16" s="25" t="s">
        <v>722</v>
      </c>
      <c r="C16" s="25" t="s">
        <v>723</v>
      </c>
      <c r="D16" s="25" t="s">
        <v>315</v>
      </c>
      <c r="E16" s="26">
        <v>355972</v>
      </c>
      <c r="F16" s="27">
        <v>543.92999999999995</v>
      </c>
      <c r="G16" s="28">
        <v>2.4400000000000002E-2</v>
      </c>
      <c r="H16" s="29"/>
    </row>
    <row r="17" spans="2:8" ht="15.75" customHeight="1" x14ac:dyDescent="0.25">
      <c r="B17" s="25" t="s">
        <v>724</v>
      </c>
      <c r="C17" s="25" t="s">
        <v>725</v>
      </c>
      <c r="D17" s="25" t="s">
        <v>343</v>
      </c>
      <c r="E17" s="26">
        <v>11106</v>
      </c>
      <c r="F17" s="27">
        <v>501.1</v>
      </c>
      <c r="G17" s="28">
        <v>2.2499999999999999E-2</v>
      </c>
      <c r="H17" s="29"/>
    </row>
    <row r="18" spans="2:8" ht="15.75" customHeight="1" x14ac:dyDescent="0.25">
      <c r="B18" s="25" t="s">
        <v>568</v>
      </c>
      <c r="C18" s="25" t="s">
        <v>569</v>
      </c>
      <c r="D18" s="25" t="s">
        <v>260</v>
      </c>
      <c r="E18" s="26">
        <v>66784</v>
      </c>
      <c r="F18" s="27">
        <v>493.93</v>
      </c>
      <c r="G18" s="28">
        <v>2.2100000000000002E-2</v>
      </c>
      <c r="H18" s="29"/>
    </row>
    <row r="19" spans="2:8" ht="15.75" customHeight="1" x14ac:dyDescent="0.25">
      <c r="B19" s="25" t="s">
        <v>447</v>
      </c>
      <c r="C19" s="25" t="s">
        <v>448</v>
      </c>
      <c r="D19" s="25" t="s">
        <v>431</v>
      </c>
      <c r="E19" s="26">
        <v>138653</v>
      </c>
      <c r="F19" s="27">
        <v>465.11</v>
      </c>
      <c r="G19" s="28">
        <v>2.0799999999999999E-2</v>
      </c>
      <c r="H19" s="29"/>
    </row>
    <row r="20" spans="2:8" ht="15.75" customHeight="1" x14ac:dyDescent="0.25">
      <c r="B20" s="25" t="s">
        <v>726</v>
      </c>
      <c r="C20" s="25" t="s">
        <v>727</v>
      </c>
      <c r="D20" s="25" t="s">
        <v>343</v>
      </c>
      <c r="E20" s="26">
        <v>68649</v>
      </c>
      <c r="F20" s="27">
        <v>446.87</v>
      </c>
      <c r="G20" s="28">
        <v>0.02</v>
      </c>
      <c r="H20" s="29"/>
    </row>
    <row r="21" spans="2:8" ht="15.75" customHeight="1" x14ac:dyDescent="0.25">
      <c r="B21" s="25" t="s">
        <v>613</v>
      </c>
      <c r="C21" s="25" t="s">
        <v>614</v>
      </c>
      <c r="D21" s="25" t="s">
        <v>361</v>
      </c>
      <c r="E21" s="26">
        <v>30795</v>
      </c>
      <c r="F21" s="27">
        <v>445.05</v>
      </c>
      <c r="G21" s="28">
        <v>1.9900000000000001E-2</v>
      </c>
      <c r="H21" s="29"/>
    </row>
    <row r="22" spans="2:8" ht="15.75" customHeight="1" x14ac:dyDescent="0.25">
      <c r="B22" s="25" t="s">
        <v>728</v>
      </c>
      <c r="C22" s="25" t="s">
        <v>729</v>
      </c>
      <c r="D22" s="25" t="s">
        <v>431</v>
      </c>
      <c r="E22" s="26">
        <v>84788</v>
      </c>
      <c r="F22" s="27">
        <v>438.65</v>
      </c>
      <c r="G22" s="28">
        <v>1.9699999999999999E-2</v>
      </c>
      <c r="H22" s="29"/>
    </row>
    <row r="23" spans="2:8" ht="15.75" customHeight="1" x14ac:dyDescent="0.25">
      <c r="B23" s="25" t="s">
        <v>730</v>
      </c>
      <c r="C23" s="25" t="s">
        <v>731</v>
      </c>
      <c r="D23" s="25" t="s">
        <v>343</v>
      </c>
      <c r="E23" s="26">
        <v>133834</v>
      </c>
      <c r="F23" s="27">
        <v>413.75</v>
      </c>
      <c r="G23" s="28">
        <v>1.8499999999999999E-2</v>
      </c>
      <c r="H23" s="29"/>
    </row>
    <row r="24" spans="2:8" ht="15.75" customHeight="1" x14ac:dyDescent="0.25">
      <c r="B24" s="25" t="s">
        <v>372</v>
      </c>
      <c r="C24" s="25" t="s">
        <v>373</v>
      </c>
      <c r="D24" s="25" t="s">
        <v>214</v>
      </c>
      <c r="E24" s="26">
        <v>272608</v>
      </c>
      <c r="F24" s="27">
        <v>391.6</v>
      </c>
      <c r="G24" s="28">
        <v>1.7500000000000002E-2</v>
      </c>
      <c r="H24" s="29"/>
    </row>
    <row r="25" spans="2:8" ht="15.75" customHeight="1" x14ac:dyDescent="0.25">
      <c r="B25" s="25" t="s">
        <v>495</v>
      </c>
      <c r="C25" s="25" t="s">
        <v>496</v>
      </c>
      <c r="D25" s="25" t="s">
        <v>156</v>
      </c>
      <c r="E25" s="26">
        <v>265050</v>
      </c>
      <c r="F25" s="27">
        <v>370.27</v>
      </c>
      <c r="G25" s="28">
        <v>1.66E-2</v>
      </c>
      <c r="H25" s="29"/>
    </row>
    <row r="26" spans="2:8" ht="15.75" customHeight="1" x14ac:dyDescent="0.25">
      <c r="B26" s="25" t="s">
        <v>640</v>
      </c>
      <c r="C26" s="25" t="s">
        <v>641</v>
      </c>
      <c r="D26" s="25" t="s">
        <v>639</v>
      </c>
      <c r="E26" s="26">
        <v>57833</v>
      </c>
      <c r="F26" s="27">
        <v>358.8</v>
      </c>
      <c r="G26" s="28">
        <v>1.61E-2</v>
      </c>
      <c r="H26" s="29"/>
    </row>
    <row r="27" spans="2:8" ht="15.75" customHeight="1" x14ac:dyDescent="0.25">
      <c r="B27" s="25" t="s">
        <v>732</v>
      </c>
      <c r="C27" s="25" t="s">
        <v>733</v>
      </c>
      <c r="D27" s="25" t="s">
        <v>431</v>
      </c>
      <c r="E27" s="26">
        <v>3725</v>
      </c>
      <c r="F27" s="27">
        <v>356.81</v>
      </c>
      <c r="G27" s="28">
        <v>1.6E-2</v>
      </c>
      <c r="H27" s="29"/>
    </row>
    <row r="28" spans="2:8" ht="15.75" customHeight="1" x14ac:dyDescent="0.25">
      <c r="B28" s="25" t="s">
        <v>734</v>
      </c>
      <c r="C28" s="25" t="s">
        <v>735</v>
      </c>
      <c r="D28" s="25" t="s">
        <v>551</v>
      </c>
      <c r="E28" s="26">
        <v>53646</v>
      </c>
      <c r="F28" s="27">
        <v>331.8</v>
      </c>
      <c r="G28" s="28">
        <v>1.49E-2</v>
      </c>
      <c r="H28" s="29"/>
    </row>
    <row r="29" spans="2:8" ht="15.75" customHeight="1" x14ac:dyDescent="0.25">
      <c r="B29" s="25" t="s">
        <v>530</v>
      </c>
      <c r="C29" s="25" t="s">
        <v>531</v>
      </c>
      <c r="D29" s="25" t="s">
        <v>303</v>
      </c>
      <c r="E29" s="26">
        <v>202782</v>
      </c>
      <c r="F29" s="27">
        <v>314.20999999999998</v>
      </c>
      <c r="G29" s="28">
        <v>1.41E-2</v>
      </c>
      <c r="H29" s="29"/>
    </row>
    <row r="30" spans="2:8" ht="15.75" customHeight="1" x14ac:dyDescent="0.25">
      <c r="B30" s="25" t="s">
        <v>736</v>
      </c>
      <c r="C30" s="25" t="s">
        <v>737</v>
      </c>
      <c r="D30" s="25" t="s">
        <v>343</v>
      </c>
      <c r="E30" s="26">
        <v>9913</v>
      </c>
      <c r="F30" s="27">
        <v>313.22000000000003</v>
      </c>
      <c r="G30" s="28">
        <v>1.4E-2</v>
      </c>
      <c r="H30" s="29"/>
    </row>
    <row r="31" spans="2:8" ht="15.75" customHeight="1" x14ac:dyDescent="0.25">
      <c r="B31" s="25" t="s">
        <v>574</v>
      </c>
      <c r="C31" s="25" t="s">
        <v>575</v>
      </c>
      <c r="D31" s="25" t="s">
        <v>214</v>
      </c>
      <c r="E31" s="26">
        <v>3653</v>
      </c>
      <c r="F31" s="27">
        <v>304.13</v>
      </c>
      <c r="G31" s="28">
        <v>1.3599999999999999E-2</v>
      </c>
      <c r="H31" s="29"/>
    </row>
    <row r="32" spans="2:8" ht="15.75" customHeight="1" x14ac:dyDescent="0.25">
      <c r="B32" s="25" t="s">
        <v>570</v>
      </c>
      <c r="C32" s="25" t="s">
        <v>571</v>
      </c>
      <c r="D32" s="25" t="s">
        <v>263</v>
      </c>
      <c r="E32" s="26">
        <v>44776</v>
      </c>
      <c r="F32" s="27">
        <v>302.27999999999997</v>
      </c>
      <c r="G32" s="28">
        <v>1.35E-2</v>
      </c>
      <c r="H32" s="29"/>
    </row>
    <row r="33" spans="2:8" ht="15.75" customHeight="1" x14ac:dyDescent="0.25">
      <c r="B33" s="25" t="s">
        <v>738</v>
      </c>
      <c r="C33" s="25" t="s">
        <v>739</v>
      </c>
      <c r="D33" s="25" t="s">
        <v>159</v>
      </c>
      <c r="E33" s="26">
        <v>44653</v>
      </c>
      <c r="F33" s="27">
        <v>290.29000000000002</v>
      </c>
      <c r="G33" s="28">
        <v>1.2999999999999999E-2</v>
      </c>
      <c r="H33" s="29"/>
    </row>
    <row r="34" spans="2:8" ht="15.75" customHeight="1" x14ac:dyDescent="0.25">
      <c r="B34" s="25" t="s">
        <v>740</v>
      </c>
      <c r="C34" s="25" t="s">
        <v>741</v>
      </c>
      <c r="D34" s="25" t="s">
        <v>343</v>
      </c>
      <c r="E34" s="26">
        <v>13639</v>
      </c>
      <c r="F34" s="27">
        <v>290.05</v>
      </c>
      <c r="G34" s="28">
        <v>1.2999999999999999E-2</v>
      </c>
      <c r="H34" s="29"/>
    </row>
    <row r="35" spans="2:8" ht="15.75" customHeight="1" x14ac:dyDescent="0.25">
      <c r="B35" s="25" t="s">
        <v>586</v>
      </c>
      <c r="C35" s="25" t="s">
        <v>587</v>
      </c>
      <c r="D35" s="25" t="s">
        <v>401</v>
      </c>
      <c r="E35" s="26">
        <v>20067</v>
      </c>
      <c r="F35" s="27">
        <v>289.67</v>
      </c>
      <c r="G35" s="28">
        <v>1.2999999999999999E-2</v>
      </c>
      <c r="H35" s="29"/>
    </row>
    <row r="36" spans="2:8" ht="15.75" customHeight="1" x14ac:dyDescent="0.25">
      <c r="B36" s="25" t="s">
        <v>537</v>
      </c>
      <c r="C36" s="25" t="s">
        <v>538</v>
      </c>
      <c r="D36" s="25" t="s">
        <v>426</v>
      </c>
      <c r="E36" s="26">
        <v>57231</v>
      </c>
      <c r="F36" s="27">
        <v>274.70999999999998</v>
      </c>
      <c r="G36" s="28">
        <v>1.23E-2</v>
      </c>
      <c r="H36" s="29"/>
    </row>
    <row r="37" spans="2:8" ht="15.75" customHeight="1" x14ac:dyDescent="0.25">
      <c r="B37" s="25" t="s">
        <v>742</v>
      </c>
      <c r="C37" s="25" t="s">
        <v>743</v>
      </c>
      <c r="D37" s="25" t="s">
        <v>442</v>
      </c>
      <c r="E37" s="26">
        <v>28816</v>
      </c>
      <c r="F37" s="27">
        <v>272.27999999999997</v>
      </c>
      <c r="G37" s="28">
        <v>1.2200000000000001E-2</v>
      </c>
      <c r="H37" s="29"/>
    </row>
    <row r="38" spans="2:8" ht="15.75" customHeight="1" x14ac:dyDescent="0.25">
      <c r="B38" s="25" t="s">
        <v>399</v>
      </c>
      <c r="C38" s="25" t="s">
        <v>400</v>
      </c>
      <c r="D38" s="25" t="s">
        <v>401</v>
      </c>
      <c r="E38" s="26">
        <v>90913</v>
      </c>
      <c r="F38" s="27">
        <v>269.10000000000002</v>
      </c>
      <c r="G38" s="28">
        <v>1.21E-2</v>
      </c>
      <c r="H38" s="29"/>
    </row>
    <row r="39" spans="2:8" ht="15.75" customHeight="1" x14ac:dyDescent="0.25">
      <c r="B39" s="25" t="s">
        <v>438</v>
      </c>
      <c r="C39" s="25" t="s">
        <v>439</v>
      </c>
      <c r="D39" s="25" t="s">
        <v>156</v>
      </c>
      <c r="E39" s="26">
        <v>276121</v>
      </c>
      <c r="F39" s="27">
        <v>267.98</v>
      </c>
      <c r="G39" s="28">
        <v>1.2E-2</v>
      </c>
      <c r="H39" s="29"/>
    </row>
    <row r="40" spans="2:8" ht="15.75" customHeight="1" x14ac:dyDescent="0.25">
      <c r="B40" s="25" t="s">
        <v>744</v>
      </c>
      <c r="C40" s="25" t="s">
        <v>745</v>
      </c>
      <c r="D40" s="25" t="s">
        <v>442</v>
      </c>
      <c r="E40" s="26">
        <v>28173</v>
      </c>
      <c r="F40" s="27">
        <v>266.87</v>
      </c>
      <c r="G40" s="28">
        <v>1.2E-2</v>
      </c>
      <c r="H40" s="29"/>
    </row>
    <row r="41" spans="2:8" ht="15.75" customHeight="1" x14ac:dyDescent="0.25">
      <c r="B41" s="25" t="s">
        <v>746</v>
      </c>
      <c r="C41" s="25" t="s">
        <v>747</v>
      </c>
      <c r="D41" s="25" t="s">
        <v>263</v>
      </c>
      <c r="E41" s="26">
        <v>25311</v>
      </c>
      <c r="F41" s="27">
        <v>256.83999999999997</v>
      </c>
      <c r="G41" s="28">
        <v>1.15E-2</v>
      </c>
      <c r="H41" s="29"/>
    </row>
    <row r="42" spans="2:8" ht="15.75" customHeight="1" x14ac:dyDescent="0.25">
      <c r="B42" s="25" t="s">
        <v>700</v>
      </c>
      <c r="C42" s="25" t="s">
        <v>701</v>
      </c>
      <c r="D42" s="25" t="s">
        <v>343</v>
      </c>
      <c r="E42" s="26">
        <v>17210</v>
      </c>
      <c r="F42" s="27">
        <v>255.9</v>
      </c>
      <c r="G42" s="28">
        <v>1.15E-2</v>
      </c>
      <c r="H42" s="29"/>
    </row>
    <row r="43" spans="2:8" ht="15.75" customHeight="1" x14ac:dyDescent="0.25">
      <c r="B43" s="25" t="s">
        <v>466</v>
      </c>
      <c r="C43" s="25" t="s">
        <v>467</v>
      </c>
      <c r="D43" s="25" t="s">
        <v>170</v>
      </c>
      <c r="E43" s="26">
        <v>47692</v>
      </c>
      <c r="F43" s="27">
        <v>254.13</v>
      </c>
      <c r="G43" s="28">
        <v>1.14E-2</v>
      </c>
      <c r="H43" s="29"/>
    </row>
    <row r="44" spans="2:8" ht="15.75" customHeight="1" x14ac:dyDescent="0.25">
      <c r="B44" s="25" t="s">
        <v>397</v>
      </c>
      <c r="C44" s="25" t="s">
        <v>398</v>
      </c>
      <c r="D44" s="25" t="s">
        <v>159</v>
      </c>
      <c r="E44" s="26">
        <v>36530</v>
      </c>
      <c r="F44" s="27">
        <v>252.48</v>
      </c>
      <c r="G44" s="28">
        <v>1.1299999999999999E-2</v>
      </c>
      <c r="H44" s="29"/>
    </row>
    <row r="45" spans="2:8" ht="15.75" customHeight="1" x14ac:dyDescent="0.25">
      <c r="B45" s="25" t="s">
        <v>748</v>
      </c>
      <c r="C45" s="25" t="s">
        <v>749</v>
      </c>
      <c r="D45" s="25" t="s">
        <v>263</v>
      </c>
      <c r="E45" s="26">
        <v>55834</v>
      </c>
      <c r="F45" s="27">
        <v>250.44</v>
      </c>
      <c r="G45" s="28">
        <v>1.12E-2</v>
      </c>
      <c r="H45" s="29"/>
    </row>
    <row r="46" spans="2:8" ht="15.75" customHeight="1" x14ac:dyDescent="0.25">
      <c r="B46" s="25" t="s">
        <v>541</v>
      </c>
      <c r="C46" s="25" t="s">
        <v>542</v>
      </c>
      <c r="D46" s="25" t="s">
        <v>296</v>
      </c>
      <c r="E46" s="26">
        <v>29452</v>
      </c>
      <c r="F46" s="27">
        <v>245.29</v>
      </c>
      <c r="G46" s="28">
        <v>1.0999999999999999E-2</v>
      </c>
      <c r="H46" s="29"/>
    </row>
    <row r="47" spans="2:8" ht="15.75" customHeight="1" x14ac:dyDescent="0.25">
      <c r="B47" s="25" t="s">
        <v>750</v>
      </c>
      <c r="C47" s="25" t="s">
        <v>751</v>
      </c>
      <c r="D47" s="25" t="s">
        <v>343</v>
      </c>
      <c r="E47" s="26">
        <v>7325</v>
      </c>
      <c r="F47" s="27">
        <v>244.69</v>
      </c>
      <c r="G47" s="28">
        <v>1.0999999999999999E-2</v>
      </c>
      <c r="H47" s="29"/>
    </row>
    <row r="48" spans="2:8" ht="15.75" customHeight="1" x14ac:dyDescent="0.25">
      <c r="B48" s="25" t="s">
        <v>752</v>
      </c>
      <c r="C48" s="25" t="s">
        <v>753</v>
      </c>
      <c r="D48" s="25" t="s">
        <v>260</v>
      </c>
      <c r="E48" s="26">
        <v>7112</v>
      </c>
      <c r="F48" s="27">
        <v>243.18</v>
      </c>
      <c r="G48" s="28">
        <v>1.09E-2</v>
      </c>
      <c r="H48" s="29"/>
    </row>
    <row r="49" spans="2:8" ht="15.75" customHeight="1" x14ac:dyDescent="0.25">
      <c r="B49" s="25" t="s">
        <v>429</v>
      </c>
      <c r="C49" s="25" t="s">
        <v>430</v>
      </c>
      <c r="D49" s="25" t="s">
        <v>431</v>
      </c>
      <c r="E49" s="26">
        <v>20270</v>
      </c>
      <c r="F49" s="27">
        <v>231.73</v>
      </c>
      <c r="G49" s="28">
        <v>1.04E-2</v>
      </c>
      <c r="H49" s="29"/>
    </row>
    <row r="50" spans="2:8" ht="15.75" customHeight="1" x14ac:dyDescent="0.25">
      <c r="B50" s="25" t="s">
        <v>460</v>
      </c>
      <c r="C50" s="25" t="s">
        <v>461</v>
      </c>
      <c r="D50" s="25" t="s">
        <v>442</v>
      </c>
      <c r="E50" s="26">
        <v>71887</v>
      </c>
      <c r="F50" s="27">
        <v>228.89</v>
      </c>
      <c r="G50" s="28">
        <v>1.03E-2</v>
      </c>
      <c r="H50" s="29"/>
    </row>
    <row r="51" spans="2:8" ht="15.75" customHeight="1" x14ac:dyDescent="0.25">
      <c r="B51" s="25" t="s">
        <v>754</v>
      </c>
      <c r="C51" s="25" t="s">
        <v>755</v>
      </c>
      <c r="D51" s="25" t="s">
        <v>442</v>
      </c>
      <c r="E51" s="26">
        <v>35250</v>
      </c>
      <c r="F51" s="27">
        <v>224.67</v>
      </c>
      <c r="G51" s="28">
        <v>1.01E-2</v>
      </c>
      <c r="H51" s="29"/>
    </row>
    <row r="52" spans="2:8" ht="15.75" customHeight="1" x14ac:dyDescent="0.25">
      <c r="B52" s="25" t="s">
        <v>599</v>
      </c>
      <c r="C52" s="25" t="s">
        <v>600</v>
      </c>
      <c r="D52" s="25" t="s">
        <v>361</v>
      </c>
      <c r="E52" s="26">
        <v>122701</v>
      </c>
      <c r="F52" s="27">
        <v>223.81</v>
      </c>
      <c r="G52" s="28">
        <v>0.01</v>
      </c>
      <c r="H52" s="29"/>
    </row>
    <row r="53" spans="2:8" ht="15.75" customHeight="1" x14ac:dyDescent="0.25">
      <c r="B53" s="25" t="s">
        <v>660</v>
      </c>
      <c r="C53" s="25" t="s">
        <v>661</v>
      </c>
      <c r="D53" s="25" t="s">
        <v>457</v>
      </c>
      <c r="E53" s="26">
        <v>19781</v>
      </c>
      <c r="F53" s="27">
        <v>221.55</v>
      </c>
      <c r="G53" s="28">
        <v>9.9000000000000008E-3</v>
      </c>
      <c r="H53" s="29"/>
    </row>
    <row r="54" spans="2:8" ht="15.75" customHeight="1" x14ac:dyDescent="0.25">
      <c r="B54" s="25" t="s">
        <v>756</v>
      </c>
      <c r="C54" s="25" t="s">
        <v>757</v>
      </c>
      <c r="D54" s="25" t="s">
        <v>343</v>
      </c>
      <c r="E54" s="26">
        <v>21048</v>
      </c>
      <c r="F54" s="27">
        <v>220.14</v>
      </c>
      <c r="G54" s="28">
        <v>9.9000000000000008E-3</v>
      </c>
      <c r="H54" s="29"/>
    </row>
    <row r="55" spans="2:8" ht="15.75" customHeight="1" x14ac:dyDescent="0.25">
      <c r="B55" s="25" t="s">
        <v>432</v>
      </c>
      <c r="C55" s="25" t="s">
        <v>433</v>
      </c>
      <c r="D55" s="25" t="s">
        <v>431</v>
      </c>
      <c r="E55" s="26">
        <v>16394</v>
      </c>
      <c r="F55" s="27">
        <v>218.02</v>
      </c>
      <c r="G55" s="28">
        <v>9.7999999999999997E-3</v>
      </c>
      <c r="H55" s="29"/>
    </row>
    <row r="56" spans="2:8" ht="15.75" customHeight="1" x14ac:dyDescent="0.25">
      <c r="B56" s="25" t="s">
        <v>668</v>
      </c>
      <c r="C56" s="25" t="s">
        <v>669</v>
      </c>
      <c r="D56" s="25" t="s">
        <v>442</v>
      </c>
      <c r="E56" s="26">
        <v>86192</v>
      </c>
      <c r="F56" s="27">
        <v>213.2</v>
      </c>
      <c r="G56" s="28">
        <v>9.5999999999999992E-3</v>
      </c>
      <c r="H56" s="29"/>
    </row>
    <row r="57" spans="2:8" ht="15.75" customHeight="1" x14ac:dyDescent="0.25">
      <c r="B57" s="25" t="s">
        <v>758</v>
      </c>
      <c r="C57" s="25" t="s">
        <v>759</v>
      </c>
      <c r="D57" s="25" t="s">
        <v>760</v>
      </c>
      <c r="E57" s="26">
        <v>48029</v>
      </c>
      <c r="F57" s="27">
        <v>206.86</v>
      </c>
      <c r="G57" s="28">
        <v>9.2999999999999992E-3</v>
      </c>
      <c r="H57" s="29"/>
    </row>
    <row r="58" spans="2:8" ht="15.75" customHeight="1" x14ac:dyDescent="0.25">
      <c r="B58" s="25" t="s">
        <v>761</v>
      </c>
      <c r="C58" s="25" t="s">
        <v>762</v>
      </c>
      <c r="D58" s="25" t="s">
        <v>260</v>
      </c>
      <c r="E58" s="26">
        <v>7678</v>
      </c>
      <c r="F58" s="27">
        <v>198.58</v>
      </c>
      <c r="G58" s="28">
        <v>8.8999999999999999E-3</v>
      </c>
      <c r="H58" s="29"/>
    </row>
    <row r="59" spans="2:8" ht="15.75" customHeight="1" x14ac:dyDescent="0.25">
      <c r="B59" s="25" t="s">
        <v>338</v>
      </c>
      <c r="C59" s="25" t="s">
        <v>339</v>
      </c>
      <c r="D59" s="25" t="s">
        <v>340</v>
      </c>
      <c r="E59" s="26">
        <v>69450</v>
      </c>
      <c r="F59" s="27">
        <v>193.63</v>
      </c>
      <c r="G59" s="28">
        <v>8.6999999999999994E-3</v>
      </c>
      <c r="H59" s="29"/>
    </row>
    <row r="60" spans="2:8" ht="15.75" customHeight="1" x14ac:dyDescent="0.25">
      <c r="B60" s="25" t="s">
        <v>763</v>
      </c>
      <c r="C60" s="25" t="s">
        <v>764</v>
      </c>
      <c r="D60" s="25" t="s">
        <v>401</v>
      </c>
      <c r="E60" s="26">
        <v>35122</v>
      </c>
      <c r="F60" s="27">
        <v>188.29</v>
      </c>
      <c r="G60" s="28">
        <v>8.3999999999999995E-3</v>
      </c>
      <c r="H60" s="29"/>
    </row>
    <row r="61" spans="2:8" ht="15.75" customHeight="1" x14ac:dyDescent="0.25">
      <c r="B61" s="25" t="s">
        <v>593</v>
      </c>
      <c r="C61" s="25" t="s">
        <v>594</v>
      </c>
      <c r="D61" s="25" t="s">
        <v>281</v>
      </c>
      <c r="E61" s="26">
        <v>118756</v>
      </c>
      <c r="F61" s="27">
        <v>174.99</v>
      </c>
      <c r="G61" s="28">
        <v>7.7999999999999996E-3</v>
      </c>
      <c r="H61" s="29"/>
    </row>
    <row r="62" spans="2:8" ht="15.75" customHeight="1" x14ac:dyDescent="0.25">
      <c r="B62" s="25" t="s">
        <v>765</v>
      </c>
      <c r="C62" s="25" t="s">
        <v>766</v>
      </c>
      <c r="D62" s="25" t="s">
        <v>244</v>
      </c>
      <c r="E62" s="26">
        <v>11370</v>
      </c>
      <c r="F62" s="27">
        <v>163.97</v>
      </c>
      <c r="G62" s="28">
        <v>7.3000000000000001E-3</v>
      </c>
      <c r="H62" s="29"/>
    </row>
    <row r="63" spans="2:8" ht="15.75" customHeight="1" x14ac:dyDescent="0.25">
      <c r="B63" s="25" t="s">
        <v>767</v>
      </c>
      <c r="C63" s="25" t="s">
        <v>768</v>
      </c>
      <c r="D63" s="25" t="s">
        <v>536</v>
      </c>
      <c r="E63" s="26">
        <v>50721</v>
      </c>
      <c r="F63" s="27">
        <v>159.80000000000001</v>
      </c>
      <c r="G63" s="28">
        <v>7.1999999999999998E-3</v>
      </c>
      <c r="H63" s="29"/>
    </row>
    <row r="64" spans="2:8" ht="15.75" customHeight="1" x14ac:dyDescent="0.25">
      <c r="B64" s="25" t="s">
        <v>769</v>
      </c>
      <c r="C64" s="25" t="s">
        <v>770</v>
      </c>
      <c r="D64" s="25" t="s">
        <v>442</v>
      </c>
      <c r="E64" s="26">
        <v>50157</v>
      </c>
      <c r="F64" s="27">
        <v>158.4</v>
      </c>
      <c r="G64" s="28">
        <v>7.1000000000000004E-3</v>
      </c>
      <c r="H64" s="29"/>
    </row>
    <row r="65" spans="2:16" ht="15.75" customHeight="1" x14ac:dyDescent="0.25">
      <c r="B65" s="25" t="s">
        <v>562</v>
      </c>
      <c r="C65" s="25" t="s">
        <v>563</v>
      </c>
      <c r="D65" s="25" t="s">
        <v>442</v>
      </c>
      <c r="E65" s="26">
        <v>41882</v>
      </c>
      <c r="F65" s="27">
        <v>150.9</v>
      </c>
      <c r="G65" s="28">
        <v>6.7999999999999996E-3</v>
      </c>
      <c r="H65" s="29"/>
    </row>
    <row r="66" spans="2:16" ht="15.75" customHeight="1" x14ac:dyDescent="0.25">
      <c r="B66" s="25" t="s">
        <v>771</v>
      </c>
      <c r="C66" s="25" t="s">
        <v>772</v>
      </c>
      <c r="D66" s="25" t="s">
        <v>536</v>
      </c>
      <c r="E66" s="26">
        <v>24674</v>
      </c>
      <c r="F66" s="27">
        <v>145.87</v>
      </c>
      <c r="G66" s="28">
        <v>6.4999999999999997E-3</v>
      </c>
      <c r="H66" s="29"/>
    </row>
    <row r="67" spans="2:16" ht="15.75" customHeight="1" x14ac:dyDescent="0.25">
      <c r="B67" s="25" t="s">
        <v>704</v>
      </c>
      <c r="C67" s="25" t="s">
        <v>705</v>
      </c>
      <c r="D67" s="25" t="s">
        <v>350</v>
      </c>
      <c r="E67" s="26">
        <v>10051</v>
      </c>
      <c r="F67" s="27">
        <v>143.80000000000001</v>
      </c>
      <c r="G67" s="28">
        <v>6.4000000000000003E-3</v>
      </c>
      <c r="H67" s="29"/>
    </row>
    <row r="68" spans="2:16" ht="15.75" customHeight="1" x14ac:dyDescent="0.25">
      <c r="B68" s="25" t="s">
        <v>773</v>
      </c>
      <c r="C68" s="25" t="s">
        <v>774</v>
      </c>
      <c r="D68" s="25" t="s">
        <v>343</v>
      </c>
      <c r="E68" s="26">
        <v>10079</v>
      </c>
      <c r="F68" s="27">
        <v>136.29</v>
      </c>
      <c r="G68" s="28">
        <v>6.1000000000000004E-3</v>
      </c>
      <c r="H68" s="29"/>
      <c r="L68" s="3"/>
    </row>
    <row r="69" spans="2:16" ht="15.75" customHeight="1" x14ac:dyDescent="0.25">
      <c r="B69" s="25" t="s">
        <v>409</v>
      </c>
      <c r="C69" s="25" t="s">
        <v>410</v>
      </c>
      <c r="D69" s="25" t="s">
        <v>350</v>
      </c>
      <c r="E69" s="26">
        <v>18500</v>
      </c>
      <c r="F69" s="27">
        <v>128.49</v>
      </c>
      <c r="G69" s="28">
        <v>5.7999999999999996E-3</v>
      </c>
      <c r="H69" s="29"/>
    </row>
    <row r="70" spans="2:16" ht="15.75" customHeight="1" x14ac:dyDescent="0.25">
      <c r="B70" s="24" t="s">
        <v>128</v>
      </c>
      <c r="C70" s="24"/>
      <c r="D70" s="24"/>
      <c r="E70" s="30"/>
      <c r="F70" s="31">
        <v>21449.25</v>
      </c>
      <c r="G70" s="32">
        <v>0.96109999999999995</v>
      </c>
      <c r="H70" s="33"/>
      <c r="L70" s="3"/>
    </row>
    <row r="71" spans="2:16" ht="15.75" customHeight="1" x14ac:dyDescent="0.25">
      <c r="B71" s="24" t="s">
        <v>176</v>
      </c>
      <c r="C71" s="25"/>
      <c r="D71" s="25"/>
      <c r="E71" s="26"/>
      <c r="F71" s="27"/>
      <c r="G71" s="28"/>
      <c r="H71" s="29"/>
      <c r="L71" s="3"/>
    </row>
    <row r="72" spans="2:16" ht="15.75" customHeight="1" x14ac:dyDescent="0.25">
      <c r="B72" s="24" t="s">
        <v>128</v>
      </c>
      <c r="C72" s="25"/>
      <c r="D72" s="25"/>
      <c r="E72" s="26"/>
      <c r="F72" s="34" t="s">
        <v>130</v>
      </c>
      <c r="G72" s="35" t="s">
        <v>130</v>
      </c>
      <c r="H72" s="29"/>
      <c r="L72" s="3"/>
    </row>
    <row r="73" spans="2:16" ht="15.75" customHeight="1" x14ac:dyDescent="0.25">
      <c r="B73" s="25"/>
      <c r="C73" s="25"/>
      <c r="D73" s="25"/>
      <c r="E73" s="26"/>
      <c r="F73" s="27"/>
      <c r="G73" s="28"/>
      <c r="H73" s="29"/>
      <c r="L73" s="3"/>
    </row>
    <row r="74" spans="2:16" ht="15.75" customHeight="1" x14ac:dyDescent="0.25">
      <c r="B74" s="36" t="s">
        <v>132</v>
      </c>
      <c r="C74" s="36"/>
      <c r="D74" s="36"/>
      <c r="E74" s="37"/>
      <c r="F74" s="31">
        <v>21449.25</v>
      </c>
      <c r="G74" s="32">
        <v>0.96109999999999995</v>
      </c>
      <c r="H74" s="33"/>
      <c r="L74" s="3"/>
    </row>
    <row r="75" spans="2:16" ht="15.75" customHeight="1" x14ac:dyDescent="0.25">
      <c r="B75" s="25"/>
      <c r="C75" s="25"/>
      <c r="D75" s="25"/>
      <c r="E75" s="26"/>
      <c r="F75" s="27"/>
      <c r="G75" s="28"/>
      <c r="H75" s="29"/>
      <c r="L75" s="5"/>
      <c r="M75" s="5"/>
      <c r="N75" s="6"/>
      <c r="O75" s="6"/>
      <c r="P75" s="5"/>
    </row>
    <row r="76" spans="2:16" ht="15.75" customHeight="1" x14ac:dyDescent="0.25">
      <c r="B76" s="25"/>
      <c r="C76" s="25"/>
      <c r="D76" s="25"/>
      <c r="E76" s="26"/>
      <c r="F76" s="27"/>
      <c r="G76" s="28"/>
      <c r="H76" s="29"/>
    </row>
    <row r="77" spans="2:16" ht="15.75" customHeight="1" x14ac:dyDescent="0.25">
      <c r="B77" s="24" t="s">
        <v>135</v>
      </c>
      <c r="C77" s="25"/>
      <c r="D77" s="25"/>
      <c r="E77" s="26"/>
      <c r="F77" s="27"/>
      <c r="G77" s="28"/>
      <c r="H77" s="29"/>
    </row>
    <row r="78" spans="2:16" ht="15.75" customHeight="1" x14ac:dyDescent="0.25">
      <c r="B78" s="25" t="s">
        <v>136</v>
      </c>
      <c r="C78" s="25"/>
      <c r="D78" s="25"/>
      <c r="E78" s="26"/>
      <c r="F78" s="27">
        <v>959.37</v>
      </c>
      <c r="G78" s="28">
        <v>4.2999999999999997E-2</v>
      </c>
      <c r="H78" s="29"/>
      <c r="L78" s="7"/>
      <c r="M78" s="7"/>
      <c r="N78" s="7"/>
      <c r="O78" s="7"/>
      <c r="P78" s="7"/>
    </row>
    <row r="79" spans="2:16" ht="15.75" customHeight="1" x14ac:dyDescent="0.25">
      <c r="B79" s="24" t="s">
        <v>128</v>
      </c>
      <c r="C79" s="24"/>
      <c r="D79" s="24"/>
      <c r="E79" s="30"/>
      <c r="F79" s="31">
        <v>959.37</v>
      </c>
      <c r="G79" s="32">
        <v>4.2999999999999997E-2</v>
      </c>
      <c r="H79" s="33"/>
      <c r="L79" s="7"/>
      <c r="M79" s="7"/>
      <c r="N79" s="7"/>
      <c r="O79" s="7"/>
      <c r="P79" s="7"/>
    </row>
    <row r="80" spans="2:16" ht="15.75" customHeight="1" x14ac:dyDescent="0.25">
      <c r="B80" s="25"/>
      <c r="C80" s="25"/>
      <c r="D80" s="25"/>
      <c r="E80" s="26"/>
      <c r="F80" s="27"/>
      <c r="G80" s="28"/>
      <c r="H80" s="29"/>
      <c r="L80" s="7"/>
      <c r="M80" s="7"/>
      <c r="N80" s="7"/>
      <c r="O80" s="7"/>
      <c r="P80" s="7"/>
    </row>
    <row r="81" spans="2:16" ht="15.75" customHeight="1" x14ac:dyDescent="0.25">
      <c r="B81" s="36" t="s">
        <v>132</v>
      </c>
      <c r="C81" s="36"/>
      <c r="D81" s="36"/>
      <c r="E81" s="37"/>
      <c r="F81" s="31">
        <v>959.37</v>
      </c>
      <c r="G81" s="32">
        <v>4.2999999999999997E-2</v>
      </c>
      <c r="H81" s="33"/>
      <c r="L81" s="7"/>
      <c r="M81" s="7"/>
      <c r="N81" s="7"/>
      <c r="O81" s="7"/>
      <c r="P81" s="7"/>
    </row>
    <row r="82" spans="2:16" ht="15.75" customHeight="1" x14ac:dyDescent="0.25">
      <c r="B82" s="25" t="s">
        <v>137</v>
      </c>
      <c r="C82" s="25"/>
      <c r="D82" s="25"/>
      <c r="E82" s="26"/>
      <c r="F82" s="38">
        <v>-91.07</v>
      </c>
      <c r="G82" s="39">
        <v>-4.0999999999999925E-3</v>
      </c>
      <c r="H82" s="29"/>
      <c r="L82" s="7"/>
      <c r="M82" s="7"/>
      <c r="N82" s="7"/>
      <c r="O82" s="7"/>
      <c r="P82" s="7"/>
    </row>
    <row r="83" spans="2:16" ht="15.75" customHeight="1" x14ac:dyDescent="0.25">
      <c r="B83" s="40" t="s">
        <v>138</v>
      </c>
      <c r="C83" s="40"/>
      <c r="D83" s="40"/>
      <c r="E83" s="41"/>
      <c r="F83" s="42">
        <v>22317.55</v>
      </c>
      <c r="G83" s="43">
        <v>1</v>
      </c>
      <c r="H83" s="44"/>
      <c r="L83" s="7"/>
      <c r="M83" s="7"/>
      <c r="N83" s="7"/>
      <c r="O83" s="7"/>
      <c r="P83" s="7"/>
    </row>
    <row r="84" spans="2:16" ht="15.75" customHeight="1" thickBot="1" x14ac:dyDescent="0.3">
      <c r="B84" s="2"/>
      <c r="L84" s="7"/>
      <c r="M84" s="7"/>
      <c r="N84" s="7"/>
      <c r="O84" s="7"/>
      <c r="P84" s="7"/>
    </row>
    <row r="85" spans="2:16" ht="27" customHeight="1" thickBot="1" x14ac:dyDescent="0.3">
      <c r="B85" s="57" t="s">
        <v>980</v>
      </c>
      <c r="C85" s="58" t="s">
        <v>981</v>
      </c>
      <c r="D85" s="58" t="s">
        <v>982</v>
      </c>
      <c r="E85" s="63" t="s">
        <v>983</v>
      </c>
      <c r="G85" s="2"/>
      <c r="H85" s="2"/>
    </row>
    <row r="86" spans="2:16" ht="29.25" customHeight="1" x14ac:dyDescent="0.25">
      <c r="B86" s="64" t="s">
        <v>1033</v>
      </c>
      <c r="C86" s="82"/>
      <c r="D86" s="85" t="s">
        <v>1034</v>
      </c>
      <c r="E86" s="87"/>
      <c r="G86" s="2"/>
      <c r="H86" s="2"/>
    </row>
    <row r="87" spans="2:16" ht="40" customHeight="1" x14ac:dyDescent="0.25">
      <c r="B87" s="66" t="s">
        <v>1020</v>
      </c>
      <c r="C87" s="83"/>
      <c r="D87" s="86"/>
      <c r="E87" s="83"/>
      <c r="G87" s="2"/>
      <c r="H87" s="2"/>
    </row>
    <row r="88" spans="2:16" ht="40" customHeight="1" x14ac:dyDescent="0.25">
      <c r="B88" s="66" t="s">
        <v>1035</v>
      </c>
      <c r="C88" s="83"/>
      <c r="D88" s="86"/>
      <c r="E88" s="83"/>
      <c r="G88" s="2"/>
      <c r="H88" s="2"/>
    </row>
    <row r="89" spans="2:16" ht="23.25" customHeight="1" thickBot="1" x14ac:dyDescent="0.3">
      <c r="B89" s="68" t="s">
        <v>1006</v>
      </c>
      <c r="C89" s="84"/>
      <c r="D89" s="71" t="s">
        <v>1006</v>
      </c>
      <c r="E89" s="88"/>
      <c r="G89" s="2"/>
      <c r="H89" s="2"/>
    </row>
    <row r="90" spans="2:16" ht="25" customHeight="1" x14ac:dyDescent="0.25">
      <c r="B90" s="59" t="s">
        <v>985</v>
      </c>
      <c r="C90" s="60"/>
      <c r="D90" s="61"/>
      <c r="E90" s="62"/>
      <c r="G90" s="2"/>
      <c r="H90" s="2"/>
    </row>
    <row r="92" spans="2:16" ht="11.5" x14ac:dyDescent="0.25">
      <c r="B92" s="2" t="s">
        <v>986</v>
      </c>
      <c r="C92" s="2"/>
      <c r="D92" s="2"/>
      <c r="G92" s="2"/>
      <c r="H92" s="2"/>
    </row>
    <row r="93" spans="2:16" ht="11.5" x14ac:dyDescent="0.25">
      <c r="B93" s="3" t="s">
        <v>987</v>
      </c>
      <c r="C93" s="2"/>
      <c r="D93" s="2"/>
      <c r="G93" s="2"/>
      <c r="H93" s="2"/>
    </row>
  </sheetData>
  <mergeCells count="3">
    <mergeCell ref="C86:C89"/>
    <mergeCell ref="D86:D88"/>
    <mergeCell ref="E86:E89"/>
  </mergeCells>
  <hyperlinks>
    <hyperlink ref="I1" location="'Sheet1'!A1" display="Index" xr:uid="{2AE2A638-32E6-4C8B-A976-EF4B3E798B7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04E74-73F9-4D88-B419-564EDCBE8440}">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6.1796875" style="9" customWidth="1"/>
    <col min="4" max="4" width="26.6328125" style="9" customWidth="1"/>
    <col min="5" max="5" width="28.36328125" style="2" customWidth="1"/>
    <col min="6" max="6" width="16.453125" style="2" customWidth="1"/>
    <col min="7" max="7" width="15.26953125" style="8" customWidth="1"/>
    <col min="8" max="8" width="4.906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20</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292</v>
      </c>
      <c r="C7" s="25" t="s">
        <v>293</v>
      </c>
      <c r="D7" s="25" t="s">
        <v>173</v>
      </c>
      <c r="E7" s="26">
        <v>245215</v>
      </c>
      <c r="F7" s="27">
        <v>1068.28</v>
      </c>
      <c r="G7" s="28">
        <v>8.09E-2</v>
      </c>
      <c r="H7" s="29"/>
    </row>
    <row r="8" spans="2:9" ht="15.75" customHeight="1" x14ac:dyDescent="0.25">
      <c r="B8" s="25" t="s">
        <v>227</v>
      </c>
      <c r="C8" s="25" t="s">
        <v>228</v>
      </c>
      <c r="D8" s="25" t="s">
        <v>156</v>
      </c>
      <c r="E8" s="26">
        <v>64479</v>
      </c>
      <c r="F8" s="27">
        <v>1047.1099999999999</v>
      </c>
      <c r="G8" s="28">
        <v>7.9299999999999995E-2</v>
      </c>
      <c r="H8" s="29"/>
    </row>
    <row r="9" spans="2:9" ht="15.75" customHeight="1" x14ac:dyDescent="0.25">
      <c r="B9" s="25" t="s">
        <v>171</v>
      </c>
      <c r="C9" s="25" t="s">
        <v>172</v>
      </c>
      <c r="D9" s="25" t="s">
        <v>173</v>
      </c>
      <c r="E9" s="26">
        <v>46772</v>
      </c>
      <c r="F9" s="27">
        <v>1043.23</v>
      </c>
      <c r="G9" s="28">
        <v>7.9000000000000001E-2</v>
      </c>
      <c r="H9" s="29"/>
    </row>
    <row r="10" spans="2:9" ht="15.75" customHeight="1" x14ac:dyDescent="0.25">
      <c r="B10" s="25" t="s">
        <v>160</v>
      </c>
      <c r="C10" s="25" t="s">
        <v>161</v>
      </c>
      <c r="D10" s="25" t="s">
        <v>156</v>
      </c>
      <c r="E10" s="26">
        <v>68383</v>
      </c>
      <c r="F10" s="27">
        <v>1039.49</v>
      </c>
      <c r="G10" s="28">
        <v>7.8700000000000006E-2</v>
      </c>
      <c r="H10" s="29"/>
    </row>
    <row r="11" spans="2:9" ht="15.75" customHeight="1" x14ac:dyDescent="0.25">
      <c r="B11" s="25" t="s">
        <v>264</v>
      </c>
      <c r="C11" s="25" t="s">
        <v>265</v>
      </c>
      <c r="D11" s="25" t="s">
        <v>159</v>
      </c>
      <c r="E11" s="26">
        <v>55565</v>
      </c>
      <c r="F11" s="27">
        <v>702.06</v>
      </c>
      <c r="G11" s="28">
        <v>5.3199999999999997E-2</v>
      </c>
      <c r="H11" s="29"/>
    </row>
    <row r="12" spans="2:9" ht="15.75" customHeight="1" x14ac:dyDescent="0.25">
      <c r="B12" s="25" t="s">
        <v>578</v>
      </c>
      <c r="C12" s="25" t="s">
        <v>579</v>
      </c>
      <c r="D12" s="25" t="s">
        <v>214</v>
      </c>
      <c r="E12" s="26">
        <v>14363</v>
      </c>
      <c r="F12" s="27">
        <v>574.86</v>
      </c>
      <c r="G12" s="28">
        <v>4.3499999999999997E-2</v>
      </c>
      <c r="H12" s="29"/>
    </row>
    <row r="13" spans="2:9" ht="15.75" customHeight="1" x14ac:dyDescent="0.25">
      <c r="B13" s="25" t="s">
        <v>381</v>
      </c>
      <c r="C13" s="25" t="s">
        <v>382</v>
      </c>
      <c r="D13" s="25" t="s">
        <v>315</v>
      </c>
      <c r="E13" s="26">
        <v>115976</v>
      </c>
      <c r="F13" s="27">
        <v>554.77</v>
      </c>
      <c r="G13" s="28">
        <v>4.2000000000000003E-2</v>
      </c>
      <c r="H13" s="29"/>
    </row>
    <row r="14" spans="2:9" ht="15.75" customHeight="1" x14ac:dyDescent="0.25">
      <c r="B14" s="25" t="s">
        <v>378</v>
      </c>
      <c r="C14" s="25" t="s">
        <v>379</v>
      </c>
      <c r="D14" s="25" t="s">
        <v>380</v>
      </c>
      <c r="E14" s="26">
        <v>35413</v>
      </c>
      <c r="F14" s="27">
        <v>523.91999999999996</v>
      </c>
      <c r="G14" s="28">
        <v>3.9699999999999999E-2</v>
      </c>
      <c r="H14" s="29"/>
    </row>
    <row r="15" spans="2:9" ht="15.75" customHeight="1" x14ac:dyDescent="0.25">
      <c r="B15" s="25" t="s">
        <v>304</v>
      </c>
      <c r="C15" s="25" t="s">
        <v>305</v>
      </c>
      <c r="D15" s="25" t="s">
        <v>296</v>
      </c>
      <c r="E15" s="26">
        <v>396406</v>
      </c>
      <c r="F15" s="27">
        <v>520.08000000000004</v>
      </c>
      <c r="G15" s="28">
        <v>3.9399999999999998E-2</v>
      </c>
      <c r="H15" s="29"/>
    </row>
    <row r="16" spans="2:9" ht="15.75" customHeight="1" x14ac:dyDescent="0.25">
      <c r="B16" s="25" t="s">
        <v>330</v>
      </c>
      <c r="C16" s="25" t="s">
        <v>331</v>
      </c>
      <c r="D16" s="25" t="s">
        <v>156</v>
      </c>
      <c r="E16" s="26">
        <v>58824</v>
      </c>
      <c r="F16" s="27">
        <v>486.03</v>
      </c>
      <c r="G16" s="28">
        <v>3.6799999999999999E-2</v>
      </c>
      <c r="H16" s="29"/>
    </row>
    <row r="17" spans="2:8" ht="15.75" customHeight="1" x14ac:dyDescent="0.25">
      <c r="B17" s="25" t="s">
        <v>334</v>
      </c>
      <c r="C17" s="25" t="s">
        <v>335</v>
      </c>
      <c r="D17" s="25" t="s">
        <v>159</v>
      </c>
      <c r="E17" s="26">
        <v>32674</v>
      </c>
      <c r="F17" s="27">
        <v>446.52</v>
      </c>
      <c r="G17" s="28">
        <v>3.3799999999999997E-2</v>
      </c>
      <c r="H17" s="29"/>
    </row>
    <row r="18" spans="2:8" ht="15.75" customHeight="1" x14ac:dyDescent="0.25">
      <c r="B18" s="25" t="s">
        <v>316</v>
      </c>
      <c r="C18" s="25" t="s">
        <v>317</v>
      </c>
      <c r="D18" s="25" t="s">
        <v>209</v>
      </c>
      <c r="E18" s="26">
        <v>45162</v>
      </c>
      <c r="F18" s="27">
        <v>417.61</v>
      </c>
      <c r="G18" s="28">
        <v>3.1600000000000003E-2</v>
      </c>
      <c r="H18" s="29"/>
    </row>
    <row r="19" spans="2:8" ht="15.75" customHeight="1" x14ac:dyDescent="0.25">
      <c r="B19" s="25" t="s">
        <v>460</v>
      </c>
      <c r="C19" s="25" t="s">
        <v>461</v>
      </c>
      <c r="D19" s="25" t="s">
        <v>442</v>
      </c>
      <c r="E19" s="26">
        <v>124555</v>
      </c>
      <c r="F19" s="27">
        <v>396.58</v>
      </c>
      <c r="G19" s="28">
        <v>0.03</v>
      </c>
      <c r="H19" s="29"/>
    </row>
    <row r="20" spans="2:8" ht="15.75" customHeight="1" x14ac:dyDescent="0.25">
      <c r="B20" s="25" t="s">
        <v>210</v>
      </c>
      <c r="C20" s="25" t="s">
        <v>211</v>
      </c>
      <c r="D20" s="25" t="s">
        <v>209</v>
      </c>
      <c r="E20" s="26">
        <v>5658</v>
      </c>
      <c r="F20" s="27">
        <v>391.73</v>
      </c>
      <c r="G20" s="28">
        <v>2.9700000000000001E-2</v>
      </c>
      <c r="H20" s="29"/>
    </row>
    <row r="21" spans="2:8" ht="15.75" customHeight="1" x14ac:dyDescent="0.25">
      <c r="B21" s="25" t="s">
        <v>599</v>
      </c>
      <c r="C21" s="25" t="s">
        <v>600</v>
      </c>
      <c r="D21" s="25" t="s">
        <v>361</v>
      </c>
      <c r="E21" s="26">
        <v>205202</v>
      </c>
      <c r="F21" s="27">
        <v>374.29</v>
      </c>
      <c r="G21" s="28">
        <v>2.8299999999999999E-2</v>
      </c>
      <c r="H21" s="29"/>
    </row>
    <row r="22" spans="2:8" ht="15.75" customHeight="1" x14ac:dyDescent="0.25">
      <c r="B22" s="25" t="s">
        <v>157</v>
      </c>
      <c r="C22" s="25" t="s">
        <v>158</v>
      </c>
      <c r="D22" s="25" t="s">
        <v>159</v>
      </c>
      <c r="E22" s="26">
        <v>26180</v>
      </c>
      <c r="F22" s="27">
        <v>371.9</v>
      </c>
      <c r="G22" s="28">
        <v>2.8199999999999999E-2</v>
      </c>
      <c r="H22" s="29"/>
    </row>
    <row r="23" spans="2:8" ht="15.75" customHeight="1" x14ac:dyDescent="0.25">
      <c r="B23" s="25" t="s">
        <v>387</v>
      </c>
      <c r="C23" s="25" t="s">
        <v>388</v>
      </c>
      <c r="D23" s="25" t="s">
        <v>209</v>
      </c>
      <c r="E23" s="26">
        <v>23976</v>
      </c>
      <c r="F23" s="27">
        <v>361.67</v>
      </c>
      <c r="G23" s="28">
        <v>2.7400000000000001E-2</v>
      </c>
      <c r="H23" s="29"/>
    </row>
    <row r="24" spans="2:8" ht="15.75" customHeight="1" x14ac:dyDescent="0.25">
      <c r="B24" s="25" t="s">
        <v>229</v>
      </c>
      <c r="C24" s="25" t="s">
        <v>230</v>
      </c>
      <c r="D24" s="25" t="s">
        <v>231</v>
      </c>
      <c r="E24" s="26">
        <v>28002</v>
      </c>
      <c r="F24" s="27">
        <v>341.48</v>
      </c>
      <c r="G24" s="28">
        <v>2.5899999999999999E-2</v>
      </c>
      <c r="H24" s="29"/>
    </row>
    <row r="25" spans="2:8" ht="15.75" customHeight="1" x14ac:dyDescent="0.25">
      <c r="B25" s="25" t="s">
        <v>530</v>
      </c>
      <c r="C25" s="25" t="s">
        <v>531</v>
      </c>
      <c r="D25" s="25" t="s">
        <v>303</v>
      </c>
      <c r="E25" s="26">
        <v>211893</v>
      </c>
      <c r="F25" s="27">
        <v>328.33</v>
      </c>
      <c r="G25" s="28">
        <v>2.4899999999999999E-2</v>
      </c>
      <c r="H25" s="29"/>
    </row>
    <row r="26" spans="2:8" ht="15.75" customHeight="1" x14ac:dyDescent="0.25">
      <c r="B26" s="25" t="s">
        <v>775</v>
      </c>
      <c r="C26" s="25" t="s">
        <v>776</v>
      </c>
      <c r="D26" s="25" t="s">
        <v>442</v>
      </c>
      <c r="E26" s="26">
        <v>55835</v>
      </c>
      <c r="F26" s="27">
        <v>283.95</v>
      </c>
      <c r="G26" s="28">
        <v>2.1499999999999998E-2</v>
      </c>
      <c r="H26" s="29"/>
    </row>
    <row r="27" spans="2:8" ht="15.75" customHeight="1" x14ac:dyDescent="0.25">
      <c r="B27" s="25" t="s">
        <v>222</v>
      </c>
      <c r="C27" s="25" t="s">
        <v>223</v>
      </c>
      <c r="D27" s="25" t="s">
        <v>209</v>
      </c>
      <c r="E27" s="26">
        <v>10679</v>
      </c>
      <c r="F27" s="27">
        <v>272.5</v>
      </c>
      <c r="G27" s="28">
        <v>2.06E-2</v>
      </c>
      <c r="H27" s="29"/>
    </row>
    <row r="28" spans="2:8" ht="15.75" customHeight="1" x14ac:dyDescent="0.25">
      <c r="B28" s="25" t="s">
        <v>220</v>
      </c>
      <c r="C28" s="25" t="s">
        <v>221</v>
      </c>
      <c r="D28" s="25" t="s">
        <v>156</v>
      </c>
      <c r="E28" s="26">
        <v>16100</v>
      </c>
      <c r="F28" s="27">
        <v>244.03</v>
      </c>
      <c r="G28" s="28">
        <v>1.8499999999999999E-2</v>
      </c>
      <c r="H28" s="29"/>
    </row>
    <row r="29" spans="2:8" ht="15.75" customHeight="1" x14ac:dyDescent="0.25">
      <c r="B29" s="25" t="s">
        <v>391</v>
      </c>
      <c r="C29" s="25" t="s">
        <v>392</v>
      </c>
      <c r="D29" s="25" t="s">
        <v>286</v>
      </c>
      <c r="E29" s="26">
        <v>41096</v>
      </c>
      <c r="F29" s="27">
        <v>239.86</v>
      </c>
      <c r="G29" s="28">
        <v>1.8200000000000001E-2</v>
      </c>
      <c r="H29" s="29"/>
    </row>
    <row r="30" spans="2:8" ht="15.75" customHeight="1" x14ac:dyDescent="0.25">
      <c r="B30" s="25" t="s">
        <v>562</v>
      </c>
      <c r="C30" s="25" t="s">
        <v>563</v>
      </c>
      <c r="D30" s="25" t="s">
        <v>442</v>
      </c>
      <c r="E30" s="26">
        <v>62724</v>
      </c>
      <c r="F30" s="27">
        <v>225.99</v>
      </c>
      <c r="G30" s="28">
        <v>1.7100000000000001E-2</v>
      </c>
      <c r="H30" s="29"/>
    </row>
    <row r="31" spans="2:8" ht="15.75" customHeight="1" x14ac:dyDescent="0.25">
      <c r="B31" s="25" t="s">
        <v>584</v>
      </c>
      <c r="C31" s="25" t="s">
        <v>585</v>
      </c>
      <c r="D31" s="25" t="s">
        <v>551</v>
      </c>
      <c r="E31" s="26">
        <v>38491</v>
      </c>
      <c r="F31" s="27">
        <v>141.88</v>
      </c>
      <c r="G31" s="28">
        <v>1.0699999999999999E-2</v>
      </c>
      <c r="H31" s="29"/>
    </row>
    <row r="32" spans="2:8" ht="15.75" customHeight="1" x14ac:dyDescent="0.25">
      <c r="B32" s="25" t="s">
        <v>685</v>
      </c>
      <c r="C32" s="25" t="s">
        <v>686</v>
      </c>
      <c r="D32" s="25" t="s">
        <v>536</v>
      </c>
      <c r="E32" s="26">
        <v>391</v>
      </c>
      <c r="F32" s="27">
        <v>136.01</v>
      </c>
      <c r="G32" s="28">
        <v>1.03E-2</v>
      </c>
      <c r="H32" s="29"/>
    </row>
    <row r="33" spans="2:8" ht="15.75" customHeight="1" x14ac:dyDescent="0.25">
      <c r="B33" s="25" t="s">
        <v>687</v>
      </c>
      <c r="C33" s="25" t="s">
        <v>688</v>
      </c>
      <c r="D33" s="25" t="s">
        <v>170</v>
      </c>
      <c r="E33" s="26">
        <v>7298</v>
      </c>
      <c r="F33" s="27">
        <v>93.15</v>
      </c>
      <c r="G33" s="28">
        <v>7.1000000000000004E-3</v>
      </c>
      <c r="H33" s="29"/>
    </row>
    <row r="34" spans="2:8" ht="15.75" customHeight="1" x14ac:dyDescent="0.25">
      <c r="B34" s="24" t="s">
        <v>128</v>
      </c>
      <c r="C34" s="24"/>
      <c r="D34" s="24"/>
      <c r="E34" s="30"/>
      <c r="F34" s="31">
        <v>12627.31</v>
      </c>
      <c r="G34" s="32">
        <v>0.95640000000000003</v>
      </c>
      <c r="H34" s="33"/>
    </row>
    <row r="35" spans="2:8" ht="15.75" customHeight="1" x14ac:dyDescent="0.25">
      <c r="B35" s="24" t="s">
        <v>176</v>
      </c>
      <c r="C35" s="25"/>
      <c r="D35" s="25"/>
      <c r="E35" s="26"/>
      <c r="F35" s="27"/>
      <c r="G35" s="28"/>
      <c r="H35" s="29"/>
    </row>
    <row r="36" spans="2:8" ht="15.75" customHeight="1" x14ac:dyDescent="0.25">
      <c r="B36" s="24" t="s">
        <v>128</v>
      </c>
      <c r="C36" s="25"/>
      <c r="D36" s="25"/>
      <c r="E36" s="26"/>
      <c r="F36" s="34" t="s">
        <v>130</v>
      </c>
      <c r="G36" s="35" t="s">
        <v>130</v>
      </c>
      <c r="H36" s="29"/>
    </row>
    <row r="37" spans="2:8" ht="15.75" customHeight="1" x14ac:dyDescent="0.25">
      <c r="B37" s="25"/>
      <c r="C37" s="25"/>
      <c r="D37" s="25"/>
      <c r="E37" s="26"/>
      <c r="F37" s="27"/>
      <c r="G37" s="28"/>
      <c r="H37" s="29"/>
    </row>
    <row r="38" spans="2:8" ht="15.75" customHeight="1" x14ac:dyDescent="0.25">
      <c r="B38" s="36" t="s">
        <v>132</v>
      </c>
      <c r="C38" s="36"/>
      <c r="D38" s="36"/>
      <c r="E38" s="37"/>
      <c r="F38" s="31">
        <v>12627.31</v>
      </c>
      <c r="G38" s="32">
        <v>0.95640000000000003</v>
      </c>
      <c r="H38" s="33"/>
    </row>
    <row r="39" spans="2:8" ht="15.75" customHeight="1" x14ac:dyDescent="0.25">
      <c r="B39" s="25"/>
      <c r="C39" s="25"/>
      <c r="D39" s="25"/>
      <c r="E39" s="26"/>
      <c r="F39" s="27"/>
      <c r="G39" s="28"/>
      <c r="H39" s="29"/>
    </row>
    <row r="40" spans="2:8" ht="15.75" customHeight="1" x14ac:dyDescent="0.25">
      <c r="B40" s="25"/>
      <c r="C40" s="25"/>
      <c r="D40" s="25"/>
      <c r="E40" s="26"/>
      <c r="F40" s="27"/>
      <c r="G40" s="28"/>
      <c r="H40" s="29"/>
    </row>
    <row r="41" spans="2:8" ht="15.75" customHeight="1" x14ac:dyDescent="0.25">
      <c r="B41" s="24" t="s">
        <v>135</v>
      </c>
      <c r="C41" s="25"/>
      <c r="D41" s="25"/>
      <c r="E41" s="26"/>
      <c r="F41" s="27"/>
      <c r="G41" s="28"/>
      <c r="H41" s="29"/>
    </row>
    <row r="42" spans="2:8" ht="15.75" customHeight="1" x14ac:dyDescent="0.25">
      <c r="B42" s="25" t="s">
        <v>136</v>
      </c>
      <c r="C42" s="25"/>
      <c r="D42" s="25"/>
      <c r="E42" s="26"/>
      <c r="F42" s="27">
        <v>597.78</v>
      </c>
      <c r="G42" s="28">
        <v>4.53E-2</v>
      </c>
      <c r="H42" s="29"/>
    </row>
    <row r="43" spans="2:8" ht="15.75" customHeight="1" x14ac:dyDescent="0.25">
      <c r="B43" s="24" t="s">
        <v>128</v>
      </c>
      <c r="C43" s="24"/>
      <c r="D43" s="24"/>
      <c r="E43" s="30"/>
      <c r="F43" s="31">
        <v>597.78</v>
      </c>
      <c r="G43" s="32">
        <v>4.53E-2</v>
      </c>
      <c r="H43" s="33"/>
    </row>
    <row r="44" spans="2:8" ht="15.75" customHeight="1" x14ac:dyDescent="0.25">
      <c r="B44" s="25"/>
      <c r="C44" s="25"/>
      <c r="D44" s="25"/>
      <c r="E44" s="26"/>
      <c r="F44" s="27"/>
      <c r="G44" s="28"/>
      <c r="H44" s="29"/>
    </row>
    <row r="45" spans="2:8" ht="15.75" customHeight="1" x14ac:dyDescent="0.25">
      <c r="B45" s="36" t="s">
        <v>132</v>
      </c>
      <c r="C45" s="36"/>
      <c r="D45" s="36"/>
      <c r="E45" s="37"/>
      <c r="F45" s="31">
        <v>597.78</v>
      </c>
      <c r="G45" s="32">
        <v>4.53E-2</v>
      </c>
      <c r="H45" s="33"/>
    </row>
    <row r="46" spans="2:8" ht="15.75" customHeight="1" x14ac:dyDescent="0.25">
      <c r="B46" s="25" t="s">
        <v>137</v>
      </c>
      <c r="C46" s="25"/>
      <c r="D46" s="25"/>
      <c r="E46" s="26"/>
      <c r="F46" s="38">
        <v>-22.14</v>
      </c>
      <c r="G46" s="39">
        <v>-1.7000000000000348E-3</v>
      </c>
      <c r="H46" s="29"/>
    </row>
    <row r="47" spans="2:8" ht="15.75" customHeight="1" x14ac:dyDescent="0.25">
      <c r="B47" s="40" t="s">
        <v>138</v>
      </c>
      <c r="C47" s="40"/>
      <c r="D47" s="40"/>
      <c r="E47" s="41"/>
      <c r="F47" s="42">
        <v>13202.95</v>
      </c>
      <c r="G47" s="43">
        <v>1</v>
      </c>
      <c r="H47" s="44"/>
    </row>
    <row r="48" spans="2:8" ht="15.75" customHeight="1" thickBot="1" x14ac:dyDescent="0.3">
      <c r="B48" s="2"/>
    </row>
    <row r="49" spans="2:8" ht="27" customHeight="1" thickBot="1" x14ac:dyDescent="0.3">
      <c r="B49" s="57" t="s">
        <v>980</v>
      </c>
      <c r="C49" s="58" t="s">
        <v>981</v>
      </c>
      <c r="D49" s="58" t="s">
        <v>982</v>
      </c>
      <c r="E49" s="63" t="s">
        <v>983</v>
      </c>
      <c r="G49" s="2"/>
      <c r="H49" s="2"/>
    </row>
    <row r="50" spans="2:8" ht="29.25" customHeight="1" x14ac:dyDescent="0.25">
      <c r="B50" s="64" t="s">
        <v>1036</v>
      </c>
      <c r="C50" s="82"/>
      <c r="D50" s="85" t="s">
        <v>1037</v>
      </c>
      <c r="E50" s="87"/>
      <c r="G50" s="2"/>
      <c r="H50" s="2"/>
    </row>
    <row r="51" spans="2:8" ht="40" customHeight="1" x14ac:dyDescent="0.25">
      <c r="B51" s="66" t="s">
        <v>1020</v>
      </c>
      <c r="C51" s="83"/>
      <c r="D51" s="86"/>
      <c r="E51" s="83"/>
      <c r="G51" s="2"/>
      <c r="H51" s="2"/>
    </row>
    <row r="52" spans="2:8" ht="40" customHeight="1" x14ac:dyDescent="0.25">
      <c r="B52" s="66" t="s">
        <v>1038</v>
      </c>
      <c r="C52" s="83"/>
      <c r="D52" s="86"/>
      <c r="E52" s="83"/>
      <c r="G52" s="2"/>
      <c r="H52" s="2"/>
    </row>
    <row r="53" spans="2:8" ht="23.25" customHeight="1" thickBot="1" x14ac:dyDescent="0.3">
      <c r="B53" s="68" t="s">
        <v>1006</v>
      </c>
      <c r="C53" s="84"/>
      <c r="D53" s="71" t="s">
        <v>1006</v>
      </c>
      <c r="E53" s="88"/>
      <c r="G53" s="2"/>
      <c r="H53" s="2"/>
    </row>
    <row r="54" spans="2:8" ht="25" customHeight="1" x14ac:dyDescent="0.25">
      <c r="B54" s="59" t="s">
        <v>985</v>
      </c>
      <c r="C54" s="60"/>
      <c r="D54" s="61"/>
      <c r="E54" s="62"/>
      <c r="G54" s="2"/>
      <c r="H54" s="2"/>
    </row>
    <row r="56" spans="2:8" ht="11.5" x14ac:dyDescent="0.25">
      <c r="B56" s="2" t="s">
        <v>986</v>
      </c>
      <c r="C56" s="2"/>
      <c r="D56" s="2"/>
      <c r="G56" s="2"/>
      <c r="H56" s="2"/>
    </row>
    <row r="57" spans="2:8" ht="11.5" x14ac:dyDescent="0.25">
      <c r="B57" s="3" t="s">
        <v>987</v>
      </c>
      <c r="C57" s="2"/>
      <c r="D57" s="2"/>
      <c r="G57" s="2"/>
      <c r="H57" s="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8" spans="12:16" ht="15.75" customHeight="1" x14ac:dyDescent="0.25">
      <c r="L78" s="7"/>
      <c r="M78" s="7"/>
      <c r="N78" s="7"/>
      <c r="O78" s="7"/>
      <c r="P78" s="7"/>
    </row>
    <row r="79" spans="12:16" ht="15.75" customHeight="1" x14ac:dyDescent="0.25">
      <c r="L79" s="7"/>
      <c r="M79" s="7"/>
      <c r="N79" s="7"/>
      <c r="O79" s="7"/>
      <c r="P79" s="7"/>
    </row>
    <row r="80" spans="1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3">
    <mergeCell ref="C50:C53"/>
    <mergeCell ref="D50:D52"/>
    <mergeCell ref="E50:E53"/>
  </mergeCells>
  <hyperlinks>
    <hyperlink ref="I1" location="'Sheet1'!A1" display="Index" xr:uid="{E49C90F2-F15E-41A9-9084-4CDAD5CBA80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4951F-6194-4DF5-9187-F096AE88685C}">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6.7265625" style="9" customWidth="1"/>
    <col min="4" max="4" width="26.6328125" style="9" customWidth="1"/>
    <col min="5" max="5" width="25.08984375" style="2" customWidth="1"/>
    <col min="6" max="6" width="16.453125" style="2" customWidth="1"/>
    <col min="7" max="7" width="15.26953125" style="8" customWidth="1"/>
    <col min="8" max="8" width="4.906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21</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19"/>
      <c r="C5" s="19"/>
      <c r="D5" s="19"/>
      <c r="E5" s="20"/>
      <c r="F5" s="21"/>
      <c r="G5" s="22"/>
      <c r="H5" s="23"/>
    </row>
    <row r="6" spans="2:9" ht="15.75" customHeight="1" x14ac:dyDescent="0.25">
      <c r="B6" s="25"/>
      <c r="C6" s="25"/>
      <c r="D6" s="25"/>
      <c r="E6" s="26"/>
      <c r="F6" s="27"/>
      <c r="G6" s="28"/>
      <c r="H6" s="29"/>
    </row>
    <row r="7" spans="2:9" ht="15.75" customHeight="1" x14ac:dyDescent="0.25">
      <c r="B7" s="24" t="s">
        <v>133</v>
      </c>
      <c r="C7" s="25"/>
      <c r="D7" s="25"/>
      <c r="E7" s="26"/>
      <c r="F7" s="27"/>
      <c r="G7" s="28"/>
      <c r="H7" s="29"/>
    </row>
    <row r="8" spans="2:9" ht="15.75" customHeight="1" x14ac:dyDescent="0.25">
      <c r="B8" s="24" t="s">
        <v>134</v>
      </c>
      <c r="C8" s="25"/>
      <c r="D8" s="25"/>
      <c r="E8" s="26"/>
      <c r="F8" s="27"/>
      <c r="G8" s="28"/>
      <c r="H8" s="29"/>
    </row>
    <row r="9" spans="2:9" ht="15.75" customHeight="1" x14ac:dyDescent="0.25">
      <c r="B9" s="25" t="s">
        <v>777</v>
      </c>
      <c r="C9" s="25" t="s">
        <v>778</v>
      </c>
      <c r="D9" s="25"/>
      <c r="E9" s="26">
        <v>80652</v>
      </c>
      <c r="F9" s="27">
        <v>5312.83</v>
      </c>
      <c r="G9" s="28">
        <v>0.9929</v>
      </c>
      <c r="H9" s="29"/>
    </row>
    <row r="10" spans="2:9" ht="15.75" customHeight="1" x14ac:dyDescent="0.25">
      <c r="B10" s="24" t="s">
        <v>128</v>
      </c>
      <c r="C10" s="24"/>
      <c r="D10" s="24"/>
      <c r="E10" s="30"/>
      <c r="F10" s="31">
        <v>5312.83</v>
      </c>
      <c r="G10" s="32">
        <v>99.2928</v>
      </c>
      <c r="H10" s="33"/>
    </row>
    <row r="11" spans="2:9" ht="15.75" customHeight="1" x14ac:dyDescent="0.25">
      <c r="B11" s="25"/>
      <c r="C11" s="25"/>
      <c r="D11" s="25"/>
      <c r="E11" s="26"/>
      <c r="F11" s="27"/>
      <c r="G11" s="28"/>
      <c r="H11" s="29"/>
    </row>
    <row r="12" spans="2:9" ht="15.75" customHeight="1" x14ac:dyDescent="0.25">
      <c r="B12" s="36" t="s">
        <v>132</v>
      </c>
      <c r="C12" s="36"/>
      <c r="D12" s="36"/>
      <c r="E12" s="37"/>
      <c r="F12" s="31">
        <v>5312.83</v>
      </c>
      <c r="G12" s="32">
        <v>0.9929</v>
      </c>
      <c r="H12" s="33"/>
    </row>
    <row r="13" spans="2:9" ht="15.75" customHeight="1" x14ac:dyDescent="0.25">
      <c r="B13" s="25"/>
      <c r="C13" s="25"/>
      <c r="D13" s="25"/>
      <c r="E13" s="26"/>
      <c r="F13" s="27"/>
      <c r="G13" s="28"/>
      <c r="H13" s="29"/>
    </row>
    <row r="14" spans="2:9" ht="15.75" customHeight="1" x14ac:dyDescent="0.25">
      <c r="B14" s="24" t="s">
        <v>135</v>
      </c>
      <c r="C14" s="25"/>
      <c r="D14" s="25"/>
      <c r="E14" s="26"/>
      <c r="F14" s="27"/>
      <c r="G14" s="28"/>
      <c r="H14" s="29"/>
    </row>
    <row r="15" spans="2:9" ht="15.75" customHeight="1" x14ac:dyDescent="0.25">
      <c r="B15" s="25" t="s">
        <v>136</v>
      </c>
      <c r="C15" s="25"/>
      <c r="D15" s="25"/>
      <c r="E15" s="26"/>
      <c r="F15" s="27">
        <v>44.64</v>
      </c>
      <c r="G15" s="28">
        <v>8.3000000000000001E-3</v>
      </c>
      <c r="H15" s="29"/>
    </row>
    <row r="16" spans="2:9" ht="15.75" customHeight="1" x14ac:dyDescent="0.25">
      <c r="B16" s="24" t="s">
        <v>128</v>
      </c>
      <c r="C16" s="24"/>
      <c r="D16" s="24"/>
      <c r="E16" s="30"/>
      <c r="F16" s="31">
        <v>44.64</v>
      </c>
      <c r="G16" s="32">
        <v>8.3000000000000001E-3</v>
      </c>
      <c r="H16" s="33"/>
    </row>
    <row r="17" spans="2:8" ht="15.75" customHeight="1" x14ac:dyDescent="0.25">
      <c r="B17" s="25"/>
      <c r="C17" s="25"/>
      <c r="D17" s="25"/>
      <c r="E17" s="26"/>
      <c r="F17" s="27"/>
      <c r="G17" s="28"/>
      <c r="H17" s="29"/>
    </row>
    <row r="18" spans="2:8" ht="15.75" customHeight="1" x14ac:dyDescent="0.25">
      <c r="B18" s="36" t="s">
        <v>132</v>
      </c>
      <c r="C18" s="36"/>
      <c r="D18" s="36"/>
      <c r="E18" s="37"/>
      <c r="F18" s="31">
        <v>44.64</v>
      </c>
      <c r="G18" s="32">
        <v>8.3000000000000001E-3</v>
      </c>
      <c r="H18" s="33"/>
    </row>
    <row r="19" spans="2:8" ht="15.75" customHeight="1" x14ac:dyDescent="0.25">
      <c r="B19" s="25" t="s">
        <v>137</v>
      </c>
      <c r="C19" s="25"/>
      <c r="D19" s="25"/>
      <c r="E19" s="26"/>
      <c r="F19" s="38">
        <v>-6.8</v>
      </c>
      <c r="G19" s="39">
        <v>-1.2000000000000899E-3</v>
      </c>
      <c r="H19" s="29"/>
    </row>
    <row r="20" spans="2:8" ht="15.75" customHeight="1" x14ac:dyDescent="0.25">
      <c r="B20" s="40" t="s">
        <v>138</v>
      </c>
      <c r="C20" s="40"/>
      <c r="D20" s="40"/>
      <c r="E20" s="41"/>
      <c r="F20" s="42">
        <v>5350.67</v>
      </c>
      <c r="G20" s="43">
        <v>1</v>
      </c>
      <c r="H20" s="44"/>
    </row>
    <row r="21" spans="2:8" ht="15.75" customHeight="1" thickBot="1" x14ac:dyDescent="0.3">
      <c r="B21" s="2"/>
    </row>
    <row r="22" spans="2:8" ht="27" customHeight="1" thickBot="1" x14ac:dyDescent="0.3">
      <c r="B22" s="57" t="s">
        <v>980</v>
      </c>
      <c r="C22" s="58" t="s">
        <v>981</v>
      </c>
      <c r="D22" s="58" t="s">
        <v>982</v>
      </c>
      <c r="E22" s="63" t="s">
        <v>983</v>
      </c>
      <c r="G22" s="2"/>
      <c r="H22" s="2"/>
    </row>
    <row r="23" spans="2:8" ht="29.25" customHeight="1" x14ac:dyDescent="0.25">
      <c r="B23" s="64" t="s">
        <v>81</v>
      </c>
      <c r="C23" s="82"/>
      <c r="D23" s="85" t="s">
        <v>1039</v>
      </c>
      <c r="E23" s="87"/>
      <c r="G23" s="2"/>
      <c r="H23" s="2"/>
    </row>
    <row r="24" spans="2:8" ht="40" customHeight="1" x14ac:dyDescent="0.25">
      <c r="B24" s="66" t="s">
        <v>1040</v>
      </c>
      <c r="C24" s="83"/>
      <c r="D24" s="86"/>
      <c r="E24" s="83"/>
      <c r="G24" s="2"/>
      <c r="H24" s="2"/>
    </row>
    <row r="25" spans="2:8" ht="40" customHeight="1" x14ac:dyDescent="0.25">
      <c r="B25" s="66" t="s">
        <v>1041</v>
      </c>
      <c r="C25" s="83"/>
      <c r="D25" s="86"/>
      <c r="E25" s="83"/>
      <c r="G25" s="2"/>
      <c r="H25" s="2"/>
    </row>
    <row r="26" spans="2:8" ht="23.25" customHeight="1" thickBot="1" x14ac:dyDescent="0.3">
      <c r="B26" s="68" t="s">
        <v>1007</v>
      </c>
      <c r="C26" s="84"/>
      <c r="D26" s="71" t="s">
        <v>1007</v>
      </c>
      <c r="E26" s="88"/>
      <c r="G26" s="2"/>
      <c r="H26" s="2"/>
    </row>
    <row r="27" spans="2:8" ht="25" customHeight="1" x14ac:dyDescent="0.25">
      <c r="B27" s="59" t="s">
        <v>985</v>
      </c>
      <c r="C27" s="60"/>
      <c r="D27" s="61"/>
      <c r="E27" s="62"/>
      <c r="G27" s="2"/>
      <c r="H27" s="2"/>
    </row>
    <row r="29" spans="2:8" ht="11.5" x14ac:dyDescent="0.25">
      <c r="B29" s="2" t="s">
        <v>986</v>
      </c>
      <c r="C29" s="2"/>
      <c r="D29" s="2"/>
      <c r="G29" s="2"/>
      <c r="H29" s="2"/>
    </row>
    <row r="30" spans="2:8" ht="11.5" x14ac:dyDescent="0.25">
      <c r="B30" s="3" t="s">
        <v>987</v>
      </c>
      <c r="C30" s="2"/>
      <c r="D30" s="2"/>
      <c r="G30" s="2"/>
      <c r="H30" s="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8" spans="12:16" ht="15.75" customHeight="1" x14ac:dyDescent="0.25">
      <c r="L78" s="7"/>
      <c r="M78" s="7"/>
      <c r="N78" s="7"/>
      <c r="O78" s="7"/>
      <c r="P78" s="7"/>
    </row>
    <row r="79" spans="12:16" ht="15.75" customHeight="1" x14ac:dyDescent="0.25">
      <c r="L79" s="7"/>
      <c r="M79" s="7"/>
      <c r="N79" s="7"/>
      <c r="O79" s="7"/>
      <c r="P79" s="7"/>
    </row>
    <row r="80" spans="1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3">
    <mergeCell ref="C23:C26"/>
    <mergeCell ref="D23:D25"/>
    <mergeCell ref="E23:E26"/>
  </mergeCells>
  <hyperlinks>
    <hyperlink ref="I1" location="'Sheet1'!A1" display="Index" xr:uid="{4647D2C5-9523-4AF2-AC7B-DBEB19CC144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E3388-CF29-4D59-B674-CD23E199EE90}">
  <dimension ref="B1:P95"/>
  <sheetViews>
    <sheetView workbookViewId="0"/>
  </sheetViews>
  <sheetFormatPr defaultColWidth="9.1796875" defaultRowHeight="15.75" customHeight="1" x14ac:dyDescent="0.25"/>
  <cols>
    <col min="1" max="1" width="3.6328125" style="2" customWidth="1"/>
    <col min="2" max="2" width="50.453125" style="9" customWidth="1"/>
    <col min="3" max="4" width="26.6328125" style="9" customWidth="1"/>
    <col min="5" max="5" width="33.08984375" style="2" customWidth="1"/>
    <col min="6" max="6" width="16.453125" style="2" customWidth="1"/>
    <col min="7" max="7" width="15.26953125" style="8" customWidth="1"/>
    <col min="8" max="8" width="4.906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22</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160</v>
      </c>
      <c r="C7" s="25" t="s">
        <v>161</v>
      </c>
      <c r="D7" s="25" t="s">
        <v>156</v>
      </c>
      <c r="E7" s="26">
        <v>776785</v>
      </c>
      <c r="F7" s="27">
        <v>11807.91</v>
      </c>
      <c r="G7" s="28">
        <v>8.3000000000000004E-2</v>
      </c>
      <c r="H7" s="29"/>
    </row>
    <row r="8" spans="2:9" ht="15.75" customHeight="1" x14ac:dyDescent="0.25">
      <c r="B8" s="25" t="s">
        <v>154</v>
      </c>
      <c r="C8" s="25" t="s">
        <v>155</v>
      </c>
      <c r="D8" s="25" t="s">
        <v>156</v>
      </c>
      <c r="E8" s="26">
        <v>962860</v>
      </c>
      <c r="F8" s="27">
        <v>11076.74</v>
      </c>
      <c r="G8" s="28">
        <v>7.7799999999999994E-2</v>
      </c>
      <c r="H8" s="29"/>
    </row>
    <row r="9" spans="2:9" ht="15.75" customHeight="1" x14ac:dyDescent="0.25">
      <c r="B9" s="25" t="s">
        <v>162</v>
      </c>
      <c r="C9" s="25" t="s">
        <v>163</v>
      </c>
      <c r="D9" s="25" t="s">
        <v>164</v>
      </c>
      <c r="E9" s="26">
        <v>376746</v>
      </c>
      <c r="F9" s="27">
        <v>11053.73</v>
      </c>
      <c r="G9" s="28">
        <v>7.7700000000000005E-2</v>
      </c>
      <c r="H9" s="29"/>
    </row>
    <row r="10" spans="2:9" ht="15.75" customHeight="1" x14ac:dyDescent="0.25">
      <c r="B10" s="25" t="s">
        <v>261</v>
      </c>
      <c r="C10" s="25" t="s">
        <v>262</v>
      </c>
      <c r="D10" s="25" t="s">
        <v>263</v>
      </c>
      <c r="E10" s="26">
        <v>190794</v>
      </c>
      <c r="F10" s="27">
        <v>6857.71</v>
      </c>
      <c r="G10" s="28">
        <v>4.82E-2</v>
      </c>
      <c r="H10" s="29"/>
    </row>
    <row r="11" spans="2:9" ht="15.75" customHeight="1" x14ac:dyDescent="0.25">
      <c r="B11" s="25" t="s">
        <v>292</v>
      </c>
      <c r="C11" s="25" t="s">
        <v>293</v>
      </c>
      <c r="D11" s="25" t="s">
        <v>173</v>
      </c>
      <c r="E11" s="26">
        <v>1249098</v>
      </c>
      <c r="F11" s="27">
        <v>5441.7</v>
      </c>
      <c r="G11" s="28">
        <v>3.8199999999999998E-2</v>
      </c>
      <c r="H11" s="29"/>
    </row>
    <row r="12" spans="2:9" ht="15.75" customHeight="1" x14ac:dyDescent="0.25">
      <c r="B12" s="25" t="s">
        <v>247</v>
      </c>
      <c r="C12" s="25" t="s">
        <v>248</v>
      </c>
      <c r="D12" s="25" t="s">
        <v>156</v>
      </c>
      <c r="E12" s="26">
        <v>431662</v>
      </c>
      <c r="F12" s="27">
        <v>5032.75</v>
      </c>
      <c r="G12" s="28">
        <v>3.5400000000000001E-2</v>
      </c>
      <c r="H12" s="29"/>
    </row>
    <row r="13" spans="2:9" ht="15.75" customHeight="1" x14ac:dyDescent="0.25">
      <c r="B13" s="25" t="s">
        <v>157</v>
      </c>
      <c r="C13" s="25" t="s">
        <v>158</v>
      </c>
      <c r="D13" s="25" t="s">
        <v>159</v>
      </c>
      <c r="E13" s="26">
        <v>312650</v>
      </c>
      <c r="F13" s="27">
        <v>4441.3500000000004</v>
      </c>
      <c r="G13" s="28">
        <v>3.1199999999999999E-2</v>
      </c>
      <c r="H13" s="29"/>
    </row>
    <row r="14" spans="2:9" ht="15.75" customHeight="1" x14ac:dyDescent="0.25">
      <c r="B14" s="25" t="s">
        <v>434</v>
      </c>
      <c r="C14" s="25" t="s">
        <v>435</v>
      </c>
      <c r="D14" s="25" t="s">
        <v>268</v>
      </c>
      <c r="E14" s="26">
        <v>322865</v>
      </c>
      <c r="F14" s="27">
        <v>4269.24</v>
      </c>
      <c r="G14" s="28">
        <v>0.03</v>
      </c>
      <c r="H14" s="29"/>
    </row>
    <row r="15" spans="2:9" ht="15.75" customHeight="1" x14ac:dyDescent="0.25">
      <c r="B15" s="25" t="s">
        <v>330</v>
      </c>
      <c r="C15" s="25" t="s">
        <v>331</v>
      </c>
      <c r="D15" s="25" t="s">
        <v>156</v>
      </c>
      <c r="E15" s="26">
        <v>506761</v>
      </c>
      <c r="F15" s="27">
        <v>4187.1099999999997</v>
      </c>
      <c r="G15" s="28">
        <v>2.9399999999999999E-2</v>
      </c>
      <c r="H15" s="29"/>
    </row>
    <row r="16" spans="2:9" ht="15.75" customHeight="1" x14ac:dyDescent="0.25">
      <c r="B16" s="25" t="s">
        <v>207</v>
      </c>
      <c r="C16" s="25" t="s">
        <v>208</v>
      </c>
      <c r="D16" s="25" t="s">
        <v>209</v>
      </c>
      <c r="E16" s="26">
        <v>854316</v>
      </c>
      <c r="F16" s="27">
        <v>3772.23</v>
      </c>
      <c r="G16" s="28">
        <v>2.6499999999999999E-2</v>
      </c>
      <c r="H16" s="29"/>
    </row>
    <row r="17" spans="2:8" ht="15.75" customHeight="1" x14ac:dyDescent="0.25">
      <c r="B17" s="25" t="s">
        <v>332</v>
      </c>
      <c r="C17" s="25" t="s">
        <v>333</v>
      </c>
      <c r="D17" s="25" t="s">
        <v>159</v>
      </c>
      <c r="E17" s="26">
        <v>90915</v>
      </c>
      <c r="F17" s="27">
        <v>3473.54</v>
      </c>
      <c r="G17" s="28">
        <v>2.4400000000000002E-2</v>
      </c>
      <c r="H17" s="29"/>
    </row>
    <row r="18" spans="2:8" ht="15.75" customHeight="1" x14ac:dyDescent="0.25">
      <c r="B18" s="25" t="s">
        <v>227</v>
      </c>
      <c r="C18" s="25" t="s">
        <v>228</v>
      </c>
      <c r="D18" s="25" t="s">
        <v>156</v>
      </c>
      <c r="E18" s="26">
        <v>206793</v>
      </c>
      <c r="F18" s="27">
        <v>3358.21</v>
      </c>
      <c r="G18" s="28">
        <v>2.3599999999999999E-2</v>
      </c>
      <c r="H18" s="29"/>
    </row>
    <row r="19" spans="2:8" ht="15.75" customHeight="1" x14ac:dyDescent="0.25">
      <c r="B19" s="25" t="s">
        <v>171</v>
      </c>
      <c r="C19" s="25" t="s">
        <v>172</v>
      </c>
      <c r="D19" s="25" t="s">
        <v>173</v>
      </c>
      <c r="E19" s="26">
        <v>127390</v>
      </c>
      <c r="F19" s="27">
        <v>2841.37</v>
      </c>
      <c r="G19" s="28">
        <v>0.02</v>
      </c>
      <c r="H19" s="29"/>
    </row>
    <row r="20" spans="2:8" ht="15.75" customHeight="1" x14ac:dyDescent="0.25">
      <c r="B20" s="25" t="s">
        <v>440</v>
      </c>
      <c r="C20" s="25" t="s">
        <v>441</v>
      </c>
      <c r="D20" s="25" t="s">
        <v>442</v>
      </c>
      <c r="E20" s="26">
        <v>76243</v>
      </c>
      <c r="F20" s="27">
        <v>2736.55</v>
      </c>
      <c r="G20" s="28">
        <v>1.9199999999999998E-2</v>
      </c>
      <c r="H20" s="29"/>
    </row>
    <row r="21" spans="2:8" ht="15.75" customHeight="1" x14ac:dyDescent="0.25">
      <c r="B21" s="25" t="s">
        <v>336</v>
      </c>
      <c r="C21" s="25" t="s">
        <v>337</v>
      </c>
      <c r="D21" s="25" t="s">
        <v>281</v>
      </c>
      <c r="E21" s="26">
        <v>751813</v>
      </c>
      <c r="F21" s="27">
        <v>2730.58</v>
      </c>
      <c r="G21" s="28">
        <v>1.9199999999999998E-2</v>
      </c>
      <c r="H21" s="29"/>
    </row>
    <row r="22" spans="2:8" ht="15.75" customHeight="1" x14ac:dyDescent="0.25">
      <c r="B22" s="25" t="s">
        <v>232</v>
      </c>
      <c r="C22" s="25" t="s">
        <v>233</v>
      </c>
      <c r="D22" s="25" t="s">
        <v>234</v>
      </c>
      <c r="E22" s="26">
        <v>1144292</v>
      </c>
      <c r="F22" s="27">
        <v>2674.78</v>
      </c>
      <c r="G22" s="28">
        <v>1.8800000000000001E-2</v>
      </c>
      <c r="H22" s="29"/>
    </row>
    <row r="23" spans="2:8" ht="15.75" customHeight="1" x14ac:dyDescent="0.25">
      <c r="B23" s="25" t="s">
        <v>320</v>
      </c>
      <c r="C23" s="25" t="s">
        <v>321</v>
      </c>
      <c r="D23" s="25" t="s">
        <v>244</v>
      </c>
      <c r="E23" s="26">
        <v>105656</v>
      </c>
      <c r="F23" s="27">
        <v>2548.0500000000002</v>
      </c>
      <c r="G23" s="28">
        <v>1.7899999999999999E-2</v>
      </c>
      <c r="H23" s="29"/>
    </row>
    <row r="24" spans="2:8" ht="15.75" customHeight="1" x14ac:dyDescent="0.25">
      <c r="B24" s="25" t="s">
        <v>210</v>
      </c>
      <c r="C24" s="25" t="s">
        <v>211</v>
      </c>
      <c r="D24" s="25" t="s">
        <v>209</v>
      </c>
      <c r="E24" s="26">
        <v>36277</v>
      </c>
      <c r="F24" s="27">
        <v>2511.66</v>
      </c>
      <c r="G24" s="28">
        <v>1.7600000000000001E-2</v>
      </c>
      <c r="H24" s="29"/>
    </row>
    <row r="25" spans="2:8" ht="15.75" customHeight="1" x14ac:dyDescent="0.25">
      <c r="B25" s="25" t="s">
        <v>532</v>
      </c>
      <c r="C25" s="25" t="s">
        <v>533</v>
      </c>
      <c r="D25" s="25" t="s">
        <v>167</v>
      </c>
      <c r="E25" s="26">
        <v>186772</v>
      </c>
      <c r="F25" s="27">
        <v>1882.47</v>
      </c>
      <c r="G25" s="28">
        <v>1.32E-2</v>
      </c>
      <c r="H25" s="29"/>
    </row>
    <row r="26" spans="2:8" ht="15.75" customHeight="1" x14ac:dyDescent="0.25">
      <c r="B26" s="25" t="s">
        <v>344</v>
      </c>
      <c r="C26" s="25" t="s">
        <v>345</v>
      </c>
      <c r="D26" s="25" t="s">
        <v>167</v>
      </c>
      <c r="E26" s="26">
        <v>14631</v>
      </c>
      <c r="F26" s="27">
        <v>1875.33</v>
      </c>
      <c r="G26" s="28">
        <v>1.32E-2</v>
      </c>
      <c r="H26" s="29"/>
    </row>
    <row r="27" spans="2:8" ht="15.75" customHeight="1" x14ac:dyDescent="0.25">
      <c r="B27" s="25" t="s">
        <v>334</v>
      </c>
      <c r="C27" s="25" t="s">
        <v>335</v>
      </c>
      <c r="D27" s="25" t="s">
        <v>159</v>
      </c>
      <c r="E27" s="26">
        <v>134874</v>
      </c>
      <c r="F27" s="27">
        <v>1843.19</v>
      </c>
      <c r="G27" s="28">
        <v>1.2999999999999999E-2</v>
      </c>
      <c r="H27" s="29"/>
    </row>
    <row r="28" spans="2:8" ht="15.75" customHeight="1" x14ac:dyDescent="0.25">
      <c r="B28" s="25" t="s">
        <v>165</v>
      </c>
      <c r="C28" s="25" t="s">
        <v>166</v>
      </c>
      <c r="D28" s="25" t="s">
        <v>167</v>
      </c>
      <c r="E28" s="26">
        <v>77535</v>
      </c>
      <c r="F28" s="27">
        <v>1671.93</v>
      </c>
      <c r="G28" s="28">
        <v>1.17E-2</v>
      </c>
      <c r="H28" s="29"/>
    </row>
    <row r="29" spans="2:8" ht="15.75" customHeight="1" x14ac:dyDescent="0.25">
      <c r="B29" s="25" t="s">
        <v>341</v>
      </c>
      <c r="C29" s="25" t="s">
        <v>342</v>
      </c>
      <c r="D29" s="25" t="s">
        <v>343</v>
      </c>
      <c r="E29" s="26">
        <v>82747</v>
      </c>
      <c r="F29" s="27">
        <v>1639.51</v>
      </c>
      <c r="G29" s="28">
        <v>1.15E-2</v>
      </c>
      <c r="H29" s="29"/>
    </row>
    <row r="30" spans="2:8" ht="15.75" customHeight="1" x14ac:dyDescent="0.25">
      <c r="B30" s="25" t="s">
        <v>220</v>
      </c>
      <c r="C30" s="25" t="s">
        <v>221</v>
      </c>
      <c r="D30" s="25" t="s">
        <v>156</v>
      </c>
      <c r="E30" s="26">
        <v>104473</v>
      </c>
      <c r="F30" s="27">
        <v>1583.5</v>
      </c>
      <c r="G30" s="28">
        <v>1.11E-2</v>
      </c>
      <c r="H30" s="29"/>
    </row>
    <row r="31" spans="2:8" ht="15.75" customHeight="1" x14ac:dyDescent="0.25">
      <c r="B31" s="25" t="s">
        <v>470</v>
      </c>
      <c r="C31" s="25" t="s">
        <v>471</v>
      </c>
      <c r="D31" s="25" t="s">
        <v>214</v>
      </c>
      <c r="E31" s="26">
        <v>105333</v>
      </c>
      <c r="F31" s="27">
        <v>1582.21</v>
      </c>
      <c r="G31" s="28">
        <v>1.11E-2</v>
      </c>
      <c r="H31" s="29"/>
    </row>
    <row r="32" spans="2:8" ht="15.75" customHeight="1" x14ac:dyDescent="0.25">
      <c r="B32" s="25" t="s">
        <v>282</v>
      </c>
      <c r="C32" s="25" t="s">
        <v>283</v>
      </c>
      <c r="D32" s="25" t="s">
        <v>226</v>
      </c>
      <c r="E32" s="26">
        <v>220486</v>
      </c>
      <c r="F32" s="27">
        <v>1420.81</v>
      </c>
      <c r="G32" s="28">
        <v>0.01</v>
      </c>
      <c r="H32" s="29"/>
    </row>
    <row r="33" spans="2:8" ht="15.75" customHeight="1" x14ac:dyDescent="0.25">
      <c r="B33" s="25" t="s">
        <v>427</v>
      </c>
      <c r="C33" s="25" t="s">
        <v>428</v>
      </c>
      <c r="D33" s="25" t="s">
        <v>426</v>
      </c>
      <c r="E33" s="26">
        <v>733756</v>
      </c>
      <c r="F33" s="27">
        <v>1417.25</v>
      </c>
      <c r="G33" s="28">
        <v>0.01</v>
      </c>
      <c r="H33" s="29"/>
    </row>
    <row r="34" spans="2:8" ht="15.75" customHeight="1" x14ac:dyDescent="0.25">
      <c r="B34" s="25" t="s">
        <v>310</v>
      </c>
      <c r="C34" s="25" t="s">
        <v>311</v>
      </c>
      <c r="D34" s="25" t="s">
        <v>312</v>
      </c>
      <c r="E34" s="26">
        <v>305281</v>
      </c>
      <c r="F34" s="27">
        <v>1386.89</v>
      </c>
      <c r="G34" s="28">
        <v>9.7000000000000003E-3</v>
      </c>
      <c r="H34" s="29"/>
    </row>
    <row r="35" spans="2:8" ht="15.75" customHeight="1" x14ac:dyDescent="0.25">
      <c r="B35" s="25" t="s">
        <v>674</v>
      </c>
      <c r="C35" s="25" t="s">
        <v>675</v>
      </c>
      <c r="D35" s="25" t="s">
        <v>406</v>
      </c>
      <c r="E35" s="26">
        <v>483809</v>
      </c>
      <c r="F35" s="27">
        <v>1368.45</v>
      </c>
      <c r="G35" s="28">
        <v>9.5999999999999992E-3</v>
      </c>
      <c r="H35" s="29"/>
    </row>
    <row r="36" spans="2:8" ht="15.75" customHeight="1" x14ac:dyDescent="0.25">
      <c r="B36" s="25" t="s">
        <v>346</v>
      </c>
      <c r="C36" s="25" t="s">
        <v>347</v>
      </c>
      <c r="D36" s="25" t="s">
        <v>167</v>
      </c>
      <c r="E36" s="26">
        <v>28256</v>
      </c>
      <c r="F36" s="27">
        <v>1283.68</v>
      </c>
      <c r="G36" s="28">
        <v>8.9999999999999993E-3</v>
      </c>
      <c r="H36" s="29"/>
    </row>
    <row r="37" spans="2:8" ht="15.75" customHeight="1" x14ac:dyDescent="0.25">
      <c r="B37" s="25" t="s">
        <v>779</v>
      </c>
      <c r="C37" s="25" t="s">
        <v>780</v>
      </c>
      <c r="D37" s="25" t="s">
        <v>253</v>
      </c>
      <c r="E37" s="26">
        <v>113037</v>
      </c>
      <c r="F37" s="27">
        <v>1252.8499999999999</v>
      </c>
      <c r="G37" s="28">
        <v>8.8000000000000005E-3</v>
      </c>
      <c r="H37" s="29"/>
    </row>
    <row r="38" spans="2:8" ht="15.75" customHeight="1" x14ac:dyDescent="0.25">
      <c r="B38" s="25" t="s">
        <v>353</v>
      </c>
      <c r="C38" s="25" t="s">
        <v>354</v>
      </c>
      <c r="D38" s="25" t="s">
        <v>244</v>
      </c>
      <c r="E38" s="26">
        <v>11969</v>
      </c>
      <c r="F38" s="27">
        <v>1193.53</v>
      </c>
      <c r="G38" s="28">
        <v>8.3999999999999995E-3</v>
      </c>
      <c r="H38" s="29"/>
    </row>
    <row r="39" spans="2:8" ht="15.75" customHeight="1" x14ac:dyDescent="0.25">
      <c r="B39" s="25" t="s">
        <v>355</v>
      </c>
      <c r="C39" s="25" t="s">
        <v>356</v>
      </c>
      <c r="D39" s="25" t="s">
        <v>281</v>
      </c>
      <c r="E39" s="26">
        <v>394783</v>
      </c>
      <c r="F39" s="27">
        <v>1191.6500000000001</v>
      </c>
      <c r="G39" s="28">
        <v>8.3999999999999995E-3</v>
      </c>
      <c r="H39" s="29"/>
    </row>
    <row r="40" spans="2:8" ht="15.75" customHeight="1" x14ac:dyDescent="0.25">
      <c r="B40" s="25" t="s">
        <v>436</v>
      </c>
      <c r="C40" s="25" t="s">
        <v>437</v>
      </c>
      <c r="D40" s="25" t="s">
        <v>315</v>
      </c>
      <c r="E40" s="26">
        <v>109105</v>
      </c>
      <c r="F40" s="27">
        <v>1133.33</v>
      </c>
      <c r="G40" s="28">
        <v>8.0000000000000002E-3</v>
      </c>
      <c r="H40" s="29"/>
    </row>
    <row r="41" spans="2:8" ht="15.75" customHeight="1" x14ac:dyDescent="0.25">
      <c r="B41" s="25" t="s">
        <v>351</v>
      </c>
      <c r="C41" s="25" t="s">
        <v>352</v>
      </c>
      <c r="D41" s="25" t="s">
        <v>214</v>
      </c>
      <c r="E41" s="26">
        <v>47222</v>
      </c>
      <c r="F41" s="27">
        <v>1116.52</v>
      </c>
      <c r="G41" s="28">
        <v>7.7999999999999996E-3</v>
      </c>
      <c r="H41" s="29"/>
    </row>
    <row r="42" spans="2:8" ht="15.75" customHeight="1" x14ac:dyDescent="0.25">
      <c r="B42" s="25" t="s">
        <v>304</v>
      </c>
      <c r="C42" s="25" t="s">
        <v>305</v>
      </c>
      <c r="D42" s="25" t="s">
        <v>296</v>
      </c>
      <c r="E42" s="26">
        <v>840628</v>
      </c>
      <c r="F42" s="27">
        <v>1102.9000000000001</v>
      </c>
      <c r="G42" s="28">
        <v>7.7999999999999996E-3</v>
      </c>
      <c r="H42" s="29"/>
    </row>
    <row r="43" spans="2:8" ht="15.75" customHeight="1" x14ac:dyDescent="0.25">
      <c r="B43" s="25" t="s">
        <v>378</v>
      </c>
      <c r="C43" s="25" t="s">
        <v>379</v>
      </c>
      <c r="D43" s="25" t="s">
        <v>380</v>
      </c>
      <c r="E43" s="26">
        <v>73788</v>
      </c>
      <c r="F43" s="27">
        <v>1091.6600000000001</v>
      </c>
      <c r="G43" s="28">
        <v>7.7000000000000002E-3</v>
      </c>
      <c r="H43" s="29"/>
    </row>
    <row r="44" spans="2:8" ht="15.75" customHeight="1" x14ac:dyDescent="0.25">
      <c r="B44" s="25" t="s">
        <v>781</v>
      </c>
      <c r="C44" s="25" t="s">
        <v>782</v>
      </c>
      <c r="D44" s="25" t="s">
        <v>167</v>
      </c>
      <c r="E44" s="26">
        <v>23444</v>
      </c>
      <c r="F44" s="27">
        <v>1077.81</v>
      </c>
      <c r="G44" s="28">
        <v>7.6E-3</v>
      </c>
      <c r="H44" s="29"/>
    </row>
    <row r="45" spans="2:8" ht="15.75" customHeight="1" x14ac:dyDescent="0.25">
      <c r="B45" s="25" t="s">
        <v>611</v>
      </c>
      <c r="C45" s="25" t="s">
        <v>612</v>
      </c>
      <c r="D45" s="25" t="s">
        <v>361</v>
      </c>
      <c r="E45" s="26">
        <v>17769</v>
      </c>
      <c r="F45" s="27">
        <v>1056.74</v>
      </c>
      <c r="G45" s="28">
        <v>7.4000000000000003E-3</v>
      </c>
      <c r="H45" s="29"/>
    </row>
    <row r="46" spans="2:8" ht="15.75" customHeight="1" x14ac:dyDescent="0.25">
      <c r="B46" s="25" t="s">
        <v>424</v>
      </c>
      <c r="C46" s="25" t="s">
        <v>425</v>
      </c>
      <c r="D46" s="25" t="s">
        <v>426</v>
      </c>
      <c r="E46" s="26">
        <v>23933</v>
      </c>
      <c r="F46" s="27">
        <v>1055.42</v>
      </c>
      <c r="G46" s="28">
        <v>7.4000000000000003E-3</v>
      </c>
      <c r="H46" s="29"/>
    </row>
    <row r="47" spans="2:8" ht="15.75" customHeight="1" x14ac:dyDescent="0.25">
      <c r="B47" s="25" t="s">
        <v>284</v>
      </c>
      <c r="C47" s="25" t="s">
        <v>285</v>
      </c>
      <c r="D47" s="25" t="s">
        <v>286</v>
      </c>
      <c r="E47" s="26">
        <v>72900</v>
      </c>
      <c r="F47" s="27">
        <v>1047.24</v>
      </c>
      <c r="G47" s="28">
        <v>7.4000000000000003E-3</v>
      </c>
      <c r="H47" s="29"/>
    </row>
    <row r="48" spans="2:8" ht="15.75" customHeight="1" x14ac:dyDescent="0.25">
      <c r="B48" s="25" t="s">
        <v>560</v>
      </c>
      <c r="C48" s="25" t="s">
        <v>561</v>
      </c>
      <c r="D48" s="25" t="s">
        <v>170</v>
      </c>
      <c r="E48" s="26">
        <v>21300</v>
      </c>
      <c r="F48" s="27">
        <v>1017.28</v>
      </c>
      <c r="G48" s="28">
        <v>7.1000000000000004E-3</v>
      </c>
      <c r="H48" s="29"/>
    </row>
    <row r="49" spans="2:8" ht="15.75" customHeight="1" x14ac:dyDescent="0.25">
      <c r="B49" s="25" t="s">
        <v>290</v>
      </c>
      <c r="C49" s="25" t="s">
        <v>291</v>
      </c>
      <c r="D49" s="25" t="s">
        <v>260</v>
      </c>
      <c r="E49" s="26">
        <v>31605</v>
      </c>
      <c r="F49" s="27">
        <v>963.64</v>
      </c>
      <c r="G49" s="28">
        <v>6.7999999999999996E-3</v>
      </c>
      <c r="H49" s="29"/>
    </row>
    <row r="50" spans="2:8" ht="15.75" customHeight="1" x14ac:dyDescent="0.25">
      <c r="B50" s="25" t="s">
        <v>198</v>
      </c>
      <c r="C50" s="25" t="s">
        <v>199</v>
      </c>
      <c r="D50" s="25" t="s">
        <v>197</v>
      </c>
      <c r="E50" s="26">
        <v>519152</v>
      </c>
      <c r="F50" s="27">
        <v>856.6</v>
      </c>
      <c r="G50" s="28">
        <v>6.0000000000000001E-3</v>
      </c>
      <c r="H50" s="29"/>
    </row>
    <row r="51" spans="2:8" ht="15.75" customHeight="1" x14ac:dyDescent="0.25">
      <c r="B51" s="25" t="s">
        <v>449</v>
      </c>
      <c r="C51" s="25" t="s">
        <v>450</v>
      </c>
      <c r="D51" s="25" t="s">
        <v>442</v>
      </c>
      <c r="E51" s="26">
        <v>48766</v>
      </c>
      <c r="F51" s="27">
        <v>811.47</v>
      </c>
      <c r="G51" s="28">
        <v>5.7000000000000002E-3</v>
      </c>
      <c r="H51" s="29"/>
    </row>
    <row r="52" spans="2:8" ht="15.75" customHeight="1" x14ac:dyDescent="0.25">
      <c r="B52" s="25" t="s">
        <v>264</v>
      </c>
      <c r="C52" s="25" t="s">
        <v>265</v>
      </c>
      <c r="D52" s="25" t="s">
        <v>159</v>
      </c>
      <c r="E52" s="26">
        <v>64088</v>
      </c>
      <c r="F52" s="27">
        <v>809.75</v>
      </c>
      <c r="G52" s="28">
        <v>5.7000000000000002E-3</v>
      </c>
      <c r="H52" s="29"/>
    </row>
    <row r="53" spans="2:8" ht="15.75" customHeight="1" x14ac:dyDescent="0.25">
      <c r="B53" s="25" t="s">
        <v>297</v>
      </c>
      <c r="C53" s="25" t="s">
        <v>298</v>
      </c>
      <c r="D53" s="25" t="s">
        <v>209</v>
      </c>
      <c r="E53" s="26">
        <v>149291</v>
      </c>
      <c r="F53" s="27">
        <v>757.13</v>
      </c>
      <c r="G53" s="28">
        <v>5.3E-3</v>
      </c>
      <c r="H53" s="29"/>
    </row>
    <row r="54" spans="2:8" ht="15.75" customHeight="1" x14ac:dyDescent="0.25">
      <c r="B54" s="25" t="s">
        <v>271</v>
      </c>
      <c r="C54" s="25" t="s">
        <v>272</v>
      </c>
      <c r="D54" s="25" t="s">
        <v>209</v>
      </c>
      <c r="E54" s="26">
        <v>46415</v>
      </c>
      <c r="F54" s="27">
        <v>749.6</v>
      </c>
      <c r="G54" s="28">
        <v>5.3E-3</v>
      </c>
      <c r="H54" s="29"/>
    </row>
    <row r="55" spans="2:8" ht="15.75" customHeight="1" x14ac:dyDescent="0.25">
      <c r="B55" s="25" t="s">
        <v>279</v>
      </c>
      <c r="C55" s="25" t="s">
        <v>280</v>
      </c>
      <c r="D55" s="25" t="s">
        <v>281</v>
      </c>
      <c r="E55" s="26">
        <v>162150</v>
      </c>
      <c r="F55" s="27">
        <v>728.46</v>
      </c>
      <c r="G55" s="28">
        <v>5.1000000000000004E-3</v>
      </c>
      <c r="H55" s="29"/>
    </row>
    <row r="56" spans="2:8" ht="15.75" customHeight="1" x14ac:dyDescent="0.25">
      <c r="B56" s="25" t="s">
        <v>672</v>
      </c>
      <c r="C56" s="25" t="s">
        <v>673</v>
      </c>
      <c r="D56" s="25" t="s">
        <v>234</v>
      </c>
      <c r="E56" s="26">
        <v>36290</v>
      </c>
      <c r="F56" s="27">
        <v>717.65</v>
      </c>
      <c r="G56" s="28">
        <v>5.0000000000000001E-3</v>
      </c>
      <c r="H56" s="29"/>
    </row>
    <row r="57" spans="2:8" ht="15.75" customHeight="1" x14ac:dyDescent="0.25">
      <c r="B57" s="25" t="s">
        <v>637</v>
      </c>
      <c r="C57" s="25" t="s">
        <v>638</v>
      </c>
      <c r="D57" s="25" t="s">
        <v>639</v>
      </c>
      <c r="E57" s="26">
        <v>2334</v>
      </c>
      <c r="F57" s="27">
        <v>711.13</v>
      </c>
      <c r="G57" s="28">
        <v>5.0000000000000001E-3</v>
      </c>
      <c r="H57" s="29"/>
    </row>
    <row r="58" spans="2:8" ht="15.75" customHeight="1" x14ac:dyDescent="0.25">
      <c r="B58" s="25" t="s">
        <v>783</v>
      </c>
      <c r="C58" s="25" t="s">
        <v>784</v>
      </c>
      <c r="D58" s="25" t="s">
        <v>426</v>
      </c>
      <c r="E58" s="26">
        <v>15303</v>
      </c>
      <c r="F58" s="27">
        <v>704.52</v>
      </c>
      <c r="G58" s="28">
        <v>5.0000000000000001E-3</v>
      </c>
      <c r="H58" s="29"/>
    </row>
    <row r="59" spans="2:8" ht="15.75" customHeight="1" x14ac:dyDescent="0.25">
      <c r="B59" s="25" t="s">
        <v>168</v>
      </c>
      <c r="C59" s="25" t="s">
        <v>169</v>
      </c>
      <c r="D59" s="25" t="s">
        <v>170</v>
      </c>
      <c r="E59" s="26">
        <v>27797</v>
      </c>
      <c r="F59" s="27">
        <v>696.98</v>
      </c>
      <c r="G59" s="28">
        <v>4.8999999999999998E-3</v>
      </c>
      <c r="H59" s="29"/>
    </row>
    <row r="60" spans="2:8" ht="15.75" customHeight="1" x14ac:dyDescent="0.25">
      <c r="B60" s="25" t="s">
        <v>348</v>
      </c>
      <c r="C60" s="25" t="s">
        <v>349</v>
      </c>
      <c r="D60" s="25" t="s">
        <v>350</v>
      </c>
      <c r="E60" s="26">
        <v>371750</v>
      </c>
      <c r="F60" s="27">
        <v>677.51</v>
      </c>
      <c r="G60" s="28">
        <v>4.7999999999999996E-3</v>
      </c>
      <c r="H60" s="29"/>
    </row>
    <row r="61" spans="2:8" ht="15.75" customHeight="1" x14ac:dyDescent="0.25">
      <c r="B61" s="25" t="s">
        <v>174</v>
      </c>
      <c r="C61" s="25" t="s">
        <v>175</v>
      </c>
      <c r="D61" s="25" t="s">
        <v>159</v>
      </c>
      <c r="E61" s="26">
        <v>14170</v>
      </c>
      <c r="F61" s="27">
        <v>666.9</v>
      </c>
      <c r="G61" s="28">
        <v>4.7000000000000002E-3</v>
      </c>
      <c r="H61" s="29"/>
    </row>
    <row r="62" spans="2:8" ht="15.75" customHeight="1" x14ac:dyDescent="0.25">
      <c r="B62" s="25" t="s">
        <v>411</v>
      </c>
      <c r="C62" s="25" t="s">
        <v>412</v>
      </c>
      <c r="D62" s="25" t="s">
        <v>214</v>
      </c>
      <c r="E62" s="26">
        <v>10565</v>
      </c>
      <c r="F62" s="27">
        <v>655.48</v>
      </c>
      <c r="G62" s="28">
        <v>4.5999999999999999E-3</v>
      </c>
      <c r="H62" s="29"/>
    </row>
    <row r="63" spans="2:8" ht="15.75" customHeight="1" x14ac:dyDescent="0.25">
      <c r="B63" s="25" t="s">
        <v>235</v>
      </c>
      <c r="C63" s="25" t="s">
        <v>236</v>
      </c>
      <c r="D63" s="25" t="s">
        <v>156</v>
      </c>
      <c r="E63" s="26">
        <v>229346</v>
      </c>
      <c r="F63" s="27">
        <v>645.61</v>
      </c>
      <c r="G63" s="28">
        <v>4.4999999999999997E-3</v>
      </c>
      <c r="H63" s="29"/>
    </row>
    <row r="64" spans="2:8" ht="15.75" customHeight="1" x14ac:dyDescent="0.25">
      <c r="B64" s="25" t="s">
        <v>318</v>
      </c>
      <c r="C64" s="25" t="s">
        <v>319</v>
      </c>
      <c r="D64" s="25" t="s">
        <v>231</v>
      </c>
      <c r="E64" s="26">
        <v>117923</v>
      </c>
      <c r="F64" s="27">
        <v>598.75</v>
      </c>
      <c r="G64" s="28">
        <v>4.1999999999999997E-3</v>
      </c>
      <c r="H64" s="29"/>
    </row>
    <row r="65" spans="2:16" ht="15.75" customHeight="1" x14ac:dyDescent="0.25">
      <c r="B65" s="25" t="s">
        <v>357</v>
      </c>
      <c r="C65" s="25" t="s">
        <v>358</v>
      </c>
      <c r="D65" s="25" t="s">
        <v>260</v>
      </c>
      <c r="E65" s="26">
        <v>20998</v>
      </c>
      <c r="F65" s="27">
        <v>550.37</v>
      </c>
      <c r="G65" s="28">
        <v>3.8999999999999998E-3</v>
      </c>
      <c r="H65" s="29"/>
    </row>
    <row r="66" spans="2:16" ht="15.75" customHeight="1" x14ac:dyDescent="0.25">
      <c r="B66" s="25" t="s">
        <v>190</v>
      </c>
      <c r="C66" s="25" t="s">
        <v>191</v>
      </c>
      <c r="D66" s="25" t="s">
        <v>156</v>
      </c>
      <c r="E66" s="26">
        <v>77598</v>
      </c>
      <c r="F66" s="27">
        <v>482.62</v>
      </c>
      <c r="G66" s="28">
        <v>3.3999999999999998E-3</v>
      </c>
      <c r="H66" s="29"/>
    </row>
    <row r="67" spans="2:16" ht="15.75" customHeight="1" x14ac:dyDescent="0.25">
      <c r="B67" s="25" t="s">
        <v>785</v>
      </c>
      <c r="C67" s="25" t="s">
        <v>786</v>
      </c>
      <c r="D67" s="25" t="s">
        <v>234</v>
      </c>
      <c r="E67" s="26">
        <v>10246</v>
      </c>
      <c r="F67" s="27">
        <v>403.63</v>
      </c>
      <c r="G67" s="28">
        <v>2.8E-3</v>
      </c>
      <c r="H67" s="29"/>
    </row>
    <row r="68" spans="2:16" ht="15.75" customHeight="1" x14ac:dyDescent="0.25">
      <c r="B68" s="25" t="s">
        <v>582</v>
      </c>
      <c r="C68" s="25" t="s">
        <v>583</v>
      </c>
      <c r="D68" s="25" t="s">
        <v>167</v>
      </c>
      <c r="E68" s="26">
        <v>4360</v>
      </c>
      <c r="F68" s="27">
        <v>388.2</v>
      </c>
      <c r="G68" s="28">
        <v>2.7000000000000001E-3</v>
      </c>
      <c r="H68" s="29"/>
      <c r="L68" s="3"/>
    </row>
    <row r="69" spans="2:16" ht="15.75" customHeight="1" x14ac:dyDescent="0.25">
      <c r="B69" s="25" t="s">
        <v>368</v>
      </c>
      <c r="C69" s="25" t="s">
        <v>369</v>
      </c>
      <c r="D69" s="25" t="s">
        <v>343</v>
      </c>
      <c r="E69" s="26">
        <v>18826</v>
      </c>
      <c r="F69" s="27">
        <v>293.17</v>
      </c>
      <c r="G69" s="28">
        <v>2.0999999999999999E-3</v>
      </c>
      <c r="H69" s="29"/>
    </row>
    <row r="70" spans="2:16" ht="15.75" customHeight="1" x14ac:dyDescent="0.25">
      <c r="B70" s="25" t="s">
        <v>409</v>
      </c>
      <c r="C70" s="25" t="s">
        <v>410</v>
      </c>
      <c r="D70" s="25" t="s">
        <v>350</v>
      </c>
      <c r="E70" s="26">
        <v>8413</v>
      </c>
      <c r="F70" s="27">
        <v>58.43</v>
      </c>
      <c r="G70" s="28">
        <v>4.0000000000000002E-4</v>
      </c>
      <c r="H70" s="29"/>
      <c r="L70" s="3"/>
    </row>
    <row r="71" spans="2:16" ht="15.75" customHeight="1" x14ac:dyDescent="0.25">
      <c r="B71" s="24" t="s">
        <v>128</v>
      </c>
      <c r="C71" s="24"/>
      <c r="D71" s="24"/>
      <c r="E71" s="30"/>
      <c r="F71" s="31">
        <v>137034.96</v>
      </c>
      <c r="G71" s="32">
        <v>0.96289999999999998</v>
      </c>
      <c r="H71" s="33"/>
      <c r="L71" s="3"/>
    </row>
    <row r="72" spans="2:16" ht="15.75" customHeight="1" x14ac:dyDescent="0.25">
      <c r="B72" s="24" t="s">
        <v>176</v>
      </c>
      <c r="C72" s="25"/>
      <c r="D72" s="25"/>
      <c r="E72" s="26"/>
      <c r="F72" s="27"/>
      <c r="G72" s="28"/>
      <c r="H72" s="29"/>
      <c r="L72" s="3"/>
    </row>
    <row r="73" spans="2:16" ht="15.75" customHeight="1" x14ac:dyDescent="0.25">
      <c r="B73" s="24" t="s">
        <v>128</v>
      </c>
      <c r="C73" s="25"/>
      <c r="D73" s="25"/>
      <c r="E73" s="26"/>
      <c r="F73" s="34" t="s">
        <v>130</v>
      </c>
      <c r="G73" s="35" t="s">
        <v>130</v>
      </c>
      <c r="H73" s="29"/>
      <c r="L73" s="3"/>
    </row>
    <row r="74" spans="2:16" ht="15.75" customHeight="1" x14ac:dyDescent="0.25">
      <c r="B74" s="25"/>
      <c r="C74" s="25"/>
      <c r="D74" s="25"/>
      <c r="E74" s="26"/>
      <c r="F74" s="27"/>
      <c r="G74" s="28"/>
      <c r="H74" s="29"/>
      <c r="L74" s="3"/>
    </row>
    <row r="75" spans="2:16" ht="15.75" customHeight="1" x14ac:dyDescent="0.25">
      <c r="B75" s="36" t="s">
        <v>132</v>
      </c>
      <c r="C75" s="36"/>
      <c r="D75" s="36"/>
      <c r="E75" s="37"/>
      <c r="F75" s="31">
        <v>137034.96</v>
      </c>
      <c r="G75" s="32">
        <v>0.96289999999999998</v>
      </c>
      <c r="H75" s="33"/>
      <c r="L75" s="5"/>
      <c r="M75" s="5"/>
      <c r="N75" s="6"/>
      <c r="O75" s="6"/>
      <c r="P75" s="5"/>
    </row>
    <row r="76" spans="2:16" ht="15.75" customHeight="1" x14ac:dyDescent="0.25">
      <c r="B76" s="25"/>
      <c r="C76" s="25"/>
      <c r="D76" s="25"/>
      <c r="E76" s="26"/>
      <c r="F76" s="27"/>
      <c r="G76" s="28"/>
      <c r="H76" s="29"/>
    </row>
    <row r="77" spans="2:16" ht="15.75" customHeight="1" x14ac:dyDescent="0.25">
      <c r="B77" s="25"/>
      <c r="C77" s="25"/>
      <c r="D77" s="25"/>
      <c r="E77" s="26"/>
      <c r="F77" s="27"/>
      <c r="G77" s="28"/>
      <c r="H77" s="29"/>
    </row>
    <row r="78" spans="2:16" ht="15.75" customHeight="1" x14ac:dyDescent="0.25">
      <c r="B78" s="24" t="s">
        <v>135</v>
      </c>
      <c r="C78" s="25"/>
      <c r="D78" s="25"/>
      <c r="E78" s="26"/>
      <c r="F78" s="27"/>
      <c r="G78" s="28"/>
      <c r="H78" s="29"/>
      <c r="L78" s="7"/>
      <c r="M78" s="7"/>
      <c r="N78" s="7"/>
      <c r="O78" s="7"/>
      <c r="P78" s="7"/>
    </row>
    <row r="79" spans="2:16" ht="15.75" customHeight="1" x14ac:dyDescent="0.25">
      <c r="B79" s="25" t="s">
        <v>136</v>
      </c>
      <c r="C79" s="25"/>
      <c r="D79" s="25"/>
      <c r="E79" s="26"/>
      <c r="F79" s="27">
        <v>5639.17</v>
      </c>
      <c r="G79" s="28">
        <v>3.9600000000000003E-2</v>
      </c>
      <c r="H79" s="29"/>
      <c r="L79" s="7"/>
      <c r="M79" s="7"/>
      <c r="N79" s="7"/>
      <c r="O79" s="7"/>
      <c r="P79" s="7"/>
    </row>
    <row r="80" spans="2:16" ht="15.75" customHeight="1" x14ac:dyDescent="0.25">
      <c r="B80" s="24" t="s">
        <v>128</v>
      </c>
      <c r="C80" s="24"/>
      <c r="D80" s="24"/>
      <c r="E80" s="30"/>
      <c r="F80" s="31">
        <v>5639.17</v>
      </c>
      <c r="G80" s="32">
        <v>3.9600000000000003E-2</v>
      </c>
      <c r="H80" s="33"/>
      <c r="L80" s="7"/>
      <c r="M80" s="7"/>
      <c r="N80" s="7"/>
      <c r="O80" s="7"/>
      <c r="P80" s="7"/>
    </row>
    <row r="81" spans="2:16" ht="15.75" customHeight="1" x14ac:dyDescent="0.25">
      <c r="B81" s="25"/>
      <c r="C81" s="25"/>
      <c r="D81" s="25"/>
      <c r="E81" s="26"/>
      <c r="F81" s="27"/>
      <c r="G81" s="28"/>
      <c r="H81" s="29"/>
      <c r="L81" s="7"/>
      <c r="M81" s="7"/>
      <c r="N81" s="7"/>
      <c r="O81" s="7"/>
      <c r="P81" s="7"/>
    </row>
    <row r="82" spans="2:16" ht="15.75" customHeight="1" x14ac:dyDescent="0.25">
      <c r="B82" s="36" t="s">
        <v>132</v>
      </c>
      <c r="C82" s="36"/>
      <c r="D82" s="36"/>
      <c r="E82" s="37"/>
      <c r="F82" s="31">
        <v>5639.17</v>
      </c>
      <c r="G82" s="32">
        <v>3.9600000000000003E-2</v>
      </c>
      <c r="H82" s="33"/>
      <c r="L82" s="7"/>
      <c r="M82" s="7"/>
      <c r="N82" s="7"/>
      <c r="O82" s="7"/>
      <c r="P82" s="7"/>
    </row>
    <row r="83" spans="2:16" ht="15.75" customHeight="1" x14ac:dyDescent="0.25">
      <c r="B83" s="25" t="s">
        <v>137</v>
      </c>
      <c r="C83" s="25"/>
      <c r="D83" s="25"/>
      <c r="E83" s="26"/>
      <c r="F83" s="38">
        <v>-368.24</v>
      </c>
      <c r="G83" s="39">
        <v>-2.4999999999999467E-3</v>
      </c>
      <c r="H83" s="29"/>
      <c r="L83" s="7"/>
      <c r="M83" s="7"/>
      <c r="N83" s="7"/>
      <c r="O83" s="7"/>
      <c r="P83" s="7"/>
    </row>
    <row r="84" spans="2:16" ht="15.75" customHeight="1" x14ac:dyDescent="0.25">
      <c r="B84" s="40" t="s">
        <v>138</v>
      </c>
      <c r="C84" s="40"/>
      <c r="D84" s="40"/>
      <c r="E84" s="41"/>
      <c r="F84" s="42">
        <v>142305.89000000001</v>
      </c>
      <c r="G84" s="43">
        <v>1</v>
      </c>
      <c r="H84" s="44"/>
      <c r="L84" s="7"/>
      <c r="M84" s="7"/>
      <c r="N84" s="7"/>
      <c r="O84" s="7"/>
      <c r="P84" s="7"/>
    </row>
    <row r="85" spans="2:16" ht="15.75" customHeight="1" x14ac:dyDescent="0.25">
      <c r="B85" s="2"/>
    </row>
    <row r="86" spans="2:16" ht="15.75" customHeight="1" thickBot="1" x14ac:dyDescent="0.3">
      <c r="L86" s="3"/>
    </row>
    <row r="87" spans="2:16" ht="27" customHeight="1" thickBot="1" x14ac:dyDescent="0.3">
      <c r="B87" s="57" t="s">
        <v>980</v>
      </c>
      <c r="C87" s="58" t="s">
        <v>981</v>
      </c>
      <c r="D87" s="58" t="s">
        <v>982</v>
      </c>
      <c r="E87" s="63" t="s">
        <v>983</v>
      </c>
      <c r="G87" s="2"/>
      <c r="H87" s="2"/>
    </row>
    <row r="88" spans="2:16" ht="27.75" customHeight="1" x14ac:dyDescent="0.25">
      <c r="B88" s="64" t="s">
        <v>83</v>
      </c>
      <c r="C88" s="82"/>
      <c r="D88" s="85" t="s">
        <v>1042</v>
      </c>
      <c r="E88" s="87"/>
      <c r="G88" s="2"/>
      <c r="H88" s="2"/>
    </row>
    <row r="89" spans="2:16" ht="40" customHeight="1" x14ac:dyDescent="0.25">
      <c r="B89" s="66" t="s">
        <v>1043</v>
      </c>
      <c r="C89" s="83"/>
      <c r="D89" s="86"/>
      <c r="E89" s="83"/>
      <c r="G89" s="2"/>
      <c r="H89" s="2"/>
    </row>
    <row r="90" spans="2:16" ht="40" customHeight="1" x14ac:dyDescent="0.25">
      <c r="B90" s="66" t="s">
        <v>1044</v>
      </c>
      <c r="C90" s="83"/>
      <c r="D90" s="86"/>
      <c r="E90" s="83"/>
      <c r="G90" s="2"/>
      <c r="H90" s="2"/>
    </row>
    <row r="91" spans="2:16" ht="27.75" customHeight="1" thickBot="1" x14ac:dyDescent="0.3">
      <c r="B91" s="68" t="s">
        <v>1015</v>
      </c>
      <c r="C91" s="84"/>
      <c r="D91" s="71" t="s">
        <v>1015</v>
      </c>
      <c r="E91" s="88"/>
      <c r="G91" s="2"/>
      <c r="H91" s="2"/>
    </row>
    <row r="92" spans="2:16" ht="25" customHeight="1" x14ac:dyDescent="0.25">
      <c r="B92" s="59" t="s">
        <v>985</v>
      </c>
      <c r="C92" s="60"/>
      <c r="D92" s="61"/>
      <c r="E92" s="62"/>
      <c r="G92" s="2"/>
      <c r="H92" s="2"/>
    </row>
    <row r="94" spans="2:16" ht="11.5" x14ac:dyDescent="0.25">
      <c r="B94" s="2" t="s">
        <v>986</v>
      </c>
      <c r="C94" s="2"/>
      <c r="D94" s="2"/>
      <c r="G94" s="2"/>
      <c r="H94" s="2"/>
    </row>
    <row r="95" spans="2:16" ht="11.5" x14ac:dyDescent="0.25">
      <c r="B95" s="3" t="s">
        <v>987</v>
      </c>
      <c r="C95" s="2"/>
      <c r="D95" s="2"/>
      <c r="G95" s="2"/>
      <c r="H95" s="2"/>
    </row>
  </sheetData>
  <mergeCells count="3">
    <mergeCell ref="C88:C91"/>
    <mergeCell ref="D88:D90"/>
    <mergeCell ref="E88:E91"/>
  </mergeCells>
  <hyperlinks>
    <hyperlink ref="I1" location="'Sheet1'!A1" display="Index" xr:uid="{C012EB7F-4192-415D-939E-A5D8253267E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D7E03-D264-4FD7-B41A-F87F376264AD}">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6.7265625" style="9" customWidth="1"/>
    <col min="4" max="4" width="26.6328125" style="9" customWidth="1"/>
    <col min="5" max="5" width="31.08984375" style="2" customWidth="1"/>
    <col min="6" max="6" width="16.453125" style="2" customWidth="1"/>
    <col min="7" max="7" width="15.26953125" style="8" customWidth="1"/>
    <col min="8" max="8" width="4.906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23</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297</v>
      </c>
      <c r="C7" s="25" t="s">
        <v>298</v>
      </c>
      <c r="D7" s="25" t="s">
        <v>209</v>
      </c>
      <c r="E7" s="26">
        <v>221778</v>
      </c>
      <c r="F7" s="27">
        <v>1124.75</v>
      </c>
      <c r="G7" s="28">
        <v>4.2000000000000003E-2</v>
      </c>
      <c r="H7" s="29"/>
    </row>
    <row r="8" spans="2:9" ht="15.75" customHeight="1" x14ac:dyDescent="0.25">
      <c r="B8" s="25" t="s">
        <v>576</v>
      </c>
      <c r="C8" s="25" t="s">
        <v>577</v>
      </c>
      <c r="D8" s="25" t="s">
        <v>431</v>
      </c>
      <c r="E8" s="26">
        <v>34348</v>
      </c>
      <c r="F8" s="27">
        <v>1114.4000000000001</v>
      </c>
      <c r="G8" s="28">
        <v>4.1599999999999998E-2</v>
      </c>
      <c r="H8" s="29"/>
    </row>
    <row r="9" spans="2:9" ht="15.75" customHeight="1" x14ac:dyDescent="0.25">
      <c r="B9" s="25" t="s">
        <v>348</v>
      </c>
      <c r="C9" s="25" t="s">
        <v>349</v>
      </c>
      <c r="D9" s="25" t="s">
        <v>350</v>
      </c>
      <c r="E9" s="26">
        <v>582213</v>
      </c>
      <c r="F9" s="27">
        <v>1061.08</v>
      </c>
      <c r="G9" s="28">
        <v>3.9600000000000003E-2</v>
      </c>
      <c r="H9" s="29"/>
    </row>
    <row r="10" spans="2:9" ht="15.75" customHeight="1" x14ac:dyDescent="0.25">
      <c r="B10" s="25" t="s">
        <v>787</v>
      </c>
      <c r="C10" s="25" t="s">
        <v>788</v>
      </c>
      <c r="D10" s="25" t="s">
        <v>431</v>
      </c>
      <c r="E10" s="26">
        <v>130822</v>
      </c>
      <c r="F10" s="27">
        <v>1056.26</v>
      </c>
      <c r="G10" s="28">
        <v>3.9399999999999998E-2</v>
      </c>
      <c r="H10" s="29"/>
    </row>
    <row r="11" spans="2:9" ht="15.75" customHeight="1" x14ac:dyDescent="0.25">
      <c r="B11" s="25" t="s">
        <v>429</v>
      </c>
      <c r="C11" s="25" t="s">
        <v>430</v>
      </c>
      <c r="D11" s="25" t="s">
        <v>431</v>
      </c>
      <c r="E11" s="26">
        <v>85696</v>
      </c>
      <c r="F11" s="27">
        <v>979.68</v>
      </c>
      <c r="G11" s="28">
        <v>3.6600000000000001E-2</v>
      </c>
      <c r="H11" s="29"/>
    </row>
    <row r="12" spans="2:9" ht="15.75" customHeight="1" x14ac:dyDescent="0.25">
      <c r="B12" s="25" t="s">
        <v>468</v>
      </c>
      <c r="C12" s="25" t="s">
        <v>469</v>
      </c>
      <c r="D12" s="25" t="s">
        <v>217</v>
      </c>
      <c r="E12" s="26">
        <v>100140</v>
      </c>
      <c r="F12" s="27">
        <v>878.53</v>
      </c>
      <c r="G12" s="28">
        <v>3.2800000000000003E-2</v>
      </c>
      <c r="H12" s="29"/>
    </row>
    <row r="13" spans="2:9" ht="15.75" customHeight="1" x14ac:dyDescent="0.25">
      <c r="B13" s="25" t="s">
        <v>732</v>
      </c>
      <c r="C13" s="25" t="s">
        <v>733</v>
      </c>
      <c r="D13" s="25" t="s">
        <v>431</v>
      </c>
      <c r="E13" s="26">
        <v>8928</v>
      </c>
      <c r="F13" s="27">
        <v>855.19</v>
      </c>
      <c r="G13" s="28">
        <v>3.1899999999999998E-2</v>
      </c>
      <c r="H13" s="29"/>
    </row>
    <row r="14" spans="2:9" ht="15.75" customHeight="1" x14ac:dyDescent="0.25">
      <c r="B14" s="25" t="s">
        <v>341</v>
      </c>
      <c r="C14" s="25" t="s">
        <v>342</v>
      </c>
      <c r="D14" s="25" t="s">
        <v>343</v>
      </c>
      <c r="E14" s="26">
        <v>41374</v>
      </c>
      <c r="F14" s="27">
        <v>819.76</v>
      </c>
      <c r="G14" s="28">
        <v>3.0599999999999999E-2</v>
      </c>
      <c r="H14" s="29"/>
    </row>
    <row r="15" spans="2:9" ht="15.75" customHeight="1" x14ac:dyDescent="0.25">
      <c r="B15" s="25" t="s">
        <v>393</v>
      </c>
      <c r="C15" s="25" t="s">
        <v>394</v>
      </c>
      <c r="D15" s="25" t="s">
        <v>343</v>
      </c>
      <c r="E15" s="26">
        <v>43792</v>
      </c>
      <c r="F15" s="27">
        <v>783.15</v>
      </c>
      <c r="G15" s="28">
        <v>2.92E-2</v>
      </c>
      <c r="H15" s="29"/>
    </row>
    <row r="16" spans="2:9" ht="15.75" customHeight="1" x14ac:dyDescent="0.25">
      <c r="B16" s="25" t="s">
        <v>570</v>
      </c>
      <c r="C16" s="25" t="s">
        <v>571</v>
      </c>
      <c r="D16" s="25" t="s">
        <v>263</v>
      </c>
      <c r="E16" s="26">
        <v>108074</v>
      </c>
      <c r="F16" s="27">
        <v>729.61</v>
      </c>
      <c r="G16" s="28">
        <v>2.7199999999999998E-2</v>
      </c>
      <c r="H16" s="29"/>
    </row>
    <row r="17" spans="2:8" ht="15.75" customHeight="1" x14ac:dyDescent="0.25">
      <c r="B17" s="25" t="s">
        <v>447</v>
      </c>
      <c r="C17" s="25" t="s">
        <v>448</v>
      </c>
      <c r="D17" s="25" t="s">
        <v>431</v>
      </c>
      <c r="E17" s="26">
        <v>216269</v>
      </c>
      <c r="F17" s="27">
        <v>725.47</v>
      </c>
      <c r="G17" s="28">
        <v>2.7099999999999999E-2</v>
      </c>
      <c r="H17" s="29"/>
    </row>
    <row r="18" spans="2:8" ht="15.75" customHeight="1" x14ac:dyDescent="0.25">
      <c r="B18" s="25" t="s">
        <v>724</v>
      </c>
      <c r="C18" s="25" t="s">
        <v>725</v>
      </c>
      <c r="D18" s="25" t="s">
        <v>343</v>
      </c>
      <c r="E18" s="26">
        <v>16026</v>
      </c>
      <c r="F18" s="27">
        <v>723.09</v>
      </c>
      <c r="G18" s="28">
        <v>2.7E-2</v>
      </c>
      <c r="H18" s="29"/>
    </row>
    <row r="19" spans="2:8" ht="15.75" customHeight="1" x14ac:dyDescent="0.25">
      <c r="B19" s="25" t="s">
        <v>554</v>
      </c>
      <c r="C19" s="25" t="s">
        <v>555</v>
      </c>
      <c r="D19" s="25" t="s">
        <v>350</v>
      </c>
      <c r="E19" s="26">
        <v>27923</v>
      </c>
      <c r="F19" s="27">
        <v>701.1</v>
      </c>
      <c r="G19" s="28">
        <v>2.6200000000000001E-2</v>
      </c>
      <c r="H19" s="29"/>
    </row>
    <row r="20" spans="2:8" ht="15.75" customHeight="1" x14ac:dyDescent="0.25">
      <c r="B20" s="25" t="s">
        <v>399</v>
      </c>
      <c r="C20" s="25" t="s">
        <v>400</v>
      </c>
      <c r="D20" s="25" t="s">
        <v>401</v>
      </c>
      <c r="E20" s="26">
        <v>232613</v>
      </c>
      <c r="F20" s="27">
        <v>688.53</v>
      </c>
      <c r="G20" s="28">
        <v>2.5700000000000001E-2</v>
      </c>
      <c r="H20" s="29"/>
    </row>
    <row r="21" spans="2:8" ht="15.75" customHeight="1" x14ac:dyDescent="0.25">
      <c r="B21" s="25" t="s">
        <v>640</v>
      </c>
      <c r="C21" s="25" t="s">
        <v>641</v>
      </c>
      <c r="D21" s="25" t="s">
        <v>639</v>
      </c>
      <c r="E21" s="26">
        <v>109216</v>
      </c>
      <c r="F21" s="27">
        <v>677.58</v>
      </c>
      <c r="G21" s="28">
        <v>2.53E-2</v>
      </c>
      <c r="H21" s="29"/>
    </row>
    <row r="22" spans="2:8" ht="15.75" customHeight="1" x14ac:dyDescent="0.25">
      <c r="B22" s="25" t="s">
        <v>700</v>
      </c>
      <c r="C22" s="25" t="s">
        <v>701</v>
      </c>
      <c r="D22" s="25" t="s">
        <v>343</v>
      </c>
      <c r="E22" s="26">
        <v>42853</v>
      </c>
      <c r="F22" s="27">
        <v>637.20000000000005</v>
      </c>
      <c r="G22" s="28">
        <v>2.3800000000000002E-2</v>
      </c>
      <c r="H22" s="29"/>
    </row>
    <row r="23" spans="2:8" ht="15.75" customHeight="1" x14ac:dyDescent="0.25">
      <c r="B23" s="25" t="s">
        <v>353</v>
      </c>
      <c r="C23" s="25" t="s">
        <v>354</v>
      </c>
      <c r="D23" s="25" t="s">
        <v>244</v>
      </c>
      <c r="E23" s="26">
        <v>6289</v>
      </c>
      <c r="F23" s="27">
        <v>627.13</v>
      </c>
      <c r="G23" s="28">
        <v>2.3400000000000001E-2</v>
      </c>
      <c r="H23" s="29"/>
    </row>
    <row r="24" spans="2:8" ht="15.75" customHeight="1" x14ac:dyDescent="0.25">
      <c r="B24" s="25" t="s">
        <v>670</v>
      </c>
      <c r="C24" s="25" t="s">
        <v>671</v>
      </c>
      <c r="D24" s="25" t="s">
        <v>343</v>
      </c>
      <c r="E24" s="26">
        <v>18959</v>
      </c>
      <c r="F24" s="27">
        <v>620.99</v>
      </c>
      <c r="G24" s="28">
        <v>2.3199999999999998E-2</v>
      </c>
      <c r="H24" s="29"/>
    </row>
    <row r="25" spans="2:8" ht="15.75" customHeight="1" x14ac:dyDescent="0.25">
      <c r="B25" s="25" t="s">
        <v>789</v>
      </c>
      <c r="C25" s="25" t="s">
        <v>790</v>
      </c>
      <c r="D25" s="25" t="s">
        <v>281</v>
      </c>
      <c r="E25" s="26">
        <v>248738</v>
      </c>
      <c r="F25" s="27">
        <v>602.82000000000005</v>
      </c>
      <c r="G25" s="28">
        <v>2.2499999999999999E-2</v>
      </c>
      <c r="H25" s="29"/>
    </row>
    <row r="26" spans="2:8" ht="15.75" customHeight="1" x14ac:dyDescent="0.25">
      <c r="B26" s="25" t="s">
        <v>458</v>
      </c>
      <c r="C26" s="25" t="s">
        <v>459</v>
      </c>
      <c r="D26" s="25" t="s">
        <v>296</v>
      </c>
      <c r="E26" s="26">
        <v>45112</v>
      </c>
      <c r="F26" s="27">
        <v>573.46</v>
      </c>
      <c r="G26" s="28">
        <v>2.1399999999999999E-2</v>
      </c>
      <c r="H26" s="29"/>
    </row>
    <row r="27" spans="2:8" ht="15.75" customHeight="1" x14ac:dyDescent="0.25">
      <c r="B27" s="25" t="s">
        <v>232</v>
      </c>
      <c r="C27" s="25" t="s">
        <v>233</v>
      </c>
      <c r="D27" s="25" t="s">
        <v>234</v>
      </c>
      <c r="E27" s="26">
        <v>244991</v>
      </c>
      <c r="F27" s="27">
        <v>572.66999999999996</v>
      </c>
      <c r="G27" s="28">
        <v>2.1399999999999999E-2</v>
      </c>
      <c r="H27" s="29"/>
    </row>
    <row r="28" spans="2:8" ht="15.75" customHeight="1" x14ac:dyDescent="0.25">
      <c r="B28" s="25" t="s">
        <v>716</v>
      </c>
      <c r="C28" s="25" t="s">
        <v>717</v>
      </c>
      <c r="D28" s="25" t="s">
        <v>343</v>
      </c>
      <c r="E28" s="26">
        <v>55709</v>
      </c>
      <c r="F28" s="27">
        <v>569.54</v>
      </c>
      <c r="G28" s="28">
        <v>2.1299999999999999E-2</v>
      </c>
      <c r="H28" s="29"/>
    </row>
    <row r="29" spans="2:8" ht="15.75" customHeight="1" x14ac:dyDescent="0.25">
      <c r="B29" s="25" t="s">
        <v>336</v>
      </c>
      <c r="C29" s="25" t="s">
        <v>337</v>
      </c>
      <c r="D29" s="25" t="s">
        <v>281</v>
      </c>
      <c r="E29" s="26">
        <v>140752</v>
      </c>
      <c r="F29" s="27">
        <v>511.21</v>
      </c>
      <c r="G29" s="28">
        <v>1.9099999999999999E-2</v>
      </c>
      <c r="H29" s="29"/>
    </row>
    <row r="30" spans="2:8" ht="15.75" customHeight="1" x14ac:dyDescent="0.25">
      <c r="B30" s="25" t="s">
        <v>597</v>
      </c>
      <c r="C30" s="25" t="s">
        <v>598</v>
      </c>
      <c r="D30" s="25" t="s">
        <v>296</v>
      </c>
      <c r="E30" s="26">
        <v>13571</v>
      </c>
      <c r="F30" s="27">
        <v>500.75</v>
      </c>
      <c r="G30" s="28">
        <v>1.8700000000000001E-2</v>
      </c>
      <c r="H30" s="29"/>
    </row>
    <row r="31" spans="2:8" ht="15.75" customHeight="1" x14ac:dyDescent="0.25">
      <c r="B31" s="25" t="s">
        <v>648</v>
      </c>
      <c r="C31" s="25" t="s">
        <v>649</v>
      </c>
      <c r="D31" s="25" t="s">
        <v>350</v>
      </c>
      <c r="E31" s="26">
        <v>1099</v>
      </c>
      <c r="F31" s="27">
        <v>496.07</v>
      </c>
      <c r="G31" s="28">
        <v>1.8499999999999999E-2</v>
      </c>
      <c r="H31" s="29"/>
    </row>
    <row r="32" spans="2:8" ht="15.75" customHeight="1" x14ac:dyDescent="0.25">
      <c r="B32" s="25" t="s">
        <v>746</v>
      </c>
      <c r="C32" s="25" t="s">
        <v>747</v>
      </c>
      <c r="D32" s="25" t="s">
        <v>263</v>
      </c>
      <c r="E32" s="26">
        <v>47240</v>
      </c>
      <c r="F32" s="27">
        <v>479.37</v>
      </c>
      <c r="G32" s="28">
        <v>1.7899999999999999E-2</v>
      </c>
      <c r="H32" s="29"/>
    </row>
    <row r="33" spans="2:8" ht="15.75" customHeight="1" x14ac:dyDescent="0.25">
      <c r="B33" s="25" t="s">
        <v>261</v>
      </c>
      <c r="C33" s="25" t="s">
        <v>262</v>
      </c>
      <c r="D33" s="25" t="s">
        <v>263</v>
      </c>
      <c r="E33" s="26">
        <v>13092</v>
      </c>
      <c r="F33" s="27">
        <v>470.57</v>
      </c>
      <c r="G33" s="28">
        <v>1.7600000000000001E-2</v>
      </c>
      <c r="H33" s="29"/>
    </row>
    <row r="34" spans="2:8" ht="15.75" customHeight="1" x14ac:dyDescent="0.25">
      <c r="B34" s="25" t="s">
        <v>215</v>
      </c>
      <c r="C34" s="25" t="s">
        <v>216</v>
      </c>
      <c r="D34" s="25" t="s">
        <v>217</v>
      </c>
      <c r="E34" s="26">
        <v>45755</v>
      </c>
      <c r="F34" s="27">
        <v>470.36</v>
      </c>
      <c r="G34" s="28">
        <v>1.7600000000000001E-2</v>
      </c>
      <c r="H34" s="29"/>
    </row>
    <row r="35" spans="2:8" ht="15.75" customHeight="1" x14ac:dyDescent="0.25">
      <c r="B35" s="25" t="s">
        <v>409</v>
      </c>
      <c r="C35" s="25" t="s">
        <v>410</v>
      </c>
      <c r="D35" s="25" t="s">
        <v>350</v>
      </c>
      <c r="E35" s="26">
        <v>59285</v>
      </c>
      <c r="F35" s="27">
        <v>411.76</v>
      </c>
      <c r="G35" s="28">
        <v>1.54E-2</v>
      </c>
      <c r="H35" s="29"/>
    </row>
    <row r="36" spans="2:8" ht="15.75" customHeight="1" x14ac:dyDescent="0.25">
      <c r="B36" s="25" t="s">
        <v>728</v>
      </c>
      <c r="C36" s="25" t="s">
        <v>729</v>
      </c>
      <c r="D36" s="25" t="s">
        <v>431</v>
      </c>
      <c r="E36" s="26">
        <v>77059</v>
      </c>
      <c r="F36" s="27">
        <v>398.66</v>
      </c>
      <c r="G36" s="28">
        <v>1.49E-2</v>
      </c>
      <c r="H36" s="29"/>
    </row>
    <row r="37" spans="2:8" ht="15.75" customHeight="1" x14ac:dyDescent="0.25">
      <c r="B37" s="25" t="s">
        <v>207</v>
      </c>
      <c r="C37" s="25" t="s">
        <v>208</v>
      </c>
      <c r="D37" s="25" t="s">
        <v>209</v>
      </c>
      <c r="E37" s="26">
        <v>89479</v>
      </c>
      <c r="F37" s="27">
        <v>395.09</v>
      </c>
      <c r="G37" s="28">
        <v>1.47E-2</v>
      </c>
      <c r="H37" s="29"/>
    </row>
    <row r="38" spans="2:8" ht="15.75" customHeight="1" x14ac:dyDescent="0.25">
      <c r="B38" s="25" t="s">
        <v>756</v>
      </c>
      <c r="C38" s="25" t="s">
        <v>757</v>
      </c>
      <c r="D38" s="25" t="s">
        <v>343</v>
      </c>
      <c r="E38" s="26">
        <v>34553</v>
      </c>
      <c r="F38" s="27">
        <v>361.39</v>
      </c>
      <c r="G38" s="28">
        <v>1.35E-2</v>
      </c>
      <c r="H38" s="29"/>
    </row>
    <row r="39" spans="2:8" ht="15.75" customHeight="1" x14ac:dyDescent="0.25">
      <c r="B39" s="25" t="s">
        <v>282</v>
      </c>
      <c r="C39" s="25" t="s">
        <v>283</v>
      </c>
      <c r="D39" s="25" t="s">
        <v>226</v>
      </c>
      <c r="E39" s="26">
        <v>51768</v>
      </c>
      <c r="F39" s="27">
        <v>333.59</v>
      </c>
      <c r="G39" s="28">
        <v>1.2500000000000001E-2</v>
      </c>
      <c r="H39" s="29"/>
    </row>
    <row r="40" spans="2:8" ht="15.75" customHeight="1" x14ac:dyDescent="0.25">
      <c r="B40" s="25" t="s">
        <v>443</v>
      </c>
      <c r="C40" s="25" t="s">
        <v>444</v>
      </c>
      <c r="D40" s="25" t="s">
        <v>343</v>
      </c>
      <c r="E40" s="26">
        <v>8100</v>
      </c>
      <c r="F40" s="27">
        <v>323.64</v>
      </c>
      <c r="G40" s="28">
        <v>1.21E-2</v>
      </c>
      <c r="H40" s="29"/>
    </row>
    <row r="41" spans="2:8" ht="15.75" customHeight="1" x14ac:dyDescent="0.25">
      <c r="B41" s="25" t="s">
        <v>791</v>
      </c>
      <c r="C41" s="25" t="s">
        <v>792</v>
      </c>
      <c r="D41" s="25" t="s">
        <v>263</v>
      </c>
      <c r="E41" s="26">
        <v>184817</v>
      </c>
      <c r="F41" s="27">
        <v>323.06</v>
      </c>
      <c r="G41" s="28">
        <v>1.21E-2</v>
      </c>
      <c r="H41" s="29"/>
    </row>
    <row r="42" spans="2:8" ht="15.75" customHeight="1" x14ac:dyDescent="0.25">
      <c r="B42" s="25" t="s">
        <v>698</v>
      </c>
      <c r="C42" s="25" t="s">
        <v>699</v>
      </c>
      <c r="D42" s="25" t="s">
        <v>217</v>
      </c>
      <c r="E42" s="26">
        <v>4814</v>
      </c>
      <c r="F42" s="27">
        <v>303.83</v>
      </c>
      <c r="G42" s="28">
        <v>1.1299999999999999E-2</v>
      </c>
      <c r="H42" s="29"/>
    </row>
    <row r="43" spans="2:8" ht="15.75" customHeight="1" x14ac:dyDescent="0.25">
      <c r="B43" s="25" t="s">
        <v>672</v>
      </c>
      <c r="C43" s="25" t="s">
        <v>673</v>
      </c>
      <c r="D43" s="25" t="s">
        <v>234</v>
      </c>
      <c r="E43" s="26">
        <v>14495</v>
      </c>
      <c r="F43" s="27">
        <v>286.64999999999998</v>
      </c>
      <c r="G43" s="28">
        <v>1.0699999999999999E-2</v>
      </c>
      <c r="H43" s="29"/>
    </row>
    <row r="44" spans="2:8" ht="15.75" customHeight="1" x14ac:dyDescent="0.25">
      <c r="B44" s="25" t="s">
        <v>593</v>
      </c>
      <c r="C44" s="25" t="s">
        <v>594</v>
      </c>
      <c r="D44" s="25" t="s">
        <v>281</v>
      </c>
      <c r="E44" s="26">
        <v>174671</v>
      </c>
      <c r="F44" s="27">
        <v>257.38</v>
      </c>
      <c r="G44" s="28">
        <v>9.5999999999999992E-3</v>
      </c>
      <c r="H44" s="29"/>
    </row>
    <row r="45" spans="2:8" ht="15.75" customHeight="1" x14ac:dyDescent="0.25">
      <c r="B45" s="25" t="s">
        <v>434</v>
      </c>
      <c r="C45" s="25" t="s">
        <v>435</v>
      </c>
      <c r="D45" s="25" t="s">
        <v>268</v>
      </c>
      <c r="E45" s="26">
        <v>19331</v>
      </c>
      <c r="F45" s="27">
        <v>255.61</v>
      </c>
      <c r="G45" s="28">
        <v>9.4999999999999998E-3</v>
      </c>
      <c r="H45" s="29"/>
    </row>
    <row r="46" spans="2:8" ht="15.75" customHeight="1" x14ac:dyDescent="0.25">
      <c r="B46" s="25" t="s">
        <v>526</v>
      </c>
      <c r="C46" s="25" t="s">
        <v>527</v>
      </c>
      <c r="D46" s="25" t="s">
        <v>350</v>
      </c>
      <c r="E46" s="26">
        <v>28590</v>
      </c>
      <c r="F46" s="27">
        <v>251.26</v>
      </c>
      <c r="G46" s="28">
        <v>9.4000000000000004E-3</v>
      </c>
      <c r="H46" s="29"/>
    </row>
    <row r="47" spans="2:8" ht="15.75" customHeight="1" x14ac:dyDescent="0.25">
      <c r="B47" s="25" t="s">
        <v>165</v>
      </c>
      <c r="C47" s="25" t="s">
        <v>166</v>
      </c>
      <c r="D47" s="25" t="s">
        <v>167</v>
      </c>
      <c r="E47" s="26">
        <v>11635</v>
      </c>
      <c r="F47" s="27">
        <v>250.89</v>
      </c>
      <c r="G47" s="28">
        <v>9.4000000000000004E-3</v>
      </c>
      <c r="H47" s="29"/>
    </row>
    <row r="48" spans="2:8" ht="15.75" customHeight="1" x14ac:dyDescent="0.25">
      <c r="B48" s="25" t="s">
        <v>793</v>
      </c>
      <c r="C48" s="25" t="s">
        <v>794</v>
      </c>
      <c r="D48" s="25" t="s">
        <v>260</v>
      </c>
      <c r="E48" s="26">
        <v>6588</v>
      </c>
      <c r="F48" s="27">
        <v>244.69</v>
      </c>
      <c r="G48" s="28">
        <v>9.1000000000000004E-3</v>
      </c>
      <c r="H48" s="29"/>
    </row>
    <row r="49" spans="2:8" ht="15.75" customHeight="1" x14ac:dyDescent="0.25">
      <c r="B49" s="25" t="s">
        <v>432</v>
      </c>
      <c r="C49" s="25" t="s">
        <v>433</v>
      </c>
      <c r="D49" s="25" t="s">
        <v>431</v>
      </c>
      <c r="E49" s="26">
        <v>16508</v>
      </c>
      <c r="F49" s="27">
        <v>219.53</v>
      </c>
      <c r="G49" s="28">
        <v>8.2000000000000007E-3</v>
      </c>
      <c r="H49" s="29"/>
    </row>
    <row r="50" spans="2:8" ht="15.75" customHeight="1" x14ac:dyDescent="0.25">
      <c r="B50" s="25" t="s">
        <v>279</v>
      </c>
      <c r="C50" s="25" t="s">
        <v>280</v>
      </c>
      <c r="D50" s="25" t="s">
        <v>281</v>
      </c>
      <c r="E50" s="26">
        <v>41487</v>
      </c>
      <c r="F50" s="27">
        <v>186.38</v>
      </c>
      <c r="G50" s="28">
        <v>7.0000000000000001E-3</v>
      </c>
      <c r="H50" s="29"/>
    </row>
    <row r="51" spans="2:8" ht="15.75" customHeight="1" x14ac:dyDescent="0.25">
      <c r="B51" s="25" t="s">
        <v>530</v>
      </c>
      <c r="C51" s="25" t="s">
        <v>531</v>
      </c>
      <c r="D51" s="25" t="s">
        <v>303</v>
      </c>
      <c r="E51" s="26">
        <v>116182</v>
      </c>
      <c r="F51" s="27">
        <v>180.02</v>
      </c>
      <c r="G51" s="28">
        <v>6.7000000000000002E-3</v>
      </c>
      <c r="H51" s="29"/>
    </row>
    <row r="52" spans="2:8" ht="15.75" customHeight="1" x14ac:dyDescent="0.25">
      <c r="B52" s="25" t="s">
        <v>541</v>
      </c>
      <c r="C52" s="25" t="s">
        <v>542</v>
      </c>
      <c r="D52" s="25" t="s">
        <v>296</v>
      </c>
      <c r="E52" s="26">
        <v>17716</v>
      </c>
      <c r="F52" s="27">
        <v>147.55000000000001</v>
      </c>
      <c r="G52" s="28">
        <v>5.4999999999999997E-3</v>
      </c>
      <c r="H52" s="29"/>
    </row>
    <row r="53" spans="2:8" ht="15.75" customHeight="1" x14ac:dyDescent="0.25">
      <c r="B53" s="25" t="s">
        <v>740</v>
      </c>
      <c r="C53" s="25" t="s">
        <v>741</v>
      </c>
      <c r="D53" s="25" t="s">
        <v>343</v>
      </c>
      <c r="E53" s="26">
        <v>6595</v>
      </c>
      <c r="F53" s="27">
        <v>140.25</v>
      </c>
      <c r="G53" s="28">
        <v>5.1999999999999998E-3</v>
      </c>
      <c r="H53" s="29"/>
    </row>
    <row r="54" spans="2:8" ht="15.75" customHeight="1" x14ac:dyDescent="0.25">
      <c r="B54" s="25" t="s">
        <v>795</v>
      </c>
      <c r="C54" s="25" t="s">
        <v>796</v>
      </c>
      <c r="D54" s="25" t="s">
        <v>289</v>
      </c>
      <c r="E54" s="26">
        <v>48564</v>
      </c>
      <c r="F54" s="27">
        <v>121.41</v>
      </c>
      <c r="G54" s="28">
        <v>4.4999999999999997E-3</v>
      </c>
      <c r="H54" s="29"/>
    </row>
    <row r="55" spans="2:8" ht="15.75" customHeight="1" x14ac:dyDescent="0.25">
      <c r="B55" s="25" t="s">
        <v>785</v>
      </c>
      <c r="C55" s="25" t="s">
        <v>786</v>
      </c>
      <c r="D55" s="25" t="s">
        <v>234</v>
      </c>
      <c r="E55" s="26">
        <v>2992</v>
      </c>
      <c r="F55" s="27">
        <v>117.87</v>
      </c>
      <c r="G55" s="28">
        <v>4.4000000000000003E-3</v>
      </c>
      <c r="H55" s="29"/>
    </row>
    <row r="56" spans="2:8" ht="15.75" customHeight="1" x14ac:dyDescent="0.25">
      <c r="B56" s="25" t="s">
        <v>712</v>
      </c>
      <c r="C56" s="25" t="s">
        <v>713</v>
      </c>
      <c r="D56" s="25" t="s">
        <v>350</v>
      </c>
      <c r="E56" s="26">
        <v>670</v>
      </c>
      <c r="F56" s="27">
        <v>93.13</v>
      </c>
      <c r="G56" s="28">
        <v>3.5000000000000001E-3</v>
      </c>
      <c r="H56" s="29"/>
    </row>
    <row r="57" spans="2:8" ht="15.75" customHeight="1" x14ac:dyDescent="0.25">
      <c r="B57" s="25" t="s">
        <v>797</v>
      </c>
      <c r="C57" s="25" t="s">
        <v>798</v>
      </c>
      <c r="D57" s="25" t="s">
        <v>263</v>
      </c>
      <c r="E57" s="26">
        <v>114750</v>
      </c>
      <c r="F57" s="27">
        <v>87.1</v>
      </c>
      <c r="G57" s="28">
        <v>3.3E-3</v>
      </c>
      <c r="H57" s="29"/>
    </row>
    <row r="58" spans="2:8" ht="15.75" customHeight="1" x14ac:dyDescent="0.25">
      <c r="B58" s="24" t="s">
        <v>128</v>
      </c>
      <c r="C58" s="24"/>
      <c r="D58" s="24"/>
      <c r="E58" s="30"/>
      <c r="F58" s="31">
        <v>25741.06</v>
      </c>
      <c r="G58" s="32">
        <v>0.96089999999999998</v>
      </c>
      <c r="H58" s="33"/>
    </row>
    <row r="59" spans="2:8" ht="15.75" customHeight="1" x14ac:dyDescent="0.25">
      <c r="B59" s="24" t="s">
        <v>176</v>
      </c>
      <c r="C59" s="25"/>
      <c r="D59" s="25"/>
      <c r="E59" s="26"/>
      <c r="F59" s="27"/>
      <c r="G59" s="28"/>
      <c r="H59" s="29"/>
    </row>
    <row r="60" spans="2:8" ht="15.75" customHeight="1" x14ac:dyDescent="0.25">
      <c r="B60" s="24" t="s">
        <v>128</v>
      </c>
      <c r="C60" s="25"/>
      <c r="D60" s="25"/>
      <c r="E60" s="26"/>
      <c r="F60" s="34" t="s">
        <v>130</v>
      </c>
      <c r="G60" s="35" t="s">
        <v>130</v>
      </c>
      <c r="H60" s="29"/>
    </row>
    <row r="61" spans="2:8" ht="15.75" customHeight="1" x14ac:dyDescent="0.25">
      <c r="B61" s="25"/>
      <c r="C61" s="25"/>
      <c r="D61" s="25"/>
      <c r="E61" s="26"/>
      <c r="F61" s="27"/>
      <c r="G61" s="28"/>
      <c r="H61" s="29"/>
    </row>
    <row r="62" spans="2:8" ht="15.75" customHeight="1" x14ac:dyDescent="0.25">
      <c r="B62" s="36" t="s">
        <v>132</v>
      </c>
      <c r="C62" s="36"/>
      <c r="D62" s="36"/>
      <c r="E62" s="37"/>
      <c r="F62" s="31">
        <v>25741.06</v>
      </c>
      <c r="G62" s="32">
        <v>0.96089999999999998</v>
      </c>
      <c r="H62" s="33"/>
    </row>
    <row r="63" spans="2:8" ht="15.75" customHeight="1" x14ac:dyDescent="0.25">
      <c r="B63" s="25"/>
      <c r="C63" s="25"/>
      <c r="D63" s="25"/>
      <c r="E63" s="26"/>
      <c r="F63" s="27"/>
      <c r="G63" s="28"/>
      <c r="H63" s="29"/>
    </row>
    <row r="64" spans="2:8" ht="15.75" customHeight="1" x14ac:dyDescent="0.25">
      <c r="B64" s="25"/>
      <c r="C64" s="25"/>
      <c r="D64" s="25"/>
      <c r="E64" s="26"/>
      <c r="F64" s="27"/>
      <c r="G64" s="28"/>
      <c r="H64" s="29"/>
    </row>
    <row r="65" spans="2:12" ht="15.75" customHeight="1" x14ac:dyDescent="0.25">
      <c r="B65" s="24" t="s">
        <v>135</v>
      </c>
      <c r="C65" s="25"/>
      <c r="D65" s="25"/>
      <c r="E65" s="26"/>
      <c r="F65" s="27"/>
      <c r="G65" s="28"/>
      <c r="H65" s="29"/>
    </row>
    <row r="66" spans="2:12" ht="15.75" customHeight="1" x14ac:dyDescent="0.25">
      <c r="B66" s="25" t="s">
        <v>136</v>
      </c>
      <c r="C66" s="25"/>
      <c r="D66" s="25"/>
      <c r="E66" s="26"/>
      <c r="F66" s="27">
        <v>1652.82</v>
      </c>
      <c r="G66" s="28">
        <v>6.1699999999999998E-2</v>
      </c>
      <c r="H66" s="29"/>
    </row>
    <row r="67" spans="2:12" ht="15.75" customHeight="1" x14ac:dyDescent="0.25">
      <c r="B67" s="24" t="s">
        <v>128</v>
      </c>
      <c r="C67" s="24"/>
      <c r="D67" s="24"/>
      <c r="E67" s="30"/>
      <c r="F67" s="31">
        <v>1652.82</v>
      </c>
      <c r="G67" s="32">
        <v>6.1699999999999998E-2</v>
      </c>
      <c r="H67" s="33"/>
    </row>
    <row r="68" spans="2:12" ht="15.75" customHeight="1" x14ac:dyDescent="0.25">
      <c r="B68" s="25"/>
      <c r="C68" s="25"/>
      <c r="D68" s="25"/>
      <c r="E68" s="26"/>
      <c r="F68" s="27"/>
      <c r="G68" s="28"/>
      <c r="H68" s="29"/>
      <c r="L68" s="3"/>
    </row>
    <row r="69" spans="2:12" ht="15.75" customHeight="1" x14ac:dyDescent="0.25">
      <c r="B69" s="36" t="s">
        <v>132</v>
      </c>
      <c r="C69" s="36"/>
      <c r="D69" s="36"/>
      <c r="E69" s="37"/>
      <c r="F69" s="31">
        <v>1652.82</v>
      </c>
      <c r="G69" s="32">
        <v>6.1699999999999998E-2</v>
      </c>
      <c r="H69" s="33"/>
    </row>
    <row r="70" spans="2:12" ht="15.75" customHeight="1" x14ac:dyDescent="0.25">
      <c r="B70" s="25" t="s">
        <v>137</v>
      </c>
      <c r="C70" s="25"/>
      <c r="D70" s="25"/>
      <c r="E70" s="26"/>
      <c r="F70" s="38">
        <v>-605.4</v>
      </c>
      <c r="G70" s="39">
        <v>-2.2599999999999953E-2</v>
      </c>
      <c r="H70" s="29"/>
      <c r="L70" s="3"/>
    </row>
    <row r="71" spans="2:12" ht="15.75" customHeight="1" x14ac:dyDescent="0.25">
      <c r="B71" s="40" t="s">
        <v>138</v>
      </c>
      <c r="C71" s="40"/>
      <c r="D71" s="40"/>
      <c r="E71" s="41"/>
      <c r="F71" s="42">
        <v>26788.48</v>
      </c>
      <c r="G71" s="43">
        <v>1</v>
      </c>
      <c r="H71" s="44"/>
      <c r="L71" s="3"/>
    </row>
    <row r="72" spans="2:12" ht="15.75" customHeight="1" thickBot="1" x14ac:dyDescent="0.3">
      <c r="B72" s="2"/>
      <c r="L72" s="3"/>
    </row>
    <row r="73" spans="2:12" ht="27" customHeight="1" thickBot="1" x14ac:dyDescent="0.3">
      <c r="B73" s="57" t="s">
        <v>980</v>
      </c>
      <c r="C73" s="58" t="s">
        <v>981</v>
      </c>
      <c r="D73" s="58" t="s">
        <v>982</v>
      </c>
      <c r="E73" s="63" t="s">
        <v>983</v>
      </c>
      <c r="G73" s="2"/>
      <c r="H73" s="2"/>
    </row>
    <row r="74" spans="2:12" ht="21.75" customHeight="1" x14ac:dyDescent="0.25">
      <c r="B74" s="70" t="s">
        <v>85</v>
      </c>
      <c r="C74" s="82"/>
      <c r="D74" s="85" t="s">
        <v>1045</v>
      </c>
      <c r="E74" s="87"/>
      <c r="G74" s="2"/>
      <c r="H74" s="2"/>
    </row>
    <row r="75" spans="2:12" ht="27.75" customHeight="1" x14ac:dyDescent="0.25">
      <c r="B75" s="66" t="s">
        <v>1046</v>
      </c>
      <c r="C75" s="83"/>
      <c r="D75" s="86"/>
      <c r="E75" s="83"/>
      <c r="G75" s="2"/>
      <c r="H75" s="2"/>
    </row>
    <row r="76" spans="2:12" ht="46.5" customHeight="1" x14ac:dyDescent="0.25">
      <c r="B76" s="66" t="s">
        <v>1047</v>
      </c>
      <c r="C76" s="83"/>
      <c r="D76" s="86"/>
      <c r="E76" s="83"/>
      <c r="G76" s="2"/>
      <c r="H76" s="2"/>
    </row>
    <row r="77" spans="2:12" ht="30.75" customHeight="1" thickBot="1" x14ac:dyDescent="0.3">
      <c r="B77" s="68" t="s">
        <v>1015</v>
      </c>
      <c r="C77" s="84"/>
      <c r="D77" s="71" t="s">
        <v>1015</v>
      </c>
      <c r="E77" s="88"/>
      <c r="G77" s="2"/>
      <c r="H77" s="2"/>
    </row>
    <row r="78" spans="2:12" ht="25" customHeight="1" x14ac:dyDescent="0.25">
      <c r="B78" s="59" t="s">
        <v>985</v>
      </c>
      <c r="C78" s="60"/>
      <c r="D78" s="61"/>
      <c r="E78" s="62"/>
      <c r="G78" s="2"/>
      <c r="H78" s="2"/>
    </row>
    <row r="80" spans="2:12" ht="11.5" x14ac:dyDescent="0.25">
      <c r="B80" s="2" t="s">
        <v>986</v>
      </c>
      <c r="C80" s="2"/>
      <c r="D80" s="2"/>
      <c r="G80" s="2"/>
      <c r="H80" s="2"/>
    </row>
    <row r="81" spans="2:16" ht="11.5" x14ac:dyDescent="0.25">
      <c r="B81" s="3" t="s">
        <v>987</v>
      </c>
      <c r="C81" s="2"/>
      <c r="D81" s="2"/>
      <c r="G81" s="2"/>
      <c r="H81" s="2"/>
    </row>
    <row r="82" spans="2:16" ht="15.75" customHeight="1" x14ac:dyDescent="0.25">
      <c r="L82" s="7"/>
      <c r="M82" s="7"/>
      <c r="N82" s="7"/>
      <c r="O82" s="7"/>
      <c r="P82" s="7"/>
    </row>
    <row r="83" spans="2:16" ht="15.75" customHeight="1" x14ac:dyDescent="0.25">
      <c r="L83" s="7"/>
      <c r="M83" s="7"/>
      <c r="N83" s="7"/>
      <c r="O83" s="7"/>
      <c r="P83" s="7"/>
    </row>
    <row r="84" spans="2:16" ht="15.75" customHeight="1" x14ac:dyDescent="0.25">
      <c r="L84" s="7"/>
      <c r="M84" s="7"/>
      <c r="N84" s="7"/>
      <c r="O84" s="7"/>
      <c r="P84" s="7"/>
    </row>
    <row r="86" spans="2:16" ht="15.75" customHeight="1" x14ac:dyDescent="0.25">
      <c r="L86" s="3"/>
    </row>
  </sheetData>
  <mergeCells count="3">
    <mergeCell ref="C74:C77"/>
    <mergeCell ref="D74:D76"/>
    <mergeCell ref="E74:E77"/>
  </mergeCells>
  <hyperlinks>
    <hyperlink ref="I1" location="'Sheet1'!A1" display="Index" xr:uid="{20D04172-8E2F-431C-8DE1-F0058C4E87B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D19E3-9280-4A5F-BB1A-511CE574DB07}">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8.54296875" style="9" customWidth="1"/>
    <col min="4" max="4" width="26.6328125" style="9" customWidth="1"/>
    <col min="5" max="5" width="31.90625" style="2" customWidth="1"/>
    <col min="6" max="6" width="16.453125" style="2" customWidth="1"/>
    <col min="7" max="7" width="15.26953125" style="8" customWidth="1"/>
    <col min="8" max="8" width="4.906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24</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160</v>
      </c>
      <c r="C7" s="25" t="s">
        <v>161</v>
      </c>
      <c r="D7" s="25" t="s">
        <v>156</v>
      </c>
      <c r="E7" s="26">
        <v>223494</v>
      </c>
      <c r="F7" s="27">
        <v>3397.33</v>
      </c>
      <c r="G7" s="28">
        <v>0.1148</v>
      </c>
      <c r="H7" s="29"/>
    </row>
    <row r="8" spans="2:9" ht="15.75" customHeight="1" x14ac:dyDescent="0.25">
      <c r="B8" s="25" t="s">
        <v>162</v>
      </c>
      <c r="C8" s="25" t="s">
        <v>163</v>
      </c>
      <c r="D8" s="25" t="s">
        <v>164</v>
      </c>
      <c r="E8" s="26">
        <v>100435</v>
      </c>
      <c r="F8" s="27">
        <v>2946.76</v>
      </c>
      <c r="G8" s="28">
        <v>9.9500000000000005E-2</v>
      </c>
      <c r="H8" s="29"/>
    </row>
    <row r="9" spans="2:9" ht="15.75" customHeight="1" x14ac:dyDescent="0.25">
      <c r="B9" s="25" t="s">
        <v>154</v>
      </c>
      <c r="C9" s="25" t="s">
        <v>155</v>
      </c>
      <c r="D9" s="25" t="s">
        <v>156</v>
      </c>
      <c r="E9" s="26">
        <v>208534</v>
      </c>
      <c r="F9" s="27">
        <v>2398.98</v>
      </c>
      <c r="G9" s="28">
        <v>8.1000000000000003E-2</v>
      </c>
      <c r="H9" s="29"/>
    </row>
    <row r="10" spans="2:9" ht="15.75" customHeight="1" x14ac:dyDescent="0.25">
      <c r="B10" s="25" t="s">
        <v>157</v>
      </c>
      <c r="C10" s="25" t="s">
        <v>158</v>
      </c>
      <c r="D10" s="25" t="s">
        <v>159</v>
      </c>
      <c r="E10" s="26">
        <v>105680</v>
      </c>
      <c r="F10" s="27">
        <v>1501.24</v>
      </c>
      <c r="G10" s="28">
        <v>5.0700000000000002E-2</v>
      </c>
      <c r="H10" s="29"/>
    </row>
    <row r="11" spans="2:9" ht="15.75" customHeight="1" x14ac:dyDescent="0.25">
      <c r="B11" s="25" t="s">
        <v>261</v>
      </c>
      <c r="C11" s="25" t="s">
        <v>262</v>
      </c>
      <c r="D11" s="25" t="s">
        <v>263</v>
      </c>
      <c r="E11" s="26">
        <v>35079</v>
      </c>
      <c r="F11" s="27">
        <v>1260.8399999999999</v>
      </c>
      <c r="G11" s="28">
        <v>4.2599999999999999E-2</v>
      </c>
      <c r="H11" s="29"/>
    </row>
    <row r="12" spans="2:9" ht="15.75" customHeight="1" x14ac:dyDescent="0.25">
      <c r="B12" s="25" t="s">
        <v>332</v>
      </c>
      <c r="C12" s="25" t="s">
        <v>333</v>
      </c>
      <c r="D12" s="25" t="s">
        <v>159</v>
      </c>
      <c r="E12" s="26">
        <v>30100</v>
      </c>
      <c r="F12" s="27">
        <v>1150.02</v>
      </c>
      <c r="G12" s="28">
        <v>3.8800000000000001E-2</v>
      </c>
      <c r="H12" s="29"/>
    </row>
    <row r="13" spans="2:9" ht="15.75" customHeight="1" x14ac:dyDescent="0.25">
      <c r="B13" s="25" t="s">
        <v>292</v>
      </c>
      <c r="C13" s="25" t="s">
        <v>293</v>
      </c>
      <c r="D13" s="25" t="s">
        <v>173</v>
      </c>
      <c r="E13" s="26">
        <v>263171</v>
      </c>
      <c r="F13" s="27">
        <v>1146.5</v>
      </c>
      <c r="G13" s="28">
        <v>3.8699999999999998E-2</v>
      </c>
      <c r="H13" s="29"/>
    </row>
    <row r="14" spans="2:9" ht="15.75" customHeight="1" x14ac:dyDescent="0.25">
      <c r="B14" s="25" t="s">
        <v>434</v>
      </c>
      <c r="C14" s="25" t="s">
        <v>435</v>
      </c>
      <c r="D14" s="25" t="s">
        <v>268</v>
      </c>
      <c r="E14" s="26">
        <v>77358</v>
      </c>
      <c r="F14" s="27">
        <v>1022.9</v>
      </c>
      <c r="G14" s="28">
        <v>3.4599999999999999E-2</v>
      </c>
      <c r="H14" s="29"/>
    </row>
    <row r="15" spans="2:9" ht="15.75" customHeight="1" x14ac:dyDescent="0.25">
      <c r="B15" s="25" t="s">
        <v>247</v>
      </c>
      <c r="C15" s="25" t="s">
        <v>248</v>
      </c>
      <c r="D15" s="25" t="s">
        <v>156</v>
      </c>
      <c r="E15" s="26">
        <v>84363</v>
      </c>
      <c r="F15" s="27">
        <v>983.59</v>
      </c>
      <c r="G15" s="28">
        <v>3.32E-2</v>
      </c>
      <c r="H15" s="29"/>
    </row>
    <row r="16" spans="2:9" ht="15.75" customHeight="1" x14ac:dyDescent="0.25">
      <c r="B16" s="25" t="s">
        <v>330</v>
      </c>
      <c r="C16" s="25" t="s">
        <v>331</v>
      </c>
      <c r="D16" s="25" t="s">
        <v>156</v>
      </c>
      <c r="E16" s="26">
        <v>113870</v>
      </c>
      <c r="F16" s="27">
        <v>940.85</v>
      </c>
      <c r="G16" s="28">
        <v>3.1800000000000002E-2</v>
      </c>
      <c r="H16" s="29"/>
    </row>
    <row r="17" spans="2:8" ht="15.75" customHeight="1" x14ac:dyDescent="0.25">
      <c r="B17" s="25" t="s">
        <v>227</v>
      </c>
      <c r="C17" s="25" t="s">
        <v>228</v>
      </c>
      <c r="D17" s="25" t="s">
        <v>156</v>
      </c>
      <c r="E17" s="26">
        <v>43670</v>
      </c>
      <c r="F17" s="27">
        <v>709.18</v>
      </c>
      <c r="G17" s="28">
        <v>2.4E-2</v>
      </c>
      <c r="H17" s="29"/>
    </row>
    <row r="18" spans="2:8" ht="15.75" customHeight="1" x14ac:dyDescent="0.25">
      <c r="B18" s="25" t="s">
        <v>165</v>
      </c>
      <c r="C18" s="25" t="s">
        <v>166</v>
      </c>
      <c r="D18" s="25" t="s">
        <v>167</v>
      </c>
      <c r="E18" s="26">
        <v>28493</v>
      </c>
      <c r="F18" s="27">
        <v>614.41</v>
      </c>
      <c r="G18" s="28">
        <v>2.0799999999999999E-2</v>
      </c>
      <c r="H18" s="29"/>
    </row>
    <row r="19" spans="2:8" ht="15.75" customHeight="1" x14ac:dyDescent="0.25">
      <c r="B19" s="25" t="s">
        <v>171</v>
      </c>
      <c r="C19" s="25" t="s">
        <v>172</v>
      </c>
      <c r="D19" s="25" t="s">
        <v>173</v>
      </c>
      <c r="E19" s="26">
        <v>26508</v>
      </c>
      <c r="F19" s="27">
        <v>591.25</v>
      </c>
      <c r="G19" s="28">
        <v>0.02</v>
      </c>
      <c r="H19" s="29"/>
    </row>
    <row r="20" spans="2:8" ht="15.75" customHeight="1" x14ac:dyDescent="0.25">
      <c r="B20" s="25" t="s">
        <v>210</v>
      </c>
      <c r="C20" s="25" t="s">
        <v>211</v>
      </c>
      <c r="D20" s="25" t="s">
        <v>209</v>
      </c>
      <c r="E20" s="26">
        <v>8311</v>
      </c>
      <c r="F20" s="27">
        <v>575.41999999999996</v>
      </c>
      <c r="G20" s="28">
        <v>1.9400000000000001E-2</v>
      </c>
      <c r="H20" s="29"/>
    </row>
    <row r="21" spans="2:8" ht="15.75" customHeight="1" x14ac:dyDescent="0.25">
      <c r="B21" s="25" t="s">
        <v>532</v>
      </c>
      <c r="C21" s="25" t="s">
        <v>533</v>
      </c>
      <c r="D21" s="25" t="s">
        <v>167</v>
      </c>
      <c r="E21" s="26">
        <v>52369</v>
      </c>
      <c r="F21" s="27">
        <v>527.83000000000004</v>
      </c>
      <c r="G21" s="28">
        <v>1.78E-2</v>
      </c>
      <c r="H21" s="29"/>
    </row>
    <row r="22" spans="2:8" ht="15.75" customHeight="1" x14ac:dyDescent="0.25">
      <c r="B22" s="25" t="s">
        <v>336</v>
      </c>
      <c r="C22" s="25" t="s">
        <v>337</v>
      </c>
      <c r="D22" s="25" t="s">
        <v>281</v>
      </c>
      <c r="E22" s="26">
        <v>141146</v>
      </c>
      <c r="F22" s="27">
        <v>512.64</v>
      </c>
      <c r="G22" s="28">
        <v>1.7299999999999999E-2</v>
      </c>
      <c r="H22" s="29"/>
    </row>
    <row r="23" spans="2:8" ht="15.75" customHeight="1" x14ac:dyDescent="0.25">
      <c r="B23" s="25" t="s">
        <v>344</v>
      </c>
      <c r="C23" s="25" t="s">
        <v>345</v>
      </c>
      <c r="D23" s="25" t="s">
        <v>167</v>
      </c>
      <c r="E23" s="26">
        <v>3922</v>
      </c>
      <c r="F23" s="27">
        <v>502.7</v>
      </c>
      <c r="G23" s="28">
        <v>1.7000000000000001E-2</v>
      </c>
      <c r="H23" s="29"/>
    </row>
    <row r="24" spans="2:8" ht="15.75" customHeight="1" x14ac:dyDescent="0.25">
      <c r="B24" s="25" t="s">
        <v>470</v>
      </c>
      <c r="C24" s="25" t="s">
        <v>471</v>
      </c>
      <c r="D24" s="25" t="s">
        <v>214</v>
      </c>
      <c r="E24" s="26">
        <v>32013</v>
      </c>
      <c r="F24" s="27">
        <v>480.87</v>
      </c>
      <c r="G24" s="28">
        <v>1.6199999999999999E-2</v>
      </c>
      <c r="H24" s="29"/>
    </row>
    <row r="25" spans="2:8" ht="15.75" customHeight="1" x14ac:dyDescent="0.25">
      <c r="B25" s="25" t="s">
        <v>440</v>
      </c>
      <c r="C25" s="25" t="s">
        <v>441</v>
      </c>
      <c r="D25" s="25" t="s">
        <v>442</v>
      </c>
      <c r="E25" s="26">
        <v>12385</v>
      </c>
      <c r="F25" s="27">
        <v>444.53</v>
      </c>
      <c r="G25" s="28">
        <v>1.4999999999999999E-2</v>
      </c>
      <c r="H25" s="29"/>
    </row>
    <row r="26" spans="2:8" ht="15.75" customHeight="1" x14ac:dyDescent="0.25">
      <c r="B26" s="25" t="s">
        <v>334</v>
      </c>
      <c r="C26" s="25" t="s">
        <v>335</v>
      </c>
      <c r="D26" s="25" t="s">
        <v>159</v>
      </c>
      <c r="E26" s="26">
        <v>31631</v>
      </c>
      <c r="F26" s="27">
        <v>432.27</v>
      </c>
      <c r="G26" s="28">
        <v>1.46E-2</v>
      </c>
      <c r="H26" s="29"/>
    </row>
    <row r="27" spans="2:8" ht="15.75" customHeight="1" x14ac:dyDescent="0.25">
      <c r="B27" s="25" t="s">
        <v>355</v>
      </c>
      <c r="C27" s="25" t="s">
        <v>356</v>
      </c>
      <c r="D27" s="25" t="s">
        <v>281</v>
      </c>
      <c r="E27" s="26">
        <v>135218</v>
      </c>
      <c r="F27" s="27">
        <v>408.16</v>
      </c>
      <c r="G27" s="28">
        <v>1.38E-2</v>
      </c>
      <c r="H27" s="29"/>
    </row>
    <row r="28" spans="2:8" ht="15.75" customHeight="1" x14ac:dyDescent="0.25">
      <c r="B28" s="25" t="s">
        <v>198</v>
      </c>
      <c r="C28" s="25" t="s">
        <v>199</v>
      </c>
      <c r="D28" s="25" t="s">
        <v>197</v>
      </c>
      <c r="E28" s="26">
        <v>245032</v>
      </c>
      <c r="F28" s="27">
        <v>404.3</v>
      </c>
      <c r="G28" s="28">
        <v>1.37E-2</v>
      </c>
      <c r="H28" s="29"/>
    </row>
    <row r="29" spans="2:8" ht="15.75" customHeight="1" x14ac:dyDescent="0.25">
      <c r="B29" s="25" t="s">
        <v>564</v>
      </c>
      <c r="C29" s="25" t="s">
        <v>565</v>
      </c>
      <c r="D29" s="25" t="s">
        <v>442</v>
      </c>
      <c r="E29" s="26">
        <v>13376</v>
      </c>
      <c r="F29" s="27">
        <v>384.68</v>
      </c>
      <c r="G29" s="28">
        <v>1.2999999999999999E-2</v>
      </c>
      <c r="H29" s="29"/>
    </row>
    <row r="30" spans="2:8" ht="15.75" customHeight="1" x14ac:dyDescent="0.25">
      <c r="B30" s="25" t="s">
        <v>353</v>
      </c>
      <c r="C30" s="25" t="s">
        <v>354</v>
      </c>
      <c r="D30" s="25" t="s">
        <v>244</v>
      </c>
      <c r="E30" s="26">
        <v>3424</v>
      </c>
      <c r="F30" s="27">
        <v>341.44</v>
      </c>
      <c r="G30" s="28">
        <v>1.15E-2</v>
      </c>
      <c r="H30" s="29"/>
    </row>
    <row r="31" spans="2:8" ht="15.75" customHeight="1" x14ac:dyDescent="0.25">
      <c r="B31" s="25" t="s">
        <v>674</v>
      </c>
      <c r="C31" s="25" t="s">
        <v>675</v>
      </c>
      <c r="D31" s="25" t="s">
        <v>406</v>
      </c>
      <c r="E31" s="26">
        <v>115880</v>
      </c>
      <c r="F31" s="27">
        <v>327.77</v>
      </c>
      <c r="G31" s="28">
        <v>1.11E-2</v>
      </c>
      <c r="H31" s="29"/>
    </row>
    <row r="32" spans="2:8" ht="15.75" customHeight="1" x14ac:dyDescent="0.25">
      <c r="B32" s="25" t="s">
        <v>310</v>
      </c>
      <c r="C32" s="25" t="s">
        <v>311</v>
      </c>
      <c r="D32" s="25" t="s">
        <v>312</v>
      </c>
      <c r="E32" s="26">
        <v>67942</v>
      </c>
      <c r="F32" s="27">
        <v>308.66000000000003</v>
      </c>
      <c r="G32" s="28">
        <v>1.04E-2</v>
      </c>
      <c r="H32" s="29"/>
    </row>
    <row r="33" spans="2:8" ht="15.75" customHeight="1" x14ac:dyDescent="0.25">
      <c r="B33" s="25" t="s">
        <v>582</v>
      </c>
      <c r="C33" s="25" t="s">
        <v>583</v>
      </c>
      <c r="D33" s="25" t="s">
        <v>167</v>
      </c>
      <c r="E33" s="26">
        <v>3381</v>
      </c>
      <c r="F33" s="27">
        <v>301.02999999999997</v>
      </c>
      <c r="G33" s="28">
        <v>1.0200000000000001E-2</v>
      </c>
      <c r="H33" s="29"/>
    </row>
    <row r="34" spans="2:8" ht="15.75" customHeight="1" x14ac:dyDescent="0.25">
      <c r="B34" s="25" t="s">
        <v>220</v>
      </c>
      <c r="C34" s="25" t="s">
        <v>221</v>
      </c>
      <c r="D34" s="25" t="s">
        <v>156</v>
      </c>
      <c r="E34" s="26">
        <v>19754</v>
      </c>
      <c r="F34" s="27">
        <v>299.41000000000003</v>
      </c>
      <c r="G34" s="28">
        <v>1.01E-2</v>
      </c>
      <c r="H34" s="29"/>
    </row>
    <row r="35" spans="2:8" ht="15.75" customHeight="1" x14ac:dyDescent="0.25">
      <c r="B35" s="25" t="s">
        <v>799</v>
      </c>
      <c r="C35" s="25" t="s">
        <v>800</v>
      </c>
      <c r="D35" s="25" t="s">
        <v>289</v>
      </c>
      <c r="E35" s="26">
        <v>21822</v>
      </c>
      <c r="F35" s="27">
        <v>289.12</v>
      </c>
      <c r="G35" s="28">
        <v>9.7999999999999997E-3</v>
      </c>
      <c r="H35" s="29"/>
    </row>
    <row r="36" spans="2:8" ht="15.75" customHeight="1" x14ac:dyDescent="0.25">
      <c r="B36" s="25" t="s">
        <v>282</v>
      </c>
      <c r="C36" s="25" t="s">
        <v>283</v>
      </c>
      <c r="D36" s="25" t="s">
        <v>226</v>
      </c>
      <c r="E36" s="26">
        <v>43443</v>
      </c>
      <c r="F36" s="27">
        <v>279.95</v>
      </c>
      <c r="G36" s="28">
        <v>9.4999999999999998E-3</v>
      </c>
      <c r="H36" s="29"/>
    </row>
    <row r="37" spans="2:8" ht="15.75" customHeight="1" x14ac:dyDescent="0.25">
      <c r="B37" s="25" t="s">
        <v>168</v>
      </c>
      <c r="C37" s="25" t="s">
        <v>169</v>
      </c>
      <c r="D37" s="25" t="s">
        <v>170</v>
      </c>
      <c r="E37" s="26">
        <v>10581</v>
      </c>
      <c r="F37" s="27">
        <v>265.31</v>
      </c>
      <c r="G37" s="28">
        <v>8.9999999999999993E-3</v>
      </c>
      <c r="H37" s="29"/>
    </row>
    <row r="38" spans="2:8" ht="15.75" customHeight="1" x14ac:dyDescent="0.25">
      <c r="B38" s="25" t="s">
        <v>320</v>
      </c>
      <c r="C38" s="25" t="s">
        <v>321</v>
      </c>
      <c r="D38" s="25" t="s">
        <v>244</v>
      </c>
      <c r="E38" s="26">
        <v>10951</v>
      </c>
      <c r="F38" s="27">
        <v>264.10000000000002</v>
      </c>
      <c r="G38" s="28">
        <v>8.8999999999999999E-3</v>
      </c>
      <c r="H38" s="29"/>
    </row>
    <row r="39" spans="2:8" ht="15.75" customHeight="1" x14ac:dyDescent="0.25">
      <c r="B39" s="25" t="s">
        <v>271</v>
      </c>
      <c r="C39" s="25" t="s">
        <v>272</v>
      </c>
      <c r="D39" s="25" t="s">
        <v>209</v>
      </c>
      <c r="E39" s="26">
        <v>16237</v>
      </c>
      <c r="F39" s="27">
        <v>262.23</v>
      </c>
      <c r="G39" s="28">
        <v>8.8999999999999999E-3</v>
      </c>
      <c r="H39" s="29"/>
    </row>
    <row r="40" spans="2:8" ht="15.75" customHeight="1" x14ac:dyDescent="0.25">
      <c r="B40" s="25" t="s">
        <v>273</v>
      </c>
      <c r="C40" s="25" t="s">
        <v>274</v>
      </c>
      <c r="D40" s="25" t="s">
        <v>197</v>
      </c>
      <c r="E40" s="26">
        <v>28459</v>
      </c>
      <c r="F40" s="27">
        <v>251.07</v>
      </c>
      <c r="G40" s="28">
        <v>8.5000000000000006E-3</v>
      </c>
      <c r="H40" s="29"/>
    </row>
    <row r="41" spans="2:8" ht="15.75" customHeight="1" x14ac:dyDescent="0.25">
      <c r="B41" s="25" t="s">
        <v>801</v>
      </c>
      <c r="C41" s="25" t="s">
        <v>802</v>
      </c>
      <c r="D41" s="25" t="s">
        <v>803</v>
      </c>
      <c r="E41" s="26">
        <v>7787</v>
      </c>
      <c r="F41" s="27">
        <v>237.87</v>
      </c>
      <c r="G41" s="28">
        <v>8.0000000000000002E-3</v>
      </c>
      <c r="H41" s="29"/>
    </row>
    <row r="42" spans="2:8" ht="15.75" customHeight="1" x14ac:dyDescent="0.25">
      <c r="B42" s="25" t="s">
        <v>264</v>
      </c>
      <c r="C42" s="25" t="s">
        <v>265</v>
      </c>
      <c r="D42" s="25" t="s">
        <v>159</v>
      </c>
      <c r="E42" s="26">
        <v>18799</v>
      </c>
      <c r="F42" s="27">
        <v>237.53</v>
      </c>
      <c r="G42" s="28">
        <v>8.0000000000000002E-3</v>
      </c>
      <c r="H42" s="29"/>
    </row>
    <row r="43" spans="2:8" ht="15.75" customHeight="1" x14ac:dyDescent="0.25">
      <c r="B43" s="25" t="s">
        <v>411</v>
      </c>
      <c r="C43" s="25" t="s">
        <v>412</v>
      </c>
      <c r="D43" s="25" t="s">
        <v>214</v>
      </c>
      <c r="E43" s="26">
        <v>3607</v>
      </c>
      <c r="F43" s="27">
        <v>223.79</v>
      </c>
      <c r="G43" s="28">
        <v>7.6E-3</v>
      </c>
      <c r="H43" s="29"/>
    </row>
    <row r="44" spans="2:8" ht="15.75" customHeight="1" x14ac:dyDescent="0.25">
      <c r="B44" s="25" t="s">
        <v>605</v>
      </c>
      <c r="C44" s="25" t="s">
        <v>606</v>
      </c>
      <c r="D44" s="25" t="s">
        <v>214</v>
      </c>
      <c r="E44" s="26">
        <v>15638</v>
      </c>
      <c r="F44" s="27">
        <v>218.93</v>
      </c>
      <c r="G44" s="28">
        <v>7.4000000000000003E-3</v>
      </c>
      <c r="H44" s="29"/>
    </row>
    <row r="45" spans="2:8" ht="15.75" customHeight="1" x14ac:dyDescent="0.25">
      <c r="B45" s="25" t="s">
        <v>222</v>
      </c>
      <c r="C45" s="25" t="s">
        <v>223</v>
      </c>
      <c r="D45" s="25" t="s">
        <v>209</v>
      </c>
      <c r="E45" s="26">
        <v>8276</v>
      </c>
      <c r="F45" s="27">
        <v>211.18</v>
      </c>
      <c r="G45" s="28">
        <v>7.1000000000000004E-3</v>
      </c>
      <c r="H45" s="29"/>
    </row>
    <row r="46" spans="2:8" ht="15.75" customHeight="1" x14ac:dyDescent="0.25">
      <c r="B46" s="25" t="s">
        <v>779</v>
      </c>
      <c r="C46" s="25" t="s">
        <v>780</v>
      </c>
      <c r="D46" s="25" t="s">
        <v>253</v>
      </c>
      <c r="E46" s="26">
        <v>18675</v>
      </c>
      <c r="F46" s="27">
        <v>206.98</v>
      </c>
      <c r="G46" s="28">
        <v>7.0000000000000001E-3</v>
      </c>
      <c r="H46" s="29"/>
    </row>
    <row r="47" spans="2:8" ht="15.75" customHeight="1" x14ac:dyDescent="0.25">
      <c r="B47" s="25" t="s">
        <v>804</v>
      </c>
      <c r="C47" s="25" t="s">
        <v>805</v>
      </c>
      <c r="D47" s="25" t="s">
        <v>159</v>
      </c>
      <c r="E47" s="26">
        <v>41948</v>
      </c>
      <c r="F47" s="27">
        <v>193.97</v>
      </c>
      <c r="G47" s="28">
        <v>6.6E-3</v>
      </c>
      <c r="H47" s="29"/>
    </row>
    <row r="48" spans="2:8" ht="15.75" customHeight="1" x14ac:dyDescent="0.25">
      <c r="B48" s="25" t="s">
        <v>284</v>
      </c>
      <c r="C48" s="25" t="s">
        <v>285</v>
      </c>
      <c r="D48" s="25" t="s">
        <v>286</v>
      </c>
      <c r="E48" s="26">
        <v>13369</v>
      </c>
      <c r="F48" s="27">
        <v>192.05</v>
      </c>
      <c r="G48" s="28">
        <v>6.4999999999999997E-3</v>
      </c>
      <c r="H48" s="29"/>
    </row>
    <row r="49" spans="2:8" ht="15.75" customHeight="1" x14ac:dyDescent="0.25">
      <c r="B49" s="25" t="s">
        <v>781</v>
      </c>
      <c r="C49" s="25" t="s">
        <v>782</v>
      </c>
      <c r="D49" s="25" t="s">
        <v>167</v>
      </c>
      <c r="E49" s="26">
        <v>4069</v>
      </c>
      <c r="F49" s="27">
        <v>187.07</v>
      </c>
      <c r="G49" s="28">
        <v>6.3E-3</v>
      </c>
      <c r="H49" s="29"/>
    </row>
    <row r="50" spans="2:8" ht="15.75" customHeight="1" x14ac:dyDescent="0.25">
      <c r="B50" s="25" t="s">
        <v>391</v>
      </c>
      <c r="C50" s="25" t="s">
        <v>392</v>
      </c>
      <c r="D50" s="25" t="s">
        <v>286</v>
      </c>
      <c r="E50" s="26">
        <v>31422</v>
      </c>
      <c r="F50" s="27">
        <v>183.39</v>
      </c>
      <c r="G50" s="28">
        <v>6.1999999999999998E-3</v>
      </c>
      <c r="H50" s="29"/>
    </row>
    <row r="51" spans="2:8" ht="15.75" customHeight="1" x14ac:dyDescent="0.25">
      <c r="B51" s="25" t="s">
        <v>611</v>
      </c>
      <c r="C51" s="25" t="s">
        <v>612</v>
      </c>
      <c r="D51" s="25" t="s">
        <v>361</v>
      </c>
      <c r="E51" s="26">
        <v>2985</v>
      </c>
      <c r="F51" s="27">
        <v>177.52</v>
      </c>
      <c r="G51" s="28">
        <v>6.0000000000000001E-3</v>
      </c>
      <c r="H51" s="29"/>
    </row>
    <row r="52" spans="2:8" ht="15.75" customHeight="1" x14ac:dyDescent="0.25">
      <c r="B52" s="25" t="s">
        <v>346</v>
      </c>
      <c r="C52" s="25" t="s">
        <v>347</v>
      </c>
      <c r="D52" s="25" t="s">
        <v>167</v>
      </c>
      <c r="E52" s="26">
        <v>3835</v>
      </c>
      <c r="F52" s="27">
        <v>174.23</v>
      </c>
      <c r="G52" s="28">
        <v>5.8999999999999999E-3</v>
      </c>
      <c r="H52" s="29"/>
    </row>
    <row r="53" spans="2:8" ht="15.75" customHeight="1" x14ac:dyDescent="0.25">
      <c r="B53" s="25" t="s">
        <v>402</v>
      </c>
      <c r="C53" s="25" t="s">
        <v>403</v>
      </c>
      <c r="D53" s="25" t="s">
        <v>164</v>
      </c>
      <c r="E53" s="26">
        <v>28339</v>
      </c>
      <c r="F53" s="27">
        <v>172.12</v>
      </c>
      <c r="G53" s="28">
        <v>5.7999999999999996E-3</v>
      </c>
      <c r="H53" s="29"/>
    </row>
    <row r="54" spans="2:8" ht="15.75" customHeight="1" x14ac:dyDescent="0.25">
      <c r="B54" s="25" t="s">
        <v>560</v>
      </c>
      <c r="C54" s="25" t="s">
        <v>561</v>
      </c>
      <c r="D54" s="25" t="s">
        <v>170</v>
      </c>
      <c r="E54" s="26">
        <v>3499</v>
      </c>
      <c r="F54" s="27">
        <v>167.11</v>
      </c>
      <c r="G54" s="28">
        <v>5.5999999999999999E-3</v>
      </c>
      <c r="H54" s="29"/>
    </row>
    <row r="55" spans="2:8" ht="15.75" customHeight="1" x14ac:dyDescent="0.25">
      <c r="B55" s="25" t="s">
        <v>578</v>
      </c>
      <c r="C55" s="25" t="s">
        <v>579</v>
      </c>
      <c r="D55" s="25" t="s">
        <v>214</v>
      </c>
      <c r="E55" s="26">
        <v>3774</v>
      </c>
      <c r="F55" s="27">
        <v>151.05000000000001</v>
      </c>
      <c r="G55" s="28">
        <v>5.1000000000000004E-3</v>
      </c>
      <c r="H55" s="29"/>
    </row>
    <row r="56" spans="2:8" ht="15.75" customHeight="1" x14ac:dyDescent="0.25">
      <c r="B56" s="25" t="s">
        <v>174</v>
      </c>
      <c r="C56" s="25" t="s">
        <v>175</v>
      </c>
      <c r="D56" s="25" t="s">
        <v>159</v>
      </c>
      <c r="E56" s="26">
        <v>2735</v>
      </c>
      <c r="F56" s="27">
        <v>128.72</v>
      </c>
      <c r="G56" s="28">
        <v>4.3E-3</v>
      </c>
      <c r="H56" s="29"/>
    </row>
    <row r="57" spans="2:8" ht="15.75" customHeight="1" x14ac:dyDescent="0.25">
      <c r="B57" s="24" t="s">
        <v>128</v>
      </c>
      <c r="C57" s="24"/>
      <c r="D57" s="24"/>
      <c r="E57" s="30"/>
      <c r="F57" s="31">
        <v>29590.85</v>
      </c>
      <c r="G57" s="32">
        <v>0.99950000000000006</v>
      </c>
      <c r="H57" s="33"/>
    </row>
    <row r="58" spans="2:8" ht="15.75" customHeight="1" x14ac:dyDescent="0.25">
      <c r="B58" s="24" t="s">
        <v>176</v>
      </c>
      <c r="C58" s="25"/>
      <c r="D58" s="25"/>
      <c r="E58" s="26"/>
      <c r="F58" s="27"/>
      <c r="G58" s="28"/>
      <c r="H58" s="29"/>
    </row>
    <row r="59" spans="2:8" ht="15.75" customHeight="1" x14ac:dyDescent="0.25">
      <c r="B59" s="24" t="s">
        <v>128</v>
      </c>
      <c r="C59" s="25"/>
      <c r="D59" s="25"/>
      <c r="E59" s="26"/>
      <c r="F59" s="34" t="s">
        <v>130</v>
      </c>
      <c r="G59" s="35" t="s">
        <v>130</v>
      </c>
      <c r="H59" s="29"/>
    </row>
    <row r="60" spans="2:8" ht="15.75" customHeight="1" x14ac:dyDescent="0.25">
      <c r="B60" s="25"/>
      <c r="C60" s="25"/>
      <c r="D60" s="25"/>
      <c r="E60" s="26"/>
      <c r="F60" s="27"/>
      <c r="G60" s="28"/>
      <c r="H60" s="29"/>
    </row>
    <row r="61" spans="2:8" ht="15.75" customHeight="1" x14ac:dyDescent="0.25">
      <c r="B61" s="36" t="s">
        <v>132</v>
      </c>
      <c r="C61" s="36"/>
      <c r="D61" s="36"/>
      <c r="E61" s="37"/>
      <c r="F61" s="31">
        <v>29590.85</v>
      </c>
      <c r="G61" s="32">
        <v>0.99950000000000006</v>
      </c>
      <c r="H61" s="33"/>
    </row>
    <row r="62" spans="2:8" ht="15.75" customHeight="1" x14ac:dyDescent="0.25">
      <c r="B62" s="25"/>
      <c r="C62" s="25"/>
      <c r="D62" s="25"/>
      <c r="E62" s="26"/>
      <c r="F62" s="27"/>
      <c r="G62" s="28"/>
      <c r="H62" s="29"/>
    </row>
    <row r="63" spans="2:8" ht="15.75" customHeight="1" x14ac:dyDescent="0.25">
      <c r="B63" s="25"/>
      <c r="C63" s="25"/>
      <c r="D63" s="25"/>
      <c r="E63" s="26"/>
      <c r="F63" s="27"/>
      <c r="G63" s="28"/>
      <c r="H63" s="29"/>
    </row>
    <row r="64" spans="2:8" ht="15.75" customHeight="1" x14ac:dyDescent="0.25">
      <c r="B64" s="24" t="s">
        <v>135</v>
      </c>
      <c r="C64" s="25"/>
      <c r="D64" s="25"/>
      <c r="E64" s="26"/>
      <c r="F64" s="27"/>
      <c r="G64" s="28"/>
      <c r="H64" s="29"/>
    </row>
    <row r="65" spans="2:16" ht="15.75" customHeight="1" x14ac:dyDescent="0.25">
      <c r="B65" s="25" t="s">
        <v>136</v>
      </c>
      <c r="C65" s="25"/>
      <c r="D65" s="25"/>
      <c r="E65" s="26"/>
      <c r="F65" s="27">
        <v>32.17</v>
      </c>
      <c r="G65" s="28">
        <v>1.1000000000000001E-3</v>
      </c>
      <c r="H65" s="29"/>
    </row>
    <row r="66" spans="2:16" ht="15.75" customHeight="1" x14ac:dyDescent="0.25">
      <c r="B66" s="24" t="s">
        <v>128</v>
      </c>
      <c r="C66" s="24"/>
      <c r="D66" s="24"/>
      <c r="E66" s="30"/>
      <c r="F66" s="31">
        <v>32.17</v>
      </c>
      <c r="G66" s="32">
        <v>1.1000000000000001E-3</v>
      </c>
      <c r="H66" s="33"/>
    </row>
    <row r="67" spans="2:16" ht="15.75" customHeight="1" x14ac:dyDescent="0.25">
      <c r="B67" s="25"/>
      <c r="C67" s="25"/>
      <c r="D67" s="25"/>
      <c r="E67" s="26"/>
      <c r="F67" s="27"/>
      <c r="G67" s="28"/>
      <c r="H67" s="29"/>
    </row>
    <row r="68" spans="2:16" ht="15.75" customHeight="1" x14ac:dyDescent="0.25">
      <c r="B68" s="36" t="s">
        <v>132</v>
      </c>
      <c r="C68" s="36"/>
      <c r="D68" s="36"/>
      <c r="E68" s="37"/>
      <c r="F68" s="31">
        <v>32.17</v>
      </c>
      <c r="G68" s="32">
        <v>1.1000000000000001E-3</v>
      </c>
      <c r="H68" s="33"/>
      <c r="L68" s="3"/>
    </row>
    <row r="69" spans="2:16" ht="15.75" customHeight="1" x14ac:dyDescent="0.25">
      <c r="B69" s="25" t="s">
        <v>137</v>
      </c>
      <c r="C69" s="25"/>
      <c r="D69" s="25"/>
      <c r="E69" s="26"/>
      <c r="F69" s="38">
        <v>-17.850000000000001</v>
      </c>
      <c r="G69" s="39">
        <v>-6.0000000000015596E-4</v>
      </c>
      <c r="H69" s="29"/>
    </row>
    <row r="70" spans="2:16" ht="15.75" customHeight="1" x14ac:dyDescent="0.25">
      <c r="B70" s="40" t="s">
        <v>138</v>
      </c>
      <c r="C70" s="40"/>
      <c r="D70" s="40"/>
      <c r="E70" s="41"/>
      <c r="F70" s="42">
        <v>29605.17</v>
      </c>
      <c r="G70" s="43">
        <v>1</v>
      </c>
      <c r="H70" s="44"/>
      <c r="L70" s="3"/>
    </row>
    <row r="71" spans="2:16" ht="15.75" customHeight="1" thickBot="1" x14ac:dyDescent="0.3">
      <c r="B71" s="2"/>
      <c r="L71" s="3"/>
    </row>
    <row r="72" spans="2:16" ht="27" customHeight="1" thickBot="1" x14ac:dyDescent="0.3">
      <c r="B72" s="57" t="s">
        <v>980</v>
      </c>
      <c r="C72" s="58" t="s">
        <v>981</v>
      </c>
      <c r="D72" s="58" t="s">
        <v>982</v>
      </c>
      <c r="E72" s="63" t="s">
        <v>983</v>
      </c>
      <c r="G72" s="2"/>
      <c r="H72" s="2"/>
    </row>
    <row r="73" spans="2:16" ht="27.75" customHeight="1" x14ac:dyDescent="0.25">
      <c r="B73" s="70" t="s">
        <v>87</v>
      </c>
      <c r="C73" s="82"/>
      <c r="D73" s="85" t="s">
        <v>1048</v>
      </c>
      <c r="E73" s="87"/>
      <c r="G73" s="2"/>
      <c r="H73" s="2"/>
    </row>
    <row r="74" spans="2:16" ht="31.5" customHeight="1" x14ac:dyDescent="0.25">
      <c r="B74" s="66" t="s">
        <v>1049</v>
      </c>
      <c r="C74" s="83"/>
      <c r="D74" s="86"/>
      <c r="E74" s="83"/>
      <c r="G74" s="2"/>
      <c r="H74" s="2"/>
    </row>
    <row r="75" spans="2:16" ht="40" customHeight="1" x14ac:dyDescent="0.25">
      <c r="B75" s="66" t="s">
        <v>1050</v>
      </c>
      <c r="C75" s="83"/>
      <c r="D75" s="86"/>
      <c r="E75" s="83"/>
      <c r="G75" s="2"/>
      <c r="H75" s="2"/>
    </row>
    <row r="76" spans="2:16" ht="22.5" customHeight="1" thickBot="1" x14ac:dyDescent="0.3">
      <c r="B76" s="68" t="s">
        <v>1006</v>
      </c>
      <c r="C76" s="84"/>
      <c r="D76" s="71" t="s">
        <v>1006</v>
      </c>
      <c r="E76" s="88"/>
      <c r="G76" s="2"/>
      <c r="H76" s="2"/>
    </row>
    <row r="77" spans="2:16" ht="25" customHeight="1" x14ac:dyDescent="0.25">
      <c r="B77" s="59" t="s">
        <v>985</v>
      </c>
      <c r="C77" s="60"/>
      <c r="D77" s="61"/>
      <c r="E77" s="62"/>
      <c r="G77" s="2"/>
      <c r="H77" s="2"/>
    </row>
    <row r="78" spans="2:16" ht="15.75" customHeight="1" x14ac:dyDescent="0.25">
      <c r="L78" s="7"/>
      <c r="M78" s="7"/>
      <c r="N78" s="7"/>
      <c r="O78" s="7"/>
      <c r="P78" s="7"/>
    </row>
    <row r="79" spans="2:16" ht="11.5" x14ac:dyDescent="0.25">
      <c r="B79" s="2" t="s">
        <v>986</v>
      </c>
      <c r="C79" s="2"/>
      <c r="D79" s="2"/>
      <c r="G79" s="2"/>
      <c r="H79" s="2"/>
    </row>
    <row r="80" spans="2:16" ht="11.5" x14ac:dyDescent="0.25">
      <c r="B80" s="3" t="s">
        <v>987</v>
      </c>
      <c r="C80" s="2"/>
      <c r="D80" s="2"/>
      <c r="G80" s="2"/>
      <c r="H80" s="2"/>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3">
    <mergeCell ref="C73:C76"/>
    <mergeCell ref="D73:D75"/>
    <mergeCell ref="E73:E76"/>
  </mergeCells>
  <hyperlinks>
    <hyperlink ref="I1" location="'Sheet1'!A1" display="Index" xr:uid="{7AB06D39-AFC2-4F12-8A3A-AE2BD9047E0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77C7E-0CA6-48A8-8177-58B3D07FAF3A}">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6" style="9" customWidth="1"/>
    <col min="4" max="4" width="26.6328125" style="9" customWidth="1"/>
    <col min="5" max="5" width="27.7265625" style="2" customWidth="1"/>
    <col min="6" max="6" width="16.453125" style="2" customWidth="1"/>
    <col min="7" max="7" width="15.26953125" style="8" customWidth="1"/>
    <col min="8" max="8" width="4.906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25</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160</v>
      </c>
      <c r="C7" s="25" t="s">
        <v>161</v>
      </c>
      <c r="D7" s="25" t="s">
        <v>156</v>
      </c>
      <c r="E7" s="26">
        <v>70057</v>
      </c>
      <c r="F7" s="27">
        <v>1062.8</v>
      </c>
      <c r="G7" s="28">
        <v>0.13519999999999999</v>
      </c>
      <c r="H7" s="29"/>
    </row>
    <row r="8" spans="2:9" ht="15.75" customHeight="1" x14ac:dyDescent="0.25">
      <c r="B8" s="25" t="s">
        <v>162</v>
      </c>
      <c r="C8" s="25" t="s">
        <v>163</v>
      </c>
      <c r="D8" s="25" t="s">
        <v>164</v>
      </c>
      <c r="E8" s="26">
        <v>31771</v>
      </c>
      <c r="F8" s="27">
        <v>931.26</v>
      </c>
      <c r="G8" s="28">
        <v>0.11849999999999999</v>
      </c>
      <c r="H8" s="29"/>
    </row>
    <row r="9" spans="2:9" ht="15.75" customHeight="1" x14ac:dyDescent="0.25">
      <c r="B9" s="25" t="s">
        <v>154</v>
      </c>
      <c r="C9" s="25" t="s">
        <v>155</v>
      </c>
      <c r="D9" s="25" t="s">
        <v>156</v>
      </c>
      <c r="E9" s="26">
        <v>64621</v>
      </c>
      <c r="F9" s="27">
        <v>744.47</v>
      </c>
      <c r="G9" s="28">
        <v>9.4700000000000006E-2</v>
      </c>
      <c r="H9" s="29"/>
    </row>
    <row r="10" spans="2:9" ht="15.75" customHeight="1" x14ac:dyDescent="0.25">
      <c r="B10" s="25" t="s">
        <v>157</v>
      </c>
      <c r="C10" s="25" t="s">
        <v>158</v>
      </c>
      <c r="D10" s="25" t="s">
        <v>159</v>
      </c>
      <c r="E10" s="26">
        <v>32848</v>
      </c>
      <c r="F10" s="27">
        <v>466.8</v>
      </c>
      <c r="G10" s="28">
        <v>5.9400000000000001E-2</v>
      </c>
      <c r="H10" s="29"/>
    </row>
    <row r="11" spans="2:9" ht="15.75" customHeight="1" x14ac:dyDescent="0.25">
      <c r="B11" s="25" t="s">
        <v>261</v>
      </c>
      <c r="C11" s="25" t="s">
        <v>262</v>
      </c>
      <c r="D11" s="25" t="s">
        <v>263</v>
      </c>
      <c r="E11" s="26">
        <v>10881</v>
      </c>
      <c r="F11" s="27">
        <v>391.08</v>
      </c>
      <c r="G11" s="28">
        <v>4.9799999999999997E-2</v>
      </c>
      <c r="H11" s="29"/>
    </row>
    <row r="12" spans="2:9" ht="15.75" customHeight="1" x14ac:dyDescent="0.25">
      <c r="B12" s="25" t="s">
        <v>292</v>
      </c>
      <c r="C12" s="25" t="s">
        <v>293</v>
      </c>
      <c r="D12" s="25" t="s">
        <v>173</v>
      </c>
      <c r="E12" s="26">
        <v>85983</v>
      </c>
      <c r="F12" s="27">
        <v>374.54</v>
      </c>
      <c r="G12" s="28">
        <v>4.7699999999999999E-2</v>
      </c>
      <c r="H12" s="29"/>
    </row>
    <row r="13" spans="2:9" ht="15.75" customHeight="1" x14ac:dyDescent="0.25">
      <c r="B13" s="25" t="s">
        <v>332</v>
      </c>
      <c r="C13" s="25" t="s">
        <v>333</v>
      </c>
      <c r="D13" s="25" t="s">
        <v>159</v>
      </c>
      <c r="E13" s="26">
        <v>9467</v>
      </c>
      <c r="F13" s="27">
        <v>361.89</v>
      </c>
      <c r="G13" s="28">
        <v>4.5999999999999999E-2</v>
      </c>
      <c r="H13" s="29"/>
    </row>
    <row r="14" spans="2:9" ht="15.75" customHeight="1" x14ac:dyDescent="0.25">
      <c r="B14" s="25" t="s">
        <v>434</v>
      </c>
      <c r="C14" s="25" t="s">
        <v>435</v>
      </c>
      <c r="D14" s="25" t="s">
        <v>268</v>
      </c>
      <c r="E14" s="26">
        <v>23274</v>
      </c>
      <c r="F14" s="27">
        <v>307.88</v>
      </c>
      <c r="G14" s="28">
        <v>3.9199999999999999E-2</v>
      </c>
      <c r="H14" s="29"/>
    </row>
    <row r="15" spans="2:9" ht="15.75" customHeight="1" x14ac:dyDescent="0.25">
      <c r="B15" s="25" t="s">
        <v>247</v>
      </c>
      <c r="C15" s="25" t="s">
        <v>248</v>
      </c>
      <c r="D15" s="25" t="s">
        <v>156</v>
      </c>
      <c r="E15" s="26">
        <v>26006</v>
      </c>
      <c r="F15" s="27">
        <v>303.27</v>
      </c>
      <c r="G15" s="28">
        <v>3.8600000000000002E-2</v>
      </c>
      <c r="H15" s="29"/>
    </row>
    <row r="16" spans="2:9" ht="15.75" customHeight="1" x14ac:dyDescent="0.25">
      <c r="B16" s="25" t="s">
        <v>330</v>
      </c>
      <c r="C16" s="25" t="s">
        <v>331</v>
      </c>
      <c r="D16" s="25" t="s">
        <v>156</v>
      </c>
      <c r="E16" s="26">
        <v>35215</v>
      </c>
      <c r="F16" s="27">
        <v>290.77</v>
      </c>
      <c r="G16" s="28">
        <v>3.6999999999999998E-2</v>
      </c>
      <c r="H16" s="29"/>
    </row>
    <row r="17" spans="2:8" ht="15.75" customHeight="1" x14ac:dyDescent="0.25">
      <c r="B17" s="25" t="s">
        <v>227</v>
      </c>
      <c r="C17" s="25" t="s">
        <v>228</v>
      </c>
      <c r="D17" s="25" t="s">
        <v>156</v>
      </c>
      <c r="E17" s="26">
        <v>13093</v>
      </c>
      <c r="F17" s="27">
        <v>212.6</v>
      </c>
      <c r="G17" s="28">
        <v>2.7099999999999999E-2</v>
      </c>
      <c r="H17" s="29"/>
    </row>
    <row r="18" spans="2:8" ht="15.75" customHeight="1" x14ac:dyDescent="0.25">
      <c r="B18" s="25" t="s">
        <v>165</v>
      </c>
      <c r="C18" s="25" t="s">
        <v>166</v>
      </c>
      <c r="D18" s="25" t="s">
        <v>167</v>
      </c>
      <c r="E18" s="26">
        <v>8858</v>
      </c>
      <c r="F18" s="27">
        <v>191.01</v>
      </c>
      <c r="G18" s="28">
        <v>2.4299999999999999E-2</v>
      </c>
      <c r="H18" s="29"/>
    </row>
    <row r="19" spans="2:8" ht="15.75" customHeight="1" x14ac:dyDescent="0.25">
      <c r="B19" s="25" t="s">
        <v>171</v>
      </c>
      <c r="C19" s="25" t="s">
        <v>172</v>
      </c>
      <c r="D19" s="25" t="s">
        <v>173</v>
      </c>
      <c r="E19" s="26">
        <v>8159</v>
      </c>
      <c r="F19" s="27">
        <v>182</v>
      </c>
      <c r="G19" s="28">
        <v>2.3199999999999998E-2</v>
      </c>
      <c r="H19" s="29"/>
    </row>
    <row r="20" spans="2:8" ht="15.75" customHeight="1" x14ac:dyDescent="0.25">
      <c r="B20" s="25" t="s">
        <v>210</v>
      </c>
      <c r="C20" s="25" t="s">
        <v>211</v>
      </c>
      <c r="D20" s="25" t="s">
        <v>209</v>
      </c>
      <c r="E20" s="26">
        <v>2553</v>
      </c>
      <c r="F20" s="27">
        <v>176.95</v>
      </c>
      <c r="G20" s="28">
        <v>2.2499999999999999E-2</v>
      </c>
      <c r="H20" s="29"/>
    </row>
    <row r="21" spans="2:8" ht="15.75" customHeight="1" x14ac:dyDescent="0.25">
      <c r="B21" s="25" t="s">
        <v>532</v>
      </c>
      <c r="C21" s="25" t="s">
        <v>533</v>
      </c>
      <c r="D21" s="25" t="s">
        <v>167</v>
      </c>
      <c r="E21" s="26">
        <v>16420</v>
      </c>
      <c r="F21" s="27">
        <v>165.49</v>
      </c>
      <c r="G21" s="28">
        <v>2.1100000000000001E-2</v>
      </c>
      <c r="H21" s="29"/>
    </row>
    <row r="22" spans="2:8" ht="15.75" customHeight="1" x14ac:dyDescent="0.25">
      <c r="B22" s="25" t="s">
        <v>344</v>
      </c>
      <c r="C22" s="25" t="s">
        <v>345</v>
      </c>
      <c r="D22" s="25" t="s">
        <v>167</v>
      </c>
      <c r="E22" s="26">
        <v>1270</v>
      </c>
      <c r="F22" s="27">
        <v>162.63999999999999</v>
      </c>
      <c r="G22" s="28">
        <v>2.07E-2</v>
      </c>
      <c r="H22" s="29"/>
    </row>
    <row r="23" spans="2:8" ht="15.75" customHeight="1" x14ac:dyDescent="0.25">
      <c r="B23" s="25" t="s">
        <v>336</v>
      </c>
      <c r="C23" s="25" t="s">
        <v>337</v>
      </c>
      <c r="D23" s="25" t="s">
        <v>281</v>
      </c>
      <c r="E23" s="26">
        <v>43422</v>
      </c>
      <c r="F23" s="27">
        <v>157.66999999999999</v>
      </c>
      <c r="G23" s="28">
        <v>2.01E-2</v>
      </c>
      <c r="H23" s="29"/>
    </row>
    <row r="24" spans="2:8" ht="15.75" customHeight="1" x14ac:dyDescent="0.25">
      <c r="B24" s="25" t="s">
        <v>470</v>
      </c>
      <c r="C24" s="25" t="s">
        <v>471</v>
      </c>
      <c r="D24" s="25" t="s">
        <v>214</v>
      </c>
      <c r="E24" s="26">
        <v>9931</v>
      </c>
      <c r="F24" s="27">
        <v>149.19</v>
      </c>
      <c r="G24" s="28">
        <v>1.9E-2</v>
      </c>
      <c r="H24" s="29"/>
    </row>
    <row r="25" spans="2:8" ht="15.75" customHeight="1" x14ac:dyDescent="0.25">
      <c r="B25" s="25" t="s">
        <v>440</v>
      </c>
      <c r="C25" s="25" t="s">
        <v>441</v>
      </c>
      <c r="D25" s="25" t="s">
        <v>442</v>
      </c>
      <c r="E25" s="26">
        <v>3870</v>
      </c>
      <c r="F25" s="27">
        <v>138.9</v>
      </c>
      <c r="G25" s="28">
        <v>1.77E-2</v>
      </c>
      <c r="H25" s="29"/>
    </row>
    <row r="26" spans="2:8" ht="15.75" customHeight="1" x14ac:dyDescent="0.25">
      <c r="B26" s="25" t="s">
        <v>334</v>
      </c>
      <c r="C26" s="25" t="s">
        <v>335</v>
      </c>
      <c r="D26" s="25" t="s">
        <v>159</v>
      </c>
      <c r="E26" s="26">
        <v>9771</v>
      </c>
      <c r="F26" s="27">
        <v>133.62</v>
      </c>
      <c r="G26" s="28">
        <v>1.7000000000000001E-2</v>
      </c>
      <c r="H26" s="29"/>
    </row>
    <row r="27" spans="2:8" ht="15.75" customHeight="1" x14ac:dyDescent="0.25">
      <c r="B27" s="25" t="s">
        <v>355</v>
      </c>
      <c r="C27" s="25" t="s">
        <v>356</v>
      </c>
      <c r="D27" s="25" t="s">
        <v>281</v>
      </c>
      <c r="E27" s="26">
        <v>41897</v>
      </c>
      <c r="F27" s="27">
        <v>126.38</v>
      </c>
      <c r="G27" s="28">
        <v>1.61E-2</v>
      </c>
      <c r="H27" s="29"/>
    </row>
    <row r="28" spans="2:8" ht="15.75" customHeight="1" x14ac:dyDescent="0.25">
      <c r="B28" s="25" t="s">
        <v>198</v>
      </c>
      <c r="C28" s="25" t="s">
        <v>199</v>
      </c>
      <c r="D28" s="25" t="s">
        <v>197</v>
      </c>
      <c r="E28" s="26">
        <v>74714</v>
      </c>
      <c r="F28" s="27">
        <v>123.24</v>
      </c>
      <c r="G28" s="28">
        <v>1.5699999999999999E-2</v>
      </c>
      <c r="H28" s="29"/>
    </row>
    <row r="29" spans="2:8" ht="15.75" customHeight="1" x14ac:dyDescent="0.25">
      <c r="B29" s="25" t="s">
        <v>564</v>
      </c>
      <c r="C29" s="25" t="s">
        <v>565</v>
      </c>
      <c r="D29" s="25" t="s">
        <v>442</v>
      </c>
      <c r="E29" s="26">
        <v>4137</v>
      </c>
      <c r="F29" s="27">
        <v>119.02</v>
      </c>
      <c r="G29" s="28">
        <v>1.5100000000000001E-2</v>
      </c>
      <c r="H29" s="29"/>
    </row>
    <row r="30" spans="2:8" ht="15.75" customHeight="1" x14ac:dyDescent="0.25">
      <c r="B30" s="25" t="s">
        <v>353</v>
      </c>
      <c r="C30" s="25" t="s">
        <v>354</v>
      </c>
      <c r="D30" s="25" t="s">
        <v>244</v>
      </c>
      <c r="E30" s="26">
        <v>1058</v>
      </c>
      <c r="F30" s="27">
        <v>105.45</v>
      </c>
      <c r="G30" s="28">
        <v>1.34E-2</v>
      </c>
      <c r="H30" s="29"/>
    </row>
    <row r="31" spans="2:8" ht="15.75" customHeight="1" x14ac:dyDescent="0.25">
      <c r="B31" s="25" t="s">
        <v>220</v>
      </c>
      <c r="C31" s="25" t="s">
        <v>221</v>
      </c>
      <c r="D31" s="25" t="s">
        <v>156</v>
      </c>
      <c r="E31" s="26">
        <v>6016</v>
      </c>
      <c r="F31" s="27">
        <v>91.18</v>
      </c>
      <c r="G31" s="28">
        <v>1.1599999999999999E-2</v>
      </c>
      <c r="H31" s="29"/>
    </row>
    <row r="32" spans="2:8" ht="15.75" customHeight="1" x14ac:dyDescent="0.25">
      <c r="B32" s="25" t="s">
        <v>168</v>
      </c>
      <c r="C32" s="25" t="s">
        <v>169</v>
      </c>
      <c r="D32" s="25" t="s">
        <v>170</v>
      </c>
      <c r="E32" s="26">
        <v>3282</v>
      </c>
      <c r="F32" s="27">
        <v>82.25</v>
      </c>
      <c r="G32" s="28">
        <v>1.0500000000000001E-2</v>
      </c>
      <c r="H32" s="29"/>
    </row>
    <row r="33" spans="2:8" ht="15.75" customHeight="1" x14ac:dyDescent="0.25">
      <c r="B33" s="25" t="s">
        <v>271</v>
      </c>
      <c r="C33" s="25" t="s">
        <v>272</v>
      </c>
      <c r="D33" s="25" t="s">
        <v>209</v>
      </c>
      <c r="E33" s="26">
        <v>4990</v>
      </c>
      <c r="F33" s="27">
        <v>80.62</v>
      </c>
      <c r="G33" s="28">
        <v>1.03E-2</v>
      </c>
      <c r="H33" s="29"/>
    </row>
    <row r="34" spans="2:8" ht="15.75" customHeight="1" x14ac:dyDescent="0.25">
      <c r="B34" s="25" t="s">
        <v>273</v>
      </c>
      <c r="C34" s="25" t="s">
        <v>274</v>
      </c>
      <c r="D34" s="25" t="s">
        <v>197</v>
      </c>
      <c r="E34" s="26">
        <v>8698</v>
      </c>
      <c r="F34" s="27">
        <v>76.77</v>
      </c>
      <c r="G34" s="28">
        <v>9.7999999999999997E-3</v>
      </c>
      <c r="H34" s="29"/>
    </row>
    <row r="35" spans="2:8" ht="15.75" customHeight="1" x14ac:dyDescent="0.25">
      <c r="B35" s="25" t="s">
        <v>264</v>
      </c>
      <c r="C35" s="25" t="s">
        <v>265</v>
      </c>
      <c r="D35" s="25" t="s">
        <v>159</v>
      </c>
      <c r="E35" s="26">
        <v>5791</v>
      </c>
      <c r="F35" s="27">
        <v>73.08</v>
      </c>
      <c r="G35" s="28">
        <v>9.2999999999999992E-3</v>
      </c>
      <c r="H35" s="29"/>
    </row>
    <row r="36" spans="2:8" ht="15.75" customHeight="1" x14ac:dyDescent="0.25">
      <c r="B36" s="25" t="s">
        <v>804</v>
      </c>
      <c r="C36" s="25" t="s">
        <v>805</v>
      </c>
      <c r="D36" s="25" t="s">
        <v>159</v>
      </c>
      <c r="E36" s="26">
        <v>13020</v>
      </c>
      <c r="F36" s="27">
        <v>60.19</v>
      </c>
      <c r="G36" s="28">
        <v>7.7000000000000002E-3</v>
      </c>
      <c r="H36" s="29"/>
    </row>
    <row r="37" spans="2:8" ht="15.75" customHeight="1" x14ac:dyDescent="0.25">
      <c r="B37" s="24" t="s">
        <v>128</v>
      </c>
      <c r="C37" s="24"/>
      <c r="D37" s="24"/>
      <c r="E37" s="30"/>
      <c r="F37" s="31">
        <v>7843.01</v>
      </c>
      <c r="G37" s="32">
        <v>0.99790000000000001</v>
      </c>
      <c r="H37" s="33"/>
    </row>
    <row r="38" spans="2:8" ht="15.75" customHeight="1" x14ac:dyDescent="0.25">
      <c r="B38" s="24" t="s">
        <v>176</v>
      </c>
      <c r="C38" s="25"/>
      <c r="D38" s="25"/>
      <c r="E38" s="26"/>
      <c r="F38" s="27"/>
      <c r="G38" s="28"/>
      <c r="H38" s="29"/>
    </row>
    <row r="39" spans="2:8" ht="15.75" customHeight="1" x14ac:dyDescent="0.25">
      <c r="B39" s="24" t="s">
        <v>128</v>
      </c>
      <c r="C39" s="25"/>
      <c r="D39" s="25"/>
      <c r="E39" s="26"/>
      <c r="F39" s="34" t="s">
        <v>130</v>
      </c>
      <c r="G39" s="35" t="s">
        <v>130</v>
      </c>
      <c r="H39" s="29"/>
    </row>
    <row r="40" spans="2:8" ht="15.75" customHeight="1" x14ac:dyDescent="0.25">
      <c r="B40" s="25"/>
      <c r="C40" s="25"/>
      <c r="D40" s="25"/>
      <c r="E40" s="26"/>
      <c r="F40" s="27"/>
      <c r="G40" s="28"/>
      <c r="H40" s="29"/>
    </row>
    <row r="41" spans="2:8" ht="15.75" customHeight="1" x14ac:dyDescent="0.25">
      <c r="B41" s="36" t="s">
        <v>132</v>
      </c>
      <c r="C41" s="36"/>
      <c r="D41" s="36"/>
      <c r="E41" s="37"/>
      <c r="F41" s="31">
        <v>7843.01</v>
      </c>
      <c r="G41" s="32">
        <v>0.99790000000000001</v>
      </c>
      <c r="H41" s="33"/>
    </row>
    <row r="42" spans="2:8" ht="15.75" customHeight="1" x14ac:dyDescent="0.25">
      <c r="B42" s="25"/>
      <c r="C42" s="25"/>
      <c r="D42" s="25"/>
      <c r="E42" s="26"/>
      <c r="F42" s="27"/>
      <c r="G42" s="28"/>
      <c r="H42" s="29"/>
    </row>
    <row r="43" spans="2:8" ht="15.75" customHeight="1" x14ac:dyDescent="0.25">
      <c r="B43" s="25"/>
      <c r="C43" s="25"/>
      <c r="D43" s="25"/>
      <c r="E43" s="26"/>
      <c r="F43" s="27"/>
      <c r="G43" s="28"/>
      <c r="H43" s="29"/>
    </row>
    <row r="44" spans="2:8" ht="15.75" customHeight="1" x14ac:dyDescent="0.25">
      <c r="B44" s="24" t="s">
        <v>135</v>
      </c>
      <c r="C44" s="25"/>
      <c r="D44" s="25"/>
      <c r="E44" s="26"/>
      <c r="F44" s="27"/>
      <c r="G44" s="28"/>
      <c r="H44" s="29"/>
    </row>
    <row r="45" spans="2:8" ht="15.75" customHeight="1" x14ac:dyDescent="0.25">
      <c r="B45" s="25" t="s">
        <v>136</v>
      </c>
      <c r="C45" s="25"/>
      <c r="D45" s="25"/>
      <c r="E45" s="26"/>
      <c r="F45" s="27">
        <v>13.51</v>
      </c>
      <c r="G45" s="28">
        <v>1.6999999999999999E-3</v>
      </c>
      <c r="H45" s="29"/>
    </row>
    <row r="46" spans="2:8" ht="15.75" customHeight="1" x14ac:dyDescent="0.25">
      <c r="B46" s="24" t="s">
        <v>128</v>
      </c>
      <c r="C46" s="24"/>
      <c r="D46" s="24"/>
      <c r="E46" s="30"/>
      <c r="F46" s="31">
        <v>13.51</v>
      </c>
      <c r="G46" s="32">
        <v>1.6999999999999999E-3</v>
      </c>
      <c r="H46" s="33"/>
    </row>
    <row r="47" spans="2:8" ht="15.75" customHeight="1" x14ac:dyDescent="0.25">
      <c r="B47" s="25"/>
      <c r="C47" s="25"/>
      <c r="D47" s="25"/>
      <c r="E47" s="26"/>
      <c r="F47" s="27"/>
      <c r="G47" s="28"/>
      <c r="H47" s="29"/>
    </row>
    <row r="48" spans="2:8" ht="15.75" customHeight="1" x14ac:dyDescent="0.25">
      <c r="B48" s="36" t="s">
        <v>132</v>
      </c>
      <c r="C48" s="36"/>
      <c r="D48" s="36"/>
      <c r="E48" s="37"/>
      <c r="F48" s="31">
        <v>13.51</v>
      </c>
      <c r="G48" s="32">
        <v>1.6999999999999999E-3</v>
      </c>
      <c r="H48" s="33"/>
    </row>
    <row r="49" spans="2:8" ht="15.75" customHeight="1" x14ac:dyDescent="0.25">
      <c r="B49" s="25" t="s">
        <v>137</v>
      </c>
      <c r="C49" s="25"/>
      <c r="D49" s="25"/>
      <c r="E49" s="26"/>
      <c r="F49" s="27">
        <v>2.79</v>
      </c>
      <c r="G49" s="28">
        <v>3.9999999999995595E-4</v>
      </c>
      <c r="H49" s="29"/>
    </row>
    <row r="50" spans="2:8" ht="15.75" customHeight="1" x14ac:dyDescent="0.25">
      <c r="B50" s="40" t="s">
        <v>138</v>
      </c>
      <c r="C50" s="40"/>
      <c r="D50" s="40"/>
      <c r="E50" s="41"/>
      <c r="F50" s="42">
        <v>7859.31</v>
      </c>
      <c r="G50" s="43">
        <v>1</v>
      </c>
      <c r="H50" s="44"/>
    </row>
    <row r="51" spans="2:8" ht="15.75" customHeight="1" x14ac:dyDescent="0.25">
      <c r="B51" s="2"/>
    </row>
    <row r="52" spans="2:8" ht="15.75" customHeight="1" x14ac:dyDescent="0.25">
      <c r="B52" s="12" t="s">
        <v>492</v>
      </c>
    </row>
    <row r="53" spans="2:8" ht="15.75" customHeight="1" thickBot="1" x14ac:dyDescent="0.3"/>
    <row r="54" spans="2:8" ht="27" customHeight="1" thickBot="1" x14ac:dyDescent="0.3">
      <c r="B54" s="57" t="s">
        <v>980</v>
      </c>
      <c r="C54" s="58" t="s">
        <v>981</v>
      </c>
      <c r="D54" s="58" t="s">
        <v>982</v>
      </c>
      <c r="E54" s="63" t="s">
        <v>983</v>
      </c>
      <c r="G54" s="2"/>
      <c r="H54" s="2"/>
    </row>
    <row r="55" spans="2:8" ht="22.5" customHeight="1" x14ac:dyDescent="0.25">
      <c r="B55" s="70" t="s">
        <v>89</v>
      </c>
      <c r="C55" s="82"/>
      <c r="D55" s="85" t="s">
        <v>1051</v>
      </c>
      <c r="E55" s="87"/>
      <c r="G55" s="2"/>
      <c r="H55" s="2"/>
    </row>
    <row r="56" spans="2:8" ht="26.25" customHeight="1" x14ac:dyDescent="0.25">
      <c r="B56" s="66" t="s">
        <v>1049</v>
      </c>
      <c r="C56" s="83"/>
      <c r="D56" s="86"/>
      <c r="E56" s="83"/>
      <c r="G56" s="2"/>
      <c r="H56" s="2"/>
    </row>
    <row r="57" spans="2:8" ht="40" customHeight="1" x14ac:dyDescent="0.25">
      <c r="B57" s="66" t="s">
        <v>1052</v>
      </c>
      <c r="C57" s="83"/>
      <c r="D57" s="86"/>
      <c r="E57" s="83"/>
      <c r="G57" s="2"/>
      <c r="H57" s="2"/>
    </row>
    <row r="58" spans="2:8" ht="27.75" customHeight="1" thickBot="1" x14ac:dyDescent="0.3">
      <c r="B58" s="68" t="s">
        <v>1006</v>
      </c>
      <c r="C58" s="84"/>
      <c r="D58" s="71" t="s">
        <v>1006</v>
      </c>
      <c r="E58" s="88"/>
      <c r="G58" s="2"/>
      <c r="H58" s="2"/>
    </row>
    <row r="59" spans="2:8" ht="25" customHeight="1" x14ac:dyDescent="0.25">
      <c r="B59" s="59" t="s">
        <v>985</v>
      </c>
      <c r="C59" s="60"/>
      <c r="D59" s="61"/>
      <c r="E59" s="62"/>
      <c r="G59" s="2"/>
      <c r="H59" s="2"/>
    </row>
    <row r="61" spans="2:8" ht="11.5" x14ac:dyDescent="0.25">
      <c r="B61" s="2" t="s">
        <v>986</v>
      </c>
      <c r="C61" s="2"/>
      <c r="D61" s="2"/>
      <c r="G61" s="2"/>
      <c r="H61" s="2"/>
    </row>
    <row r="62" spans="2:8" ht="11.5" x14ac:dyDescent="0.25">
      <c r="B62" s="3" t="s">
        <v>987</v>
      </c>
      <c r="C62" s="2"/>
      <c r="D62" s="2"/>
      <c r="G62" s="2"/>
      <c r="H62" s="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8" spans="12:16" ht="15.75" customHeight="1" x14ac:dyDescent="0.25">
      <c r="L78" s="7"/>
      <c r="M78" s="7"/>
      <c r="N78" s="7"/>
      <c r="O78" s="7"/>
      <c r="P78" s="7"/>
    </row>
    <row r="79" spans="12:16" ht="15.75" customHeight="1" x14ac:dyDescent="0.25">
      <c r="L79" s="7"/>
      <c r="M79" s="7"/>
      <c r="N79" s="7"/>
      <c r="O79" s="7"/>
      <c r="P79" s="7"/>
    </row>
    <row r="80" spans="1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3">
    <mergeCell ref="C55:C58"/>
    <mergeCell ref="D55:D57"/>
    <mergeCell ref="E55:E58"/>
  </mergeCells>
  <hyperlinks>
    <hyperlink ref="I1" location="'Sheet1'!A1" display="Index" xr:uid="{BE58086B-6EB2-447C-B4BC-89BA240531D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AF7E2-7246-4A33-A08D-8D46294AC374}">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6.54296875" style="9" customWidth="1"/>
    <col min="4" max="4" width="26.6328125" style="9" customWidth="1"/>
    <col min="5" max="5" width="28.6328125" style="2" customWidth="1"/>
    <col min="6" max="6" width="16.453125" style="2" customWidth="1"/>
    <col min="7" max="7" width="15.26953125" style="8" customWidth="1"/>
    <col min="8" max="8" width="4.906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26</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330</v>
      </c>
      <c r="C7" s="25" t="s">
        <v>331</v>
      </c>
      <c r="D7" s="25" t="s">
        <v>156</v>
      </c>
      <c r="E7" s="26">
        <v>88809</v>
      </c>
      <c r="F7" s="27">
        <v>733.78</v>
      </c>
      <c r="G7" s="28">
        <v>6.6699999999999995E-2</v>
      </c>
      <c r="H7" s="29"/>
    </row>
    <row r="8" spans="2:9" ht="15.75" customHeight="1" x14ac:dyDescent="0.25">
      <c r="B8" s="25" t="s">
        <v>162</v>
      </c>
      <c r="C8" s="25" t="s">
        <v>163</v>
      </c>
      <c r="D8" s="25" t="s">
        <v>164</v>
      </c>
      <c r="E8" s="26">
        <v>22152</v>
      </c>
      <c r="F8" s="27">
        <v>649.94000000000005</v>
      </c>
      <c r="G8" s="28">
        <v>5.91E-2</v>
      </c>
      <c r="H8" s="29"/>
    </row>
    <row r="9" spans="2:9" ht="15.75" customHeight="1" x14ac:dyDescent="0.25">
      <c r="B9" s="25" t="s">
        <v>160</v>
      </c>
      <c r="C9" s="25" t="s">
        <v>161</v>
      </c>
      <c r="D9" s="25" t="s">
        <v>156</v>
      </c>
      <c r="E9" s="26">
        <v>36835</v>
      </c>
      <c r="F9" s="27">
        <v>559.92999999999995</v>
      </c>
      <c r="G9" s="28">
        <v>5.0900000000000001E-2</v>
      </c>
      <c r="H9" s="29"/>
    </row>
    <row r="10" spans="2:9" ht="15.75" customHeight="1" x14ac:dyDescent="0.25">
      <c r="B10" s="25" t="s">
        <v>154</v>
      </c>
      <c r="C10" s="25" t="s">
        <v>155</v>
      </c>
      <c r="D10" s="25" t="s">
        <v>156</v>
      </c>
      <c r="E10" s="26">
        <v>30914</v>
      </c>
      <c r="F10" s="27">
        <v>355.63</v>
      </c>
      <c r="G10" s="28">
        <v>3.2300000000000002E-2</v>
      </c>
      <c r="H10" s="29"/>
    </row>
    <row r="11" spans="2:9" ht="15.75" customHeight="1" x14ac:dyDescent="0.25">
      <c r="B11" s="25" t="s">
        <v>292</v>
      </c>
      <c r="C11" s="25" t="s">
        <v>293</v>
      </c>
      <c r="D11" s="25" t="s">
        <v>173</v>
      </c>
      <c r="E11" s="26">
        <v>79716</v>
      </c>
      <c r="F11" s="27">
        <v>347.28</v>
      </c>
      <c r="G11" s="28">
        <v>3.1600000000000003E-2</v>
      </c>
      <c r="H11" s="29"/>
    </row>
    <row r="12" spans="2:9" ht="15.75" customHeight="1" x14ac:dyDescent="0.25">
      <c r="B12" s="25" t="s">
        <v>227</v>
      </c>
      <c r="C12" s="25" t="s">
        <v>228</v>
      </c>
      <c r="D12" s="25" t="s">
        <v>156</v>
      </c>
      <c r="E12" s="26">
        <v>19683</v>
      </c>
      <c r="F12" s="27">
        <v>319.64</v>
      </c>
      <c r="G12" s="28">
        <v>2.9100000000000001E-2</v>
      </c>
      <c r="H12" s="29"/>
    </row>
    <row r="13" spans="2:9" ht="15.75" customHeight="1" x14ac:dyDescent="0.25">
      <c r="B13" s="25" t="s">
        <v>247</v>
      </c>
      <c r="C13" s="25" t="s">
        <v>248</v>
      </c>
      <c r="D13" s="25" t="s">
        <v>156</v>
      </c>
      <c r="E13" s="26">
        <v>27370</v>
      </c>
      <c r="F13" s="27">
        <v>319.11</v>
      </c>
      <c r="G13" s="28">
        <v>2.9000000000000001E-2</v>
      </c>
      <c r="H13" s="29"/>
    </row>
    <row r="14" spans="2:9" ht="15.75" customHeight="1" x14ac:dyDescent="0.25">
      <c r="B14" s="25" t="s">
        <v>157</v>
      </c>
      <c r="C14" s="25" t="s">
        <v>158</v>
      </c>
      <c r="D14" s="25" t="s">
        <v>159</v>
      </c>
      <c r="E14" s="26">
        <v>21962</v>
      </c>
      <c r="F14" s="27">
        <v>311.98</v>
      </c>
      <c r="G14" s="28">
        <v>2.8400000000000002E-2</v>
      </c>
      <c r="H14" s="29"/>
    </row>
    <row r="15" spans="2:9" ht="15.75" customHeight="1" x14ac:dyDescent="0.25">
      <c r="B15" s="25" t="s">
        <v>539</v>
      </c>
      <c r="C15" s="25" t="s">
        <v>540</v>
      </c>
      <c r="D15" s="25" t="s">
        <v>263</v>
      </c>
      <c r="E15" s="26">
        <v>112747</v>
      </c>
      <c r="F15" s="27">
        <v>273.07</v>
      </c>
      <c r="G15" s="28">
        <v>2.4799999999999999E-2</v>
      </c>
      <c r="H15" s="29"/>
    </row>
    <row r="16" spans="2:9" ht="15.75" customHeight="1" x14ac:dyDescent="0.25">
      <c r="B16" s="25" t="s">
        <v>372</v>
      </c>
      <c r="C16" s="25" t="s">
        <v>373</v>
      </c>
      <c r="D16" s="25" t="s">
        <v>214</v>
      </c>
      <c r="E16" s="26">
        <v>186576</v>
      </c>
      <c r="F16" s="27">
        <v>268.02</v>
      </c>
      <c r="G16" s="28">
        <v>2.4400000000000002E-2</v>
      </c>
      <c r="H16" s="29"/>
    </row>
    <row r="17" spans="2:8" ht="15.75" customHeight="1" x14ac:dyDescent="0.25">
      <c r="B17" s="25" t="s">
        <v>458</v>
      </c>
      <c r="C17" s="25" t="s">
        <v>459</v>
      </c>
      <c r="D17" s="25" t="s">
        <v>296</v>
      </c>
      <c r="E17" s="26">
        <v>19587</v>
      </c>
      <c r="F17" s="27">
        <v>248.99</v>
      </c>
      <c r="G17" s="28">
        <v>2.2599999999999999E-2</v>
      </c>
      <c r="H17" s="29"/>
    </row>
    <row r="18" spans="2:8" ht="15.75" customHeight="1" x14ac:dyDescent="0.25">
      <c r="B18" s="25" t="s">
        <v>304</v>
      </c>
      <c r="C18" s="25" t="s">
        <v>305</v>
      </c>
      <c r="D18" s="25" t="s">
        <v>296</v>
      </c>
      <c r="E18" s="26">
        <v>188293</v>
      </c>
      <c r="F18" s="27">
        <v>247.04</v>
      </c>
      <c r="G18" s="28">
        <v>2.2499999999999999E-2</v>
      </c>
      <c r="H18" s="29"/>
    </row>
    <row r="19" spans="2:8" ht="15.75" customHeight="1" x14ac:dyDescent="0.25">
      <c r="B19" s="25" t="s">
        <v>378</v>
      </c>
      <c r="C19" s="25" t="s">
        <v>379</v>
      </c>
      <c r="D19" s="25" t="s">
        <v>380</v>
      </c>
      <c r="E19" s="26">
        <v>16471</v>
      </c>
      <c r="F19" s="27">
        <v>243.68</v>
      </c>
      <c r="G19" s="28">
        <v>2.2100000000000002E-2</v>
      </c>
      <c r="H19" s="29"/>
    </row>
    <row r="20" spans="2:8" ht="15.75" customHeight="1" x14ac:dyDescent="0.25">
      <c r="B20" s="25" t="s">
        <v>595</v>
      </c>
      <c r="C20" s="25" t="s">
        <v>596</v>
      </c>
      <c r="D20" s="25" t="s">
        <v>260</v>
      </c>
      <c r="E20" s="26">
        <v>87976</v>
      </c>
      <c r="F20" s="27">
        <v>238.11</v>
      </c>
      <c r="G20" s="28">
        <v>2.1600000000000001E-2</v>
      </c>
      <c r="H20" s="29"/>
    </row>
    <row r="21" spans="2:8" ht="15.75" customHeight="1" x14ac:dyDescent="0.25">
      <c r="B21" s="25" t="s">
        <v>429</v>
      </c>
      <c r="C21" s="25" t="s">
        <v>430</v>
      </c>
      <c r="D21" s="25" t="s">
        <v>431</v>
      </c>
      <c r="E21" s="26">
        <v>20402</v>
      </c>
      <c r="F21" s="27">
        <v>233.24</v>
      </c>
      <c r="G21" s="28">
        <v>2.12E-2</v>
      </c>
      <c r="H21" s="29"/>
    </row>
    <row r="22" spans="2:8" ht="15.75" customHeight="1" x14ac:dyDescent="0.25">
      <c r="B22" s="25" t="s">
        <v>434</v>
      </c>
      <c r="C22" s="25" t="s">
        <v>435</v>
      </c>
      <c r="D22" s="25" t="s">
        <v>268</v>
      </c>
      <c r="E22" s="26">
        <v>16800</v>
      </c>
      <c r="F22" s="27">
        <v>222.15</v>
      </c>
      <c r="G22" s="28">
        <v>2.0199999999999999E-2</v>
      </c>
      <c r="H22" s="29"/>
    </row>
    <row r="23" spans="2:8" ht="15.75" customHeight="1" x14ac:dyDescent="0.25">
      <c r="B23" s="25" t="s">
        <v>220</v>
      </c>
      <c r="C23" s="25" t="s">
        <v>221</v>
      </c>
      <c r="D23" s="25" t="s">
        <v>156</v>
      </c>
      <c r="E23" s="26">
        <v>14495</v>
      </c>
      <c r="F23" s="27">
        <v>219.7</v>
      </c>
      <c r="G23" s="28">
        <v>0.02</v>
      </c>
      <c r="H23" s="29"/>
    </row>
    <row r="24" spans="2:8" ht="15.75" customHeight="1" x14ac:dyDescent="0.25">
      <c r="B24" s="25" t="s">
        <v>530</v>
      </c>
      <c r="C24" s="25" t="s">
        <v>531</v>
      </c>
      <c r="D24" s="25" t="s">
        <v>303</v>
      </c>
      <c r="E24" s="26">
        <v>138220</v>
      </c>
      <c r="F24" s="27">
        <v>214.17</v>
      </c>
      <c r="G24" s="28">
        <v>1.95E-2</v>
      </c>
      <c r="H24" s="29"/>
    </row>
    <row r="25" spans="2:8" ht="15.75" customHeight="1" x14ac:dyDescent="0.25">
      <c r="B25" s="25" t="s">
        <v>207</v>
      </c>
      <c r="C25" s="25" t="s">
        <v>208</v>
      </c>
      <c r="D25" s="25" t="s">
        <v>209</v>
      </c>
      <c r="E25" s="26">
        <v>46098</v>
      </c>
      <c r="F25" s="27">
        <v>203.55</v>
      </c>
      <c r="G25" s="28">
        <v>1.8499999999999999E-2</v>
      </c>
      <c r="H25" s="29"/>
    </row>
    <row r="26" spans="2:8" ht="15.75" customHeight="1" x14ac:dyDescent="0.25">
      <c r="B26" s="25" t="s">
        <v>438</v>
      </c>
      <c r="C26" s="25" t="s">
        <v>439</v>
      </c>
      <c r="D26" s="25" t="s">
        <v>156</v>
      </c>
      <c r="E26" s="26">
        <v>209733</v>
      </c>
      <c r="F26" s="27">
        <v>203.55</v>
      </c>
      <c r="G26" s="28">
        <v>1.8499999999999999E-2</v>
      </c>
      <c r="H26" s="29"/>
    </row>
    <row r="27" spans="2:8" ht="15.75" customHeight="1" x14ac:dyDescent="0.25">
      <c r="B27" s="25" t="s">
        <v>353</v>
      </c>
      <c r="C27" s="25" t="s">
        <v>354</v>
      </c>
      <c r="D27" s="25" t="s">
        <v>244</v>
      </c>
      <c r="E27" s="26">
        <v>2000</v>
      </c>
      <c r="F27" s="27">
        <v>199.44</v>
      </c>
      <c r="G27" s="28">
        <v>1.8100000000000002E-2</v>
      </c>
      <c r="H27" s="29"/>
    </row>
    <row r="28" spans="2:8" ht="15.75" customHeight="1" x14ac:dyDescent="0.25">
      <c r="B28" s="25" t="s">
        <v>344</v>
      </c>
      <c r="C28" s="25" t="s">
        <v>345</v>
      </c>
      <c r="D28" s="25" t="s">
        <v>167</v>
      </c>
      <c r="E28" s="26">
        <v>1551</v>
      </c>
      <c r="F28" s="27">
        <v>198.8</v>
      </c>
      <c r="G28" s="28">
        <v>1.8100000000000002E-2</v>
      </c>
      <c r="H28" s="29"/>
    </row>
    <row r="29" spans="2:8" ht="15.75" customHeight="1" x14ac:dyDescent="0.25">
      <c r="B29" s="25" t="s">
        <v>338</v>
      </c>
      <c r="C29" s="25" t="s">
        <v>339</v>
      </c>
      <c r="D29" s="25" t="s">
        <v>340</v>
      </c>
      <c r="E29" s="26">
        <v>69450</v>
      </c>
      <c r="F29" s="27">
        <v>193.63</v>
      </c>
      <c r="G29" s="28">
        <v>1.7600000000000001E-2</v>
      </c>
      <c r="H29" s="29"/>
    </row>
    <row r="30" spans="2:8" ht="15.75" customHeight="1" x14ac:dyDescent="0.25">
      <c r="B30" s="25" t="s">
        <v>210</v>
      </c>
      <c r="C30" s="25" t="s">
        <v>211</v>
      </c>
      <c r="D30" s="25" t="s">
        <v>209</v>
      </c>
      <c r="E30" s="26">
        <v>2670</v>
      </c>
      <c r="F30" s="27">
        <v>184.86</v>
      </c>
      <c r="G30" s="28">
        <v>1.6799999999999999E-2</v>
      </c>
      <c r="H30" s="29"/>
    </row>
    <row r="31" spans="2:8" ht="15.75" customHeight="1" x14ac:dyDescent="0.25">
      <c r="B31" s="25" t="s">
        <v>370</v>
      </c>
      <c r="C31" s="25" t="s">
        <v>371</v>
      </c>
      <c r="D31" s="25" t="s">
        <v>231</v>
      </c>
      <c r="E31" s="26">
        <v>36927</v>
      </c>
      <c r="F31" s="27">
        <v>179.8</v>
      </c>
      <c r="G31" s="28">
        <v>1.6299999999999999E-2</v>
      </c>
      <c r="H31" s="29"/>
    </row>
    <row r="32" spans="2:8" ht="15.75" customHeight="1" x14ac:dyDescent="0.25">
      <c r="B32" s="25" t="s">
        <v>351</v>
      </c>
      <c r="C32" s="25" t="s">
        <v>352</v>
      </c>
      <c r="D32" s="25" t="s">
        <v>214</v>
      </c>
      <c r="E32" s="26">
        <v>7595</v>
      </c>
      <c r="F32" s="27">
        <v>179.58</v>
      </c>
      <c r="G32" s="28">
        <v>1.6299999999999999E-2</v>
      </c>
      <c r="H32" s="29"/>
    </row>
    <row r="33" spans="2:8" ht="15.75" customHeight="1" x14ac:dyDescent="0.25">
      <c r="B33" s="25" t="s">
        <v>806</v>
      </c>
      <c r="C33" s="25" t="s">
        <v>807</v>
      </c>
      <c r="D33" s="25" t="s">
        <v>426</v>
      </c>
      <c r="E33" s="26">
        <v>65089</v>
      </c>
      <c r="F33" s="27">
        <v>171.18</v>
      </c>
      <c r="G33" s="28">
        <v>1.5599999999999999E-2</v>
      </c>
      <c r="H33" s="29"/>
    </row>
    <row r="34" spans="2:8" ht="15.75" customHeight="1" x14ac:dyDescent="0.25">
      <c r="B34" s="25" t="s">
        <v>642</v>
      </c>
      <c r="C34" s="25" t="s">
        <v>643</v>
      </c>
      <c r="D34" s="25" t="s">
        <v>303</v>
      </c>
      <c r="E34" s="26">
        <v>11500</v>
      </c>
      <c r="F34" s="27">
        <v>170.59</v>
      </c>
      <c r="G34" s="28">
        <v>1.55E-2</v>
      </c>
      <c r="H34" s="29"/>
    </row>
    <row r="35" spans="2:8" ht="15.75" customHeight="1" x14ac:dyDescent="0.25">
      <c r="B35" s="25" t="s">
        <v>808</v>
      </c>
      <c r="C35" s="25" t="s">
        <v>809</v>
      </c>
      <c r="D35" s="25" t="s">
        <v>159</v>
      </c>
      <c r="E35" s="26">
        <v>4966</v>
      </c>
      <c r="F35" s="27">
        <v>167.28</v>
      </c>
      <c r="G35" s="28">
        <v>1.52E-2</v>
      </c>
      <c r="H35" s="29"/>
    </row>
    <row r="36" spans="2:8" ht="15.75" customHeight="1" x14ac:dyDescent="0.25">
      <c r="B36" s="25" t="s">
        <v>393</v>
      </c>
      <c r="C36" s="25" t="s">
        <v>394</v>
      </c>
      <c r="D36" s="25" t="s">
        <v>343</v>
      </c>
      <c r="E36" s="26">
        <v>9241</v>
      </c>
      <c r="F36" s="27">
        <v>165.26</v>
      </c>
      <c r="G36" s="28">
        <v>1.4999999999999999E-2</v>
      </c>
      <c r="H36" s="29"/>
    </row>
    <row r="37" spans="2:8" ht="15.75" customHeight="1" x14ac:dyDescent="0.25">
      <c r="B37" s="25" t="s">
        <v>474</v>
      </c>
      <c r="C37" s="25" t="s">
        <v>475</v>
      </c>
      <c r="D37" s="25" t="s">
        <v>159</v>
      </c>
      <c r="E37" s="26">
        <v>3200</v>
      </c>
      <c r="F37" s="27">
        <v>163.30000000000001</v>
      </c>
      <c r="G37" s="28">
        <v>1.4800000000000001E-2</v>
      </c>
      <c r="H37" s="29"/>
    </row>
    <row r="38" spans="2:8" ht="15.75" customHeight="1" x14ac:dyDescent="0.25">
      <c r="B38" s="25" t="s">
        <v>590</v>
      </c>
      <c r="C38" s="25" t="s">
        <v>591</v>
      </c>
      <c r="D38" s="25" t="s">
        <v>592</v>
      </c>
      <c r="E38" s="26">
        <v>4825</v>
      </c>
      <c r="F38" s="27">
        <v>161.38999999999999</v>
      </c>
      <c r="G38" s="28">
        <v>1.47E-2</v>
      </c>
      <c r="H38" s="29"/>
    </row>
    <row r="39" spans="2:8" ht="15.75" customHeight="1" x14ac:dyDescent="0.25">
      <c r="B39" s="25" t="s">
        <v>282</v>
      </c>
      <c r="C39" s="25" t="s">
        <v>283</v>
      </c>
      <c r="D39" s="25" t="s">
        <v>226</v>
      </c>
      <c r="E39" s="26">
        <v>23867</v>
      </c>
      <c r="F39" s="27">
        <v>153.80000000000001</v>
      </c>
      <c r="G39" s="28">
        <v>1.4E-2</v>
      </c>
      <c r="H39" s="29"/>
    </row>
    <row r="40" spans="2:8" ht="15.75" customHeight="1" x14ac:dyDescent="0.25">
      <c r="B40" s="25" t="s">
        <v>629</v>
      </c>
      <c r="C40" s="25" t="s">
        <v>630</v>
      </c>
      <c r="D40" s="25" t="s">
        <v>551</v>
      </c>
      <c r="E40" s="26">
        <v>4125</v>
      </c>
      <c r="F40" s="27">
        <v>150.72999999999999</v>
      </c>
      <c r="G40" s="28">
        <v>1.37E-2</v>
      </c>
      <c r="H40" s="29"/>
    </row>
    <row r="41" spans="2:8" ht="15.75" customHeight="1" x14ac:dyDescent="0.25">
      <c r="B41" s="25" t="s">
        <v>374</v>
      </c>
      <c r="C41" s="25" t="s">
        <v>375</v>
      </c>
      <c r="D41" s="25" t="s">
        <v>156</v>
      </c>
      <c r="E41" s="26">
        <v>95464</v>
      </c>
      <c r="F41" s="27">
        <v>148.06</v>
      </c>
      <c r="G41" s="28">
        <v>1.35E-2</v>
      </c>
      <c r="H41" s="29"/>
    </row>
    <row r="42" spans="2:8" ht="15.75" customHeight="1" x14ac:dyDescent="0.25">
      <c r="B42" s="25" t="s">
        <v>558</v>
      </c>
      <c r="C42" s="25" t="s">
        <v>559</v>
      </c>
      <c r="D42" s="25" t="s">
        <v>457</v>
      </c>
      <c r="E42" s="26">
        <v>7831</v>
      </c>
      <c r="F42" s="27">
        <v>141.47</v>
      </c>
      <c r="G42" s="28">
        <v>1.29E-2</v>
      </c>
      <c r="H42" s="29"/>
    </row>
    <row r="43" spans="2:8" ht="15.75" customHeight="1" x14ac:dyDescent="0.25">
      <c r="B43" s="25" t="s">
        <v>334</v>
      </c>
      <c r="C43" s="25" t="s">
        <v>335</v>
      </c>
      <c r="D43" s="25" t="s">
        <v>159</v>
      </c>
      <c r="E43" s="26">
        <v>10278</v>
      </c>
      <c r="F43" s="27">
        <v>140.46</v>
      </c>
      <c r="G43" s="28">
        <v>1.2800000000000001E-2</v>
      </c>
      <c r="H43" s="29"/>
    </row>
    <row r="44" spans="2:8" ht="15.75" customHeight="1" x14ac:dyDescent="0.25">
      <c r="B44" s="25" t="s">
        <v>599</v>
      </c>
      <c r="C44" s="25" t="s">
        <v>600</v>
      </c>
      <c r="D44" s="25" t="s">
        <v>361</v>
      </c>
      <c r="E44" s="26">
        <v>76393</v>
      </c>
      <c r="F44" s="27">
        <v>139.34</v>
      </c>
      <c r="G44" s="28">
        <v>1.2699999999999999E-2</v>
      </c>
      <c r="H44" s="29"/>
    </row>
    <row r="45" spans="2:8" ht="15.75" customHeight="1" x14ac:dyDescent="0.25">
      <c r="B45" s="25" t="s">
        <v>810</v>
      </c>
      <c r="C45" s="25" t="s">
        <v>811</v>
      </c>
      <c r="D45" s="25" t="s">
        <v>760</v>
      </c>
      <c r="E45" s="26">
        <v>9712</v>
      </c>
      <c r="F45" s="27">
        <v>132.19</v>
      </c>
      <c r="G45" s="28">
        <v>1.2E-2</v>
      </c>
      <c r="H45" s="29"/>
    </row>
    <row r="46" spans="2:8" ht="15.75" customHeight="1" x14ac:dyDescent="0.25">
      <c r="B46" s="25" t="s">
        <v>229</v>
      </c>
      <c r="C46" s="25" t="s">
        <v>230</v>
      </c>
      <c r="D46" s="25" t="s">
        <v>231</v>
      </c>
      <c r="E46" s="26">
        <v>10286</v>
      </c>
      <c r="F46" s="27">
        <v>125.44</v>
      </c>
      <c r="G46" s="28">
        <v>1.14E-2</v>
      </c>
      <c r="H46" s="29"/>
    </row>
    <row r="47" spans="2:8" ht="15.75" customHeight="1" x14ac:dyDescent="0.25">
      <c r="B47" s="25" t="s">
        <v>316</v>
      </c>
      <c r="C47" s="25" t="s">
        <v>317</v>
      </c>
      <c r="D47" s="25" t="s">
        <v>209</v>
      </c>
      <c r="E47" s="26">
        <v>13508</v>
      </c>
      <c r="F47" s="27">
        <v>124.91</v>
      </c>
      <c r="G47" s="28">
        <v>1.14E-2</v>
      </c>
      <c r="H47" s="29"/>
    </row>
    <row r="48" spans="2:8" ht="15.75" customHeight="1" x14ac:dyDescent="0.25">
      <c r="B48" s="25" t="s">
        <v>568</v>
      </c>
      <c r="C48" s="25" t="s">
        <v>569</v>
      </c>
      <c r="D48" s="25" t="s">
        <v>260</v>
      </c>
      <c r="E48" s="26">
        <v>16669</v>
      </c>
      <c r="F48" s="27">
        <v>123.28</v>
      </c>
      <c r="G48" s="28">
        <v>1.12E-2</v>
      </c>
      <c r="H48" s="29"/>
    </row>
    <row r="49" spans="2:8" ht="15.75" customHeight="1" x14ac:dyDescent="0.25">
      <c r="B49" s="25" t="s">
        <v>460</v>
      </c>
      <c r="C49" s="25" t="s">
        <v>461</v>
      </c>
      <c r="D49" s="25" t="s">
        <v>442</v>
      </c>
      <c r="E49" s="26">
        <v>36900</v>
      </c>
      <c r="F49" s="27">
        <v>117.49</v>
      </c>
      <c r="G49" s="28">
        <v>1.0699999999999999E-2</v>
      </c>
      <c r="H49" s="29"/>
    </row>
    <row r="50" spans="2:8" ht="15.75" customHeight="1" x14ac:dyDescent="0.25">
      <c r="B50" s="25" t="s">
        <v>165</v>
      </c>
      <c r="C50" s="25" t="s">
        <v>166</v>
      </c>
      <c r="D50" s="25" t="s">
        <v>167</v>
      </c>
      <c r="E50" s="26">
        <v>5172</v>
      </c>
      <c r="F50" s="27">
        <v>111.53</v>
      </c>
      <c r="G50" s="28">
        <v>1.01E-2</v>
      </c>
      <c r="H50" s="29"/>
    </row>
    <row r="51" spans="2:8" ht="15.75" customHeight="1" x14ac:dyDescent="0.25">
      <c r="B51" s="25" t="s">
        <v>470</v>
      </c>
      <c r="C51" s="25" t="s">
        <v>471</v>
      </c>
      <c r="D51" s="25" t="s">
        <v>214</v>
      </c>
      <c r="E51" s="26">
        <v>6914</v>
      </c>
      <c r="F51" s="27">
        <v>103.86</v>
      </c>
      <c r="G51" s="28">
        <v>9.4000000000000004E-3</v>
      </c>
      <c r="H51" s="29"/>
    </row>
    <row r="52" spans="2:8" ht="15.75" customHeight="1" x14ac:dyDescent="0.25">
      <c r="B52" s="25" t="s">
        <v>505</v>
      </c>
      <c r="C52" s="25" t="s">
        <v>506</v>
      </c>
      <c r="D52" s="25" t="s">
        <v>209</v>
      </c>
      <c r="E52" s="26">
        <v>11484</v>
      </c>
      <c r="F52" s="27">
        <v>100.3</v>
      </c>
      <c r="G52" s="28">
        <v>9.1000000000000004E-3</v>
      </c>
      <c r="H52" s="29"/>
    </row>
    <row r="53" spans="2:8" ht="15.75" customHeight="1" x14ac:dyDescent="0.25">
      <c r="B53" s="25" t="s">
        <v>812</v>
      </c>
      <c r="C53" s="25" t="s">
        <v>813</v>
      </c>
      <c r="D53" s="25" t="s">
        <v>401</v>
      </c>
      <c r="E53" s="26">
        <v>17883</v>
      </c>
      <c r="F53" s="27">
        <v>97.75</v>
      </c>
      <c r="G53" s="28">
        <v>8.8999999999999999E-3</v>
      </c>
      <c r="H53" s="29"/>
    </row>
    <row r="54" spans="2:8" ht="15.75" customHeight="1" x14ac:dyDescent="0.25">
      <c r="B54" s="25" t="s">
        <v>771</v>
      </c>
      <c r="C54" s="25" t="s">
        <v>772</v>
      </c>
      <c r="D54" s="25" t="s">
        <v>536</v>
      </c>
      <c r="E54" s="26">
        <v>16188</v>
      </c>
      <c r="F54" s="27">
        <v>95.7</v>
      </c>
      <c r="G54" s="28">
        <v>8.6999999999999994E-3</v>
      </c>
      <c r="H54" s="29"/>
    </row>
    <row r="55" spans="2:8" ht="15.75" customHeight="1" x14ac:dyDescent="0.25">
      <c r="B55" s="25" t="s">
        <v>513</v>
      </c>
      <c r="C55" s="25" t="s">
        <v>514</v>
      </c>
      <c r="D55" s="25" t="s">
        <v>515</v>
      </c>
      <c r="E55" s="26">
        <v>9634</v>
      </c>
      <c r="F55" s="27">
        <v>72.86</v>
      </c>
      <c r="G55" s="28">
        <v>6.6E-3</v>
      </c>
      <c r="H55" s="29"/>
    </row>
    <row r="56" spans="2:8" ht="15.75" customHeight="1" x14ac:dyDescent="0.25">
      <c r="B56" s="24" t="s">
        <v>128</v>
      </c>
      <c r="C56" s="24"/>
      <c r="D56" s="24"/>
      <c r="E56" s="30"/>
      <c r="F56" s="31">
        <v>10626.84</v>
      </c>
      <c r="G56" s="32">
        <v>0.96579999999999999</v>
      </c>
      <c r="H56" s="33"/>
    </row>
    <row r="57" spans="2:8" ht="15.75" customHeight="1" x14ac:dyDescent="0.25">
      <c r="B57" s="24" t="s">
        <v>176</v>
      </c>
      <c r="C57" s="25"/>
      <c r="D57" s="25"/>
      <c r="E57" s="26"/>
      <c r="F57" s="27"/>
      <c r="G57" s="28"/>
      <c r="H57" s="29"/>
    </row>
    <row r="58" spans="2:8" ht="15.75" customHeight="1" x14ac:dyDescent="0.25">
      <c r="B58" s="24" t="s">
        <v>128</v>
      </c>
      <c r="C58" s="25"/>
      <c r="D58" s="25"/>
      <c r="E58" s="26"/>
      <c r="F58" s="34" t="s">
        <v>130</v>
      </c>
      <c r="G58" s="35" t="s">
        <v>130</v>
      </c>
      <c r="H58" s="29"/>
    </row>
    <row r="59" spans="2:8" ht="15.75" customHeight="1" x14ac:dyDescent="0.25">
      <c r="B59" s="25"/>
      <c r="C59" s="25"/>
      <c r="D59" s="25"/>
      <c r="E59" s="26"/>
      <c r="F59" s="27"/>
      <c r="G59" s="28"/>
      <c r="H59" s="29"/>
    </row>
    <row r="60" spans="2:8" ht="15.75" customHeight="1" x14ac:dyDescent="0.25">
      <c r="B60" s="36" t="s">
        <v>132</v>
      </c>
      <c r="C60" s="36"/>
      <c r="D60" s="36"/>
      <c r="E60" s="37"/>
      <c r="F60" s="31">
        <v>10626.84</v>
      </c>
      <c r="G60" s="32">
        <v>0.96579999999999999</v>
      </c>
      <c r="H60" s="33"/>
    </row>
    <row r="61" spans="2:8" ht="15.75" customHeight="1" x14ac:dyDescent="0.25">
      <c r="B61" s="25"/>
      <c r="C61" s="25"/>
      <c r="D61" s="25"/>
      <c r="E61" s="26"/>
      <c r="F61" s="27"/>
      <c r="G61" s="28"/>
      <c r="H61" s="29"/>
    </row>
    <row r="62" spans="2:8" ht="15.75" customHeight="1" x14ac:dyDescent="0.25">
      <c r="B62" s="25"/>
      <c r="C62" s="25"/>
      <c r="D62" s="25"/>
      <c r="E62" s="26"/>
      <c r="F62" s="27"/>
      <c r="G62" s="28"/>
      <c r="H62" s="29"/>
    </row>
    <row r="63" spans="2:8" ht="15.75" customHeight="1" x14ac:dyDescent="0.25">
      <c r="B63" s="24" t="s">
        <v>135</v>
      </c>
      <c r="C63" s="25"/>
      <c r="D63" s="25"/>
      <c r="E63" s="26"/>
      <c r="F63" s="27"/>
      <c r="G63" s="28"/>
      <c r="H63" s="29"/>
    </row>
    <row r="64" spans="2:8" ht="15.75" customHeight="1" x14ac:dyDescent="0.25">
      <c r="B64" s="25" t="s">
        <v>136</v>
      </c>
      <c r="C64" s="25"/>
      <c r="D64" s="25"/>
      <c r="E64" s="26"/>
      <c r="F64" s="27">
        <v>388.61</v>
      </c>
      <c r="G64" s="28">
        <v>3.5299999999999998E-2</v>
      </c>
      <c r="H64" s="29"/>
    </row>
    <row r="65" spans="2:16" ht="15.75" customHeight="1" x14ac:dyDescent="0.25">
      <c r="B65" s="24" t="s">
        <v>128</v>
      </c>
      <c r="C65" s="24"/>
      <c r="D65" s="24"/>
      <c r="E65" s="30"/>
      <c r="F65" s="31">
        <v>388.61</v>
      </c>
      <c r="G65" s="32">
        <v>3.5299999999999998E-2</v>
      </c>
      <c r="H65" s="33"/>
    </row>
    <row r="66" spans="2:16" ht="15.75" customHeight="1" x14ac:dyDescent="0.25">
      <c r="B66" s="25"/>
      <c r="C66" s="25"/>
      <c r="D66" s="25"/>
      <c r="E66" s="26"/>
      <c r="F66" s="27"/>
      <c r="G66" s="28"/>
      <c r="H66" s="29"/>
    </row>
    <row r="67" spans="2:16" ht="15.75" customHeight="1" x14ac:dyDescent="0.25">
      <c r="B67" s="36" t="s">
        <v>132</v>
      </c>
      <c r="C67" s="36"/>
      <c r="D67" s="36"/>
      <c r="E67" s="37"/>
      <c r="F67" s="31">
        <v>388.61</v>
      </c>
      <c r="G67" s="32">
        <v>3.5299999999999998E-2</v>
      </c>
      <c r="H67" s="33"/>
    </row>
    <row r="68" spans="2:16" ht="15.75" customHeight="1" x14ac:dyDescent="0.25">
      <c r="B68" s="25" t="s">
        <v>137</v>
      </c>
      <c r="C68" s="25"/>
      <c r="D68" s="25"/>
      <c r="E68" s="26"/>
      <c r="F68" s="38">
        <v>-12.39</v>
      </c>
      <c r="G68" s="39">
        <v>-1.1000000000001009E-3</v>
      </c>
      <c r="H68" s="29"/>
      <c r="L68" s="3"/>
    </row>
    <row r="69" spans="2:16" ht="15.75" customHeight="1" x14ac:dyDescent="0.25">
      <c r="B69" s="40" t="s">
        <v>138</v>
      </c>
      <c r="C69" s="40"/>
      <c r="D69" s="40"/>
      <c r="E69" s="41"/>
      <c r="F69" s="42">
        <v>11003.06</v>
      </c>
      <c r="G69" s="43">
        <v>1</v>
      </c>
      <c r="H69" s="44"/>
    </row>
    <row r="70" spans="2:16" ht="15.75" customHeight="1" thickBot="1" x14ac:dyDescent="0.3">
      <c r="B70" s="2"/>
      <c r="L70" s="3"/>
    </row>
    <row r="71" spans="2:16" ht="27" customHeight="1" thickBot="1" x14ac:dyDescent="0.3">
      <c r="B71" s="57" t="s">
        <v>980</v>
      </c>
      <c r="C71" s="58" t="s">
        <v>981</v>
      </c>
      <c r="D71" s="58" t="s">
        <v>982</v>
      </c>
      <c r="E71" s="63" t="s">
        <v>983</v>
      </c>
      <c r="G71" s="2"/>
      <c r="H71" s="2"/>
    </row>
    <row r="72" spans="2:16" ht="29.25" customHeight="1" x14ac:dyDescent="0.25">
      <c r="B72" s="64" t="s">
        <v>91</v>
      </c>
      <c r="C72" s="82"/>
      <c r="D72" s="85" t="s">
        <v>1037</v>
      </c>
      <c r="E72" s="87"/>
      <c r="G72" s="2"/>
      <c r="H72" s="2"/>
    </row>
    <row r="73" spans="2:16" ht="40" customHeight="1" x14ac:dyDescent="0.25">
      <c r="B73" s="66" t="s">
        <v>1053</v>
      </c>
      <c r="C73" s="83"/>
      <c r="D73" s="86"/>
      <c r="E73" s="83"/>
      <c r="G73" s="2"/>
      <c r="H73" s="2"/>
    </row>
    <row r="74" spans="2:16" ht="40" customHeight="1" x14ac:dyDescent="0.25">
      <c r="B74" s="66" t="s">
        <v>1054</v>
      </c>
      <c r="C74" s="83"/>
      <c r="D74" s="86"/>
      <c r="E74" s="83"/>
      <c r="G74" s="2"/>
      <c r="H74" s="2"/>
    </row>
    <row r="75" spans="2:16" ht="23.25" customHeight="1" thickBot="1" x14ac:dyDescent="0.3">
      <c r="B75" s="68" t="s">
        <v>1006</v>
      </c>
      <c r="C75" s="84"/>
      <c r="D75" s="71" t="s">
        <v>1006</v>
      </c>
      <c r="E75" s="88"/>
      <c r="G75" s="2"/>
      <c r="H75" s="2"/>
    </row>
    <row r="76" spans="2:16" ht="25" customHeight="1" x14ac:dyDescent="0.25">
      <c r="B76" s="59" t="s">
        <v>985</v>
      </c>
      <c r="C76" s="60"/>
      <c r="D76" s="61"/>
      <c r="E76" s="62"/>
      <c r="G76" s="2"/>
      <c r="H76" s="2"/>
    </row>
    <row r="78" spans="2:16" ht="11.5" x14ac:dyDescent="0.25">
      <c r="B78" s="2" t="s">
        <v>986</v>
      </c>
      <c r="C78" s="2"/>
      <c r="D78" s="2"/>
      <c r="G78" s="2"/>
      <c r="H78" s="2"/>
    </row>
    <row r="79" spans="2:16" ht="11.5" x14ac:dyDescent="0.25">
      <c r="B79" s="3" t="s">
        <v>987</v>
      </c>
      <c r="C79" s="2"/>
      <c r="D79" s="2"/>
      <c r="G79" s="2"/>
      <c r="H79" s="2"/>
    </row>
    <row r="80" spans="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3">
    <mergeCell ref="C72:C75"/>
    <mergeCell ref="D72:D74"/>
    <mergeCell ref="E72:E75"/>
  </mergeCells>
  <hyperlinks>
    <hyperlink ref="I1" location="'Sheet1'!A1" display="Index" xr:uid="{2132B472-AFC5-4B9F-9F71-4CDBBD4FFD5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B67F1-0FA8-48F1-89E2-EEA4E8904CE1}">
  <dimension ref="B1:P130"/>
  <sheetViews>
    <sheetView workbookViewId="0"/>
  </sheetViews>
  <sheetFormatPr defaultColWidth="9.1796875" defaultRowHeight="15.75" customHeight="1" x14ac:dyDescent="0.25"/>
  <cols>
    <col min="1" max="1" width="3.6328125" style="2" customWidth="1"/>
    <col min="2" max="2" width="50.453125" style="9" customWidth="1"/>
    <col min="3" max="3" width="28.1796875" style="9" customWidth="1"/>
    <col min="4" max="4" width="26.6328125" style="9" customWidth="1"/>
    <col min="5" max="5" width="29.6328125" style="2" customWidth="1"/>
    <col min="6" max="6" width="16.453125" style="2" customWidth="1"/>
    <col min="7" max="7" width="15.26953125" style="8" customWidth="1"/>
    <col min="8" max="8" width="4.906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27</v>
      </c>
      <c r="C1" s="1" t="s">
        <v>990</v>
      </c>
      <c r="D1" s="1" t="s">
        <v>991</v>
      </c>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556</v>
      </c>
      <c r="C7" s="25" t="s">
        <v>557</v>
      </c>
      <c r="D7" s="25" t="s">
        <v>361</v>
      </c>
      <c r="E7" s="26">
        <v>176662</v>
      </c>
      <c r="F7" s="27">
        <v>1484.49</v>
      </c>
      <c r="G7" s="28">
        <v>2.7199999999999998E-2</v>
      </c>
      <c r="H7" s="29"/>
    </row>
    <row r="8" spans="2:9" ht="15.75" customHeight="1" x14ac:dyDescent="0.25">
      <c r="B8" s="25" t="s">
        <v>313</v>
      </c>
      <c r="C8" s="25" t="s">
        <v>314</v>
      </c>
      <c r="D8" s="25" t="s">
        <v>315</v>
      </c>
      <c r="E8" s="26">
        <v>208283</v>
      </c>
      <c r="F8" s="27">
        <v>1201.27</v>
      </c>
      <c r="G8" s="28">
        <v>2.1999999999999999E-2</v>
      </c>
      <c r="H8" s="29"/>
    </row>
    <row r="9" spans="2:9" ht="15.75" customHeight="1" x14ac:dyDescent="0.25">
      <c r="B9" s="25" t="s">
        <v>814</v>
      </c>
      <c r="C9" s="25" t="s">
        <v>815</v>
      </c>
      <c r="D9" s="25" t="s">
        <v>156</v>
      </c>
      <c r="E9" s="26">
        <v>4247685</v>
      </c>
      <c r="F9" s="27">
        <v>1110.77</v>
      </c>
      <c r="G9" s="28">
        <v>2.0400000000000001E-2</v>
      </c>
      <c r="H9" s="29"/>
    </row>
    <row r="10" spans="2:9" ht="15.75" customHeight="1" x14ac:dyDescent="0.25">
      <c r="B10" s="25" t="s">
        <v>670</v>
      </c>
      <c r="C10" s="25" t="s">
        <v>671</v>
      </c>
      <c r="D10" s="25" t="s">
        <v>343</v>
      </c>
      <c r="E10" s="26">
        <v>32562</v>
      </c>
      <c r="F10" s="27">
        <v>1066.55</v>
      </c>
      <c r="G10" s="28">
        <v>1.9599999999999999E-2</v>
      </c>
      <c r="H10" s="29"/>
    </row>
    <row r="11" spans="2:9" ht="15.75" customHeight="1" x14ac:dyDescent="0.25">
      <c r="B11" s="25" t="s">
        <v>816</v>
      </c>
      <c r="C11" s="25" t="s">
        <v>817</v>
      </c>
      <c r="D11" s="25" t="s">
        <v>431</v>
      </c>
      <c r="E11" s="26">
        <v>2551074</v>
      </c>
      <c r="F11" s="27">
        <v>1061.25</v>
      </c>
      <c r="G11" s="28">
        <v>1.95E-2</v>
      </c>
      <c r="H11" s="29"/>
    </row>
    <row r="12" spans="2:9" ht="15.75" customHeight="1" x14ac:dyDescent="0.25">
      <c r="B12" s="25" t="s">
        <v>818</v>
      </c>
      <c r="C12" s="25" t="s">
        <v>819</v>
      </c>
      <c r="D12" s="25" t="s">
        <v>296</v>
      </c>
      <c r="E12" s="26">
        <v>25580</v>
      </c>
      <c r="F12" s="27">
        <v>957.36</v>
      </c>
      <c r="G12" s="28">
        <v>1.7500000000000002E-2</v>
      </c>
      <c r="H12" s="29"/>
    </row>
    <row r="13" spans="2:9" ht="15.75" customHeight="1" x14ac:dyDescent="0.25">
      <c r="B13" s="25" t="s">
        <v>820</v>
      </c>
      <c r="C13" s="25" t="s">
        <v>821</v>
      </c>
      <c r="D13" s="25" t="s">
        <v>214</v>
      </c>
      <c r="E13" s="26">
        <v>57922</v>
      </c>
      <c r="F13" s="27">
        <v>953.34</v>
      </c>
      <c r="G13" s="28">
        <v>1.7500000000000002E-2</v>
      </c>
      <c r="H13" s="29"/>
    </row>
    <row r="14" spans="2:9" ht="15.75" customHeight="1" x14ac:dyDescent="0.25">
      <c r="B14" s="25" t="s">
        <v>822</v>
      </c>
      <c r="C14" s="25" t="s">
        <v>823</v>
      </c>
      <c r="D14" s="25" t="s">
        <v>515</v>
      </c>
      <c r="E14" s="26">
        <v>24240</v>
      </c>
      <c r="F14" s="27">
        <v>944.06</v>
      </c>
      <c r="G14" s="28">
        <v>1.7299999999999999E-2</v>
      </c>
      <c r="H14" s="29"/>
    </row>
    <row r="15" spans="2:9" ht="15.75" customHeight="1" x14ac:dyDescent="0.25">
      <c r="B15" s="25" t="s">
        <v>824</v>
      </c>
      <c r="C15" s="25" t="s">
        <v>825</v>
      </c>
      <c r="D15" s="25" t="s">
        <v>826</v>
      </c>
      <c r="E15" s="26">
        <v>72390</v>
      </c>
      <c r="F15" s="27">
        <v>915.66</v>
      </c>
      <c r="G15" s="28">
        <v>1.6799999999999999E-2</v>
      </c>
      <c r="H15" s="29"/>
    </row>
    <row r="16" spans="2:9" ht="15.75" customHeight="1" x14ac:dyDescent="0.25">
      <c r="B16" s="25" t="s">
        <v>718</v>
      </c>
      <c r="C16" s="25" t="s">
        <v>719</v>
      </c>
      <c r="D16" s="25" t="s">
        <v>515</v>
      </c>
      <c r="E16" s="26">
        <v>32675</v>
      </c>
      <c r="F16" s="27">
        <v>911.68</v>
      </c>
      <c r="G16" s="28">
        <v>1.67E-2</v>
      </c>
      <c r="H16" s="29"/>
    </row>
    <row r="17" spans="2:8" ht="15.75" customHeight="1" x14ac:dyDescent="0.25">
      <c r="B17" s="25" t="s">
        <v>493</v>
      </c>
      <c r="C17" s="25" t="s">
        <v>494</v>
      </c>
      <c r="D17" s="25" t="s">
        <v>156</v>
      </c>
      <c r="E17" s="26">
        <v>538177</v>
      </c>
      <c r="F17" s="27">
        <v>875.08</v>
      </c>
      <c r="G17" s="28">
        <v>1.6E-2</v>
      </c>
      <c r="H17" s="29"/>
    </row>
    <row r="18" spans="2:8" ht="15.75" customHeight="1" x14ac:dyDescent="0.25">
      <c r="B18" s="25" t="s">
        <v>827</v>
      </c>
      <c r="C18" s="25" t="s">
        <v>828</v>
      </c>
      <c r="D18" s="25" t="s">
        <v>431</v>
      </c>
      <c r="E18" s="26">
        <v>309924</v>
      </c>
      <c r="F18" s="27">
        <v>873.06</v>
      </c>
      <c r="G18" s="28">
        <v>1.6E-2</v>
      </c>
      <c r="H18" s="29"/>
    </row>
    <row r="19" spans="2:8" ht="15.75" customHeight="1" x14ac:dyDescent="0.25">
      <c r="B19" s="25" t="s">
        <v>829</v>
      </c>
      <c r="C19" s="25" t="s">
        <v>830</v>
      </c>
      <c r="D19" s="25" t="s">
        <v>431</v>
      </c>
      <c r="E19" s="26">
        <v>155376</v>
      </c>
      <c r="F19" s="27">
        <v>860.71</v>
      </c>
      <c r="G19" s="28">
        <v>1.5800000000000002E-2</v>
      </c>
      <c r="H19" s="29"/>
    </row>
    <row r="20" spans="2:8" ht="15.75" customHeight="1" x14ac:dyDescent="0.25">
      <c r="B20" s="25" t="s">
        <v>808</v>
      </c>
      <c r="C20" s="25" t="s">
        <v>809</v>
      </c>
      <c r="D20" s="25" t="s">
        <v>159</v>
      </c>
      <c r="E20" s="26">
        <v>25020</v>
      </c>
      <c r="F20" s="27">
        <v>842.82</v>
      </c>
      <c r="G20" s="28">
        <v>1.55E-2</v>
      </c>
      <c r="H20" s="29"/>
    </row>
    <row r="21" spans="2:8" ht="15.75" customHeight="1" x14ac:dyDescent="0.25">
      <c r="B21" s="25" t="s">
        <v>623</v>
      </c>
      <c r="C21" s="25" t="s">
        <v>624</v>
      </c>
      <c r="D21" s="25" t="s">
        <v>442</v>
      </c>
      <c r="E21" s="26">
        <v>54989</v>
      </c>
      <c r="F21" s="27">
        <v>810.95</v>
      </c>
      <c r="G21" s="28">
        <v>1.49E-2</v>
      </c>
      <c r="H21" s="29"/>
    </row>
    <row r="22" spans="2:8" ht="15.75" customHeight="1" x14ac:dyDescent="0.25">
      <c r="B22" s="25" t="s">
        <v>464</v>
      </c>
      <c r="C22" s="25" t="s">
        <v>465</v>
      </c>
      <c r="D22" s="25" t="s">
        <v>303</v>
      </c>
      <c r="E22" s="26">
        <v>64533</v>
      </c>
      <c r="F22" s="27">
        <v>799.31</v>
      </c>
      <c r="G22" s="28">
        <v>1.47E-2</v>
      </c>
      <c r="H22" s="29"/>
    </row>
    <row r="23" spans="2:8" ht="15.75" customHeight="1" x14ac:dyDescent="0.25">
      <c r="B23" s="25" t="s">
        <v>245</v>
      </c>
      <c r="C23" s="25" t="s">
        <v>246</v>
      </c>
      <c r="D23" s="25" t="s">
        <v>156</v>
      </c>
      <c r="E23" s="26">
        <v>955727</v>
      </c>
      <c r="F23" s="27">
        <v>785.13</v>
      </c>
      <c r="G23" s="28">
        <v>1.44E-2</v>
      </c>
      <c r="H23" s="29"/>
    </row>
    <row r="24" spans="2:8" ht="15.75" customHeight="1" x14ac:dyDescent="0.25">
      <c r="B24" s="25" t="s">
        <v>621</v>
      </c>
      <c r="C24" s="25" t="s">
        <v>622</v>
      </c>
      <c r="D24" s="25" t="s">
        <v>343</v>
      </c>
      <c r="E24" s="26">
        <v>15509</v>
      </c>
      <c r="F24" s="27">
        <v>785.08</v>
      </c>
      <c r="G24" s="28">
        <v>1.44E-2</v>
      </c>
      <c r="H24" s="29"/>
    </row>
    <row r="25" spans="2:8" ht="15.75" customHeight="1" x14ac:dyDescent="0.25">
      <c r="B25" s="25" t="s">
        <v>254</v>
      </c>
      <c r="C25" s="25" t="s">
        <v>255</v>
      </c>
      <c r="D25" s="25" t="s">
        <v>214</v>
      </c>
      <c r="E25" s="26">
        <v>67713</v>
      </c>
      <c r="F25" s="27">
        <v>781.07</v>
      </c>
      <c r="G25" s="28">
        <v>1.43E-2</v>
      </c>
      <c r="H25" s="29"/>
    </row>
    <row r="26" spans="2:8" ht="15.75" customHeight="1" x14ac:dyDescent="0.25">
      <c r="B26" s="25" t="s">
        <v>458</v>
      </c>
      <c r="C26" s="25" t="s">
        <v>459</v>
      </c>
      <c r="D26" s="25" t="s">
        <v>296</v>
      </c>
      <c r="E26" s="26">
        <v>61154</v>
      </c>
      <c r="F26" s="27">
        <v>777.39</v>
      </c>
      <c r="G26" s="28">
        <v>1.43E-2</v>
      </c>
      <c r="H26" s="29"/>
    </row>
    <row r="27" spans="2:8" ht="15.75" customHeight="1" x14ac:dyDescent="0.25">
      <c r="B27" s="25" t="s">
        <v>831</v>
      </c>
      <c r="C27" s="25" t="s">
        <v>832</v>
      </c>
      <c r="D27" s="25" t="s">
        <v>164</v>
      </c>
      <c r="E27" s="26">
        <v>153150</v>
      </c>
      <c r="F27" s="27">
        <v>758.71</v>
      </c>
      <c r="G27" s="28">
        <v>1.3899999999999999E-2</v>
      </c>
      <c r="H27" s="29"/>
    </row>
    <row r="28" spans="2:8" ht="15.75" customHeight="1" x14ac:dyDescent="0.25">
      <c r="B28" s="25" t="s">
        <v>833</v>
      </c>
      <c r="C28" s="25" t="s">
        <v>834</v>
      </c>
      <c r="D28" s="25" t="s">
        <v>442</v>
      </c>
      <c r="E28" s="26">
        <v>9074</v>
      </c>
      <c r="F28" s="27">
        <v>756.93</v>
      </c>
      <c r="G28" s="28">
        <v>1.3899999999999999E-2</v>
      </c>
      <c r="H28" s="29"/>
    </row>
    <row r="29" spans="2:8" ht="15.75" customHeight="1" x14ac:dyDescent="0.25">
      <c r="B29" s="25" t="s">
        <v>474</v>
      </c>
      <c r="C29" s="25" t="s">
        <v>475</v>
      </c>
      <c r="D29" s="25" t="s">
        <v>159</v>
      </c>
      <c r="E29" s="26">
        <v>14751</v>
      </c>
      <c r="F29" s="27">
        <v>752.78</v>
      </c>
      <c r="G29" s="28">
        <v>1.38E-2</v>
      </c>
      <c r="H29" s="29"/>
    </row>
    <row r="30" spans="2:8" ht="15.75" customHeight="1" x14ac:dyDescent="0.25">
      <c r="B30" s="25" t="s">
        <v>835</v>
      </c>
      <c r="C30" s="25" t="s">
        <v>836</v>
      </c>
      <c r="D30" s="25" t="s">
        <v>156</v>
      </c>
      <c r="E30" s="26">
        <v>115883</v>
      </c>
      <c r="F30" s="27">
        <v>734.23</v>
      </c>
      <c r="G30" s="28">
        <v>1.35E-2</v>
      </c>
      <c r="H30" s="29"/>
    </row>
    <row r="31" spans="2:8" ht="15.75" customHeight="1" x14ac:dyDescent="0.25">
      <c r="B31" s="25" t="s">
        <v>301</v>
      </c>
      <c r="C31" s="25" t="s">
        <v>302</v>
      </c>
      <c r="D31" s="25" t="s">
        <v>303</v>
      </c>
      <c r="E31" s="26">
        <v>27444</v>
      </c>
      <c r="F31" s="27">
        <v>726.61</v>
      </c>
      <c r="G31" s="28">
        <v>1.3299999999999999E-2</v>
      </c>
      <c r="H31" s="29"/>
    </row>
    <row r="32" spans="2:8" ht="15.75" customHeight="1" x14ac:dyDescent="0.25">
      <c r="B32" s="25" t="s">
        <v>837</v>
      </c>
      <c r="C32" s="25" t="s">
        <v>838</v>
      </c>
      <c r="D32" s="25" t="s">
        <v>281</v>
      </c>
      <c r="E32" s="26">
        <v>746191</v>
      </c>
      <c r="F32" s="27">
        <v>717.84</v>
      </c>
      <c r="G32" s="28">
        <v>1.32E-2</v>
      </c>
      <c r="H32" s="29"/>
    </row>
    <row r="33" spans="2:8" ht="15.75" customHeight="1" x14ac:dyDescent="0.25">
      <c r="B33" s="25" t="s">
        <v>839</v>
      </c>
      <c r="C33" s="25" t="s">
        <v>840</v>
      </c>
      <c r="D33" s="25" t="s">
        <v>156</v>
      </c>
      <c r="E33" s="26">
        <v>457358</v>
      </c>
      <c r="F33" s="27">
        <v>705.25</v>
      </c>
      <c r="G33" s="28">
        <v>1.29E-2</v>
      </c>
      <c r="H33" s="29"/>
    </row>
    <row r="34" spans="2:8" ht="15.75" customHeight="1" x14ac:dyDescent="0.25">
      <c r="B34" s="25" t="s">
        <v>629</v>
      </c>
      <c r="C34" s="25" t="s">
        <v>630</v>
      </c>
      <c r="D34" s="25" t="s">
        <v>551</v>
      </c>
      <c r="E34" s="26">
        <v>19265</v>
      </c>
      <c r="F34" s="27">
        <v>703.96</v>
      </c>
      <c r="G34" s="28">
        <v>1.29E-2</v>
      </c>
      <c r="H34" s="29"/>
    </row>
    <row r="35" spans="2:8" ht="15.75" customHeight="1" x14ac:dyDescent="0.25">
      <c r="B35" s="25" t="s">
        <v>239</v>
      </c>
      <c r="C35" s="25" t="s">
        <v>240</v>
      </c>
      <c r="D35" s="25" t="s">
        <v>241</v>
      </c>
      <c r="E35" s="26">
        <v>275490</v>
      </c>
      <c r="F35" s="27">
        <v>700.85</v>
      </c>
      <c r="G35" s="28">
        <v>1.2800000000000001E-2</v>
      </c>
      <c r="H35" s="29"/>
    </row>
    <row r="36" spans="2:8" ht="15.75" customHeight="1" x14ac:dyDescent="0.25">
      <c r="B36" s="25" t="s">
        <v>215</v>
      </c>
      <c r="C36" s="25" t="s">
        <v>216</v>
      </c>
      <c r="D36" s="25" t="s">
        <v>217</v>
      </c>
      <c r="E36" s="26">
        <v>65827</v>
      </c>
      <c r="F36" s="27">
        <v>676.7</v>
      </c>
      <c r="G36" s="28">
        <v>1.24E-2</v>
      </c>
      <c r="H36" s="29"/>
    </row>
    <row r="37" spans="2:8" ht="15.75" customHeight="1" x14ac:dyDescent="0.25">
      <c r="B37" s="25" t="s">
        <v>200</v>
      </c>
      <c r="C37" s="25" t="s">
        <v>201</v>
      </c>
      <c r="D37" s="25" t="s">
        <v>202</v>
      </c>
      <c r="E37" s="26">
        <v>345790</v>
      </c>
      <c r="F37" s="27">
        <v>666.16</v>
      </c>
      <c r="G37" s="28">
        <v>1.2200000000000001E-2</v>
      </c>
      <c r="H37" s="29"/>
    </row>
    <row r="38" spans="2:8" ht="15.75" customHeight="1" x14ac:dyDescent="0.25">
      <c r="B38" s="25" t="s">
        <v>368</v>
      </c>
      <c r="C38" s="25" t="s">
        <v>369</v>
      </c>
      <c r="D38" s="25" t="s">
        <v>343</v>
      </c>
      <c r="E38" s="26">
        <v>42351</v>
      </c>
      <c r="F38" s="27">
        <v>659.51</v>
      </c>
      <c r="G38" s="28">
        <v>1.21E-2</v>
      </c>
      <c r="H38" s="29"/>
    </row>
    <row r="39" spans="2:8" ht="15.75" customHeight="1" x14ac:dyDescent="0.25">
      <c r="B39" s="25" t="s">
        <v>841</v>
      </c>
      <c r="C39" s="25" t="s">
        <v>842</v>
      </c>
      <c r="D39" s="25" t="s">
        <v>296</v>
      </c>
      <c r="E39" s="26">
        <v>490</v>
      </c>
      <c r="F39" s="27">
        <v>651.79999999999995</v>
      </c>
      <c r="G39" s="28">
        <v>1.1900000000000001E-2</v>
      </c>
      <c r="H39" s="29"/>
    </row>
    <row r="40" spans="2:8" ht="15.75" customHeight="1" x14ac:dyDescent="0.25">
      <c r="B40" s="25" t="s">
        <v>843</v>
      </c>
      <c r="C40" s="25" t="s">
        <v>844</v>
      </c>
      <c r="D40" s="25" t="s">
        <v>281</v>
      </c>
      <c r="E40" s="26">
        <v>103460</v>
      </c>
      <c r="F40" s="27">
        <v>651.33000000000004</v>
      </c>
      <c r="G40" s="28">
        <v>1.1900000000000001E-2</v>
      </c>
      <c r="H40" s="29"/>
    </row>
    <row r="41" spans="2:8" ht="15.75" customHeight="1" x14ac:dyDescent="0.25">
      <c r="B41" s="25" t="s">
        <v>845</v>
      </c>
      <c r="C41" s="25" t="s">
        <v>846</v>
      </c>
      <c r="D41" s="25" t="s">
        <v>343</v>
      </c>
      <c r="E41" s="26">
        <v>11204</v>
      </c>
      <c r="F41" s="27">
        <v>634.88</v>
      </c>
      <c r="G41" s="28">
        <v>1.1599999999999999E-2</v>
      </c>
      <c r="H41" s="29"/>
    </row>
    <row r="42" spans="2:8" ht="15.75" customHeight="1" x14ac:dyDescent="0.25">
      <c r="B42" s="25" t="s">
        <v>631</v>
      </c>
      <c r="C42" s="25" t="s">
        <v>632</v>
      </c>
      <c r="D42" s="25" t="s">
        <v>343</v>
      </c>
      <c r="E42" s="26">
        <v>29796</v>
      </c>
      <c r="F42" s="27">
        <v>631.11</v>
      </c>
      <c r="G42" s="28">
        <v>1.1599999999999999E-2</v>
      </c>
      <c r="H42" s="29"/>
    </row>
    <row r="43" spans="2:8" ht="15.75" customHeight="1" x14ac:dyDescent="0.25">
      <c r="B43" s="25" t="s">
        <v>847</v>
      </c>
      <c r="C43" s="25" t="s">
        <v>848</v>
      </c>
      <c r="D43" s="25" t="s">
        <v>551</v>
      </c>
      <c r="E43" s="26">
        <v>122164</v>
      </c>
      <c r="F43" s="27">
        <v>619.54999999999995</v>
      </c>
      <c r="G43" s="28">
        <v>1.14E-2</v>
      </c>
      <c r="H43" s="29"/>
    </row>
    <row r="44" spans="2:8" ht="15.75" customHeight="1" x14ac:dyDescent="0.25">
      <c r="B44" s="25" t="s">
        <v>476</v>
      </c>
      <c r="C44" s="25" t="s">
        <v>477</v>
      </c>
      <c r="D44" s="25" t="s">
        <v>296</v>
      </c>
      <c r="E44" s="26">
        <v>97556</v>
      </c>
      <c r="F44" s="27">
        <v>610.07000000000005</v>
      </c>
      <c r="G44" s="28">
        <v>1.12E-2</v>
      </c>
      <c r="H44" s="29"/>
    </row>
    <row r="45" spans="2:8" ht="15.75" customHeight="1" x14ac:dyDescent="0.25">
      <c r="B45" s="25" t="s">
        <v>619</v>
      </c>
      <c r="C45" s="25" t="s">
        <v>620</v>
      </c>
      <c r="D45" s="25" t="s">
        <v>281</v>
      </c>
      <c r="E45" s="26">
        <v>40015</v>
      </c>
      <c r="F45" s="27">
        <v>600.66999999999996</v>
      </c>
      <c r="G45" s="28">
        <v>1.0999999999999999E-2</v>
      </c>
      <c r="H45" s="29"/>
    </row>
    <row r="46" spans="2:8" ht="15.75" customHeight="1" x14ac:dyDescent="0.25">
      <c r="B46" s="25" t="s">
        <v>511</v>
      </c>
      <c r="C46" s="25" t="s">
        <v>512</v>
      </c>
      <c r="D46" s="25" t="s">
        <v>286</v>
      </c>
      <c r="E46" s="26">
        <v>59046</v>
      </c>
      <c r="F46" s="27">
        <v>596.9</v>
      </c>
      <c r="G46" s="28">
        <v>1.09E-2</v>
      </c>
      <c r="H46" s="29"/>
    </row>
    <row r="47" spans="2:8" ht="15.75" customHeight="1" x14ac:dyDescent="0.25">
      <c r="B47" s="25" t="s">
        <v>635</v>
      </c>
      <c r="C47" s="25" t="s">
        <v>636</v>
      </c>
      <c r="D47" s="25" t="s">
        <v>159</v>
      </c>
      <c r="E47" s="26">
        <v>8411</v>
      </c>
      <c r="F47" s="27">
        <v>593.14</v>
      </c>
      <c r="G47" s="28">
        <v>1.09E-2</v>
      </c>
      <c r="H47" s="29"/>
    </row>
    <row r="48" spans="2:8" ht="15.75" customHeight="1" x14ac:dyDescent="0.25">
      <c r="B48" s="25" t="s">
        <v>395</v>
      </c>
      <c r="C48" s="25" t="s">
        <v>396</v>
      </c>
      <c r="D48" s="25" t="s">
        <v>214</v>
      </c>
      <c r="E48" s="26">
        <v>12140</v>
      </c>
      <c r="F48" s="27">
        <v>586.73</v>
      </c>
      <c r="G48" s="28">
        <v>1.0800000000000001E-2</v>
      </c>
      <c r="H48" s="29"/>
    </row>
    <row r="49" spans="2:8" ht="15.75" customHeight="1" x14ac:dyDescent="0.25">
      <c r="B49" s="25" t="s">
        <v>849</v>
      </c>
      <c r="C49" s="25" t="s">
        <v>850</v>
      </c>
      <c r="D49" s="25" t="s">
        <v>159</v>
      </c>
      <c r="E49" s="26">
        <v>38812</v>
      </c>
      <c r="F49" s="27">
        <v>579.92999999999995</v>
      </c>
      <c r="G49" s="28">
        <v>1.06E-2</v>
      </c>
      <c r="H49" s="29"/>
    </row>
    <row r="50" spans="2:8" ht="15.75" customHeight="1" x14ac:dyDescent="0.25">
      <c r="B50" s="25" t="s">
        <v>851</v>
      </c>
      <c r="C50" s="25" t="s">
        <v>852</v>
      </c>
      <c r="D50" s="25" t="s">
        <v>426</v>
      </c>
      <c r="E50" s="26">
        <v>327311</v>
      </c>
      <c r="F50" s="27">
        <v>578.52</v>
      </c>
      <c r="G50" s="28">
        <v>1.06E-2</v>
      </c>
      <c r="H50" s="29"/>
    </row>
    <row r="51" spans="2:8" ht="15.75" customHeight="1" x14ac:dyDescent="0.25">
      <c r="B51" s="25" t="s">
        <v>195</v>
      </c>
      <c r="C51" s="25" t="s">
        <v>196</v>
      </c>
      <c r="D51" s="25" t="s">
        <v>197</v>
      </c>
      <c r="E51" s="26">
        <v>345851</v>
      </c>
      <c r="F51" s="27">
        <v>567.89</v>
      </c>
      <c r="G51" s="28">
        <v>1.04E-2</v>
      </c>
      <c r="H51" s="29"/>
    </row>
    <row r="52" spans="2:8" ht="15.75" customHeight="1" x14ac:dyDescent="0.25">
      <c r="B52" s="25" t="s">
        <v>853</v>
      </c>
      <c r="C52" s="25" t="s">
        <v>854</v>
      </c>
      <c r="D52" s="25" t="s">
        <v>401</v>
      </c>
      <c r="E52" s="26">
        <v>179559</v>
      </c>
      <c r="F52" s="27">
        <v>557.62</v>
      </c>
      <c r="G52" s="28">
        <v>1.0200000000000001E-2</v>
      </c>
      <c r="H52" s="29"/>
    </row>
    <row r="53" spans="2:8" ht="15.75" customHeight="1" x14ac:dyDescent="0.25">
      <c r="B53" s="25" t="s">
        <v>266</v>
      </c>
      <c r="C53" s="25" t="s">
        <v>267</v>
      </c>
      <c r="D53" s="25" t="s">
        <v>268</v>
      </c>
      <c r="E53" s="26">
        <v>154349</v>
      </c>
      <c r="F53" s="27">
        <v>547.63</v>
      </c>
      <c r="G53" s="28">
        <v>0.01</v>
      </c>
      <c r="H53" s="29"/>
    </row>
    <row r="54" spans="2:8" ht="15.75" customHeight="1" x14ac:dyDescent="0.25">
      <c r="B54" s="25" t="s">
        <v>855</v>
      </c>
      <c r="C54" s="25" t="s">
        <v>856</v>
      </c>
      <c r="D54" s="25" t="s">
        <v>361</v>
      </c>
      <c r="E54" s="26">
        <v>124536</v>
      </c>
      <c r="F54" s="27">
        <v>546.15</v>
      </c>
      <c r="G54" s="28">
        <v>0.01</v>
      </c>
      <c r="H54" s="29"/>
    </row>
    <row r="55" spans="2:8" ht="15.75" customHeight="1" x14ac:dyDescent="0.25">
      <c r="B55" s="25" t="s">
        <v>404</v>
      </c>
      <c r="C55" s="25" t="s">
        <v>405</v>
      </c>
      <c r="D55" s="25" t="s">
        <v>406</v>
      </c>
      <c r="E55" s="26">
        <v>87051</v>
      </c>
      <c r="F55" s="27">
        <v>539.85</v>
      </c>
      <c r="G55" s="28">
        <v>9.9000000000000008E-3</v>
      </c>
      <c r="H55" s="29"/>
    </row>
    <row r="56" spans="2:8" ht="15.75" customHeight="1" x14ac:dyDescent="0.25">
      <c r="B56" s="25" t="s">
        <v>685</v>
      </c>
      <c r="C56" s="25" t="s">
        <v>686</v>
      </c>
      <c r="D56" s="25" t="s">
        <v>536</v>
      </c>
      <c r="E56" s="26">
        <v>1472</v>
      </c>
      <c r="F56" s="27">
        <v>512.02</v>
      </c>
      <c r="G56" s="28">
        <v>9.4000000000000004E-3</v>
      </c>
      <c r="H56" s="29"/>
    </row>
    <row r="57" spans="2:8" ht="15.75" customHeight="1" x14ac:dyDescent="0.25">
      <c r="B57" s="25" t="s">
        <v>287</v>
      </c>
      <c r="C57" s="25" t="s">
        <v>288</v>
      </c>
      <c r="D57" s="25" t="s">
        <v>289</v>
      </c>
      <c r="E57" s="26">
        <v>593766</v>
      </c>
      <c r="F57" s="27">
        <v>505.59</v>
      </c>
      <c r="G57" s="28">
        <v>9.2999999999999992E-3</v>
      </c>
      <c r="H57" s="29"/>
    </row>
    <row r="58" spans="2:8" ht="15.75" customHeight="1" x14ac:dyDescent="0.25">
      <c r="B58" s="25" t="s">
        <v>299</v>
      </c>
      <c r="C58" s="25" t="s">
        <v>300</v>
      </c>
      <c r="D58" s="25" t="s">
        <v>209</v>
      </c>
      <c r="E58" s="26">
        <v>72011</v>
      </c>
      <c r="F58" s="27">
        <v>485.25</v>
      </c>
      <c r="G58" s="28">
        <v>8.8999999999999999E-3</v>
      </c>
      <c r="H58" s="29"/>
    </row>
    <row r="59" spans="2:8" ht="15.75" customHeight="1" x14ac:dyDescent="0.25">
      <c r="B59" s="25" t="s">
        <v>857</v>
      </c>
      <c r="C59" s="25" t="s">
        <v>858</v>
      </c>
      <c r="D59" s="25" t="s">
        <v>268</v>
      </c>
      <c r="E59" s="26">
        <v>28017</v>
      </c>
      <c r="F59" s="27">
        <v>484.65</v>
      </c>
      <c r="G59" s="28">
        <v>8.8999999999999999E-3</v>
      </c>
      <c r="H59" s="29"/>
    </row>
    <row r="60" spans="2:8" ht="15.75" customHeight="1" x14ac:dyDescent="0.25">
      <c r="B60" s="25" t="s">
        <v>859</v>
      </c>
      <c r="C60" s="25" t="s">
        <v>860</v>
      </c>
      <c r="D60" s="25" t="s">
        <v>303</v>
      </c>
      <c r="E60" s="26">
        <v>33733</v>
      </c>
      <c r="F60" s="27">
        <v>465.6</v>
      </c>
      <c r="G60" s="28">
        <v>8.5000000000000006E-3</v>
      </c>
      <c r="H60" s="29"/>
    </row>
    <row r="61" spans="2:8" ht="15.75" customHeight="1" x14ac:dyDescent="0.25">
      <c r="B61" s="25" t="s">
        <v>861</v>
      </c>
      <c r="C61" s="25" t="s">
        <v>862</v>
      </c>
      <c r="D61" s="25" t="s">
        <v>156</v>
      </c>
      <c r="E61" s="26">
        <v>84790</v>
      </c>
      <c r="F61" s="27">
        <v>464.86</v>
      </c>
      <c r="G61" s="28">
        <v>8.5000000000000006E-3</v>
      </c>
      <c r="H61" s="29"/>
    </row>
    <row r="62" spans="2:8" ht="15.75" customHeight="1" x14ac:dyDescent="0.25">
      <c r="B62" s="25" t="s">
        <v>275</v>
      </c>
      <c r="C62" s="25" t="s">
        <v>276</v>
      </c>
      <c r="D62" s="25" t="s">
        <v>159</v>
      </c>
      <c r="E62" s="26">
        <v>20069</v>
      </c>
      <c r="F62" s="27">
        <v>464.57</v>
      </c>
      <c r="G62" s="28">
        <v>8.5000000000000006E-3</v>
      </c>
      <c r="H62" s="29"/>
    </row>
    <row r="63" spans="2:8" ht="15.75" customHeight="1" x14ac:dyDescent="0.25">
      <c r="B63" s="25" t="s">
        <v>308</v>
      </c>
      <c r="C63" s="25" t="s">
        <v>309</v>
      </c>
      <c r="D63" s="25" t="s">
        <v>296</v>
      </c>
      <c r="E63" s="26">
        <v>18898</v>
      </c>
      <c r="F63" s="27">
        <v>459.2</v>
      </c>
      <c r="G63" s="28">
        <v>8.3999999999999995E-3</v>
      </c>
      <c r="H63" s="29"/>
    </row>
    <row r="64" spans="2:8" ht="15.75" customHeight="1" x14ac:dyDescent="0.25">
      <c r="B64" s="25" t="s">
        <v>374</v>
      </c>
      <c r="C64" s="25" t="s">
        <v>375</v>
      </c>
      <c r="D64" s="25" t="s">
        <v>156</v>
      </c>
      <c r="E64" s="26">
        <v>293473</v>
      </c>
      <c r="F64" s="27">
        <v>455.18</v>
      </c>
      <c r="G64" s="28">
        <v>8.3000000000000001E-3</v>
      </c>
      <c r="H64" s="29"/>
    </row>
    <row r="65" spans="2:16" ht="15.75" customHeight="1" x14ac:dyDescent="0.25">
      <c r="B65" s="25" t="s">
        <v>609</v>
      </c>
      <c r="C65" s="25" t="s">
        <v>610</v>
      </c>
      <c r="D65" s="25" t="s">
        <v>214</v>
      </c>
      <c r="E65" s="26">
        <v>32391</v>
      </c>
      <c r="F65" s="27">
        <v>433.88</v>
      </c>
      <c r="G65" s="28">
        <v>8.0000000000000002E-3</v>
      </c>
      <c r="H65" s="29"/>
    </row>
    <row r="66" spans="2:16" ht="15.75" customHeight="1" x14ac:dyDescent="0.25">
      <c r="B66" s="25" t="s">
        <v>696</v>
      </c>
      <c r="C66" s="25" t="s">
        <v>697</v>
      </c>
      <c r="D66" s="25" t="s">
        <v>159</v>
      </c>
      <c r="E66" s="26">
        <v>5671</v>
      </c>
      <c r="F66" s="27">
        <v>430.92</v>
      </c>
      <c r="G66" s="28">
        <v>7.9000000000000008E-3</v>
      </c>
      <c r="H66" s="29"/>
    </row>
    <row r="67" spans="2:16" ht="15.75" customHeight="1" x14ac:dyDescent="0.25">
      <c r="B67" s="25" t="s">
        <v>652</v>
      </c>
      <c r="C67" s="25" t="s">
        <v>653</v>
      </c>
      <c r="D67" s="25" t="s">
        <v>315</v>
      </c>
      <c r="E67" s="26">
        <v>92963</v>
      </c>
      <c r="F67" s="27">
        <v>430.6</v>
      </c>
      <c r="G67" s="28">
        <v>7.9000000000000008E-3</v>
      </c>
      <c r="H67" s="29"/>
    </row>
    <row r="68" spans="2:16" ht="15.75" customHeight="1" x14ac:dyDescent="0.25">
      <c r="B68" s="25" t="s">
        <v>601</v>
      </c>
      <c r="C68" s="25" t="s">
        <v>602</v>
      </c>
      <c r="D68" s="25" t="s">
        <v>214</v>
      </c>
      <c r="E68" s="26">
        <v>95175</v>
      </c>
      <c r="F68" s="27">
        <v>428.29</v>
      </c>
      <c r="G68" s="28">
        <v>7.9000000000000008E-3</v>
      </c>
      <c r="H68" s="29"/>
      <c r="L68" s="3"/>
    </row>
    <row r="69" spans="2:16" ht="15.75" customHeight="1" x14ac:dyDescent="0.25">
      <c r="B69" s="25" t="s">
        <v>863</v>
      </c>
      <c r="C69" s="25" t="s">
        <v>864</v>
      </c>
      <c r="D69" s="25" t="s">
        <v>217</v>
      </c>
      <c r="E69" s="26">
        <v>94463</v>
      </c>
      <c r="F69" s="27">
        <v>424.14</v>
      </c>
      <c r="G69" s="28">
        <v>7.7999999999999996E-3</v>
      </c>
      <c r="H69" s="29"/>
    </row>
    <row r="70" spans="2:16" ht="15.75" customHeight="1" x14ac:dyDescent="0.25">
      <c r="B70" s="25" t="s">
        <v>642</v>
      </c>
      <c r="C70" s="25" t="s">
        <v>643</v>
      </c>
      <c r="D70" s="25" t="s">
        <v>303</v>
      </c>
      <c r="E70" s="26">
        <v>28201</v>
      </c>
      <c r="F70" s="27">
        <v>418.32</v>
      </c>
      <c r="G70" s="28">
        <v>7.7000000000000002E-3</v>
      </c>
      <c r="H70" s="29"/>
      <c r="L70" s="3"/>
    </row>
    <row r="71" spans="2:16" ht="15.75" customHeight="1" x14ac:dyDescent="0.25">
      <c r="B71" s="25" t="s">
        <v>658</v>
      </c>
      <c r="C71" s="25" t="s">
        <v>659</v>
      </c>
      <c r="D71" s="25" t="s">
        <v>244</v>
      </c>
      <c r="E71" s="26">
        <v>16169</v>
      </c>
      <c r="F71" s="27">
        <v>409.37</v>
      </c>
      <c r="G71" s="28">
        <v>7.4999999999999997E-3</v>
      </c>
      <c r="H71" s="29"/>
      <c r="L71" s="3"/>
    </row>
    <row r="72" spans="2:16" ht="15.75" customHeight="1" x14ac:dyDescent="0.25">
      <c r="B72" s="25" t="s">
        <v>351</v>
      </c>
      <c r="C72" s="25" t="s">
        <v>352</v>
      </c>
      <c r="D72" s="25" t="s">
        <v>214</v>
      </c>
      <c r="E72" s="26">
        <v>17132</v>
      </c>
      <c r="F72" s="27">
        <v>405.07</v>
      </c>
      <c r="G72" s="28">
        <v>7.4000000000000003E-3</v>
      </c>
      <c r="H72" s="29"/>
      <c r="L72" s="3"/>
    </row>
    <row r="73" spans="2:16" ht="15.75" customHeight="1" x14ac:dyDescent="0.25">
      <c r="B73" s="25" t="s">
        <v>865</v>
      </c>
      <c r="C73" s="25" t="s">
        <v>866</v>
      </c>
      <c r="D73" s="25" t="s">
        <v>296</v>
      </c>
      <c r="E73" s="26">
        <v>78616</v>
      </c>
      <c r="F73" s="27">
        <v>401.02</v>
      </c>
      <c r="G73" s="28">
        <v>7.4000000000000003E-3</v>
      </c>
      <c r="H73" s="29"/>
      <c r="L73" s="3"/>
    </row>
    <row r="74" spans="2:16" ht="15.75" customHeight="1" x14ac:dyDescent="0.25">
      <c r="B74" s="25" t="s">
        <v>867</v>
      </c>
      <c r="C74" s="25" t="s">
        <v>868</v>
      </c>
      <c r="D74" s="25" t="s">
        <v>260</v>
      </c>
      <c r="E74" s="26">
        <v>37294</v>
      </c>
      <c r="F74" s="27">
        <v>399.85</v>
      </c>
      <c r="G74" s="28">
        <v>7.3000000000000001E-3</v>
      </c>
      <c r="H74" s="29"/>
      <c r="L74" s="3"/>
    </row>
    <row r="75" spans="2:16" ht="15.75" customHeight="1" x14ac:dyDescent="0.25">
      <c r="B75" s="25" t="s">
        <v>656</v>
      </c>
      <c r="C75" s="25" t="s">
        <v>657</v>
      </c>
      <c r="D75" s="25" t="s">
        <v>260</v>
      </c>
      <c r="E75" s="26">
        <v>16447</v>
      </c>
      <c r="F75" s="27">
        <v>399.75</v>
      </c>
      <c r="G75" s="28">
        <v>7.3000000000000001E-3</v>
      </c>
      <c r="H75" s="29"/>
      <c r="L75" s="5"/>
      <c r="M75" s="5"/>
      <c r="N75" s="6"/>
      <c r="O75" s="6"/>
      <c r="P75" s="5"/>
    </row>
    <row r="76" spans="2:16" ht="15.75" customHeight="1" x14ac:dyDescent="0.25">
      <c r="B76" s="25" t="s">
        <v>869</v>
      </c>
      <c r="C76" s="25" t="s">
        <v>870</v>
      </c>
      <c r="D76" s="25" t="s">
        <v>401</v>
      </c>
      <c r="E76" s="26">
        <v>83985</v>
      </c>
      <c r="F76" s="27">
        <v>394.06</v>
      </c>
      <c r="G76" s="28">
        <v>7.1999999999999998E-3</v>
      </c>
      <c r="H76" s="29"/>
    </row>
    <row r="77" spans="2:16" ht="15.75" customHeight="1" x14ac:dyDescent="0.25">
      <c r="B77" s="25" t="s">
        <v>237</v>
      </c>
      <c r="C77" s="25" t="s">
        <v>238</v>
      </c>
      <c r="D77" s="25" t="s">
        <v>209</v>
      </c>
      <c r="E77" s="26">
        <v>168785</v>
      </c>
      <c r="F77" s="27">
        <v>390.57</v>
      </c>
      <c r="G77" s="28">
        <v>7.1999999999999998E-3</v>
      </c>
      <c r="H77" s="29"/>
    </row>
    <row r="78" spans="2:16" ht="15.75" customHeight="1" x14ac:dyDescent="0.25">
      <c r="B78" s="25" t="s">
        <v>871</v>
      </c>
      <c r="C78" s="25" t="s">
        <v>872</v>
      </c>
      <c r="D78" s="25" t="s">
        <v>263</v>
      </c>
      <c r="E78" s="26">
        <v>135007</v>
      </c>
      <c r="F78" s="27">
        <v>386.66</v>
      </c>
      <c r="G78" s="28">
        <v>7.1000000000000004E-3</v>
      </c>
      <c r="H78" s="29"/>
      <c r="L78" s="7"/>
      <c r="M78" s="7"/>
      <c r="N78" s="7"/>
      <c r="O78" s="7"/>
      <c r="P78" s="7"/>
    </row>
    <row r="79" spans="2:16" ht="15.75" customHeight="1" x14ac:dyDescent="0.25">
      <c r="B79" s="25" t="s">
        <v>205</v>
      </c>
      <c r="C79" s="25" t="s">
        <v>206</v>
      </c>
      <c r="D79" s="25" t="s">
        <v>156</v>
      </c>
      <c r="E79" s="26">
        <v>198236</v>
      </c>
      <c r="F79" s="27">
        <v>373.28</v>
      </c>
      <c r="G79" s="28">
        <v>6.7999999999999996E-3</v>
      </c>
      <c r="H79" s="29"/>
      <c r="L79" s="7"/>
      <c r="M79" s="7"/>
      <c r="N79" s="7"/>
      <c r="O79" s="7"/>
      <c r="P79" s="7"/>
    </row>
    <row r="80" spans="2:16" ht="15.75" customHeight="1" x14ac:dyDescent="0.25">
      <c r="B80" s="25" t="s">
        <v>362</v>
      </c>
      <c r="C80" s="25" t="s">
        <v>363</v>
      </c>
      <c r="D80" s="25" t="s">
        <v>209</v>
      </c>
      <c r="E80" s="26">
        <v>142306</v>
      </c>
      <c r="F80" s="27">
        <v>371.63</v>
      </c>
      <c r="G80" s="28">
        <v>6.7999999999999996E-3</v>
      </c>
      <c r="H80" s="29"/>
      <c r="L80" s="7"/>
      <c r="M80" s="7"/>
      <c r="N80" s="7"/>
      <c r="O80" s="7"/>
      <c r="P80" s="7"/>
    </row>
    <row r="81" spans="2:16" ht="15.75" customHeight="1" x14ac:dyDescent="0.25">
      <c r="B81" s="25" t="s">
        <v>873</v>
      </c>
      <c r="C81" s="25" t="s">
        <v>874</v>
      </c>
      <c r="D81" s="25" t="s">
        <v>209</v>
      </c>
      <c r="E81" s="26">
        <v>71366</v>
      </c>
      <c r="F81" s="27">
        <v>350.16</v>
      </c>
      <c r="G81" s="28">
        <v>6.4000000000000003E-3</v>
      </c>
      <c r="H81" s="29"/>
      <c r="L81" s="7"/>
      <c r="M81" s="7"/>
      <c r="N81" s="7"/>
      <c r="O81" s="7"/>
      <c r="P81" s="7"/>
    </row>
    <row r="82" spans="2:16" ht="15.75" customHeight="1" x14ac:dyDescent="0.25">
      <c r="B82" s="25" t="s">
        <v>389</v>
      </c>
      <c r="C82" s="25" t="s">
        <v>390</v>
      </c>
      <c r="D82" s="25" t="s">
        <v>244</v>
      </c>
      <c r="E82" s="26">
        <v>19014</v>
      </c>
      <c r="F82" s="27">
        <v>349.51</v>
      </c>
      <c r="G82" s="28">
        <v>6.4000000000000003E-3</v>
      </c>
      <c r="H82" s="29"/>
      <c r="L82" s="7"/>
      <c r="M82" s="7"/>
      <c r="N82" s="7"/>
      <c r="O82" s="7"/>
      <c r="P82" s="7"/>
    </row>
    <row r="83" spans="2:16" ht="15.75" customHeight="1" x14ac:dyDescent="0.25">
      <c r="B83" s="25" t="s">
        <v>875</v>
      </c>
      <c r="C83" s="25" t="s">
        <v>876</v>
      </c>
      <c r="D83" s="25" t="s">
        <v>253</v>
      </c>
      <c r="E83" s="26">
        <v>22750</v>
      </c>
      <c r="F83" s="27">
        <v>343.68</v>
      </c>
      <c r="G83" s="28">
        <v>6.3E-3</v>
      </c>
      <c r="H83" s="29"/>
      <c r="L83" s="7"/>
      <c r="M83" s="7"/>
      <c r="N83" s="7"/>
      <c r="O83" s="7"/>
      <c r="P83" s="7"/>
    </row>
    <row r="84" spans="2:16" ht="15.75" customHeight="1" x14ac:dyDescent="0.25">
      <c r="B84" s="25" t="s">
        <v>499</v>
      </c>
      <c r="C84" s="25" t="s">
        <v>500</v>
      </c>
      <c r="D84" s="25" t="s">
        <v>209</v>
      </c>
      <c r="E84" s="26">
        <v>198375</v>
      </c>
      <c r="F84" s="27">
        <v>330.59</v>
      </c>
      <c r="G84" s="28">
        <v>6.1000000000000004E-3</v>
      </c>
      <c r="H84" s="29"/>
      <c r="L84" s="7"/>
      <c r="M84" s="7"/>
      <c r="N84" s="7"/>
      <c r="O84" s="7"/>
      <c r="P84" s="7"/>
    </row>
    <row r="85" spans="2:16" ht="15.75" customHeight="1" x14ac:dyDescent="0.25">
      <c r="B85" s="25" t="s">
        <v>877</v>
      </c>
      <c r="C85" s="25" t="s">
        <v>878</v>
      </c>
      <c r="D85" s="25" t="s">
        <v>760</v>
      </c>
      <c r="E85" s="26">
        <v>221307</v>
      </c>
      <c r="F85" s="27">
        <v>325.20999999999998</v>
      </c>
      <c r="G85" s="28">
        <v>6.0000000000000001E-3</v>
      </c>
      <c r="H85" s="29"/>
    </row>
    <row r="86" spans="2:16" ht="15.75" customHeight="1" x14ac:dyDescent="0.25">
      <c r="B86" s="25" t="s">
        <v>212</v>
      </c>
      <c r="C86" s="25" t="s">
        <v>213</v>
      </c>
      <c r="D86" s="25" t="s">
        <v>214</v>
      </c>
      <c r="E86" s="26">
        <v>107209</v>
      </c>
      <c r="F86" s="27">
        <v>320.07</v>
      </c>
      <c r="G86" s="28">
        <v>5.8999999999999999E-3</v>
      </c>
      <c r="H86" s="29"/>
      <c r="L86" s="3"/>
    </row>
    <row r="87" spans="2:16" ht="15.75" customHeight="1" x14ac:dyDescent="0.25">
      <c r="B87" s="25" t="s">
        <v>879</v>
      </c>
      <c r="C87" s="25" t="s">
        <v>880</v>
      </c>
      <c r="D87" s="25" t="s">
        <v>457</v>
      </c>
      <c r="E87" s="26">
        <v>6649</v>
      </c>
      <c r="F87" s="27">
        <v>308.52</v>
      </c>
      <c r="G87" s="28">
        <v>5.7000000000000002E-3</v>
      </c>
      <c r="H87" s="29"/>
    </row>
    <row r="88" spans="2:16" ht="15.75" customHeight="1" x14ac:dyDescent="0.25">
      <c r="B88" s="25" t="s">
        <v>359</v>
      </c>
      <c r="C88" s="25" t="s">
        <v>360</v>
      </c>
      <c r="D88" s="25" t="s">
        <v>361</v>
      </c>
      <c r="E88" s="26">
        <v>43742</v>
      </c>
      <c r="F88" s="27">
        <v>301.45</v>
      </c>
      <c r="G88" s="28">
        <v>5.4999999999999997E-3</v>
      </c>
      <c r="H88" s="29"/>
    </row>
    <row r="89" spans="2:16" ht="15.75" customHeight="1" x14ac:dyDescent="0.25">
      <c r="B89" s="25" t="s">
        <v>881</v>
      </c>
      <c r="C89" s="25" t="s">
        <v>882</v>
      </c>
      <c r="D89" s="25" t="s">
        <v>214</v>
      </c>
      <c r="E89" s="26">
        <v>16392</v>
      </c>
      <c r="F89" s="27">
        <v>280.5</v>
      </c>
      <c r="G89" s="28">
        <v>5.1000000000000004E-3</v>
      </c>
      <c r="H89" s="29"/>
    </row>
    <row r="90" spans="2:16" ht="15.75" customHeight="1" x14ac:dyDescent="0.25">
      <c r="B90" s="25" t="s">
        <v>644</v>
      </c>
      <c r="C90" s="25" t="s">
        <v>645</v>
      </c>
      <c r="D90" s="25" t="s">
        <v>202</v>
      </c>
      <c r="E90" s="26">
        <v>8008</v>
      </c>
      <c r="F90" s="27">
        <v>268.95</v>
      </c>
      <c r="G90" s="28">
        <v>4.8999999999999998E-3</v>
      </c>
      <c r="H90" s="29"/>
    </row>
    <row r="91" spans="2:16" ht="15.75" customHeight="1" x14ac:dyDescent="0.25">
      <c r="B91" s="25" t="s">
        <v>316</v>
      </c>
      <c r="C91" s="25" t="s">
        <v>317</v>
      </c>
      <c r="D91" s="25" t="s">
        <v>209</v>
      </c>
      <c r="E91" s="26">
        <v>28703</v>
      </c>
      <c r="F91" s="27">
        <v>265.42</v>
      </c>
      <c r="G91" s="28">
        <v>4.8999999999999998E-3</v>
      </c>
      <c r="H91" s="29"/>
    </row>
    <row r="92" spans="2:16" ht="15.75" customHeight="1" x14ac:dyDescent="0.25">
      <c r="B92" s="25" t="s">
        <v>883</v>
      </c>
      <c r="C92" s="25" t="s">
        <v>884</v>
      </c>
      <c r="D92" s="25" t="s">
        <v>826</v>
      </c>
      <c r="E92" s="26">
        <v>69890</v>
      </c>
      <c r="F92" s="27">
        <v>260.27</v>
      </c>
      <c r="G92" s="28">
        <v>4.7999999999999996E-3</v>
      </c>
      <c r="H92" s="29"/>
    </row>
    <row r="93" spans="2:16" ht="15.75" customHeight="1" x14ac:dyDescent="0.25">
      <c r="B93" s="25" t="s">
        <v>885</v>
      </c>
      <c r="C93" s="25" t="s">
        <v>886</v>
      </c>
      <c r="D93" s="25" t="s">
        <v>268</v>
      </c>
      <c r="E93" s="26">
        <v>1854675</v>
      </c>
      <c r="F93" s="27">
        <v>244.82</v>
      </c>
      <c r="G93" s="28">
        <v>4.4999999999999997E-3</v>
      </c>
      <c r="H93" s="29"/>
    </row>
    <row r="94" spans="2:16" ht="15.75" customHeight="1" x14ac:dyDescent="0.25">
      <c r="B94" s="25" t="s">
        <v>887</v>
      </c>
      <c r="C94" s="25" t="s">
        <v>888</v>
      </c>
      <c r="D94" s="25" t="s">
        <v>281</v>
      </c>
      <c r="E94" s="26">
        <v>172052</v>
      </c>
      <c r="F94" s="27">
        <v>231.24</v>
      </c>
      <c r="G94" s="28">
        <v>4.1999999999999997E-3</v>
      </c>
      <c r="H94" s="29"/>
    </row>
    <row r="95" spans="2:16" ht="15.75" customHeight="1" x14ac:dyDescent="0.25">
      <c r="B95" s="25" t="s">
        <v>889</v>
      </c>
      <c r="C95" s="25" t="s">
        <v>890</v>
      </c>
      <c r="D95" s="25" t="s">
        <v>442</v>
      </c>
      <c r="E95" s="26">
        <v>54604</v>
      </c>
      <c r="F95" s="27">
        <v>226.12</v>
      </c>
      <c r="G95" s="28">
        <v>4.1000000000000003E-3</v>
      </c>
      <c r="H95" s="29"/>
    </row>
    <row r="96" spans="2:16" ht="15.75" customHeight="1" x14ac:dyDescent="0.25">
      <c r="B96" s="25" t="s">
        <v>812</v>
      </c>
      <c r="C96" s="25" t="s">
        <v>813</v>
      </c>
      <c r="D96" s="25" t="s">
        <v>401</v>
      </c>
      <c r="E96" s="26">
        <v>41192</v>
      </c>
      <c r="F96" s="27">
        <v>225.16</v>
      </c>
      <c r="G96" s="28">
        <v>4.1000000000000003E-3</v>
      </c>
      <c r="H96" s="29"/>
    </row>
    <row r="97" spans="2:8" ht="15.75" customHeight="1" x14ac:dyDescent="0.25">
      <c r="B97" s="25" t="s">
        <v>672</v>
      </c>
      <c r="C97" s="25" t="s">
        <v>673</v>
      </c>
      <c r="D97" s="25" t="s">
        <v>234</v>
      </c>
      <c r="E97" s="26">
        <v>10987</v>
      </c>
      <c r="F97" s="27">
        <v>217.27</v>
      </c>
      <c r="G97" s="28">
        <v>4.0000000000000001E-3</v>
      </c>
      <c r="H97" s="29"/>
    </row>
    <row r="98" spans="2:8" ht="15.75" customHeight="1" x14ac:dyDescent="0.25">
      <c r="B98" s="25" t="s">
        <v>891</v>
      </c>
      <c r="C98" s="25" t="s">
        <v>892</v>
      </c>
      <c r="D98" s="25" t="s">
        <v>361</v>
      </c>
      <c r="E98" s="26">
        <v>8951</v>
      </c>
      <c r="F98" s="27">
        <v>212.36</v>
      </c>
      <c r="G98" s="28">
        <v>3.8999999999999998E-3</v>
      </c>
      <c r="H98" s="29"/>
    </row>
    <row r="99" spans="2:8" ht="15.75" customHeight="1" x14ac:dyDescent="0.25">
      <c r="B99" s="25" t="s">
        <v>806</v>
      </c>
      <c r="C99" s="25" t="s">
        <v>807</v>
      </c>
      <c r="D99" s="25" t="s">
        <v>426</v>
      </c>
      <c r="E99" s="26">
        <v>74693</v>
      </c>
      <c r="F99" s="27">
        <v>196.44</v>
      </c>
      <c r="G99" s="28">
        <v>3.5999999999999999E-3</v>
      </c>
      <c r="H99" s="29"/>
    </row>
    <row r="100" spans="2:8" ht="15.75" customHeight="1" x14ac:dyDescent="0.25">
      <c r="B100" s="25" t="s">
        <v>893</v>
      </c>
      <c r="C100" s="25" t="s">
        <v>894</v>
      </c>
      <c r="D100" s="25" t="s">
        <v>350</v>
      </c>
      <c r="E100" s="26">
        <v>7303</v>
      </c>
      <c r="F100" s="27">
        <v>171.54</v>
      </c>
      <c r="G100" s="28">
        <v>3.0999999999999999E-3</v>
      </c>
      <c r="H100" s="29"/>
    </row>
    <row r="101" spans="2:8" ht="15.75" customHeight="1" x14ac:dyDescent="0.25">
      <c r="B101" s="25" t="s">
        <v>895</v>
      </c>
      <c r="C101" s="25" t="s">
        <v>896</v>
      </c>
      <c r="D101" s="25" t="s">
        <v>156</v>
      </c>
      <c r="E101" s="26">
        <v>242056</v>
      </c>
      <c r="F101" s="27">
        <v>169.68</v>
      </c>
      <c r="G101" s="28">
        <v>3.0999999999999999E-3</v>
      </c>
      <c r="H101" s="29"/>
    </row>
    <row r="102" spans="2:8" ht="15.75" customHeight="1" x14ac:dyDescent="0.25">
      <c r="B102" s="25" t="s">
        <v>897</v>
      </c>
      <c r="C102" s="25" t="s">
        <v>898</v>
      </c>
      <c r="D102" s="25" t="s">
        <v>457</v>
      </c>
      <c r="E102" s="26">
        <v>15641</v>
      </c>
      <c r="F102" s="27">
        <v>166.91</v>
      </c>
      <c r="G102" s="28">
        <v>3.0999999999999999E-3</v>
      </c>
      <c r="H102" s="29"/>
    </row>
    <row r="103" spans="2:8" ht="15.75" customHeight="1" x14ac:dyDescent="0.25">
      <c r="B103" s="25" t="s">
        <v>795</v>
      </c>
      <c r="C103" s="25" t="s">
        <v>796</v>
      </c>
      <c r="D103" s="25" t="s">
        <v>289</v>
      </c>
      <c r="E103" s="26">
        <v>61035</v>
      </c>
      <c r="F103" s="27">
        <v>152.59</v>
      </c>
      <c r="G103" s="28">
        <v>2.8E-3</v>
      </c>
      <c r="H103" s="29"/>
    </row>
    <row r="104" spans="2:8" ht="15.75" customHeight="1" x14ac:dyDescent="0.25">
      <c r="B104" s="25" t="s">
        <v>899</v>
      </c>
      <c r="C104" s="25" t="s">
        <v>900</v>
      </c>
      <c r="D104" s="25" t="s">
        <v>760</v>
      </c>
      <c r="E104" s="26">
        <v>19832</v>
      </c>
      <c r="F104" s="27">
        <v>129.97999999999999</v>
      </c>
      <c r="G104" s="28">
        <v>2.3999999999999998E-3</v>
      </c>
      <c r="H104" s="29"/>
    </row>
    <row r="105" spans="2:8" ht="15.75" customHeight="1" x14ac:dyDescent="0.25">
      <c r="B105" s="25" t="s">
        <v>901</v>
      </c>
      <c r="C105" s="25" t="s">
        <v>902</v>
      </c>
      <c r="D105" s="25" t="s">
        <v>156</v>
      </c>
      <c r="E105" s="26">
        <v>128697</v>
      </c>
      <c r="F105" s="27">
        <v>116.28</v>
      </c>
      <c r="G105" s="28">
        <v>2.0999999999999999E-3</v>
      </c>
      <c r="H105" s="29"/>
    </row>
    <row r="106" spans="2:8" ht="15.75" customHeight="1" x14ac:dyDescent="0.25">
      <c r="B106" s="25" t="s">
        <v>903</v>
      </c>
      <c r="C106" s="25" t="s">
        <v>904</v>
      </c>
      <c r="D106" s="25" t="s">
        <v>551</v>
      </c>
      <c r="E106" s="26">
        <v>15651</v>
      </c>
      <c r="F106" s="27">
        <v>111.94</v>
      </c>
      <c r="G106" s="28">
        <v>2.0999999999999999E-3</v>
      </c>
      <c r="H106" s="29"/>
    </row>
    <row r="107" spans="2:8" ht="15.75" customHeight="1" x14ac:dyDescent="0.25">
      <c r="B107" s="24" t="s">
        <v>128</v>
      </c>
      <c r="C107" s="24"/>
      <c r="D107" s="24"/>
      <c r="E107" s="30"/>
      <c r="F107" s="31">
        <v>54521.32</v>
      </c>
      <c r="G107" s="32">
        <v>0.99939999999999996</v>
      </c>
      <c r="H107" s="33"/>
    </row>
    <row r="108" spans="2:8" ht="15.75" customHeight="1" x14ac:dyDescent="0.25">
      <c r="B108" s="24" t="s">
        <v>176</v>
      </c>
      <c r="C108" s="25"/>
      <c r="D108" s="25"/>
      <c r="E108" s="26"/>
      <c r="F108" s="27"/>
      <c r="G108" s="28"/>
      <c r="H108" s="29"/>
    </row>
    <row r="109" spans="2:8" ht="15.75" customHeight="1" x14ac:dyDescent="0.25">
      <c r="B109" s="24" t="s">
        <v>128</v>
      </c>
      <c r="C109" s="25"/>
      <c r="D109" s="25"/>
      <c r="E109" s="26"/>
      <c r="F109" s="34" t="s">
        <v>130</v>
      </c>
      <c r="G109" s="35" t="s">
        <v>130</v>
      </c>
      <c r="H109" s="29"/>
    </row>
    <row r="110" spans="2:8" ht="15.75" customHeight="1" x14ac:dyDescent="0.25">
      <c r="B110" s="25"/>
      <c r="C110" s="25"/>
      <c r="D110" s="25"/>
      <c r="E110" s="26"/>
      <c r="F110" s="27"/>
      <c r="G110" s="28"/>
      <c r="H110" s="29"/>
    </row>
    <row r="111" spans="2:8" ht="15.75" customHeight="1" x14ac:dyDescent="0.25">
      <c r="B111" s="36" t="s">
        <v>132</v>
      </c>
      <c r="C111" s="36"/>
      <c r="D111" s="36"/>
      <c r="E111" s="37"/>
      <c r="F111" s="31">
        <v>54521.32</v>
      </c>
      <c r="G111" s="32">
        <v>0.99939999999999996</v>
      </c>
      <c r="H111" s="33"/>
    </row>
    <row r="112" spans="2:8" ht="15.75" customHeight="1" x14ac:dyDescent="0.25">
      <c r="B112" s="25"/>
      <c r="C112" s="25"/>
      <c r="D112" s="25"/>
      <c r="E112" s="26"/>
      <c r="F112" s="27"/>
      <c r="G112" s="28"/>
      <c r="H112" s="29"/>
    </row>
    <row r="113" spans="2:8" ht="15.75" customHeight="1" x14ac:dyDescent="0.25">
      <c r="B113" s="25"/>
      <c r="C113" s="25"/>
      <c r="D113" s="25"/>
      <c r="E113" s="26"/>
      <c r="F113" s="27"/>
      <c r="G113" s="28"/>
      <c r="H113" s="29"/>
    </row>
    <row r="114" spans="2:8" ht="15.75" customHeight="1" x14ac:dyDescent="0.25">
      <c r="B114" s="24" t="s">
        <v>135</v>
      </c>
      <c r="C114" s="25"/>
      <c r="D114" s="25"/>
      <c r="E114" s="26"/>
      <c r="F114" s="27"/>
      <c r="G114" s="28"/>
      <c r="H114" s="29"/>
    </row>
    <row r="115" spans="2:8" ht="15.75" customHeight="1" x14ac:dyDescent="0.25">
      <c r="B115" s="25" t="s">
        <v>136</v>
      </c>
      <c r="C115" s="25"/>
      <c r="D115" s="25"/>
      <c r="E115" s="26"/>
      <c r="F115" s="27">
        <v>30.83</v>
      </c>
      <c r="G115" s="28">
        <v>5.9999999999999995E-4</v>
      </c>
      <c r="H115" s="29"/>
    </row>
    <row r="116" spans="2:8" ht="15.75" customHeight="1" x14ac:dyDescent="0.25">
      <c r="B116" s="24" t="s">
        <v>128</v>
      </c>
      <c r="C116" s="24"/>
      <c r="D116" s="24"/>
      <c r="E116" s="30"/>
      <c r="F116" s="31">
        <v>30.83</v>
      </c>
      <c r="G116" s="32">
        <v>5.9999999999999995E-4</v>
      </c>
      <c r="H116" s="33"/>
    </row>
    <row r="117" spans="2:8" ht="15.75" customHeight="1" x14ac:dyDescent="0.25">
      <c r="B117" s="25"/>
      <c r="C117" s="25"/>
      <c r="D117" s="25"/>
      <c r="E117" s="26"/>
      <c r="F117" s="27"/>
      <c r="G117" s="28"/>
      <c r="H117" s="29"/>
    </row>
    <row r="118" spans="2:8" ht="15.75" customHeight="1" x14ac:dyDescent="0.25">
      <c r="B118" s="36" t="s">
        <v>132</v>
      </c>
      <c r="C118" s="36"/>
      <c r="D118" s="36"/>
      <c r="E118" s="37"/>
      <c r="F118" s="31">
        <v>30.83</v>
      </c>
      <c r="G118" s="32">
        <v>5.9999999999999995E-4</v>
      </c>
      <c r="H118" s="33"/>
    </row>
    <row r="119" spans="2:8" ht="15.75" customHeight="1" x14ac:dyDescent="0.25">
      <c r="B119" s="25" t="s">
        <v>137</v>
      </c>
      <c r="C119" s="25"/>
      <c r="D119" s="25"/>
      <c r="E119" s="26"/>
      <c r="F119" s="38">
        <v>-0.54</v>
      </c>
      <c r="G119" s="28">
        <v>0</v>
      </c>
      <c r="H119" s="29"/>
    </row>
    <row r="120" spans="2:8" ht="15.75" customHeight="1" x14ac:dyDescent="0.25">
      <c r="B120" s="40" t="s">
        <v>138</v>
      </c>
      <c r="C120" s="40"/>
      <c r="D120" s="40"/>
      <c r="E120" s="41"/>
      <c r="F120" s="42">
        <v>54551.61</v>
      </c>
      <c r="G120" s="43">
        <v>1</v>
      </c>
      <c r="H120" s="44"/>
    </row>
    <row r="121" spans="2:8" ht="15.75" customHeight="1" thickBot="1" x14ac:dyDescent="0.3">
      <c r="B121" s="2"/>
    </row>
    <row r="122" spans="2:8" ht="27" customHeight="1" thickBot="1" x14ac:dyDescent="0.3">
      <c r="B122" s="57" t="s">
        <v>980</v>
      </c>
      <c r="C122" s="58" t="s">
        <v>981</v>
      </c>
      <c r="D122" s="58" t="s">
        <v>982</v>
      </c>
      <c r="E122" s="63" t="s">
        <v>983</v>
      </c>
      <c r="G122" s="2"/>
      <c r="H122" s="2"/>
    </row>
    <row r="123" spans="2:8" ht="29.25" customHeight="1" x14ac:dyDescent="0.25">
      <c r="B123" s="64" t="s">
        <v>93</v>
      </c>
      <c r="C123" s="82"/>
      <c r="D123" s="85" t="s">
        <v>1055</v>
      </c>
      <c r="E123" s="87"/>
      <c r="G123" s="2"/>
      <c r="H123" s="2"/>
    </row>
    <row r="124" spans="2:8" ht="40" customHeight="1" x14ac:dyDescent="0.25">
      <c r="B124" s="66" t="s">
        <v>1056</v>
      </c>
      <c r="C124" s="83"/>
      <c r="D124" s="86"/>
      <c r="E124" s="83"/>
      <c r="G124" s="2"/>
      <c r="H124" s="2"/>
    </row>
    <row r="125" spans="2:8" ht="40" customHeight="1" x14ac:dyDescent="0.25">
      <c r="B125" s="66" t="s">
        <v>1057</v>
      </c>
      <c r="C125" s="83"/>
      <c r="D125" s="86"/>
      <c r="E125" s="83"/>
      <c r="G125" s="2"/>
      <c r="H125" s="2"/>
    </row>
    <row r="126" spans="2:8" ht="23.25" customHeight="1" thickBot="1" x14ac:dyDescent="0.3">
      <c r="B126" s="68" t="s">
        <v>1006</v>
      </c>
      <c r="C126" s="84"/>
      <c r="D126" s="71" t="s">
        <v>1006</v>
      </c>
      <c r="E126" s="88"/>
      <c r="G126" s="2"/>
      <c r="H126" s="2"/>
    </row>
    <row r="127" spans="2:8" ht="25" customHeight="1" x14ac:dyDescent="0.25">
      <c r="B127" s="59" t="s">
        <v>985</v>
      </c>
      <c r="C127" s="60"/>
      <c r="D127" s="61"/>
      <c r="E127" s="62"/>
      <c r="G127" s="2"/>
      <c r="H127" s="2"/>
    </row>
    <row r="129" spans="2:8" ht="11.5" x14ac:dyDescent="0.25">
      <c r="B129" s="2" t="s">
        <v>986</v>
      </c>
      <c r="C129" s="2"/>
      <c r="D129" s="2"/>
      <c r="G129" s="2"/>
      <c r="H129" s="2"/>
    </row>
    <row r="130" spans="2:8" ht="11.5" x14ac:dyDescent="0.25">
      <c r="B130" s="3" t="s">
        <v>987</v>
      </c>
      <c r="C130" s="2"/>
      <c r="D130" s="2"/>
      <c r="G130" s="2"/>
      <c r="H130" s="2"/>
    </row>
  </sheetData>
  <mergeCells count="3">
    <mergeCell ref="C123:C126"/>
    <mergeCell ref="D123:D125"/>
    <mergeCell ref="E123:E126"/>
  </mergeCells>
  <hyperlinks>
    <hyperlink ref="I1" location="'Sheet1'!A1" display="Index" xr:uid="{DAF74A6C-E780-483E-A3A5-B4E1A574291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AE0CE-760D-4A6F-BE8B-A1BE831EE153}">
  <dimension ref="B1:P104"/>
  <sheetViews>
    <sheetView workbookViewId="0"/>
  </sheetViews>
  <sheetFormatPr defaultColWidth="9.1796875" defaultRowHeight="15.75" customHeight="1" x14ac:dyDescent="0.25"/>
  <cols>
    <col min="1" max="1" width="3.6328125" style="2" customWidth="1"/>
    <col min="2" max="2" width="50.453125" style="9" customWidth="1"/>
    <col min="3" max="3" width="28.7265625" style="9" customWidth="1"/>
    <col min="4" max="4" width="26.6328125" style="9" customWidth="1"/>
    <col min="5" max="5" width="28.08984375" style="2" customWidth="1"/>
    <col min="6" max="6" width="16.453125" style="2" customWidth="1"/>
    <col min="7" max="7" width="15.26953125" style="8" customWidth="1"/>
    <col min="8" max="8" width="4.906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28</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154</v>
      </c>
      <c r="C7" s="25" t="s">
        <v>155</v>
      </c>
      <c r="D7" s="25" t="s">
        <v>156</v>
      </c>
      <c r="E7" s="26">
        <v>1146090</v>
      </c>
      <c r="F7" s="27">
        <v>13184.62</v>
      </c>
      <c r="G7" s="28">
        <v>4.8099999999999997E-2</v>
      </c>
      <c r="H7" s="29"/>
    </row>
    <row r="8" spans="2:9" ht="15.75" customHeight="1" x14ac:dyDescent="0.25">
      <c r="B8" s="25" t="s">
        <v>160</v>
      </c>
      <c r="C8" s="25" t="s">
        <v>161</v>
      </c>
      <c r="D8" s="25" t="s">
        <v>156</v>
      </c>
      <c r="E8" s="26">
        <v>852407</v>
      </c>
      <c r="F8" s="27">
        <v>12957.44</v>
      </c>
      <c r="G8" s="28">
        <v>4.7300000000000002E-2</v>
      </c>
      <c r="H8" s="29"/>
    </row>
    <row r="9" spans="2:9" ht="15.75" customHeight="1" x14ac:dyDescent="0.25">
      <c r="B9" s="25" t="s">
        <v>297</v>
      </c>
      <c r="C9" s="25" t="s">
        <v>298</v>
      </c>
      <c r="D9" s="25" t="s">
        <v>209</v>
      </c>
      <c r="E9" s="26">
        <v>1900064</v>
      </c>
      <c r="F9" s="27">
        <v>9636.17</v>
      </c>
      <c r="G9" s="28">
        <v>3.5200000000000002E-2</v>
      </c>
      <c r="H9" s="29"/>
    </row>
    <row r="10" spans="2:9" ht="15.75" customHeight="1" x14ac:dyDescent="0.25">
      <c r="B10" s="25" t="s">
        <v>424</v>
      </c>
      <c r="C10" s="25" t="s">
        <v>425</v>
      </c>
      <c r="D10" s="25" t="s">
        <v>426</v>
      </c>
      <c r="E10" s="26">
        <v>162102</v>
      </c>
      <c r="F10" s="27">
        <v>7148.54</v>
      </c>
      <c r="G10" s="28">
        <v>2.6100000000000002E-2</v>
      </c>
      <c r="H10" s="29"/>
    </row>
    <row r="11" spans="2:9" ht="15.75" customHeight="1" x14ac:dyDescent="0.25">
      <c r="B11" s="25" t="s">
        <v>207</v>
      </c>
      <c r="C11" s="25" t="s">
        <v>208</v>
      </c>
      <c r="D11" s="25" t="s">
        <v>209</v>
      </c>
      <c r="E11" s="26">
        <v>1575264</v>
      </c>
      <c r="F11" s="27">
        <v>6955.58</v>
      </c>
      <c r="G11" s="28">
        <v>2.5399999999999999E-2</v>
      </c>
      <c r="H11" s="29"/>
    </row>
    <row r="12" spans="2:9" ht="15.75" customHeight="1" x14ac:dyDescent="0.25">
      <c r="B12" s="25" t="s">
        <v>162</v>
      </c>
      <c r="C12" s="25" t="s">
        <v>163</v>
      </c>
      <c r="D12" s="25" t="s">
        <v>164</v>
      </c>
      <c r="E12" s="26">
        <v>215328</v>
      </c>
      <c r="F12" s="27">
        <v>6317.72</v>
      </c>
      <c r="G12" s="28">
        <v>2.3099999999999999E-2</v>
      </c>
      <c r="H12" s="29"/>
    </row>
    <row r="13" spans="2:9" ht="15.75" customHeight="1" x14ac:dyDescent="0.25">
      <c r="B13" s="25" t="s">
        <v>341</v>
      </c>
      <c r="C13" s="25" t="s">
        <v>342</v>
      </c>
      <c r="D13" s="25" t="s">
        <v>343</v>
      </c>
      <c r="E13" s="26">
        <v>297890</v>
      </c>
      <c r="F13" s="27">
        <v>5902.24</v>
      </c>
      <c r="G13" s="28">
        <v>2.1600000000000001E-2</v>
      </c>
      <c r="H13" s="29"/>
    </row>
    <row r="14" spans="2:9" ht="15.75" customHeight="1" x14ac:dyDescent="0.25">
      <c r="B14" s="25" t="s">
        <v>313</v>
      </c>
      <c r="C14" s="25" t="s">
        <v>314</v>
      </c>
      <c r="D14" s="25" t="s">
        <v>315</v>
      </c>
      <c r="E14" s="26">
        <v>938700</v>
      </c>
      <c r="F14" s="27">
        <v>5413.95</v>
      </c>
      <c r="G14" s="28">
        <v>1.9800000000000002E-2</v>
      </c>
      <c r="H14" s="29"/>
    </row>
    <row r="15" spans="2:9" ht="15.75" customHeight="1" x14ac:dyDescent="0.25">
      <c r="B15" s="25" t="s">
        <v>222</v>
      </c>
      <c r="C15" s="25" t="s">
        <v>223</v>
      </c>
      <c r="D15" s="25" t="s">
        <v>209</v>
      </c>
      <c r="E15" s="26">
        <v>207557</v>
      </c>
      <c r="F15" s="27">
        <v>5296.23</v>
      </c>
      <c r="G15" s="28">
        <v>1.9300000000000001E-2</v>
      </c>
      <c r="H15" s="29"/>
    </row>
    <row r="16" spans="2:9" ht="15.75" customHeight="1" x14ac:dyDescent="0.25">
      <c r="B16" s="25" t="s">
        <v>648</v>
      </c>
      <c r="C16" s="25" t="s">
        <v>649</v>
      </c>
      <c r="D16" s="25" t="s">
        <v>350</v>
      </c>
      <c r="E16" s="26">
        <v>11542</v>
      </c>
      <c r="F16" s="27">
        <v>5209.8900000000003</v>
      </c>
      <c r="G16" s="28">
        <v>1.9E-2</v>
      </c>
      <c r="H16" s="29"/>
    </row>
    <row r="17" spans="2:8" ht="15.75" customHeight="1" x14ac:dyDescent="0.25">
      <c r="B17" s="25" t="s">
        <v>597</v>
      </c>
      <c r="C17" s="25" t="s">
        <v>598</v>
      </c>
      <c r="D17" s="25" t="s">
        <v>296</v>
      </c>
      <c r="E17" s="26">
        <v>132245</v>
      </c>
      <c r="F17" s="27">
        <v>4879.6400000000003</v>
      </c>
      <c r="G17" s="28">
        <v>1.78E-2</v>
      </c>
      <c r="H17" s="29"/>
    </row>
    <row r="18" spans="2:8" ht="15.75" customHeight="1" x14ac:dyDescent="0.25">
      <c r="B18" s="25" t="s">
        <v>227</v>
      </c>
      <c r="C18" s="25" t="s">
        <v>228</v>
      </c>
      <c r="D18" s="25" t="s">
        <v>156</v>
      </c>
      <c r="E18" s="26">
        <v>298413</v>
      </c>
      <c r="F18" s="27">
        <v>4846.08</v>
      </c>
      <c r="G18" s="28">
        <v>1.77E-2</v>
      </c>
      <c r="H18" s="29"/>
    </row>
    <row r="19" spans="2:8" ht="15.75" customHeight="1" x14ac:dyDescent="0.25">
      <c r="B19" s="25" t="s">
        <v>332</v>
      </c>
      <c r="C19" s="25" t="s">
        <v>333</v>
      </c>
      <c r="D19" s="25" t="s">
        <v>159</v>
      </c>
      <c r="E19" s="26">
        <v>125875</v>
      </c>
      <c r="F19" s="27">
        <v>4809.24</v>
      </c>
      <c r="G19" s="28">
        <v>1.7600000000000001E-2</v>
      </c>
      <c r="H19" s="29"/>
    </row>
    <row r="20" spans="2:8" ht="15.75" customHeight="1" x14ac:dyDescent="0.25">
      <c r="B20" s="25" t="s">
        <v>549</v>
      </c>
      <c r="C20" s="25" t="s">
        <v>550</v>
      </c>
      <c r="D20" s="25" t="s">
        <v>551</v>
      </c>
      <c r="E20" s="26">
        <v>384597</v>
      </c>
      <c r="F20" s="27">
        <v>4645.3500000000004</v>
      </c>
      <c r="G20" s="28">
        <v>1.7000000000000001E-2</v>
      </c>
      <c r="H20" s="29"/>
    </row>
    <row r="21" spans="2:8" ht="15.75" customHeight="1" x14ac:dyDescent="0.25">
      <c r="B21" s="25" t="s">
        <v>407</v>
      </c>
      <c r="C21" s="25" t="s">
        <v>408</v>
      </c>
      <c r="D21" s="25" t="s">
        <v>214</v>
      </c>
      <c r="E21" s="26">
        <v>16338</v>
      </c>
      <c r="F21" s="27">
        <v>4320.76</v>
      </c>
      <c r="G21" s="28">
        <v>1.5800000000000002E-2</v>
      </c>
      <c r="H21" s="29"/>
    </row>
    <row r="22" spans="2:8" ht="15.75" customHeight="1" x14ac:dyDescent="0.25">
      <c r="B22" s="25" t="s">
        <v>330</v>
      </c>
      <c r="C22" s="25" t="s">
        <v>331</v>
      </c>
      <c r="D22" s="25" t="s">
        <v>156</v>
      </c>
      <c r="E22" s="26">
        <v>520744</v>
      </c>
      <c r="F22" s="27">
        <v>4302.6499999999996</v>
      </c>
      <c r="G22" s="28">
        <v>1.5699999999999999E-2</v>
      </c>
      <c r="H22" s="29"/>
    </row>
    <row r="23" spans="2:8" ht="15.75" customHeight="1" x14ac:dyDescent="0.25">
      <c r="B23" s="25" t="s">
        <v>670</v>
      </c>
      <c r="C23" s="25" t="s">
        <v>671</v>
      </c>
      <c r="D23" s="25" t="s">
        <v>343</v>
      </c>
      <c r="E23" s="26">
        <v>129703</v>
      </c>
      <c r="F23" s="27">
        <v>4248.3599999999997</v>
      </c>
      <c r="G23" s="28">
        <v>1.55E-2</v>
      </c>
      <c r="H23" s="29"/>
    </row>
    <row r="24" spans="2:8" ht="15.75" customHeight="1" x14ac:dyDescent="0.25">
      <c r="B24" s="25" t="s">
        <v>232</v>
      </c>
      <c r="C24" s="25" t="s">
        <v>233</v>
      </c>
      <c r="D24" s="25" t="s">
        <v>234</v>
      </c>
      <c r="E24" s="26">
        <v>1801233</v>
      </c>
      <c r="F24" s="27">
        <v>4210.38</v>
      </c>
      <c r="G24" s="28">
        <v>1.54E-2</v>
      </c>
      <c r="H24" s="29"/>
    </row>
    <row r="25" spans="2:8" ht="15.75" customHeight="1" x14ac:dyDescent="0.25">
      <c r="B25" s="25" t="s">
        <v>576</v>
      </c>
      <c r="C25" s="25" t="s">
        <v>577</v>
      </c>
      <c r="D25" s="25" t="s">
        <v>431</v>
      </c>
      <c r="E25" s="26">
        <v>128950</v>
      </c>
      <c r="F25" s="27">
        <v>4183.72</v>
      </c>
      <c r="G25" s="28">
        <v>1.5299999999999999E-2</v>
      </c>
      <c r="H25" s="29"/>
    </row>
    <row r="26" spans="2:8" ht="15.75" customHeight="1" x14ac:dyDescent="0.25">
      <c r="B26" s="25" t="s">
        <v>458</v>
      </c>
      <c r="C26" s="25" t="s">
        <v>459</v>
      </c>
      <c r="D26" s="25" t="s">
        <v>296</v>
      </c>
      <c r="E26" s="26">
        <v>327439</v>
      </c>
      <c r="F26" s="27">
        <v>4162.3999999999996</v>
      </c>
      <c r="G26" s="28">
        <v>1.52E-2</v>
      </c>
      <c r="H26" s="29"/>
    </row>
    <row r="27" spans="2:8" ht="15.75" customHeight="1" x14ac:dyDescent="0.25">
      <c r="B27" s="25" t="s">
        <v>447</v>
      </c>
      <c r="C27" s="25" t="s">
        <v>448</v>
      </c>
      <c r="D27" s="25" t="s">
        <v>431</v>
      </c>
      <c r="E27" s="26">
        <v>1206565</v>
      </c>
      <c r="F27" s="27">
        <v>4047.42</v>
      </c>
      <c r="G27" s="28">
        <v>1.4800000000000001E-2</v>
      </c>
      <c r="H27" s="29"/>
    </row>
    <row r="28" spans="2:8" ht="15.75" customHeight="1" x14ac:dyDescent="0.25">
      <c r="B28" s="25" t="s">
        <v>157</v>
      </c>
      <c r="C28" s="25" t="s">
        <v>158</v>
      </c>
      <c r="D28" s="25" t="s">
        <v>159</v>
      </c>
      <c r="E28" s="26">
        <v>278331</v>
      </c>
      <c r="F28" s="27">
        <v>3953.83</v>
      </c>
      <c r="G28" s="28">
        <v>1.44E-2</v>
      </c>
      <c r="H28" s="29"/>
    </row>
    <row r="29" spans="2:8" ht="15.75" customHeight="1" x14ac:dyDescent="0.25">
      <c r="B29" s="25" t="s">
        <v>511</v>
      </c>
      <c r="C29" s="25" t="s">
        <v>512</v>
      </c>
      <c r="D29" s="25" t="s">
        <v>286</v>
      </c>
      <c r="E29" s="26">
        <v>387731</v>
      </c>
      <c r="F29" s="27">
        <v>3919.57</v>
      </c>
      <c r="G29" s="28">
        <v>1.43E-2</v>
      </c>
      <c r="H29" s="29"/>
    </row>
    <row r="30" spans="2:8" ht="15.75" customHeight="1" x14ac:dyDescent="0.25">
      <c r="B30" s="25" t="s">
        <v>806</v>
      </c>
      <c r="C30" s="25" t="s">
        <v>807</v>
      </c>
      <c r="D30" s="25" t="s">
        <v>426</v>
      </c>
      <c r="E30" s="26">
        <v>1478767</v>
      </c>
      <c r="F30" s="27">
        <v>3889.16</v>
      </c>
      <c r="G30" s="28">
        <v>1.4200000000000001E-2</v>
      </c>
      <c r="H30" s="29"/>
    </row>
    <row r="31" spans="2:8" ht="15.75" customHeight="1" x14ac:dyDescent="0.25">
      <c r="B31" s="25" t="s">
        <v>547</v>
      </c>
      <c r="C31" s="25" t="s">
        <v>548</v>
      </c>
      <c r="D31" s="25" t="s">
        <v>296</v>
      </c>
      <c r="E31" s="26">
        <v>5447802</v>
      </c>
      <c r="F31" s="27">
        <v>3761.71</v>
      </c>
      <c r="G31" s="28">
        <v>1.37E-2</v>
      </c>
      <c r="H31" s="29"/>
    </row>
    <row r="32" spans="2:8" ht="15.75" customHeight="1" x14ac:dyDescent="0.25">
      <c r="B32" s="25" t="s">
        <v>320</v>
      </c>
      <c r="C32" s="25" t="s">
        <v>321</v>
      </c>
      <c r="D32" s="25" t="s">
        <v>244</v>
      </c>
      <c r="E32" s="26">
        <v>152132</v>
      </c>
      <c r="F32" s="27">
        <v>3668.89</v>
      </c>
      <c r="G32" s="28">
        <v>1.34E-2</v>
      </c>
      <c r="H32" s="29"/>
    </row>
    <row r="33" spans="2:8" ht="15.75" customHeight="1" x14ac:dyDescent="0.25">
      <c r="B33" s="25" t="s">
        <v>623</v>
      </c>
      <c r="C33" s="25" t="s">
        <v>624</v>
      </c>
      <c r="D33" s="25" t="s">
        <v>442</v>
      </c>
      <c r="E33" s="26">
        <v>244582</v>
      </c>
      <c r="F33" s="27">
        <v>3606.97</v>
      </c>
      <c r="G33" s="28">
        <v>1.32E-2</v>
      </c>
      <c r="H33" s="29"/>
    </row>
    <row r="34" spans="2:8" ht="15.75" customHeight="1" x14ac:dyDescent="0.25">
      <c r="B34" s="25" t="s">
        <v>654</v>
      </c>
      <c r="C34" s="25" t="s">
        <v>655</v>
      </c>
      <c r="D34" s="25" t="s">
        <v>296</v>
      </c>
      <c r="E34" s="26">
        <v>26223</v>
      </c>
      <c r="F34" s="27">
        <v>3589.33</v>
      </c>
      <c r="G34" s="28">
        <v>1.3100000000000001E-2</v>
      </c>
      <c r="H34" s="29"/>
    </row>
    <row r="35" spans="2:8" ht="15.75" customHeight="1" x14ac:dyDescent="0.25">
      <c r="B35" s="25" t="s">
        <v>292</v>
      </c>
      <c r="C35" s="25" t="s">
        <v>293</v>
      </c>
      <c r="D35" s="25" t="s">
        <v>173</v>
      </c>
      <c r="E35" s="26">
        <v>803018</v>
      </c>
      <c r="F35" s="27">
        <v>3498.35</v>
      </c>
      <c r="G35" s="28">
        <v>1.2800000000000001E-2</v>
      </c>
      <c r="H35" s="29"/>
    </row>
    <row r="36" spans="2:8" ht="15.75" customHeight="1" x14ac:dyDescent="0.25">
      <c r="B36" s="25" t="s">
        <v>348</v>
      </c>
      <c r="C36" s="25" t="s">
        <v>349</v>
      </c>
      <c r="D36" s="25" t="s">
        <v>350</v>
      </c>
      <c r="E36" s="26">
        <v>1907312</v>
      </c>
      <c r="F36" s="27">
        <v>3476.08</v>
      </c>
      <c r="G36" s="28">
        <v>1.2699999999999999E-2</v>
      </c>
      <c r="H36" s="29"/>
    </row>
    <row r="37" spans="2:8" ht="15.75" customHeight="1" x14ac:dyDescent="0.25">
      <c r="B37" s="25" t="s">
        <v>440</v>
      </c>
      <c r="C37" s="25" t="s">
        <v>441</v>
      </c>
      <c r="D37" s="25" t="s">
        <v>442</v>
      </c>
      <c r="E37" s="26">
        <v>96571</v>
      </c>
      <c r="F37" s="27">
        <v>3466.17</v>
      </c>
      <c r="G37" s="28">
        <v>1.2699999999999999E-2</v>
      </c>
      <c r="H37" s="29"/>
    </row>
    <row r="38" spans="2:8" ht="15.75" customHeight="1" x14ac:dyDescent="0.25">
      <c r="B38" s="25" t="s">
        <v>346</v>
      </c>
      <c r="C38" s="25" t="s">
        <v>347</v>
      </c>
      <c r="D38" s="25" t="s">
        <v>167</v>
      </c>
      <c r="E38" s="26">
        <v>74229</v>
      </c>
      <c r="F38" s="27">
        <v>3372.26</v>
      </c>
      <c r="G38" s="28">
        <v>1.23E-2</v>
      </c>
      <c r="H38" s="29"/>
    </row>
    <row r="39" spans="2:8" ht="15.75" customHeight="1" x14ac:dyDescent="0.25">
      <c r="B39" s="25" t="s">
        <v>368</v>
      </c>
      <c r="C39" s="25" t="s">
        <v>369</v>
      </c>
      <c r="D39" s="25" t="s">
        <v>343</v>
      </c>
      <c r="E39" s="26">
        <v>215275</v>
      </c>
      <c r="F39" s="27">
        <v>3352.37</v>
      </c>
      <c r="G39" s="28">
        <v>1.2200000000000001E-2</v>
      </c>
      <c r="H39" s="29"/>
    </row>
    <row r="40" spans="2:8" ht="15.75" customHeight="1" x14ac:dyDescent="0.25">
      <c r="B40" s="25" t="s">
        <v>554</v>
      </c>
      <c r="C40" s="25" t="s">
        <v>555</v>
      </c>
      <c r="D40" s="25" t="s">
        <v>350</v>
      </c>
      <c r="E40" s="26">
        <v>131626</v>
      </c>
      <c r="F40" s="27">
        <v>3304.93</v>
      </c>
      <c r="G40" s="28">
        <v>1.21E-2</v>
      </c>
      <c r="H40" s="29"/>
    </row>
    <row r="41" spans="2:8" ht="15.75" customHeight="1" x14ac:dyDescent="0.25">
      <c r="B41" s="25" t="s">
        <v>652</v>
      </c>
      <c r="C41" s="25" t="s">
        <v>653</v>
      </c>
      <c r="D41" s="25" t="s">
        <v>315</v>
      </c>
      <c r="E41" s="26">
        <v>711028</v>
      </c>
      <c r="F41" s="27">
        <v>3293.48</v>
      </c>
      <c r="G41" s="28">
        <v>1.2E-2</v>
      </c>
      <c r="H41" s="29"/>
    </row>
    <row r="42" spans="2:8" ht="15.75" customHeight="1" x14ac:dyDescent="0.25">
      <c r="B42" s="25" t="s">
        <v>493</v>
      </c>
      <c r="C42" s="25" t="s">
        <v>494</v>
      </c>
      <c r="D42" s="25" t="s">
        <v>156</v>
      </c>
      <c r="E42" s="26">
        <v>2012342</v>
      </c>
      <c r="F42" s="27">
        <v>3272.07</v>
      </c>
      <c r="G42" s="28">
        <v>1.1900000000000001E-2</v>
      </c>
      <c r="H42" s="29"/>
    </row>
    <row r="43" spans="2:8" ht="15.75" customHeight="1" x14ac:dyDescent="0.25">
      <c r="B43" s="25" t="s">
        <v>427</v>
      </c>
      <c r="C43" s="25" t="s">
        <v>428</v>
      </c>
      <c r="D43" s="25" t="s">
        <v>426</v>
      </c>
      <c r="E43" s="26">
        <v>1679696</v>
      </c>
      <c r="F43" s="27">
        <v>3244.33</v>
      </c>
      <c r="G43" s="28">
        <v>1.18E-2</v>
      </c>
      <c r="H43" s="29"/>
    </row>
    <row r="44" spans="2:8" ht="15.75" customHeight="1" x14ac:dyDescent="0.25">
      <c r="B44" s="25" t="s">
        <v>436</v>
      </c>
      <c r="C44" s="25" t="s">
        <v>437</v>
      </c>
      <c r="D44" s="25" t="s">
        <v>315</v>
      </c>
      <c r="E44" s="26">
        <v>310766</v>
      </c>
      <c r="F44" s="27">
        <v>3228.08</v>
      </c>
      <c r="G44" s="28">
        <v>1.18E-2</v>
      </c>
      <c r="H44" s="29"/>
    </row>
    <row r="45" spans="2:8" ht="15.75" customHeight="1" x14ac:dyDescent="0.25">
      <c r="B45" s="25" t="s">
        <v>304</v>
      </c>
      <c r="C45" s="25" t="s">
        <v>305</v>
      </c>
      <c r="D45" s="25" t="s">
        <v>296</v>
      </c>
      <c r="E45" s="26">
        <v>2416456</v>
      </c>
      <c r="F45" s="27">
        <v>3170.39</v>
      </c>
      <c r="G45" s="28">
        <v>1.1599999999999999E-2</v>
      </c>
      <c r="H45" s="29"/>
    </row>
    <row r="46" spans="2:8" ht="15.75" customHeight="1" x14ac:dyDescent="0.25">
      <c r="B46" s="25" t="s">
        <v>247</v>
      </c>
      <c r="C46" s="25" t="s">
        <v>248</v>
      </c>
      <c r="D46" s="25" t="s">
        <v>156</v>
      </c>
      <c r="E46" s="26">
        <v>267145</v>
      </c>
      <c r="F46" s="27">
        <v>3114.64</v>
      </c>
      <c r="G46" s="28">
        <v>1.14E-2</v>
      </c>
      <c r="H46" s="29"/>
    </row>
    <row r="47" spans="2:8" ht="15.75" customHeight="1" x14ac:dyDescent="0.25">
      <c r="B47" s="25" t="s">
        <v>787</v>
      </c>
      <c r="C47" s="25" t="s">
        <v>788</v>
      </c>
      <c r="D47" s="25" t="s">
        <v>431</v>
      </c>
      <c r="E47" s="26">
        <v>380163</v>
      </c>
      <c r="F47" s="27">
        <v>3069.44</v>
      </c>
      <c r="G47" s="28">
        <v>1.12E-2</v>
      </c>
      <c r="H47" s="29"/>
    </row>
    <row r="48" spans="2:8" ht="15.75" customHeight="1" x14ac:dyDescent="0.25">
      <c r="B48" s="25" t="s">
        <v>905</v>
      </c>
      <c r="C48" s="25" t="s">
        <v>906</v>
      </c>
      <c r="D48" s="25" t="s">
        <v>442</v>
      </c>
      <c r="E48" s="26">
        <v>1090949</v>
      </c>
      <c r="F48" s="27">
        <v>3051.93</v>
      </c>
      <c r="G48" s="28">
        <v>1.11E-2</v>
      </c>
      <c r="H48" s="29"/>
    </row>
    <row r="49" spans="2:8" ht="15.75" customHeight="1" x14ac:dyDescent="0.25">
      <c r="B49" s="25" t="s">
        <v>907</v>
      </c>
      <c r="C49" s="25" t="s">
        <v>908</v>
      </c>
      <c r="D49" s="25" t="s">
        <v>296</v>
      </c>
      <c r="E49" s="26">
        <v>264288</v>
      </c>
      <c r="F49" s="27">
        <v>2951.96</v>
      </c>
      <c r="G49" s="28">
        <v>1.0800000000000001E-2</v>
      </c>
      <c r="H49" s="29"/>
    </row>
    <row r="50" spans="2:8" ht="15.75" customHeight="1" x14ac:dyDescent="0.25">
      <c r="B50" s="25" t="s">
        <v>374</v>
      </c>
      <c r="C50" s="25" t="s">
        <v>375</v>
      </c>
      <c r="D50" s="25" t="s">
        <v>156</v>
      </c>
      <c r="E50" s="26">
        <v>1861334</v>
      </c>
      <c r="F50" s="27">
        <v>2886.93</v>
      </c>
      <c r="G50" s="28">
        <v>1.0500000000000001E-2</v>
      </c>
      <c r="H50" s="29"/>
    </row>
    <row r="51" spans="2:8" ht="15.75" customHeight="1" x14ac:dyDescent="0.25">
      <c r="B51" s="25" t="s">
        <v>468</v>
      </c>
      <c r="C51" s="25" t="s">
        <v>469</v>
      </c>
      <c r="D51" s="25" t="s">
        <v>217</v>
      </c>
      <c r="E51" s="26">
        <v>326619</v>
      </c>
      <c r="F51" s="27">
        <v>2865.43</v>
      </c>
      <c r="G51" s="28">
        <v>1.0500000000000001E-2</v>
      </c>
      <c r="H51" s="29"/>
    </row>
    <row r="52" spans="2:8" ht="15.75" customHeight="1" x14ac:dyDescent="0.25">
      <c r="B52" s="25" t="s">
        <v>656</v>
      </c>
      <c r="C52" s="25" t="s">
        <v>657</v>
      </c>
      <c r="D52" s="25" t="s">
        <v>260</v>
      </c>
      <c r="E52" s="26">
        <v>116323</v>
      </c>
      <c r="F52" s="27">
        <v>2827.29</v>
      </c>
      <c r="G52" s="28">
        <v>1.03E-2</v>
      </c>
      <c r="H52" s="29"/>
    </row>
    <row r="53" spans="2:8" ht="15.75" customHeight="1" x14ac:dyDescent="0.25">
      <c r="B53" s="25" t="s">
        <v>393</v>
      </c>
      <c r="C53" s="25" t="s">
        <v>394</v>
      </c>
      <c r="D53" s="25" t="s">
        <v>343</v>
      </c>
      <c r="E53" s="26">
        <v>153435</v>
      </c>
      <c r="F53" s="27">
        <v>2743.95</v>
      </c>
      <c r="G53" s="28">
        <v>0.01</v>
      </c>
      <c r="H53" s="29"/>
    </row>
    <row r="54" spans="2:8" ht="15.75" customHeight="1" x14ac:dyDescent="0.25">
      <c r="B54" s="25" t="s">
        <v>387</v>
      </c>
      <c r="C54" s="25" t="s">
        <v>388</v>
      </c>
      <c r="D54" s="25" t="s">
        <v>209</v>
      </c>
      <c r="E54" s="26">
        <v>181408</v>
      </c>
      <c r="F54" s="27">
        <v>2736.45</v>
      </c>
      <c r="G54" s="28">
        <v>0.01</v>
      </c>
      <c r="H54" s="29"/>
    </row>
    <row r="55" spans="2:8" ht="15.75" customHeight="1" x14ac:dyDescent="0.25">
      <c r="B55" s="25" t="s">
        <v>378</v>
      </c>
      <c r="C55" s="25" t="s">
        <v>379</v>
      </c>
      <c r="D55" s="25" t="s">
        <v>380</v>
      </c>
      <c r="E55" s="26">
        <v>183830</v>
      </c>
      <c r="F55" s="27">
        <v>2719.67</v>
      </c>
      <c r="G55" s="28">
        <v>9.9000000000000008E-3</v>
      </c>
      <c r="H55" s="29"/>
    </row>
    <row r="56" spans="2:8" ht="15.75" customHeight="1" x14ac:dyDescent="0.25">
      <c r="B56" s="25" t="s">
        <v>909</v>
      </c>
      <c r="C56" s="25" t="s">
        <v>910</v>
      </c>
      <c r="D56" s="25" t="s">
        <v>286</v>
      </c>
      <c r="E56" s="26">
        <v>474909</v>
      </c>
      <c r="F56" s="27">
        <v>2714.58</v>
      </c>
      <c r="G56" s="28">
        <v>9.9000000000000008E-3</v>
      </c>
      <c r="H56" s="29"/>
    </row>
    <row r="57" spans="2:8" ht="15.75" customHeight="1" x14ac:dyDescent="0.25">
      <c r="B57" s="25" t="s">
        <v>752</v>
      </c>
      <c r="C57" s="25" t="s">
        <v>753</v>
      </c>
      <c r="D57" s="25" t="s">
        <v>260</v>
      </c>
      <c r="E57" s="26">
        <v>78865</v>
      </c>
      <c r="F57" s="27">
        <v>2696.59</v>
      </c>
      <c r="G57" s="28">
        <v>9.7999999999999997E-3</v>
      </c>
      <c r="H57" s="29"/>
    </row>
    <row r="58" spans="2:8" ht="15.75" customHeight="1" x14ac:dyDescent="0.25">
      <c r="B58" s="25" t="s">
        <v>344</v>
      </c>
      <c r="C58" s="25" t="s">
        <v>345</v>
      </c>
      <c r="D58" s="25" t="s">
        <v>167</v>
      </c>
      <c r="E58" s="26">
        <v>20902</v>
      </c>
      <c r="F58" s="27">
        <v>2679.11</v>
      </c>
      <c r="G58" s="28">
        <v>9.7999999999999997E-3</v>
      </c>
      <c r="H58" s="29"/>
    </row>
    <row r="59" spans="2:8" ht="15.75" customHeight="1" x14ac:dyDescent="0.25">
      <c r="B59" s="25" t="s">
        <v>174</v>
      </c>
      <c r="C59" s="25" t="s">
        <v>175</v>
      </c>
      <c r="D59" s="25" t="s">
        <v>159</v>
      </c>
      <c r="E59" s="26">
        <v>56178</v>
      </c>
      <c r="F59" s="27">
        <v>2643.96</v>
      </c>
      <c r="G59" s="28">
        <v>9.7000000000000003E-3</v>
      </c>
      <c r="H59" s="29"/>
    </row>
    <row r="60" spans="2:8" ht="15.75" customHeight="1" x14ac:dyDescent="0.25">
      <c r="B60" s="25" t="s">
        <v>359</v>
      </c>
      <c r="C60" s="25" t="s">
        <v>360</v>
      </c>
      <c r="D60" s="25" t="s">
        <v>361</v>
      </c>
      <c r="E60" s="26">
        <v>346709</v>
      </c>
      <c r="F60" s="27">
        <v>2389.35</v>
      </c>
      <c r="G60" s="28">
        <v>8.6999999999999994E-3</v>
      </c>
      <c r="H60" s="29"/>
    </row>
    <row r="61" spans="2:8" ht="15.75" customHeight="1" x14ac:dyDescent="0.25">
      <c r="B61" s="25" t="s">
        <v>640</v>
      </c>
      <c r="C61" s="25" t="s">
        <v>641</v>
      </c>
      <c r="D61" s="25" t="s">
        <v>639</v>
      </c>
      <c r="E61" s="26">
        <v>379215</v>
      </c>
      <c r="F61" s="27">
        <v>2352.65</v>
      </c>
      <c r="G61" s="28">
        <v>8.6E-3</v>
      </c>
      <c r="H61" s="29"/>
    </row>
    <row r="62" spans="2:8" ht="15.75" customHeight="1" x14ac:dyDescent="0.25">
      <c r="B62" s="25" t="s">
        <v>537</v>
      </c>
      <c r="C62" s="25" t="s">
        <v>538</v>
      </c>
      <c r="D62" s="25" t="s">
        <v>426</v>
      </c>
      <c r="E62" s="26">
        <v>482998</v>
      </c>
      <c r="F62" s="27">
        <v>2318.39</v>
      </c>
      <c r="G62" s="28">
        <v>8.5000000000000006E-3</v>
      </c>
      <c r="H62" s="29"/>
    </row>
    <row r="63" spans="2:8" ht="15.75" customHeight="1" x14ac:dyDescent="0.25">
      <c r="B63" s="25" t="s">
        <v>734</v>
      </c>
      <c r="C63" s="25" t="s">
        <v>735</v>
      </c>
      <c r="D63" s="25" t="s">
        <v>551</v>
      </c>
      <c r="E63" s="26">
        <v>355804</v>
      </c>
      <c r="F63" s="27">
        <v>2200.65</v>
      </c>
      <c r="G63" s="28">
        <v>8.0000000000000002E-3</v>
      </c>
      <c r="H63" s="29"/>
    </row>
    <row r="64" spans="2:8" ht="15.75" customHeight="1" x14ac:dyDescent="0.25">
      <c r="B64" s="25" t="s">
        <v>171</v>
      </c>
      <c r="C64" s="25" t="s">
        <v>172</v>
      </c>
      <c r="D64" s="25" t="s">
        <v>173</v>
      </c>
      <c r="E64" s="26">
        <v>98602</v>
      </c>
      <c r="F64" s="27">
        <v>2199.27</v>
      </c>
      <c r="G64" s="28">
        <v>8.0000000000000002E-3</v>
      </c>
      <c r="H64" s="29"/>
    </row>
    <row r="65" spans="2:16" ht="15.75" customHeight="1" x14ac:dyDescent="0.25">
      <c r="B65" s="25" t="s">
        <v>637</v>
      </c>
      <c r="C65" s="25" t="s">
        <v>638</v>
      </c>
      <c r="D65" s="25" t="s">
        <v>639</v>
      </c>
      <c r="E65" s="26">
        <v>7114</v>
      </c>
      <c r="F65" s="27">
        <v>2167.5</v>
      </c>
      <c r="G65" s="28">
        <v>7.9000000000000008E-3</v>
      </c>
      <c r="H65" s="29"/>
    </row>
    <row r="66" spans="2:16" ht="15.75" customHeight="1" x14ac:dyDescent="0.25">
      <c r="B66" s="25" t="s">
        <v>911</v>
      </c>
      <c r="C66" s="25" t="s">
        <v>912</v>
      </c>
      <c r="D66" s="25" t="s">
        <v>268</v>
      </c>
      <c r="E66" s="26">
        <v>242501</v>
      </c>
      <c r="F66" s="27">
        <v>2101.27</v>
      </c>
      <c r="G66" s="28">
        <v>7.7000000000000002E-3</v>
      </c>
      <c r="H66" s="29"/>
    </row>
    <row r="67" spans="2:16" ht="15.75" customHeight="1" x14ac:dyDescent="0.25">
      <c r="B67" s="25" t="s">
        <v>617</v>
      </c>
      <c r="C67" s="25" t="s">
        <v>618</v>
      </c>
      <c r="D67" s="25" t="s">
        <v>296</v>
      </c>
      <c r="E67" s="26">
        <v>283871</v>
      </c>
      <c r="F67" s="27">
        <v>2094.9699999999998</v>
      </c>
      <c r="G67" s="28">
        <v>7.6E-3</v>
      </c>
      <c r="H67" s="29"/>
    </row>
    <row r="68" spans="2:16" ht="15.75" customHeight="1" x14ac:dyDescent="0.25">
      <c r="B68" s="25" t="s">
        <v>256</v>
      </c>
      <c r="C68" s="25" t="s">
        <v>257</v>
      </c>
      <c r="D68" s="25" t="s">
        <v>214</v>
      </c>
      <c r="E68" s="26">
        <v>205873</v>
      </c>
      <c r="F68" s="27">
        <v>1963.1</v>
      </c>
      <c r="G68" s="28">
        <v>7.1999999999999998E-3</v>
      </c>
      <c r="H68" s="29"/>
      <c r="L68" s="3"/>
    </row>
    <row r="69" spans="2:16" ht="15.75" customHeight="1" x14ac:dyDescent="0.25">
      <c r="B69" s="25" t="s">
        <v>210</v>
      </c>
      <c r="C69" s="25" t="s">
        <v>211</v>
      </c>
      <c r="D69" s="25" t="s">
        <v>209</v>
      </c>
      <c r="E69" s="26">
        <v>28024</v>
      </c>
      <c r="F69" s="27">
        <v>1940.26</v>
      </c>
      <c r="G69" s="28">
        <v>7.1000000000000004E-3</v>
      </c>
      <c r="H69" s="29"/>
    </row>
    <row r="70" spans="2:16" ht="15.75" customHeight="1" x14ac:dyDescent="0.25">
      <c r="B70" s="25" t="s">
        <v>795</v>
      </c>
      <c r="C70" s="25" t="s">
        <v>796</v>
      </c>
      <c r="D70" s="25" t="s">
        <v>289</v>
      </c>
      <c r="E70" s="26">
        <v>744358</v>
      </c>
      <c r="F70" s="27">
        <v>1860.9</v>
      </c>
      <c r="G70" s="28">
        <v>6.7999999999999996E-3</v>
      </c>
      <c r="H70" s="29"/>
      <c r="L70" s="3"/>
    </row>
    <row r="71" spans="2:16" ht="15.75" customHeight="1" x14ac:dyDescent="0.25">
      <c r="B71" s="25" t="s">
        <v>409</v>
      </c>
      <c r="C71" s="25" t="s">
        <v>410</v>
      </c>
      <c r="D71" s="25" t="s">
        <v>350</v>
      </c>
      <c r="E71" s="26">
        <v>257553</v>
      </c>
      <c r="F71" s="27">
        <v>1788.83</v>
      </c>
      <c r="G71" s="28">
        <v>6.4999999999999997E-3</v>
      </c>
      <c r="H71" s="29"/>
      <c r="L71" s="3"/>
    </row>
    <row r="72" spans="2:16" ht="15.75" customHeight="1" x14ac:dyDescent="0.25">
      <c r="B72" s="25" t="s">
        <v>740</v>
      </c>
      <c r="C72" s="25" t="s">
        <v>741</v>
      </c>
      <c r="D72" s="25" t="s">
        <v>343</v>
      </c>
      <c r="E72" s="26">
        <v>77920</v>
      </c>
      <c r="F72" s="27">
        <v>1657.09</v>
      </c>
      <c r="G72" s="28">
        <v>6.1000000000000004E-3</v>
      </c>
      <c r="H72" s="29"/>
      <c r="L72" s="3"/>
    </row>
    <row r="73" spans="2:16" ht="15.75" customHeight="1" x14ac:dyDescent="0.25">
      <c r="B73" s="25" t="s">
        <v>443</v>
      </c>
      <c r="C73" s="25" t="s">
        <v>444</v>
      </c>
      <c r="D73" s="25" t="s">
        <v>343</v>
      </c>
      <c r="E73" s="26">
        <v>40057</v>
      </c>
      <c r="F73" s="27">
        <v>1600.52</v>
      </c>
      <c r="G73" s="28">
        <v>5.7999999999999996E-3</v>
      </c>
      <c r="H73" s="29"/>
      <c r="L73" s="3"/>
    </row>
    <row r="74" spans="2:16" ht="15.75" customHeight="1" x14ac:dyDescent="0.25">
      <c r="B74" s="25" t="s">
        <v>495</v>
      </c>
      <c r="C74" s="25" t="s">
        <v>496</v>
      </c>
      <c r="D74" s="25" t="s">
        <v>156</v>
      </c>
      <c r="E74" s="26">
        <v>1126574</v>
      </c>
      <c r="F74" s="27">
        <v>1573.82</v>
      </c>
      <c r="G74" s="28">
        <v>5.7000000000000002E-3</v>
      </c>
      <c r="H74" s="29"/>
      <c r="L74" s="3"/>
    </row>
    <row r="75" spans="2:16" ht="15.75" customHeight="1" x14ac:dyDescent="0.25">
      <c r="B75" s="25" t="s">
        <v>357</v>
      </c>
      <c r="C75" s="25" t="s">
        <v>358</v>
      </c>
      <c r="D75" s="25" t="s">
        <v>260</v>
      </c>
      <c r="E75" s="26">
        <v>59401</v>
      </c>
      <c r="F75" s="27">
        <v>1556.93</v>
      </c>
      <c r="G75" s="28">
        <v>5.7000000000000002E-3</v>
      </c>
      <c r="H75" s="29"/>
      <c r="L75" s="5"/>
      <c r="M75" s="5"/>
      <c r="N75" s="6"/>
      <c r="O75" s="6"/>
      <c r="P75" s="5"/>
    </row>
    <row r="76" spans="2:16" ht="15.75" customHeight="1" x14ac:dyDescent="0.25">
      <c r="B76" s="25" t="s">
        <v>449</v>
      </c>
      <c r="C76" s="25" t="s">
        <v>450</v>
      </c>
      <c r="D76" s="25" t="s">
        <v>442</v>
      </c>
      <c r="E76" s="26">
        <v>83678</v>
      </c>
      <c r="F76" s="27">
        <v>1392.4</v>
      </c>
      <c r="G76" s="28">
        <v>5.1000000000000004E-3</v>
      </c>
      <c r="H76" s="29"/>
    </row>
    <row r="77" spans="2:16" ht="15.75" customHeight="1" x14ac:dyDescent="0.25">
      <c r="B77" s="25" t="s">
        <v>812</v>
      </c>
      <c r="C77" s="25" t="s">
        <v>813</v>
      </c>
      <c r="D77" s="25" t="s">
        <v>401</v>
      </c>
      <c r="E77" s="26">
        <v>247216</v>
      </c>
      <c r="F77" s="27">
        <v>1351.28</v>
      </c>
      <c r="G77" s="28">
        <v>4.8999999999999998E-3</v>
      </c>
      <c r="H77" s="29"/>
    </row>
    <row r="78" spans="2:16" ht="15.75" customHeight="1" x14ac:dyDescent="0.25">
      <c r="B78" s="25" t="s">
        <v>718</v>
      </c>
      <c r="C78" s="25" t="s">
        <v>719</v>
      </c>
      <c r="D78" s="25" t="s">
        <v>515</v>
      </c>
      <c r="E78" s="26">
        <v>36687</v>
      </c>
      <c r="F78" s="27">
        <v>1023.62</v>
      </c>
      <c r="G78" s="28">
        <v>3.7000000000000002E-3</v>
      </c>
      <c r="H78" s="29"/>
      <c r="L78" s="7"/>
      <c r="M78" s="7"/>
      <c r="N78" s="7"/>
      <c r="O78" s="7"/>
      <c r="P78" s="7"/>
    </row>
    <row r="79" spans="2:16" ht="15.75" customHeight="1" x14ac:dyDescent="0.25">
      <c r="B79" s="25" t="s">
        <v>541</v>
      </c>
      <c r="C79" s="25" t="s">
        <v>542</v>
      </c>
      <c r="D79" s="25" t="s">
        <v>296</v>
      </c>
      <c r="E79" s="26">
        <v>122357</v>
      </c>
      <c r="F79" s="27">
        <v>1019.05</v>
      </c>
      <c r="G79" s="28">
        <v>3.7000000000000002E-3</v>
      </c>
      <c r="H79" s="29"/>
      <c r="L79" s="7"/>
      <c r="M79" s="7"/>
      <c r="N79" s="7"/>
      <c r="O79" s="7"/>
      <c r="P79" s="7"/>
    </row>
    <row r="80" spans="2:16" ht="15.75" customHeight="1" x14ac:dyDescent="0.25">
      <c r="B80" s="25" t="s">
        <v>245</v>
      </c>
      <c r="C80" s="25" t="s">
        <v>246</v>
      </c>
      <c r="D80" s="25" t="s">
        <v>156</v>
      </c>
      <c r="E80" s="26">
        <v>921914</v>
      </c>
      <c r="F80" s="27">
        <v>757.35</v>
      </c>
      <c r="G80" s="28">
        <v>2.8E-3</v>
      </c>
      <c r="H80" s="29"/>
      <c r="L80" s="7"/>
      <c r="M80" s="7"/>
      <c r="N80" s="7"/>
      <c r="O80" s="7"/>
      <c r="P80" s="7"/>
    </row>
    <row r="81" spans="2:16" ht="15.75" customHeight="1" x14ac:dyDescent="0.25">
      <c r="B81" s="24" t="s">
        <v>128</v>
      </c>
      <c r="C81" s="24"/>
      <c r="D81" s="24"/>
      <c r="E81" s="30"/>
      <c r="F81" s="31">
        <v>266757.48</v>
      </c>
      <c r="G81" s="32">
        <v>0.97399999999999998</v>
      </c>
      <c r="H81" s="33"/>
      <c r="L81" s="7"/>
      <c r="M81" s="7"/>
      <c r="N81" s="7"/>
      <c r="O81" s="7"/>
      <c r="P81" s="7"/>
    </row>
    <row r="82" spans="2:16" ht="15.75" customHeight="1" x14ac:dyDescent="0.25">
      <c r="B82" s="24" t="s">
        <v>176</v>
      </c>
      <c r="C82" s="25"/>
      <c r="D82" s="25"/>
      <c r="E82" s="26"/>
      <c r="F82" s="27"/>
      <c r="G82" s="28"/>
      <c r="H82" s="29"/>
      <c r="L82" s="7"/>
      <c r="M82" s="7"/>
      <c r="N82" s="7"/>
      <c r="O82" s="7"/>
      <c r="P82" s="7"/>
    </row>
    <row r="83" spans="2:16" ht="15.75" customHeight="1" x14ac:dyDescent="0.25">
      <c r="B83" s="24" t="s">
        <v>128</v>
      </c>
      <c r="C83" s="25"/>
      <c r="D83" s="25"/>
      <c r="E83" s="26"/>
      <c r="F83" s="34" t="s">
        <v>130</v>
      </c>
      <c r="G83" s="35" t="s">
        <v>130</v>
      </c>
      <c r="H83" s="29"/>
      <c r="L83" s="7"/>
      <c r="M83" s="7"/>
      <c r="N83" s="7"/>
      <c r="O83" s="7"/>
      <c r="P83" s="7"/>
    </row>
    <row r="84" spans="2:16" ht="15.75" customHeight="1" x14ac:dyDescent="0.25">
      <c r="B84" s="25"/>
      <c r="C84" s="25"/>
      <c r="D84" s="25"/>
      <c r="E84" s="26"/>
      <c r="F84" s="27"/>
      <c r="G84" s="28"/>
      <c r="H84" s="29"/>
      <c r="L84" s="7"/>
      <c r="M84" s="7"/>
      <c r="N84" s="7"/>
      <c r="O84" s="7"/>
      <c r="P84" s="7"/>
    </row>
    <row r="85" spans="2:16" ht="15.75" customHeight="1" x14ac:dyDescent="0.25">
      <c r="B85" s="36" t="s">
        <v>132</v>
      </c>
      <c r="C85" s="36"/>
      <c r="D85" s="36"/>
      <c r="E85" s="37"/>
      <c r="F85" s="31">
        <v>266757.48</v>
      </c>
      <c r="G85" s="32">
        <v>0.97399999999999998</v>
      </c>
      <c r="H85" s="33"/>
    </row>
    <row r="86" spans="2:16" ht="15.75" customHeight="1" x14ac:dyDescent="0.25">
      <c r="B86" s="25"/>
      <c r="C86" s="25"/>
      <c r="D86" s="25"/>
      <c r="E86" s="26"/>
      <c r="F86" s="27"/>
      <c r="G86" s="28"/>
      <c r="H86" s="29"/>
      <c r="L86" s="3"/>
    </row>
    <row r="87" spans="2:16" ht="15.75" customHeight="1" x14ac:dyDescent="0.25">
      <c r="B87" s="25"/>
      <c r="C87" s="25"/>
      <c r="D87" s="25"/>
      <c r="E87" s="26"/>
      <c r="F87" s="27"/>
      <c r="G87" s="28"/>
      <c r="H87" s="29"/>
    </row>
    <row r="88" spans="2:16" ht="15.75" customHeight="1" x14ac:dyDescent="0.25">
      <c r="B88" s="24" t="s">
        <v>135</v>
      </c>
      <c r="C88" s="25"/>
      <c r="D88" s="25"/>
      <c r="E88" s="26"/>
      <c r="F88" s="27"/>
      <c r="G88" s="28"/>
      <c r="H88" s="29"/>
    </row>
    <row r="89" spans="2:16" ht="15.75" customHeight="1" x14ac:dyDescent="0.25">
      <c r="B89" s="25" t="s">
        <v>136</v>
      </c>
      <c r="C89" s="25"/>
      <c r="D89" s="25"/>
      <c r="E89" s="26"/>
      <c r="F89" s="27">
        <v>8057.44</v>
      </c>
      <c r="G89" s="28">
        <v>2.9399999999999999E-2</v>
      </c>
      <c r="H89" s="29"/>
    </row>
    <row r="90" spans="2:16" ht="15.75" customHeight="1" x14ac:dyDescent="0.25">
      <c r="B90" s="24" t="s">
        <v>128</v>
      </c>
      <c r="C90" s="24"/>
      <c r="D90" s="24"/>
      <c r="E90" s="30"/>
      <c r="F90" s="31">
        <v>8057.44</v>
      </c>
      <c r="G90" s="32">
        <v>2.9399999999999999E-2</v>
      </c>
      <c r="H90" s="33"/>
    </row>
    <row r="91" spans="2:16" ht="15.75" customHeight="1" x14ac:dyDescent="0.25">
      <c r="B91" s="25"/>
      <c r="C91" s="25"/>
      <c r="D91" s="25"/>
      <c r="E91" s="26"/>
      <c r="F91" s="27"/>
      <c r="G91" s="28"/>
      <c r="H91" s="29"/>
    </row>
    <row r="92" spans="2:16" ht="15.75" customHeight="1" x14ac:dyDescent="0.25">
      <c r="B92" s="36" t="s">
        <v>132</v>
      </c>
      <c r="C92" s="36"/>
      <c r="D92" s="36"/>
      <c r="E92" s="37"/>
      <c r="F92" s="31">
        <v>8057.44</v>
      </c>
      <c r="G92" s="32">
        <v>2.9399999999999999E-2</v>
      </c>
      <c r="H92" s="33"/>
    </row>
    <row r="93" spans="2:16" ht="15.75" customHeight="1" x14ac:dyDescent="0.25">
      <c r="B93" s="25" t="s">
        <v>137</v>
      </c>
      <c r="C93" s="25"/>
      <c r="D93" s="25"/>
      <c r="E93" s="26"/>
      <c r="F93" s="38">
        <v>-957.84</v>
      </c>
      <c r="G93" s="39">
        <v>-3.4000000000000696E-3</v>
      </c>
      <c r="H93" s="29"/>
    </row>
    <row r="94" spans="2:16" ht="15.75" customHeight="1" x14ac:dyDescent="0.25">
      <c r="B94" s="40" t="s">
        <v>138</v>
      </c>
      <c r="C94" s="40"/>
      <c r="D94" s="40"/>
      <c r="E94" s="41"/>
      <c r="F94" s="42">
        <v>273857.08</v>
      </c>
      <c r="G94" s="43">
        <v>1</v>
      </c>
      <c r="H94" s="44"/>
    </row>
    <row r="95" spans="2:16" ht="15.75" customHeight="1" thickBot="1" x14ac:dyDescent="0.3">
      <c r="B95" s="2"/>
    </row>
    <row r="96" spans="2:16" ht="27" customHeight="1" thickBot="1" x14ac:dyDescent="0.3">
      <c r="B96" s="57" t="s">
        <v>980</v>
      </c>
      <c r="C96" s="58" t="s">
        <v>981</v>
      </c>
      <c r="D96" s="58" t="s">
        <v>982</v>
      </c>
      <c r="E96" s="63" t="s">
        <v>983</v>
      </c>
      <c r="G96" s="2"/>
      <c r="H96" s="2"/>
    </row>
    <row r="97" spans="2:8" ht="27.75" customHeight="1" x14ac:dyDescent="0.25">
      <c r="B97" s="70" t="s">
        <v>95</v>
      </c>
      <c r="C97" s="82"/>
      <c r="D97" s="85" t="s">
        <v>1058</v>
      </c>
      <c r="E97" s="87"/>
      <c r="G97" s="2"/>
      <c r="H97" s="2"/>
    </row>
    <row r="98" spans="2:8" ht="31.5" customHeight="1" x14ac:dyDescent="0.25">
      <c r="B98" s="66" t="s">
        <v>1059</v>
      </c>
      <c r="C98" s="83"/>
      <c r="D98" s="86"/>
      <c r="E98" s="83"/>
      <c r="G98" s="2"/>
      <c r="H98" s="2"/>
    </row>
    <row r="99" spans="2:8" ht="40" customHeight="1" x14ac:dyDescent="0.25">
      <c r="B99" s="66" t="s">
        <v>1060</v>
      </c>
      <c r="C99" s="83"/>
      <c r="D99" s="86"/>
      <c r="E99" s="83"/>
      <c r="G99" s="2"/>
      <c r="H99" s="2"/>
    </row>
    <row r="100" spans="2:8" ht="21.75" customHeight="1" thickBot="1" x14ac:dyDescent="0.3">
      <c r="B100" s="68" t="s">
        <v>1015</v>
      </c>
      <c r="C100" s="84"/>
      <c r="D100" s="71" t="s">
        <v>1015</v>
      </c>
      <c r="E100" s="88"/>
      <c r="G100" s="2"/>
      <c r="H100" s="2"/>
    </row>
    <row r="101" spans="2:8" ht="25" customHeight="1" x14ac:dyDescent="0.25">
      <c r="B101" s="59" t="s">
        <v>985</v>
      </c>
      <c r="C101" s="60"/>
      <c r="D101" s="61"/>
      <c r="E101" s="62"/>
      <c r="G101" s="2"/>
      <c r="H101" s="2"/>
    </row>
    <row r="103" spans="2:8" ht="11.5" x14ac:dyDescent="0.25">
      <c r="B103" s="2" t="s">
        <v>986</v>
      </c>
      <c r="C103" s="2"/>
      <c r="D103" s="2"/>
      <c r="G103" s="2"/>
      <c r="H103" s="2"/>
    </row>
    <row r="104" spans="2:8" ht="11.5" x14ac:dyDescent="0.25">
      <c r="B104" s="3" t="s">
        <v>987</v>
      </c>
      <c r="C104" s="2"/>
      <c r="D104" s="2"/>
      <c r="G104" s="2"/>
      <c r="H104" s="2"/>
    </row>
  </sheetData>
  <mergeCells count="3">
    <mergeCell ref="C97:C100"/>
    <mergeCell ref="D97:D99"/>
    <mergeCell ref="E97:E100"/>
  </mergeCells>
  <hyperlinks>
    <hyperlink ref="I1" location="'Sheet1'!A1" display="Index" xr:uid="{80185309-733C-48E3-81E6-78FDA95EDAB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5AB9E-7030-4621-A1DB-9740195FD4FA}">
  <dimension ref="B1:P106"/>
  <sheetViews>
    <sheetView workbookViewId="0"/>
  </sheetViews>
  <sheetFormatPr defaultColWidth="9.1796875" defaultRowHeight="15.75" customHeight="1" x14ac:dyDescent="0.25"/>
  <cols>
    <col min="1" max="1" width="3.6328125" style="2" customWidth="1"/>
    <col min="2" max="2" width="50.453125" style="9" customWidth="1"/>
    <col min="3" max="3" width="25.453125" style="9" customWidth="1"/>
    <col min="4" max="4" width="26.6328125" style="9" customWidth="1"/>
    <col min="5" max="5" width="29.453125" style="2" customWidth="1"/>
    <col min="6" max="6" width="16.453125" style="2" customWidth="1"/>
    <col min="7" max="7" width="15.26953125" style="8" customWidth="1"/>
    <col min="8" max="8" width="4.906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29</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207</v>
      </c>
      <c r="C7" s="25" t="s">
        <v>208</v>
      </c>
      <c r="D7" s="25" t="s">
        <v>209</v>
      </c>
      <c r="E7" s="26">
        <v>826058</v>
      </c>
      <c r="F7" s="27">
        <v>3647.46</v>
      </c>
      <c r="G7" s="28">
        <v>3.6200000000000003E-2</v>
      </c>
      <c r="H7" s="29"/>
    </row>
    <row r="8" spans="2:9" ht="15.75" customHeight="1" x14ac:dyDescent="0.25">
      <c r="B8" s="25" t="s">
        <v>154</v>
      </c>
      <c r="C8" s="25" t="s">
        <v>155</v>
      </c>
      <c r="D8" s="25" t="s">
        <v>156</v>
      </c>
      <c r="E8" s="26">
        <v>305293</v>
      </c>
      <c r="F8" s="27">
        <v>3512.09</v>
      </c>
      <c r="G8" s="28">
        <v>3.49E-2</v>
      </c>
      <c r="H8" s="29"/>
    </row>
    <row r="9" spans="2:9" ht="15.75" customHeight="1" x14ac:dyDescent="0.25">
      <c r="B9" s="25" t="s">
        <v>160</v>
      </c>
      <c r="C9" s="25" t="s">
        <v>161</v>
      </c>
      <c r="D9" s="25" t="s">
        <v>156</v>
      </c>
      <c r="E9" s="26">
        <v>210896</v>
      </c>
      <c r="F9" s="27">
        <v>3205.83</v>
      </c>
      <c r="G9" s="28">
        <v>3.1800000000000002E-2</v>
      </c>
      <c r="H9" s="29"/>
    </row>
    <row r="10" spans="2:9" ht="15.75" customHeight="1" x14ac:dyDescent="0.25">
      <c r="B10" s="25" t="s">
        <v>341</v>
      </c>
      <c r="C10" s="25" t="s">
        <v>342</v>
      </c>
      <c r="D10" s="25" t="s">
        <v>343</v>
      </c>
      <c r="E10" s="26">
        <v>124121</v>
      </c>
      <c r="F10" s="27">
        <v>2459.27</v>
      </c>
      <c r="G10" s="28">
        <v>2.4400000000000002E-2</v>
      </c>
      <c r="H10" s="29"/>
    </row>
    <row r="11" spans="2:9" ht="15.75" customHeight="1" x14ac:dyDescent="0.25">
      <c r="B11" s="25" t="s">
        <v>330</v>
      </c>
      <c r="C11" s="25" t="s">
        <v>331</v>
      </c>
      <c r="D11" s="25" t="s">
        <v>156</v>
      </c>
      <c r="E11" s="26">
        <v>277477</v>
      </c>
      <c r="F11" s="27">
        <v>2292.65</v>
      </c>
      <c r="G11" s="28">
        <v>2.2800000000000001E-2</v>
      </c>
      <c r="H11" s="29"/>
    </row>
    <row r="12" spans="2:9" ht="15.75" customHeight="1" x14ac:dyDescent="0.25">
      <c r="B12" s="25" t="s">
        <v>381</v>
      </c>
      <c r="C12" s="25" t="s">
        <v>382</v>
      </c>
      <c r="D12" s="25" t="s">
        <v>315</v>
      </c>
      <c r="E12" s="26">
        <v>461524</v>
      </c>
      <c r="F12" s="27">
        <v>2207.6999999999998</v>
      </c>
      <c r="G12" s="28">
        <v>2.1899999999999999E-2</v>
      </c>
      <c r="H12" s="29"/>
    </row>
    <row r="13" spans="2:9" ht="15.75" customHeight="1" x14ac:dyDescent="0.25">
      <c r="B13" s="25" t="s">
        <v>320</v>
      </c>
      <c r="C13" s="25" t="s">
        <v>321</v>
      </c>
      <c r="D13" s="25" t="s">
        <v>244</v>
      </c>
      <c r="E13" s="26">
        <v>85585</v>
      </c>
      <c r="F13" s="27">
        <v>2064.0100000000002</v>
      </c>
      <c r="G13" s="28">
        <v>2.0500000000000001E-2</v>
      </c>
      <c r="H13" s="29"/>
    </row>
    <row r="14" spans="2:9" ht="15.75" customHeight="1" x14ac:dyDescent="0.25">
      <c r="B14" s="25" t="s">
        <v>162</v>
      </c>
      <c r="C14" s="25" t="s">
        <v>163</v>
      </c>
      <c r="D14" s="25" t="s">
        <v>164</v>
      </c>
      <c r="E14" s="26">
        <v>63641</v>
      </c>
      <c r="F14" s="27">
        <v>1867.23</v>
      </c>
      <c r="G14" s="28">
        <v>1.8599999999999998E-2</v>
      </c>
      <c r="H14" s="29"/>
    </row>
    <row r="15" spans="2:9" ht="15.75" customHeight="1" x14ac:dyDescent="0.25">
      <c r="B15" s="25" t="s">
        <v>393</v>
      </c>
      <c r="C15" s="25" t="s">
        <v>394</v>
      </c>
      <c r="D15" s="25" t="s">
        <v>343</v>
      </c>
      <c r="E15" s="26">
        <v>95332</v>
      </c>
      <c r="F15" s="27">
        <v>1704.87</v>
      </c>
      <c r="G15" s="28">
        <v>1.6899999999999998E-2</v>
      </c>
      <c r="H15" s="29"/>
    </row>
    <row r="16" spans="2:9" ht="15.75" customHeight="1" x14ac:dyDescent="0.25">
      <c r="B16" s="25" t="s">
        <v>348</v>
      </c>
      <c r="C16" s="25" t="s">
        <v>349</v>
      </c>
      <c r="D16" s="25" t="s">
        <v>350</v>
      </c>
      <c r="E16" s="26">
        <v>912802</v>
      </c>
      <c r="F16" s="27">
        <v>1663.58</v>
      </c>
      <c r="G16" s="28">
        <v>1.6500000000000001E-2</v>
      </c>
      <c r="H16" s="29"/>
    </row>
    <row r="17" spans="2:8" ht="15.75" customHeight="1" x14ac:dyDescent="0.25">
      <c r="B17" s="25" t="s">
        <v>447</v>
      </c>
      <c r="C17" s="25" t="s">
        <v>448</v>
      </c>
      <c r="D17" s="25" t="s">
        <v>431</v>
      </c>
      <c r="E17" s="26">
        <v>490121</v>
      </c>
      <c r="F17" s="27">
        <v>1644.11</v>
      </c>
      <c r="G17" s="28">
        <v>1.6299999999999999E-2</v>
      </c>
      <c r="H17" s="29"/>
    </row>
    <row r="18" spans="2:8" ht="15.75" customHeight="1" x14ac:dyDescent="0.25">
      <c r="B18" s="25" t="s">
        <v>429</v>
      </c>
      <c r="C18" s="25" t="s">
        <v>430</v>
      </c>
      <c r="D18" s="25" t="s">
        <v>431</v>
      </c>
      <c r="E18" s="26">
        <v>143555</v>
      </c>
      <c r="F18" s="27">
        <v>1641.12</v>
      </c>
      <c r="G18" s="28">
        <v>1.6299999999999999E-2</v>
      </c>
      <c r="H18" s="29"/>
    </row>
    <row r="19" spans="2:8" ht="15.75" customHeight="1" x14ac:dyDescent="0.25">
      <c r="B19" s="25" t="s">
        <v>165</v>
      </c>
      <c r="C19" s="25" t="s">
        <v>166</v>
      </c>
      <c r="D19" s="25" t="s">
        <v>167</v>
      </c>
      <c r="E19" s="26">
        <v>75530</v>
      </c>
      <c r="F19" s="27">
        <v>1628.69</v>
      </c>
      <c r="G19" s="28">
        <v>1.6199999999999999E-2</v>
      </c>
      <c r="H19" s="29"/>
    </row>
    <row r="20" spans="2:8" ht="15.75" customHeight="1" x14ac:dyDescent="0.25">
      <c r="B20" s="25" t="s">
        <v>570</v>
      </c>
      <c r="C20" s="25" t="s">
        <v>571</v>
      </c>
      <c r="D20" s="25" t="s">
        <v>263</v>
      </c>
      <c r="E20" s="26">
        <v>239069</v>
      </c>
      <c r="F20" s="27">
        <v>1613.95</v>
      </c>
      <c r="G20" s="28">
        <v>1.6E-2</v>
      </c>
      <c r="H20" s="29"/>
    </row>
    <row r="21" spans="2:8" ht="15.75" customHeight="1" x14ac:dyDescent="0.25">
      <c r="B21" s="25" t="s">
        <v>344</v>
      </c>
      <c r="C21" s="25" t="s">
        <v>345</v>
      </c>
      <c r="D21" s="25" t="s">
        <v>167</v>
      </c>
      <c r="E21" s="26">
        <v>12385</v>
      </c>
      <c r="F21" s="27">
        <v>1587.45</v>
      </c>
      <c r="G21" s="28">
        <v>1.5800000000000002E-2</v>
      </c>
      <c r="H21" s="29"/>
    </row>
    <row r="22" spans="2:8" ht="15.75" customHeight="1" x14ac:dyDescent="0.25">
      <c r="B22" s="25" t="s">
        <v>493</v>
      </c>
      <c r="C22" s="25" t="s">
        <v>494</v>
      </c>
      <c r="D22" s="25" t="s">
        <v>156</v>
      </c>
      <c r="E22" s="26">
        <v>962789</v>
      </c>
      <c r="F22" s="27">
        <v>1565.49</v>
      </c>
      <c r="G22" s="28">
        <v>1.5599999999999999E-2</v>
      </c>
      <c r="H22" s="29"/>
    </row>
    <row r="23" spans="2:8" ht="15.75" customHeight="1" x14ac:dyDescent="0.25">
      <c r="B23" s="25" t="s">
        <v>642</v>
      </c>
      <c r="C23" s="25" t="s">
        <v>643</v>
      </c>
      <c r="D23" s="25" t="s">
        <v>303</v>
      </c>
      <c r="E23" s="26">
        <v>103401</v>
      </c>
      <c r="F23" s="27">
        <v>1533.8</v>
      </c>
      <c r="G23" s="28">
        <v>1.52E-2</v>
      </c>
      <c r="H23" s="29"/>
    </row>
    <row r="24" spans="2:8" ht="15.75" customHeight="1" x14ac:dyDescent="0.25">
      <c r="B24" s="25" t="s">
        <v>625</v>
      </c>
      <c r="C24" s="25" t="s">
        <v>626</v>
      </c>
      <c r="D24" s="25" t="s">
        <v>536</v>
      </c>
      <c r="E24" s="26">
        <v>179760</v>
      </c>
      <c r="F24" s="27">
        <v>1522.3</v>
      </c>
      <c r="G24" s="28">
        <v>1.5100000000000001E-2</v>
      </c>
      <c r="H24" s="29"/>
    </row>
    <row r="25" spans="2:8" ht="15.75" customHeight="1" x14ac:dyDescent="0.25">
      <c r="B25" s="25" t="s">
        <v>304</v>
      </c>
      <c r="C25" s="25" t="s">
        <v>305</v>
      </c>
      <c r="D25" s="25" t="s">
        <v>296</v>
      </c>
      <c r="E25" s="26">
        <v>1150522</v>
      </c>
      <c r="F25" s="27">
        <v>1509.48</v>
      </c>
      <c r="G25" s="28">
        <v>1.4999999999999999E-2</v>
      </c>
      <c r="H25" s="29"/>
    </row>
    <row r="26" spans="2:8" ht="15.75" customHeight="1" x14ac:dyDescent="0.25">
      <c r="B26" s="25" t="s">
        <v>427</v>
      </c>
      <c r="C26" s="25" t="s">
        <v>428</v>
      </c>
      <c r="D26" s="25" t="s">
        <v>426</v>
      </c>
      <c r="E26" s="26">
        <v>780873</v>
      </c>
      <c r="F26" s="27">
        <v>1508.26</v>
      </c>
      <c r="G26" s="28">
        <v>1.4999999999999999E-2</v>
      </c>
      <c r="H26" s="29"/>
    </row>
    <row r="27" spans="2:8" ht="15.75" customHeight="1" x14ac:dyDescent="0.25">
      <c r="B27" s="25" t="s">
        <v>597</v>
      </c>
      <c r="C27" s="25" t="s">
        <v>598</v>
      </c>
      <c r="D27" s="25" t="s">
        <v>296</v>
      </c>
      <c r="E27" s="26">
        <v>39928</v>
      </c>
      <c r="F27" s="27">
        <v>1473.28</v>
      </c>
      <c r="G27" s="28">
        <v>1.46E-2</v>
      </c>
      <c r="H27" s="29"/>
    </row>
    <row r="28" spans="2:8" ht="15.75" customHeight="1" x14ac:dyDescent="0.25">
      <c r="B28" s="25" t="s">
        <v>227</v>
      </c>
      <c r="C28" s="25" t="s">
        <v>228</v>
      </c>
      <c r="D28" s="25" t="s">
        <v>156</v>
      </c>
      <c r="E28" s="26">
        <v>89154</v>
      </c>
      <c r="F28" s="27">
        <v>1447.82</v>
      </c>
      <c r="G28" s="28">
        <v>1.44E-2</v>
      </c>
      <c r="H28" s="29"/>
    </row>
    <row r="29" spans="2:8" ht="15.75" customHeight="1" x14ac:dyDescent="0.25">
      <c r="B29" s="25" t="s">
        <v>157</v>
      </c>
      <c r="C29" s="25" t="s">
        <v>158</v>
      </c>
      <c r="D29" s="25" t="s">
        <v>159</v>
      </c>
      <c r="E29" s="26">
        <v>100403</v>
      </c>
      <c r="F29" s="27">
        <v>1426.27</v>
      </c>
      <c r="G29" s="28">
        <v>1.4200000000000001E-2</v>
      </c>
      <c r="H29" s="29"/>
    </row>
    <row r="30" spans="2:8" ht="15.75" customHeight="1" x14ac:dyDescent="0.25">
      <c r="B30" s="25" t="s">
        <v>758</v>
      </c>
      <c r="C30" s="25" t="s">
        <v>759</v>
      </c>
      <c r="D30" s="25" t="s">
        <v>760</v>
      </c>
      <c r="E30" s="26">
        <v>328027</v>
      </c>
      <c r="F30" s="27">
        <v>1412.81</v>
      </c>
      <c r="G30" s="28">
        <v>1.4E-2</v>
      </c>
      <c r="H30" s="29"/>
    </row>
    <row r="31" spans="2:8" ht="15.75" customHeight="1" x14ac:dyDescent="0.25">
      <c r="B31" s="25" t="s">
        <v>806</v>
      </c>
      <c r="C31" s="25" t="s">
        <v>807</v>
      </c>
      <c r="D31" s="25" t="s">
        <v>426</v>
      </c>
      <c r="E31" s="26">
        <v>534938</v>
      </c>
      <c r="F31" s="27">
        <v>1406.89</v>
      </c>
      <c r="G31" s="28">
        <v>1.4E-2</v>
      </c>
      <c r="H31" s="29"/>
    </row>
    <row r="32" spans="2:8" ht="15.75" customHeight="1" x14ac:dyDescent="0.25">
      <c r="B32" s="25" t="s">
        <v>458</v>
      </c>
      <c r="C32" s="25" t="s">
        <v>459</v>
      </c>
      <c r="D32" s="25" t="s">
        <v>296</v>
      </c>
      <c r="E32" s="26">
        <v>109811</v>
      </c>
      <c r="F32" s="27">
        <v>1395.92</v>
      </c>
      <c r="G32" s="28">
        <v>1.3899999999999999E-2</v>
      </c>
      <c r="H32" s="29"/>
    </row>
    <row r="33" spans="2:8" ht="15.75" customHeight="1" x14ac:dyDescent="0.25">
      <c r="B33" s="25" t="s">
        <v>549</v>
      </c>
      <c r="C33" s="25" t="s">
        <v>550</v>
      </c>
      <c r="D33" s="25" t="s">
        <v>551</v>
      </c>
      <c r="E33" s="26">
        <v>114602</v>
      </c>
      <c r="F33" s="27">
        <v>1384.22</v>
      </c>
      <c r="G33" s="28">
        <v>1.38E-2</v>
      </c>
      <c r="H33" s="29"/>
    </row>
    <row r="34" spans="2:8" ht="15.75" customHeight="1" x14ac:dyDescent="0.25">
      <c r="B34" s="25" t="s">
        <v>443</v>
      </c>
      <c r="C34" s="25" t="s">
        <v>444</v>
      </c>
      <c r="D34" s="25" t="s">
        <v>343</v>
      </c>
      <c r="E34" s="26">
        <v>34612</v>
      </c>
      <c r="F34" s="27">
        <v>1382.96</v>
      </c>
      <c r="G34" s="28">
        <v>1.37E-2</v>
      </c>
      <c r="H34" s="29"/>
    </row>
    <row r="35" spans="2:8" ht="15.75" customHeight="1" x14ac:dyDescent="0.25">
      <c r="B35" s="25" t="s">
        <v>913</v>
      </c>
      <c r="C35" s="25" t="s">
        <v>914</v>
      </c>
      <c r="D35" s="25" t="s">
        <v>209</v>
      </c>
      <c r="E35" s="26">
        <v>28633</v>
      </c>
      <c r="F35" s="27">
        <v>1358.91</v>
      </c>
      <c r="G35" s="28">
        <v>1.35E-2</v>
      </c>
      <c r="H35" s="29"/>
    </row>
    <row r="36" spans="2:8" ht="15.75" customHeight="1" x14ac:dyDescent="0.25">
      <c r="B36" s="25" t="s">
        <v>395</v>
      </c>
      <c r="C36" s="25" t="s">
        <v>396</v>
      </c>
      <c r="D36" s="25" t="s">
        <v>214</v>
      </c>
      <c r="E36" s="26">
        <v>28013</v>
      </c>
      <c r="F36" s="27">
        <v>1353.88</v>
      </c>
      <c r="G36" s="28">
        <v>1.35E-2</v>
      </c>
      <c r="H36" s="29"/>
    </row>
    <row r="37" spans="2:8" ht="15.75" customHeight="1" x14ac:dyDescent="0.25">
      <c r="B37" s="25" t="s">
        <v>554</v>
      </c>
      <c r="C37" s="25" t="s">
        <v>555</v>
      </c>
      <c r="D37" s="25" t="s">
        <v>350</v>
      </c>
      <c r="E37" s="26">
        <v>53593</v>
      </c>
      <c r="F37" s="27">
        <v>1345.64</v>
      </c>
      <c r="G37" s="28">
        <v>1.34E-2</v>
      </c>
      <c r="H37" s="29"/>
    </row>
    <row r="38" spans="2:8" ht="15.75" customHeight="1" x14ac:dyDescent="0.25">
      <c r="B38" s="25" t="s">
        <v>372</v>
      </c>
      <c r="C38" s="25" t="s">
        <v>373</v>
      </c>
      <c r="D38" s="25" t="s">
        <v>214</v>
      </c>
      <c r="E38" s="26">
        <v>935481</v>
      </c>
      <c r="F38" s="27">
        <v>1343.82</v>
      </c>
      <c r="G38" s="28">
        <v>1.34E-2</v>
      </c>
      <c r="H38" s="29"/>
    </row>
    <row r="39" spans="2:8" ht="15.75" customHeight="1" x14ac:dyDescent="0.25">
      <c r="B39" s="25" t="s">
        <v>334</v>
      </c>
      <c r="C39" s="25" t="s">
        <v>335</v>
      </c>
      <c r="D39" s="25" t="s">
        <v>159</v>
      </c>
      <c r="E39" s="26">
        <v>98193</v>
      </c>
      <c r="F39" s="27">
        <v>1341.91</v>
      </c>
      <c r="G39" s="28">
        <v>1.3299999999999999E-2</v>
      </c>
      <c r="H39" s="29"/>
    </row>
    <row r="40" spans="2:8" ht="15.75" customHeight="1" x14ac:dyDescent="0.25">
      <c r="B40" s="25" t="s">
        <v>576</v>
      </c>
      <c r="C40" s="25" t="s">
        <v>577</v>
      </c>
      <c r="D40" s="25" t="s">
        <v>431</v>
      </c>
      <c r="E40" s="26">
        <v>40909</v>
      </c>
      <c r="F40" s="27">
        <v>1327.27</v>
      </c>
      <c r="G40" s="28">
        <v>1.32E-2</v>
      </c>
      <c r="H40" s="29"/>
    </row>
    <row r="41" spans="2:8" ht="15.75" customHeight="1" x14ac:dyDescent="0.25">
      <c r="B41" s="25" t="s">
        <v>595</v>
      </c>
      <c r="C41" s="25" t="s">
        <v>596</v>
      </c>
      <c r="D41" s="25" t="s">
        <v>260</v>
      </c>
      <c r="E41" s="26">
        <v>476150</v>
      </c>
      <c r="F41" s="27">
        <v>1288.7</v>
      </c>
      <c r="G41" s="28">
        <v>1.2800000000000001E-2</v>
      </c>
      <c r="H41" s="29"/>
    </row>
    <row r="42" spans="2:8" ht="15.75" customHeight="1" x14ac:dyDescent="0.25">
      <c r="B42" s="25" t="s">
        <v>346</v>
      </c>
      <c r="C42" s="25" t="s">
        <v>347</v>
      </c>
      <c r="D42" s="25" t="s">
        <v>167</v>
      </c>
      <c r="E42" s="26">
        <v>27516</v>
      </c>
      <c r="F42" s="27">
        <v>1250.07</v>
      </c>
      <c r="G42" s="28">
        <v>1.24E-2</v>
      </c>
      <c r="H42" s="29"/>
    </row>
    <row r="43" spans="2:8" ht="15.75" customHeight="1" x14ac:dyDescent="0.25">
      <c r="B43" s="25" t="s">
        <v>617</v>
      </c>
      <c r="C43" s="25" t="s">
        <v>618</v>
      </c>
      <c r="D43" s="25" t="s">
        <v>296</v>
      </c>
      <c r="E43" s="26">
        <v>165956</v>
      </c>
      <c r="F43" s="27">
        <v>1224.76</v>
      </c>
      <c r="G43" s="28">
        <v>1.2200000000000001E-2</v>
      </c>
      <c r="H43" s="29"/>
    </row>
    <row r="44" spans="2:8" ht="15.75" customHeight="1" x14ac:dyDescent="0.25">
      <c r="B44" s="25" t="s">
        <v>915</v>
      </c>
      <c r="C44" s="25" t="s">
        <v>916</v>
      </c>
      <c r="D44" s="25" t="s">
        <v>442</v>
      </c>
      <c r="E44" s="26">
        <v>135344</v>
      </c>
      <c r="F44" s="27">
        <v>1224.5899999999999</v>
      </c>
      <c r="G44" s="28">
        <v>1.2200000000000001E-2</v>
      </c>
      <c r="H44" s="29"/>
    </row>
    <row r="45" spans="2:8" ht="15.75" customHeight="1" x14ac:dyDescent="0.25">
      <c r="B45" s="25" t="s">
        <v>370</v>
      </c>
      <c r="C45" s="25" t="s">
        <v>371</v>
      </c>
      <c r="D45" s="25" t="s">
        <v>231</v>
      </c>
      <c r="E45" s="26">
        <v>249562</v>
      </c>
      <c r="F45" s="27">
        <v>1215.1199999999999</v>
      </c>
      <c r="G45" s="28">
        <v>1.21E-2</v>
      </c>
      <c r="H45" s="29"/>
    </row>
    <row r="46" spans="2:8" ht="15.75" customHeight="1" x14ac:dyDescent="0.25">
      <c r="B46" s="25" t="s">
        <v>247</v>
      </c>
      <c r="C46" s="25" t="s">
        <v>248</v>
      </c>
      <c r="D46" s="25" t="s">
        <v>156</v>
      </c>
      <c r="E46" s="26">
        <v>97555</v>
      </c>
      <c r="F46" s="27">
        <v>1137.3900000000001</v>
      </c>
      <c r="G46" s="28">
        <v>1.1299999999999999E-2</v>
      </c>
      <c r="H46" s="29"/>
    </row>
    <row r="47" spans="2:8" ht="15.75" customHeight="1" x14ac:dyDescent="0.25">
      <c r="B47" s="25" t="s">
        <v>909</v>
      </c>
      <c r="C47" s="25" t="s">
        <v>910</v>
      </c>
      <c r="D47" s="25" t="s">
        <v>286</v>
      </c>
      <c r="E47" s="26">
        <v>193353</v>
      </c>
      <c r="F47" s="27">
        <v>1105.21</v>
      </c>
      <c r="G47" s="28">
        <v>1.0999999999999999E-2</v>
      </c>
      <c r="H47" s="29"/>
    </row>
    <row r="48" spans="2:8" ht="15.75" customHeight="1" x14ac:dyDescent="0.25">
      <c r="B48" s="25" t="s">
        <v>174</v>
      </c>
      <c r="C48" s="25" t="s">
        <v>175</v>
      </c>
      <c r="D48" s="25" t="s">
        <v>159</v>
      </c>
      <c r="E48" s="26">
        <v>23409</v>
      </c>
      <c r="F48" s="27">
        <v>1101.72</v>
      </c>
      <c r="G48" s="28">
        <v>1.09E-2</v>
      </c>
      <c r="H48" s="29"/>
    </row>
    <row r="49" spans="2:8" ht="15.75" customHeight="1" x14ac:dyDescent="0.25">
      <c r="B49" s="25" t="s">
        <v>359</v>
      </c>
      <c r="C49" s="25" t="s">
        <v>360</v>
      </c>
      <c r="D49" s="25" t="s">
        <v>361</v>
      </c>
      <c r="E49" s="26">
        <v>158879</v>
      </c>
      <c r="F49" s="27">
        <v>1094.9100000000001</v>
      </c>
      <c r="G49" s="28">
        <v>1.09E-2</v>
      </c>
      <c r="H49" s="29"/>
    </row>
    <row r="50" spans="2:8" ht="15.75" customHeight="1" x14ac:dyDescent="0.25">
      <c r="B50" s="25" t="s">
        <v>495</v>
      </c>
      <c r="C50" s="25" t="s">
        <v>496</v>
      </c>
      <c r="D50" s="25" t="s">
        <v>156</v>
      </c>
      <c r="E50" s="26">
        <v>782184</v>
      </c>
      <c r="F50" s="27">
        <v>1092.71</v>
      </c>
      <c r="G50" s="28">
        <v>1.09E-2</v>
      </c>
      <c r="H50" s="29"/>
    </row>
    <row r="51" spans="2:8" ht="15.75" customHeight="1" x14ac:dyDescent="0.25">
      <c r="B51" s="25" t="s">
        <v>468</v>
      </c>
      <c r="C51" s="25" t="s">
        <v>469</v>
      </c>
      <c r="D51" s="25" t="s">
        <v>217</v>
      </c>
      <c r="E51" s="26">
        <v>121393</v>
      </c>
      <c r="F51" s="27">
        <v>1064.98</v>
      </c>
      <c r="G51" s="28">
        <v>1.06E-2</v>
      </c>
      <c r="H51" s="29"/>
    </row>
    <row r="52" spans="2:8" ht="15.75" customHeight="1" x14ac:dyDescent="0.25">
      <c r="B52" s="25" t="s">
        <v>728</v>
      </c>
      <c r="C52" s="25" t="s">
        <v>729</v>
      </c>
      <c r="D52" s="25" t="s">
        <v>431</v>
      </c>
      <c r="E52" s="26">
        <v>203118</v>
      </c>
      <c r="F52" s="27">
        <v>1050.83</v>
      </c>
      <c r="G52" s="28">
        <v>1.04E-2</v>
      </c>
      <c r="H52" s="29"/>
    </row>
    <row r="53" spans="2:8" ht="15.75" customHeight="1" x14ac:dyDescent="0.25">
      <c r="B53" s="25" t="s">
        <v>364</v>
      </c>
      <c r="C53" s="25" t="s">
        <v>365</v>
      </c>
      <c r="D53" s="25" t="s">
        <v>214</v>
      </c>
      <c r="E53" s="26">
        <v>39476</v>
      </c>
      <c r="F53" s="27">
        <v>1043.17</v>
      </c>
      <c r="G53" s="28">
        <v>1.04E-2</v>
      </c>
      <c r="H53" s="29"/>
    </row>
    <row r="54" spans="2:8" ht="15.75" customHeight="1" x14ac:dyDescent="0.25">
      <c r="B54" s="25" t="s">
        <v>440</v>
      </c>
      <c r="C54" s="25" t="s">
        <v>441</v>
      </c>
      <c r="D54" s="25" t="s">
        <v>442</v>
      </c>
      <c r="E54" s="26">
        <v>28390</v>
      </c>
      <c r="F54" s="27">
        <v>1018.99</v>
      </c>
      <c r="G54" s="28">
        <v>1.01E-2</v>
      </c>
      <c r="H54" s="29"/>
    </row>
    <row r="55" spans="2:8" ht="15.75" customHeight="1" x14ac:dyDescent="0.25">
      <c r="B55" s="25" t="s">
        <v>474</v>
      </c>
      <c r="C55" s="25" t="s">
        <v>475</v>
      </c>
      <c r="D55" s="25" t="s">
        <v>159</v>
      </c>
      <c r="E55" s="26">
        <v>19717</v>
      </c>
      <c r="F55" s="27">
        <v>1006.21</v>
      </c>
      <c r="G55" s="28">
        <v>0.01</v>
      </c>
      <c r="H55" s="29"/>
    </row>
    <row r="56" spans="2:8" ht="15.75" customHeight="1" x14ac:dyDescent="0.25">
      <c r="B56" s="25" t="s">
        <v>812</v>
      </c>
      <c r="C56" s="25" t="s">
        <v>813</v>
      </c>
      <c r="D56" s="25" t="s">
        <v>401</v>
      </c>
      <c r="E56" s="26">
        <v>183275</v>
      </c>
      <c r="F56" s="27">
        <v>1001.78</v>
      </c>
      <c r="G56" s="28">
        <v>0.01</v>
      </c>
      <c r="H56" s="29"/>
    </row>
    <row r="57" spans="2:8" ht="15.75" customHeight="1" x14ac:dyDescent="0.25">
      <c r="B57" s="25" t="s">
        <v>374</v>
      </c>
      <c r="C57" s="25" t="s">
        <v>375</v>
      </c>
      <c r="D57" s="25" t="s">
        <v>156</v>
      </c>
      <c r="E57" s="26">
        <v>635208</v>
      </c>
      <c r="F57" s="27">
        <v>985.21</v>
      </c>
      <c r="G57" s="28">
        <v>9.7999999999999997E-3</v>
      </c>
      <c r="H57" s="29"/>
    </row>
    <row r="58" spans="2:8" ht="15.75" customHeight="1" x14ac:dyDescent="0.25">
      <c r="B58" s="25" t="s">
        <v>700</v>
      </c>
      <c r="C58" s="25" t="s">
        <v>701</v>
      </c>
      <c r="D58" s="25" t="s">
        <v>343</v>
      </c>
      <c r="E58" s="26">
        <v>65410</v>
      </c>
      <c r="F58" s="27">
        <v>972.61</v>
      </c>
      <c r="G58" s="28">
        <v>9.7000000000000003E-3</v>
      </c>
      <c r="H58" s="29"/>
    </row>
    <row r="59" spans="2:8" ht="15.75" customHeight="1" x14ac:dyDescent="0.25">
      <c r="B59" s="25" t="s">
        <v>357</v>
      </c>
      <c r="C59" s="25" t="s">
        <v>358</v>
      </c>
      <c r="D59" s="25" t="s">
        <v>260</v>
      </c>
      <c r="E59" s="26">
        <v>37025</v>
      </c>
      <c r="F59" s="27">
        <v>970.44</v>
      </c>
      <c r="G59" s="28">
        <v>9.5999999999999992E-3</v>
      </c>
      <c r="H59" s="29"/>
    </row>
    <row r="60" spans="2:8" ht="15.75" customHeight="1" x14ac:dyDescent="0.25">
      <c r="B60" s="25" t="s">
        <v>399</v>
      </c>
      <c r="C60" s="25" t="s">
        <v>400</v>
      </c>
      <c r="D60" s="25" t="s">
        <v>401</v>
      </c>
      <c r="E60" s="26">
        <v>326665</v>
      </c>
      <c r="F60" s="27">
        <v>966.93</v>
      </c>
      <c r="G60" s="28">
        <v>9.5999999999999992E-3</v>
      </c>
      <c r="H60" s="29"/>
    </row>
    <row r="61" spans="2:8" ht="15.75" customHeight="1" x14ac:dyDescent="0.25">
      <c r="B61" s="25" t="s">
        <v>734</v>
      </c>
      <c r="C61" s="25" t="s">
        <v>735</v>
      </c>
      <c r="D61" s="25" t="s">
        <v>551</v>
      </c>
      <c r="E61" s="26">
        <v>154635</v>
      </c>
      <c r="F61" s="27">
        <v>956.42</v>
      </c>
      <c r="G61" s="28">
        <v>9.4999999999999998E-3</v>
      </c>
      <c r="H61" s="29"/>
    </row>
    <row r="62" spans="2:8" ht="15.75" customHeight="1" x14ac:dyDescent="0.25">
      <c r="B62" s="25" t="s">
        <v>466</v>
      </c>
      <c r="C62" s="25" t="s">
        <v>467</v>
      </c>
      <c r="D62" s="25" t="s">
        <v>170</v>
      </c>
      <c r="E62" s="26">
        <v>178374</v>
      </c>
      <c r="F62" s="27">
        <v>950.47</v>
      </c>
      <c r="G62" s="28">
        <v>9.4000000000000004E-3</v>
      </c>
      <c r="H62" s="29"/>
    </row>
    <row r="63" spans="2:8" ht="15.75" customHeight="1" x14ac:dyDescent="0.25">
      <c r="B63" s="25" t="s">
        <v>432</v>
      </c>
      <c r="C63" s="25" t="s">
        <v>433</v>
      </c>
      <c r="D63" s="25" t="s">
        <v>431</v>
      </c>
      <c r="E63" s="26">
        <v>71097</v>
      </c>
      <c r="F63" s="27">
        <v>945.48</v>
      </c>
      <c r="G63" s="28">
        <v>9.4000000000000004E-3</v>
      </c>
      <c r="H63" s="29"/>
    </row>
    <row r="64" spans="2:8" ht="15.75" customHeight="1" x14ac:dyDescent="0.25">
      <c r="B64" s="25" t="s">
        <v>742</v>
      </c>
      <c r="C64" s="25" t="s">
        <v>743</v>
      </c>
      <c r="D64" s="25" t="s">
        <v>442</v>
      </c>
      <c r="E64" s="26">
        <v>100001</v>
      </c>
      <c r="F64" s="27">
        <v>944.91</v>
      </c>
      <c r="G64" s="28">
        <v>9.4000000000000004E-3</v>
      </c>
      <c r="H64" s="29"/>
    </row>
    <row r="65" spans="2:16" ht="15.75" customHeight="1" x14ac:dyDescent="0.25">
      <c r="B65" s="25" t="s">
        <v>292</v>
      </c>
      <c r="C65" s="25" t="s">
        <v>293</v>
      </c>
      <c r="D65" s="25" t="s">
        <v>173</v>
      </c>
      <c r="E65" s="26">
        <v>215041</v>
      </c>
      <c r="F65" s="27">
        <v>936.83</v>
      </c>
      <c r="G65" s="28">
        <v>9.2999999999999992E-3</v>
      </c>
      <c r="H65" s="29"/>
    </row>
    <row r="66" spans="2:16" ht="15.75" customHeight="1" x14ac:dyDescent="0.25">
      <c r="B66" s="25" t="s">
        <v>629</v>
      </c>
      <c r="C66" s="25" t="s">
        <v>630</v>
      </c>
      <c r="D66" s="25" t="s">
        <v>551</v>
      </c>
      <c r="E66" s="26">
        <v>25265</v>
      </c>
      <c r="F66" s="27">
        <v>923.21</v>
      </c>
      <c r="G66" s="28">
        <v>9.1999999999999998E-3</v>
      </c>
      <c r="H66" s="29"/>
    </row>
    <row r="67" spans="2:16" ht="15.75" customHeight="1" x14ac:dyDescent="0.25">
      <c r="B67" s="25" t="s">
        <v>404</v>
      </c>
      <c r="C67" s="25" t="s">
        <v>405</v>
      </c>
      <c r="D67" s="25" t="s">
        <v>406</v>
      </c>
      <c r="E67" s="26">
        <v>144711</v>
      </c>
      <c r="F67" s="27">
        <v>897.43</v>
      </c>
      <c r="G67" s="28">
        <v>8.8999999999999999E-3</v>
      </c>
      <c r="H67" s="29"/>
    </row>
    <row r="68" spans="2:16" ht="15.75" customHeight="1" x14ac:dyDescent="0.25">
      <c r="B68" s="25" t="s">
        <v>666</v>
      </c>
      <c r="C68" s="25" t="s">
        <v>667</v>
      </c>
      <c r="D68" s="25" t="s">
        <v>253</v>
      </c>
      <c r="E68" s="26">
        <v>150122</v>
      </c>
      <c r="F68" s="27">
        <v>888.05</v>
      </c>
      <c r="G68" s="28">
        <v>8.8000000000000005E-3</v>
      </c>
      <c r="H68" s="29"/>
      <c r="L68" s="3"/>
    </row>
    <row r="69" spans="2:16" ht="15.75" customHeight="1" x14ac:dyDescent="0.25">
      <c r="B69" s="25" t="s">
        <v>338</v>
      </c>
      <c r="C69" s="25" t="s">
        <v>339</v>
      </c>
      <c r="D69" s="25" t="s">
        <v>340</v>
      </c>
      <c r="E69" s="26">
        <v>312500</v>
      </c>
      <c r="F69" s="27">
        <v>871.25</v>
      </c>
      <c r="G69" s="28">
        <v>8.6999999999999994E-3</v>
      </c>
      <c r="H69" s="29"/>
    </row>
    <row r="70" spans="2:16" ht="15.75" customHeight="1" x14ac:dyDescent="0.25">
      <c r="B70" s="25" t="s">
        <v>752</v>
      </c>
      <c r="C70" s="25" t="s">
        <v>753</v>
      </c>
      <c r="D70" s="25" t="s">
        <v>260</v>
      </c>
      <c r="E70" s="26">
        <v>24985</v>
      </c>
      <c r="F70" s="27">
        <v>854.3</v>
      </c>
      <c r="G70" s="28">
        <v>8.5000000000000006E-3</v>
      </c>
      <c r="H70" s="29"/>
      <c r="L70" s="3"/>
    </row>
    <row r="71" spans="2:16" ht="15.75" customHeight="1" x14ac:dyDescent="0.25">
      <c r="B71" s="25" t="s">
        <v>640</v>
      </c>
      <c r="C71" s="25" t="s">
        <v>641</v>
      </c>
      <c r="D71" s="25" t="s">
        <v>639</v>
      </c>
      <c r="E71" s="26">
        <v>134328</v>
      </c>
      <c r="F71" s="27">
        <v>833.37</v>
      </c>
      <c r="G71" s="28">
        <v>8.3000000000000001E-3</v>
      </c>
      <c r="H71" s="29"/>
      <c r="L71" s="3"/>
    </row>
    <row r="72" spans="2:16" ht="15.75" customHeight="1" x14ac:dyDescent="0.25">
      <c r="B72" s="25" t="s">
        <v>460</v>
      </c>
      <c r="C72" s="25" t="s">
        <v>461</v>
      </c>
      <c r="D72" s="25" t="s">
        <v>442</v>
      </c>
      <c r="E72" s="26">
        <v>255371</v>
      </c>
      <c r="F72" s="27">
        <v>813.1</v>
      </c>
      <c r="G72" s="28">
        <v>8.0999999999999996E-3</v>
      </c>
      <c r="H72" s="29"/>
      <c r="L72" s="3"/>
    </row>
    <row r="73" spans="2:16" ht="15.75" customHeight="1" x14ac:dyDescent="0.25">
      <c r="B73" s="25" t="s">
        <v>541</v>
      </c>
      <c r="C73" s="25" t="s">
        <v>542</v>
      </c>
      <c r="D73" s="25" t="s">
        <v>296</v>
      </c>
      <c r="E73" s="26">
        <v>90082</v>
      </c>
      <c r="F73" s="27">
        <v>750.25</v>
      </c>
      <c r="G73" s="28">
        <v>7.4999999999999997E-3</v>
      </c>
      <c r="H73" s="29"/>
      <c r="L73" s="3"/>
    </row>
    <row r="74" spans="2:16" ht="15.75" customHeight="1" x14ac:dyDescent="0.25">
      <c r="B74" s="25" t="s">
        <v>787</v>
      </c>
      <c r="C74" s="25" t="s">
        <v>788</v>
      </c>
      <c r="D74" s="25" t="s">
        <v>431</v>
      </c>
      <c r="E74" s="26">
        <v>91615</v>
      </c>
      <c r="F74" s="27">
        <v>739.7</v>
      </c>
      <c r="G74" s="28">
        <v>7.3000000000000001E-3</v>
      </c>
      <c r="H74" s="29"/>
      <c r="L74" s="3"/>
    </row>
    <row r="75" spans="2:16" ht="15.75" customHeight="1" x14ac:dyDescent="0.25">
      <c r="B75" s="25" t="s">
        <v>308</v>
      </c>
      <c r="C75" s="25" t="s">
        <v>309</v>
      </c>
      <c r="D75" s="25" t="s">
        <v>296</v>
      </c>
      <c r="E75" s="26">
        <v>28635</v>
      </c>
      <c r="F75" s="27">
        <v>695.8</v>
      </c>
      <c r="G75" s="28">
        <v>6.8999999999999999E-3</v>
      </c>
      <c r="H75" s="29"/>
      <c r="L75" s="5"/>
      <c r="M75" s="5"/>
      <c r="N75" s="6"/>
      <c r="O75" s="6"/>
      <c r="P75" s="5"/>
    </row>
    <row r="76" spans="2:16" ht="15.75" customHeight="1" x14ac:dyDescent="0.25">
      <c r="B76" s="25" t="s">
        <v>644</v>
      </c>
      <c r="C76" s="25" t="s">
        <v>645</v>
      </c>
      <c r="D76" s="25" t="s">
        <v>202</v>
      </c>
      <c r="E76" s="26">
        <v>20113</v>
      </c>
      <c r="F76" s="27">
        <v>675.51</v>
      </c>
      <c r="G76" s="28">
        <v>6.7000000000000002E-3</v>
      </c>
      <c r="H76" s="29"/>
    </row>
    <row r="77" spans="2:16" ht="15.75" customHeight="1" x14ac:dyDescent="0.25">
      <c r="B77" s="25" t="s">
        <v>746</v>
      </c>
      <c r="C77" s="25" t="s">
        <v>747</v>
      </c>
      <c r="D77" s="25" t="s">
        <v>263</v>
      </c>
      <c r="E77" s="26">
        <v>57715</v>
      </c>
      <c r="F77" s="27">
        <v>585.66</v>
      </c>
      <c r="G77" s="28">
        <v>5.7999999999999996E-3</v>
      </c>
      <c r="H77" s="29"/>
    </row>
    <row r="78" spans="2:16" ht="15.75" customHeight="1" x14ac:dyDescent="0.25">
      <c r="B78" s="25" t="s">
        <v>562</v>
      </c>
      <c r="C78" s="25" t="s">
        <v>563</v>
      </c>
      <c r="D78" s="25" t="s">
        <v>442</v>
      </c>
      <c r="E78" s="26">
        <v>151550</v>
      </c>
      <c r="F78" s="27">
        <v>546.03</v>
      </c>
      <c r="G78" s="28">
        <v>5.4000000000000003E-3</v>
      </c>
      <c r="H78" s="29"/>
      <c r="L78" s="7"/>
      <c r="M78" s="7"/>
      <c r="N78" s="7"/>
      <c r="O78" s="7"/>
      <c r="P78" s="7"/>
    </row>
    <row r="79" spans="2:16" ht="15.75" customHeight="1" x14ac:dyDescent="0.25">
      <c r="B79" s="25" t="s">
        <v>716</v>
      </c>
      <c r="C79" s="25" t="s">
        <v>717</v>
      </c>
      <c r="D79" s="25" t="s">
        <v>343</v>
      </c>
      <c r="E79" s="26">
        <v>52437</v>
      </c>
      <c r="F79" s="27">
        <v>536.09</v>
      </c>
      <c r="G79" s="28">
        <v>5.3E-3</v>
      </c>
      <c r="H79" s="29"/>
      <c r="L79" s="7"/>
      <c r="M79" s="7"/>
      <c r="N79" s="7"/>
      <c r="O79" s="7"/>
      <c r="P79" s="7"/>
    </row>
    <row r="80" spans="2:16" ht="15.75" customHeight="1" x14ac:dyDescent="0.25">
      <c r="B80" s="25" t="s">
        <v>593</v>
      </c>
      <c r="C80" s="25" t="s">
        <v>594</v>
      </c>
      <c r="D80" s="25" t="s">
        <v>281</v>
      </c>
      <c r="E80" s="26">
        <v>341795</v>
      </c>
      <c r="F80" s="27">
        <v>503.63</v>
      </c>
      <c r="G80" s="28">
        <v>5.0000000000000001E-3</v>
      </c>
      <c r="H80" s="29"/>
      <c r="L80" s="7"/>
      <c r="M80" s="7"/>
      <c r="N80" s="7"/>
      <c r="O80" s="7"/>
      <c r="P80" s="7"/>
    </row>
    <row r="81" spans="2:16" ht="15.75" customHeight="1" x14ac:dyDescent="0.25">
      <c r="B81" s="25" t="s">
        <v>917</v>
      </c>
      <c r="C81" s="25" t="s">
        <v>918</v>
      </c>
      <c r="D81" s="25" t="s">
        <v>426</v>
      </c>
      <c r="E81" s="26">
        <v>48599</v>
      </c>
      <c r="F81" s="27">
        <v>463.44</v>
      </c>
      <c r="G81" s="28">
        <v>4.5999999999999999E-3</v>
      </c>
      <c r="H81" s="29"/>
      <c r="L81" s="7"/>
      <c r="M81" s="7"/>
      <c r="N81" s="7"/>
      <c r="O81" s="7"/>
      <c r="P81" s="7"/>
    </row>
    <row r="82" spans="2:16" ht="15.75" customHeight="1" x14ac:dyDescent="0.25">
      <c r="B82" s="25" t="s">
        <v>650</v>
      </c>
      <c r="C82" s="25" t="s">
        <v>651</v>
      </c>
      <c r="D82" s="25" t="s">
        <v>442</v>
      </c>
      <c r="E82" s="26">
        <v>37389</v>
      </c>
      <c r="F82" s="27">
        <v>401.37</v>
      </c>
      <c r="G82" s="28">
        <v>4.0000000000000001E-3</v>
      </c>
      <c r="H82" s="29"/>
      <c r="L82" s="7"/>
      <c r="M82" s="7"/>
      <c r="N82" s="7"/>
      <c r="O82" s="7"/>
      <c r="P82" s="7"/>
    </row>
    <row r="83" spans="2:16" ht="15.75" customHeight="1" x14ac:dyDescent="0.25">
      <c r="B83" s="24" t="s">
        <v>128</v>
      </c>
      <c r="C83" s="24"/>
      <c r="D83" s="24"/>
      <c r="E83" s="30"/>
      <c r="F83" s="31">
        <v>98309.57</v>
      </c>
      <c r="G83" s="32">
        <v>0.97670000000000001</v>
      </c>
      <c r="H83" s="33"/>
      <c r="L83" s="7"/>
      <c r="M83" s="7"/>
      <c r="N83" s="7"/>
      <c r="O83" s="7"/>
      <c r="P83" s="7"/>
    </row>
    <row r="84" spans="2:16" ht="15.75" customHeight="1" x14ac:dyDescent="0.25">
      <c r="B84" s="24" t="s">
        <v>176</v>
      </c>
      <c r="C84" s="25"/>
      <c r="D84" s="25"/>
      <c r="E84" s="26"/>
      <c r="F84" s="27"/>
      <c r="G84" s="28"/>
      <c r="H84" s="29"/>
      <c r="L84" s="7"/>
      <c r="M84" s="7"/>
      <c r="N84" s="7"/>
      <c r="O84" s="7"/>
      <c r="P84" s="7"/>
    </row>
    <row r="85" spans="2:16" ht="15.75" customHeight="1" x14ac:dyDescent="0.25">
      <c r="B85" s="24" t="s">
        <v>128</v>
      </c>
      <c r="C85" s="25"/>
      <c r="D85" s="25"/>
      <c r="E85" s="26"/>
      <c r="F85" s="34" t="s">
        <v>130</v>
      </c>
      <c r="G85" s="35" t="s">
        <v>130</v>
      </c>
      <c r="H85" s="29"/>
    </row>
    <row r="86" spans="2:16" ht="15.75" customHeight="1" x14ac:dyDescent="0.25">
      <c r="B86" s="25"/>
      <c r="C86" s="25"/>
      <c r="D86" s="25"/>
      <c r="E86" s="26"/>
      <c r="F86" s="27"/>
      <c r="G86" s="28"/>
      <c r="H86" s="29"/>
      <c r="L86" s="3"/>
    </row>
    <row r="87" spans="2:16" ht="15.75" customHeight="1" x14ac:dyDescent="0.25">
      <c r="B87" s="36" t="s">
        <v>132</v>
      </c>
      <c r="C87" s="36"/>
      <c r="D87" s="36"/>
      <c r="E87" s="37"/>
      <c r="F87" s="31">
        <v>98309.57</v>
      </c>
      <c r="G87" s="32">
        <v>0.97670000000000001</v>
      </c>
      <c r="H87" s="33"/>
    </row>
    <row r="88" spans="2:16" ht="15.75" customHeight="1" x14ac:dyDescent="0.25">
      <c r="B88" s="25"/>
      <c r="C88" s="25"/>
      <c r="D88" s="25"/>
      <c r="E88" s="26"/>
      <c r="F88" s="27"/>
      <c r="G88" s="28"/>
      <c r="H88" s="29"/>
    </row>
    <row r="89" spans="2:16" ht="15.75" customHeight="1" x14ac:dyDescent="0.25">
      <c r="B89" s="25"/>
      <c r="C89" s="25"/>
      <c r="D89" s="25"/>
      <c r="E89" s="26"/>
      <c r="F89" s="27"/>
      <c r="G89" s="28"/>
      <c r="H89" s="29"/>
    </row>
    <row r="90" spans="2:16" ht="15.75" customHeight="1" x14ac:dyDescent="0.25">
      <c r="B90" s="24" t="s">
        <v>135</v>
      </c>
      <c r="C90" s="25"/>
      <c r="D90" s="25"/>
      <c r="E90" s="26"/>
      <c r="F90" s="27"/>
      <c r="G90" s="28"/>
      <c r="H90" s="29"/>
    </row>
    <row r="91" spans="2:16" ht="15.75" customHeight="1" x14ac:dyDescent="0.25">
      <c r="B91" s="25" t="s">
        <v>136</v>
      </c>
      <c r="C91" s="25"/>
      <c r="D91" s="25"/>
      <c r="E91" s="26"/>
      <c r="F91" s="27">
        <v>2577.9299999999998</v>
      </c>
      <c r="G91" s="28">
        <v>2.5600000000000001E-2</v>
      </c>
      <c r="H91" s="29"/>
    </row>
    <row r="92" spans="2:16" ht="15.75" customHeight="1" x14ac:dyDescent="0.25">
      <c r="B92" s="24" t="s">
        <v>128</v>
      </c>
      <c r="C92" s="24"/>
      <c r="D92" s="24"/>
      <c r="E92" s="30"/>
      <c r="F92" s="31">
        <v>2577.9299999999998</v>
      </c>
      <c r="G92" s="32">
        <v>2.5600000000000001E-2</v>
      </c>
      <c r="H92" s="33"/>
    </row>
    <row r="93" spans="2:16" ht="15.75" customHeight="1" x14ac:dyDescent="0.25">
      <c r="B93" s="25"/>
      <c r="C93" s="25"/>
      <c r="D93" s="25"/>
      <c r="E93" s="26"/>
      <c r="F93" s="27"/>
      <c r="G93" s="28"/>
      <c r="H93" s="29"/>
    </row>
    <row r="94" spans="2:16" ht="15.75" customHeight="1" x14ac:dyDescent="0.25">
      <c r="B94" s="36" t="s">
        <v>132</v>
      </c>
      <c r="C94" s="36"/>
      <c r="D94" s="36"/>
      <c r="E94" s="37"/>
      <c r="F94" s="31">
        <v>2577.9299999999998</v>
      </c>
      <c r="G94" s="32">
        <v>2.5600000000000001E-2</v>
      </c>
      <c r="H94" s="33"/>
    </row>
    <row r="95" spans="2:16" ht="15.75" customHeight="1" x14ac:dyDescent="0.25">
      <c r="B95" s="25" t="s">
        <v>137</v>
      </c>
      <c r="C95" s="25"/>
      <c r="D95" s="25"/>
      <c r="E95" s="26"/>
      <c r="F95" s="38">
        <v>-232.23</v>
      </c>
      <c r="G95" s="39">
        <v>-2.2999999999999687E-3</v>
      </c>
      <c r="H95" s="29"/>
    </row>
    <row r="96" spans="2:16" ht="15.75" customHeight="1" x14ac:dyDescent="0.25">
      <c r="B96" s="40" t="s">
        <v>138</v>
      </c>
      <c r="C96" s="40"/>
      <c r="D96" s="40"/>
      <c r="E96" s="41"/>
      <c r="F96" s="42">
        <v>100655.27</v>
      </c>
      <c r="G96" s="43">
        <v>1</v>
      </c>
      <c r="H96" s="44"/>
    </row>
    <row r="97" spans="2:8" ht="15.75" customHeight="1" thickBot="1" x14ac:dyDescent="0.3">
      <c r="B97" s="2"/>
    </row>
    <row r="98" spans="2:8" ht="27" customHeight="1" thickBot="1" x14ac:dyDescent="0.3">
      <c r="B98" s="57" t="s">
        <v>980</v>
      </c>
      <c r="C98" s="58" t="s">
        <v>981</v>
      </c>
      <c r="D98" s="58" t="s">
        <v>982</v>
      </c>
      <c r="E98" s="63" t="s">
        <v>983</v>
      </c>
      <c r="G98" s="2"/>
      <c r="H98" s="2"/>
    </row>
    <row r="99" spans="2:8" ht="27.75" customHeight="1" x14ac:dyDescent="0.25">
      <c r="B99" s="70" t="s">
        <v>29</v>
      </c>
      <c r="C99" s="82"/>
      <c r="D99" s="85" t="s">
        <v>1061</v>
      </c>
      <c r="E99" s="87"/>
      <c r="G99" s="2"/>
      <c r="H99" s="2"/>
    </row>
    <row r="100" spans="2:8" ht="31.5" customHeight="1" x14ac:dyDescent="0.25">
      <c r="B100" s="66" t="s">
        <v>1059</v>
      </c>
      <c r="C100" s="83"/>
      <c r="D100" s="86"/>
      <c r="E100" s="83"/>
      <c r="G100" s="2"/>
      <c r="H100" s="2"/>
    </row>
    <row r="101" spans="2:8" ht="40" customHeight="1" x14ac:dyDescent="0.25">
      <c r="B101" s="66" t="s">
        <v>1062</v>
      </c>
      <c r="C101" s="83"/>
      <c r="D101" s="86"/>
      <c r="E101" s="83"/>
      <c r="G101" s="2"/>
      <c r="H101" s="2"/>
    </row>
    <row r="102" spans="2:8" ht="21.75" customHeight="1" thickBot="1" x14ac:dyDescent="0.3">
      <c r="B102" s="68" t="s">
        <v>1015</v>
      </c>
      <c r="C102" s="84"/>
      <c r="D102" s="71" t="s">
        <v>1015</v>
      </c>
      <c r="E102" s="88"/>
      <c r="G102" s="2"/>
      <c r="H102" s="2"/>
    </row>
    <row r="103" spans="2:8" ht="25" customHeight="1" x14ac:dyDescent="0.25">
      <c r="B103" s="59" t="s">
        <v>985</v>
      </c>
      <c r="C103" s="60"/>
      <c r="D103" s="61"/>
      <c r="E103" s="62"/>
      <c r="G103" s="2"/>
      <c r="H103" s="2"/>
    </row>
    <row r="105" spans="2:8" ht="11.5" x14ac:dyDescent="0.25">
      <c r="B105" s="2" t="s">
        <v>986</v>
      </c>
      <c r="C105" s="2"/>
      <c r="D105" s="2"/>
      <c r="G105" s="2"/>
      <c r="H105" s="2"/>
    </row>
    <row r="106" spans="2:8" ht="11.5" x14ac:dyDescent="0.25">
      <c r="B106" s="3" t="s">
        <v>987</v>
      </c>
      <c r="C106" s="2"/>
      <c r="D106" s="2"/>
      <c r="G106" s="2"/>
      <c r="H106" s="2"/>
    </row>
  </sheetData>
  <mergeCells count="3">
    <mergeCell ref="C99:C102"/>
    <mergeCell ref="D99:D101"/>
    <mergeCell ref="E99:E102"/>
  </mergeCells>
  <hyperlinks>
    <hyperlink ref="I1" location="'Sheet1'!A1" display="Index" xr:uid="{3A6695E4-0283-45E3-B624-A3DC61875A7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F67F2-D9F5-42E5-8CE9-42C240B3E8CA}">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6.54296875" style="9" customWidth="1"/>
    <col min="4" max="4" width="26.6328125" style="9" customWidth="1"/>
    <col min="5" max="5" width="27.81640625" style="2" customWidth="1"/>
    <col min="6" max="6" width="16.453125" style="2" customWidth="1"/>
    <col min="7" max="7" width="15.26953125" style="8" customWidth="1"/>
    <col min="8" max="8" width="4.906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30</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424</v>
      </c>
      <c r="C7" s="25" t="s">
        <v>425</v>
      </c>
      <c r="D7" s="25" t="s">
        <v>426</v>
      </c>
      <c r="E7" s="26">
        <v>9110</v>
      </c>
      <c r="F7" s="27">
        <v>401.74</v>
      </c>
      <c r="G7" s="28">
        <v>5.0200000000000002E-2</v>
      </c>
      <c r="H7" s="29"/>
    </row>
    <row r="8" spans="2:9" ht="15.75" customHeight="1" x14ac:dyDescent="0.25">
      <c r="B8" s="25" t="s">
        <v>232</v>
      </c>
      <c r="C8" s="25" t="s">
        <v>233</v>
      </c>
      <c r="D8" s="25" t="s">
        <v>234</v>
      </c>
      <c r="E8" s="26">
        <v>146947</v>
      </c>
      <c r="F8" s="27">
        <v>343.49</v>
      </c>
      <c r="G8" s="28">
        <v>4.2900000000000001E-2</v>
      </c>
      <c r="H8" s="29"/>
    </row>
    <row r="9" spans="2:9" ht="15.75" customHeight="1" x14ac:dyDescent="0.25">
      <c r="B9" s="25" t="s">
        <v>279</v>
      </c>
      <c r="C9" s="25" t="s">
        <v>280</v>
      </c>
      <c r="D9" s="25" t="s">
        <v>281</v>
      </c>
      <c r="E9" s="26">
        <v>69327</v>
      </c>
      <c r="F9" s="27">
        <v>311.45</v>
      </c>
      <c r="G9" s="28">
        <v>3.8899999999999997E-2</v>
      </c>
      <c r="H9" s="29"/>
    </row>
    <row r="10" spans="2:9" ht="15.75" customHeight="1" x14ac:dyDescent="0.25">
      <c r="B10" s="25" t="s">
        <v>785</v>
      </c>
      <c r="C10" s="25" t="s">
        <v>786</v>
      </c>
      <c r="D10" s="25" t="s">
        <v>234</v>
      </c>
      <c r="E10" s="26">
        <v>7665</v>
      </c>
      <c r="F10" s="27">
        <v>301.95</v>
      </c>
      <c r="G10" s="28">
        <v>3.7699999999999997E-2</v>
      </c>
      <c r="H10" s="29"/>
    </row>
    <row r="11" spans="2:9" ht="15.75" customHeight="1" x14ac:dyDescent="0.25">
      <c r="B11" s="25" t="s">
        <v>207</v>
      </c>
      <c r="C11" s="25" t="s">
        <v>208</v>
      </c>
      <c r="D11" s="25" t="s">
        <v>209</v>
      </c>
      <c r="E11" s="26">
        <v>59682</v>
      </c>
      <c r="F11" s="27">
        <v>263.52999999999997</v>
      </c>
      <c r="G11" s="28">
        <v>3.2899999999999999E-2</v>
      </c>
      <c r="H11" s="29"/>
    </row>
    <row r="12" spans="2:9" ht="15.75" customHeight="1" x14ac:dyDescent="0.25">
      <c r="B12" s="25" t="s">
        <v>297</v>
      </c>
      <c r="C12" s="25" t="s">
        <v>298</v>
      </c>
      <c r="D12" s="25" t="s">
        <v>209</v>
      </c>
      <c r="E12" s="26">
        <v>50675</v>
      </c>
      <c r="F12" s="27">
        <v>257</v>
      </c>
      <c r="G12" s="28">
        <v>3.2099999999999997E-2</v>
      </c>
      <c r="H12" s="29"/>
    </row>
    <row r="13" spans="2:9" ht="15.75" customHeight="1" x14ac:dyDescent="0.25">
      <c r="B13" s="25" t="s">
        <v>277</v>
      </c>
      <c r="C13" s="25" t="s">
        <v>278</v>
      </c>
      <c r="D13" s="25" t="s">
        <v>164</v>
      </c>
      <c r="E13" s="26">
        <v>150535</v>
      </c>
      <c r="F13" s="27">
        <v>254.18</v>
      </c>
      <c r="G13" s="28">
        <v>3.1699999999999999E-2</v>
      </c>
      <c r="H13" s="29"/>
    </row>
    <row r="14" spans="2:9" ht="15.75" customHeight="1" x14ac:dyDescent="0.25">
      <c r="B14" s="25" t="s">
        <v>919</v>
      </c>
      <c r="C14" s="25" t="s">
        <v>920</v>
      </c>
      <c r="D14" s="25" t="s">
        <v>303</v>
      </c>
      <c r="E14" s="26">
        <v>26291</v>
      </c>
      <c r="F14" s="27">
        <v>234.48</v>
      </c>
      <c r="G14" s="28">
        <v>2.93E-2</v>
      </c>
      <c r="H14" s="29"/>
    </row>
    <row r="15" spans="2:9" ht="15.75" customHeight="1" x14ac:dyDescent="0.25">
      <c r="B15" s="25" t="s">
        <v>921</v>
      </c>
      <c r="C15" s="25" t="s">
        <v>922</v>
      </c>
      <c r="D15" s="25" t="s">
        <v>217</v>
      </c>
      <c r="E15" s="26">
        <v>5823</v>
      </c>
      <c r="F15" s="27">
        <v>231.89</v>
      </c>
      <c r="G15" s="28">
        <v>2.9000000000000001E-2</v>
      </c>
      <c r="H15" s="29"/>
    </row>
    <row r="16" spans="2:9" ht="15.75" customHeight="1" x14ac:dyDescent="0.25">
      <c r="B16" s="25" t="s">
        <v>923</v>
      </c>
      <c r="C16" s="25" t="s">
        <v>924</v>
      </c>
      <c r="D16" s="25" t="s">
        <v>401</v>
      </c>
      <c r="E16" s="26">
        <v>110875</v>
      </c>
      <c r="F16" s="27">
        <v>231.84</v>
      </c>
      <c r="G16" s="28">
        <v>2.9000000000000001E-2</v>
      </c>
      <c r="H16" s="29"/>
    </row>
    <row r="17" spans="2:8" ht="15.75" customHeight="1" x14ac:dyDescent="0.25">
      <c r="B17" s="25" t="s">
        <v>192</v>
      </c>
      <c r="C17" s="25" t="s">
        <v>193</v>
      </c>
      <c r="D17" s="25" t="s">
        <v>194</v>
      </c>
      <c r="E17" s="26">
        <v>54862</v>
      </c>
      <c r="F17" s="27">
        <v>218.27</v>
      </c>
      <c r="G17" s="28">
        <v>2.7300000000000001E-2</v>
      </c>
      <c r="H17" s="29"/>
    </row>
    <row r="18" spans="2:8" ht="15.75" customHeight="1" x14ac:dyDescent="0.25">
      <c r="B18" s="25" t="s">
        <v>445</v>
      </c>
      <c r="C18" s="25" t="s">
        <v>446</v>
      </c>
      <c r="D18" s="25" t="s">
        <v>431</v>
      </c>
      <c r="E18" s="26">
        <v>3687</v>
      </c>
      <c r="F18" s="27">
        <v>215.38</v>
      </c>
      <c r="G18" s="28">
        <v>2.69E-2</v>
      </c>
      <c r="H18" s="29"/>
    </row>
    <row r="19" spans="2:8" ht="15.75" customHeight="1" x14ac:dyDescent="0.25">
      <c r="B19" s="25" t="s">
        <v>235</v>
      </c>
      <c r="C19" s="25" t="s">
        <v>236</v>
      </c>
      <c r="D19" s="25" t="s">
        <v>156</v>
      </c>
      <c r="E19" s="26">
        <v>76219</v>
      </c>
      <c r="F19" s="27">
        <v>214.56</v>
      </c>
      <c r="G19" s="28">
        <v>2.6800000000000001E-2</v>
      </c>
      <c r="H19" s="29"/>
    </row>
    <row r="20" spans="2:8" ht="15.75" customHeight="1" x14ac:dyDescent="0.25">
      <c r="B20" s="25" t="s">
        <v>376</v>
      </c>
      <c r="C20" s="25" t="s">
        <v>377</v>
      </c>
      <c r="D20" s="25" t="s">
        <v>209</v>
      </c>
      <c r="E20" s="26">
        <v>17069</v>
      </c>
      <c r="F20" s="27">
        <v>203.68</v>
      </c>
      <c r="G20" s="28">
        <v>2.5399999999999999E-2</v>
      </c>
      <c r="H20" s="29"/>
    </row>
    <row r="21" spans="2:8" ht="15.75" customHeight="1" x14ac:dyDescent="0.25">
      <c r="B21" s="25" t="s">
        <v>385</v>
      </c>
      <c r="C21" s="25" t="s">
        <v>386</v>
      </c>
      <c r="D21" s="25" t="s">
        <v>167</v>
      </c>
      <c r="E21" s="26">
        <v>9516</v>
      </c>
      <c r="F21" s="27">
        <v>196.03</v>
      </c>
      <c r="G21" s="28">
        <v>2.4500000000000001E-2</v>
      </c>
      <c r="H21" s="29"/>
    </row>
    <row r="22" spans="2:8" ht="15.75" customHeight="1" x14ac:dyDescent="0.25">
      <c r="B22" s="25" t="s">
        <v>627</v>
      </c>
      <c r="C22" s="25" t="s">
        <v>628</v>
      </c>
      <c r="D22" s="25" t="s">
        <v>426</v>
      </c>
      <c r="E22" s="26">
        <v>3195</v>
      </c>
      <c r="F22" s="27">
        <v>193.42</v>
      </c>
      <c r="G22" s="28">
        <v>2.4199999999999999E-2</v>
      </c>
      <c r="H22" s="29"/>
    </row>
    <row r="23" spans="2:8" ht="15.75" customHeight="1" x14ac:dyDescent="0.25">
      <c r="B23" s="25" t="s">
        <v>290</v>
      </c>
      <c r="C23" s="25" t="s">
        <v>291</v>
      </c>
      <c r="D23" s="25" t="s">
        <v>260</v>
      </c>
      <c r="E23" s="26">
        <v>6245</v>
      </c>
      <c r="F23" s="27">
        <v>190.41</v>
      </c>
      <c r="G23" s="28">
        <v>2.3800000000000002E-2</v>
      </c>
      <c r="H23" s="29"/>
    </row>
    <row r="24" spans="2:8" ht="15.75" customHeight="1" x14ac:dyDescent="0.25">
      <c r="B24" s="25" t="s">
        <v>229</v>
      </c>
      <c r="C24" s="25" t="s">
        <v>230</v>
      </c>
      <c r="D24" s="25" t="s">
        <v>231</v>
      </c>
      <c r="E24" s="26">
        <v>15502</v>
      </c>
      <c r="F24" s="27">
        <v>189.05</v>
      </c>
      <c r="G24" s="28">
        <v>2.3599999999999999E-2</v>
      </c>
      <c r="H24" s="29"/>
    </row>
    <row r="25" spans="2:8" ht="15.75" customHeight="1" x14ac:dyDescent="0.25">
      <c r="B25" s="25" t="s">
        <v>925</v>
      </c>
      <c r="C25" s="25" t="s">
        <v>926</v>
      </c>
      <c r="D25" s="25" t="s">
        <v>286</v>
      </c>
      <c r="E25" s="26">
        <v>10490</v>
      </c>
      <c r="F25" s="27">
        <v>179.45</v>
      </c>
      <c r="G25" s="28">
        <v>2.24E-2</v>
      </c>
      <c r="H25" s="29"/>
    </row>
    <row r="26" spans="2:8" ht="15.75" customHeight="1" x14ac:dyDescent="0.25">
      <c r="B26" s="25" t="s">
        <v>203</v>
      </c>
      <c r="C26" s="25" t="s">
        <v>204</v>
      </c>
      <c r="D26" s="25" t="s">
        <v>156</v>
      </c>
      <c r="E26" s="26">
        <v>121834</v>
      </c>
      <c r="F26" s="27">
        <v>171.85</v>
      </c>
      <c r="G26" s="28">
        <v>2.1499999999999998E-2</v>
      </c>
      <c r="H26" s="29"/>
    </row>
    <row r="27" spans="2:8" ht="15.75" customHeight="1" x14ac:dyDescent="0.25">
      <c r="B27" s="25" t="s">
        <v>449</v>
      </c>
      <c r="C27" s="25" t="s">
        <v>450</v>
      </c>
      <c r="D27" s="25" t="s">
        <v>442</v>
      </c>
      <c r="E27" s="26">
        <v>10311</v>
      </c>
      <c r="F27" s="27">
        <v>171.58</v>
      </c>
      <c r="G27" s="28">
        <v>2.1399999999999999E-2</v>
      </c>
      <c r="H27" s="29"/>
    </row>
    <row r="28" spans="2:8" ht="15.75" customHeight="1" x14ac:dyDescent="0.25">
      <c r="B28" s="25" t="s">
        <v>190</v>
      </c>
      <c r="C28" s="25" t="s">
        <v>191</v>
      </c>
      <c r="D28" s="25" t="s">
        <v>156</v>
      </c>
      <c r="E28" s="26">
        <v>27503</v>
      </c>
      <c r="F28" s="27">
        <v>171.05</v>
      </c>
      <c r="G28" s="28">
        <v>2.1399999999999999E-2</v>
      </c>
      <c r="H28" s="29"/>
    </row>
    <row r="29" spans="2:8" ht="15.75" customHeight="1" x14ac:dyDescent="0.25">
      <c r="B29" s="25" t="s">
        <v>357</v>
      </c>
      <c r="C29" s="25" t="s">
        <v>358</v>
      </c>
      <c r="D29" s="25" t="s">
        <v>260</v>
      </c>
      <c r="E29" s="26">
        <v>5958</v>
      </c>
      <c r="F29" s="27">
        <v>156.16</v>
      </c>
      <c r="G29" s="28">
        <v>1.95E-2</v>
      </c>
      <c r="H29" s="29"/>
    </row>
    <row r="30" spans="2:8" ht="15.75" customHeight="1" x14ac:dyDescent="0.25">
      <c r="B30" s="25" t="s">
        <v>927</v>
      </c>
      <c r="C30" s="25" t="s">
        <v>928</v>
      </c>
      <c r="D30" s="25" t="s">
        <v>231</v>
      </c>
      <c r="E30" s="26">
        <v>5474</v>
      </c>
      <c r="F30" s="27">
        <v>154.63</v>
      </c>
      <c r="G30" s="28">
        <v>1.9300000000000001E-2</v>
      </c>
      <c r="H30" s="29"/>
    </row>
    <row r="31" spans="2:8" ht="15.75" customHeight="1" x14ac:dyDescent="0.25">
      <c r="B31" s="25" t="s">
        <v>929</v>
      </c>
      <c r="C31" s="25" t="s">
        <v>930</v>
      </c>
      <c r="D31" s="25" t="s">
        <v>244</v>
      </c>
      <c r="E31" s="26">
        <v>24434</v>
      </c>
      <c r="F31" s="27">
        <v>151.47</v>
      </c>
      <c r="G31" s="28">
        <v>1.89E-2</v>
      </c>
      <c r="H31" s="29"/>
    </row>
    <row r="32" spans="2:8" ht="15.75" customHeight="1" x14ac:dyDescent="0.25">
      <c r="B32" s="25" t="s">
        <v>931</v>
      </c>
      <c r="C32" s="25" t="s">
        <v>932</v>
      </c>
      <c r="D32" s="25" t="s">
        <v>209</v>
      </c>
      <c r="E32" s="26">
        <v>39046</v>
      </c>
      <c r="F32" s="27">
        <v>147.19999999999999</v>
      </c>
      <c r="G32" s="28">
        <v>1.84E-2</v>
      </c>
      <c r="H32" s="29"/>
    </row>
    <row r="33" spans="2:8" ht="15.75" customHeight="1" x14ac:dyDescent="0.25">
      <c r="B33" s="25" t="s">
        <v>933</v>
      </c>
      <c r="C33" s="25" t="s">
        <v>934</v>
      </c>
      <c r="D33" s="25" t="s">
        <v>431</v>
      </c>
      <c r="E33" s="26">
        <v>2173</v>
      </c>
      <c r="F33" s="27">
        <v>142.13</v>
      </c>
      <c r="G33" s="28">
        <v>1.78E-2</v>
      </c>
      <c r="H33" s="29"/>
    </row>
    <row r="34" spans="2:8" ht="15.75" customHeight="1" x14ac:dyDescent="0.25">
      <c r="B34" s="25" t="s">
        <v>249</v>
      </c>
      <c r="C34" s="25" t="s">
        <v>250</v>
      </c>
      <c r="D34" s="25" t="s">
        <v>197</v>
      </c>
      <c r="E34" s="26">
        <v>15059</v>
      </c>
      <c r="F34" s="27">
        <v>140</v>
      </c>
      <c r="G34" s="28">
        <v>1.7500000000000002E-2</v>
      </c>
      <c r="H34" s="29"/>
    </row>
    <row r="35" spans="2:8" ht="15.75" customHeight="1" x14ac:dyDescent="0.25">
      <c r="B35" s="25" t="s">
        <v>935</v>
      </c>
      <c r="C35" s="25" t="s">
        <v>936</v>
      </c>
      <c r="D35" s="25" t="s">
        <v>380</v>
      </c>
      <c r="E35" s="26">
        <v>11809</v>
      </c>
      <c r="F35" s="27">
        <v>138.99</v>
      </c>
      <c r="G35" s="28">
        <v>1.7399999999999999E-2</v>
      </c>
      <c r="H35" s="29"/>
    </row>
    <row r="36" spans="2:8" ht="15.75" customHeight="1" x14ac:dyDescent="0.25">
      <c r="B36" s="25" t="s">
        <v>427</v>
      </c>
      <c r="C36" s="25" t="s">
        <v>428</v>
      </c>
      <c r="D36" s="25" t="s">
        <v>426</v>
      </c>
      <c r="E36" s="26">
        <v>70422</v>
      </c>
      <c r="F36" s="27">
        <v>136.02000000000001</v>
      </c>
      <c r="G36" s="28">
        <v>1.7000000000000001E-2</v>
      </c>
      <c r="H36" s="29"/>
    </row>
    <row r="37" spans="2:8" ht="15.75" customHeight="1" x14ac:dyDescent="0.25">
      <c r="B37" s="25" t="s">
        <v>306</v>
      </c>
      <c r="C37" s="25" t="s">
        <v>307</v>
      </c>
      <c r="D37" s="25" t="s">
        <v>244</v>
      </c>
      <c r="E37" s="26">
        <v>549</v>
      </c>
      <c r="F37" s="27">
        <v>134.19999999999999</v>
      </c>
      <c r="G37" s="28">
        <v>1.6799999999999999E-2</v>
      </c>
      <c r="H37" s="29"/>
    </row>
    <row r="38" spans="2:8" ht="15.75" customHeight="1" x14ac:dyDescent="0.25">
      <c r="B38" s="25" t="s">
        <v>436</v>
      </c>
      <c r="C38" s="25" t="s">
        <v>437</v>
      </c>
      <c r="D38" s="25" t="s">
        <v>315</v>
      </c>
      <c r="E38" s="26">
        <v>12469</v>
      </c>
      <c r="F38" s="27">
        <v>129.52000000000001</v>
      </c>
      <c r="G38" s="28">
        <v>1.6199999999999999E-2</v>
      </c>
      <c r="H38" s="29"/>
    </row>
    <row r="39" spans="2:8" ht="15.75" customHeight="1" x14ac:dyDescent="0.25">
      <c r="B39" s="25" t="s">
        <v>304</v>
      </c>
      <c r="C39" s="25" t="s">
        <v>305</v>
      </c>
      <c r="D39" s="25" t="s">
        <v>296</v>
      </c>
      <c r="E39" s="26">
        <v>97158</v>
      </c>
      <c r="F39" s="27">
        <v>127.47</v>
      </c>
      <c r="G39" s="28">
        <v>1.5900000000000001E-2</v>
      </c>
      <c r="H39" s="29"/>
    </row>
    <row r="40" spans="2:8" ht="15.75" customHeight="1" x14ac:dyDescent="0.25">
      <c r="B40" s="25" t="s">
        <v>318</v>
      </c>
      <c r="C40" s="25" t="s">
        <v>319</v>
      </c>
      <c r="D40" s="25" t="s">
        <v>231</v>
      </c>
      <c r="E40" s="26">
        <v>23925</v>
      </c>
      <c r="F40" s="27">
        <v>121.48</v>
      </c>
      <c r="G40" s="28">
        <v>1.52E-2</v>
      </c>
      <c r="H40" s="29"/>
    </row>
    <row r="41" spans="2:8" ht="15.75" customHeight="1" x14ac:dyDescent="0.25">
      <c r="B41" s="25" t="s">
        <v>251</v>
      </c>
      <c r="C41" s="25" t="s">
        <v>252</v>
      </c>
      <c r="D41" s="25" t="s">
        <v>253</v>
      </c>
      <c r="E41" s="26">
        <v>21190</v>
      </c>
      <c r="F41" s="27">
        <v>109.76</v>
      </c>
      <c r="G41" s="28">
        <v>1.37E-2</v>
      </c>
      <c r="H41" s="29"/>
    </row>
    <row r="42" spans="2:8" ht="15.75" customHeight="1" x14ac:dyDescent="0.25">
      <c r="B42" s="25" t="s">
        <v>937</v>
      </c>
      <c r="C42" s="25" t="s">
        <v>938</v>
      </c>
      <c r="D42" s="25" t="s">
        <v>296</v>
      </c>
      <c r="E42" s="26">
        <v>351</v>
      </c>
      <c r="F42" s="27">
        <v>103.04</v>
      </c>
      <c r="G42" s="28">
        <v>1.29E-2</v>
      </c>
      <c r="H42" s="29"/>
    </row>
    <row r="43" spans="2:8" ht="15.75" customHeight="1" x14ac:dyDescent="0.25">
      <c r="B43" s="25" t="s">
        <v>364</v>
      </c>
      <c r="C43" s="25" t="s">
        <v>365</v>
      </c>
      <c r="D43" s="25" t="s">
        <v>214</v>
      </c>
      <c r="E43" s="26">
        <v>3770</v>
      </c>
      <c r="F43" s="27">
        <v>99.62</v>
      </c>
      <c r="G43" s="28">
        <v>1.24E-2</v>
      </c>
      <c r="H43" s="29"/>
    </row>
    <row r="44" spans="2:8" ht="15.75" customHeight="1" x14ac:dyDescent="0.25">
      <c r="B44" s="25" t="s">
        <v>256</v>
      </c>
      <c r="C44" s="25" t="s">
        <v>257</v>
      </c>
      <c r="D44" s="25" t="s">
        <v>214</v>
      </c>
      <c r="E44" s="26">
        <v>10360</v>
      </c>
      <c r="F44" s="27">
        <v>98.79</v>
      </c>
      <c r="G44" s="28">
        <v>1.23E-2</v>
      </c>
      <c r="H44" s="29"/>
    </row>
    <row r="45" spans="2:8" ht="15.75" customHeight="1" x14ac:dyDescent="0.25">
      <c r="B45" s="25" t="s">
        <v>681</v>
      </c>
      <c r="C45" s="25" t="s">
        <v>682</v>
      </c>
      <c r="D45" s="25" t="s">
        <v>286</v>
      </c>
      <c r="E45" s="26">
        <v>16013</v>
      </c>
      <c r="F45" s="27">
        <v>91.74</v>
      </c>
      <c r="G45" s="28">
        <v>1.15E-2</v>
      </c>
      <c r="H45" s="29"/>
    </row>
    <row r="46" spans="2:8" ht="15.75" customHeight="1" x14ac:dyDescent="0.25">
      <c r="B46" s="25" t="s">
        <v>939</v>
      </c>
      <c r="C46" s="25" t="s">
        <v>940</v>
      </c>
      <c r="D46" s="25" t="s">
        <v>209</v>
      </c>
      <c r="E46" s="26">
        <v>12113</v>
      </c>
      <c r="F46" s="27">
        <v>88.22</v>
      </c>
      <c r="G46" s="28">
        <v>1.0999999999999999E-2</v>
      </c>
      <c r="H46" s="29"/>
    </row>
    <row r="47" spans="2:8" ht="15.75" customHeight="1" x14ac:dyDescent="0.25">
      <c r="B47" s="25" t="s">
        <v>378</v>
      </c>
      <c r="C47" s="25" t="s">
        <v>379</v>
      </c>
      <c r="D47" s="25" t="s">
        <v>380</v>
      </c>
      <c r="E47" s="26">
        <v>5844</v>
      </c>
      <c r="F47" s="27">
        <v>86.46</v>
      </c>
      <c r="G47" s="28">
        <v>1.0800000000000001E-2</v>
      </c>
      <c r="H47" s="29"/>
    </row>
    <row r="48" spans="2:8" ht="15.75" customHeight="1" x14ac:dyDescent="0.25">
      <c r="B48" s="25" t="s">
        <v>783</v>
      </c>
      <c r="C48" s="25" t="s">
        <v>784</v>
      </c>
      <c r="D48" s="25" t="s">
        <v>426</v>
      </c>
      <c r="E48" s="26">
        <v>1790</v>
      </c>
      <c r="F48" s="27">
        <v>82.41</v>
      </c>
      <c r="G48" s="28">
        <v>1.03E-2</v>
      </c>
      <c r="H48" s="29"/>
    </row>
    <row r="49" spans="2:8" ht="15.75" customHeight="1" x14ac:dyDescent="0.25">
      <c r="B49" s="25" t="s">
        <v>941</v>
      </c>
      <c r="C49" s="25" t="s">
        <v>942</v>
      </c>
      <c r="D49" s="25" t="s">
        <v>281</v>
      </c>
      <c r="E49" s="26">
        <v>4413</v>
      </c>
      <c r="F49" s="27">
        <v>79.33</v>
      </c>
      <c r="G49" s="28">
        <v>9.9000000000000008E-3</v>
      </c>
      <c r="H49" s="29"/>
    </row>
    <row r="50" spans="2:8" ht="15.75" customHeight="1" x14ac:dyDescent="0.25">
      <c r="B50" s="25" t="s">
        <v>943</v>
      </c>
      <c r="C50" s="25" t="s">
        <v>944</v>
      </c>
      <c r="D50" s="25" t="s">
        <v>281</v>
      </c>
      <c r="E50" s="26">
        <v>11147</v>
      </c>
      <c r="F50" s="27">
        <v>68.27</v>
      </c>
      <c r="G50" s="28">
        <v>8.5000000000000006E-3</v>
      </c>
      <c r="H50" s="29"/>
    </row>
    <row r="51" spans="2:8" ht="15.75" customHeight="1" x14ac:dyDescent="0.25">
      <c r="B51" s="25" t="s">
        <v>775</v>
      </c>
      <c r="C51" s="25" t="s">
        <v>776</v>
      </c>
      <c r="D51" s="25" t="s">
        <v>442</v>
      </c>
      <c r="E51" s="26">
        <v>11512</v>
      </c>
      <c r="F51" s="27">
        <v>58.54</v>
      </c>
      <c r="G51" s="28">
        <v>7.3000000000000001E-3</v>
      </c>
      <c r="H51" s="29"/>
    </row>
    <row r="52" spans="2:8" ht="15.75" customHeight="1" x14ac:dyDescent="0.25">
      <c r="B52" s="25" t="s">
        <v>366</v>
      </c>
      <c r="C52" s="25" t="s">
        <v>367</v>
      </c>
      <c r="D52" s="25" t="s">
        <v>209</v>
      </c>
      <c r="E52" s="26">
        <v>525</v>
      </c>
      <c r="F52" s="27">
        <v>42.61</v>
      </c>
      <c r="G52" s="28">
        <v>5.3E-3</v>
      </c>
      <c r="H52" s="29"/>
    </row>
    <row r="53" spans="2:8" ht="15.75" customHeight="1" x14ac:dyDescent="0.25">
      <c r="B53" s="25" t="s">
        <v>945</v>
      </c>
      <c r="C53" s="25" t="s">
        <v>946</v>
      </c>
      <c r="D53" s="25" t="s">
        <v>281</v>
      </c>
      <c r="E53" s="26">
        <v>3632</v>
      </c>
      <c r="F53" s="27">
        <v>38.69</v>
      </c>
      <c r="G53" s="28">
        <v>4.7999999999999996E-3</v>
      </c>
      <c r="H53" s="29"/>
    </row>
    <row r="54" spans="2:8" ht="15.75" customHeight="1" x14ac:dyDescent="0.25">
      <c r="B54" s="25" t="s">
        <v>947</v>
      </c>
      <c r="C54" s="25" t="s">
        <v>948</v>
      </c>
      <c r="D54" s="25" t="s">
        <v>209</v>
      </c>
      <c r="E54" s="26">
        <v>22160</v>
      </c>
      <c r="F54" s="27">
        <v>34.85</v>
      </c>
      <c r="G54" s="28">
        <v>4.4000000000000003E-3</v>
      </c>
      <c r="H54" s="29"/>
    </row>
    <row r="55" spans="2:8" ht="15.75" customHeight="1" x14ac:dyDescent="0.25">
      <c r="B55" s="25" t="s">
        <v>949</v>
      </c>
      <c r="C55" s="25" t="s">
        <v>950</v>
      </c>
      <c r="D55" s="25" t="s">
        <v>401</v>
      </c>
      <c r="E55" s="26">
        <v>3318</v>
      </c>
      <c r="F55" s="27">
        <v>30.83</v>
      </c>
      <c r="G55" s="28">
        <v>3.8999999999999998E-3</v>
      </c>
      <c r="H55" s="29"/>
    </row>
    <row r="56" spans="2:8" ht="15.75" customHeight="1" x14ac:dyDescent="0.25">
      <c r="B56" s="25" t="s">
        <v>951</v>
      </c>
      <c r="C56" s="25" t="s">
        <v>952</v>
      </c>
      <c r="D56" s="25" t="s">
        <v>286</v>
      </c>
      <c r="E56" s="26">
        <v>3062</v>
      </c>
      <c r="F56" s="27">
        <v>29.95</v>
      </c>
      <c r="G56" s="28">
        <v>3.7000000000000002E-3</v>
      </c>
      <c r="H56" s="29"/>
    </row>
    <row r="57" spans="2:8" ht="15.75" customHeight="1" x14ac:dyDescent="0.25">
      <c r="B57" s="24" t="s">
        <v>128</v>
      </c>
      <c r="C57" s="24"/>
      <c r="D57" s="24"/>
      <c r="E57" s="30"/>
      <c r="F57" s="31">
        <v>7968.66</v>
      </c>
      <c r="G57" s="32">
        <v>0.99529999999999996</v>
      </c>
      <c r="H57" s="33"/>
    </row>
    <row r="58" spans="2:8" ht="15.75" customHeight="1" x14ac:dyDescent="0.25">
      <c r="B58" s="24" t="s">
        <v>176</v>
      </c>
      <c r="C58" s="25"/>
      <c r="D58" s="25"/>
      <c r="E58" s="26"/>
      <c r="F58" s="27"/>
      <c r="G58" s="28"/>
      <c r="H58" s="29"/>
    </row>
    <row r="59" spans="2:8" ht="15.75" customHeight="1" x14ac:dyDescent="0.25">
      <c r="B59" s="24" t="s">
        <v>128</v>
      </c>
      <c r="C59" s="25"/>
      <c r="D59" s="25"/>
      <c r="E59" s="26"/>
      <c r="F59" s="34" t="s">
        <v>130</v>
      </c>
      <c r="G59" s="35" t="s">
        <v>130</v>
      </c>
      <c r="H59" s="29"/>
    </row>
    <row r="60" spans="2:8" ht="15.75" customHeight="1" x14ac:dyDescent="0.25">
      <c r="B60" s="25"/>
      <c r="C60" s="25"/>
      <c r="D60" s="25"/>
      <c r="E60" s="26"/>
      <c r="F60" s="27"/>
      <c r="G60" s="28"/>
      <c r="H60" s="29"/>
    </row>
    <row r="61" spans="2:8" ht="15.75" customHeight="1" x14ac:dyDescent="0.25">
      <c r="B61" s="36" t="s">
        <v>132</v>
      </c>
      <c r="C61" s="36"/>
      <c r="D61" s="36"/>
      <c r="E61" s="37"/>
      <c r="F61" s="31">
        <v>7968.66</v>
      </c>
      <c r="G61" s="32">
        <v>0.99529999999999996</v>
      </c>
      <c r="H61" s="33"/>
    </row>
    <row r="62" spans="2:8" ht="15.75" customHeight="1" x14ac:dyDescent="0.25">
      <c r="B62" s="25"/>
      <c r="C62" s="25"/>
      <c r="D62" s="25"/>
      <c r="E62" s="26"/>
      <c r="F62" s="27"/>
      <c r="G62" s="28"/>
      <c r="H62" s="29"/>
    </row>
    <row r="63" spans="2:8" ht="15.75" customHeight="1" x14ac:dyDescent="0.25">
      <c r="B63" s="25"/>
      <c r="C63" s="25"/>
      <c r="D63" s="25"/>
      <c r="E63" s="26"/>
      <c r="F63" s="27"/>
      <c r="G63" s="28"/>
      <c r="H63" s="29"/>
    </row>
    <row r="64" spans="2:8" ht="15.75" customHeight="1" x14ac:dyDescent="0.25">
      <c r="B64" s="24" t="s">
        <v>135</v>
      </c>
      <c r="C64" s="25"/>
      <c r="D64" s="25"/>
      <c r="E64" s="26"/>
      <c r="F64" s="27"/>
      <c r="G64" s="28"/>
      <c r="H64" s="29"/>
    </row>
    <row r="65" spans="2:12" ht="15.75" customHeight="1" x14ac:dyDescent="0.25">
      <c r="B65" s="25" t="s">
        <v>136</v>
      </c>
      <c r="C65" s="25"/>
      <c r="D65" s="25"/>
      <c r="E65" s="26"/>
      <c r="F65" s="27">
        <v>37.28</v>
      </c>
      <c r="G65" s="28">
        <v>4.7000000000000002E-3</v>
      </c>
      <c r="H65" s="29"/>
    </row>
    <row r="66" spans="2:12" ht="15.75" customHeight="1" x14ac:dyDescent="0.25">
      <c r="B66" s="24" t="s">
        <v>128</v>
      </c>
      <c r="C66" s="24"/>
      <c r="D66" s="24"/>
      <c r="E66" s="30"/>
      <c r="F66" s="31">
        <v>37.28</v>
      </c>
      <c r="G66" s="32">
        <v>4.7000000000000002E-3</v>
      </c>
      <c r="H66" s="33"/>
    </row>
    <row r="67" spans="2:12" ht="15.75" customHeight="1" x14ac:dyDescent="0.25">
      <c r="B67" s="25"/>
      <c r="C67" s="25"/>
      <c r="D67" s="25"/>
      <c r="E67" s="26"/>
      <c r="F67" s="27"/>
      <c r="G67" s="28"/>
      <c r="H67" s="29"/>
    </row>
    <row r="68" spans="2:12" ht="15.75" customHeight="1" x14ac:dyDescent="0.25">
      <c r="B68" s="36" t="s">
        <v>132</v>
      </c>
      <c r="C68" s="36"/>
      <c r="D68" s="36"/>
      <c r="E68" s="37"/>
      <c r="F68" s="31">
        <v>37.28</v>
      </c>
      <c r="G68" s="32">
        <v>4.7000000000000002E-3</v>
      </c>
      <c r="H68" s="33"/>
      <c r="L68" s="3"/>
    </row>
    <row r="69" spans="2:12" ht="15.75" customHeight="1" x14ac:dyDescent="0.25">
      <c r="B69" s="25" t="s">
        <v>137</v>
      </c>
      <c r="C69" s="25"/>
      <c r="D69" s="25"/>
      <c r="E69" s="26"/>
      <c r="F69" s="38">
        <v>-0.04</v>
      </c>
      <c r="G69" s="28">
        <v>0</v>
      </c>
      <c r="H69" s="29"/>
    </row>
    <row r="70" spans="2:12" ht="15.75" customHeight="1" x14ac:dyDescent="0.25">
      <c r="B70" s="40" t="s">
        <v>138</v>
      </c>
      <c r="C70" s="40"/>
      <c r="D70" s="40"/>
      <c r="E70" s="41"/>
      <c r="F70" s="42">
        <v>8005.9</v>
      </c>
      <c r="G70" s="43">
        <v>1</v>
      </c>
      <c r="H70" s="44"/>
      <c r="L70" s="3"/>
    </row>
    <row r="71" spans="2:12" ht="15.75" customHeight="1" thickBot="1" x14ac:dyDescent="0.3">
      <c r="B71" s="2"/>
      <c r="L71" s="3"/>
    </row>
    <row r="72" spans="2:12" ht="27" customHeight="1" thickBot="1" x14ac:dyDescent="0.3">
      <c r="B72" s="57" t="s">
        <v>980</v>
      </c>
      <c r="C72" s="58" t="s">
        <v>981</v>
      </c>
      <c r="D72" s="58" t="s">
        <v>982</v>
      </c>
      <c r="E72" s="63" t="s">
        <v>983</v>
      </c>
      <c r="G72" s="2"/>
      <c r="H72" s="2"/>
    </row>
    <row r="73" spans="2:12" ht="29.25" customHeight="1" x14ac:dyDescent="0.25">
      <c r="B73" s="64" t="s">
        <v>30</v>
      </c>
      <c r="C73" s="82"/>
      <c r="D73" s="85" t="s">
        <v>1063</v>
      </c>
      <c r="E73" s="87"/>
      <c r="G73" s="2"/>
      <c r="H73" s="2"/>
    </row>
    <row r="74" spans="2:12" ht="40" customHeight="1" x14ac:dyDescent="0.25">
      <c r="B74" s="66" t="s">
        <v>1064</v>
      </c>
      <c r="C74" s="83"/>
      <c r="D74" s="86"/>
      <c r="E74" s="83"/>
      <c r="G74" s="2"/>
      <c r="H74" s="2"/>
    </row>
    <row r="75" spans="2:12" ht="45" customHeight="1" x14ac:dyDescent="0.25">
      <c r="B75" s="66" t="s">
        <v>1065</v>
      </c>
      <c r="C75" s="83"/>
      <c r="D75" s="86"/>
      <c r="E75" s="83"/>
      <c r="G75" s="2"/>
      <c r="H75" s="2"/>
    </row>
    <row r="76" spans="2:12" ht="23.25" customHeight="1" thickBot="1" x14ac:dyDescent="0.3">
      <c r="B76" s="68" t="s">
        <v>1006</v>
      </c>
      <c r="C76" s="84"/>
      <c r="D76" s="71" t="s">
        <v>1006</v>
      </c>
      <c r="E76" s="88"/>
      <c r="G76" s="2"/>
      <c r="H76" s="2"/>
    </row>
    <row r="77" spans="2:12" ht="25" customHeight="1" x14ac:dyDescent="0.25">
      <c r="B77" s="59" t="s">
        <v>985</v>
      </c>
      <c r="C77" s="60"/>
      <c r="D77" s="61"/>
      <c r="E77" s="62"/>
      <c r="G77" s="2"/>
      <c r="H77" s="2"/>
    </row>
    <row r="79" spans="2:12" ht="11.5" x14ac:dyDescent="0.25">
      <c r="B79" s="2" t="s">
        <v>986</v>
      </c>
      <c r="C79" s="2"/>
      <c r="D79" s="2"/>
      <c r="G79" s="2"/>
      <c r="H79" s="2"/>
    </row>
    <row r="80" spans="2:12" ht="11.5" x14ac:dyDescent="0.25">
      <c r="B80" s="3" t="s">
        <v>987</v>
      </c>
      <c r="C80" s="2"/>
      <c r="D80" s="2"/>
      <c r="G80" s="2"/>
      <c r="H80" s="2"/>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3">
    <mergeCell ref="C73:C76"/>
    <mergeCell ref="D73:D75"/>
    <mergeCell ref="E73:E76"/>
  </mergeCells>
  <hyperlinks>
    <hyperlink ref="I1" location="'Sheet1'!A1" display="Index" xr:uid="{5BB45335-ABD2-4D9F-B4D7-11F5C2F64FD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7F8F5-72C5-4FD3-A03D-E8C6D59FF794}">
  <dimension ref="B1:P131"/>
  <sheetViews>
    <sheetView workbookViewId="0"/>
  </sheetViews>
  <sheetFormatPr defaultColWidth="9.1796875" defaultRowHeight="15.75" customHeight="1" x14ac:dyDescent="0.25"/>
  <cols>
    <col min="1" max="1" width="3.6328125" style="2" customWidth="1"/>
    <col min="2" max="2" width="50.453125" style="9" customWidth="1"/>
    <col min="3" max="3" width="27" style="9" customWidth="1"/>
    <col min="4" max="4" width="26.6328125" style="9" customWidth="1"/>
    <col min="5" max="5" width="27.54296875" style="2" customWidth="1"/>
    <col min="6" max="6" width="16.453125" style="2" customWidth="1"/>
    <col min="7" max="7" width="15.26953125" style="8" customWidth="1"/>
    <col min="8" max="8" width="4.906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31</v>
      </c>
      <c r="C1" s="1" t="s">
        <v>992</v>
      </c>
      <c r="D1" s="1" t="s">
        <v>993</v>
      </c>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160</v>
      </c>
      <c r="C7" s="25" t="s">
        <v>161</v>
      </c>
      <c r="D7" s="25" t="s">
        <v>156</v>
      </c>
      <c r="E7" s="26">
        <v>406812</v>
      </c>
      <c r="F7" s="27">
        <v>6183.95</v>
      </c>
      <c r="G7" s="28">
        <v>9.2299999999999993E-2</v>
      </c>
      <c r="H7" s="29"/>
    </row>
    <row r="8" spans="2:9" ht="15.75" customHeight="1" x14ac:dyDescent="0.25">
      <c r="B8" s="25" t="s">
        <v>162</v>
      </c>
      <c r="C8" s="25" t="s">
        <v>163</v>
      </c>
      <c r="D8" s="25" t="s">
        <v>164</v>
      </c>
      <c r="E8" s="26">
        <v>182877</v>
      </c>
      <c r="F8" s="27">
        <v>5365.61</v>
      </c>
      <c r="G8" s="28">
        <v>8.0100000000000005E-2</v>
      </c>
      <c r="H8" s="29"/>
    </row>
    <row r="9" spans="2:9" ht="15.75" customHeight="1" x14ac:dyDescent="0.25">
      <c r="B9" s="25" t="s">
        <v>154</v>
      </c>
      <c r="C9" s="25" t="s">
        <v>155</v>
      </c>
      <c r="D9" s="25" t="s">
        <v>156</v>
      </c>
      <c r="E9" s="26">
        <v>379651</v>
      </c>
      <c r="F9" s="27">
        <v>4367.51</v>
      </c>
      <c r="G9" s="28">
        <v>6.5199999999999994E-2</v>
      </c>
      <c r="H9" s="29"/>
    </row>
    <row r="10" spans="2:9" ht="15.75" customHeight="1" x14ac:dyDescent="0.25">
      <c r="B10" s="25" t="s">
        <v>157</v>
      </c>
      <c r="C10" s="25" t="s">
        <v>158</v>
      </c>
      <c r="D10" s="25" t="s">
        <v>159</v>
      </c>
      <c r="E10" s="26">
        <v>193355</v>
      </c>
      <c r="F10" s="27">
        <v>2746.7</v>
      </c>
      <c r="G10" s="28">
        <v>4.1000000000000002E-2</v>
      </c>
      <c r="H10" s="29"/>
    </row>
    <row r="11" spans="2:9" ht="15.75" customHeight="1" x14ac:dyDescent="0.25">
      <c r="B11" s="25" t="s">
        <v>261</v>
      </c>
      <c r="C11" s="25" t="s">
        <v>262</v>
      </c>
      <c r="D11" s="25" t="s">
        <v>263</v>
      </c>
      <c r="E11" s="26">
        <v>64013</v>
      </c>
      <c r="F11" s="27">
        <v>2300.8200000000002</v>
      </c>
      <c r="G11" s="28">
        <v>3.44E-2</v>
      </c>
      <c r="H11" s="29"/>
    </row>
    <row r="12" spans="2:9" ht="15.75" customHeight="1" x14ac:dyDescent="0.25">
      <c r="B12" s="25" t="s">
        <v>332</v>
      </c>
      <c r="C12" s="25" t="s">
        <v>333</v>
      </c>
      <c r="D12" s="25" t="s">
        <v>159</v>
      </c>
      <c r="E12" s="26">
        <v>54992</v>
      </c>
      <c r="F12" s="27">
        <v>2101.0500000000002</v>
      </c>
      <c r="G12" s="28">
        <v>3.1399999999999997E-2</v>
      </c>
      <c r="H12" s="29"/>
    </row>
    <row r="13" spans="2:9" ht="15.75" customHeight="1" x14ac:dyDescent="0.25">
      <c r="B13" s="25" t="s">
        <v>292</v>
      </c>
      <c r="C13" s="25" t="s">
        <v>293</v>
      </c>
      <c r="D13" s="25" t="s">
        <v>173</v>
      </c>
      <c r="E13" s="26">
        <v>478992</v>
      </c>
      <c r="F13" s="27">
        <v>2086.73</v>
      </c>
      <c r="G13" s="28">
        <v>3.1199999999999999E-2</v>
      </c>
      <c r="H13" s="29"/>
    </row>
    <row r="14" spans="2:9" ht="15.75" customHeight="1" x14ac:dyDescent="0.25">
      <c r="B14" s="25" t="s">
        <v>434</v>
      </c>
      <c r="C14" s="25" t="s">
        <v>435</v>
      </c>
      <c r="D14" s="25" t="s">
        <v>268</v>
      </c>
      <c r="E14" s="26">
        <v>140380</v>
      </c>
      <c r="F14" s="27">
        <v>1856.24</v>
      </c>
      <c r="G14" s="28">
        <v>2.7699999999999999E-2</v>
      </c>
      <c r="H14" s="29"/>
    </row>
    <row r="15" spans="2:9" ht="15.75" customHeight="1" x14ac:dyDescent="0.25">
      <c r="B15" s="25" t="s">
        <v>247</v>
      </c>
      <c r="C15" s="25" t="s">
        <v>248</v>
      </c>
      <c r="D15" s="25" t="s">
        <v>156</v>
      </c>
      <c r="E15" s="26">
        <v>153364</v>
      </c>
      <c r="F15" s="27">
        <v>1788.07</v>
      </c>
      <c r="G15" s="28">
        <v>2.6700000000000002E-2</v>
      </c>
      <c r="H15" s="29"/>
    </row>
    <row r="16" spans="2:9" ht="15.75" customHeight="1" x14ac:dyDescent="0.25">
      <c r="B16" s="25" t="s">
        <v>330</v>
      </c>
      <c r="C16" s="25" t="s">
        <v>331</v>
      </c>
      <c r="D16" s="25" t="s">
        <v>156</v>
      </c>
      <c r="E16" s="26">
        <v>206903</v>
      </c>
      <c r="F16" s="27">
        <v>1709.54</v>
      </c>
      <c r="G16" s="28">
        <v>2.5499999999999998E-2</v>
      </c>
      <c r="H16" s="29"/>
    </row>
    <row r="17" spans="2:8" ht="15.75" customHeight="1" x14ac:dyDescent="0.25">
      <c r="B17" s="25" t="s">
        <v>227</v>
      </c>
      <c r="C17" s="25" t="s">
        <v>228</v>
      </c>
      <c r="D17" s="25" t="s">
        <v>156</v>
      </c>
      <c r="E17" s="26">
        <v>79529</v>
      </c>
      <c r="F17" s="27">
        <v>1291.51</v>
      </c>
      <c r="G17" s="28">
        <v>1.9300000000000001E-2</v>
      </c>
      <c r="H17" s="29"/>
    </row>
    <row r="18" spans="2:8" ht="15.75" customHeight="1" x14ac:dyDescent="0.25">
      <c r="B18" s="25" t="s">
        <v>165</v>
      </c>
      <c r="C18" s="25" t="s">
        <v>166</v>
      </c>
      <c r="D18" s="25" t="s">
        <v>167</v>
      </c>
      <c r="E18" s="26">
        <v>51630</v>
      </c>
      <c r="F18" s="27">
        <v>1113.32</v>
      </c>
      <c r="G18" s="28">
        <v>1.66E-2</v>
      </c>
      <c r="H18" s="29"/>
    </row>
    <row r="19" spans="2:8" ht="15.75" customHeight="1" x14ac:dyDescent="0.25">
      <c r="B19" s="25" t="s">
        <v>171</v>
      </c>
      <c r="C19" s="25" t="s">
        <v>172</v>
      </c>
      <c r="D19" s="25" t="s">
        <v>173</v>
      </c>
      <c r="E19" s="26">
        <v>48244</v>
      </c>
      <c r="F19" s="27">
        <v>1076.06</v>
      </c>
      <c r="G19" s="28">
        <v>1.61E-2</v>
      </c>
      <c r="H19" s="29"/>
    </row>
    <row r="20" spans="2:8" ht="15.75" customHeight="1" x14ac:dyDescent="0.25">
      <c r="B20" s="25" t="s">
        <v>210</v>
      </c>
      <c r="C20" s="25" t="s">
        <v>211</v>
      </c>
      <c r="D20" s="25" t="s">
        <v>209</v>
      </c>
      <c r="E20" s="26">
        <v>15036</v>
      </c>
      <c r="F20" s="27">
        <v>1041.02</v>
      </c>
      <c r="G20" s="28">
        <v>1.55E-2</v>
      </c>
      <c r="H20" s="29"/>
    </row>
    <row r="21" spans="2:8" ht="15.75" customHeight="1" x14ac:dyDescent="0.25">
      <c r="B21" s="25" t="s">
        <v>532</v>
      </c>
      <c r="C21" s="25" t="s">
        <v>533</v>
      </c>
      <c r="D21" s="25" t="s">
        <v>167</v>
      </c>
      <c r="E21" s="26">
        <v>94847</v>
      </c>
      <c r="F21" s="27">
        <v>955.96</v>
      </c>
      <c r="G21" s="28">
        <v>1.43E-2</v>
      </c>
      <c r="H21" s="29"/>
    </row>
    <row r="22" spans="2:8" ht="15.75" customHeight="1" x14ac:dyDescent="0.25">
      <c r="B22" s="25" t="s">
        <v>336</v>
      </c>
      <c r="C22" s="25" t="s">
        <v>337</v>
      </c>
      <c r="D22" s="25" t="s">
        <v>281</v>
      </c>
      <c r="E22" s="26">
        <v>257049</v>
      </c>
      <c r="F22" s="27">
        <v>933.6</v>
      </c>
      <c r="G22" s="28">
        <v>1.3899999999999999E-2</v>
      </c>
      <c r="H22" s="29"/>
    </row>
    <row r="23" spans="2:8" ht="15.75" customHeight="1" x14ac:dyDescent="0.25">
      <c r="B23" s="25" t="s">
        <v>344</v>
      </c>
      <c r="C23" s="25" t="s">
        <v>345</v>
      </c>
      <c r="D23" s="25" t="s">
        <v>167</v>
      </c>
      <c r="E23" s="26">
        <v>7117</v>
      </c>
      <c r="F23" s="27">
        <v>912.22</v>
      </c>
      <c r="G23" s="28">
        <v>1.3599999999999999E-2</v>
      </c>
      <c r="H23" s="29"/>
    </row>
    <row r="24" spans="2:8" ht="15.75" customHeight="1" x14ac:dyDescent="0.25">
      <c r="B24" s="25" t="s">
        <v>470</v>
      </c>
      <c r="C24" s="25" t="s">
        <v>471</v>
      </c>
      <c r="D24" s="25" t="s">
        <v>214</v>
      </c>
      <c r="E24" s="26">
        <v>58490</v>
      </c>
      <c r="F24" s="27">
        <v>878.58</v>
      </c>
      <c r="G24" s="28">
        <v>1.3100000000000001E-2</v>
      </c>
      <c r="H24" s="29"/>
    </row>
    <row r="25" spans="2:8" ht="15.75" customHeight="1" x14ac:dyDescent="0.25">
      <c r="B25" s="25" t="s">
        <v>440</v>
      </c>
      <c r="C25" s="25" t="s">
        <v>441</v>
      </c>
      <c r="D25" s="25" t="s">
        <v>442</v>
      </c>
      <c r="E25" s="26">
        <v>22434</v>
      </c>
      <c r="F25" s="27">
        <v>805.21</v>
      </c>
      <c r="G25" s="28">
        <v>1.2E-2</v>
      </c>
      <c r="H25" s="29"/>
    </row>
    <row r="26" spans="2:8" ht="15.75" customHeight="1" x14ac:dyDescent="0.25">
      <c r="B26" s="25" t="s">
        <v>334</v>
      </c>
      <c r="C26" s="25" t="s">
        <v>335</v>
      </c>
      <c r="D26" s="25" t="s">
        <v>159</v>
      </c>
      <c r="E26" s="26">
        <v>57411</v>
      </c>
      <c r="F26" s="27">
        <v>784.58</v>
      </c>
      <c r="G26" s="28">
        <v>1.17E-2</v>
      </c>
      <c r="H26" s="29"/>
    </row>
    <row r="27" spans="2:8" ht="15.75" customHeight="1" x14ac:dyDescent="0.25">
      <c r="B27" s="25" t="s">
        <v>355</v>
      </c>
      <c r="C27" s="25" t="s">
        <v>356</v>
      </c>
      <c r="D27" s="25" t="s">
        <v>281</v>
      </c>
      <c r="E27" s="26">
        <v>245204</v>
      </c>
      <c r="F27" s="27">
        <v>740.15</v>
      </c>
      <c r="G27" s="28">
        <v>1.11E-2</v>
      </c>
      <c r="H27" s="29"/>
    </row>
    <row r="28" spans="2:8" ht="15.75" customHeight="1" x14ac:dyDescent="0.25">
      <c r="B28" s="25" t="s">
        <v>198</v>
      </c>
      <c r="C28" s="25" t="s">
        <v>199</v>
      </c>
      <c r="D28" s="25" t="s">
        <v>197</v>
      </c>
      <c r="E28" s="26">
        <v>445422</v>
      </c>
      <c r="F28" s="27">
        <v>734.95</v>
      </c>
      <c r="G28" s="28">
        <v>1.0999999999999999E-2</v>
      </c>
      <c r="H28" s="29"/>
    </row>
    <row r="29" spans="2:8" ht="15.75" customHeight="1" x14ac:dyDescent="0.25">
      <c r="B29" s="25" t="s">
        <v>564</v>
      </c>
      <c r="C29" s="25" t="s">
        <v>565</v>
      </c>
      <c r="D29" s="25" t="s">
        <v>442</v>
      </c>
      <c r="E29" s="26">
        <v>24336</v>
      </c>
      <c r="F29" s="27">
        <v>699.88</v>
      </c>
      <c r="G29" s="28">
        <v>1.0500000000000001E-2</v>
      </c>
      <c r="H29" s="29"/>
    </row>
    <row r="30" spans="2:8" ht="15.75" customHeight="1" x14ac:dyDescent="0.25">
      <c r="B30" s="25" t="s">
        <v>931</v>
      </c>
      <c r="C30" s="25" t="s">
        <v>932</v>
      </c>
      <c r="D30" s="25" t="s">
        <v>209</v>
      </c>
      <c r="E30" s="26">
        <v>174511</v>
      </c>
      <c r="F30" s="27">
        <v>657.91</v>
      </c>
      <c r="G30" s="28">
        <v>9.7999999999999997E-3</v>
      </c>
      <c r="H30" s="29"/>
    </row>
    <row r="31" spans="2:8" ht="15.75" customHeight="1" x14ac:dyDescent="0.25">
      <c r="B31" s="25" t="s">
        <v>353</v>
      </c>
      <c r="C31" s="25" t="s">
        <v>354</v>
      </c>
      <c r="D31" s="25" t="s">
        <v>244</v>
      </c>
      <c r="E31" s="26">
        <v>6264</v>
      </c>
      <c r="F31" s="27">
        <v>624.64</v>
      </c>
      <c r="G31" s="28">
        <v>9.2999999999999992E-3</v>
      </c>
      <c r="H31" s="29"/>
    </row>
    <row r="32" spans="2:8" ht="15.75" customHeight="1" x14ac:dyDescent="0.25">
      <c r="B32" s="25" t="s">
        <v>427</v>
      </c>
      <c r="C32" s="25" t="s">
        <v>428</v>
      </c>
      <c r="D32" s="25" t="s">
        <v>426</v>
      </c>
      <c r="E32" s="26">
        <v>312360</v>
      </c>
      <c r="F32" s="27">
        <v>603.32000000000005</v>
      </c>
      <c r="G32" s="28">
        <v>8.9999999999999993E-3</v>
      </c>
      <c r="H32" s="29"/>
    </row>
    <row r="33" spans="2:8" ht="15.75" customHeight="1" x14ac:dyDescent="0.25">
      <c r="B33" s="25" t="s">
        <v>674</v>
      </c>
      <c r="C33" s="25" t="s">
        <v>675</v>
      </c>
      <c r="D33" s="25" t="s">
        <v>406</v>
      </c>
      <c r="E33" s="26">
        <v>209240</v>
      </c>
      <c r="F33" s="27">
        <v>591.84</v>
      </c>
      <c r="G33" s="28">
        <v>8.8000000000000005E-3</v>
      </c>
      <c r="H33" s="29"/>
    </row>
    <row r="34" spans="2:8" ht="15.75" customHeight="1" x14ac:dyDescent="0.25">
      <c r="B34" s="25" t="s">
        <v>310</v>
      </c>
      <c r="C34" s="25" t="s">
        <v>311</v>
      </c>
      <c r="D34" s="25" t="s">
        <v>312</v>
      </c>
      <c r="E34" s="26">
        <v>123113</v>
      </c>
      <c r="F34" s="27">
        <v>559.29999999999995</v>
      </c>
      <c r="G34" s="28">
        <v>8.3999999999999995E-3</v>
      </c>
      <c r="H34" s="29"/>
    </row>
    <row r="35" spans="2:8" ht="15.75" customHeight="1" x14ac:dyDescent="0.25">
      <c r="B35" s="25" t="s">
        <v>582</v>
      </c>
      <c r="C35" s="25" t="s">
        <v>583</v>
      </c>
      <c r="D35" s="25" t="s">
        <v>167</v>
      </c>
      <c r="E35" s="26">
        <v>6078</v>
      </c>
      <c r="F35" s="27">
        <v>541.16</v>
      </c>
      <c r="G35" s="28">
        <v>8.0999999999999996E-3</v>
      </c>
      <c r="H35" s="29"/>
    </row>
    <row r="36" spans="2:8" ht="15.75" customHeight="1" x14ac:dyDescent="0.25">
      <c r="B36" s="25" t="s">
        <v>220</v>
      </c>
      <c r="C36" s="25" t="s">
        <v>221</v>
      </c>
      <c r="D36" s="25" t="s">
        <v>156</v>
      </c>
      <c r="E36" s="26">
        <v>35577</v>
      </c>
      <c r="F36" s="27">
        <v>539.24</v>
      </c>
      <c r="G36" s="28">
        <v>8.0999999999999996E-3</v>
      </c>
      <c r="H36" s="29"/>
    </row>
    <row r="37" spans="2:8" ht="15.75" customHeight="1" x14ac:dyDescent="0.25">
      <c r="B37" s="25" t="s">
        <v>799</v>
      </c>
      <c r="C37" s="25" t="s">
        <v>800</v>
      </c>
      <c r="D37" s="25" t="s">
        <v>289</v>
      </c>
      <c r="E37" s="26">
        <v>39878</v>
      </c>
      <c r="F37" s="27">
        <v>528.34</v>
      </c>
      <c r="G37" s="28">
        <v>7.9000000000000008E-3</v>
      </c>
      <c r="H37" s="29"/>
    </row>
    <row r="38" spans="2:8" ht="15.75" customHeight="1" x14ac:dyDescent="0.25">
      <c r="B38" s="25" t="s">
        <v>424</v>
      </c>
      <c r="C38" s="25" t="s">
        <v>425</v>
      </c>
      <c r="D38" s="25" t="s">
        <v>426</v>
      </c>
      <c r="E38" s="26">
        <v>11880</v>
      </c>
      <c r="F38" s="27">
        <v>523.9</v>
      </c>
      <c r="G38" s="28">
        <v>7.7999999999999996E-3</v>
      </c>
      <c r="H38" s="29"/>
    </row>
    <row r="39" spans="2:8" ht="15.75" customHeight="1" x14ac:dyDescent="0.25">
      <c r="B39" s="25" t="s">
        <v>282</v>
      </c>
      <c r="C39" s="25" t="s">
        <v>283</v>
      </c>
      <c r="D39" s="25" t="s">
        <v>226</v>
      </c>
      <c r="E39" s="26">
        <v>78860</v>
      </c>
      <c r="F39" s="27">
        <v>508.17</v>
      </c>
      <c r="G39" s="28">
        <v>7.6E-3</v>
      </c>
      <c r="H39" s="29"/>
    </row>
    <row r="40" spans="2:8" ht="15.75" customHeight="1" x14ac:dyDescent="0.25">
      <c r="B40" s="25" t="s">
        <v>168</v>
      </c>
      <c r="C40" s="25" t="s">
        <v>169</v>
      </c>
      <c r="D40" s="25" t="s">
        <v>170</v>
      </c>
      <c r="E40" s="26">
        <v>19242</v>
      </c>
      <c r="F40" s="27">
        <v>482.47</v>
      </c>
      <c r="G40" s="28">
        <v>7.1999999999999998E-3</v>
      </c>
      <c r="H40" s="29"/>
    </row>
    <row r="41" spans="2:8" ht="15.75" customHeight="1" x14ac:dyDescent="0.25">
      <c r="B41" s="25" t="s">
        <v>320</v>
      </c>
      <c r="C41" s="25" t="s">
        <v>321</v>
      </c>
      <c r="D41" s="25" t="s">
        <v>244</v>
      </c>
      <c r="E41" s="26">
        <v>19833</v>
      </c>
      <c r="F41" s="27">
        <v>478.3</v>
      </c>
      <c r="G41" s="28">
        <v>7.1000000000000004E-3</v>
      </c>
      <c r="H41" s="29"/>
    </row>
    <row r="42" spans="2:8" ht="15.75" customHeight="1" x14ac:dyDescent="0.25">
      <c r="B42" s="25" t="s">
        <v>271</v>
      </c>
      <c r="C42" s="25" t="s">
        <v>272</v>
      </c>
      <c r="D42" s="25" t="s">
        <v>209</v>
      </c>
      <c r="E42" s="26">
        <v>29271</v>
      </c>
      <c r="F42" s="27">
        <v>472.73</v>
      </c>
      <c r="G42" s="28">
        <v>7.1000000000000004E-3</v>
      </c>
      <c r="H42" s="29"/>
    </row>
    <row r="43" spans="2:8" ht="15.75" customHeight="1" x14ac:dyDescent="0.25">
      <c r="B43" s="25" t="s">
        <v>273</v>
      </c>
      <c r="C43" s="25" t="s">
        <v>274</v>
      </c>
      <c r="D43" s="25" t="s">
        <v>197</v>
      </c>
      <c r="E43" s="26">
        <v>51665</v>
      </c>
      <c r="F43" s="27">
        <v>455.79</v>
      </c>
      <c r="G43" s="28">
        <v>6.7999999999999996E-3</v>
      </c>
      <c r="H43" s="29"/>
    </row>
    <row r="44" spans="2:8" ht="15.75" customHeight="1" x14ac:dyDescent="0.25">
      <c r="B44" s="25" t="s">
        <v>232</v>
      </c>
      <c r="C44" s="25" t="s">
        <v>233</v>
      </c>
      <c r="D44" s="25" t="s">
        <v>234</v>
      </c>
      <c r="E44" s="26">
        <v>193193</v>
      </c>
      <c r="F44" s="27">
        <v>451.59</v>
      </c>
      <c r="G44" s="28">
        <v>6.7000000000000002E-3</v>
      </c>
      <c r="H44" s="29"/>
    </row>
    <row r="45" spans="2:8" ht="15.75" customHeight="1" x14ac:dyDescent="0.25">
      <c r="B45" s="25" t="s">
        <v>264</v>
      </c>
      <c r="C45" s="25" t="s">
        <v>265</v>
      </c>
      <c r="D45" s="25" t="s">
        <v>159</v>
      </c>
      <c r="E45" s="26">
        <v>34488</v>
      </c>
      <c r="F45" s="27">
        <v>435.76</v>
      </c>
      <c r="G45" s="28">
        <v>6.4999999999999997E-3</v>
      </c>
      <c r="H45" s="29"/>
    </row>
    <row r="46" spans="2:8" ht="15.75" customHeight="1" x14ac:dyDescent="0.25">
      <c r="B46" s="25" t="s">
        <v>801</v>
      </c>
      <c r="C46" s="25" t="s">
        <v>802</v>
      </c>
      <c r="D46" s="25" t="s">
        <v>803</v>
      </c>
      <c r="E46" s="26">
        <v>14066</v>
      </c>
      <c r="F46" s="27">
        <v>429.67</v>
      </c>
      <c r="G46" s="28">
        <v>6.4000000000000003E-3</v>
      </c>
      <c r="H46" s="29"/>
    </row>
    <row r="47" spans="2:8" ht="15.75" customHeight="1" x14ac:dyDescent="0.25">
      <c r="B47" s="25" t="s">
        <v>279</v>
      </c>
      <c r="C47" s="25" t="s">
        <v>280</v>
      </c>
      <c r="D47" s="25" t="s">
        <v>281</v>
      </c>
      <c r="E47" s="26">
        <v>91648</v>
      </c>
      <c r="F47" s="27">
        <v>411.73</v>
      </c>
      <c r="G47" s="28">
        <v>6.1000000000000004E-3</v>
      </c>
      <c r="H47" s="29"/>
    </row>
    <row r="48" spans="2:8" ht="15.75" customHeight="1" x14ac:dyDescent="0.25">
      <c r="B48" s="25" t="s">
        <v>411</v>
      </c>
      <c r="C48" s="25" t="s">
        <v>412</v>
      </c>
      <c r="D48" s="25" t="s">
        <v>214</v>
      </c>
      <c r="E48" s="26">
        <v>6573</v>
      </c>
      <c r="F48" s="27">
        <v>407.81</v>
      </c>
      <c r="G48" s="28">
        <v>6.1000000000000004E-3</v>
      </c>
      <c r="H48" s="29"/>
    </row>
    <row r="49" spans="2:8" ht="15.75" customHeight="1" x14ac:dyDescent="0.25">
      <c r="B49" s="25" t="s">
        <v>785</v>
      </c>
      <c r="C49" s="25" t="s">
        <v>786</v>
      </c>
      <c r="D49" s="25" t="s">
        <v>234</v>
      </c>
      <c r="E49" s="26">
        <v>10067</v>
      </c>
      <c r="F49" s="27">
        <v>396.57</v>
      </c>
      <c r="G49" s="28">
        <v>5.8999999999999999E-3</v>
      </c>
      <c r="H49" s="29"/>
    </row>
    <row r="50" spans="2:8" ht="15.75" customHeight="1" x14ac:dyDescent="0.25">
      <c r="B50" s="25" t="s">
        <v>605</v>
      </c>
      <c r="C50" s="25" t="s">
        <v>606</v>
      </c>
      <c r="D50" s="25" t="s">
        <v>214</v>
      </c>
      <c r="E50" s="26">
        <v>28267</v>
      </c>
      <c r="F50" s="27">
        <v>395.74</v>
      </c>
      <c r="G50" s="28">
        <v>5.8999999999999999E-3</v>
      </c>
      <c r="H50" s="29"/>
    </row>
    <row r="51" spans="2:8" ht="15.75" customHeight="1" x14ac:dyDescent="0.25">
      <c r="B51" s="25" t="s">
        <v>222</v>
      </c>
      <c r="C51" s="25" t="s">
        <v>223</v>
      </c>
      <c r="D51" s="25" t="s">
        <v>209</v>
      </c>
      <c r="E51" s="26">
        <v>15056</v>
      </c>
      <c r="F51" s="27">
        <v>384.18</v>
      </c>
      <c r="G51" s="28">
        <v>5.7000000000000002E-3</v>
      </c>
      <c r="H51" s="29"/>
    </row>
    <row r="52" spans="2:8" ht="15.75" customHeight="1" x14ac:dyDescent="0.25">
      <c r="B52" s="25" t="s">
        <v>378</v>
      </c>
      <c r="C52" s="25" t="s">
        <v>379</v>
      </c>
      <c r="D52" s="25" t="s">
        <v>380</v>
      </c>
      <c r="E52" s="26">
        <v>25843</v>
      </c>
      <c r="F52" s="27">
        <v>382.33</v>
      </c>
      <c r="G52" s="28">
        <v>5.7000000000000002E-3</v>
      </c>
      <c r="H52" s="29"/>
    </row>
    <row r="53" spans="2:8" ht="15.75" customHeight="1" x14ac:dyDescent="0.25">
      <c r="B53" s="25" t="s">
        <v>779</v>
      </c>
      <c r="C53" s="25" t="s">
        <v>780</v>
      </c>
      <c r="D53" s="25" t="s">
        <v>253</v>
      </c>
      <c r="E53" s="26">
        <v>33900</v>
      </c>
      <c r="F53" s="27">
        <v>375.73</v>
      </c>
      <c r="G53" s="28">
        <v>5.5999999999999999E-3</v>
      </c>
      <c r="H53" s="29"/>
    </row>
    <row r="54" spans="2:8" ht="15.75" customHeight="1" x14ac:dyDescent="0.25">
      <c r="B54" s="25" t="s">
        <v>783</v>
      </c>
      <c r="C54" s="25" t="s">
        <v>784</v>
      </c>
      <c r="D54" s="25" t="s">
        <v>426</v>
      </c>
      <c r="E54" s="26">
        <v>8013</v>
      </c>
      <c r="F54" s="27">
        <v>368.9</v>
      </c>
      <c r="G54" s="28">
        <v>5.4999999999999997E-3</v>
      </c>
      <c r="H54" s="29"/>
    </row>
    <row r="55" spans="2:8" ht="15.75" customHeight="1" x14ac:dyDescent="0.25">
      <c r="B55" s="25" t="s">
        <v>941</v>
      </c>
      <c r="C55" s="25" t="s">
        <v>942</v>
      </c>
      <c r="D55" s="25" t="s">
        <v>281</v>
      </c>
      <c r="E55" s="26">
        <v>19575</v>
      </c>
      <c r="F55" s="27">
        <v>351.89</v>
      </c>
      <c r="G55" s="28">
        <v>5.3E-3</v>
      </c>
      <c r="H55" s="29"/>
    </row>
    <row r="56" spans="2:8" ht="15.75" customHeight="1" x14ac:dyDescent="0.25">
      <c r="B56" s="25" t="s">
        <v>284</v>
      </c>
      <c r="C56" s="25" t="s">
        <v>285</v>
      </c>
      <c r="D56" s="25" t="s">
        <v>286</v>
      </c>
      <c r="E56" s="26">
        <v>24436</v>
      </c>
      <c r="F56" s="27">
        <v>351.04</v>
      </c>
      <c r="G56" s="28">
        <v>5.1999999999999998E-3</v>
      </c>
      <c r="H56" s="29"/>
    </row>
    <row r="57" spans="2:8" ht="15.75" customHeight="1" x14ac:dyDescent="0.25">
      <c r="B57" s="25" t="s">
        <v>804</v>
      </c>
      <c r="C57" s="25" t="s">
        <v>805</v>
      </c>
      <c r="D57" s="25" t="s">
        <v>159</v>
      </c>
      <c r="E57" s="26">
        <v>75842</v>
      </c>
      <c r="F57" s="27">
        <v>350.69</v>
      </c>
      <c r="G57" s="28">
        <v>5.1999999999999998E-3</v>
      </c>
      <c r="H57" s="29"/>
    </row>
    <row r="58" spans="2:8" ht="15.75" customHeight="1" x14ac:dyDescent="0.25">
      <c r="B58" s="25" t="s">
        <v>207</v>
      </c>
      <c r="C58" s="25" t="s">
        <v>208</v>
      </c>
      <c r="D58" s="25" t="s">
        <v>209</v>
      </c>
      <c r="E58" s="26">
        <v>78705</v>
      </c>
      <c r="F58" s="27">
        <v>347.52</v>
      </c>
      <c r="G58" s="28">
        <v>5.1999999999999998E-3</v>
      </c>
      <c r="H58" s="29"/>
    </row>
    <row r="59" spans="2:8" ht="15.75" customHeight="1" x14ac:dyDescent="0.25">
      <c r="B59" s="25" t="s">
        <v>297</v>
      </c>
      <c r="C59" s="25" t="s">
        <v>298</v>
      </c>
      <c r="D59" s="25" t="s">
        <v>209</v>
      </c>
      <c r="E59" s="26">
        <v>66977</v>
      </c>
      <c r="F59" s="27">
        <v>339.67</v>
      </c>
      <c r="G59" s="28">
        <v>5.1000000000000004E-3</v>
      </c>
      <c r="H59" s="29"/>
    </row>
    <row r="60" spans="2:8" ht="15.75" customHeight="1" x14ac:dyDescent="0.25">
      <c r="B60" s="25" t="s">
        <v>781</v>
      </c>
      <c r="C60" s="25" t="s">
        <v>782</v>
      </c>
      <c r="D60" s="25" t="s">
        <v>167</v>
      </c>
      <c r="E60" s="26">
        <v>7364</v>
      </c>
      <c r="F60" s="27">
        <v>338.55</v>
      </c>
      <c r="G60" s="28">
        <v>5.1000000000000004E-3</v>
      </c>
      <c r="H60" s="29"/>
    </row>
    <row r="61" spans="2:8" ht="15.75" customHeight="1" x14ac:dyDescent="0.25">
      <c r="B61" s="25" t="s">
        <v>277</v>
      </c>
      <c r="C61" s="25" t="s">
        <v>278</v>
      </c>
      <c r="D61" s="25" t="s">
        <v>164</v>
      </c>
      <c r="E61" s="26">
        <v>198866</v>
      </c>
      <c r="F61" s="27">
        <v>335.79</v>
      </c>
      <c r="G61" s="28">
        <v>5.0000000000000001E-3</v>
      </c>
      <c r="H61" s="29"/>
    </row>
    <row r="62" spans="2:8" ht="15.75" customHeight="1" x14ac:dyDescent="0.25">
      <c r="B62" s="25" t="s">
        <v>391</v>
      </c>
      <c r="C62" s="25" t="s">
        <v>392</v>
      </c>
      <c r="D62" s="25" t="s">
        <v>286</v>
      </c>
      <c r="E62" s="26">
        <v>56716</v>
      </c>
      <c r="F62" s="27">
        <v>331.02</v>
      </c>
      <c r="G62" s="28">
        <v>4.8999999999999998E-3</v>
      </c>
      <c r="H62" s="29"/>
    </row>
    <row r="63" spans="2:8" ht="15.75" customHeight="1" x14ac:dyDescent="0.25">
      <c r="B63" s="25" t="s">
        <v>611</v>
      </c>
      <c r="C63" s="25" t="s">
        <v>612</v>
      </c>
      <c r="D63" s="25" t="s">
        <v>361</v>
      </c>
      <c r="E63" s="26">
        <v>5439</v>
      </c>
      <c r="F63" s="27">
        <v>323.45999999999998</v>
      </c>
      <c r="G63" s="28">
        <v>4.7999999999999996E-3</v>
      </c>
      <c r="H63" s="29"/>
    </row>
    <row r="64" spans="2:8" ht="15.75" customHeight="1" x14ac:dyDescent="0.25">
      <c r="B64" s="25" t="s">
        <v>346</v>
      </c>
      <c r="C64" s="25" t="s">
        <v>347</v>
      </c>
      <c r="D64" s="25" t="s">
        <v>167</v>
      </c>
      <c r="E64" s="26">
        <v>6978</v>
      </c>
      <c r="F64" s="27">
        <v>317.01</v>
      </c>
      <c r="G64" s="28">
        <v>4.7000000000000002E-3</v>
      </c>
      <c r="H64" s="29"/>
    </row>
    <row r="65" spans="2:16" ht="15.75" customHeight="1" x14ac:dyDescent="0.25">
      <c r="B65" s="25" t="s">
        <v>402</v>
      </c>
      <c r="C65" s="25" t="s">
        <v>403</v>
      </c>
      <c r="D65" s="25" t="s">
        <v>164</v>
      </c>
      <c r="E65" s="26">
        <v>51742</v>
      </c>
      <c r="F65" s="27">
        <v>314.26</v>
      </c>
      <c r="G65" s="28">
        <v>4.7000000000000002E-3</v>
      </c>
      <c r="H65" s="29"/>
    </row>
    <row r="66" spans="2:16" ht="15.75" customHeight="1" x14ac:dyDescent="0.25">
      <c r="B66" s="25" t="s">
        <v>919</v>
      </c>
      <c r="C66" s="25" t="s">
        <v>920</v>
      </c>
      <c r="D66" s="25" t="s">
        <v>303</v>
      </c>
      <c r="E66" s="26">
        <v>34731</v>
      </c>
      <c r="F66" s="27">
        <v>309.75</v>
      </c>
      <c r="G66" s="28">
        <v>4.5999999999999999E-3</v>
      </c>
      <c r="H66" s="29"/>
    </row>
    <row r="67" spans="2:16" ht="15.75" customHeight="1" x14ac:dyDescent="0.25">
      <c r="B67" s="25" t="s">
        <v>921</v>
      </c>
      <c r="C67" s="25" t="s">
        <v>922</v>
      </c>
      <c r="D67" s="25" t="s">
        <v>217</v>
      </c>
      <c r="E67" s="26">
        <v>7680</v>
      </c>
      <c r="F67" s="27">
        <v>305.83999999999997</v>
      </c>
      <c r="G67" s="28">
        <v>4.5999999999999999E-3</v>
      </c>
      <c r="H67" s="29"/>
    </row>
    <row r="68" spans="2:16" ht="15.75" customHeight="1" x14ac:dyDescent="0.25">
      <c r="B68" s="25" t="s">
        <v>923</v>
      </c>
      <c r="C68" s="25" t="s">
        <v>924</v>
      </c>
      <c r="D68" s="25" t="s">
        <v>401</v>
      </c>
      <c r="E68" s="26">
        <v>145793</v>
      </c>
      <c r="F68" s="27">
        <v>304.85000000000002</v>
      </c>
      <c r="G68" s="28">
        <v>4.5999999999999999E-3</v>
      </c>
      <c r="H68" s="29"/>
      <c r="L68" s="3"/>
    </row>
    <row r="69" spans="2:16" ht="15.75" customHeight="1" x14ac:dyDescent="0.25">
      <c r="B69" s="25" t="s">
        <v>560</v>
      </c>
      <c r="C69" s="25" t="s">
        <v>561</v>
      </c>
      <c r="D69" s="25" t="s">
        <v>170</v>
      </c>
      <c r="E69" s="26">
        <v>6366</v>
      </c>
      <c r="F69" s="27">
        <v>304.04000000000002</v>
      </c>
      <c r="G69" s="28">
        <v>4.4999999999999997E-3</v>
      </c>
      <c r="H69" s="29"/>
    </row>
    <row r="70" spans="2:16" ht="15.75" customHeight="1" x14ac:dyDescent="0.25">
      <c r="B70" s="25" t="s">
        <v>943</v>
      </c>
      <c r="C70" s="25" t="s">
        <v>944</v>
      </c>
      <c r="D70" s="25" t="s">
        <v>281</v>
      </c>
      <c r="E70" s="26">
        <v>49441</v>
      </c>
      <c r="F70" s="27">
        <v>302.8</v>
      </c>
      <c r="G70" s="28">
        <v>4.4999999999999997E-3</v>
      </c>
      <c r="H70" s="29"/>
      <c r="L70" s="3"/>
    </row>
    <row r="71" spans="2:16" ht="15.75" customHeight="1" x14ac:dyDescent="0.25">
      <c r="B71" s="25" t="s">
        <v>192</v>
      </c>
      <c r="C71" s="25" t="s">
        <v>193</v>
      </c>
      <c r="D71" s="25" t="s">
        <v>194</v>
      </c>
      <c r="E71" s="26">
        <v>72452</v>
      </c>
      <c r="F71" s="27">
        <v>288.25</v>
      </c>
      <c r="G71" s="28">
        <v>4.3E-3</v>
      </c>
      <c r="H71" s="29"/>
      <c r="L71" s="3"/>
    </row>
    <row r="72" spans="2:16" ht="15.75" customHeight="1" x14ac:dyDescent="0.25">
      <c r="B72" s="25" t="s">
        <v>235</v>
      </c>
      <c r="C72" s="25" t="s">
        <v>236</v>
      </c>
      <c r="D72" s="25" t="s">
        <v>156</v>
      </c>
      <c r="E72" s="26">
        <v>100563</v>
      </c>
      <c r="F72" s="27">
        <v>283.08</v>
      </c>
      <c r="G72" s="28">
        <v>4.1999999999999997E-3</v>
      </c>
      <c r="H72" s="29"/>
      <c r="L72" s="3"/>
    </row>
    <row r="73" spans="2:16" ht="15.75" customHeight="1" x14ac:dyDescent="0.25">
      <c r="B73" s="25" t="s">
        <v>445</v>
      </c>
      <c r="C73" s="25" t="s">
        <v>446</v>
      </c>
      <c r="D73" s="25" t="s">
        <v>431</v>
      </c>
      <c r="E73" s="26">
        <v>4796</v>
      </c>
      <c r="F73" s="27">
        <v>280.17</v>
      </c>
      <c r="G73" s="28">
        <v>4.1999999999999997E-3</v>
      </c>
      <c r="H73" s="29"/>
      <c r="L73" s="3"/>
    </row>
    <row r="74" spans="2:16" ht="15.75" customHeight="1" x14ac:dyDescent="0.25">
      <c r="B74" s="25" t="s">
        <v>578</v>
      </c>
      <c r="C74" s="25" t="s">
        <v>579</v>
      </c>
      <c r="D74" s="25" t="s">
        <v>214</v>
      </c>
      <c r="E74" s="26">
        <v>6863</v>
      </c>
      <c r="F74" s="27">
        <v>274.68</v>
      </c>
      <c r="G74" s="28">
        <v>4.1000000000000003E-3</v>
      </c>
      <c r="H74" s="29"/>
      <c r="L74" s="3"/>
    </row>
    <row r="75" spans="2:16" ht="15.75" customHeight="1" x14ac:dyDescent="0.25">
      <c r="B75" s="25" t="s">
        <v>376</v>
      </c>
      <c r="C75" s="25" t="s">
        <v>377</v>
      </c>
      <c r="D75" s="25" t="s">
        <v>209</v>
      </c>
      <c r="E75" s="26">
        <v>22318</v>
      </c>
      <c r="F75" s="27">
        <v>266.32</v>
      </c>
      <c r="G75" s="28">
        <v>4.0000000000000001E-3</v>
      </c>
      <c r="H75" s="29"/>
      <c r="L75" s="5"/>
      <c r="M75" s="5"/>
      <c r="N75" s="6"/>
      <c r="O75" s="6"/>
      <c r="P75" s="5"/>
    </row>
    <row r="76" spans="2:16" ht="15.75" customHeight="1" x14ac:dyDescent="0.25">
      <c r="B76" s="25" t="s">
        <v>385</v>
      </c>
      <c r="C76" s="25" t="s">
        <v>386</v>
      </c>
      <c r="D76" s="25" t="s">
        <v>167</v>
      </c>
      <c r="E76" s="26">
        <v>12550</v>
      </c>
      <c r="F76" s="27">
        <v>258.52999999999997</v>
      </c>
      <c r="G76" s="28">
        <v>3.8999999999999998E-3</v>
      </c>
      <c r="H76" s="29"/>
    </row>
    <row r="77" spans="2:16" ht="15.75" customHeight="1" x14ac:dyDescent="0.25">
      <c r="B77" s="25" t="s">
        <v>627</v>
      </c>
      <c r="C77" s="25" t="s">
        <v>628</v>
      </c>
      <c r="D77" s="25" t="s">
        <v>426</v>
      </c>
      <c r="E77" s="26">
        <v>4187</v>
      </c>
      <c r="F77" s="27">
        <v>253.47</v>
      </c>
      <c r="G77" s="28">
        <v>3.8E-3</v>
      </c>
      <c r="H77" s="29"/>
    </row>
    <row r="78" spans="2:16" ht="15.75" customHeight="1" x14ac:dyDescent="0.25">
      <c r="B78" s="25" t="s">
        <v>290</v>
      </c>
      <c r="C78" s="25" t="s">
        <v>291</v>
      </c>
      <c r="D78" s="25" t="s">
        <v>260</v>
      </c>
      <c r="E78" s="26">
        <v>8236</v>
      </c>
      <c r="F78" s="27">
        <v>251.12</v>
      </c>
      <c r="G78" s="28">
        <v>3.8E-3</v>
      </c>
      <c r="H78" s="29"/>
      <c r="L78" s="7"/>
      <c r="M78" s="7"/>
      <c r="N78" s="7"/>
      <c r="O78" s="7"/>
      <c r="P78" s="7"/>
    </row>
    <row r="79" spans="2:16" ht="15.75" customHeight="1" x14ac:dyDescent="0.25">
      <c r="B79" s="25" t="s">
        <v>229</v>
      </c>
      <c r="C79" s="25" t="s">
        <v>230</v>
      </c>
      <c r="D79" s="25" t="s">
        <v>231</v>
      </c>
      <c r="E79" s="26">
        <v>20225</v>
      </c>
      <c r="F79" s="27">
        <v>246.64</v>
      </c>
      <c r="G79" s="28">
        <v>3.7000000000000002E-3</v>
      </c>
      <c r="H79" s="29"/>
      <c r="L79" s="7"/>
      <c r="M79" s="7"/>
      <c r="N79" s="7"/>
      <c r="O79" s="7"/>
      <c r="P79" s="7"/>
    </row>
    <row r="80" spans="2:16" ht="15.75" customHeight="1" x14ac:dyDescent="0.25">
      <c r="B80" s="25" t="s">
        <v>925</v>
      </c>
      <c r="C80" s="25" t="s">
        <v>926</v>
      </c>
      <c r="D80" s="25" t="s">
        <v>286</v>
      </c>
      <c r="E80" s="26">
        <v>13779</v>
      </c>
      <c r="F80" s="27">
        <v>235.71</v>
      </c>
      <c r="G80" s="28">
        <v>3.5000000000000001E-3</v>
      </c>
      <c r="H80" s="29"/>
      <c r="L80" s="7"/>
      <c r="M80" s="7"/>
      <c r="N80" s="7"/>
      <c r="O80" s="7"/>
      <c r="P80" s="7"/>
    </row>
    <row r="81" spans="2:16" ht="15.75" customHeight="1" x14ac:dyDescent="0.25">
      <c r="B81" s="25" t="s">
        <v>174</v>
      </c>
      <c r="C81" s="25" t="s">
        <v>175</v>
      </c>
      <c r="D81" s="25" t="s">
        <v>159</v>
      </c>
      <c r="E81" s="26">
        <v>4948</v>
      </c>
      <c r="F81" s="27">
        <v>232.87</v>
      </c>
      <c r="G81" s="28">
        <v>3.5000000000000001E-3</v>
      </c>
      <c r="H81" s="29"/>
      <c r="L81" s="7"/>
      <c r="M81" s="7"/>
      <c r="N81" s="7"/>
      <c r="O81" s="7"/>
      <c r="P81" s="7"/>
    </row>
    <row r="82" spans="2:16" ht="15.75" customHeight="1" x14ac:dyDescent="0.25">
      <c r="B82" s="25" t="s">
        <v>190</v>
      </c>
      <c r="C82" s="25" t="s">
        <v>191</v>
      </c>
      <c r="D82" s="25" t="s">
        <v>156</v>
      </c>
      <c r="E82" s="26">
        <v>36434</v>
      </c>
      <c r="F82" s="27">
        <v>226.6</v>
      </c>
      <c r="G82" s="28">
        <v>3.3999999999999998E-3</v>
      </c>
      <c r="H82" s="29"/>
      <c r="L82" s="7"/>
      <c r="M82" s="7"/>
      <c r="N82" s="7"/>
      <c r="O82" s="7"/>
      <c r="P82" s="7"/>
    </row>
    <row r="83" spans="2:16" ht="15.75" customHeight="1" x14ac:dyDescent="0.25">
      <c r="B83" s="25" t="s">
        <v>203</v>
      </c>
      <c r="C83" s="25" t="s">
        <v>204</v>
      </c>
      <c r="D83" s="25" t="s">
        <v>156</v>
      </c>
      <c r="E83" s="26">
        <v>160333</v>
      </c>
      <c r="F83" s="27">
        <v>226.15</v>
      </c>
      <c r="G83" s="28">
        <v>3.3999999999999998E-3</v>
      </c>
      <c r="H83" s="29"/>
      <c r="L83" s="7"/>
      <c r="M83" s="7"/>
      <c r="N83" s="7"/>
      <c r="O83" s="7"/>
      <c r="P83" s="7"/>
    </row>
    <row r="84" spans="2:16" ht="15.75" customHeight="1" x14ac:dyDescent="0.25">
      <c r="B84" s="25" t="s">
        <v>449</v>
      </c>
      <c r="C84" s="25" t="s">
        <v>450</v>
      </c>
      <c r="D84" s="25" t="s">
        <v>442</v>
      </c>
      <c r="E84" s="26">
        <v>13408</v>
      </c>
      <c r="F84" s="27">
        <v>223.11</v>
      </c>
      <c r="G84" s="28">
        <v>3.3E-3</v>
      </c>
      <c r="H84" s="29"/>
      <c r="L84" s="7"/>
      <c r="M84" s="7"/>
      <c r="N84" s="7"/>
      <c r="O84" s="7"/>
      <c r="P84" s="7"/>
    </row>
    <row r="85" spans="2:16" ht="15.75" customHeight="1" x14ac:dyDescent="0.25">
      <c r="B85" s="25" t="s">
        <v>357</v>
      </c>
      <c r="C85" s="25" t="s">
        <v>358</v>
      </c>
      <c r="D85" s="25" t="s">
        <v>260</v>
      </c>
      <c r="E85" s="26">
        <v>7851</v>
      </c>
      <c r="F85" s="27">
        <v>205.78</v>
      </c>
      <c r="G85" s="28">
        <v>3.0999999999999999E-3</v>
      </c>
      <c r="H85" s="29"/>
    </row>
    <row r="86" spans="2:16" ht="15.75" customHeight="1" x14ac:dyDescent="0.25">
      <c r="B86" s="25" t="s">
        <v>927</v>
      </c>
      <c r="C86" s="25" t="s">
        <v>928</v>
      </c>
      <c r="D86" s="25" t="s">
        <v>231</v>
      </c>
      <c r="E86" s="26">
        <v>7105</v>
      </c>
      <c r="F86" s="27">
        <v>200.71</v>
      </c>
      <c r="G86" s="28">
        <v>3.0000000000000001E-3</v>
      </c>
      <c r="H86" s="29"/>
      <c r="L86" s="3"/>
    </row>
    <row r="87" spans="2:16" ht="15.75" customHeight="1" x14ac:dyDescent="0.25">
      <c r="B87" s="25" t="s">
        <v>929</v>
      </c>
      <c r="C87" s="25" t="s">
        <v>930</v>
      </c>
      <c r="D87" s="25" t="s">
        <v>244</v>
      </c>
      <c r="E87" s="26">
        <v>32223</v>
      </c>
      <c r="F87" s="27">
        <v>199.75</v>
      </c>
      <c r="G87" s="28">
        <v>3.0000000000000001E-3</v>
      </c>
      <c r="H87" s="29"/>
    </row>
    <row r="88" spans="2:16" ht="15.75" customHeight="1" x14ac:dyDescent="0.25">
      <c r="B88" s="25" t="s">
        <v>366</v>
      </c>
      <c r="C88" s="25" t="s">
        <v>367</v>
      </c>
      <c r="D88" s="25" t="s">
        <v>209</v>
      </c>
      <c r="E88" s="26">
        <v>2330</v>
      </c>
      <c r="F88" s="27">
        <v>189.11</v>
      </c>
      <c r="G88" s="28">
        <v>2.8E-3</v>
      </c>
      <c r="H88" s="29"/>
    </row>
    <row r="89" spans="2:16" ht="15.75" customHeight="1" x14ac:dyDescent="0.25">
      <c r="B89" s="25" t="s">
        <v>933</v>
      </c>
      <c r="C89" s="25" t="s">
        <v>934</v>
      </c>
      <c r="D89" s="25" t="s">
        <v>431</v>
      </c>
      <c r="E89" s="26">
        <v>2871</v>
      </c>
      <c r="F89" s="27">
        <v>187.78</v>
      </c>
      <c r="G89" s="28">
        <v>2.8E-3</v>
      </c>
      <c r="H89" s="29"/>
    </row>
    <row r="90" spans="2:16" ht="15.75" customHeight="1" x14ac:dyDescent="0.25">
      <c r="B90" s="25" t="s">
        <v>935</v>
      </c>
      <c r="C90" s="25" t="s">
        <v>936</v>
      </c>
      <c r="D90" s="25" t="s">
        <v>380</v>
      </c>
      <c r="E90" s="26">
        <v>15691</v>
      </c>
      <c r="F90" s="27">
        <v>184.68</v>
      </c>
      <c r="G90" s="28">
        <v>2.8E-3</v>
      </c>
      <c r="H90" s="29"/>
    </row>
    <row r="91" spans="2:16" ht="15.75" customHeight="1" x14ac:dyDescent="0.25">
      <c r="B91" s="25" t="s">
        <v>249</v>
      </c>
      <c r="C91" s="25" t="s">
        <v>250</v>
      </c>
      <c r="D91" s="25" t="s">
        <v>197</v>
      </c>
      <c r="E91" s="26">
        <v>19807</v>
      </c>
      <c r="F91" s="27">
        <v>184.14</v>
      </c>
      <c r="G91" s="28">
        <v>2.7000000000000001E-3</v>
      </c>
      <c r="H91" s="29"/>
    </row>
    <row r="92" spans="2:16" ht="15.75" customHeight="1" x14ac:dyDescent="0.25">
      <c r="B92" s="25" t="s">
        <v>953</v>
      </c>
      <c r="C92" s="25" t="s">
        <v>954</v>
      </c>
      <c r="D92" s="25" t="s">
        <v>167</v>
      </c>
      <c r="E92" s="26">
        <v>26001</v>
      </c>
      <c r="F92" s="27">
        <v>177.39</v>
      </c>
      <c r="G92" s="28">
        <v>2.5999999999999999E-3</v>
      </c>
      <c r="H92" s="29"/>
    </row>
    <row r="93" spans="2:16" ht="15.75" customHeight="1" x14ac:dyDescent="0.25">
      <c r="B93" s="25" t="s">
        <v>306</v>
      </c>
      <c r="C93" s="25" t="s">
        <v>307</v>
      </c>
      <c r="D93" s="25" t="s">
        <v>244</v>
      </c>
      <c r="E93" s="26">
        <v>725</v>
      </c>
      <c r="F93" s="27">
        <v>177.23</v>
      </c>
      <c r="G93" s="28">
        <v>2.5999999999999999E-3</v>
      </c>
      <c r="H93" s="29"/>
    </row>
    <row r="94" spans="2:16" ht="15.75" customHeight="1" x14ac:dyDescent="0.25">
      <c r="B94" s="25" t="s">
        <v>945</v>
      </c>
      <c r="C94" s="25" t="s">
        <v>946</v>
      </c>
      <c r="D94" s="25" t="s">
        <v>281</v>
      </c>
      <c r="E94" s="26">
        <v>16225</v>
      </c>
      <c r="F94" s="27">
        <v>172.83</v>
      </c>
      <c r="G94" s="28">
        <v>2.5999999999999999E-3</v>
      </c>
      <c r="H94" s="29"/>
    </row>
    <row r="95" spans="2:16" ht="15.75" customHeight="1" x14ac:dyDescent="0.25">
      <c r="B95" s="25" t="s">
        <v>436</v>
      </c>
      <c r="C95" s="25" t="s">
        <v>437</v>
      </c>
      <c r="D95" s="25" t="s">
        <v>315</v>
      </c>
      <c r="E95" s="26">
        <v>16452</v>
      </c>
      <c r="F95" s="27">
        <v>170.9</v>
      </c>
      <c r="G95" s="28">
        <v>2.5999999999999999E-3</v>
      </c>
      <c r="H95" s="29"/>
    </row>
    <row r="96" spans="2:16" ht="15.75" customHeight="1" x14ac:dyDescent="0.25">
      <c r="B96" s="25" t="s">
        <v>304</v>
      </c>
      <c r="C96" s="25" t="s">
        <v>305</v>
      </c>
      <c r="D96" s="25" t="s">
        <v>296</v>
      </c>
      <c r="E96" s="26">
        <v>128686</v>
      </c>
      <c r="F96" s="27">
        <v>168.84</v>
      </c>
      <c r="G96" s="28">
        <v>2.5000000000000001E-3</v>
      </c>
      <c r="H96" s="29"/>
    </row>
    <row r="97" spans="2:8" ht="15.75" customHeight="1" x14ac:dyDescent="0.25">
      <c r="B97" s="25" t="s">
        <v>318</v>
      </c>
      <c r="C97" s="25" t="s">
        <v>319</v>
      </c>
      <c r="D97" s="25" t="s">
        <v>231</v>
      </c>
      <c r="E97" s="26">
        <v>31523</v>
      </c>
      <c r="F97" s="27">
        <v>160.06</v>
      </c>
      <c r="G97" s="28">
        <v>2.3999999999999998E-3</v>
      </c>
      <c r="H97" s="29"/>
    </row>
    <row r="98" spans="2:8" ht="15.75" customHeight="1" x14ac:dyDescent="0.25">
      <c r="B98" s="25" t="s">
        <v>947</v>
      </c>
      <c r="C98" s="25" t="s">
        <v>948</v>
      </c>
      <c r="D98" s="25" t="s">
        <v>209</v>
      </c>
      <c r="E98" s="26">
        <v>99622</v>
      </c>
      <c r="F98" s="27">
        <v>156.66</v>
      </c>
      <c r="G98" s="28">
        <v>2.3E-3</v>
      </c>
      <c r="H98" s="29"/>
    </row>
    <row r="99" spans="2:8" ht="15.75" customHeight="1" x14ac:dyDescent="0.25">
      <c r="B99" s="25" t="s">
        <v>251</v>
      </c>
      <c r="C99" s="25" t="s">
        <v>252</v>
      </c>
      <c r="D99" s="25" t="s">
        <v>253</v>
      </c>
      <c r="E99" s="26">
        <v>27914</v>
      </c>
      <c r="F99" s="27">
        <v>144.59</v>
      </c>
      <c r="G99" s="28">
        <v>2.2000000000000001E-3</v>
      </c>
      <c r="H99" s="29"/>
    </row>
    <row r="100" spans="2:8" ht="15.75" customHeight="1" x14ac:dyDescent="0.25">
      <c r="B100" s="25" t="s">
        <v>949</v>
      </c>
      <c r="C100" s="25" t="s">
        <v>950</v>
      </c>
      <c r="D100" s="25" t="s">
        <v>401</v>
      </c>
      <c r="E100" s="26">
        <v>14873</v>
      </c>
      <c r="F100" s="27">
        <v>138.19</v>
      </c>
      <c r="G100" s="28">
        <v>2.0999999999999999E-3</v>
      </c>
      <c r="H100" s="29"/>
    </row>
    <row r="101" spans="2:8" ht="15.75" customHeight="1" x14ac:dyDescent="0.25">
      <c r="B101" s="25" t="s">
        <v>937</v>
      </c>
      <c r="C101" s="25" t="s">
        <v>938</v>
      </c>
      <c r="D101" s="25" t="s">
        <v>296</v>
      </c>
      <c r="E101" s="26">
        <v>463</v>
      </c>
      <c r="F101" s="27">
        <v>135.91999999999999</v>
      </c>
      <c r="G101" s="28">
        <v>2E-3</v>
      </c>
      <c r="H101" s="29"/>
    </row>
    <row r="102" spans="2:8" ht="15.75" customHeight="1" x14ac:dyDescent="0.25">
      <c r="B102" s="25" t="s">
        <v>951</v>
      </c>
      <c r="C102" s="25" t="s">
        <v>952</v>
      </c>
      <c r="D102" s="25" t="s">
        <v>286</v>
      </c>
      <c r="E102" s="26">
        <v>13629</v>
      </c>
      <c r="F102" s="27">
        <v>133.33000000000001</v>
      </c>
      <c r="G102" s="28">
        <v>2E-3</v>
      </c>
      <c r="H102" s="29"/>
    </row>
    <row r="103" spans="2:8" ht="15.75" customHeight="1" x14ac:dyDescent="0.25">
      <c r="B103" s="25" t="s">
        <v>256</v>
      </c>
      <c r="C103" s="25" t="s">
        <v>257</v>
      </c>
      <c r="D103" s="25" t="s">
        <v>214</v>
      </c>
      <c r="E103" s="26">
        <v>13784</v>
      </c>
      <c r="F103" s="27">
        <v>131.44</v>
      </c>
      <c r="G103" s="28">
        <v>2E-3</v>
      </c>
      <c r="H103" s="29"/>
    </row>
    <row r="104" spans="2:8" ht="15.75" customHeight="1" x14ac:dyDescent="0.25">
      <c r="B104" s="25" t="s">
        <v>364</v>
      </c>
      <c r="C104" s="25" t="s">
        <v>365</v>
      </c>
      <c r="D104" s="25" t="s">
        <v>214</v>
      </c>
      <c r="E104" s="26">
        <v>4903</v>
      </c>
      <c r="F104" s="27">
        <v>129.56</v>
      </c>
      <c r="G104" s="28">
        <v>1.9E-3</v>
      </c>
      <c r="H104" s="29"/>
    </row>
    <row r="105" spans="2:8" ht="15.75" customHeight="1" x14ac:dyDescent="0.25">
      <c r="B105" s="25" t="s">
        <v>681</v>
      </c>
      <c r="C105" s="25" t="s">
        <v>682</v>
      </c>
      <c r="D105" s="25" t="s">
        <v>286</v>
      </c>
      <c r="E105" s="26">
        <v>20936</v>
      </c>
      <c r="F105" s="27">
        <v>119.94</v>
      </c>
      <c r="G105" s="28">
        <v>1.8E-3</v>
      </c>
      <c r="H105" s="29"/>
    </row>
    <row r="106" spans="2:8" ht="15.75" customHeight="1" x14ac:dyDescent="0.25">
      <c r="B106" s="25" t="s">
        <v>939</v>
      </c>
      <c r="C106" s="25" t="s">
        <v>940</v>
      </c>
      <c r="D106" s="25" t="s">
        <v>209</v>
      </c>
      <c r="E106" s="26">
        <v>15888</v>
      </c>
      <c r="F106" s="27">
        <v>115.71</v>
      </c>
      <c r="G106" s="28">
        <v>1.6999999999999999E-3</v>
      </c>
      <c r="H106" s="29"/>
    </row>
    <row r="107" spans="2:8" ht="15.75" customHeight="1" x14ac:dyDescent="0.25">
      <c r="B107" s="25" t="s">
        <v>775</v>
      </c>
      <c r="C107" s="25" t="s">
        <v>776</v>
      </c>
      <c r="D107" s="25" t="s">
        <v>442</v>
      </c>
      <c r="E107" s="26">
        <v>15206</v>
      </c>
      <c r="F107" s="27">
        <v>77.33</v>
      </c>
      <c r="G107" s="28">
        <v>1.1999999999999999E-3</v>
      </c>
      <c r="H107" s="29"/>
    </row>
    <row r="108" spans="2:8" ht="15.75" customHeight="1" x14ac:dyDescent="0.25">
      <c r="B108" s="24" t="s">
        <v>128</v>
      </c>
      <c r="C108" s="24"/>
      <c r="D108" s="24"/>
      <c r="E108" s="30"/>
      <c r="F108" s="31">
        <v>66917.13</v>
      </c>
      <c r="G108" s="32">
        <v>0.99929999999999997</v>
      </c>
      <c r="H108" s="33"/>
    </row>
    <row r="109" spans="2:8" ht="15.75" customHeight="1" x14ac:dyDescent="0.25">
      <c r="B109" s="24" t="s">
        <v>176</v>
      </c>
      <c r="C109" s="25"/>
      <c r="D109" s="25"/>
      <c r="E109" s="26"/>
      <c r="F109" s="27"/>
      <c r="G109" s="28"/>
      <c r="H109" s="29"/>
    </row>
    <row r="110" spans="2:8" ht="15.75" customHeight="1" x14ac:dyDescent="0.25">
      <c r="B110" s="24" t="s">
        <v>128</v>
      </c>
      <c r="C110" s="25"/>
      <c r="D110" s="25"/>
      <c r="E110" s="26"/>
      <c r="F110" s="34" t="s">
        <v>130</v>
      </c>
      <c r="G110" s="35" t="s">
        <v>130</v>
      </c>
      <c r="H110" s="29"/>
    </row>
    <row r="111" spans="2:8" ht="15.75" customHeight="1" x14ac:dyDescent="0.25">
      <c r="B111" s="25"/>
      <c r="C111" s="25"/>
      <c r="D111" s="25"/>
      <c r="E111" s="26"/>
      <c r="F111" s="27"/>
      <c r="G111" s="28"/>
      <c r="H111" s="29"/>
    </row>
    <row r="112" spans="2:8" ht="15.75" customHeight="1" x14ac:dyDescent="0.25">
      <c r="B112" s="36" t="s">
        <v>132</v>
      </c>
      <c r="C112" s="36"/>
      <c r="D112" s="36"/>
      <c r="E112" s="37"/>
      <c r="F112" s="31">
        <v>66917.13</v>
      </c>
      <c r="G112" s="32">
        <v>0.99929999999999997</v>
      </c>
      <c r="H112" s="33"/>
    </row>
    <row r="113" spans="2:8" ht="15.75" customHeight="1" x14ac:dyDescent="0.25">
      <c r="B113" s="25"/>
      <c r="C113" s="25"/>
      <c r="D113" s="25"/>
      <c r="E113" s="26"/>
      <c r="F113" s="27"/>
      <c r="G113" s="28"/>
      <c r="H113" s="29"/>
    </row>
    <row r="114" spans="2:8" ht="15.75" customHeight="1" x14ac:dyDescent="0.25">
      <c r="B114" s="25"/>
      <c r="C114" s="25"/>
      <c r="D114" s="25"/>
      <c r="E114" s="26"/>
      <c r="F114" s="27"/>
      <c r="G114" s="28"/>
      <c r="H114" s="29"/>
    </row>
    <row r="115" spans="2:8" ht="15.75" customHeight="1" x14ac:dyDescent="0.25">
      <c r="B115" s="24" t="s">
        <v>135</v>
      </c>
      <c r="C115" s="25"/>
      <c r="D115" s="25"/>
      <c r="E115" s="26"/>
      <c r="F115" s="27"/>
      <c r="G115" s="28"/>
      <c r="H115" s="29"/>
    </row>
    <row r="116" spans="2:8" ht="15.75" customHeight="1" x14ac:dyDescent="0.25">
      <c r="B116" s="25" t="s">
        <v>136</v>
      </c>
      <c r="C116" s="25"/>
      <c r="D116" s="25"/>
      <c r="E116" s="26"/>
      <c r="F116" s="27">
        <v>52.09</v>
      </c>
      <c r="G116" s="28">
        <v>8.0000000000000004E-4</v>
      </c>
      <c r="H116" s="29"/>
    </row>
    <row r="117" spans="2:8" ht="15.75" customHeight="1" x14ac:dyDescent="0.25">
      <c r="B117" s="24" t="s">
        <v>128</v>
      </c>
      <c r="C117" s="24"/>
      <c r="D117" s="24"/>
      <c r="E117" s="30"/>
      <c r="F117" s="31">
        <v>52.09</v>
      </c>
      <c r="G117" s="32">
        <v>8.0000000000000004E-4</v>
      </c>
      <c r="H117" s="33"/>
    </row>
    <row r="118" spans="2:8" ht="15.75" customHeight="1" x14ac:dyDescent="0.25">
      <c r="B118" s="25"/>
      <c r="C118" s="25"/>
      <c r="D118" s="25"/>
      <c r="E118" s="26"/>
      <c r="F118" s="27"/>
      <c r="G118" s="28"/>
      <c r="H118" s="29"/>
    </row>
    <row r="119" spans="2:8" ht="15.75" customHeight="1" x14ac:dyDescent="0.25">
      <c r="B119" s="36" t="s">
        <v>132</v>
      </c>
      <c r="C119" s="36"/>
      <c r="D119" s="36"/>
      <c r="E119" s="37"/>
      <c r="F119" s="31">
        <v>52.09</v>
      </c>
      <c r="G119" s="32">
        <v>8.0000000000000004E-4</v>
      </c>
      <c r="H119" s="33"/>
    </row>
    <row r="120" spans="2:8" ht="15.75" customHeight="1" x14ac:dyDescent="0.25">
      <c r="B120" s="25" t="s">
        <v>137</v>
      </c>
      <c r="C120" s="25"/>
      <c r="D120" s="25"/>
      <c r="E120" s="26"/>
      <c r="F120" s="38">
        <v>-6.92</v>
      </c>
      <c r="G120" s="39">
        <v>-9.9999999999988987E-5</v>
      </c>
      <c r="H120" s="29"/>
    </row>
    <row r="121" spans="2:8" ht="15.75" customHeight="1" x14ac:dyDescent="0.25">
      <c r="B121" s="40" t="s">
        <v>138</v>
      </c>
      <c r="C121" s="40"/>
      <c r="D121" s="40"/>
      <c r="E121" s="41"/>
      <c r="F121" s="42">
        <v>66962.3</v>
      </c>
      <c r="G121" s="43">
        <v>1</v>
      </c>
      <c r="H121" s="44"/>
    </row>
    <row r="122" spans="2:8" ht="15.75" customHeight="1" thickBot="1" x14ac:dyDescent="0.3">
      <c r="B122" s="2"/>
    </row>
    <row r="123" spans="2:8" ht="27" customHeight="1" thickBot="1" x14ac:dyDescent="0.3">
      <c r="B123" s="57" t="s">
        <v>980</v>
      </c>
      <c r="C123" s="58" t="s">
        <v>981</v>
      </c>
      <c r="D123" s="58" t="s">
        <v>982</v>
      </c>
      <c r="E123" s="63" t="s">
        <v>983</v>
      </c>
      <c r="G123" s="2"/>
      <c r="H123" s="2"/>
    </row>
    <row r="124" spans="2:8" ht="21.75" customHeight="1" x14ac:dyDescent="0.25">
      <c r="B124" s="70" t="s">
        <v>101</v>
      </c>
      <c r="C124" s="82"/>
      <c r="D124" s="85" t="s">
        <v>1042</v>
      </c>
      <c r="E124" s="87"/>
      <c r="G124" s="2"/>
      <c r="H124" s="2"/>
    </row>
    <row r="125" spans="2:8" ht="31.5" customHeight="1" x14ac:dyDescent="0.25">
      <c r="B125" s="66" t="s">
        <v>1066</v>
      </c>
      <c r="C125" s="83"/>
      <c r="D125" s="86"/>
      <c r="E125" s="83"/>
      <c r="G125" s="2"/>
      <c r="H125" s="2"/>
    </row>
    <row r="126" spans="2:8" ht="48.75" customHeight="1" x14ac:dyDescent="0.25">
      <c r="B126" s="66" t="s">
        <v>1067</v>
      </c>
      <c r="C126" s="83"/>
      <c r="D126" s="86"/>
      <c r="E126" s="83"/>
      <c r="G126" s="2"/>
      <c r="H126" s="2"/>
    </row>
    <row r="127" spans="2:8" ht="28.5" customHeight="1" thickBot="1" x14ac:dyDescent="0.3">
      <c r="B127" s="68" t="s">
        <v>1068</v>
      </c>
      <c r="C127" s="84"/>
      <c r="D127" s="71" t="s">
        <v>1068</v>
      </c>
      <c r="E127" s="88"/>
      <c r="G127" s="2"/>
      <c r="H127" s="2"/>
    </row>
    <row r="128" spans="2:8" ht="25" customHeight="1" x14ac:dyDescent="0.25">
      <c r="B128" s="59" t="s">
        <v>985</v>
      </c>
      <c r="C128" s="60"/>
      <c r="D128" s="61"/>
      <c r="E128" s="62"/>
      <c r="G128" s="2"/>
      <c r="H128" s="2"/>
    </row>
    <row r="130" spans="2:8" ht="11.5" x14ac:dyDescent="0.25">
      <c r="B130" s="2" t="s">
        <v>986</v>
      </c>
      <c r="C130" s="2"/>
      <c r="D130" s="2"/>
      <c r="G130" s="2"/>
      <c r="H130" s="2"/>
    </row>
    <row r="131" spans="2:8" ht="11.5" x14ac:dyDescent="0.25">
      <c r="B131" s="3" t="s">
        <v>987</v>
      </c>
      <c r="C131" s="2"/>
      <c r="D131" s="2"/>
      <c r="G131" s="2"/>
      <c r="H131" s="2"/>
    </row>
  </sheetData>
  <mergeCells count="3">
    <mergeCell ref="C124:C127"/>
    <mergeCell ref="D124:D126"/>
    <mergeCell ref="E124:E127"/>
  </mergeCells>
  <hyperlinks>
    <hyperlink ref="I1" location="'Sheet1'!A1" display="Index" xr:uid="{AA255DA7-4FAC-41A6-9525-328C9BD4DE5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8A329-C0ED-4D3C-A136-08A4A4D1E5DF}">
  <dimension ref="B1:P87"/>
  <sheetViews>
    <sheetView workbookViewId="0"/>
  </sheetViews>
  <sheetFormatPr defaultColWidth="9.1796875" defaultRowHeight="15.75" customHeight="1" x14ac:dyDescent="0.25"/>
  <cols>
    <col min="1" max="1" width="3.6328125" style="2" customWidth="1"/>
    <col min="2" max="2" width="50.453125" style="9" customWidth="1"/>
    <col min="3" max="3" width="25.26953125" style="9" customWidth="1"/>
    <col min="4" max="4" width="26.6328125" style="9" customWidth="1"/>
    <col min="5" max="5" width="30.7265625" style="2" customWidth="1"/>
    <col min="6" max="6" width="16.453125" style="2" customWidth="1"/>
    <col min="7" max="7" width="15.26953125" style="8" customWidth="1"/>
    <col min="8" max="8" width="4.906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32</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154</v>
      </c>
      <c r="C7" s="25" t="s">
        <v>155</v>
      </c>
      <c r="D7" s="25" t="s">
        <v>156</v>
      </c>
      <c r="E7" s="26">
        <v>680968</v>
      </c>
      <c r="F7" s="27">
        <v>7833.86</v>
      </c>
      <c r="G7" s="28">
        <v>7.46E-2</v>
      </c>
      <c r="H7" s="29"/>
    </row>
    <row r="8" spans="2:9" ht="15.75" customHeight="1" x14ac:dyDescent="0.25">
      <c r="B8" s="25" t="s">
        <v>160</v>
      </c>
      <c r="C8" s="25" t="s">
        <v>161</v>
      </c>
      <c r="D8" s="25" t="s">
        <v>156</v>
      </c>
      <c r="E8" s="26">
        <v>458211</v>
      </c>
      <c r="F8" s="27">
        <v>6965.27</v>
      </c>
      <c r="G8" s="28">
        <v>6.6299999999999998E-2</v>
      </c>
      <c r="H8" s="29"/>
    </row>
    <row r="9" spans="2:9" ht="15.75" customHeight="1" x14ac:dyDescent="0.25">
      <c r="B9" s="25" t="s">
        <v>330</v>
      </c>
      <c r="C9" s="25" t="s">
        <v>331</v>
      </c>
      <c r="D9" s="25" t="s">
        <v>156</v>
      </c>
      <c r="E9" s="26">
        <v>460575</v>
      </c>
      <c r="F9" s="27">
        <v>3805.5</v>
      </c>
      <c r="G9" s="28">
        <v>3.6200000000000003E-2</v>
      </c>
      <c r="H9" s="29"/>
    </row>
    <row r="10" spans="2:9" ht="15.75" customHeight="1" x14ac:dyDescent="0.25">
      <c r="B10" s="25" t="s">
        <v>424</v>
      </c>
      <c r="C10" s="25" t="s">
        <v>425</v>
      </c>
      <c r="D10" s="25" t="s">
        <v>426</v>
      </c>
      <c r="E10" s="26">
        <v>72136</v>
      </c>
      <c r="F10" s="27">
        <v>3181.13</v>
      </c>
      <c r="G10" s="28">
        <v>3.0300000000000001E-2</v>
      </c>
      <c r="H10" s="29"/>
    </row>
    <row r="11" spans="2:9" ht="15.75" customHeight="1" x14ac:dyDescent="0.25">
      <c r="B11" s="25" t="s">
        <v>341</v>
      </c>
      <c r="C11" s="25" t="s">
        <v>342</v>
      </c>
      <c r="D11" s="25" t="s">
        <v>343</v>
      </c>
      <c r="E11" s="26">
        <v>148944</v>
      </c>
      <c r="F11" s="27">
        <v>2951.1</v>
      </c>
      <c r="G11" s="28">
        <v>2.81E-2</v>
      </c>
      <c r="H11" s="29"/>
    </row>
    <row r="12" spans="2:9" ht="15.75" customHeight="1" x14ac:dyDescent="0.25">
      <c r="B12" s="25" t="s">
        <v>376</v>
      </c>
      <c r="C12" s="25" t="s">
        <v>377</v>
      </c>
      <c r="D12" s="25" t="s">
        <v>209</v>
      </c>
      <c r="E12" s="26">
        <v>245268</v>
      </c>
      <c r="F12" s="27">
        <v>2926.78</v>
      </c>
      <c r="G12" s="28">
        <v>2.7900000000000001E-2</v>
      </c>
      <c r="H12" s="29"/>
    </row>
    <row r="13" spans="2:9" ht="15.75" customHeight="1" x14ac:dyDescent="0.25">
      <c r="B13" s="25" t="s">
        <v>247</v>
      </c>
      <c r="C13" s="25" t="s">
        <v>248</v>
      </c>
      <c r="D13" s="25" t="s">
        <v>156</v>
      </c>
      <c r="E13" s="26">
        <v>250779</v>
      </c>
      <c r="F13" s="27">
        <v>2923.83</v>
      </c>
      <c r="G13" s="28">
        <v>2.7799999999999998E-2</v>
      </c>
      <c r="H13" s="29"/>
    </row>
    <row r="14" spans="2:9" ht="15.75" customHeight="1" x14ac:dyDescent="0.25">
      <c r="B14" s="25" t="s">
        <v>157</v>
      </c>
      <c r="C14" s="25" t="s">
        <v>158</v>
      </c>
      <c r="D14" s="25" t="s">
        <v>159</v>
      </c>
      <c r="E14" s="26">
        <v>205257</v>
      </c>
      <c r="F14" s="27">
        <v>2915.78</v>
      </c>
      <c r="G14" s="28">
        <v>2.7799999999999998E-2</v>
      </c>
      <c r="H14" s="29"/>
    </row>
    <row r="15" spans="2:9" ht="15.75" customHeight="1" x14ac:dyDescent="0.25">
      <c r="B15" s="25" t="s">
        <v>261</v>
      </c>
      <c r="C15" s="25" t="s">
        <v>262</v>
      </c>
      <c r="D15" s="25" t="s">
        <v>263</v>
      </c>
      <c r="E15" s="26">
        <v>68942</v>
      </c>
      <c r="F15" s="27">
        <v>2477.98</v>
      </c>
      <c r="G15" s="28">
        <v>2.3599999999999999E-2</v>
      </c>
      <c r="H15" s="29"/>
    </row>
    <row r="16" spans="2:9" ht="15.75" customHeight="1" x14ac:dyDescent="0.25">
      <c r="B16" s="25" t="s">
        <v>440</v>
      </c>
      <c r="C16" s="25" t="s">
        <v>441</v>
      </c>
      <c r="D16" s="25" t="s">
        <v>442</v>
      </c>
      <c r="E16" s="26">
        <v>64805</v>
      </c>
      <c r="F16" s="27">
        <v>2326.0100000000002</v>
      </c>
      <c r="G16" s="28">
        <v>2.2200000000000001E-2</v>
      </c>
      <c r="H16" s="29"/>
    </row>
    <row r="17" spans="2:8" ht="15.75" customHeight="1" x14ac:dyDescent="0.25">
      <c r="B17" s="25" t="s">
        <v>162</v>
      </c>
      <c r="C17" s="25" t="s">
        <v>163</v>
      </c>
      <c r="D17" s="25" t="s">
        <v>164</v>
      </c>
      <c r="E17" s="26">
        <v>77182</v>
      </c>
      <c r="F17" s="27">
        <v>2264.52</v>
      </c>
      <c r="G17" s="28">
        <v>2.1600000000000001E-2</v>
      </c>
      <c r="H17" s="29"/>
    </row>
    <row r="18" spans="2:8" ht="15.75" customHeight="1" x14ac:dyDescent="0.25">
      <c r="B18" s="25" t="s">
        <v>933</v>
      </c>
      <c r="C18" s="25" t="s">
        <v>934</v>
      </c>
      <c r="D18" s="25" t="s">
        <v>431</v>
      </c>
      <c r="E18" s="26">
        <v>32210</v>
      </c>
      <c r="F18" s="27">
        <v>2106.7800000000002</v>
      </c>
      <c r="G18" s="28">
        <v>2.01E-2</v>
      </c>
      <c r="H18" s="29"/>
    </row>
    <row r="19" spans="2:8" ht="15.75" customHeight="1" x14ac:dyDescent="0.25">
      <c r="B19" s="25" t="s">
        <v>357</v>
      </c>
      <c r="C19" s="25" t="s">
        <v>358</v>
      </c>
      <c r="D19" s="25" t="s">
        <v>260</v>
      </c>
      <c r="E19" s="26">
        <v>78642</v>
      </c>
      <c r="F19" s="27">
        <v>2061.25</v>
      </c>
      <c r="G19" s="28">
        <v>1.9599999999999999E-2</v>
      </c>
      <c r="H19" s="29"/>
    </row>
    <row r="20" spans="2:8" ht="15.75" customHeight="1" x14ac:dyDescent="0.25">
      <c r="B20" s="25" t="s">
        <v>629</v>
      </c>
      <c r="C20" s="25" t="s">
        <v>630</v>
      </c>
      <c r="D20" s="25" t="s">
        <v>551</v>
      </c>
      <c r="E20" s="26">
        <v>54004</v>
      </c>
      <c r="F20" s="27">
        <v>1973.36</v>
      </c>
      <c r="G20" s="28">
        <v>1.8800000000000001E-2</v>
      </c>
      <c r="H20" s="29"/>
    </row>
    <row r="21" spans="2:8" ht="15.75" customHeight="1" x14ac:dyDescent="0.25">
      <c r="B21" s="25" t="s">
        <v>720</v>
      </c>
      <c r="C21" s="25" t="s">
        <v>721</v>
      </c>
      <c r="D21" s="25" t="s">
        <v>442</v>
      </c>
      <c r="E21" s="26">
        <v>131363</v>
      </c>
      <c r="F21" s="27">
        <v>1965.39</v>
      </c>
      <c r="G21" s="28">
        <v>1.8700000000000001E-2</v>
      </c>
      <c r="H21" s="29"/>
    </row>
    <row r="22" spans="2:8" ht="15.75" customHeight="1" x14ac:dyDescent="0.25">
      <c r="B22" s="25" t="s">
        <v>781</v>
      </c>
      <c r="C22" s="25" t="s">
        <v>782</v>
      </c>
      <c r="D22" s="25" t="s">
        <v>167</v>
      </c>
      <c r="E22" s="26">
        <v>42262</v>
      </c>
      <c r="F22" s="27">
        <v>1942.95</v>
      </c>
      <c r="G22" s="28">
        <v>1.8499999999999999E-2</v>
      </c>
      <c r="H22" s="29"/>
    </row>
    <row r="23" spans="2:8" ht="15.75" customHeight="1" x14ac:dyDescent="0.25">
      <c r="B23" s="25" t="s">
        <v>320</v>
      </c>
      <c r="C23" s="25" t="s">
        <v>321</v>
      </c>
      <c r="D23" s="25" t="s">
        <v>244</v>
      </c>
      <c r="E23" s="26">
        <v>80412</v>
      </c>
      <c r="F23" s="27">
        <v>1939.26</v>
      </c>
      <c r="G23" s="28">
        <v>1.8499999999999999E-2</v>
      </c>
      <c r="H23" s="29"/>
    </row>
    <row r="24" spans="2:8" ht="15.75" customHeight="1" x14ac:dyDescent="0.25">
      <c r="B24" s="25" t="s">
        <v>344</v>
      </c>
      <c r="C24" s="25" t="s">
        <v>345</v>
      </c>
      <c r="D24" s="25" t="s">
        <v>167</v>
      </c>
      <c r="E24" s="26">
        <v>15074</v>
      </c>
      <c r="F24" s="27">
        <v>1932.11</v>
      </c>
      <c r="G24" s="28">
        <v>1.84E-2</v>
      </c>
      <c r="H24" s="29"/>
    </row>
    <row r="25" spans="2:8" ht="15.75" customHeight="1" x14ac:dyDescent="0.25">
      <c r="B25" s="25" t="s">
        <v>378</v>
      </c>
      <c r="C25" s="25" t="s">
        <v>379</v>
      </c>
      <c r="D25" s="25" t="s">
        <v>380</v>
      </c>
      <c r="E25" s="26">
        <v>129596</v>
      </c>
      <c r="F25" s="27">
        <v>1917.31</v>
      </c>
      <c r="G25" s="28">
        <v>1.83E-2</v>
      </c>
      <c r="H25" s="29"/>
    </row>
    <row r="26" spans="2:8" ht="15.75" customHeight="1" x14ac:dyDescent="0.25">
      <c r="B26" s="25" t="s">
        <v>438</v>
      </c>
      <c r="C26" s="25" t="s">
        <v>439</v>
      </c>
      <c r="D26" s="25" t="s">
        <v>156</v>
      </c>
      <c r="E26" s="26">
        <v>1973876</v>
      </c>
      <c r="F26" s="27">
        <v>1915.65</v>
      </c>
      <c r="G26" s="28">
        <v>1.8200000000000001E-2</v>
      </c>
      <c r="H26" s="29"/>
    </row>
    <row r="27" spans="2:8" ht="15.75" customHeight="1" x14ac:dyDescent="0.25">
      <c r="B27" s="25" t="s">
        <v>207</v>
      </c>
      <c r="C27" s="25" t="s">
        <v>208</v>
      </c>
      <c r="D27" s="25" t="s">
        <v>209</v>
      </c>
      <c r="E27" s="26">
        <v>429086</v>
      </c>
      <c r="F27" s="27">
        <v>1894.63</v>
      </c>
      <c r="G27" s="28">
        <v>1.7999999999999999E-2</v>
      </c>
      <c r="H27" s="29"/>
    </row>
    <row r="28" spans="2:8" ht="15.75" customHeight="1" x14ac:dyDescent="0.25">
      <c r="B28" s="25" t="s">
        <v>716</v>
      </c>
      <c r="C28" s="25" t="s">
        <v>717</v>
      </c>
      <c r="D28" s="25" t="s">
        <v>343</v>
      </c>
      <c r="E28" s="26">
        <v>176098</v>
      </c>
      <c r="F28" s="27">
        <v>1800.34</v>
      </c>
      <c r="G28" s="28">
        <v>1.7100000000000001E-2</v>
      </c>
      <c r="H28" s="29"/>
    </row>
    <row r="29" spans="2:8" ht="15.75" customHeight="1" x14ac:dyDescent="0.25">
      <c r="B29" s="25" t="s">
        <v>313</v>
      </c>
      <c r="C29" s="25" t="s">
        <v>314</v>
      </c>
      <c r="D29" s="25" t="s">
        <v>315</v>
      </c>
      <c r="E29" s="26">
        <v>310010</v>
      </c>
      <c r="F29" s="27">
        <v>1787.98</v>
      </c>
      <c r="G29" s="28">
        <v>1.7000000000000001E-2</v>
      </c>
      <c r="H29" s="29"/>
    </row>
    <row r="30" spans="2:8" ht="15.75" customHeight="1" x14ac:dyDescent="0.25">
      <c r="B30" s="25" t="s">
        <v>292</v>
      </c>
      <c r="C30" s="25" t="s">
        <v>293</v>
      </c>
      <c r="D30" s="25" t="s">
        <v>173</v>
      </c>
      <c r="E30" s="26">
        <v>408976</v>
      </c>
      <c r="F30" s="27">
        <v>1781.7</v>
      </c>
      <c r="G30" s="28">
        <v>1.7000000000000001E-2</v>
      </c>
      <c r="H30" s="29"/>
    </row>
    <row r="31" spans="2:8" ht="15.75" customHeight="1" x14ac:dyDescent="0.25">
      <c r="B31" s="25" t="s">
        <v>955</v>
      </c>
      <c r="C31" s="25" t="s">
        <v>956</v>
      </c>
      <c r="D31" s="25" t="s">
        <v>431</v>
      </c>
      <c r="E31" s="26">
        <v>37036</v>
      </c>
      <c r="F31" s="27">
        <v>1729.43</v>
      </c>
      <c r="G31" s="28">
        <v>1.6500000000000001E-2</v>
      </c>
      <c r="H31" s="29"/>
    </row>
    <row r="32" spans="2:8" ht="15.75" customHeight="1" x14ac:dyDescent="0.25">
      <c r="B32" s="25" t="s">
        <v>458</v>
      </c>
      <c r="C32" s="25" t="s">
        <v>459</v>
      </c>
      <c r="D32" s="25" t="s">
        <v>296</v>
      </c>
      <c r="E32" s="26">
        <v>133341</v>
      </c>
      <c r="F32" s="27">
        <v>1695.03</v>
      </c>
      <c r="G32" s="28">
        <v>1.61E-2</v>
      </c>
      <c r="H32" s="29"/>
    </row>
    <row r="33" spans="2:8" ht="15.75" customHeight="1" x14ac:dyDescent="0.25">
      <c r="B33" s="25" t="s">
        <v>165</v>
      </c>
      <c r="C33" s="25" t="s">
        <v>166</v>
      </c>
      <c r="D33" s="25" t="s">
        <v>167</v>
      </c>
      <c r="E33" s="26">
        <v>76871</v>
      </c>
      <c r="F33" s="27">
        <v>1657.61</v>
      </c>
      <c r="G33" s="28">
        <v>1.5800000000000002E-2</v>
      </c>
      <c r="H33" s="29"/>
    </row>
    <row r="34" spans="2:8" ht="15.75" customHeight="1" x14ac:dyDescent="0.25">
      <c r="B34" s="25" t="s">
        <v>427</v>
      </c>
      <c r="C34" s="25" t="s">
        <v>428</v>
      </c>
      <c r="D34" s="25" t="s">
        <v>426</v>
      </c>
      <c r="E34" s="26">
        <v>844965</v>
      </c>
      <c r="F34" s="27">
        <v>1632.05</v>
      </c>
      <c r="G34" s="28">
        <v>1.55E-2</v>
      </c>
      <c r="H34" s="29"/>
    </row>
    <row r="35" spans="2:8" ht="15.75" customHeight="1" x14ac:dyDescent="0.25">
      <c r="B35" s="25" t="s">
        <v>271</v>
      </c>
      <c r="C35" s="25" t="s">
        <v>272</v>
      </c>
      <c r="D35" s="25" t="s">
        <v>209</v>
      </c>
      <c r="E35" s="26">
        <v>96321</v>
      </c>
      <c r="F35" s="27">
        <v>1555.58</v>
      </c>
      <c r="G35" s="28">
        <v>1.4800000000000001E-2</v>
      </c>
      <c r="H35" s="29"/>
    </row>
    <row r="36" spans="2:8" ht="15.75" customHeight="1" x14ac:dyDescent="0.25">
      <c r="B36" s="25" t="s">
        <v>849</v>
      </c>
      <c r="C36" s="25" t="s">
        <v>850</v>
      </c>
      <c r="D36" s="25" t="s">
        <v>159</v>
      </c>
      <c r="E36" s="26">
        <v>97983</v>
      </c>
      <c r="F36" s="27">
        <v>1464.06</v>
      </c>
      <c r="G36" s="28">
        <v>1.3899999999999999E-2</v>
      </c>
      <c r="H36" s="29"/>
    </row>
    <row r="37" spans="2:8" ht="15.75" customHeight="1" x14ac:dyDescent="0.25">
      <c r="B37" s="25" t="s">
        <v>256</v>
      </c>
      <c r="C37" s="25" t="s">
        <v>257</v>
      </c>
      <c r="D37" s="25" t="s">
        <v>214</v>
      </c>
      <c r="E37" s="26">
        <v>147079</v>
      </c>
      <c r="F37" s="27">
        <v>1402.47</v>
      </c>
      <c r="G37" s="28">
        <v>1.34E-2</v>
      </c>
      <c r="H37" s="29"/>
    </row>
    <row r="38" spans="2:8" ht="15.75" customHeight="1" x14ac:dyDescent="0.25">
      <c r="B38" s="25" t="s">
        <v>698</v>
      </c>
      <c r="C38" s="25" t="s">
        <v>699</v>
      </c>
      <c r="D38" s="25" t="s">
        <v>217</v>
      </c>
      <c r="E38" s="26">
        <v>22012</v>
      </c>
      <c r="F38" s="27">
        <v>1389.24</v>
      </c>
      <c r="G38" s="28">
        <v>1.32E-2</v>
      </c>
      <c r="H38" s="29"/>
    </row>
    <row r="39" spans="2:8" ht="15.75" customHeight="1" x14ac:dyDescent="0.25">
      <c r="B39" s="25" t="s">
        <v>171</v>
      </c>
      <c r="C39" s="25" t="s">
        <v>172</v>
      </c>
      <c r="D39" s="25" t="s">
        <v>173</v>
      </c>
      <c r="E39" s="26">
        <v>61576</v>
      </c>
      <c r="F39" s="27">
        <v>1373.42</v>
      </c>
      <c r="G39" s="28">
        <v>1.3100000000000001E-2</v>
      </c>
      <c r="H39" s="29"/>
    </row>
    <row r="40" spans="2:8" ht="15.75" customHeight="1" x14ac:dyDescent="0.25">
      <c r="B40" s="25" t="s">
        <v>334</v>
      </c>
      <c r="C40" s="25" t="s">
        <v>335</v>
      </c>
      <c r="D40" s="25" t="s">
        <v>159</v>
      </c>
      <c r="E40" s="26">
        <v>100139</v>
      </c>
      <c r="F40" s="27">
        <v>1368.5</v>
      </c>
      <c r="G40" s="28">
        <v>1.2999999999999999E-2</v>
      </c>
      <c r="H40" s="29"/>
    </row>
    <row r="41" spans="2:8" ht="15.75" customHeight="1" x14ac:dyDescent="0.25">
      <c r="B41" s="25" t="s">
        <v>168</v>
      </c>
      <c r="C41" s="25" t="s">
        <v>169</v>
      </c>
      <c r="D41" s="25" t="s">
        <v>170</v>
      </c>
      <c r="E41" s="26">
        <v>51686</v>
      </c>
      <c r="F41" s="27">
        <v>1295.97</v>
      </c>
      <c r="G41" s="28">
        <v>1.23E-2</v>
      </c>
      <c r="H41" s="29"/>
    </row>
    <row r="42" spans="2:8" ht="15.75" customHeight="1" x14ac:dyDescent="0.25">
      <c r="B42" s="25" t="s">
        <v>654</v>
      </c>
      <c r="C42" s="25" t="s">
        <v>655</v>
      </c>
      <c r="D42" s="25" t="s">
        <v>296</v>
      </c>
      <c r="E42" s="26">
        <v>8659</v>
      </c>
      <c r="F42" s="27">
        <v>1185.22</v>
      </c>
      <c r="G42" s="28">
        <v>1.1299999999999999E-2</v>
      </c>
      <c r="H42" s="29"/>
    </row>
    <row r="43" spans="2:8" ht="15.75" customHeight="1" x14ac:dyDescent="0.25">
      <c r="B43" s="25" t="s">
        <v>687</v>
      </c>
      <c r="C43" s="25" t="s">
        <v>688</v>
      </c>
      <c r="D43" s="25" t="s">
        <v>170</v>
      </c>
      <c r="E43" s="26">
        <v>89151</v>
      </c>
      <c r="F43" s="27">
        <v>1137.8800000000001</v>
      </c>
      <c r="G43" s="28">
        <v>1.0800000000000001E-2</v>
      </c>
      <c r="H43" s="29"/>
    </row>
    <row r="44" spans="2:8" ht="15.75" customHeight="1" x14ac:dyDescent="0.25">
      <c r="B44" s="25" t="s">
        <v>752</v>
      </c>
      <c r="C44" s="25" t="s">
        <v>753</v>
      </c>
      <c r="D44" s="25" t="s">
        <v>260</v>
      </c>
      <c r="E44" s="26">
        <v>33124</v>
      </c>
      <c r="F44" s="27">
        <v>1132.5899999999999</v>
      </c>
      <c r="G44" s="28">
        <v>1.0800000000000001E-2</v>
      </c>
      <c r="H44" s="29"/>
    </row>
    <row r="45" spans="2:8" ht="15.75" customHeight="1" x14ac:dyDescent="0.25">
      <c r="B45" s="25" t="s">
        <v>650</v>
      </c>
      <c r="C45" s="25" t="s">
        <v>651</v>
      </c>
      <c r="D45" s="25" t="s">
        <v>442</v>
      </c>
      <c r="E45" s="26">
        <v>104713</v>
      </c>
      <c r="F45" s="27">
        <v>1124.0899999999999</v>
      </c>
      <c r="G45" s="28">
        <v>1.0699999999999999E-2</v>
      </c>
      <c r="H45" s="29"/>
    </row>
    <row r="46" spans="2:8" ht="15.75" customHeight="1" x14ac:dyDescent="0.25">
      <c r="B46" s="25" t="s">
        <v>957</v>
      </c>
      <c r="C46" s="25" t="s">
        <v>958</v>
      </c>
      <c r="D46" s="25" t="s">
        <v>442</v>
      </c>
      <c r="E46" s="26">
        <v>51243</v>
      </c>
      <c r="F46" s="27">
        <v>1083.05</v>
      </c>
      <c r="G46" s="28">
        <v>1.03E-2</v>
      </c>
      <c r="H46" s="29"/>
    </row>
    <row r="47" spans="2:8" ht="15.75" customHeight="1" x14ac:dyDescent="0.25">
      <c r="B47" s="25" t="s">
        <v>666</v>
      </c>
      <c r="C47" s="25" t="s">
        <v>667</v>
      </c>
      <c r="D47" s="25" t="s">
        <v>253</v>
      </c>
      <c r="E47" s="26">
        <v>181585</v>
      </c>
      <c r="F47" s="27">
        <v>1074.17</v>
      </c>
      <c r="G47" s="28">
        <v>1.0200000000000001E-2</v>
      </c>
      <c r="H47" s="29"/>
    </row>
    <row r="48" spans="2:8" ht="15.75" customHeight="1" x14ac:dyDescent="0.25">
      <c r="B48" s="25" t="s">
        <v>783</v>
      </c>
      <c r="C48" s="25" t="s">
        <v>784</v>
      </c>
      <c r="D48" s="25" t="s">
        <v>426</v>
      </c>
      <c r="E48" s="26">
        <v>23038</v>
      </c>
      <c r="F48" s="27">
        <v>1060.6199999999999</v>
      </c>
      <c r="G48" s="28">
        <v>1.01E-2</v>
      </c>
      <c r="H48" s="29"/>
    </row>
    <row r="49" spans="2:8" ht="15.75" customHeight="1" x14ac:dyDescent="0.25">
      <c r="B49" s="25" t="s">
        <v>472</v>
      </c>
      <c r="C49" s="25" t="s">
        <v>473</v>
      </c>
      <c r="D49" s="25" t="s">
        <v>296</v>
      </c>
      <c r="E49" s="26">
        <v>22861</v>
      </c>
      <c r="F49" s="27">
        <v>1011.92</v>
      </c>
      <c r="G49" s="28">
        <v>9.5999999999999992E-3</v>
      </c>
      <c r="H49" s="29"/>
    </row>
    <row r="50" spans="2:8" ht="15.75" customHeight="1" x14ac:dyDescent="0.25">
      <c r="B50" s="25" t="s">
        <v>353</v>
      </c>
      <c r="C50" s="25" t="s">
        <v>354</v>
      </c>
      <c r="D50" s="25" t="s">
        <v>244</v>
      </c>
      <c r="E50" s="26">
        <v>10137</v>
      </c>
      <c r="F50" s="27">
        <v>1010.85</v>
      </c>
      <c r="G50" s="28">
        <v>9.5999999999999992E-3</v>
      </c>
      <c r="H50" s="29"/>
    </row>
    <row r="51" spans="2:8" ht="15.75" customHeight="1" x14ac:dyDescent="0.25">
      <c r="B51" s="25" t="s">
        <v>597</v>
      </c>
      <c r="C51" s="25" t="s">
        <v>598</v>
      </c>
      <c r="D51" s="25" t="s">
        <v>296</v>
      </c>
      <c r="E51" s="26">
        <v>26709</v>
      </c>
      <c r="F51" s="27">
        <v>985.52</v>
      </c>
      <c r="G51" s="28">
        <v>9.4000000000000004E-3</v>
      </c>
      <c r="H51" s="29"/>
    </row>
    <row r="52" spans="2:8" ht="15.75" customHeight="1" x14ac:dyDescent="0.25">
      <c r="B52" s="25" t="s">
        <v>174</v>
      </c>
      <c r="C52" s="25" t="s">
        <v>175</v>
      </c>
      <c r="D52" s="25" t="s">
        <v>159</v>
      </c>
      <c r="E52" s="26">
        <v>20771</v>
      </c>
      <c r="F52" s="27">
        <v>977.57</v>
      </c>
      <c r="G52" s="28">
        <v>9.2999999999999992E-3</v>
      </c>
      <c r="H52" s="29"/>
    </row>
    <row r="53" spans="2:8" ht="15.75" customHeight="1" x14ac:dyDescent="0.25">
      <c r="B53" s="25" t="s">
        <v>959</v>
      </c>
      <c r="C53" s="25" t="s">
        <v>960</v>
      </c>
      <c r="D53" s="25" t="s">
        <v>343</v>
      </c>
      <c r="E53" s="26">
        <v>25416</v>
      </c>
      <c r="F53" s="27">
        <v>965.1</v>
      </c>
      <c r="G53" s="28">
        <v>9.1999999999999998E-3</v>
      </c>
      <c r="H53" s="29"/>
    </row>
    <row r="54" spans="2:8" ht="15.75" customHeight="1" x14ac:dyDescent="0.25">
      <c r="B54" s="25" t="s">
        <v>474</v>
      </c>
      <c r="C54" s="25" t="s">
        <v>475</v>
      </c>
      <c r="D54" s="25" t="s">
        <v>159</v>
      </c>
      <c r="E54" s="26">
        <v>18189</v>
      </c>
      <c r="F54" s="27">
        <v>928.23</v>
      </c>
      <c r="G54" s="28">
        <v>8.8000000000000005E-3</v>
      </c>
      <c r="H54" s="29"/>
    </row>
    <row r="55" spans="2:8" ht="15.75" customHeight="1" x14ac:dyDescent="0.25">
      <c r="B55" s="25" t="s">
        <v>640</v>
      </c>
      <c r="C55" s="25" t="s">
        <v>641</v>
      </c>
      <c r="D55" s="25" t="s">
        <v>639</v>
      </c>
      <c r="E55" s="26">
        <v>147727</v>
      </c>
      <c r="F55" s="27">
        <v>916.5</v>
      </c>
      <c r="G55" s="28">
        <v>8.6999999999999994E-3</v>
      </c>
      <c r="H55" s="29"/>
    </row>
    <row r="56" spans="2:8" ht="15.75" customHeight="1" x14ac:dyDescent="0.25">
      <c r="B56" s="25" t="s">
        <v>351</v>
      </c>
      <c r="C56" s="25" t="s">
        <v>352</v>
      </c>
      <c r="D56" s="25" t="s">
        <v>214</v>
      </c>
      <c r="E56" s="26">
        <v>38153</v>
      </c>
      <c r="F56" s="27">
        <v>902.09</v>
      </c>
      <c r="G56" s="28">
        <v>8.6E-3</v>
      </c>
      <c r="H56" s="29"/>
    </row>
    <row r="57" spans="2:8" ht="15.75" customHeight="1" x14ac:dyDescent="0.25">
      <c r="B57" s="25" t="s">
        <v>635</v>
      </c>
      <c r="C57" s="25" t="s">
        <v>636</v>
      </c>
      <c r="D57" s="25" t="s">
        <v>159</v>
      </c>
      <c r="E57" s="26">
        <v>12783</v>
      </c>
      <c r="F57" s="27">
        <v>901.44</v>
      </c>
      <c r="G57" s="28">
        <v>8.6E-3</v>
      </c>
      <c r="H57" s="29"/>
    </row>
    <row r="58" spans="2:8" ht="15.75" customHeight="1" x14ac:dyDescent="0.25">
      <c r="B58" s="25" t="s">
        <v>549</v>
      </c>
      <c r="C58" s="25" t="s">
        <v>550</v>
      </c>
      <c r="D58" s="25" t="s">
        <v>551</v>
      </c>
      <c r="E58" s="26">
        <v>66588</v>
      </c>
      <c r="F58" s="27">
        <v>804.28</v>
      </c>
      <c r="G58" s="28">
        <v>7.7000000000000002E-3</v>
      </c>
      <c r="H58" s="29"/>
    </row>
    <row r="59" spans="2:8" ht="15.75" customHeight="1" x14ac:dyDescent="0.25">
      <c r="B59" s="25" t="s">
        <v>407</v>
      </c>
      <c r="C59" s="25" t="s">
        <v>408</v>
      </c>
      <c r="D59" s="25" t="s">
        <v>214</v>
      </c>
      <c r="E59" s="26">
        <v>2974</v>
      </c>
      <c r="F59" s="27">
        <v>786.51</v>
      </c>
      <c r="G59" s="28">
        <v>7.4999999999999997E-3</v>
      </c>
      <c r="H59" s="29"/>
    </row>
    <row r="60" spans="2:8" ht="15.75" customHeight="1" x14ac:dyDescent="0.25">
      <c r="B60" s="25" t="s">
        <v>961</v>
      </c>
      <c r="C60" s="25" t="s">
        <v>962</v>
      </c>
      <c r="D60" s="25" t="s">
        <v>442</v>
      </c>
      <c r="E60" s="26">
        <v>9821</v>
      </c>
      <c r="F60" s="27">
        <v>706.22</v>
      </c>
      <c r="G60" s="28">
        <v>6.7000000000000002E-3</v>
      </c>
      <c r="H60" s="29"/>
    </row>
    <row r="61" spans="2:8" ht="15.75" customHeight="1" x14ac:dyDescent="0.25">
      <c r="B61" s="25" t="s">
        <v>227</v>
      </c>
      <c r="C61" s="25" t="s">
        <v>228</v>
      </c>
      <c r="D61" s="25" t="s">
        <v>156</v>
      </c>
      <c r="E61" s="26">
        <v>43348</v>
      </c>
      <c r="F61" s="27">
        <v>703.95</v>
      </c>
      <c r="G61" s="28">
        <v>6.7000000000000002E-3</v>
      </c>
      <c r="H61" s="29"/>
    </row>
    <row r="62" spans="2:8" ht="15.75" customHeight="1" x14ac:dyDescent="0.25">
      <c r="B62" s="25" t="s">
        <v>740</v>
      </c>
      <c r="C62" s="25" t="s">
        <v>741</v>
      </c>
      <c r="D62" s="25" t="s">
        <v>343</v>
      </c>
      <c r="E62" s="26">
        <v>28868</v>
      </c>
      <c r="F62" s="27">
        <v>613.91999999999996</v>
      </c>
      <c r="G62" s="28">
        <v>5.7999999999999996E-3</v>
      </c>
      <c r="H62" s="29"/>
    </row>
    <row r="63" spans="2:8" ht="15.75" customHeight="1" x14ac:dyDescent="0.25">
      <c r="B63" s="25" t="s">
        <v>660</v>
      </c>
      <c r="C63" s="25" t="s">
        <v>661</v>
      </c>
      <c r="D63" s="25" t="s">
        <v>457</v>
      </c>
      <c r="E63" s="26">
        <v>54629</v>
      </c>
      <c r="F63" s="27">
        <v>611.84</v>
      </c>
      <c r="G63" s="28">
        <v>5.7999999999999996E-3</v>
      </c>
      <c r="H63" s="29"/>
    </row>
    <row r="64" spans="2:8" ht="15.75" customHeight="1" x14ac:dyDescent="0.25">
      <c r="B64" s="24" t="s">
        <v>128</v>
      </c>
      <c r="C64" s="24"/>
      <c r="D64" s="24"/>
      <c r="E64" s="30"/>
      <c r="F64" s="31">
        <v>102777.39</v>
      </c>
      <c r="G64" s="32">
        <v>0.97889999999999999</v>
      </c>
      <c r="H64" s="33"/>
    </row>
    <row r="65" spans="2:16" ht="15.75" customHeight="1" x14ac:dyDescent="0.25">
      <c r="B65" s="24" t="s">
        <v>176</v>
      </c>
      <c r="C65" s="25"/>
      <c r="D65" s="25"/>
      <c r="E65" s="26"/>
      <c r="F65" s="27"/>
      <c r="G65" s="28"/>
      <c r="H65" s="29"/>
    </row>
    <row r="66" spans="2:16" ht="15.75" customHeight="1" x14ac:dyDescent="0.25">
      <c r="B66" s="24" t="s">
        <v>128</v>
      </c>
      <c r="C66" s="25"/>
      <c r="D66" s="25"/>
      <c r="E66" s="26"/>
      <c r="F66" s="34" t="s">
        <v>130</v>
      </c>
      <c r="G66" s="35" t="s">
        <v>130</v>
      </c>
      <c r="H66" s="29"/>
    </row>
    <row r="67" spans="2:16" ht="15.75" customHeight="1" x14ac:dyDescent="0.25">
      <c r="B67" s="25"/>
      <c r="C67" s="25"/>
      <c r="D67" s="25"/>
      <c r="E67" s="26"/>
      <c r="F67" s="27"/>
      <c r="G67" s="28"/>
      <c r="H67" s="29"/>
    </row>
    <row r="68" spans="2:16" ht="15.75" customHeight="1" x14ac:dyDescent="0.25">
      <c r="B68" s="36" t="s">
        <v>132</v>
      </c>
      <c r="C68" s="36"/>
      <c r="D68" s="36"/>
      <c r="E68" s="37"/>
      <c r="F68" s="31">
        <v>102777.39</v>
      </c>
      <c r="G68" s="32">
        <v>0.97889999999999999</v>
      </c>
      <c r="H68" s="33"/>
      <c r="L68" s="3"/>
    </row>
    <row r="69" spans="2:16" ht="15.75" customHeight="1" x14ac:dyDescent="0.25">
      <c r="B69" s="25"/>
      <c r="C69" s="25"/>
      <c r="D69" s="25"/>
      <c r="E69" s="26"/>
      <c r="F69" s="27"/>
      <c r="G69" s="28"/>
      <c r="H69" s="29"/>
    </row>
    <row r="70" spans="2:16" ht="15.75" customHeight="1" x14ac:dyDescent="0.25">
      <c r="B70" s="25"/>
      <c r="C70" s="25"/>
      <c r="D70" s="25"/>
      <c r="E70" s="26"/>
      <c r="F70" s="27"/>
      <c r="G70" s="28"/>
      <c r="H70" s="29"/>
      <c r="L70" s="3"/>
    </row>
    <row r="71" spans="2:16" ht="15.75" customHeight="1" x14ac:dyDescent="0.25">
      <c r="B71" s="24" t="s">
        <v>135</v>
      </c>
      <c r="C71" s="25"/>
      <c r="D71" s="25"/>
      <c r="E71" s="26"/>
      <c r="F71" s="27"/>
      <c r="G71" s="28"/>
      <c r="H71" s="29"/>
      <c r="L71" s="3"/>
    </row>
    <row r="72" spans="2:16" ht="15.75" customHeight="1" x14ac:dyDescent="0.25">
      <c r="B72" s="25" t="s">
        <v>136</v>
      </c>
      <c r="C72" s="25"/>
      <c r="D72" s="25"/>
      <c r="E72" s="26"/>
      <c r="F72" s="27">
        <v>2697.43</v>
      </c>
      <c r="G72" s="28">
        <v>2.5700000000000001E-2</v>
      </c>
      <c r="H72" s="29"/>
      <c r="L72" s="3"/>
    </row>
    <row r="73" spans="2:16" ht="15.75" customHeight="1" x14ac:dyDescent="0.25">
      <c r="B73" s="24" t="s">
        <v>128</v>
      </c>
      <c r="C73" s="24"/>
      <c r="D73" s="24"/>
      <c r="E73" s="30"/>
      <c r="F73" s="31">
        <v>2697.43</v>
      </c>
      <c r="G73" s="32">
        <v>2.5700000000000001E-2</v>
      </c>
      <c r="H73" s="33"/>
      <c r="L73" s="3"/>
    </row>
    <row r="74" spans="2:16" ht="15.75" customHeight="1" x14ac:dyDescent="0.25">
      <c r="B74" s="25"/>
      <c r="C74" s="25"/>
      <c r="D74" s="25"/>
      <c r="E74" s="26"/>
      <c r="F74" s="27"/>
      <c r="G74" s="28"/>
      <c r="H74" s="29"/>
      <c r="L74" s="3"/>
    </row>
    <row r="75" spans="2:16" ht="15.75" customHeight="1" x14ac:dyDescent="0.25">
      <c r="B75" s="36" t="s">
        <v>132</v>
      </c>
      <c r="C75" s="36"/>
      <c r="D75" s="36"/>
      <c r="E75" s="37"/>
      <c r="F75" s="31">
        <v>2697.43</v>
      </c>
      <c r="G75" s="32">
        <v>2.5700000000000001E-2</v>
      </c>
      <c r="H75" s="33"/>
      <c r="L75" s="5"/>
      <c r="M75" s="5"/>
      <c r="N75" s="6"/>
      <c r="O75" s="6"/>
      <c r="P75" s="5"/>
    </row>
    <row r="76" spans="2:16" ht="15.75" customHeight="1" x14ac:dyDescent="0.25">
      <c r="B76" s="25" t="s">
        <v>137</v>
      </c>
      <c r="C76" s="25"/>
      <c r="D76" s="25"/>
      <c r="E76" s="26"/>
      <c r="F76" s="38">
        <v>-483.34</v>
      </c>
      <c r="G76" s="39">
        <v>-4.5999999999999375E-3</v>
      </c>
      <c r="H76" s="29"/>
    </row>
    <row r="77" spans="2:16" ht="15.75" customHeight="1" x14ac:dyDescent="0.25">
      <c r="B77" s="40" t="s">
        <v>138</v>
      </c>
      <c r="C77" s="40"/>
      <c r="D77" s="40"/>
      <c r="E77" s="41"/>
      <c r="F77" s="42">
        <v>104991.48</v>
      </c>
      <c r="G77" s="43">
        <v>1</v>
      </c>
      <c r="H77" s="44"/>
    </row>
    <row r="78" spans="2:16" ht="15.75" customHeight="1" thickBot="1" x14ac:dyDescent="0.3">
      <c r="B78" s="2"/>
      <c r="L78" s="7"/>
      <c r="M78" s="7"/>
      <c r="N78" s="7"/>
      <c r="O78" s="7"/>
      <c r="P78" s="7"/>
    </row>
    <row r="79" spans="2:16" ht="27" customHeight="1" thickBot="1" x14ac:dyDescent="0.3">
      <c r="B79" s="57" t="s">
        <v>980</v>
      </c>
      <c r="C79" s="58" t="s">
        <v>981</v>
      </c>
      <c r="D79" s="58" t="s">
        <v>982</v>
      </c>
      <c r="E79" s="63" t="s">
        <v>983</v>
      </c>
      <c r="G79" s="2"/>
      <c r="H79" s="2"/>
    </row>
    <row r="80" spans="2:16" ht="28.5" customHeight="1" x14ac:dyDescent="0.25">
      <c r="B80" s="70" t="s">
        <v>1069</v>
      </c>
      <c r="C80" s="82"/>
      <c r="D80" s="85" t="s">
        <v>1031</v>
      </c>
      <c r="E80" s="87"/>
      <c r="G80" s="2"/>
      <c r="H80" s="2"/>
    </row>
    <row r="81" spans="2:8" ht="30" customHeight="1" x14ac:dyDescent="0.25">
      <c r="B81" s="66" t="s">
        <v>1049</v>
      </c>
      <c r="C81" s="83"/>
      <c r="D81" s="86"/>
      <c r="E81" s="83"/>
      <c r="G81" s="2"/>
      <c r="H81" s="2"/>
    </row>
    <row r="82" spans="2:8" ht="30.75" customHeight="1" x14ac:dyDescent="0.25">
      <c r="B82" s="66" t="s">
        <v>1070</v>
      </c>
      <c r="C82" s="83"/>
      <c r="D82" s="86"/>
      <c r="E82" s="83"/>
      <c r="G82" s="2"/>
      <c r="H82" s="2"/>
    </row>
    <row r="83" spans="2:8" ht="30" customHeight="1" thickBot="1" x14ac:dyDescent="0.3">
      <c r="B83" s="68" t="s">
        <v>1006</v>
      </c>
      <c r="C83" s="84"/>
      <c r="D83" s="71" t="s">
        <v>1006</v>
      </c>
      <c r="E83" s="88"/>
      <c r="G83" s="2"/>
      <c r="H83" s="2"/>
    </row>
    <row r="84" spans="2:8" ht="25" customHeight="1" x14ac:dyDescent="0.25">
      <c r="B84" s="59" t="s">
        <v>985</v>
      </c>
      <c r="C84" s="60"/>
      <c r="D84" s="61"/>
      <c r="E84" s="62"/>
      <c r="G84" s="2"/>
      <c r="H84" s="2"/>
    </row>
    <row r="86" spans="2:8" ht="11.5" x14ac:dyDescent="0.25">
      <c r="B86" s="2" t="s">
        <v>986</v>
      </c>
      <c r="C86" s="2"/>
      <c r="D86" s="2"/>
      <c r="G86" s="2"/>
      <c r="H86" s="2"/>
    </row>
    <row r="87" spans="2:8" ht="11.5" x14ac:dyDescent="0.25">
      <c r="B87" s="3" t="s">
        <v>987</v>
      </c>
      <c r="C87" s="2"/>
      <c r="D87" s="2"/>
      <c r="G87" s="2"/>
      <c r="H87" s="2"/>
    </row>
  </sheetData>
  <mergeCells count="3">
    <mergeCell ref="C80:C83"/>
    <mergeCell ref="D80:D82"/>
    <mergeCell ref="E80:E83"/>
  </mergeCells>
  <hyperlinks>
    <hyperlink ref="I1" location="'Sheet1'!A1" display="Index" xr:uid="{7C2230CE-56D4-4459-A075-F3A95CC77F6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E42CA-F9B3-4668-A973-B83290228D95}">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7.1796875" style="9" customWidth="1"/>
    <col min="4" max="4" width="26.6328125" style="9" customWidth="1"/>
    <col min="5" max="5" width="27.36328125" style="2" customWidth="1"/>
    <col min="6" max="6" width="16.453125" style="2" customWidth="1"/>
    <col min="7" max="7" width="15.26953125" style="8" customWidth="1"/>
    <col min="8" max="8" width="4.906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33</v>
      </c>
      <c r="C1" s="1" t="s">
        <v>994</v>
      </c>
      <c r="D1" s="1" t="s">
        <v>995</v>
      </c>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160</v>
      </c>
      <c r="C7" s="25" t="s">
        <v>161</v>
      </c>
      <c r="D7" s="25" t="s">
        <v>156</v>
      </c>
      <c r="E7" s="26">
        <v>577254</v>
      </c>
      <c r="F7" s="27">
        <v>8774.84</v>
      </c>
      <c r="G7" s="28">
        <v>0.1149</v>
      </c>
      <c r="H7" s="29"/>
    </row>
    <row r="8" spans="2:9" ht="15.75" customHeight="1" x14ac:dyDescent="0.25">
      <c r="B8" s="25" t="s">
        <v>162</v>
      </c>
      <c r="C8" s="25" t="s">
        <v>163</v>
      </c>
      <c r="D8" s="25" t="s">
        <v>164</v>
      </c>
      <c r="E8" s="26">
        <v>259488</v>
      </c>
      <c r="F8" s="27">
        <v>7613.38</v>
      </c>
      <c r="G8" s="28">
        <v>9.9699999999999997E-2</v>
      </c>
      <c r="H8" s="29"/>
    </row>
    <row r="9" spans="2:9" ht="15.75" customHeight="1" x14ac:dyDescent="0.25">
      <c r="B9" s="25" t="s">
        <v>154</v>
      </c>
      <c r="C9" s="25" t="s">
        <v>155</v>
      </c>
      <c r="D9" s="25" t="s">
        <v>156</v>
      </c>
      <c r="E9" s="26">
        <v>539085</v>
      </c>
      <c r="F9" s="27">
        <v>6201.63</v>
      </c>
      <c r="G9" s="28">
        <v>8.1199999999999994E-2</v>
      </c>
      <c r="H9" s="29"/>
    </row>
    <row r="10" spans="2:9" ht="15.75" customHeight="1" x14ac:dyDescent="0.25">
      <c r="B10" s="25" t="s">
        <v>157</v>
      </c>
      <c r="C10" s="25" t="s">
        <v>158</v>
      </c>
      <c r="D10" s="25" t="s">
        <v>159</v>
      </c>
      <c r="E10" s="26">
        <v>273631</v>
      </c>
      <c r="F10" s="27">
        <v>3887.07</v>
      </c>
      <c r="G10" s="28">
        <v>5.0900000000000001E-2</v>
      </c>
      <c r="H10" s="29"/>
    </row>
    <row r="11" spans="2:9" ht="15.75" customHeight="1" x14ac:dyDescent="0.25">
      <c r="B11" s="25" t="s">
        <v>261</v>
      </c>
      <c r="C11" s="25" t="s">
        <v>262</v>
      </c>
      <c r="D11" s="25" t="s">
        <v>263</v>
      </c>
      <c r="E11" s="26">
        <v>90453</v>
      </c>
      <c r="F11" s="27">
        <v>3251.15</v>
      </c>
      <c r="G11" s="28">
        <v>4.2599999999999999E-2</v>
      </c>
      <c r="H11" s="29"/>
    </row>
    <row r="12" spans="2:9" ht="15.75" customHeight="1" x14ac:dyDescent="0.25">
      <c r="B12" s="25" t="s">
        <v>332</v>
      </c>
      <c r="C12" s="25" t="s">
        <v>333</v>
      </c>
      <c r="D12" s="25" t="s">
        <v>159</v>
      </c>
      <c r="E12" s="26">
        <v>77789</v>
      </c>
      <c r="F12" s="27">
        <v>2972.05</v>
      </c>
      <c r="G12" s="28">
        <v>3.8899999999999997E-2</v>
      </c>
      <c r="H12" s="29"/>
    </row>
    <row r="13" spans="2:9" ht="15.75" customHeight="1" x14ac:dyDescent="0.25">
      <c r="B13" s="25" t="s">
        <v>292</v>
      </c>
      <c r="C13" s="25" t="s">
        <v>293</v>
      </c>
      <c r="D13" s="25" t="s">
        <v>173</v>
      </c>
      <c r="E13" s="26">
        <v>678837</v>
      </c>
      <c r="F13" s="27">
        <v>2957.35</v>
      </c>
      <c r="G13" s="28">
        <v>3.8699999999999998E-2</v>
      </c>
      <c r="H13" s="29"/>
    </row>
    <row r="14" spans="2:9" ht="15.75" customHeight="1" x14ac:dyDescent="0.25">
      <c r="B14" s="25" t="s">
        <v>434</v>
      </c>
      <c r="C14" s="25" t="s">
        <v>435</v>
      </c>
      <c r="D14" s="25" t="s">
        <v>268</v>
      </c>
      <c r="E14" s="26">
        <v>199096</v>
      </c>
      <c r="F14" s="27">
        <v>2632.65</v>
      </c>
      <c r="G14" s="28">
        <v>3.4500000000000003E-2</v>
      </c>
      <c r="H14" s="29"/>
    </row>
    <row r="15" spans="2:9" ht="15.75" customHeight="1" x14ac:dyDescent="0.25">
      <c r="B15" s="25" t="s">
        <v>247</v>
      </c>
      <c r="C15" s="25" t="s">
        <v>248</v>
      </c>
      <c r="D15" s="25" t="s">
        <v>156</v>
      </c>
      <c r="E15" s="26">
        <v>218343</v>
      </c>
      <c r="F15" s="27">
        <v>2545.66</v>
      </c>
      <c r="G15" s="28">
        <v>3.3300000000000003E-2</v>
      </c>
      <c r="H15" s="29"/>
    </row>
    <row r="16" spans="2:9" ht="15.75" customHeight="1" x14ac:dyDescent="0.25">
      <c r="B16" s="25" t="s">
        <v>330</v>
      </c>
      <c r="C16" s="25" t="s">
        <v>331</v>
      </c>
      <c r="D16" s="25" t="s">
        <v>156</v>
      </c>
      <c r="E16" s="26">
        <v>293832</v>
      </c>
      <c r="F16" s="27">
        <v>2427.79</v>
      </c>
      <c r="G16" s="28">
        <v>3.1800000000000002E-2</v>
      </c>
      <c r="H16" s="29"/>
    </row>
    <row r="17" spans="2:8" ht="15.75" customHeight="1" x14ac:dyDescent="0.25">
      <c r="B17" s="25" t="s">
        <v>227</v>
      </c>
      <c r="C17" s="25" t="s">
        <v>228</v>
      </c>
      <c r="D17" s="25" t="s">
        <v>156</v>
      </c>
      <c r="E17" s="26">
        <v>113033</v>
      </c>
      <c r="F17" s="27">
        <v>1835.6</v>
      </c>
      <c r="G17" s="28">
        <v>2.4E-2</v>
      </c>
      <c r="H17" s="29"/>
    </row>
    <row r="18" spans="2:8" ht="15.75" customHeight="1" x14ac:dyDescent="0.25">
      <c r="B18" s="25" t="s">
        <v>165</v>
      </c>
      <c r="C18" s="25" t="s">
        <v>166</v>
      </c>
      <c r="D18" s="25" t="s">
        <v>167</v>
      </c>
      <c r="E18" s="26">
        <v>73489</v>
      </c>
      <c r="F18" s="27">
        <v>1584.68</v>
      </c>
      <c r="G18" s="28">
        <v>2.07E-2</v>
      </c>
      <c r="H18" s="29"/>
    </row>
    <row r="19" spans="2:8" ht="15.75" customHeight="1" x14ac:dyDescent="0.25">
      <c r="B19" s="25" t="s">
        <v>171</v>
      </c>
      <c r="C19" s="25" t="s">
        <v>172</v>
      </c>
      <c r="D19" s="25" t="s">
        <v>173</v>
      </c>
      <c r="E19" s="26">
        <v>68318</v>
      </c>
      <c r="F19" s="27">
        <v>1523.8</v>
      </c>
      <c r="G19" s="28">
        <v>1.9900000000000001E-2</v>
      </c>
      <c r="H19" s="29"/>
    </row>
    <row r="20" spans="2:8" ht="15.75" customHeight="1" x14ac:dyDescent="0.25">
      <c r="B20" s="25" t="s">
        <v>210</v>
      </c>
      <c r="C20" s="25" t="s">
        <v>211</v>
      </c>
      <c r="D20" s="25" t="s">
        <v>209</v>
      </c>
      <c r="E20" s="26">
        <v>21311</v>
      </c>
      <c r="F20" s="27">
        <v>1475.48</v>
      </c>
      <c r="G20" s="28">
        <v>1.9300000000000001E-2</v>
      </c>
      <c r="H20" s="29"/>
    </row>
    <row r="21" spans="2:8" ht="15.75" customHeight="1" x14ac:dyDescent="0.25">
      <c r="B21" s="25" t="s">
        <v>532</v>
      </c>
      <c r="C21" s="25" t="s">
        <v>533</v>
      </c>
      <c r="D21" s="25" t="s">
        <v>167</v>
      </c>
      <c r="E21" s="26">
        <v>134979</v>
      </c>
      <c r="F21" s="27">
        <v>1360.45</v>
      </c>
      <c r="G21" s="28">
        <v>1.78E-2</v>
      </c>
      <c r="H21" s="29"/>
    </row>
    <row r="22" spans="2:8" ht="15.75" customHeight="1" x14ac:dyDescent="0.25">
      <c r="B22" s="25" t="s">
        <v>336</v>
      </c>
      <c r="C22" s="25" t="s">
        <v>337</v>
      </c>
      <c r="D22" s="25" t="s">
        <v>281</v>
      </c>
      <c r="E22" s="26">
        <v>365672</v>
      </c>
      <c r="F22" s="27">
        <v>1328.12</v>
      </c>
      <c r="G22" s="28">
        <v>1.7399999999999999E-2</v>
      </c>
      <c r="H22" s="29"/>
    </row>
    <row r="23" spans="2:8" ht="15.75" customHeight="1" x14ac:dyDescent="0.25">
      <c r="B23" s="25" t="s">
        <v>344</v>
      </c>
      <c r="C23" s="25" t="s">
        <v>345</v>
      </c>
      <c r="D23" s="25" t="s">
        <v>167</v>
      </c>
      <c r="E23" s="26">
        <v>10068</v>
      </c>
      <c r="F23" s="27">
        <v>1290.47</v>
      </c>
      <c r="G23" s="28">
        <v>1.6899999999999998E-2</v>
      </c>
      <c r="H23" s="29"/>
    </row>
    <row r="24" spans="2:8" ht="15.75" customHeight="1" x14ac:dyDescent="0.25">
      <c r="B24" s="25" t="s">
        <v>470</v>
      </c>
      <c r="C24" s="25" t="s">
        <v>471</v>
      </c>
      <c r="D24" s="25" t="s">
        <v>214</v>
      </c>
      <c r="E24" s="26">
        <v>82771</v>
      </c>
      <c r="F24" s="27">
        <v>1243.3</v>
      </c>
      <c r="G24" s="28">
        <v>1.6299999999999999E-2</v>
      </c>
      <c r="H24" s="29"/>
    </row>
    <row r="25" spans="2:8" ht="15.75" customHeight="1" x14ac:dyDescent="0.25">
      <c r="B25" s="25" t="s">
        <v>440</v>
      </c>
      <c r="C25" s="25" t="s">
        <v>441</v>
      </c>
      <c r="D25" s="25" t="s">
        <v>442</v>
      </c>
      <c r="E25" s="26">
        <v>32126</v>
      </c>
      <c r="F25" s="27">
        <v>1153.08</v>
      </c>
      <c r="G25" s="28">
        <v>1.5100000000000001E-2</v>
      </c>
      <c r="H25" s="29"/>
    </row>
    <row r="26" spans="2:8" ht="15.75" customHeight="1" x14ac:dyDescent="0.25">
      <c r="B26" s="25" t="s">
        <v>334</v>
      </c>
      <c r="C26" s="25" t="s">
        <v>335</v>
      </c>
      <c r="D26" s="25" t="s">
        <v>159</v>
      </c>
      <c r="E26" s="26">
        <v>81160</v>
      </c>
      <c r="F26" s="27">
        <v>1109.1300000000001</v>
      </c>
      <c r="G26" s="28">
        <v>1.4500000000000001E-2</v>
      </c>
      <c r="H26" s="29"/>
    </row>
    <row r="27" spans="2:8" ht="15.75" customHeight="1" x14ac:dyDescent="0.25">
      <c r="B27" s="25" t="s">
        <v>355</v>
      </c>
      <c r="C27" s="25" t="s">
        <v>356</v>
      </c>
      <c r="D27" s="25" t="s">
        <v>281</v>
      </c>
      <c r="E27" s="26">
        <v>348929</v>
      </c>
      <c r="F27" s="27">
        <v>1053.24</v>
      </c>
      <c r="G27" s="28">
        <v>1.38E-2</v>
      </c>
      <c r="H27" s="29"/>
    </row>
    <row r="28" spans="2:8" ht="15.75" customHeight="1" x14ac:dyDescent="0.25">
      <c r="B28" s="25" t="s">
        <v>198</v>
      </c>
      <c r="C28" s="25" t="s">
        <v>199</v>
      </c>
      <c r="D28" s="25" t="s">
        <v>197</v>
      </c>
      <c r="E28" s="26">
        <v>628465</v>
      </c>
      <c r="F28" s="27">
        <v>1036.97</v>
      </c>
      <c r="G28" s="28">
        <v>1.3599999999999999E-2</v>
      </c>
      <c r="H28" s="29"/>
    </row>
    <row r="29" spans="2:8" ht="15.75" customHeight="1" x14ac:dyDescent="0.25">
      <c r="B29" s="25" t="s">
        <v>564</v>
      </c>
      <c r="C29" s="25" t="s">
        <v>565</v>
      </c>
      <c r="D29" s="25" t="s">
        <v>442</v>
      </c>
      <c r="E29" s="26">
        <v>34578</v>
      </c>
      <c r="F29" s="27">
        <v>994.43</v>
      </c>
      <c r="G29" s="28">
        <v>1.2999999999999999E-2</v>
      </c>
      <c r="H29" s="29"/>
    </row>
    <row r="30" spans="2:8" ht="15.75" customHeight="1" x14ac:dyDescent="0.25">
      <c r="B30" s="25" t="s">
        <v>353</v>
      </c>
      <c r="C30" s="25" t="s">
        <v>354</v>
      </c>
      <c r="D30" s="25" t="s">
        <v>244</v>
      </c>
      <c r="E30" s="26">
        <v>8900</v>
      </c>
      <c r="F30" s="27">
        <v>887.49</v>
      </c>
      <c r="G30" s="28">
        <v>1.1599999999999999E-2</v>
      </c>
      <c r="H30" s="29"/>
    </row>
    <row r="31" spans="2:8" ht="15.75" customHeight="1" x14ac:dyDescent="0.25">
      <c r="B31" s="25" t="s">
        <v>674</v>
      </c>
      <c r="C31" s="25" t="s">
        <v>675</v>
      </c>
      <c r="D31" s="25" t="s">
        <v>406</v>
      </c>
      <c r="E31" s="26">
        <v>297297</v>
      </c>
      <c r="F31" s="27">
        <v>840.9</v>
      </c>
      <c r="G31" s="28">
        <v>1.0999999999999999E-2</v>
      </c>
      <c r="H31" s="29"/>
    </row>
    <row r="32" spans="2:8" ht="15.75" customHeight="1" x14ac:dyDescent="0.25">
      <c r="B32" s="25" t="s">
        <v>310</v>
      </c>
      <c r="C32" s="25" t="s">
        <v>311</v>
      </c>
      <c r="D32" s="25" t="s">
        <v>312</v>
      </c>
      <c r="E32" s="26">
        <v>174893</v>
      </c>
      <c r="F32" s="27">
        <v>794.54</v>
      </c>
      <c r="G32" s="28">
        <v>1.04E-2</v>
      </c>
      <c r="H32" s="29"/>
    </row>
    <row r="33" spans="2:8" ht="15.75" customHeight="1" x14ac:dyDescent="0.25">
      <c r="B33" s="25" t="s">
        <v>220</v>
      </c>
      <c r="C33" s="25" t="s">
        <v>221</v>
      </c>
      <c r="D33" s="25" t="s">
        <v>156</v>
      </c>
      <c r="E33" s="26">
        <v>50613</v>
      </c>
      <c r="F33" s="27">
        <v>767.14</v>
      </c>
      <c r="G33" s="28">
        <v>0.01</v>
      </c>
      <c r="H33" s="29"/>
    </row>
    <row r="34" spans="2:8" ht="15.75" customHeight="1" x14ac:dyDescent="0.25">
      <c r="B34" s="25" t="s">
        <v>582</v>
      </c>
      <c r="C34" s="25" t="s">
        <v>583</v>
      </c>
      <c r="D34" s="25" t="s">
        <v>167</v>
      </c>
      <c r="E34" s="26">
        <v>8613</v>
      </c>
      <c r="F34" s="27">
        <v>766.87</v>
      </c>
      <c r="G34" s="28">
        <v>0.01</v>
      </c>
      <c r="H34" s="29"/>
    </row>
    <row r="35" spans="2:8" ht="15.75" customHeight="1" x14ac:dyDescent="0.25">
      <c r="B35" s="25" t="s">
        <v>799</v>
      </c>
      <c r="C35" s="25" t="s">
        <v>800</v>
      </c>
      <c r="D35" s="25" t="s">
        <v>289</v>
      </c>
      <c r="E35" s="26">
        <v>55743</v>
      </c>
      <c r="F35" s="27">
        <v>738.54</v>
      </c>
      <c r="G35" s="28">
        <v>9.7000000000000003E-3</v>
      </c>
      <c r="H35" s="29"/>
    </row>
    <row r="36" spans="2:8" ht="15.75" customHeight="1" x14ac:dyDescent="0.25">
      <c r="B36" s="25" t="s">
        <v>282</v>
      </c>
      <c r="C36" s="25" t="s">
        <v>283</v>
      </c>
      <c r="D36" s="25" t="s">
        <v>226</v>
      </c>
      <c r="E36" s="26">
        <v>111485</v>
      </c>
      <c r="F36" s="27">
        <v>718.41</v>
      </c>
      <c r="G36" s="28">
        <v>9.4000000000000004E-3</v>
      </c>
      <c r="H36" s="29"/>
    </row>
    <row r="37" spans="2:8" ht="15.75" customHeight="1" x14ac:dyDescent="0.25">
      <c r="B37" s="25" t="s">
        <v>168</v>
      </c>
      <c r="C37" s="25" t="s">
        <v>169</v>
      </c>
      <c r="D37" s="25" t="s">
        <v>170</v>
      </c>
      <c r="E37" s="26">
        <v>27401</v>
      </c>
      <c r="F37" s="27">
        <v>687.05</v>
      </c>
      <c r="G37" s="28">
        <v>8.9999999999999993E-3</v>
      </c>
      <c r="H37" s="29"/>
    </row>
    <row r="38" spans="2:8" ht="15.75" customHeight="1" x14ac:dyDescent="0.25">
      <c r="B38" s="25" t="s">
        <v>320</v>
      </c>
      <c r="C38" s="25" t="s">
        <v>321</v>
      </c>
      <c r="D38" s="25" t="s">
        <v>244</v>
      </c>
      <c r="E38" s="26">
        <v>28060</v>
      </c>
      <c r="F38" s="27">
        <v>676.71</v>
      </c>
      <c r="G38" s="28">
        <v>8.8999999999999999E-3</v>
      </c>
      <c r="H38" s="29"/>
    </row>
    <row r="39" spans="2:8" ht="15.75" customHeight="1" x14ac:dyDescent="0.25">
      <c r="B39" s="25" t="s">
        <v>271</v>
      </c>
      <c r="C39" s="25" t="s">
        <v>272</v>
      </c>
      <c r="D39" s="25" t="s">
        <v>209</v>
      </c>
      <c r="E39" s="26">
        <v>41475</v>
      </c>
      <c r="F39" s="27">
        <v>669.82</v>
      </c>
      <c r="G39" s="28">
        <v>8.8000000000000005E-3</v>
      </c>
      <c r="H39" s="29"/>
    </row>
    <row r="40" spans="2:8" ht="15.75" customHeight="1" x14ac:dyDescent="0.25">
      <c r="B40" s="25" t="s">
        <v>273</v>
      </c>
      <c r="C40" s="25" t="s">
        <v>274</v>
      </c>
      <c r="D40" s="25" t="s">
        <v>197</v>
      </c>
      <c r="E40" s="26">
        <v>73215</v>
      </c>
      <c r="F40" s="27">
        <v>645.9</v>
      </c>
      <c r="G40" s="28">
        <v>8.5000000000000006E-3</v>
      </c>
      <c r="H40" s="29"/>
    </row>
    <row r="41" spans="2:8" ht="15.75" customHeight="1" x14ac:dyDescent="0.25">
      <c r="B41" s="25" t="s">
        <v>264</v>
      </c>
      <c r="C41" s="25" t="s">
        <v>265</v>
      </c>
      <c r="D41" s="25" t="s">
        <v>159</v>
      </c>
      <c r="E41" s="26">
        <v>48883</v>
      </c>
      <c r="F41" s="27">
        <v>617.64</v>
      </c>
      <c r="G41" s="28">
        <v>8.0999999999999996E-3</v>
      </c>
      <c r="H41" s="29"/>
    </row>
    <row r="42" spans="2:8" ht="15.75" customHeight="1" x14ac:dyDescent="0.25">
      <c r="B42" s="25" t="s">
        <v>801</v>
      </c>
      <c r="C42" s="25" t="s">
        <v>802</v>
      </c>
      <c r="D42" s="25" t="s">
        <v>803</v>
      </c>
      <c r="E42" s="26">
        <v>19969</v>
      </c>
      <c r="F42" s="27">
        <v>609.99</v>
      </c>
      <c r="G42" s="28">
        <v>8.0000000000000002E-3</v>
      </c>
      <c r="H42" s="29"/>
    </row>
    <row r="43" spans="2:8" ht="15.75" customHeight="1" x14ac:dyDescent="0.25">
      <c r="B43" s="25" t="s">
        <v>411</v>
      </c>
      <c r="C43" s="25" t="s">
        <v>412</v>
      </c>
      <c r="D43" s="25" t="s">
        <v>214</v>
      </c>
      <c r="E43" s="26">
        <v>9324</v>
      </c>
      <c r="F43" s="27">
        <v>578.49</v>
      </c>
      <c r="G43" s="28">
        <v>7.6E-3</v>
      </c>
      <c r="H43" s="29"/>
    </row>
    <row r="44" spans="2:8" ht="15.75" customHeight="1" x14ac:dyDescent="0.25">
      <c r="B44" s="25" t="s">
        <v>605</v>
      </c>
      <c r="C44" s="25" t="s">
        <v>606</v>
      </c>
      <c r="D44" s="25" t="s">
        <v>214</v>
      </c>
      <c r="E44" s="26">
        <v>40025</v>
      </c>
      <c r="F44" s="27">
        <v>560.35</v>
      </c>
      <c r="G44" s="28">
        <v>7.3000000000000001E-3</v>
      </c>
      <c r="H44" s="29"/>
    </row>
    <row r="45" spans="2:8" ht="15.75" customHeight="1" x14ac:dyDescent="0.25">
      <c r="B45" s="25" t="s">
        <v>222</v>
      </c>
      <c r="C45" s="25" t="s">
        <v>223</v>
      </c>
      <c r="D45" s="25" t="s">
        <v>209</v>
      </c>
      <c r="E45" s="26">
        <v>21381</v>
      </c>
      <c r="F45" s="27">
        <v>545.58000000000004</v>
      </c>
      <c r="G45" s="28">
        <v>7.1000000000000004E-3</v>
      </c>
      <c r="H45" s="29"/>
    </row>
    <row r="46" spans="2:8" ht="15.75" customHeight="1" x14ac:dyDescent="0.25">
      <c r="B46" s="25" t="s">
        <v>779</v>
      </c>
      <c r="C46" s="25" t="s">
        <v>780</v>
      </c>
      <c r="D46" s="25" t="s">
        <v>253</v>
      </c>
      <c r="E46" s="26">
        <v>48142</v>
      </c>
      <c r="F46" s="27">
        <v>533.58000000000004</v>
      </c>
      <c r="G46" s="28">
        <v>7.0000000000000001E-3</v>
      </c>
      <c r="H46" s="29"/>
    </row>
    <row r="47" spans="2:8" ht="15.75" customHeight="1" x14ac:dyDescent="0.25">
      <c r="B47" s="25" t="s">
        <v>804</v>
      </c>
      <c r="C47" s="25" t="s">
        <v>805</v>
      </c>
      <c r="D47" s="25" t="s">
        <v>159</v>
      </c>
      <c r="E47" s="26">
        <v>107627</v>
      </c>
      <c r="F47" s="27">
        <v>497.67</v>
      </c>
      <c r="G47" s="28">
        <v>6.4999999999999997E-3</v>
      </c>
      <c r="H47" s="29"/>
    </row>
    <row r="48" spans="2:8" ht="15.75" customHeight="1" x14ac:dyDescent="0.25">
      <c r="B48" s="25" t="s">
        <v>284</v>
      </c>
      <c r="C48" s="25" t="s">
        <v>285</v>
      </c>
      <c r="D48" s="25" t="s">
        <v>286</v>
      </c>
      <c r="E48" s="26">
        <v>34591</v>
      </c>
      <c r="F48" s="27">
        <v>496.92</v>
      </c>
      <c r="G48" s="28">
        <v>6.4999999999999997E-3</v>
      </c>
      <c r="H48" s="29"/>
    </row>
    <row r="49" spans="2:8" ht="15.75" customHeight="1" x14ac:dyDescent="0.25">
      <c r="B49" s="25" t="s">
        <v>781</v>
      </c>
      <c r="C49" s="25" t="s">
        <v>782</v>
      </c>
      <c r="D49" s="25" t="s">
        <v>167</v>
      </c>
      <c r="E49" s="26">
        <v>10444</v>
      </c>
      <c r="F49" s="27">
        <v>480.15</v>
      </c>
      <c r="G49" s="28">
        <v>6.3E-3</v>
      </c>
      <c r="H49" s="29"/>
    </row>
    <row r="50" spans="2:8" ht="15.75" customHeight="1" x14ac:dyDescent="0.25">
      <c r="B50" s="25" t="s">
        <v>391</v>
      </c>
      <c r="C50" s="25" t="s">
        <v>392</v>
      </c>
      <c r="D50" s="25" t="s">
        <v>286</v>
      </c>
      <c r="E50" s="26">
        <v>80820</v>
      </c>
      <c r="F50" s="27">
        <v>471.71</v>
      </c>
      <c r="G50" s="28">
        <v>6.1999999999999998E-3</v>
      </c>
      <c r="H50" s="29"/>
    </row>
    <row r="51" spans="2:8" ht="15.75" customHeight="1" x14ac:dyDescent="0.25">
      <c r="B51" s="25" t="s">
        <v>611</v>
      </c>
      <c r="C51" s="25" t="s">
        <v>612</v>
      </c>
      <c r="D51" s="25" t="s">
        <v>361</v>
      </c>
      <c r="E51" s="26">
        <v>7724</v>
      </c>
      <c r="F51" s="27">
        <v>459.35</v>
      </c>
      <c r="G51" s="28">
        <v>6.0000000000000001E-3</v>
      </c>
      <c r="H51" s="29"/>
    </row>
    <row r="52" spans="2:8" ht="15.75" customHeight="1" x14ac:dyDescent="0.25">
      <c r="B52" s="25" t="s">
        <v>346</v>
      </c>
      <c r="C52" s="25" t="s">
        <v>347</v>
      </c>
      <c r="D52" s="25" t="s">
        <v>167</v>
      </c>
      <c r="E52" s="26">
        <v>9912</v>
      </c>
      <c r="F52" s="27">
        <v>450.31</v>
      </c>
      <c r="G52" s="28">
        <v>5.8999999999999999E-3</v>
      </c>
      <c r="H52" s="29"/>
    </row>
    <row r="53" spans="2:8" ht="15.75" customHeight="1" x14ac:dyDescent="0.25">
      <c r="B53" s="25" t="s">
        <v>402</v>
      </c>
      <c r="C53" s="25" t="s">
        <v>403</v>
      </c>
      <c r="D53" s="25" t="s">
        <v>164</v>
      </c>
      <c r="E53" s="26">
        <v>73300</v>
      </c>
      <c r="F53" s="27">
        <v>445.19</v>
      </c>
      <c r="G53" s="28">
        <v>5.7999999999999996E-3</v>
      </c>
      <c r="H53" s="29"/>
    </row>
    <row r="54" spans="2:8" ht="15.75" customHeight="1" x14ac:dyDescent="0.25">
      <c r="B54" s="25" t="s">
        <v>560</v>
      </c>
      <c r="C54" s="25" t="s">
        <v>561</v>
      </c>
      <c r="D54" s="25" t="s">
        <v>170</v>
      </c>
      <c r="E54" s="26">
        <v>9041</v>
      </c>
      <c r="F54" s="27">
        <v>431.79</v>
      </c>
      <c r="G54" s="28">
        <v>5.7000000000000002E-3</v>
      </c>
      <c r="H54" s="29"/>
    </row>
    <row r="55" spans="2:8" ht="15.75" customHeight="1" x14ac:dyDescent="0.25">
      <c r="B55" s="25" t="s">
        <v>578</v>
      </c>
      <c r="C55" s="25" t="s">
        <v>579</v>
      </c>
      <c r="D55" s="25" t="s">
        <v>214</v>
      </c>
      <c r="E55" s="26">
        <v>9761</v>
      </c>
      <c r="F55" s="27">
        <v>390.67</v>
      </c>
      <c r="G55" s="28">
        <v>5.1000000000000004E-3</v>
      </c>
      <c r="H55" s="29"/>
    </row>
    <row r="56" spans="2:8" ht="15.75" customHeight="1" x14ac:dyDescent="0.25">
      <c r="B56" s="25" t="s">
        <v>174</v>
      </c>
      <c r="C56" s="25" t="s">
        <v>175</v>
      </c>
      <c r="D56" s="25" t="s">
        <v>159</v>
      </c>
      <c r="E56" s="26">
        <v>7026</v>
      </c>
      <c r="F56" s="27">
        <v>330.67</v>
      </c>
      <c r="G56" s="28">
        <v>4.3E-3</v>
      </c>
      <c r="H56" s="29"/>
    </row>
    <row r="57" spans="2:8" ht="15.75" customHeight="1" x14ac:dyDescent="0.25">
      <c r="B57" s="24" t="s">
        <v>128</v>
      </c>
      <c r="C57" s="24"/>
      <c r="D57" s="24"/>
      <c r="E57" s="30"/>
      <c r="F57" s="31">
        <v>76345.75</v>
      </c>
      <c r="G57" s="32">
        <v>0.99950000000000006</v>
      </c>
      <c r="H57" s="33"/>
    </row>
    <row r="58" spans="2:8" ht="15.75" customHeight="1" x14ac:dyDescent="0.25">
      <c r="B58" s="24" t="s">
        <v>176</v>
      </c>
      <c r="C58" s="25"/>
      <c r="D58" s="25"/>
      <c r="E58" s="26"/>
      <c r="F58" s="27"/>
      <c r="G58" s="28"/>
      <c r="H58" s="29"/>
    </row>
    <row r="59" spans="2:8" ht="15.75" customHeight="1" x14ac:dyDescent="0.25">
      <c r="B59" s="24" t="s">
        <v>128</v>
      </c>
      <c r="C59" s="25"/>
      <c r="D59" s="25"/>
      <c r="E59" s="26"/>
      <c r="F59" s="34" t="s">
        <v>130</v>
      </c>
      <c r="G59" s="35" t="s">
        <v>130</v>
      </c>
      <c r="H59" s="29"/>
    </row>
    <row r="60" spans="2:8" ht="15.75" customHeight="1" x14ac:dyDescent="0.25">
      <c r="B60" s="25"/>
      <c r="C60" s="25"/>
      <c r="D60" s="25"/>
      <c r="E60" s="26"/>
      <c r="F60" s="27"/>
      <c r="G60" s="28"/>
      <c r="H60" s="29"/>
    </row>
    <row r="61" spans="2:8" ht="15.75" customHeight="1" x14ac:dyDescent="0.25">
      <c r="B61" s="36" t="s">
        <v>132</v>
      </c>
      <c r="C61" s="36"/>
      <c r="D61" s="36"/>
      <c r="E61" s="37"/>
      <c r="F61" s="31">
        <v>76345.75</v>
      </c>
      <c r="G61" s="32">
        <v>0.99950000000000006</v>
      </c>
      <c r="H61" s="33"/>
    </row>
    <row r="62" spans="2:8" ht="15.75" customHeight="1" x14ac:dyDescent="0.25">
      <c r="B62" s="25"/>
      <c r="C62" s="25"/>
      <c r="D62" s="25"/>
      <c r="E62" s="26"/>
      <c r="F62" s="27"/>
      <c r="G62" s="28"/>
      <c r="H62" s="29"/>
    </row>
    <row r="63" spans="2:8" ht="15.75" customHeight="1" x14ac:dyDescent="0.25">
      <c r="B63" s="25"/>
      <c r="C63" s="25"/>
      <c r="D63" s="25"/>
      <c r="E63" s="26"/>
      <c r="F63" s="27"/>
      <c r="G63" s="28"/>
      <c r="H63" s="29"/>
    </row>
    <row r="64" spans="2:8" ht="15.75" customHeight="1" x14ac:dyDescent="0.25">
      <c r="B64" s="24" t="s">
        <v>135</v>
      </c>
      <c r="C64" s="25"/>
      <c r="D64" s="25"/>
      <c r="E64" s="26"/>
      <c r="F64" s="27"/>
      <c r="G64" s="28"/>
      <c r="H64" s="29"/>
    </row>
    <row r="65" spans="2:16" ht="15.75" customHeight="1" x14ac:dyDescent="0.25">
      <c r="B65" s="25" t="s">
        <v>136</v>
      </c>
      <c r="C65" s="25"/>
      <c r="D65" s="25"/>
      <c r="E65" s="26"/>
      <c r="F65" s="27">
        <v>39.869999999999997</v>
      </c>
      <c r="G65" s="28">
        <v>5.0000000000000001E-4</v>
      </c>
      <c r="H65" s="29"/>
    </row>
    <row r="66" spans="2:16" ht="15.75" customHeight="1" x14ac:dyDescent="0.25">
      <c r="B66" s="24" t="s">
        <v>128</v>
      </c>
      <c r="C66" s="24"/>
      <c r="D66" s="24"/>
      <c r="E66" s="30"/>
      <c r="F66" s="31">
        <v>39.869999999999997</v>
      </c>
      <c r="G66" s="32">
        <v>5.0000000000000001E-4</v>
      </c>
      <c r="H66" s="33"/>
    </row>
    <row r="67" spans="2:16" ht="15.75" customHeight="1" x14ac:dyDescent="0.25">
      <c r="B67" s="25"/>
      <c r="C67" s="25"/>
      <c r="D67" s="25"/>
      <c r="E67" s="26"/>
      <c r="F67" s="27"/>
      <c r="G67" s="28"/>
      <c r="H67" s="29"/>
    </row>
    <row r="68" spans="2:16" ht="15.75" customHeight="1" x14ac:dyDescent="0.25">
      <c r="B68" s="36" t="s">
        <v>132</v>
      </c>
      <c r="C68" s="36"/>
      <c r="D68" s="36"/>
      <c r="E68" s="37"/>
      <c r="F68" s="31">
        <v>39.869999999999997</v>
      </c>
      <c r="G68" s="32">
        <v>5.0000000000000001E-4</v>
      </c>
      <c r="H68" s="33"/>
      <c r="L68" s="3"/>
    </row>
    <row r="69" spans="2:16" ht="15.75" customHeight="1" x14ac:dyDescent="0.25">
      <c r="B69" s="25" t="s">
        <v>137</v>
      </c>
      <c r="C69" s="25"/>
      <c r="D69" s="25"/>
      <c r="E69" s="26"/>
      <c r="F69" s="27">
        <v>0.3</v>
      </c>
      <c r="G69" s="28">
        <v>0</v>
      </c>
      <c r="H69" s="29"/>
    </row>
    <row r="70" spans="2:16" ht="15.75" customHeight="1" x14ac:dyDescent="0.25">
      <c r="B70" s="40" t="s">
        <v>138</v>
      </c>
      <c r="C70" s="40"/>
      <c r="D70" s="40"/>
      <c r="E70" s="41"/>
      <c r="F70" s="42">
        <v>76385.919999999998</v>
      </c>
      <c r="G70" s="43">
        <v>1</v>
      </c>
      <c r="H70" s="44"/>
      <c r="L70" s="3"/>
    </row>
    <row r="71" spans="2:16" ht="15.75" customHeight="1" x14ac:dyDescent="0.25">
      <c r="B71" s="2"/>
      <c r="L71" s="3"/>
    </row>
    <row r="72" spans="2:16" ht="15.75" customHeight="1" x14ac:dyDescent="0.25">
      <c r="B72" s="12" t="s">
        <v>492</v>
      </c>
      <c r="L72" s="3"/>
    </row>
    <row r="73" spans="2:16" ht="15.75" customHeight="1" thickBot="1" x14ac:dyDescent="0.3">
      <c r="L73" s="3"/>
    </row>
    <row r="74" spans="2:16" ht="27" customHeight="1" thickBot="1" x14ac:dyDescent="0.3">
      <c r="B74" s="57" t="s">
        <v>980</v>
      </c>
      <c r="C74" s="58" t="s">
        <v>981</v>
      </c>
      <c r="D74" s="58" t="s">
        <v>982</v>
      </c>
      <c r="E74" s="63" t="s">
        <v>983</v>
      </c>
      <c r="G74" s="2"/>
      <c r="H74" s="2"/>
    </row>
    <row r="75" spans="2:16" ht="30" customHeight="1" x14ac:dyDescent="0.25">
      <c r="B75" s="70" t="s">
        <v>105</v>
      </c>
      <c r="C75" s="82"/>
      <c r="D75" s="85" t="s">
        <v>1048</v>
      </c>
      <c r="E75" s="87"/>
      <c r="G75" s="2"/>
      <c r="H75" s="2"/>
    </row>
    <row r="76" spans="2:16" ht="28.5" customHeight="1" x14ac:dyDescent="0.25">
      <c r="B76" s="66" t="s">
        <v>1066</v>
      </c>
      <c r="C76" s="83"/>
      <c r="D76" s="86"/>
      <c r="E76" s="83"/>
      <c r="G76" s="2"/>
      <c r="H76" s="2"/>
    </row>
    <row r="77" spans="2:16" ht="40" customHeight="1" x14ac:dyDescent="0.25">
      <c r="B77" s="66" t="s">
        <v>1071</v>
      </c>
      <c r="C77" s="83"/>
      <c r="D77" s="86"/>
      <c r="E77" s="83"/>
      <c r="G77" s="2"/>
      <c r="H77" s="2"/>
    </row>
    <row r="78" spans="2:16" ht="30" customHeight="1" thickBot="1" x14ac:dyDescent="0.3">
      <c r="B78" s="68" t="s">
        <v>1072</v>
      </c>
      <c r="C78" s="84"/>
      <c r="D78" s="71" t="s">
        <v>1072</v>
      </c>
      <c r="E78" s="88"/>
      <c r="G78" s="2"/>
      <c r="H78" s="2"/>
    </row>
    <row r="79" spans="2:16" ht="25" customHeight="1" x14ac:dyDescent="0.25">
      <c r="B79" s="59" t="s">
        <v>985</v>
      </c>
      <c r="C79" s="60"/>
      <c r="D79" s="61"/>
      <c r="E79" s="62"/>
      <c r="G79" s="2"/>
      <c r="H79" s="2"/>
    </row>
    <row r="80" spans="2:16" ht="15.75" customHeight="1" x14ac:dyDescent="0.25">
      <c r="L80" s="7"/>
      <c r="M80" s="7"/>
      <c r="N80" s="7"/>
      <c r="O80" s="7"/>
      <c r="P80" s="7"/>
    </row>
    <row r="81" spans="2:16" ht="11.5" x14ac:dyDescent="0.25">
      <c r="B81" s="2" t="s">
        <v>986</v>
      </c>
      <c r="C81" s="2"/>
      <c r="D81" s="2"/>
      <c r="G81" s="2"/>
      <c r="H81" s="2"/>
    </row>
    <row r="82" spans="2:16" ht="11.5" x14ac:dyDescent="0.25">
      <c r="B82" s="3" t="s">
        <v>987</v>
      </c>
      <c r="C82" s="2"/>
      <c r="D82" s="2"/>
      <c r="G82" s="2"/>
      <c r="H82" s="2"/>
    </row>
    <row r="83" spans="2:16" ht="15.75" customHeight="1" x14ac:dyDescent="0.25">
      <c r="L83" s="7"/>
      <c r="M83" s="7"/>
      <c r="N83" s="7"/>
      <c r="O83" s="7"/>
      <c r="P83" s="7"/>
    </row>
    <row r="84" spans="2:16" ht="15.75" customHeight="1" x14ac:dyDescent="0.25">
      <c r="L84" s="7"/>
      <c r="M84" s="7"/>
      <c r="N84" s="7"/>
      <c r="O84" s="7"/>
      <c r="P84" s="7"/>
    </row>
    <row r="86" spans="2:16" ht="15.75" customHeight="1" x14ac:dyDescent="0.25">
      <c r="L86" s="3"/>
    </row>
  </sheetData>
  <mergeCells count="3">
    <mergeCell ref="C75:C78"/>
    <mergeCell ref="D75:D77"/>
    <mergeCell ref="E75:E78"/>
  </mergeCells>
  <hyperlinks>
    <hyperlink ref="I1" location="'Sheet1'!A1" display="Index" xr:uid="{45DA2F9F-60BC-4C42-B227-5CF7C2BD625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B30D5-3808-4BA8-A1AF-6063D4D72A33}">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6.7265625" style="9" customWidth="1"/>
    <col min="4" max="4" width="26.6328125" style="9" customWidth="1"/>
    <col min="5" max="5" width="25.08984375" style="2" customWidth="1"/>
    <col min="6" max="6" width="16.453125" style="2" customWidth="1"/>
    <col min="7" max="7" width="15.26953125" style="8" customWidth="1"/>
    <col min="8" max="8" width="4.906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34</v>
      </c>
      <c r="C1" s="1" t="s">
        <v>996</v>
      </c>
      <c r="D1" s="1" t="s">
        <v>997</v>
      </c>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160</v>
      </c>
      <c r="C7" s="25" t="s">
        <v>161</v>
      </c>
      <c r="D7" s="25" t="s">
        <v>156</v>
      </c>
      <c r="E7" s="26">
        <v>680822</v>
      </c>
      <c r="F7" s="27">
        <v>10328.41</v>
      </c>
      <c r="G7" s="28">
        <v>0.1351</v>
      </c>
      <c r="H7" s="29"/>
    </row>
    <row r="8" spans="2:9" ht="15.75" customHeight="1" x14ac:dyDescent="0.25">
      <c r="B8" s="25" t="s">
        <v>162</v>
      </c>
      <c r="C8" s="25" t="s">
        <v>163</v>
      </c>
      <c r="D8" s="25" t="s">
        <v>164</v>
      </c>
      <c r="E8" s="26">
        <v>309109</v>
      </c>
      <c r="F8" s="27">
        <v>9060.4500000000007</v>
      </c>
      <c r="G8" s="28">
        <v>0.11849999999999999</v>
      </c>
      <c r="H8" s="29"/>
    </row>
    <row r="9" spans="2:9" ht="15.75" customHeight="1" x14ac:dyDescent="0.25">
      <c r="B9" s="25" t="s">
        <v>154</v>
      </c>
      <c r="C9" s="25" t="s">
        <v>155</v>
      </c>
      <c r="D9" s="25" t="s">
        <v>156</v>
      </c>
      <c r="E9" s="26">
        <v>628498</v>
      </c>
      <c r="F9" s="27">
        <v>7240.61</v>
      </c>
      <c r="G9" s="28">
        <v>9.4700000000000006E-2</v>
      </c>
      <c r="H9" s="29"/>
    </row>
    <row r="10" spans="2:9" ht="15.75" customHeight="1" x14ac:dyDescent="0.25">
      <c r="B10" s="25" t="s">
        <v>157</v>
      </c>
      <c r="C10" s="25" t="s">
        <v>158</v>
      </c>
      <c r="D10" s="25" t="s">
        <v>159</v>
      </c>
      <c r="E10" s="26">
        <v>319790</v>
      </c>
      <c r="F10" s="27">
        <v>4544.54</v>
      </c>
      <c r="G10" s="28">
        <v>5.9499999999999997E-2</v>
      </c>
      <c r="H10" s="29"/>
    </row>
    <row r="11" spans="2:9" ht="15.75" customHeight="1" x14ac:dyDescent="0.25">
      <c r="B11" s="25" t="s">
        <v>261</v>
      </c>
      <c r="C11" s="25" t="s">
        <v>262</v>
      </c>
      <c r="D11" s="25" t="s">
        <v>263</v>
      </c>
      <c r="E11" s="26">
        <v>105967</v>
      </c>
      <c r="F11" s="27">
        <v>3808.61</v>
      </c>
      <c r="G11" s="28">
        <v>4.9799999999999997E-2</v>
      </c>
      <c r="H11" s="29"/>
    </row>
    <row r="12" spans="2:9" ht="15.75" customHeight="1" x14ac:dyDescent="0.25">
      <c r="B12" s="25" t="s">
        <v>292</v>
      </c>
      <c r="C12" s="25" t="s">
        <v>293</v>
      </c>
      <c r="D12" s="25" t="s">
        <v>173</v>
      </c>
      <c r="E12" s="26">
        <v>833969</v>
      </c>
      <c r="F12" s="27">
        <v>3632.77</v>
      </c>
      <c r="G12" s="28">
        <v>4.7500000000000001E-2</v>
      </c>
      <c r="H12" s="29"/>
    </row>
    <row r="13" spans="2:9" ht="15.75" customHeight="1" x14ac:dyDescent="0.25">
      <c r="B13" s="25" t="s">
        <v>332</v>
      </c>
      <c r="C13" s="25" t="s">
        <v>333</v>
      </c>
      <c r="D13" s="25" t="s">
        <v>159</v>
      </c>
      <c r="E13" s="26">
        <v>91692</v>
      </c>
      <c r="F13" s="27">
        <v>3505.02</v>
      </c>
      <c r="G13" s="28">
        <v>4.5900000000000003E-2</v>
      </c>
      <c r="H13" s="29"/>
    </row>
    <row r="14" spans="2:9" ht="15.75" customHeight="1" x14ac:dyDescent="0.25">
      <c r="B14" s="25" t="s">
        <v>434</v>
      </c>
      <c r="C14" s="25" t="s">
        <v>435</v>
      </c>
      <c r="D14" s="25" t="s">
        <v>268</v>
      </c>
      <c r="E14" s="26">
        <v>227329</v>
      </c>
      <c r="F14" s="27">
        <v>3007.22</v>
      </c>
      <c r="G14" s="28">
        <v>3.9300000000000002E-2</v>
      </c>
      <c r="H14" s="29"/>
    </row>
    <row r="15" spans="2:9" ht="15.75" customHeight="1" x14ac:dyDescent="0.25">
      <c r="B15" s="25" t="s">
        <v>247</v>
      </c>
      <c r="C15" s="25" t="s">
        <v>248</v>
      </c>
      <c r="D15" s="25" t="s">
        <v>156</v>
      </c>
      <c r="E15" s="26">
        <v>255237</v>
      </c>
      <c r="F15" s="27">
        <v>2976.45</v>
      </c>
      <c r="G15" s="28">
        <v>3.8899999999999997E-2</v>
      </c>
      <c r="H15" s="29"/>
    </row>
    <row r="16" spans="2:9" ht="15.75" customHeight="1" x14ac:dyDescent="0.25">
      <c r="B16" s="25" t="s">
        <v>330</v>
      </c>
      <c r="C16" s="25" t="s">
        <v>331</v>
      </c>
      <c r="D16" s="25" t="s">
        <v>156</v>
      </c>
      <c r="E16" s="26">
        <v>344294</v>
      </c>
      <c r="F16" s="27">
        <v>2842.84</v>
      </c>
      <c r="G16" s="28">
        <v>3.7199999999999997E-2</v>
      </c>
      <c r="H16" s="29"/>
    </row>
    <row r="17" spans="2:8" ht="15.75" customHeight="1" x14ac:dyDescent="0.25">
      <c r="B17" s="25" t="s">
        <v>227</v>
      </c>
      <c r="C17" s="25" t="s">
        <v>228</v>
      </c>
      <c r="D17" s="25" t="s">
        <v>156</v>
      </c>
      <c r="E17" s="26">
        <v>128530</v>
      </c>
      <c r="F17" s="27">
        <v>2087.0100000000002</v>
      </c>
      <c r="G17" s="28">
        <v>2.7300000000000001E-2</v>
      </c>
      <c r="H17" s="29"/>
    </row>
    <row r="18" spans="2:8" ht="15.75" customHeight="1" x14ac:dyDescent="0.25">
      <c r="B18" s="25" t="s">
        <v>165</v>
      </c>
      <c r="C18" s="25" t="s">
        <v>166</v>
      </c>
      <c r="D18" s="25" t="s">
        <v>167</v>
      </c>
      <c r="E18" s="26">
        <v>85619</v>
      </c>
      <c r="F18" s="27">
        <v>1846.2</v>
      </c>
      <c r="G18" s="28">
        <v>2.4199999999999999E-2</v>
      </c>
      <c r="H18" s="29"/>
    </row>
    <row r="19" spans="2:8" ht="15.75" customHeight="1" x14ac:dyDescent="0.25">
      <c r="B19" s="25" t="s">
        <v>171</v>
      </c>
      <c r="C19" s="25" t="s">
        <v>172</v>
      </c>
      <c r="D19" s="25" t="s">
        <v>173</v>
      </c>
      <c r="E19" s="26">
        <v>80077</v>
      </c>
      <c r="F19" s="27">
        <v>1786.28</v>
      </c>
      <c r="G19" s="28">
        <v>2.3400000000000001E-2</v>
      </c>
      <c r="H19" s="29"/>
    </row>
    <row r="20" spans="2:8" ht="15.75" customHeight="1" x14ac:dyDescent="0.25">
      <c r="B20" s="25" t="s">
        <v>210</v>
      </c>
      <c r="C20" s="25" t="s">
        <v>211</v>
      </c>
      <c r="D20" s="25" t="s">
        <v>209</v>
      </c>
      <c r="E20" s="26">
        <v>24992</v>
      </c>
      <c r="F20" s="27">
        <v>1732.21</v>
      </c>
      <c r="G20" s="28">
        <v>2.2700000000000001E-2</v>
      </c>
      <c r="H20" s="29"/>
    </row>
    <row r="21" spans="2:8" ht="15.75" customHeight="1" x14ac:dyDescent="0.25">
      <c r="B21" s="25" t="s">
        <v>532</v>
      </c>
      <c r="C21" s="25" t="s">
        <v>533</v>
      </c>
      <c r="D21" s="25" t="s">
        <v>167</v>
      </c>
      <c r="E21" s="26">
        <v>160975</v>
      </c>
      <c r="F21" s="27">
        <v>1622.39</v>
      </c>
      <c r="G21" s="28">
        <v>2.12E-2</v>
      </c>
      <c r="H21" s="29"/>
    </row>
    <row r="22" spans="2:8" ht="15.75" customHeight="1" x14ac:dyDescent="0.25">
      <c r="B22" s="25" t="s">
        <v>344</v>
      </c>
      <c r="C22" s="25" t="s">
        <v>345</v>
      </c>
      <c r="D22" s="25" t="s">
        <v>167</v>
      </c>
      <c r="E22" s="26">
        <v>12279</v>
      </c>
      <c r="F22" s="27">
        <v>1572.5</v>
      </c>
      <c r="G22" s="28">
        <v>2.06E-2</v>
      </c>
      <c r="H22" s="29"/>
    </row>
    <row r="23" spans="2:8" ht="15.75" customHeight="1" x14ac:dyDescent="0.25">
      <c r="B23" s="25" t="s">
        <v>336</v>
      </c>
      <c r="C23" s="25" t="s">
        <v>337</v>
      </c>
      <c r="D23" s="25" t="s">
        <v>281</v>
      </c>
      <c r="E23" s="26">
        <v>427188</v>
      </c>
      <c r="F23" s="27">
        <v>1551.12</v>
      </c>
      <c r="G23" s="28">
        <v>2.0299999999999999E-2</v>
      </c>
      <c r="H23" s="29"/>
    </row>
    <row r="24" spans="2:8" ht="15.75" customHeight="1" x14ac:dyDescent="0.25">
      <c r="B24" s="25" t="s">
        <v>470</v>
      </c>
      <c r="C24" s="25" t="s">
        <v>471</v>
      </c>
      <c r="D24" s="25" t="s">
        <v>214</v>
      </c>
      <c r="E24" s="26">
        <v>97095</v>
      </c>
      <c r="F24" s="27">
        <v>1458.66</v>
      </c>
      <c r="G24" s="28">
        <v>1.9099999999999999E-2</v>
      </c>
      <c r="H24" s="29"/>
    </row>
    <row r="25" spans="2:8" ht="15.75" customHeight="1" x14ac:dyDescent="0.25">
      <c r="B25" s="25" t="s">
        <v>440</v>
      </c>
      <c r="C25" s="25" t="s">
        <v>441</v>
      </c>
      <c r="D25" s="25" t="s">
        <v>442</v>
      </c>
      <c r="E25" s="26">
        <v>37480</v>
      </c>
      <c r="F25" s="27">
        <v>1345.21</v>
      </c>
      <c r="G25" s="28">
        <v>1.7600000000000001E-2</v>
      </c>
      <c r="H25" s="29"/>
    </row>
    <row r="26" spans="2:8" ht="15.75" customHeight="1" x14ac:dyDescent="0.25">
      <c r="B26" s="25" t="s">
        <v>334</v>
      </c>
      <c r="C26" s="25" t="s">
        <v>335</v>
      </c>
      <c r="D26" s="25" t="s">
        <v>159</v>
      </c>
      <c r="E26" s="26">
        <v>94899</v>
      </c>
      <c r="F26" s="27">
        <v>1297.79</v>
      </c>
      <c r="G26" s="28">
        <v>1.7000000000000001E-2</v>
      </c>
      <c r="H26" s="29"/>
    </row>
    <row r="27" spans="2:8" ht="15.75" customHeight="1" x14ac:dyDescent="0.25">
      <c r="B27" s="25" t="s">
        <v>355</v>
      </c>
      <c r="C27" s="25" t="s">
        <v>356</v>
      </c>
      <c r="D27" s="25" t="s">
        <v>281</v>
      </c>
      <c r="E27" s="26">
        <v>409559</v>
      </c>
      <c r="F27" s="27">
        <v>1235.43</v>
      </c>
      <c r="G27" s="28">
        <v>1.6199999999999999E-2</v>
      </c>
      <c r="H27" s="29"/>
    </row>
    <row r="28" spans="2:8" ht="15.75" customHeight="1" x14ac:dyDescent="0.25">
      <c r="B28" s="25" t="s">
        <v>198</v>
      </c>
      <c r="C28" s="25" t="s">
        <v>199</v>
      </c>
      <c r="D28" s="25" t="s">
        <v>197</v>
      </c>
      <c r="E28" s="26">
        <v>725140</v>
      </c>
      <c r="F28" s="27">
        <v>1196.1199999999999</v>
      </c>
      <c r="G28" s="28">
        <v>1.5599999999999999E-2</v>
      </c>
      <c r="H28" s="29"/>
    </row>
    <row r="29" spans="2:8" ht="15.75" customHeight="1" x14ac:dyDescent="0.25">
      <c r="B29" s="25" t="s">
        <v>564</v>
      </c>
      <c r="C29" s="25" t="s">
        <v>565</v>
      </c>
      <c r="D29" s="25" t="s">
        <v>442</v>
      </c>
      <c r="E29" s="26">
        <v>40402</v>
      </c>
      <c r="F29" s="27">
        <v>1162.3900000000001</v>
      </c>
      <c r="G29" s="28">
        <v>1.52E-2</v>
      </c>
      <c r="H29" s="29"/>
    </row>
    <row r="30" spans="2:8" ht="15.75" customHeight="1" x14ac:dyDescent="0.25">
      <c r="B30" s="25" t="s">
        <v>353</v>
      </c>
      <c r="C30" s="25" t="s">
        <v>354</v>
      </c>
      <c r="D30" s="25" t="s">
        <v>244</v>
      </c>
      <c r="E30" s="26">
        <v>10321</v>
      </c>
      <c r="F30" s="27">
        <v>1028.67</v>
      </c>
      <c r="G30" s="28">
        <v>1.35E-2</v>
      </c>
      <c r="H30" s="29"/>
    </row>
    <row r="31" spans="2:8" ht="15.75" customHeight="1" x14ac:dyDescent="0.25">
      <c r="B31" s="25" t="s">
        <v>220</v>
      </c>
      <c r="C31" s="25" t="s">
        <v>221</v>
      </c>
      <c r="D31" s="25" t="s">
        <v>156</v>
      </c>
      <c r="E31" s="26">
        <v>58435</v>
      </c>
      <c r="F31" s="27">
        <v>885.64</v>
      </c>
      <c r="G31" s="28">
        <v>1.1599999999999999E-2</v>
      </c>
      <c r="H31" s="29"/>
    </row>
    <row r="32" spans="2:8" ht="15.75" customHeight="1" x14ac:dyDescent="0.25">
      <c r="B32" s="25" t="s">
        <v>168</v>
      </c>
      <c r="C32" s="25" t="s">
        <v>169</v>
      </c>
      <c r="D32" s="25" t="s">
        <v>170</v>
      </c>
      <c r="E32" s="26">
        <v>31899</v>
      </c>
      <c r="F32" s="27">
        <v>799.4</v>
      </c>
      <c r="G32" s="28">
        <v>1.0500000000000001E-2</v>
      </c>
      <c r="H32" s="29"/>
    </row>
    <row r="33" spans="2:8" ht="15.75" customHeight="1" x14ac:dyDescent="0.25">
      <c r="B33" s="25" t="s">
        <v>271</v>
      </c>
      <c r="C33" s="25" t="s">
        <v>272</v>
      </c>
      <c r="D33" s="25" t="s">
        <v>209</v>
      </c>
      <c r="E33" s="26">
        <v>48587</v>
      </c>
      <c r="F33" s="27">
        <v>785.02</v>
      </c>
      <c r="G33" s="28">
        <v>1.03E-2</v>
      </c>
      <c r="H33" s="29"/>
    </row>
    <row r="34" spans="2:8" ht="15.75" customHeight="1" x14ac:dyDescent="0.25">
      <c r="B34" s="25" t="s">
        <v>273</v>
      </c>
      <c r="C34" s="25" t="s">
        <v>274</v>
      </c>
      <c r="D34" s="25" t="s">
        <v>197</v>
      </c>
      <c r="E34" s="26">
        <v>85491</v>
      </c>
      <c r="F34" s="27">
        <v>754.54</v>
      </c>
      <c r="G34" s="28">
        <v>9.9000000000000008E-3</v>
      </c>
      <c r="H34" s="29"/>
    </row>
    <row r="35" spans="2:8" ht="15.75" customHeight="1" x14ac:dyDescent="0.25">
      <c r="B35" s="25" t="s">
        <v>264</v>
      </c>
      <c r="C35" s="25" t="s">
        <v>265</v>
      </c>
      <c r="D35" s="25" t="s">
        <v>159</v>
      </c>
      <c r="E35" s="26">
        <v>56015</v>
      </c>
      <c r="F35" s="27">
        <v>706.88</v>
      </c>
      <c r="G35" s="28">
        <v>9.1999999999999998E-3</v>
      </c>
      <c r="H35" s="29"/>
    </row>
    <row r="36" spans="2:8" ht="15.75" customHeight="1" x14ac:dyDescent="0.25">
      <c r="B36" s="25" t="s">
        <v>804</v>
      </c>
      <c r="C36" s="25" t="s">
        <v>805</v>
      </c>
      <c r="D36" s="25" t="s">
        <v>159</v>
      </c>
      <c r="E36" s="26">
        <v>126315</v>
      </c>
      <c r="F36" s="27">
        <v>583.95000000000005</v>
      </c>
      <c r="G36" s="28">
        <v>7.6E-3</v>
      </c>
      <c r="H36" s="29"/>
    </row>
    <row r="37" spans="2:8" ht="15.75" customHeight="1" x14ac:dyDescent="0.25">
      <c r="B37" s="24" t="s">
        <v>128</v>
      </c>
      <c r="C37" s="24"/>
      <c r="D37" s="24"/>
      <c r="E37" s="30"/>
      <c r="F37" s="31">
        <v>76384.33</v>
      </c>
      <c r="G37" s="32">
        <v>0.99929999999999997</v>
      </c>
      <c r="H37" s="33"/>
    </row>
    <row r="38" spans="2:8" ht="15.75" customHeight="1" x14ac:dyDescent="0.25">
      <c r="B38" s="24" t="s">
        <v>176</v>
      </c>
      <c r="C38" s="25"/>
      <c r="D38" s="25"/>
      <c r="E38" s="26"/>
      <c r="F38" s="27"/>
      <c r="G38" s="28"/>
      <c r="H38" s="29"/>
    </row>
    <row r="39" spans="2:8" ht="15.75" customHeight="1" x14ac:dyDescent="0.25">
      <c r="B39" s="24" t="s">
        <v>128</v>
      </c>
      <c r="C39" s="25"/>
      <c r="D39" s="25"/>
      <c r="E39" s="26"/>
      <c r="F39" s="34" t="s">
        <v>130</v>
      </c>
      <c r="G39" s="35" t="s">
        <v>130</v>
      </c>
      <c r="H39" s="29"/>
    </row>
    <row r="40" spans="2:8" ht="15.75" customHeight="1" x14ac:dyDescent="0.25">
      <c r="B40" s="25"/>
      <c r="C40" s="25"/>
      <c r="D40" s="25"/>
      <c r="E40" s="26"/>
      <c r="F40" s="27"/>
      <c r="G40" s="28"/>
      <c r="H40" s="29"/>
    </row>
    <row r="41" spans="2:8" ht="15.75" customHeight="1" x14ac:dyDescent="0.25">
      <c r="B41" s="36" t="s">
        <v>132</v>
      </c>
      <c r="C41" s="36"/>
      <c r="D41" s="36"/>
      <c r="E41" s="37"/>
      <c r="F41" s="31">
        <v>76384.33</v>
      </c>
      <c r="G41" s="32">
        <v>0.99929999999999997</v>
      </c>
      <c r="H41" s="33"/>
    </row>
    <row r="42" spans="2:8" ht="15.75" customHeight="1" x14ac:dyDescent="0.25">
      <c r="B42" s="25"/>
      <c r="C42" s="25"/>
      <c r="D42" s="25"/>
      <c r="E42" s="26"/>
      <c r="F42" s="27"/>
      <c r="G42" s="28"/>
      <c r="H42" s="29"/>
    </row>
    <row r="43" spans="2:8" ht="15.75" customHeight="1" x14ac:dyDescent="0.25">
      <c r="B43" s="25"/>
      <c r="C43" s="25"/>
      <c r="D43" s="25"/>
      <c r="E43" s="26"/>
      <c r="F43" s="27"/>
      <c r="G43" s="28"/>
      <c r="H43" s="29"/>
    </row>
    <row r="44" spans="2:8" ht="15.75" customHeight="1" x14ac:dyDescent="0.25">
      <c r="B44" s="24" t="s">
        <v>135</v>
      </c>
      <c r="C44" s="25"/>
      <c r="D44" s="25"/>
      <c r="E44" s="26"/>
      <c r="F44" s="27"/>
      <c r="G44" s="28"/>
      <c r="H44" s="29"/>
    </row>
    <row r="45" spans="2:8" ht="15.75" customHeight="1" x14ac:dyDescent="0.25">
      <c r="B45" s="25" t="s">
        <v>136</v>
      </c>
      <c r="C45" s="25"/>
      <c r="D45" s="25"/>
      <c r="E45" s="26"/>
      <c r="F45" s="27">
        <v>53.1</v>
      </c>
      <c r="G45" s="28">
        <v>6.9999999999999999E-4</v>
      </c>
      <c r="H45" s="29"/>
    </row>
    <row r="46" spans="2:8" ht="15.75" customHeight="1" x14ac:dyDescent="0.25">
      <c r="B46" s="24" t="s">
        <v>128</v>
      </c>
      <c r="C46" s="24"/>
      <c r="D46" s="24"/>
      <c r="E46" s="30"/>
      <c r="F46" s="31">
        <v>53.1</v>
      </c>
      <c r="G46" s="32">
        <v>6.9999999999999999E-4</v>
      </c>
      <c r="H46" s="33"/>
    </row>
    <row r="47" spans="2:8" ht="15.75" customHeight="1" x14ac:dyDescent="0.25">
      <c r="B47" s="25"/>
      <c r="C47" s="25"/>
      <c r="D47" s="25"/>
      <c r="E47" s="26"/>
      <c r="F47" s="27"/>
      <c r="G47" s="28"/>
      <c r="H47" s="29"/>
    </row>
    <row r="48" spans="2:8" ht="15.75" customHeight="1" x14ac:dyDescent="0.25">
      <c r="B48" s="36" t="s">
        <v>132</v>
      </c>
      <c r="C48" s="36"/>
      <c r="D48" s="36"/>
      <c r="E48" s="37"/>
      <c r="F48" s="31">
        <v>53.1</v>
      </c>
      <c r="G48" s="32">
        <v>6.9999999999999999E-4</v>
      </c>
      <c r="H48" s="33"/>
    </row>
    <row r="49" spans="2:8" ht="15.75" customHeight="1" x14ac:dyDescent="0.25">
      <c r="B49" s="25" t="s">
        <v>137</v>
      </c>
      <c r="C49" s="25"/>
      <c r="D49" s="25"/>
      <c r="E49" s="26"/>
      <c r="F49" s="38">
        <v>-1.72</v>
      </c>
      <c r="G49" s="28">
        <v>0</v>
      </c>
      <c r="H49" s="29"/>
    </row>
    <row r="50" spans="2:8" ht="15.75" customHeight="1" x14ac:dyDescent="0.25">
      <c r="B50" s="40" t="s">
        <v>138</v>
      </c>
      <c r="C50" s="40"/>
      <c r="D50" s="40"/>
      <c r="E50" s="41"/>
      <c r="F50" s="42">
        <v>76435.710000000006</v>
      </c>
      <c r="G50" s="43">
        <v>1</v>
      </c>
      <c r="H50" s="44"/>
    </row>
    <row r="51" spans="2:8" ht="15.75" customHeight="1" thickBot="1" x14ac:dyDescent="0.3">
      <c r="B51" s="2"/>
    </row>
    <row r="52" spans="2:8" ht="27" customHeight="1" thickBot="1" x14ac:dyDescent="0.3">
      <c r="B52" s="57" t="s">
        <v>980</v>
      </c>
      <c r="C52" s="58" t="s">
        <v>981</v>
      </c>
      <c r="D52" s="58" t="s">
        <v>982</v>
      </c>
      <c r="E52" s="63" t="s">
        <v>983</v>
      </c>
      <c r="G52" s="2"/>
      <c r="H52" s="2"/>
    </row>
    <row r="53" spans="2:8" ht="30" customHeight="1" x14ac:dyDescent="0.25">
      <c r="B53" s="70" t="s">
        <v>107</v>
      </c>
      <c r="C53" s="82"/>
      <c r="D53" s="85" t="s">
        <v>1051</v>
      </c>
      <c r="E53" s="87"/>
      <c r="G53" s="2"/>
      <c r="H53" s="2"/>
    </row>
    <row r="54" spans="2:8" ht="34.5" customHeight="1" x14ac:dyDescent="0.25">
      <c r="B54" s="66" t="s">
        <v>1066</v>
      </c>
      <c r="C54" s="83"/>
      <c r="D54" s="86"/>
      <c r="E54" s="83"/>
      <c r="G54" s="2"/>
      <c r="H54" s="2"/>
    </row>
    <row r="55" spans="2:8" ht="40" customHeight="1" x14ac:dyDescent="0.25">
      <c r="B55" s="66" t="s">
        <v>1073</v>
      </c>
      <c r="C55" s="83"/>
      <c r="D55" s="86"/>
      <c r="E55" s="83"/>
      <c r="G55" s="2"/>
      <c r="H55" s="2"/>
    </row>
    <row r="56" spans="2:8" ht="29.25" customHeight="1" thickBot="1" x14ac:dyDescent="0.3">
      <c r="B56" s="68" t="s">
        <v>1072</v>
      </c>
      <c r="C56" s="84"/>
      <c r="D56" s="71" t="s">
        <v>1072</v>
      </c>
      <c r="E56" s="88"/>
      <c r="G56" s="2"/>
      <c r="H56" s="2"/>
    </row>
    <row r="57" spans="2:8" ht="25" customHeight="1" x14ac:dyDescent="0.25">
      <c r="B57" s="59" t="s">
        <v>985</v>
      </c>
      <c r="C57" s="60"/>
      <c r="D57" s="61"/>
      <c r="E57" s="62"/>
      <c r="G57" s="2"/>
      <c r="H57" s="2"/>
    </row>
    <row r="59" spans="2:8" ht="11.5" x14ac:dyDescent="0.25">
      <c r="B59" s="2" t="s">
        <v>986</v>
      </c>
      <c r="C59" s="2"/>
      <c r="D59" s="2"/>
      <c r="G59" s="2"/>
      <c r="H59" s="2"/>
    </row>
    <row r="60" spans="2:8" ht="11.5" x14ac:dyDescent="0.25">
      <c r="B60" s="3" t="s">
        <v>987</v>
      </c>
      <c r="C60" s="2"/>
      <c r="D60" s="2"/>
      <c r="G60" s="2"/>
      <c r="H60" s="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8" spans="12:16" ht="15.75" customHeight="1" x14ac:dyDescent="0.25">
      <c r="L78" s="7"/>
      <c r="M78" s="7"/>
      <c r="N78" s="7"/>
      <c r="O78" s="7"/>
      <c r="P78" s="7"/>
    </row>
    <row r="79" spans="12:16" ht="15.75" customHeight="1" x14ac:dyDescent="0.25">
      <c r="L79" s="7"/>
      <c r="M79" s="7"/>
      <c r="N79" s="7"/>
      <c r="O79" s="7"/>
      <c r="P79" s="7"/>
    </row>
    <row r="80" spans="1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3">
    <mergeCell ref="C53:C56"/>
    <mergeCell ref="D53:D55"/>
    <mergeCell ref="E53:E56"/>
  </mergeCells>
  <hyperlinks>
    <hyperlink ref="I1" location="'Sheet1'!A1" display="Index" xr:uid="{D3BAC526-8C5B-4226-B4FD-3C470F90492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159D4-1714-491A-9E45-776AFB568EB5}">
  <dimension ref="B1:P96"/>
  <sheetViews>
    <sheetView workbookViewId="0">
      <selection activeCell="B3" sqref="B3"/>
    </sheetView>
  </sheetViews>
  <sheetFormatPr defaultColWidth="9.1796875" defaultRowHeight="15.75" customHeight="1" x14ac:dyDescent="0.25"/>
  <cols>
    <col min="1" max="1" width="3.6328125" style="2" customWidth="1"/>
    <col min="2" max="2" width="50.453125" style="9" customWidth="1"/>
    <col min="3" max="3" width="24.7265625" style="9" customWidth="1"/>
    <col min="4" max="4" width="26.6328125" style="9" customWidth="1"/>
    <col min="5" max="5" width="28.7265625" style="2" customWidth="1"/>
    <col min="6" max="6" width="16.453125" style="2" customWidth="1"/>
    <col min="7" max="7" width="15.26953125" style="8" customWidth="1"/>
    <col min="8" max="8" width="5.453125" style="10"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35</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152</v>
      </c>
      <c r="C5" s="19"/>
      <c r="D5" s="19"/>
      <c r="E5" s="20"/>
      <c r="F5" s="21"/>
      <c r="G5" s="22"/>
      <c r="H5" s="23"/>
    </row>
    <row r="6" spans="2:9" ht="15.75" customHeight="1" x14ac:dyDescent="0.25">
      <c r="B6" s="24" t="s">
        <v>153</v>
      </c>
      <c r="C6" s="25"/>
      <c r="D6" s="25"/>
      <c r="E6" s="26"/>
      <c r="F6" s="27"/>
      <c r="G6" s="28"/>
      <c r="H6" s="29"/>
    </row>
    <row r="7" spans="2:9" ht="15.75" customHeight="1" x14ac:dyDescent="0.25">
      <c r="B7" s="25" t="s">
        <v>154</v>
      </c>
      <c r="C7" s="25" t="s">
        <v>155</v>
      </c>
      <c r="D7" s="25" t="s">
        <v>156</v>
      </c>
      <c r="E7" s="26">
        <v>312549</v>
      </c>
      <c r="F7" s="27">
        <v>3595.56</v>
      </c>
      <c r="G7" s="28">
        <v>7.3499999999999996E-2</v>
      </c>
      <c r="H7" s="29"/>
    </row>
    <row r="8" spans="2:9" ht="15.75" customHeight="1" x14ac:dyDescent="0.25">
      <c r="B8" s="25" t="s">
        <v>160</v>
      </c>
      <c r="C8" s="25" t="s">
        <v>161</v>
      </c>
      <c r="D8" s="25" t="s">
        <v>156</v>
      </c>
      <c r="E8" s="26">
        <v>140439</v>
      </c>
      <c r="F8" s="27">
        <v>2134.81</v>
      </c>
      <c r="G8" s="28">
        <v>4.3700000000000003E-2</v>
      </c>
      <c r="H8" s="29"/>
    </row>
    <row r="9" spans="2:9" ht="15.75" customHeight="1" x14ac:dyDescent="0.25">
      <c r="B9" s="25" t="s">
        <v>157</v>
      </c>
      <c r="C9" s="25" t="s">
        <v>158</v>
      </c>
      <c r="D9" s="25" t="s">
        <v>159</v>
      </c>
      <c r="E9" s="26">
        <v>144997</v>
      </c>
      <c r="F9" s="27">
        <v>2059.75</v>
      </c>
      <c r="G9" s="28">
        <v>4.2099999999999999E-2</v>
      </c>
      <c r="H9" s="29"/>
    </row>
    <row r="10" spans="2:9" ht="15.75" customHeight="1" x14ac:dyDescent="0.25">
      <c r="B10" s="25" t="s">
        <v>424</v>
      </c>
      <c r="C10" s="25" t="s">
        <v>425</v>
      </c>
      <c r="D10" s="25" t="s">
        <v>426</v>
      </c>
      <c r="E10" s="26">
        <v>44088</v>
      </c>
      <c r="F10" s="27">
        <v>1944.24</v>
      </c>
      <c r="G10" s="28">
        <v>3.9800000000000002E-2</v>
      </c>
      <c r="H10" s="29"/>
    </row>
    <row r="11" spans="2:9" ht="15.75" customHeight="1" x14ac:dyDescent="0.25">
      <c r="B11" s="25" t="s">
        <v>640</v>
      </c>
      <c r="C11" s="25" t="s">
        <v>641</v>
      </c>
      <c r="D11" s="25" t="s">
        <v>639</v>
      </c>
      <c r="E11" s="26">
        <v>283292</v>
      </c>
      <c r="F11" s="27">
        <v>1757.54</v>
      </c>
      <c r="G11" s="28">
        <v>3.5900000000000001E-2</v>
      </c>
      <c r="H11" s="29"/>
    </row>
    <row r="12" spans="2:9" ht="15.75" customHeight="1" x14ac:dyDescent="0.25">
      <c r="B12" s="25" t="s">
        <v>724</v>
      </c>
      <c r="C12" s="25" t="s">
        <v>725</v>
      </c>
      <c r="D12" s="25" t="s">
        <v>343</v>
      </c>
      <c r="E12" s="26">
        <v>32060</v>
      </c>
      <c r="F12" s="27">
        <v>1446.55</v>
      </c>
      <c r="G12" s="28">
        <v>2.9600000000000001E-2</v>
      </c>
      <c r="H12" s="29"/>
    </row>
    <row r="13" spans="2:9" ht="15.75" customHeight="1" x14ac:dyDescent="0.25">
      <c r="B13" s="25" t="s">
        <v>332</v>
      </c>
      <c r="C13" s="25" t="s">
        <v>333</v>
      </c>
      <c r="D13" s="25" t="s">
        <v>159</v>
      </c>
      <c r="E13" s="26">
        <v>37360</v>
      </c>
      <c r="F13" s="27">
        <v>1427.39</v>
      </c>
      <c r="G13" s="28">
        <v>2.92E-2</v>
      </c>
      <c r="H13" s="29"/>
    </row>
    <row r="14" spans="2:9" ht="15.75" customHeight="1" x14ac:dyDescent="0.25">
      <c r="B14" s="25" t="s">
        <v>526</v>
      </c>
      <c r="C14" s="25" t="s">
        <v>527</v>
      </c>
      <c r="D14" s="25" t="s">
        <v>350</v>
      </c>
      <c r="E14" s="26">
        <v>146290</v>
      </c>
      <c r="F14" s="27">
        <v>1285.67</v>
      </c>
      <c r="G14" s="28">
        <v>2.63E-2</v>
      </c>
      <c r="H14" s="29"/>
    </row>
    <row r="15" spans="2:9" ht="15.75" customHeight="1" x14ac:dyDescent="0.25">
      <c r="B15" s="25" t="s">
        <v>783</v>
      </c>
      <c r="C15" s="25" t="s">
        <v>784</v>
      </c>
      <c r="D15" s="25" t="s">
        <v>426</v>
      </c>
      <c r="E15" s="26">
        <v>26294</v>
      </c>
      <c r="F15" s="27">
        <v>1210.52</v>
      </c>
      <c r="G15" s="28">
        <v>2.4799999999999999E-2</v>
      </c>
      <c r="H15" s="29"/>
    </row>
    <row r="16" spans="2:9" ht="15.75" customHeight="1" x14ac:dyDescent="0.25">
      <c r="B16" s="25" t="s">
        <v>440</v>
      </c>
      <c r="C16" s="25" t="s">
        <v>441</v>
      </c>
      <c r="D16" s="25" t="s">
        <v>442</v>
      </c>
      <c r="E16" s="26">
        <v>33509</v>
      </c>
      <c r="F16" s="27">
        <v>1202.72</v>
      </c>
      <c r="G16" s="28">
        <v>2.46E-2</v>
      </c>
      <c r="H16" s="29"/>
    </row>
    <row r="17" spans="2:8" ht="15.75" customHeight="1" x14ac:dyDescent="0.25">
      <c r="B17" s="25" t="s">
        <v>247</v>
      </c>
      <c r="C17" s="25" t="s">
        <v>248</v>
      </c>
      <c r="D17" s="25" t="s">
        <v>156</v>
      </c>
      <c r="E17" s="26">
        <v>97926</v>
      </c>
      <c r="F17" s="27">
        <v>1141.72</v>
      </c>
      <c r="G17" s="28">
        <v>2.3300000000000001E-2</v>
      </c>
      <c r="H17" s="29"/>
    </row>
    <row r="18" spans="2:8" ht="15.75" customHeight="1" x14ac:dyDescent="0.25">
      <c r="B18" s="25" t="s">
        <v>357</v>
      </c>
      <c r="C18" s="25" t="s">
        <v>358</v>
      </c>
      <c r="D18" s="25" t="s">
        <v>260</v>
      </c>
      <c r="E18" s="26">
        <v>40179</v>
      </c>
      <c r="F18" s="27">
        <v>1053.1099999999999</v>
      </c>
      <c r="G18" s="28">
        <v>2.1499999999999998E-2</v>
      </c>
      <c r="H18" s="29"/>
    </row>
    <row r="19" spans="2:8" ht="15.75" customHeight="1" x14ac:dyDescent="0.25">
      <c r="B19" s="25" t="s">
        <v>210</v>
      </c>
      <c r="C19" s="25" t="s">
        <v>211</v>
      </c>
      <c r="D19" s="25" t="s">
        <v>209</v>
      </c>
      <c r="E19" s="26">
        <v>14525</v>
      </c>
      <c r="F19" s="27">
        <v>1005.65</v>
      </c>
      <c r="G19" s="28">
        <v>2.06E-2</v>
      </c>
      <c r="H19" s="29"/>
    </row>
    <row r="20" spans="2:8" ht="15.75" customHeight="1" x14ac:dyDescent="0.25">
      <c r="B20" s="25" t="s">
        <v>572</v>
      </c>
      <c r="C20" s="25" t="s">
        <v>573</v>
      </c>
      <c r="D20" s="25" t="s">
        <v>343</v>
      </c>
      <c r="E20" s="26">
        <v>63375</v>
      </c>
      <c r="F20" s="27">
        <v>901.38</v>
      </c>
      <c r="G20" s="28">
        <v>1.84E-2</v>
      </c>
      <c r="H20" s="29"/>
    </row>
    <row r="21" spans="2:8" ht="15.75" customHeight="1" x14ac:dyDescent="0.25">
      <c r="B21" s="25" t="s">
        <v>578</v>
      </c>
      <c r="C21" s="25" t="s">
        <v>579</v>
      </c>
      <c r="D21" s="25" t="s">
        <v>214</v>
      </c>
      <c r="E21" s="26">
        <v>21141</v>
      </c>
      <c r="F21" s="27">
        <v>846.15</v>
      </c>
      <c r="G21" s="28">
        <v>1.7299999999999999E-2</v>
      </c>
      <c r="H21" s="29"/>
    </row>
    <row r="22" spans="2:8" ht="15.75" customHeight="1" x14ac:dyDescent="0.25">
      <c r="B22" s="25" t="s">
        <v>232</v>
      </c>
      <c r="C22" s="25" t="s">
        <v>233</v>
      </c>
      <c r="D22" s="25" t="s">
        <v>234</v>
      </c>
      <c r="E22" s="26">
        <v>354127</v>
      </c>
      <c r="F22" s="27">
        <v>827.77</v>
      </c>
      <c r="G22" s="28">
        <v>1.6899999999999998E-2</v>
      </c>
      <c r="H22" s="29"/>
    </row>
    <row r="23" spans="2:8" ht="15.75" customHeight="1" x14ac:dyDescent="0.25">
      <c r="B23" s="25" t="s">
        <v>162</v>
      </c>
      <c r="C23" s="25" t="s">
        <v>163</v>
      </c>
      <c r="D23" s="25" t="s">
        <v>164</v>
      </c>
      <c r="E23" s="26">
        <v>27665</v>
      </c>
      <c r="F23" s="27">
        <v>811.69</v>
      </c>
      <c r="G23" s="28">
        <v>1.66E-2</v>
      </c>
      <c r="H23" s="29"/>
    </row>
    <row r="24" spans="2:8" ht="15.75" customHeight="1" x14ac:dyDescent="0.25">
      <c r="B24" s="25" t="s">
        <v>434</v>
      </c>
      <c r="C24" s="25" t="s">
        <v>435</v>
      </c>
      <c r="D24" s="25" t="s">
        <v>268</v>
      </c>
      <c r="E24" s="26">
        <v>57437</v>
      </c>
      <c r="F24" s="27">
        <v>759.49</v>
      </c>
      <c r="G24" s="28">
        <v>1.55E-2</v>
      </c>
      <c r="H24" s="29"/>
    </row>
    <row r="25" spans="2:8" ht="15.75" customHeight="1" x14ac:dyDescent="0.25">
      <c r="B25" s="25" t="s">
        <v>344</v>
      </c>
      <c r="C25" s="25" t="s">
        <v>345</v>
      </c>
      <c r="D25" s="25" t="s">
        <v>167</v>
      </c>
      <c r="E25" s="26">
        <v>5569</v>
      </c>
      <c r="F25" s="27">
        <v>713.81</v>
      </c>
      <c r="G25" s="28">
        <v>1.46E-2</v>
      </c>
      <c r="H25" s="29"/>
    </row>
    <row r="26" spans="2:8" ht="15.75" customHeight="1" x14ac:dyDescent="0.25">
      <c r="B26" s="25" t="s">
        <v>779</v>
      </c>
      <c r="C26" s="25" t="s">
        <v>780</v>
      </c>
      <c r="D26" s="25" t="s">
        <v>253</v>
      </c>
      <c r="E26" s="26">
        <v>61944</v>
      </c>
      <c r="F26" s="27">
        <v>686.56</v>
      </c>
      <c r="G26" s="28">
        <v>1.4E-2</v>
      </c>
      <c r="H26" s="29"/>
    </row>
    <row r="27" spans="2:8" ht="15.75" customHeight="1" x14ac:dyDescent="0.25">
      <c r="B27" s="25" t="s">
        <v>271</v>
      </c>
      <c r="C27" s="25" t="s">
        <v>272</v>
      </c>
      <c r="D27" s="25" t="s">
        <v>209</v>
      </c>
      <c r="E27" s="26">
        <v>38301</v>
      </c>
      <c r="F27" s="27">
        <v>618.55999999999995</v>
      </c>
      <c r="G27" s="28">
        <v>1.2699999999999999E-2</v>
      </c>
      <c r="H27" s="29"/>
    </row>
    <row r="28" spans="2:8" ht="15.75" customHeight="1" x14ac:dyDescent="0.25">
      <c r="B28" s="25" t="s">
        <v>330</v>
      </c>
      <c r="C28" s="25" t="s">
        <v>331</v>
      </c>
      <c r="D28" s="25" t="s">
        <v>156</v>
      </c>
      <c r="E28" s="26">
        <v>69351</v>
      </c>
      <c r="F28" s="27">
        <v>573.01</v>
      </c>
      <c r="G28" s="28">
        <v>1.17E-2</v>
      </c>
      <c r="H28" s="29"/>
    </row>
    <row r="29" spans="2:8" ht="15.75" customHeight="1" x14ac:dyDescent="0.25">
      <c r="B29" s="25" t="s">
        <v>227</v>
      </c>
      <c r="C29" s="25" t="s">
        <v>228</v>
      </c>
      <c r="D29" s="25" t="s">
        <v>156</v>
      </c>
      <c r="E29" s="26">
        <v>35042</v>
      </c>
      <c r="F29" s="27">
        <v>569.05999999999995</v>
      </c>
      <c r="G29" s="28">
        <v>1.1599999999999999E-2</v>
      </c>
      <c r="H29" s="29"/>
    </row>
    <row r="30" spans="2:8" ht="15.75" customHeight="1" x14ac:dyDescent="0.25">
      <c r="B30" s="25" t="s">
        <v>961</v>
      </c>
      <c r="C30" s="25" t="s">
        <v>962</v>
      </c>
      <c r="D30" s="25" t="s">
        <v>442</v>
      </c>
      <c r="E30" s="26">
        <v>7852</v>
      </c>
      <c r="F30" s="27">
        <v>564.63</v>
      </c>
      <c r="G30" s="28">
        <v>1.15E-2</v>
      </c>
      <c r="H30" s="29"/>
    </row>
    <row r="31" spans="2:8" ht="15.75" customHeight="1" x14ac:dyDescent="0.25">
      <c r="B31" s="25" t="s">
        <v>395</v>
      </c>
      <c r="C31" s="25" t="s">
        <v>396</v>
      </c>
      <c r="D31" s="25" t="s">
        <v>214</v>
      </c>
      <c r="E31" s="26">
        <v>11551</v>
      </c>
      <c r="F31" s="27">
        <v>558.27</v>
      </c>
      <c r="G31" s="28">
        <v>1.14E-2</v>
      </c>
      <c r="H31" s="29"/>
    </row>
    <row r="32" spans="2:8" ht="15.75" customHeight="1" x14ac:dyDescent="0.25">
      <c r="B32" s="25" t="s">
        <v>387</v>
      </c>
      <c r="C32" s="25" t="s">
        <v>388</v>
      </c>
      <c r="D32" s="25" t="s">
        <v>209</v>
      </c>
      <c r="E32" s="26">
        <v>36007</v>
      </c>
      <c r="F32" s="27">
        <v>543.15</v>
      </c>
      <c r="G32" s="28">
        <v>1.11E-2</v>
      </c>
      <c r="H32" s="29"/>
    </row>
    <row r="33" spans="2:8" ht="15.75" customHeight="1" x14ac:dyDescent="0.25">
      <c r="B33" s="25" t="s">
        <v>171</v>
      </c>
      <c r="C33" s="25" t="s">
        <v>172</v>
      </c>
      <c r="D33" s="25" t="s">
        <v>173</v>
      </c>
      <c r="E33" s="26">
        <v>24002</v>
      </c>
      <c r="F33" s="27">
        <v>535.35</v>
      </c>
      <c r="G33" s="28">
        <v>1.09E-2</v>
      </c>
      <c r="H33" s="29"/>
    </row>
    <row r="34" spans="2:8" ht="15.75" customHeight="1" x14ac:dyDescent="0.25">
      <c r="B34" s="25" t="s">
        <v>694</v>
      </c>
      <c r="C34" s="25" t="s">
        <v>695</v>
      </c>
      <c r="D34" s="25" t="s">
        <v>260</v>
      </c>
      <c r="E34" s="26">
        <v>32412</v>
      </c>
      <c r="F34" s="27">
        <v>530.45000000000005</v>
      </c>
      <c r="G34" s="28">
        <v>1.0800000000000001E-2</v>
      </c>
      <c r="H34" s="29"/>
    </row>
    <row r="35" spans="2:8" ht="15.75" customHeight="1" x14ac:dyDescent="0.25">
      <c r="B35" s="25" t="s">
        <v>744</v>
      </c>
      <c r="C35" s="25" t="s">
        <v>745</v>
      </c>
      <c r="D35" s="25" t="s">
        <v>442</v>
      </c>
      <c r="E35" s="26">
        <v>53375</v>
      </c>
      <c r="F35" s="27">
        <v>505.59</v>
      </c>
      <c r="G35" s="28">
        <v>1.03E-2</v>
      </c>
      <c r="H35" s="29"/>
    </row>
    <row r="36" spans="2:8" ht="15.75" customHeight="1" x14ac:dyDescent="0.25">
      <c r="B36" s="25" t="s">
        <v>534</v>
      </c>
      <c r="C36" s="25" t="s">
        <v>535</v>
      </c>
      <c r="D36" s="25" t="s">
        <v>536</v>
      </c>
      <c r="E36" s="26">
        <v>54609</v>
      </c>
      <c r="F36" s="27">
        <v>480.2</v>
      </c>
      <c r="G36" s="28">
        <v>9.7999999999999997E-3</v>
      </c>
      <c r="H36" s="29"/>
    </row>
    <row r="37" spans="2:8" ht="15.75" customHeight="1" x14ac:dyDescent="0.25">
      <c r="B37" s="25" t="s">
        <v>806</v>
      </c>
      <c r="C37" s="25" t="s">
        <v>807</v>
      </c>
      <c r="D37" s="25" t="s">
        <v>426</v>
      </c>
      <c r="E37" s="26">
        <v>181383</v>
      </c>
      <c r="F37" s="27">
        <v>477.04</v>
      </c>
      <c r="G37" s="28">
        <v>9.7999999999999997E-3</v>
      </c>
      <c r="H37" s="29"/>
    </row>
    <row r="38" spans="2:8" ht="15.75" customHeight="1" x14ac:dyDescent="0.25">
      <c r="B38" s="25" t="s">
        <v>499</v>
      </c>
      <c r="C38" s="25" t="s">
        <v>500</v>
      </c>
      <c r="D38" s="25" t="s">
        <v>209</v>
      </c>
      <c r="E38" s="26">
        <v>285248</v>
      </c>
      <c r="F38" s="27">
        <v>475.37</v>
      </c>
      <c r="G38" s="28">
        <v>9.7000000000000003E-3</v>
      </c>
      <c r="H38" s="29"/>
    </row>
    <row r="39" spans="2:8" ht="15.75" customHeight="1" x14ac:dyDescent="0.25">
      <c r="B39" s="25" t="s">
        <v>290</v>
      </c>
      <c r="C39" s="25" t="s">
        <v>291</v>
      </c>
      <c r="D39" s="25" t="s">
        <v>260</v>
      </c>
      <c r="E39" s="26">
        <v>14669</v>
      </c>
      <c r="F39" s="27">
        <v>447.26</v>
      </c>
      <c r="G39" s="28">
        <v>9.1000000000000004E-3</v>
      </c>
      <c r="H39" s="29"/>
    </row>
    <row r="40" spans="2:8" ht="15.75" customHeight="1" x14ac:dyDescent="0.25">
      <c r="B40" s="25" t="s">
        <v>752</v>
      </c>
      <c r="C40" s="25" t="s">
        <v>753</v>
      </c>
      <c r="D40" s="25" t="s">
        <v>260</v>
      </c>
      <c r="E40" s="26">
        <v>12115</v>
      </c>
      <c r="F40" s="27">
        <v>414.24</v>
      </c>
      <c r="G40" s="28">
        <v>8.5000000000000006E-3</v>
      </c>
      <c r="H40" s="29"/>
    </row>
    <row r="41" spans="2:8" ht="15.75" customHeight="1" x14ac:dyDescent="0.25">
      <c r="B41" s="25" t="s">
        <v>963</v>
      </c>
      <c r="C41" s="25" t="s">
        <v>964</v>
      </c>
      <c r="D41" s="25" t="s">
        <v>343</v>
      </c>
      <c r="E41" s="26">
        <v>8066</v>
      </c>
      <c r="F41" s="27">
        <v>373.18</v>
      </c>
      <c r="G41" s="28">
        <v>7.6E-3</v>
      </c>
      <c r="H41" s="29"/>
    </row>
    <row r="42" spans="2:8" ht="15.75" customHeight="1" x14ac:dyDescent="0.25">
      <c r="B42" s="25" t="s">
        <v>909</v>
      </c>
      <c r="C42" s="25" t="s">
        <v>910</v>
      </c>
      <c r="D42" s="25" t="s">
        <v>286</v>
      </c>
      <c r="E42" s="26">
        <v>61858</v>
      </c>
      <c r="F42" s="27">
        <v>353.58</v>
      </c>
      <c r="G42" s="28">
        <v>7.1999999999999998E-3</v>
      </c>
      <c r="H42" s="29"/>
    </row>
    <row r="43" spans="2:8" ht="15.75" customHeight="1" x14ac:dyDescent="0.25">
      <c r="B43" s="25" t="s">
        <v>474</v>
      </c>
      <c r="C43" s="25" t="s">
        <v>475</v>
      </c>
      <c r="D43" s="25" t="s">
        <v>159</v>
      </c>
      <c r="E43" s="26">
        <v>6603</v>
      </c>
      <c r="F43" s="27">
        <v>336.97</v>
      </c>
      <c r="G43" s="28">
        <v>6.8999999999999999E-3</v>
      </c>
      <c r="H43" s="29"/>
    </row>
    <row r="44" spans="2:8" ht="15.75" customHeight="1" x14ac:dyDescent="0.25">
      <c r="B44" s="25" t="s">
        <v>965</v>
      </c>
      <c r="C44" s="25" t="s">
        <v>966</v>
      </c>
      <c r="D44" s="25" t="s">
        <v>296</v>
      </c>
      <c r="E44" s="26">
        <v>28707</v>
      </c>
      <c r="F44" s="27">
        <v>330.49</v>
      </c>
      <c r="G44" s="28">
        <v>6.7999999999999996E-3</v>
      </c>
      <c r="H44" s="29"/>
    </row>
    <row r="45" spans="2:8" ht="15.75" customHeight="1" x14ac:dyDescent="0.25">
      <c r="B45" s="25" t="s">
        <v>493</v>
      </c>
      <c r="C45" s="25" t="s">
        <v>494</v>
      </c>
      <c r="D45" s="25" t="s">
        <v>156</v>
      </c>
      <c r="E45" s="26">
        <v>192496</v>
      </c>
      <c r="F45" s="27">
        <v>313</v>
      </c>
      <c r="G45" s="28">
        <v>6.4000000000000003E-3</v>
      </c>
      <c r="H45" s="29"/>
    </row>
    <row r="46" spans="2:8" ht="15.75" customHeight="1" x14ac:dyDescent="0.25">
      <c r="B46" s="25" t="s">
        <v>468</v>
      </c>
      <c r="C46" s="25" t="s">
        <v>469</v>
      </c>
      <c r="D46" s="25" t="s">
        <v>217</v>
      </c>
      <c r="E46" s="26">
        <v>31421</v>
      </c>
      <c r="F46" s="27">
        <v>275.66000000000003</v>
      </c>
      <c r="G46" s="28">
        <v>5.5999999999999999E-3</v>
      </c>
      <c r="H46" s="29"/>
    </row>
    <row r="47" spans="2:8" ht="15.75" customHeight="1" x14ac:dyDescent="0.25">
      <c r="B47" s="25" t="s">
        <v>939</v>
      </c>
      <c r="C47" s="25" t="s">
        <v>940</v>
      </c>
      <c r="D47" s="25" t="s">
        <v>209</v>
      </c>
      <c r="E47" s="26">
        <v>37537</v>
      </c>
      <c r="F47" s="27">
        <v>273.38</v>
      </c>
      <c r="G47" s="28">
        <v>5.5999999999999999E-3</v>
      </c>
      <c r="H47" s="29"/>
    </row>
    <row r="48" spans="2:8" ht="15.75" customHeight="1" x14ac:dyDescent="0.25">
      <c r="B48" s="25" t="s">
        <v>967</v>
      </c>
      <c r="C48" s="25" t="s">
        <v>968</v>
      </c>
      <c r="D48" s="25" t="s">
        <v>343</v>
      </c>
      <c r="E48" s="26">
        <v>41134</v>
      </c>
      <c r="F48" s="27">
        <v>267.47000000000003</v>
      </c>
      <c r="G48" s="28">
        <v>5.4999999999999997E-3</v>
      </c>
      <c r="H48" s="29"/>
    </row>
    <row r="49" spans="2:8" ht="15.75" customHeight="1" x14ac:dyDescent="0.25">
      <c r="B49" s="25" t="s">
        <v>451</v>
      </c>
      <c r="C49" s="25" t="s">
        <v>452</v>
      </c>
      <c r="D49" s="25" t="s">
        <v>209</v>
      </c>
      <c r="E49" s="26">
        <v>31045</v>
      </c>
      <c r="F49" s="27">
        <v>235.41</v>
      </c>
      <c r="G49" s="28">
        <v>4.7999999999999996E-3</v>
      </c>
      <c r="H49" s="29"/>
    </row>
    <row r="50" spans="2:8" ht="15.75" customHeight="1" x14ac:dyDescent="0.25">
      <c r="B50" s="25" t="s">
        <v>969</v>
      </c>
      <c r="C50" s="25" t="s">
        <v>970</v>
      </c>
      <c r="D50" s="25" t="s">
        <v>281</v>
      </c>
      <c r="E50" s="26">
        <v>55633</v>
      </c>
      <c r="F50" s="27">
        <v>150.26</v>
      </c>
      <c r="G50" s="28">
        <v>3.0999999999999999E-3</v>
      </c>
      <c r="H50" s="29"/>
    </row>
    <row r="51" spans="2:8" ht="15.75" customHeight="1" x14ac:dyDescent="0.25">
      <c r="B51" s="25" t="s">
        <v>971</v>
      </c>
      <c r="C51" s="25" t="s">
        <v>972</v>
      </c>
      <c r="D51" s="25" t="s">
        <v>268</v>
      </c>
      <c r="E51" s="26">
        <v>4245</v>
      </c>
      <c r="F51" s="27">
        <v>39.75</v>
      </c>
      <c r="G51" s="28">
        <v>8.0000000000000004E-4</v>
      </c>
      <c r="H51" s="29"/>
    </row>
    <row r="52" spans="2:8" ht="15.75" customHeight="1" x14ac:dyDescent="0.25">
      <c r="B52" s="24" t="s">
        <v>128</v>
      </c>
      <c r="C52" s="24"/>
      <c r="D52" s="24"/>
      <c r="E52" s="30"/>
      <c r="F52" s="31">
        <v>37053.410000000003</v>
      </c>
      <c r="G52" s="32">
        <v>0.75780000000000003</v>
      </c>
      <c r="H52" s="33"/>
    </row>
    <row r="53" spans="2:8" ht="15.75" customHeight="1" x14ac:dyDescent="0.25">
      <c r="B53" s="24" t="s">
        <v>176</v>
      </c>
      <c r="C53" s="25"/>
      <c r="D53" s="25"/>
      <c r="E53" s="26"/>
      <c r="F53" s="27"/>
      <c r="G53" s="28"/>
      <c r="H53" s="29"/>
    </row>
    <row r="54" spans="2:8" ht="15.75" customHeight="1" x14ac:dyDescent="0.25">
      <c r="B54" s="24" t="s">
        <v>128</v>
      </c>
      <c r="C54" s="25"/>
      <c r="D54" s="25"/>
      <c r="E54" s="26"/>
      <c r="F54" s="34" t="s">
        <v>130</v>
      </c>
      <c r="G54" s="35" t="s">
        <v>130</v>
      </c>
      <c r="H54" s="29"/>
    </row>
    <row r="55" spans="2:8" ht="15.75" customHeight="1" x14ac:dyDescent="0.25">
      <c r="B55" s="25"/>
      <c r="C55" s="25"/>
      <c r="D55" s="25"/>
      <c r="E55" s="26"/>
      <c r="F55" s="27"/>
      <c r="G55" s="28"/>
      <c r="H55" s="29"/>
    </row>
    <row r="56" spans="2:8" ht="15.75" customHeight="1" x14ac:dyDescent="0.25">
      <c r="B56" s="36" t="s">
        <v>132</v>
      </c>
      <c r="C56" s="36"/>
      <c r="D56" s="36"/>
      <c r="E56" s="37"/>
      <c r="F56" s="31">
        <v>37053.410000000003</v>
      </c>
      <c r="G56" s="32">
        <v>0.75780000000000003</v>
      </c>
      <c r="H56" s="33"/>
    </row>
    <row r="57" spans="2:8" ht="15.75" customHeight="1" x14ac:dyDescent="0.25">
      <c r="B57" s="25"/>
      <c r="C57" s="25"/>
      <c r="D57" s="25"/>
      <c r="E57" s="26"/>
      <c r="F57" s="27"/>
      <c r="G57" s="28"/>
      <c r="H57" s="29"/>
    </row>
    <row r="58" spans="2:8" ht="15.75" customHeight="1" x14ac:dyDescent="0.25">
      <c r="B58" s="24" t="s">
        <v>116</v>
      </c>
      <c r="C58" s="25"/>
      <c r="D58" s="25"/>
      <c r="E58" s="26"/>
      <c r="F58" s="27"/>
      <c r="G58" s="28"/>
      <c r="H58" s="29"/>
    </row>
    <row r="59" spans="2:8" ht="15.75" customHeight="1" x14ac:dyDescent="0.25">
      <c r="B59" s="24" t="s">
        <v>117</v>
      </c>
      <c r="C59" s="25"/>
      <c r="D59" s="25"/>
      <c r="E59" s="26"/>
      <c r="F59" s="27"/>
      <c r="G59" s="28"/>
      <c r="H59" s="29"/>
    </row>
    <row r="60" spans="2:8" ht="15.75" customHeight="1" x14ac:dyDescent="0.25">
      <c r="B60" s="25" t="s">
        <v>177</v>
      </c>
      <c r="C60" s="25" t="s">
        <v>178</v>
      </c>
      <c r="D60" s="25" t="s">
        <v>119</v>
      </c>
      <c r="E60" s="26">
        <v>4500000</v>
      </c>
      <c r="F60" s="27">
        <v>4644.03</v>
      </c>
      <c r="G60" s="28">
        <v>9.5000000000000001E-2</v>
      </c>
      <c r="H60" s="29">
        <v>7.3180999999999996E-2</v>
      </c>
    </row>
    <row r="61" spans="2:8" ht="15.75" customHeight="1" x14ac:dyDescent="0.25">
      <c r="B61" s="25" t="s">
        <v>480</v>
      </c>
      <c r="C61" s="25" t="s">
        <v>481</v>
      </c>
      <c r="D61" s="25" t="s">
        <v>119</v>
      </c>
      <c r="E61" s="26">
        <v>2500000</v>
      </c>
      <c r="F61" s="27">
        <v>2628.5</v>
      </c>
      <c r="G61" s="28">
        <v>5.3800000000000001E-2</v>
      </c>
      <c r="H61" s="29">
        <v>7.6255000000000003E-2</v>
      </c>
    </row>
    <row r="62" spans="2:8" ht="15.75" customHeight="1" x14ac:dyDescent="0.25">
      <c r="B62" s="25" t="s">
        <v>179</v>
      </c>
      <c r="C62" s="25" t="s">
        <v>180</v>
      </c>
      <c r="D62" s="25" t="s">
        <v>119</v>
      </c>
      <c r="E62" s="26">
        <v>2500000</v>
      </c>
      <c r="F62" s="27">
        <v>2501.75</v>
      </c>
      <c r="G62" s="28">
        <v>5.1200000000000002E-2</v>
      </c>
      <c r="H62" s="29">
        <v>7.3428999999999994E-2</v>
      </c>
    </row>
    <row r="63" spans="2:8" ht="15.75" customHeight="1" x14ac:dyDescent="0.25">
      <c r="B63" s="25" t="s">
        <v>973</v>
      </c>
      <c r="C63" s="25" t="s">
        <v>974</v>
      </c>
      <c r="D63" s="25" t="s">
        <v>119</v>
      </c>
      <c r="E63" s="26">
        <v>500000</v>
      </c>
      <c r="F63" s="27">
        <v>497.12</v>
      </c>
      <c r="G63" s="28">
        <v>1.0200000000000001E-2</v>
      </c>
      <c r="H63" s="29">
        <v>7.2771000000000002E-2</v>
      </c>
    </row>
    <row r="64" spans="2:8" ht="15.75" customHeight="1" x14ac:dyDescent="0.25">
      <c r="B64" s="25" t="s">
        <v>144</v>
      </c>
      <c r="C64" s="25" t="s">
        <v>145</v>
      </c>
      <c r="D64" s="25" t="s">
        <v>119</v>
      </c>
      <c r="E64" s="26">
        <v>233500</v>
      </c>
      <c r="F64" s="27">
        <v>234.36</v>
      </c>
      <c r="G64" s="28">
        <v>4.7999999999999996E-3</v>
      </c>
      <c r="H64" s="29">
        <v>7.6211000000000001E-2</v>
      </c>
    </row>
    <row r="65" spans="2:16" ht="15.75" customHeight="1" x14ac:dyDescent="0.25">
      <c r="B65" s="25" t="s">
        <v>146</v>
      </c>
      <c r="C65" s="25" t="s">
        <v>147</v>
      </c>
      <c r="D65" s="25" t="s">
        <v>119</v>
      </c>
      <c r="E65" s="26">
        <v>200000</v>
      </c>
      <c r="F65" s="27">
        <v>195.19</v>
      </c>
      <c r="G65" s="28">
        <v>4.0000000000000001E-3</v>
      </c>
      <c r="H65" s="29">
        <v>7.2664999999999993E-2</v>
      </c>
    </row>
    <row r="66" spans="2:16" ht="15.75" customHeight="1" x14ac:dyDescent="0.25">
      <c r="B66" s="25" t="s">
        <v>122</v>
      </c>
      <c r="C66" s="25" t="s">
        <v>127</v>
      </c>
      <c r="D66" s="25" t="s">
        <v>119</v>
      </c>
      <c r="E66" s="26">
        <v>100000</v>
      </c>
      <c r="F66" s="27">
        <v>101.98</v>
      </c>
      <c r="G66" s="28">
        <v>2.0999999999999999E-3</v>
      </c>
      <c r="H66" s="29">
        <v>7.3460999999999999E-2</v>
      </c>
    </row>
    <row r="67" spans="2:16" ht="15.75" customHeight="1" x14ac:dyDescent="0.25">
      <c r="B67" s="25" t="s">
        <v>122</v>
      </c>
      <c r="C67" s="25" t="s">
        <v>123</v>
      </c>
      <c r="D67" s="25" t="s">
        <v>119</v>
      </c>
      <c r="E67" s="26">
        <v>100000</v>
      </c>
      <c r="F67" s="27">
        <v>101.68</v>
      </c>
      <c r="G67" s="28">
        <v>2.0999999999999999E-3</v>
      </c>
      <c r="H67" s="29">
        <v>7.3401999999999995E-2</v>
      </c>
    </row>
    <row r="68" spans="2:16" ht="15.75" customHeight="1" x14ac:dyDescent="0.25">
      <c r="B68" s="25" t="s">
        <v>183</v>
      </c>
      <c r="C68" s="25" t="s">
        <v>184</v>
      </c>
      <c r="D68" s="25" t="s">
        <v>119</v>
      </c>
      <c r="E68" s="26">
        <v>50000</v>
      </c>
      <c r="F68" s="27">
        <v>49.93</v>
      </c>
      <c r="G68" s="28">
        <v>1E-3</v>
      </c>
      <c r="H68" s="29">
        <v>7.3270000000000002E-2</v>
      </c>
      <c r="L68" s="3"/>
    </row>
    <row r="69" spans="2:16" ht="15.75" customHeight="1" x14ac:dyDescent="0.25">
      <c r="B69" s="24" t="s">
        <v>128</v>
      </c>
      <c r="C69" s="24"/>
      <c r="D69" s="24"/>
      <c r="E69" s="30"/>
      <c r="F69" s="31">
        <v>10954.54</v>
      </c>
      <c r="G69" s="32">
        <v>0.22420000000000001</v>
      </c>
      <c r="H69" s="33"/>
    </row>
    <row r="70" spans="2:16" ht="15.75" customHeight="1" x14ac:dyDescent="0.25">
      <c r="B70" s="25"/>
      <c r="C70" s="25"/>
      <c r="D70" s="25"/>
      <c r="E70" s="26"/>
      <c r="F70" s="27"/>
      <c r="G70" s="28"/>
      <c r="H70" s="29"/>
      <c r="L70" s="3"/>
    </row>
    <row r="71" spans="2:16" ht="15.75" customHeight="1" x14ac:dyDescent="0.25">
      <c r="B71" s="24" t="s">
        <v>129</v>
      </c>
      <c r="C71" s="25"/>
      <c r="D71" s="25"/>
      <c r="E71" s="26"/>
      <c r="F71" s="27"/>
      <c r="G71" s="28"/>
      <c r="H71" s="29"/>
      <c r="L71" s="3"/>
    </row>
    <row r="72" spans="2:16" ht="15.75" customHeight="1" x14ac:dyDescent="0.25">
      <c r="B72" s="24" t="s">
        <v>128</v>
      </c>
      <c r="C72" s="25"/>
      <c r="D72" s="25"/>
      <c r="E72" s="26"/>
      <c r="F72" s="34" t="s">
        <v>130</v>
      </c>
      <c r="G72" s="35" t="s">
        <v>130</v>
      </c>
      <c r="H72" s="29"/>
      <c r="L72" s="3"/>
    </row>
    <row r="73" spans="2:16" ht="15.75" customHeight="1" x14ac:dyDescent="0.25">
      <c r="B73" s="25"/>
      <c r="C73" s="25"/>
      <c r="D73" s="25"/>
      <c r="E73" s="26"/>
      <c r="F73" s="27"/>
      <c r="G73" s="28"/>
      <c r="H73" s="29"/>
      <c r="L73" s="3"/>
    </row>
    <row r="74" spans="2:16" ht="15.75" customHeight="1" x14ac:dyDescent="0.25">
      <c r="B74" s="24" t="s">
        <v>131</v>
      </c>
      <c r="C74" s="25"/>
      <c r="D74" s="25"/>
      <c r="E74" s="26"/>
      <c r="F74" s="27"/>
      <c r="G74" s="28"/>
      <c r="H74" s="29"/>
      <c r="L74" s="3"/>
    </row>
    <row r="75" spans="2:16" ht="15.75" customHeight="1" x14ac:dyDescent="0.25">
      <c r="B75" s="24" t="s">
        <v>128</v>
      </c>
      <c r="C75" s="25"/>
      <c r="D75" s="25"/>
      <c r="E75" s="26"/>
      <c r="F75" s="34" t="s">
        <v>130</v>
      </c>
      <c r="G75" s="35" t="s">
        <v>130</v>
      </c>
      <c r="H75" s="29"/>
      <c r="L75" s="5"/>
      <c r="M75" s="5"/>
      <c r="N75" s="6"/>
      <c r="O75" s="6"/>
      <c r="P75" s="5"/>
    </row>
    <row r="76" spans="2:16" ht="15.75" customHeight="1" x14ac:dyDescent="0.25">
      <c r="B76" s="25"/>
      <c r="C76" s="25"/>
      <c r="D76" s="25"/>
      <c r="E76" s="26"/>
      <c r="F76" s="27"/>
      <c r="G76" s="28"/>
      <c r="H76" s="29"/>
    </row>
    <row r="77" spans="2:16" ht="15.75" customHeight="1" x14ac:dyDescent="0.25">
      <c r="B77" s="36" t="s">
        <v>132</v>
      </c>
      <c r="C77" s="36"/>
      <c r="D77" s="36"/>
      <c r="E77" s="37"/>
      <c r="F77" s="31">
        <v>10954.54</v>
      </c>
      <c r="G77" s="32">
        <v>0.224</v>
      </c>
      <c r="H77" s="33"/>
    </row>
    <row r="78" spans="2:16" ht="15.75" customHeight="1" x14ac:dyDescent="0.25">
      <c r="B78" s="25"/>
      <c r="C78" s="25"/>
      <c r="D78" s="25"/>
      <c r="E78" s="26"/>
      <c r="F78" s="27"/>
      <c r="G78" s="28"/>
      <c r="H78" s="29"/>
      <c r="L78" s="7"/>
      <c r="M78" s="7"/>
      <c r="N78" s="7"/>
      <c r="O78" s="7"/>
      <c r="P78" s="7"/>
    </row>
    <row r="79" spans="2:16" ht="15.75" customHeight="1" x14ac:dyDescent="0.25">
      <c r="B79" s="25"/>
      <c r="C79" s="25"/>
      <c r="D79" s="25"/>
      <c r="E79" s="26"/>
      <c r="F79" s="27"/>
      <c r="G79" s="28"/>
      <c r="H79" s="29"/>
      <c r="L79" s="7"/>
      <c r="M79" s="7"/>
      <c r="N79" s="7"/>
      <c r="O79" s="7"/>
      <c r="P79" s="7"/>
    </row>
    <row r="80" spans="2:16" ht="15.75" customHeight="1" x14ac:dyDescent="0.25">
      <c r="B80" s="24" t="s">
        <v>135</v>
      </c>
      <c r="C80" s="25"/>
      <c r="D80" s="25"/>
      <c r="E80" s="26"/>
      <c r="F80" s="27"/>
      <c r="G80" s="28"/>
      <c r="H80" s="29"/>
      <c r="L80" s="7"/>
      <c r="M80" s="7"/>
      <c r="N80" s="7"/>
      <c r="O80" s="7"/>
      <c r="P80" s="7"/>
    </row>
    <row r="81" spans="2:16" ht="15.75" customHeight="1" x14ac:dyDescent="0.25">
      <c r="B81" s="25" t="s">
        <v>136</v>
      </c>
      <c r="C81" s="25"/>
      <c r="D81" s="25"/>
      <c r="E81" s="26"/>
      <c r="F81" s="27">
        <v>1322.66</v>
      </c>
      <c r="G81" s="28">
        <v>2.7E-2</v>
      </c>
      <c r="H81" s="29"/>
      <c r="L81" s="7"/>
      <c r="M81" s="7"/>
      <c r="N81" s="7"/>
      <c r="O81" s="7"/>
      <c r="P81" s="7"/>
    </row>
    <row r="82" spans="2:16" ht="15.75" customHeight="1" x14ac:dyDescent="0.25">
      <c r="B82" s="24" t="s">
        <v>128</v>
      </c>
      <c r="C82" s="24"/>
      <c r="D82" s="24"/>
      <c r="E82" s="30"/>
      <c r="F82" s="31">
        <v>1322.66</v>
      </c>
      <c r="G82" s="32">
        <v>2.7E-2</v>
      </c>
      <c r="H82" s="33"/>
      <c r="L82" s="7"/>
      <c r="M82" s="7"/>
      <c r="N82" s="7"/>
      <c r="O82" s="7"/>
      <c r="P82" s="7"/>
    </row>
    <row r="83" spans="2:16" ht="15.75" customHeight="1" x14ac:dyDescent="0.25">
      <c r="B83" s="25"/>
      <c r="C83" s="25"/>
      <c r="D83" s="25"/>
      <c r="E83" s="26"/>
      <c r="F83" s="27"/>
      <c r="G83" s="28"/>
      <c r="H83" s="29"/>
      <c r="L83" s="7"/>
      <c r="M83" s="7"/>
      <c r="N83" s="7"/>
      <c r="O83" s="7"/>
      <c r="P83" s="7"/>
    </row>
    <row r="84" spans="2:16" ht="15.75" customHeight="1" x14ac:dyDescent="0.25">
      <c r="B84" s="36" t="s">
        <v>132</v>
      </c>
      <c r="C84" s="36"/>
      <c r="D84" s="36"/>
      <c r="E84" s="37"/>
      <c r="F84" s="31">
        <v>1322.66</v>
      </c>
      <c r="G84" s="32">
        <v>2.7E-2</v>
      </c>
      <c r="H84" s="33"/>
      <c r="L84" s="7"/>
      <c r="M84" s="7"/>
      <c r="N84" s="7"/>
      <c r="O84" s="7"/>
      <c r="P84" s="7"/>
    </row>
    <row r="85" spans="2:16" ht="15.75" customHeight="1" x14ac:dyDescent="0.25">
      <c r="B85" s="25" t="s">
        <v>137</v>
      </c>
      <c r="C85" s="25"/>
      <c r="D85" s="25"/>
      <c r="E85" s="26"/>
      <c r="F85" s="38">
        <v>-433.73</v>
      </c>
      <c r="G85" s="39">
        <v>-8.799999999999919E-3</v>
      </c>
      <c r="H85" s="29"/>
    </row>
    <row r="86" spans="2:16" ht="15.75" customHeight="1" x14ac:dyDescent="0.25">
      <c r="B86" s="40" t="s">
        <v>138</v>
      </c>
      <c r="C86" s="40"/>
      <c r="D86" s="40"/>
      <c r="E86" s="41"/>
      <c r="F86" s="42">
        <v>48896.88</v>
      </c>
      <c r="G86" s="43">
        <v>1</v>
      </c>
      <c r="H86" s="44"/>
      <c r="L86" s="3"/>
    </row>
    <row r="87" spans="2:16" ht="15.75" customHeight="1" thickBot="1" x14ac:dyDescent="0.3">
      <c r="B87" s="2"/>
    </row>
    <row r="88" spans="2:16" ht="27" customHeight="1" thickBot="1" x14ac:dyDescent="0.3">
      <c r="B88" s="57" t="s">
        <v>980</v>
      </c>
      <c r="C88" s="58" t="s">
        <v>981</v>
      </c>
      <c r="D88" s="58" t="s">
        <v>982</v>
      </c>
      <c r="E88" s="63" t="s">
        <v>983</v>
      </c>
      <c r="G88" s="2"/>
      <c r="H88" s="2"/>
    </row>
    <row r="89" spans="2:16" ht="29.25" customHeight="1" x14ac:dyDescent="0.25">
      <c r="B89" s="70" t="s">
        <v>109</v>
      </c>
      <c r="C89" s="82"/>
      <c r="D89" s="85" t="s">
        <v>1008</v>
      </c>
      <c r="E89" s="87"/>
      <c r="G89" s="2"/>
      <c r="H89" s="2"/>
    </row>
    <row r="90" spans="2:16" ht="40" customHeight="1" x14ac:dyDescent="0.25">
      <c r="B90" s="66" t="s">
        <v>1074</v>
      </c>
      <c r="C90" s="83"/>
      <c r="D90" s="86"/>
      <c r="E90" s="83"/>
      <c r="G90" s="2"/>
      <c r="H90" s="2"/>
    </row>
    <row r="91" spans="2:16" ht="40" customHeight="1" x14ac:dyDescent="0.25">
      <c r="B91" s="66" t="s">
        <v>1075</v>
      </c>
      <c r="C91" s="83"/>
      <c r="D91" s="86"/>
      <c r="E91" s="83"/>
      <c r="G91" s="2"/>
      <c r="H91" s="2"/>
    </row>
    <row r="92" spans="2:16" ht="23.25" customHeight="1" thickBot="1" x14ac:dyDescent="0.3">
      <c r="B92" s="68" t="s">
        <v>1006</v>
      </c>
      <c r="C92" s="84"/>
      <c r="D92" s="71" t="s">
        <v>1006</v>
      </c>
      <c r="E92" s="88"/>
      <c r="G92" s="2"/>
      <c r="H92" s="2"/>
    </row>
    <row r="93" spans="2:16" ht="25" customHeight="1" x14ac:dyDescent="0.25">
      <c r="B93" s="59" t="s">
        <v>985</v>
      </c>
      <c r="C93" s="60"/>
      <c r="D93" s="61"/>
      <c r="E93" s="62"/>
      <c r="G93" s="2"/>
      <c r="H93" s="2"/>
    </row>
    <row r="95" spans="2:16" ht="11.5" x14ac:dyDescent="0.25">
      <c r="B95" s="2" t="s">
        <v>986</v>
      </c>
      <c r="C95" s="2"/>
      <c r="D95" s="2"/>
      <c r="G95" s="2"/>
      <c r="H95" s="2"/>
    </row>
    <row r="96" spans="2:16" ht="11.5" x14ac:dyDescent="0.25">
      <c r="B96" s="3" t="s">
        <v>987</v>
      </c>
      <c r="C96" s="2"/>
      <c r="D96" s="2"/>
      <c r="G96" s="2"/>
      <c r="H96" s="2"/>
    </row>
  </sheetData>
  <mergeCells count="3">
    <mergeCell ref="C89:C92"/>
    <mergeCell ref="D89:D91"/>
    <mergeCell ref="E89:E92"/>
  </mergeCells>
  <hyperlinks>
    <hyperlink ref="I1" location="'Sheet1'!A1" display="Index" xr:uid="{789B12F6-ACF7-4930-8E38-BC06AD6BF2C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8128A-78BC-406C-B6F2-4DF8D18CBAF8}">
  <dimension ref="B1:P86"/>
  <sheetViews>
    <sheetView workbookViewId="0"/>
  </sheetViews>
  <sheetFormatPr defaultColWidth="9.1796875" defaultRowHeight="15.75" customHeight="1" x14ac:dyDescent="0.25"/>
  <cols>
    <col min="1" max="1" width="3.54296875" style="2" customWidth="1"/>
    <col min="2" max="2" width="50.453125" style="9" customWidth="1"/>
    <col min="3" max="3" width="26.453125" style="9" customWidth="1"/>
    <col min="4" max="4" width="26.54296875" style="9" customWidth="1"/>
    <col min="5" max="5" width="28.453125" style="2" customWidth="1"/>
    <col min="6" max="6" width="16.453125" style="2" customWidth="1"/>
    <col min="7" max="7" width="15.26953125" style="8" customWidth="1"/>
    <col min="8" max="8" width="10.72656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1078</v>
      </c>
      <c r="C1" s="1" t="s">
        <v>1079</v>
      </c>
      <c r="D1" s="1" t="s">
        <v>1080</v>
      </c>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91"/>
      <c r="C5" s="19"/>
      <c r="D5" s="19"/>
      <c r="E5" s="20"/>
      <c r="F5" s="21"/>
      <c r="G5" s="22"/>
      <c r="H5" s="92"/>
    </row>
    <row r="6" spans="2:9" ht="15.75" customHeight="1" x14ac:dyDescent="0.25">
      <c r="B6" s="93"/>
      <c r="C6" s="46"/>
      <c r="D6" s="46"/>
      <c r="E6" s="94"/>
      <c r="F6" s="95"/>
      <c r="G6" s="96"/>
      <c r="H6" s="97"/>
    </row>
    <row r="7" spans="2:9" ht="15.75" customHeight="1" x14ac:dyDescent="0.25">
      <c r="B7" s="98" t="s">
        <v>133</v>
      </c>
      <c r="C7" s="46"/>
      <c r="D7" s="46"/>
      <c r="E7" s="94"/>
      <c r="F7" s="95"/>
      <c r="G7" s="96"/>
      <c r="H7" s="97"/>
    </row>
    <row r="8" spans="2:9" ht="15.75" customHeight="1" x14ac:dyDescent="0.25">
      <c r="B8" s="98" t="s">
        <v>1081</v>
      </c>
      <c r="C8" s="46"/>
      <c r="D8" s="46"/>
      <c r="E8" s="94"/>
      <c r="F8" s="95"/>
      <c r="G8" s="96"/>
      <c r="H8" s="97"/>
    </row>
    <row r="9" spans="2:9" ht="15.75" customHeight="1" x14ac:dyDescent="0.25">
      <c r="B9" s="93" t="s">
        <v>1081</v>
      </c>
      <c r="C9" s="46"/>
      <c r="D9" s="46" t="s">
        <v>1081</v>
      </c>
      <c r="E9" s="94">
        <v>179</v>
      </c>
      <c r="F9" s="95">
        <v>12830.53</v>
      </c>
      <c r="G9" s="96">
        <v>0.99760000000000004</v>
      </c>
      <c r="H9" s="97"/>
    </row>
    <row r="10" spans="2:9" ht="15.75" customHeight="1" x14ac:dyDescent="0.25">
      <c r="B10" s="98" t="s">
        <v>128</v>
      </c>
      <c r="C10" s="99"/>
      <c r="D10" s="99"/>
      <c r="E10" s="100"/>
      <c r="F10" s="31">
        <f>SUM(F9)</f>
        <v>12830.53</v>
      </c>
      <c r="G10" s="101">
        <f>SUM(G9)</f>
        <v>0.99760000000000004</v>
      </c>
      <c r="H10" s="102"/>
    </row>
    <row r="11" spans="2:9" ht="15.75" customHeight="1" x14ac:dyDescent="0.25">
      <c r="B11" s="93"/>
      <c r="C11" s="46"/>
      <c r="D11" s="46"/>
      <c r="E11" s="94"/>
      <c r="F11" s="95"/>
      <c r="G11" s="96"/>
      <c r="H11" s="97"/>
    </row>
    <row r="12" spans="2:9" ht="15.75" customHeight="1" x14ac:dyDescent="0.25">
      <c r="B12" s="103" t="s">
        <v>132</v>
      </c>
      <c r="C12" s="36"/>
      <c r="D12" s="36"/>
      <c r="E12" s="37"/>
      <c r="F12" s="31">
        <f>+F10</f>
        <v>12830.53</v>
      </c>
      <c r="G12" s="101">
        <f>+G10</f>
        <v>0.99760000000000004</v>
      </c>
      <c r="H12" s="102"/>
    </row>
    <row r="13" spans="2:9" ht="15.75" customHeight="1" x14ac:dyDescent="0.25">
      <c r="B13" s="93"/>
      <c r="C13" s="46"/>
      <c r="D13" s="46"/>
      <c r="E13" s="94"/>
      <c r="F13" s="95"/>
      <c r="G13" s="96"/>
      <c r="H13" s="97"/>
    </row>
    <row r="14" spans="2:9" ht="15.75" customHeight="1" x14ac:dyDescent="0.25">
      <c r="B14" s="98" t="s">
        <v>135</v>
      </c>
      <c r="C14" s="46"/>
      <c r="D14" s="46"/>
      <c r="E14" s="94"/>
      <c r="F14" s="95"/>
      <c r="G14" s="96"/>
      <c r="H14" s="97"/>
    </row>
    <row r="15" spans="2:9" ht="15.75" customHeight="1" x14ac:dyDescent="0.25">
      <c r="B15" s="93" t="s">
        <v>136</v>
      </c>
      <c r="C15" s="46"/>
      <c r="D15" s="46"/>
      <c r="E15" s="94"/>
      <c r="F15" s="95">
        <v>5</v>
      </c>
      <c r="G15" s="96">
        <v>4.0000000000000002E-4</v>
      </c>
      <c r="H15" s="97"/>
    </row>
    <row r="16" spans="2:9" ht="15.75" customHeight="1" x14ac:dyDescent="0.25">
      <c r="B16" s="98" t="s">
        <v>128</v>
      </c>
      <c r="C16" s="99"/>
      <c r="D16" s="99"/>
      <c r="E16" s="100"/>
      <c r="F16" s="31">
        <f>SUM(F15)</f>
        <v>5</v>
      </c>
      <c r="G16" s="32">
        <f>SUM(G15)</f>
        <v>4.0000000000000002E-4</v>
      </c>
      <c r="H16" s="102"/>
    </row>
    <row r="17" spans="2:8" ht="15.75" customHeight="1" x14ac:dyDescent="0.25">
      <c r="B17" s="93"/>
      <c r="C17" s="46"/>
      <c r="D17" s="46"/>
      <c r="E17" s="94"/>
      <c r="F17" s="95"/>
      <c r="G17" s="96"/>
      <c r="H17" s="97"/>
    </row>
    <row r="18" spans="2:8" ht="15.75" customHeight="1" x14ac:dyDescent="0.25">
      <c r="B18" s="103" t="s">
        <v>132</v>
      </c>
      <c r="C18" s="36"/>
      <c r="D18" s="36"/>
      <c r="E18" s="37"/>
      <c r="F18" s="31">
        <f>+F16</f>
        <v>5</v>
      </c>
      <c r="G18" s="32">
        <f>+G16</f>
        <v>4.0000000000000002E-4</v>
      </c>
      <c r="H18" s="102"/>
    </row>
    <row r="19" spans="2:8" ht="15.75" customHeight="1" x14ac:dyDescent="0.25">
      <c r="B19" s="93" t="s">
        <v>137</v>
      </c>
      <c r="C19" s="46"/>
      <c r="D19" s="46"/>
      <c r="E19" s="94"/>
      <c r="F19" s="104">
        <v>26.24</v>
      </c>
      <c r="G19" s="105">
        <v>2E-3</v>
      </c>
      <c r="H19" s="97"/>
    </row>
    <row r="20" spans="2:8" ht="15.75" customHeight="1" thickBot="1" x14ac:dyDescent="0.3">
      <c r="B20" s="106" t="s">
        <v>138</v>
      </c>
      <c r="C20" s="107"/>
      <c r="D20" s="107"/>
      <c r="E20" s="108"/>
      <c r="F20" s="109">
        <f>+F19+F18+F12</f>
        <v>12861.77</v>
      </c>
      <c r="G20" s="110">
        <f>+G19+G18+G12</f>
        <v>1</v>
      </c>
      <c r="H20" s="111"/>
    </row>
    <row r="21" spans="2:8" ht="15.75" customHeight="1" thickBot="1" x14ac:dyDescent="0.3">
      <c r="B21" s="2"/>
    </row>
    <row r="22" spans="2:8" ht="27" customHeight="1" thickBot="1" x14ac:dyDescent="0.3">
      <c r="B22" s="57" t="s">
        <v>980</v>
      </c>
      <c r="C22" s="58" t="s">
        <v>981</v>
      </c>
      <c r="D22" s="58" t="s">
        <v>982</v>
      </c>
      <c r="E22" s="63" t="s">
        <v>983</v>
      </c>
      <c r="G22" s="2"/>
      <c r="H22" s="2"/>
    </row>
    <row r="23" spans="2:8" ht="29.25" customHeight="1" x14ac:dyDescent="0.25">
      <c r="B23" s="64" t="s">
        <v>1077</v>
      </c>
      <c r="C23" s="82"/>
      <c r="D23" s="85" t="s">
        <v>1039</v>
      </c>
      <c r="E23" s="87"/>
      <c r="G23" s="2"/>
      <c r="H23" s="2"/>
    </row>
    <row r="24" spans="2:8" ht="40" customHeight="1" x14ac:dyDescent="0.25">
      <c r="B24" s="66" t="s">
        <v>1082</v>
      </c>
      <c r="C24" s="83"/>
      <c r="D24" s="86"/>
      <c r="E24" s="83"/>
      <c r="G24" s="2"/>
      <c r="H24" s="2"/>
    </row>
    <row r="25" spans="2:8" ht="40" customHeight="1" x14ac:dyDescent="0.25">
      <c r="B25" s="66" t="s">
        <v>1083</v>
      </c>
      <c r="C25" s="83"/>
      <c r="D25" s="86"/>
      <c r="E25" s="83"/>
      <c r="G25" s="2"/>
      <c r="H25" s="2"/>
    </row>
    <row r="26" spans="2:8" ht="23.25" customHeight="1" thickBot="1" x14ac:dyDescent="0.3">
      <c r="B26" s="68" t="s">
        <v>1007</v>
      </c>
      <c r="C26" s="84"/>
      <c r="D26" s="71" t="s">
        <v>1007</v>
      </c>
      <c r="E26" s="88"/>
      <c r="G26" s="2"/>
      <c r="H26" s="2"/>
    </row>
    <row r="28" spans="2:8" ht="11.5" x14ac:dyDescent="0.25">
      <c r="B28" s="2" t="s">
        <v>986</v>
      </c>
      <c r="C28" s="2"/>
      <c r="D28" s="2"/>
      <c r="G28" s="2"/>
      <c r="H28" s="2"/>
    </row>
    <row r="29" spans="2:8" ht="11.5" x14ac:dyDescent="0.25">
      <c r="B29" s="3" t="s">
        <v>987</v>
      </c>
      <c r="C29" s="2"/>
      <c r="D29" s="2"/>
      <c r="G29" s="2"/>
      <c r="H29" s="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8" spans="12:16" ht="15.75" customHeight="1" x14ac:dyDescent="0.25">
      <c r="L78" s="7"/>
      <c r="M78" s="7"/>
      <c r="N78" s="7"/>
      <c r="O78" s="7"/>
      <c r="P78" s="7"/>
    </row>
    <row r="79" spans="12:16" ht="15.75" customHeight="1" x14ac:dyDescent="0.25">
      <c r="L79" s="7"/>
      <c r="M79" s="7"/>
      <c r="N79" s="7"/>
      <c r="O79" s="7"/>
      <c r="P79" s="7"/>
    </row>
    <row r="80" spans="1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3">
    <mergeCell ref="C23:C26"/>
    <mergeCell ref="D23:D25"/>
    <mergeCell ref="E23:E26"/>
  </mergeCells>
  <hyperlinks>
    <hyperlink ref="I1" location="'Sheet1'!A1" display="Index" xr:uid="{3E8F00C2-1CDF-4D36-8E71-8B8B4033CA52}"/>
  </hyperlinks>
  <pageMargins left="0.7" right="0.7" top="0.75" bottom="0.75" header="0.3" footer="0.3"/>
  <pageSetup orientation="portrait" horizontalDpi="300" verticalDpi="300" r:id="rId1"/>
  <headerFooter>
    <oddHeader>&amp;L&amp;"Arial"&amp;9&amp;K317100PUBLIC&amp;1#</oddHeader>
  </headerFooter>
  <drawing r:id="rId2"/>
</worksheet>
</file>

<file path=docMetadata/LabelInfo.xml><?xml version="1.0" encoding="utf-8"?>
<clbl:labelList xmlns:clbl="http://schemas.microsoft.com/office/2020/mipLabelMetadata">
  <clbl:label id="{35420d87-ebf3-4eb6-a02e-a1364065b55e}" enabled="1" method="Privileged" siteId="{070340cc-c8c5-4e10-bedb-73d22991c7b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84</vt:i4>
      </vt:variant>
    </vt:vector>
  </HeadingPairs>
  <TitlesOfParts>
    <vt:vector size="113" baseType="lpstr">
      <vt:lpstr>Sheet1</vt:lpstr>
      <vt:lpstr>LEARBF</vt:lpstr>
      <vt:lpstr>LEBADF</vt:lpstr>
      <vt:lpstr>LEBALF</vt:lpstr>
      <vt:lpstr>LEBFSF</vt:lpstr>
      <vt:lpstr>LECHID</vt:lpstr>
      <vt:lpstr>LEDDYF</vt:lpstr>
      <vt:lpstr>LEDHCF</vt:lpstr>
      <vt:lpstr>LEEMCF</vt:lpstr>
      <vt:lpstr>LEEQSF</vt:lpstr>
      <vt:lpstr>LEEQTF</vt:lpstr>
      <vt:lpstr>LEESCF</vt:lpstr>
      <vt:lpstr>LEFE30</vt:lpstr>
      <vt:lpstr>LEGFOF</vt:lpstr>
      <vt:lpstr>LEGROW</vt:lpstr>
      <vt:lpstr>LEINFA</vt:lpstr>
      <vt:lpstr>LEINNF</vt:lpstr>
      <vt:lpstr>LEINSX</vt:lpstr>
      <vt:lpstr>LELTVF</vt:lpstr>
      <vt:lpstr>LEMETF</vt:lpstr>
      <vt:lpstr>LEMIDF</vt:lpstr>
      <vt:lpstr>LEMUCF</vt:lpstr>
      <vt:lpstr>LENI50</vt:lpstr>
      <vt:lpstr>LET100</vt:lpstr>
      <vt:lpstr>LETAXP</vt:lpstr>
      <vt:lpstr>LETF50</vt:lpstr>
      <vt:lpstr>LETFSX</vt:lpstr>
      <vt:lpstr>LEULIS</vt:lpstr>
      <vt:lpstr>LICMFGOLDETF</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LEMETF!Hedging_Positions_through_Futures_AS_ON_MMMM_DD__YYYY___NIL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LICMFGOLDETF!Hedging_Positions_through_Futures_AS_ON_MMMM_DD__YYYY___NIL</vt:lpstr>
      <vt:lpstr>LEARBF!JPM_Footer_disp</vt:lpstr>
      <vt:lpstr>LEBADF!JPM_Footer_disp</vt:lpstr>
      <vt:lpstr>LEBALF!JPM_Footer_disp</vt:lpstr>
      <vt:lpstr>LEBFSF!JPM_Footer_disp</vt:lpstr>
      <vt:lpstr>LECHID!JPM_Footer_disp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LEGROW!JPM_Footer_disp</vt:lpstr>
      <vt:lpstr>LEINFA!JPM_Footer_disp</vt:lpstr>
      <vt:lpstr>LEINNF!JPM_Footer_disp</vt:lpstr>
      <vt:lpstr>LEINSX!JPM_Footer_disp</vt:lpstr>
      <vt:lpstr>LELTVF!JPM_Footer_disp</vt:lpstr>
      <vt:lpstr>LEMETF!JPM_Footer_disp</vt:lpstr>
      <vt:lpstr>LEMIDF!JPM_Footer_disp</vt:lpstr>
      <vt:lpstr>LEMUCF!JPM_Footer_disp</vt:lpstr>
      <vt:lpstr>LENI50!JPM_Footer_disp</vt:lpstr>
      <vt:lpstr>'LET100'!JPM_Footer_disp</vt:lpstr>
      <vt:lpstr>LETAXP!JPM_Footer_disp</vt:lpstr>
      <vt:lpstr>LETF50!JPM_Footer_disp</vt:lpstr>
      <vt:lpstr>LETFSX!JPM_Footer_disp</vt:lpstr>
      <vt:lpstr>LEULIS!JPM_Footer_disp</vt:lpstr>
      <vt:lpstr>LICMFGOLDETF!JPM_Footer_disp</vt:lpstr>
      <vt:lpstr>LEARBF!JPM_Footer_disp12</vt:lpstr>
      <vt:lpstr>LEBADF!JPM_Footer_disp12</vt:lpstr>
      <vt:lpstr>LEBALF!JPM_Footer_disp12</vt:lpstr>
      <vt:lpstr>LEBFSF!JPM_Footer_disp12</vt:lpstr>
      <vt:lpstr>LECHID!JPM_Footer_disp12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LEGROW!JPM_Footer_disp12</vt:lpstr>
      <vt:lpstr>LEINFA!JPM_Footer_disp12</vt:lpstr>
      <vt:lpstr>LEINNF!JPM_Footer_disp12</vt:lpstr>
      <vt:lpstr>LEINSX!JPM_Footer_disp12</vt:lpstr>
      <vt:lpstr>LELTVF!JPM_Footer_disp12</vt:lpstr>
      <vt:lpstr>LEMETF!JPM_Footer_disp12</vt:lpstr>
      <vt:lpstr>LEMIDF!JPM_Footer_disp12</vt:lpstr>
      <vt:lpstr>LEMUCF!JPM_Footer_disp12</vt:lpstr>
      <vt:lpstr>LENI50!JPM_Footer_disp12</vt:lpstr>
      <vt:lpstr>'LET100'!JPM_Footer_disp12</vt:lpstr>
      <vt:lpstr>LETAXP!JPM_Footer_disp12</vt:lpstr>
      <vt:lpstr>LETF50!JPM_Footer_disp12</vt:lpstr>
      <vt:lpstr>LETFSX!JPM_Footer_disp12</vt:lpstr>
      <vt:lpstr>LEULIS!JPM_Footer_disp12</vt:lpstr>
      <vt:lpstr>LICMFGOLDETF!JPM_Footer_disp12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Jawale/MO-FA/CO</cp:lastModifiedBy>
  <dcterms:created xsi:type="dcterms:W3CDTF">2015-12-17T12:36:10Z</dcterms:created>
  <dcterms:modified xsi:type="dcterms:W3CDTF">2024-05-03T03:14:16Z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