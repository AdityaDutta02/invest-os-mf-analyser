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defaultThemeVersion="124226"/>
  <mc:AlternateContent xmlns:mc="http://schemas.openxmlformats.org/markup-compatibility/2006">
    <mc:Choice Requires="x15">
      <x15ac:absPath xmlns:x15ac="http://schemas.microsoft.com/office/spreadsheetml/2010/11/ac" url="T:\INVESTMENTS_VALUATION\2 Regulatory Monthly-Half yearly ReportIng\4 Jul 2024\Portfolio Monthly\"/>
    </mc:Choice>
  </mc:AlternateContent>
  <xr:revisionPtr revIDLastSave="0" documentId="13_ncr:1_{CA8BFE1D-B2B5-4094-BC7E-3B1BA75035DA}" xr6:coauthVersionLast="47" xr6:coauthVersionMax="47" xr10:uidLastSave="{00000000-0000-0000-0000-000000000000}"/>
  <bookViews>
    <workbookView xWindow="-120" yWindow="-120" windowWidth="24240" windowHeight="13140" xr2:uid="{00000000-000D-0000-FFFF-FFFF00000000}"/>
  </bookViews>
  <sheets>
    <sheet name="Sheet1" sheetId="40" r:id="rId1"/>
    <sheet name="LEARBF" sheetId="11" r:id="rId2"/>
    <sheet name="LEBADF" sheetId="12" r:id="rId3"/>
    <sheet name="LEBALF" sheetId="13" r:id="rId4"/>
    <sheet name="LEBFSF" sheetId="14" r:id="rId5"/>
    <sheet name="LECHID" sheetId="15" r:id="rId6"/>
    <sheet name="LEDDYF" sheetId="16" r:id="rId7"/>
    <sheet name="LEDHCF" sheetId="17" r:id="rId8"/>
    <sheet name="LEEMCF" sheetId="18" r:id="rId9"/>
    <sheet name="LEEQSF" sheetId="19" r:id="rId10"/>
    <sheet name="LEEQTF" sheetId="20" r:id="rId11"/>
    <sheet name="LEESCF" sheetId="21" r:id="rId12"/>
    <sheet name="LEFE30" sheetId="22" r:id="rId13"/>
    <sheet name="LEGFOF" sheetId="23" r:id="rId14"/>
    <sheet name="LEGROW" sheetId="24" r:id="rId15"/>
    <sheet name="LEINFA" sheetId="25" r:id="rId16"/>
    <sheet name="LEINNF" sheetId="26" r:id="rId17"/>
    <sheet name="LEINSX" sheetId="27" r:id="rId18"/>
    <sheet name="LELTVF" sheetId="28" r:id="rId19"/>
    <sheet name="LEMETF" sheetId="29" r:id="rId20"/>
    <sheet name="LEMIDF" sheetId="30" r:id="rId21"/>
    <sheet name="LEMUCF" sheetId="31" r:id="rId22"/>
    <sheet name="LENI50" sheetId="32" r:id="rId23"/>
    <sheet name="LET100" sheetId="33" r:id="rId24"/>
    <sheet name="LETAXP" sheetId="34" r:id="rId25"/>
    <sheet name="LETF50" sheetId="35" r:id="rId26"/>
    <sheet name="LETFSX" sheetId="36" r:id="rId27"/>
    <sheet name="LEULIS" sheetId="37" r:id="rId28"/>
    <sheet name="LICMFGOLDETF" sheetId="41" r:id="rId29"/>
  </sheets>
  <definedNames>
    <definedName name="_xlnm._FilterDatabase" localSheetId="1" hidden="1">LEARBF!$B$5:$N$79</definedName>
    <definedName name="_xlnm._FilterDatabase" localSheetId="2" hidden="1">LEBADF!$B$5:$N$96</definedName>
    <definedName name="_xlnm._FilterDatabase" localSheetId="3" hidden="1">LEBALF!$B$5:$N$104</definedName>
    <definedName name="_xlnm._FilterDatabase" localSheetId="4" hidden="1">LEBFSF!$B$5:$N$48</definedName>
    <definedName name="_xlnm._FilterDatabase" localSheetId="5" hidden="1">LECHID!$B$5:$N$85</definedName>
    <definedName name="_xlnm._FilterDatabase" localSheetId="6" hidden="1">LEDDYF!$B$5:$N$92</definedName>
    <definedName name="_xlnm._FilterDatabase" localSheetId="7" hidden="1">LEDHCF!$B$5:$N$41</definedName>
    <definedName name="_xlnm._FilterDatabase" localSheetId="8" hidden="1">LEEMCF!$B$5:$N$81</definedName>
    <definedName name="_xlnm._FilterDatabase" localSheetId="9" hidden="1">LEEQSF!$B$5:$N$93</definedName>
    <definedName name="_xlnm._FilterDatabase" localSheetId="10" hidden="1">LEEQTF!$B$5:$N$94</definedName>
    <definedName name="_xlnm._FilterDatabase" localSheetId="11" hidden="1">LEESCF!$B$5:$N$89</definedName>
    <definedName name="_xlnm._FilterDatabase" localSheetId="12" hidden="1">LEFE30!$B$5:$N$49</definedName>
    <definedName name="_xlnm._FilterDatabase" localSheetId="13" hidden="1">LEGFOF!$B$5:$N$20</definedName>
    <definedName name="_xlnm._FilterDatabase" localSheetId="14" hidden="1">LEGROW!$B$5:$N$81</definedName>
    <definedName name="_xlnm._FilterDatabase" localSheetId="15" hidden="1">LEINFA!$B$5:$N$89</definedName>
    <definedName name="_xlnm._FilterDatabase" localSheetId="16" hidden="1">LEINNF!$B$5:$N$71</definedName>
    <definedName name="_xlnm._FilterDatabase" localSheetId="17" hidden="1">LEINSX!$B$5:$N$50</definedName>
    <definedName name="_xlnm._FilterDatabase" localSheetId="18" hidden="1">LELTVF!$B$5:$N$72</definedName>
    <definedName name="_xlnm._FilterDatabase" localSheetId="19" hidden="1">LEMETF!$B$5:$N$120</definedName>
    <definedName name="_xlnm._FilterDatabase" localSheetId="20" hidden="1">LEMIDF!$B$5:$N$97</definedName>
    <definedName name="_xlnm._FilterDatabase" localSheetId="21" hidden="1">LEMUCF!$B$5:$N$97</definedName>
    <definedName name="_xlnm._FilterDatabase" localSheetId="22" hidden="1">LENI50!$B$5:$N$70</definedName>
    <definedName name="_xlnm._FilterDatabase" localSheetId="23" hidden="1">'LET100'!$B$5:$N$122</definedName>
    <definedName name="_xlnm._FilterDatabase" localSheetId="24" hidden="1">LETAXP!$B$5:$N$77</definedName>
    <definedName name="_xlnm._FilterDatabase" localSheetId="25" hidden="1">LETF50!$B$5:$N$71</definedName>
    <definedName name="_xlnm._FilterDatabase" localSheetId="26" hidden="1">LETFSX!$B$5:$N$50</definedName>
    <definedName name="_xlnm._FilterDatabase" localSheetId="27" hidden="1">LEULIS!$B$5:$N$85</definedName>
    <definedName name="_xlnm._FilterDatabase" localSheetId="28" hidden="1">LICMFGOLDETF!$B$5:$P$20</definedName>
    <definedName name="Hedging_Positions_through_Futures_AS_ON_MMMM_DD__YYYY___NIL" localSheetId="1">LEARBF!$J$68:$N$84</definedName>
    <definedName name="Hedging_Positions_through_Futures_AS_ON_MMMM_DD__YYYY___NIL" localSheetId="2">LEBADF!$J$68:$N$84</definedName>
    <definedName name="Hedging_Positions_through_Futures_AS_ON_MMMM_DD__YYYY___NIL" localSheetId="3">LEBALF!$J$68:$N$84</definedName>
    <definedName name="Hedging_Positions_through_Futures_AS_ON_MMMM_DD__YYYY___NIL" localSheetId="4">LEBFSF!$J$68:$N$84</definedName>
    <definedName name="Hedging_Positions_through_Futures_AS_ON_MMMM_DD__YYYY___NIL" localSheetId="5">LECHID!$J$68:$N$84</definedName>
    <definedName name="Hedging_Positions_through_Futures_AS_ON_MMMM_DD__YYYY___NIL" localSheetId="6">LEDDYF!$J$68:$N$84</definedName>
    <definedName name="Hedging_Positions_through_Futures_AS_ON_MMMM_DD__YYYY___NIL" localSheetId="7">LEDHCF!$J$68:$N$84</definedName>
    <definedName name="Hedging_Positions_through_Futures_AS_ON_MMMM_DD__YYYY___NIL" localSheetId="8">LEEMCF!$J$68:$N$84</definedName>
    <definedName name="Hedging_Positions_through_Futures_AS_ON_MMMM_DD__YYYY___NIL" localSheetId="9">LEEQSF!$J$68:$N$84</definedName>
    <definedName name="Hedging_Positions_through_Futures_AS_ON_MMMM_DD__YYYY___NIL" localSheetId="10">LEEQTF!$J$68:$N$84</definedName>
    <definedName name="Hedging_Positions_through_Futures_AS_ON_MMMM_DD__YYYY___NIL" localSheetId="11">LEESCF!$J$68:$N$84</definedName>
    <definedName name="Hedging_Positions_through_Futures_AS_ON_MMMM_DD__YYYY___NIL" localSheetId="12">LEFE30!$J$68:$N$84</definedName>
    <definedName name="Hedging_Positions_through_Futures_AS_ON_MMMM_DD__YYYY___NIL" localSheetId="13">LEGFOF!$J$68:$N$84</definedName>
    <definedName name="Hedging_Positions_through_Futures_AS_ON_MMMM_DD__YYYY___NIL" localSheetId="14">LEGROW!$J$67:$N$84</definedName>
    <definedName name="Hedging_Positions_through_Futures_AS_ON_MMMM_DD__YYYY___NIL" localSheetId="15">LEINFA!$J$68:$N$84</definedName>
    <definedName name="Hedging_Positions_through_Futures_AS_ON_MMMM_DD__YYYY___NIL" localSheetId="16">LEINNF!$J$68:$N$84</definedName>
    <definedName name="Hedging_Positions_through_Futures_AS_ON_MMMM_DD__YYYY___NIL" localSheetId="17">LEINSX!$J$68:$N$84</definedName>
    <definedName name="Hedging_Positions_through_Futures_AS_ON_MMMM_DD__YYYY___NIL" localSheetId="18">LELTVF!$J$68:$N$84</definedName>
    <definedName name="Hedging_Positions_through_Futures_AS_ON_MMMM_DD__YYYY___NIL" localSheetId="19">LEMETF!$J$68:$N$84</definedName>
    <definedName name="Hedging_Positions_through_Futures_AS_ON_MMMM_DD__YYYY___NIL" localSheetId="20">LEMIDF!$J$68:$N$83</definedName>
    <definedName name="Hedging_Positions_through_Futures_AS_ON_MMMM_DD__YYYY___NIL" localSheetId="21">LEMUCF!$J$68:$N$84</definedName>
    <definedName name="Hedging_Positions_through_Futures_AS_ON_MMMM_DD__YYYY___NIL" localSheetId="22">LENI50!$J$68:$N$84</definedName>
    <definedName name="Hedging_Positions_through_Futures_AS_ON_MMMM_DD__YYYY___NIL" localSheetId="23">'LET100'!$J$68:$N$84</definedName>
    <definedName name="Hedging_Positions_through_Futures_AS_ON_MMMM_DD__YYYY___NIL" localSheetId="24">LETAXP!$J$68:$N$84</definedName>
    <definedName name="Hedging_Positions_through_Futures_AS_ON_MMMM_DD__YYYY___NIL" localSheetId="25">LETF50!$J$68:$N$84</definedName>
    <definedName name="Hedging_Positions_through_Futures_AS_ON_MMMM_DD__YYYY___NIL" localSheetId="26">LETFSX!$J$68:$N$84</definedName>
    <definedName name="Hedging_Positions_through_Futures_AS_ON_MMMM_DD__YYYY___NIL" localSheetId="27">LEULIS!$J$68:$N$84</definedName>
    <definedName name="Hedging_Positions_through_Futures_AS_ON_MMMM_DD__YYYY___NIL" localSheetId="28">LICMFGOLDETF!$L$68:$P$84</definedName>
    <definedName name="Hedging_Positions_through_Futures_AS_ON_MMMM_DD__YYYY___NIL">#REF!</definedName>
    <definedName name="JPM_Footer_disp" localSheetId="1">LEARBF!$J$74:$N$84</definedName>
    <definedName name="JPM_Footer_disp" localSheetId="2">LEBADF!$J$74:$N$84</definedName>
    <definedName name="JPM_Footer_disp" localSheetId="3">LEBALF!$J$74:$N$84</definedName>
    <definedName name="JPM_Footer_disp" localSheetId="4">LEBFSF!$J$74:$N$84</definedName>
    <definedName name="JPM_Footer_disp" localSheetId="5">LECHID!$J$74:$N$84</definedName>
    <definedName name="JPM_Footer_disp" localSheetId="6">LEDDYF!$J$74:$N$84</definedName>
    <definedName name="JPM_Footer_disp" localSheetId="7">LEDHCF!$J$74:$N$84</definedName>
    <definedName name="JPM_Footer_disp" localSheetId="8">LEEMCF!$J$74:$N$84</definedName>
    <definedName name="JPM_Footer_disp" localSheetId="9">LEEQSF!$J$74:$N$84</definedName>
    <definedName name="JPM_Footer_disp" localSheetId="10">LEEQTF!$J$74:$N$84</definedName>
    <definedName name="JPM_Footer_disp" localSheetId="11">LEESCF!$J$74:$N$84</definedName>
    <definedName name="JPM_Footer_disp" localSheetId="12">LEFE30!$J$74:$N$84</definedName>
    <definedName name="JPM_Footer_disp" localSheetId="13">LEGFOF!$J$74:$N$84</definedName>
    <definedName name="JPM_Footer_disp" localSheetId="14">LEGROW!$J$74:$N$84</definedName>
    <definedName name="JPM_Footer_disp" localSheetId="15">LEINFA!$J$74:$N$84</definedName>
    <definedName name="JPM_Footer_disp" localSheetId="16">LEINNF!$J$74:$N$84</definedName>
    <definedName name="JPM_Footer_disp" localSheetId="17">LEINSX!$J$74:$N$84</definedName>
    <definedName name="JPM_Footer_disp" localSheetId="18">LELTVF!$J$74:$N$84</definedName>
    <definedName name="JPM_Footer_disp" localSheetId="19">LEMETF!$J$74:$N$84</definedName>
    <definedName name="JPM_Footer_disp" localSheetId="20">LEMIDF!$J$74:$N$83</definedName>
    <definedName name="JPM_Footer_disp" localSheetId="21">LEMUCF!$J$74:$N$84</definedName>
    <definedName name="JPM_Footer_disp" localSheetId="22">LENI50!$J$74:$N$84</definedName>
    <definedName name="JPM_Footer_disp" localSheetId="23">'LET100'!$J$74:$N$84</definedName>
    <definedName name="JPM_Footer_disp" localSheetId="24">LETAXP!$J$74:$N$84</definedName>
    <definedName name="JPM_Footer_disp" localSheetId="25">LETF50!$J$74:$N$84</definedName>
    <definedName name="JPM_Footer_disp" localSheetId="26">LETFSX!$J$74:$N$84</definedName>
    <definedName name="JPM_Footer_disp" localSheetId="27">LEULIS!$J$74:$N$84</definedName>
    <definedName name="JPM_Footer_disp" localSheetId="28">LICMFGOLDETF!$L$74:$P$84</definedName>
    <definedName name="JPM_Footer_disp">#REF!</definedName>
    <definedName name="JPM_Footer_disp12" localSheetId="1">LEARBF!$J$68:$N$86</definedName>
    <definedName name="JPM_Footer_disp12" localSheetId="2">LEBADF!$J$68:$N$86</definedName>
    <definedName name="JPM_Footer_disp12" localSheetId="3">LEBALF!$J$68:$N$86</definedName>
    <definedName name="JPM_Footer_disp12" localSheetId="4">LEBFSF!$J$68:$N$86</definedName>
    <definedName name="JPM_Footer_disp12" localSheetId="5">LECHID!$J$68:$N$86</definedName>
    <definedName name="JPM_Footer_disp12" localSheetId="6">LEDDYF!$J$68:$N$86</definedName>
    <definedName name="JPM_Footer_disp12" localSheetId="7">LEDHCF!$J$68:$N$86</definedName>
    <definedName name="JPM_Footer_disp12" localSheetId="8">LEEMCF!$J$68:$N$86</definedName>
    <definedName name="JPM_Footer_disp12" localSheetId="9">LEEQSF!$J$68:$N$86</definedName>
    <definedName name="JPM_Footer_disp12" localSheetId="10">LEEQTF!$J$68:$N$86</definedName>
    <definedName name="JPM_Footer_disp12" localSheetId="11">LEESCF!$J$68:$N$86</definedName>
    <definedName name="JPM_Footer_disp12" localSheetId="12">LEFE30!$J$68:$N$86</definedName>
    <definedName name="JPM_Footer_disp12" localSheetId="13">LEGFOF!$J$68:$N$86</definedName>
    <definedName name="JPM_Footer_disp12" localSheetId="14">LEGROW!$J$67:$N$86</definedName>
    <definedName name="JPM_Footer_disp12" localSheetId="15">LEINFA!$J$68:$N$86</definedName>
    <definedName name="JPM_Footer_disp12" localSheetId="16">LEINNF!$J$68:$N$86</definedName>
    <definedName name="JPM_Footer_disp12" localSheetId="17">LEINSX!$J$68:$N$86</definedName>
    <definedName name="JPM_Footer_disp12" localSheetId="18">LELTVF!$J$68:$N$86</definedName>
    <definedName name="JPM_Footer_disp12" localSheetId="19">LEMETF!$J$68:$N$86</definedName>
    <definedName name="JPM_Footer_disp12" localSheetId="20">LEMIDF!$J$68:$N$86</definedName>
    <definedName name="JPM_Footer_disp12" localSheetId="21">LEMUCF!$J$68:$N$86</definedName>
    <definedName name="JPM_Footer_disp12" localSheetId="22">LENI50!$J$68:$N$86</definedName>
    <definedName name="JPM_Footer_disp12" localSheetId="23">'LET100'!$J$68:$N$86</definedName>
    <definedName name="JPM_Footer_disp12" localSheetId="24">LETAXP!$J$68:$N$86</definedName>
    <definedName name="JPM_Footer_disp12" localSheetId="25">LETF50!$J$68:$N$86</definedName>
    <definedName name="JPM_Footer_disp12" localSheetId="26">LETFSX!$J$68:$N$86</definedName>
    <definedName name="JPM_Footer_disp12" localSheetId="27">LEULIS!$J$68:$N$86</definedName>
    <definedName name="JPM_Footer_disp12" localSheetId="28">LICMFGOLDETF!$L$68:$P$86</definedName>
    <definedName name="JPM_Footer_disp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41" l="1"/>
  <c r="G18" i="41" s="1"/>
  <c r="F16" i="41"/>
  <c r="F18" i="41" s="1"/>
  <c r="G10" i="41"/>
  <c r="G12" i="41" s="1"/>
  <c r="F10" i="41"/>
  <c r="F12" i="41" s="1"/>
  <c r="G20" i="41" l="1"/>
  <c r="F20" i="41"/>
  <c r="G59" i="19"/>
  <c r="G63" i="19"/>
  <c r="G53" i="37"/>
  <c r="F53" i="37"/>
  <c r="F50" i="37"/>
  <c r="F108" i="33"/>
  <c r="F57" i="35"/>
  <c r="G60" i="35"/>
  <c r="F60" i="35"/>
  <c r="G111" i="33"/>
  <c r="F111" i="33"/>
  <c r="F83" i="30"/>
  <c r="G86" i="30"/>
  <c r="F86" i="30"/>
  <c r="G60" i="26"/>
  <c r="F60" i="26"/>
  <c r="F57" i="26"/>
  <c r="G70" i="24"/>
  <c r="F70" i="24"/>
  <c r="F67" i="24"/>
  <c r="G83" i="20"/>
  <c r="F83" i="20"/>
  <c r="F80" i="20"/>
  <c r="G66" i="12"/>
  <c r="F66" i="12"/>
  <c r="F63" i="19"/>
  <c r="F59" i="19"/>
</calcChain>
</file>

<file path=xl/sharedStrings.xml><?xml version="1.0" encoding="utf-8"?>
<sst xmlns="http://schemas.openxmlformats.org/spreadsheetml/2006/main" count="5828" uniqueCount="1109">
  <si>
    <t>Name of the Instrument</t>
  </si>
  <si>
    <t>ISIN</t>
  </si>
  <si>
    <t>Quantity</t>
  </si>
  <si>
    <t>Market/Fair Value (Rounded, Rs. In Lacs)</t>
  </si>
  <si>
    <t>Rounded, % to Net Assets</t>
  </si>
  <si>
    <t>Industry / Rating</t>
  </si>
  <si>
    <t>Yield</t>
  </si>
  <si>
    <t>Monthly Portfolio Statement as on July 31,2024</t>
  </si>
  <si>
    <t>Index</t>
  </si>
  <si>
    <t>LIC MF ARBITRAGE FUND</t>
  </si>
  <si>
    <t>LIC MF BALANCED ADVANTAGE FUND</t>
  </si>
  <si>
    <t>LIC MF AGGRESSIVE HYBRID FUND</t>
  </si>
  <si>
    <t>LIC MF BANKING AND FINANCIAL SERVICES FUND</t>
  </si>
  <si>
    <t>LIC MF DIVIDEND YIELD FUND</t>
  </si>
  <si>
    <t>LIC MF HEALTHCARE FUND</t>
  </si>
  <si>
    <t>LIC MF MID CAP FUND</t>
  </si>
  <si>
    <t>LIC MF EQUITY SAVINGS FUND</t>
  </si>
  <si>
    <t>LIC MF FLEXI CAP FUND</t>
  </si>
  <si>
    <t>LIC MF SMALL CAP FUND</t>
  </si>
  <si>
    <t>LIC MF GOLD ETF FUND OF FUND</t>
  </si>
  <si>
    <t>LIC MF LARGE CAP FUND</t>
  </si>
  <si>
    <t>LIC MF INFRASTRUCTURE FUND</t>
  </si>
  <si>
    <t>LIC MF NIFTY 50 INDEX FUND</t>
  </si>
  <si>
    <t>LIC MF NIFTY MIDCAP 100 ETF</t>
  </si>
  <si>
    <t>LIC MF LARGE &amp; MID CAP FUND</t>
  </si>
  <si>
    <t>LIC MF MULTI CAP FUND</t>
  </si>
  <si>
    <t>LIC MF NIFTY NEXT 50 INDEX FUND</t>
  </si>
  <si>
    <t>LIC MF NIFTY 100 ETF</t>
  </si>
  <si>
    <t>LIC MF ELSS TAX SAVER</t>
  </si>
  <si>
    <t>LIC MF NIFTY 50 ETF</t>
  </si>
  <si>
    <t>LIC MF UNIT LINKED INSURANCE SCHEME</t>
  </si>
  <si>
    <t>LEARBF</t>
  </si>
  <si>
    <t>LIC MF Arbitrage Fund</t>
  </si>
  <si>
    <t>LEBADF</t>
  </si>
  <si>
    <t>LIC MF Balanced Advantage Fund</t>
  </si>
  <si>
    <t>LEBALF</t>
  </si>
  <si>
    <t>LIC MF Aggressive Hybrid Fund</t>
  </si>
  <si>
    <t>LEBFSF</t>
  </si>
  <si>
    <t>LIC MF Banking and Financial Services Fund</t>
  </si>
  <si>
    <t>LECHID</t>
  </si>
  <si>
    <t>LIC MF Children’s Fund</t>
  </si>
  <si>
    <t>LEDDYF</t>
  </si>
  <si>
    <t>LIC MF Dividend Yield Fund</t>
  </si>
  <si>
    <t>LEDHCF</t>
  </si>
  <si>
    <t>LIC MF Healthcare Fund</t>
  </si>
  <si>
    <t>LEEMCF</t>
  </si>
  <si>
    <t>LIC MF Mid cap Fund</t>
  </si>
  <si>
    <t>LEEQSF</t>
  </si>
  <si>
    <t>LIC MF Equity Savings Fund</t>
  </si>
  <si>
    <t>LEEQTF</t>
  </si>
  <si>
    <t>LIC MF Flexi Cap Fund</t>
  </si>
  <si>
    <t>LEESCF</t>
  </si>
  <si>
    <t>LIC MF Small Cap Fund</t>
  </si>
  <si>
    <t>LEFE30</t>
  </si>
  <si>
    <t>LIC MF Focused Fund</t>
  </si>
  <si>
    <t>LEGFOF</t>
  </si>
  <si>
    <t>LIC MF Gold ETF Fund of Fund</t>
  </si>
  <si>
    <t>LEGROW</t>
  </si>
  <si>
    <t>LIC MF Large Cap Fund</t>
  </si>
  <si>
    <t>LEINFA</t>
  </si>
  <si>
    <t>LIC MF Infrastructure Fund</t>
  </si>
  <si>
    <t>LEINNF</t>
  </si>
  <si>
    <t>LIC MF Nifty 50 Index Fund</t>
  </si>
  <si>
    <t>LEINSX</t>
  </si>
  <si>
    <t>LIC MF BSE Sensex Index Fund</t>
  </si>
  <si>
    <t>LELTVF</t>
  </si>
  <si>
    <t>LIC MF Value Fund</t>
  </si>
  <si>
    <t>LEMETF</t>
  </si>
  <si>
    <t>LIC MF Nifty Midcap 100 ETF</t>
  </si>
  <si>
    <t>LEMIDF</t>
  </si>
  <si>
    <t>LIC MF Large &amp; Mid Cap Fund</t>
  </si>
  <si>
    <t>LEMUCF</t>
  </si>
  <si>
    <t>LIC MF Multi Cap Fund</t>
  </si>
  <si>
    <t>LENI50</t>
  </si>
  <si>
    <t>LIC MF Nifty Next 50 Index Fund</t>
  </si>
  <si>
    <t>LET100</t>
  </si>
  <si>
    <t>LIC MF Nifty 100 ETF</t>
  </si>
  <si>
    <t>LETAXP</t>
  </si>
  <si>
    <t>LIC MF ELSS Tax Saver</t>
  </si>
  <si>
    <t>LETF50</t>
  </si>
  <si>
    <t>LIC MF Nifty 50 ETF</t>
  </si>
  <si>
    <t>LETFSX</t>
  </si>
  <si>
    <t>LIC MF BSE Sensex ETF</t>
  </si>
  <si>
    <t>LEULIS</t>
  </si>
  <si>
    <t>LIC MF Unit Linked Insurance Scheme</t>
  </si>
  <si>
    <t>LLIQDF</t>
  </si>
  <si>
    <t>LIC MF Liquid Fund</t>
  </si>
  <si>
    <t>LUNCLF</t>
  </si>
  <si>
    <t>LIC MF Unclaimed Redemption &amp; Dividend Fund</t>
  </si>
  <si>
    <t>INDEX</t>
  </si>
  <si>
    <t>Monthly Portfolio Statement as on July 31, 2024</t>
  </si>
  <si>
    <t>Scheme</t>
  </si>
  <si>
    <t>Scheme Name</t>
  </si>
  <si>
    <t>Debt Instruments</t>
  </si>
  <si>
    <t>(a)Listed / Awaiting listing on stock Exchanges</t>
  </si>
  <si>
    <t>7.7% State Government of Maharashtra</t>
  </si>
  <si>
    <t>SOVEREIGN</t>
  </si>
  <si>
    <t>7.18% Government of India</t>
  </si>
  <si>
    <t>IN0020230085</t>
  </si>
  <si>
    <t>7.71% State Government of Maharashtra</t>
  </si>
  <si>
    <t>IN2220230139</t>
  </si>
  <si>
    <t>8.0% HDFC Bank Ltd. **</t>
  </si>
  <si>
    <t>INE040A08807</t>
  </si>
  <si>
    <t>CRISIL AAA</t>
  </si>
  <si>
    <t>Sub Total</t>
  </si>
  <si>
    <t>(b)Privately Placed/Unlisted</t>
  </si>
  <si>
    <t>NIL</t>
  </si>
  <si>
    <t>(c)Securitised Debt Instruments</t>
  </si>
  <si>
    <t>TOTAL</t>
  </si>
  <si>
    <t>Others</t>
  </si>
  <si>
    <t>Investment in Mutual fund</t>
  </si>
  <si>
    <t>Treps / Reverse Repo</t>
  </si>
  <si>
    <t>Treps</t>
  </si>
  <si>
    <t>Net Receivables / (Payables)</t>
  </si>
  <si>
    <t>GRAND TOTAL</t>
  </si>
  <si>
    <t>**  Non Traded Security</t>
  </si>
  <si>
    <t>7.1% Government of India</t>
  </si>
  <si>
    <t>IN0020230077</t>
  </si>
  <si>
    <t>7.3% Government of India</t>
  </si>
  <si>
    <t>IN0020230051</t>
  </si>
  <si>
    <t>7.25% Government of India</t>
  </si>
  <si>
    <t>IN0020230044</t>
  </si>
  <si>
    <t>7.26% Government of India</t>
  </si>
  <si>
    <t>Money Market Instruments</t>
  </si>
  <si>
    <t>7.4% National Bk for Agriculture &amp; Rural Dev. **</t>
  </si>
  <si>
    <t>INE261F08DO9</t>
  </si>
  <si>
    <t>7.74% Power Finance Corporation Ltd. **</t>
  </si>
  <si>
    <t>INE134E08JI0</t>
  </si>
  <si>
    <t>7.42% State Government of Maharashtra</t>
  </si>
  <si>
    <t>IN2220230311</t>
  </si>
  <si>
    <t>CRISIL A1+</t>
  </si>
  <si>
    <t>#  Unlisted Security</t>
  </si>
  <si>
    <t>Equity &amp; Equity related</t>
  </si>
  <si>
    <t>(a)Listed / Awaiting listing on Stock Exchanges</t>
  </si>
  <si>
    <t>ICICI Bank Ltd.</t>
  </si>
  <si>
    <t>INE090A01021</t>
  </si>
  <si>
    <t>Banks</t>
  </si>
  <si>
    <t>Infosys Ltd.</t>
  </si>
  <si>
    <t>INE009A01021</t>
  </si>
  <si>
    <t>IT - Software</t>
  </si>
  <si>
    <t>Hindustan Unilever Ltd.</t>
  </si>
  <si>
    <t>INE030A01027</t>
  </si>
  <si>
    <t>Diversified FMCG</t>
  </si>
  <si>
    <t>Mahindra &amp; Mahindra Ltd.</t>
  </si>
  <si>
    <t>INE101A01026</t>
  </si>
  <si>
    <t>Automobiles</t>
  </si>
  <si>
    <t>Nestle India Ltd.</t>
  </si>
  <si>
    <t>INE239A01024</t>
  </si>
  <si>
    <t>Food Products</t>
  </si>
  <si>
    <t>HDFC Bank Ltd.</t>
  </si>
  <si>
    <t>INE040A01034</t>
  </si>
  <si>
    <t>LTIMindtree Ltd.</t>
  </si>
  <si>
    <t>INE214T01019</t>
  </si>
  <si>
    <t>Reliance Industries Ltd.</t>
  </si>
  <si>
    <t>INE002A01018</t>
  </si>
  <si>
    <t>Petroleum Products</t>
  </si>
  <si>
    <t>(b) Unlisted</t>
  </si>
  <si>
    <t>7.38% Government of India</t>
  </si>
  <si>
    <t>IN0020220037</t>
  </si>
  <si>
    <t>7.17% Government of India</t>
  </si>
  <si>
    <t>IN0020230036</t>
  </si>
  <si>
    <t>IN0020220060</t>
  </si>
  <si>
    <t>IN0020220011</t>
  </si>
  <si>
    <t>8.03% State Government of Karnataka</t>
  </si>
  <si>
    <t>IN1920170165</t>
  </si>
  <si>
    <t>7.19% State Government of Tamil Nadu</t>
  </si>
  <si>
    <t>IN3120190225</t>
  </si>
  <si>
    <t>8.49% NTPC Ltd. **</t>
  </si>
  <si>
    <t>INE733E07JP6</t>
  </si>
  <si>
    <t>Commercial Paper</t>
  </si>
  <si>
    <t>Zydus Lifesciences Ltd.</t>
  </si>
  <si>
    <t>INE010B01027</t>
  </si>
  <si>
    <t>Pharmaceuticals &amp; Biotechnology</t>
  </si>
  <si>
    <t>Bharat Electronics Ltd.</t>
  </si>
  <si>
    <t>INE263A01024</t>
  </si>
  <si>
    <t>Aerospace &amp; Defense</t>
  </si>
  <si>
    <t>Bharat Heavy Electricals Ltd.</t>
  </si>
  <si>
    <t>INE257A01026</t>
  </si>
  <si>
    <t>Electrical Equipment</t>
  </si>
  <si>
    <t>Tata Steel Ltd.</t>
  </si>
  <si>
    <t>INE081A01020</t>
  </si>
  <si>
    <t>Ferrous Metals</t>
  </si>
  <si>
    <t>Tata Power Company Ltd.</t>
  </si>
  <si>
    <t>INE245A01021</t>
  </si>
  <si>
    <t>Power</t>
  </si>
  <si>
    <t>Havells India Ltd.</t>
  </si>
  <si>
    <t>INE176B01034</t>
  </si>
  <si>
    <t>Consumer Durables</t>
  </si>
  <si>
    <t>HDFC Asset Management Company Ltd.</t>
  </si>
  <si>
    <t>INE127D01025</t>
  </si>
  <si>
    <t>Capital Markets</t>
  </si>
  <si>
    <t>Power Grid Corporation of India Ltd.</t>
  </si>
  <si>
    <t>INE752E01010</t>
  </si>
  <si>
    <t>Punjab National Bank</t>
  </si>
  <si>
    <t>INE160A01022</t>
  </si>
  <si>
    <t>RBL Bank Ltd.</t>
  </si>
  <si>
    <t>INE976G01028</t>
  </si>
  <si>
    <t>NMDC Ltd.</t>
  </si>
  <si>
    <t>INE584A01023</t>
  </si>
  <si>
    <t>Minerals &amp; Mining</t>
  </si>
  <si>
    <t>DLF Ltd.</t>
  </si>
  <si>
    <t>INE271C01023</t>
  </si>
  <si>
    <t>Realty</t>
  </si>
  <si>
    <t>Tech Mahindra Ltd.</t>
  </si>
  <si>
    <t>INE669C01036</t>
  </si>
  <si>
    <t>GAIL (India) Ltd.</t>
  </si>
  <si>
    <t>INE129A01019</t>
  </si>
  <si>
    <t>Gas</t>
  </si>
  <si>
    <t>Aurobindo Pharma Ltd.</t>
  </si>
  <si>
    <t>INE406A01037</t>
  </si>
  <si>
    <t>Aditya Birla Capital Ltd.</t>
  </si>
  <si>
    <t>INE674K01013</t>
  </si>
  <si>
    <t>Finance</t>
  </si>
  <si>
    <t>Bank of Baroda</t>
  </si>
  <si>
    <t>INE028A01039</t>
  </si>
  <si>
    <t>Bharti Airtel Ltd.</t>
  </si>
  <si>
    <t>INE397D01024</t>
  </si>
  <si>
    <t>Telecom - Services</t>
  </si>
  <si>
    <t>Aditya Birla Fashion and Retail Ltd.</t>
  </si>
  <si>
    <t>INE647O01011</t>
  </si>
  <si>
    <t>Retailing</t>
  </si>
  <si>
    <t>Piramal Enterprises Ltd.</t>
  </si>
  <si>
    <t>INE140A01024</t>
  </si>
  <si>
    <t>Bandhan Bank Ltd.</t>
  </si>
  <si>
    <t>INE545U01014</t>
  </si>
  <si>
    <t>Coal India Ltd.</t>
  </si>
  <si>
    <t>INE522F01014</t>
  </si>
  <si>
    <t>Consumable Fuels</t>
  </si>
  <si>
    <t>Indian Railway Catering &amp;Tou. Corp. Ltd.</t>
  </si>
  <si>
    <t>INE335Y01020</t>
  </si>
  <si>
    <t>Leisure Services</t>
  </si>
  <si>
    <t>Aarti Industries Ltd.</t>
  </si>
  <si>
    <t>INE769A01020</t>
  </si>
  <si>
    <t>Chemicals &amp; Petrochemicals</t>
  </si>
  <si>
    <t>Maruti Suzuki India Ltd.</t>
  </si>
  <si>
    <t>INE585B01010</t>
  </si>
  <si>
    <t>Tata Consultancy Services Ltd.</t>
  </si>
  <si>
    <t>INE467B01029</t>
  </si>
  <si>
    <t>National Aluminium Company Ltd.</t>
  </si>
  <si>
    <t>INE139A01034</t>
  </si>
  <si>
    <t>Non - Ferrous Metals</t>
  </si>
  <si>
    <t>JSW Steel Ltd.</t>
  </si>
  <si>
    <t>INE019A01038</t>
  </si>
  <si>
    <t>GMR Airports Infrastructure Ltd.</t>
  </si>
  <si>
    <t>INE776C01039</t>
  </si>
  <si>
    <t>Transport Infrastructure</t>
  </si>
  <si>
    <t>Hindustan Petroleum Corporation Ltd.</t>
  </si>
  <si>
    <t>INE094A01015</t>
  </si>
  <si>
    <t>Bharat Petroleum Corporation Ltd.</t>
  </si>
  <si>
    <t>INE029A01011</t>
  </si>
  <si>
    <t>L&amp;T Finance Ltd.</t>
  </si>
  <si>
    <t>INE498L01015</t>
  </si>
  <si>
    <t>UPL Ltd.</t>
  </si>
  <si>
    <t>INE628A01036</t>
  </si>
  <si>
    <t>Fertilizers &amp; Agrochemicals</t>
  </si>
  <si>
    <t>NTPC Ltd.</t>
  </si>
  <si>
    <t>INE733E01010</t>
  </si>
  <si>
    <t>Britannia Industries Ltd.</t>
  </si>
  <si>
    <t>INE216A01030</t>
  </si>
  <si>
    <t>Glenmark Pharmaceuticals Ltd.</t>
  </si>
  <si>
    <t>INE935A01035</t>
  </si>
  <si>
    <t>Container Corporation Of India Ltd.</t>
  </si>
  <si>
    <t>INE111A01025</t>
  </si>
  <si>
    <t>Transport Services</t>
  </si>
  <si>
    <t>Exide Industries Ltd.</t>
  </si>
  <si>
    <t>INE302A01020</t>
  </si>
  <si>
    <t>Auto Components</t>
  </si>
  <si>
    <t>The Ramco Cements Ltd.</t>
  </si>
  <si>
    <t>INE331A01037</t>
  </si>
  <si>
    <t>Cement &amp; Cement Products</t>
  </si>
  <si>
    <t>Hindalco Industries Ltd.</t>
  </si>
  <si>
    <t>INE038A01020</t>
  </si>
  <si>
    <t>Hindustan Aeronautics Ltd.</t>
  </si>
  <si>
    <t>INE066F01020</t>
  </si>
  <si>
    <t>IDFC Ltd.</t>
  </si>
  <si>
    <t>INE043D01016</t>
  </si>
  <si>
    <t>Motilal Oswal Financial Services Ltd. **</t>
  </si>
  <si>
    <t>INE338I14HL4</t>
  </si>
  <si>
    <t>LIC MF LIQUID FUND-DR PLN-GR</t>
  </si>
  <si>
    <t>INF767K01DN1</t>
  </si>
  <si>
    <t>Disclosure in Devrivtives</t>
  </si>
  <si>
    <t>Rounded,% TO Net Assets)</t>
  </si>
  <si>
    <t>Total</t>
  </si>
  <si>
    <t>Total outstanding position(as at 31 July 2024 ) in Derivative Instruments(Gross National) 10609.02 lacs.</t>
  </si>
  <si>
    <t>Total percentage of existing assets hedge through futures is 69.34%.</t>
  </si>
  <si>
    <t>ITC Ltd.</t>
  </si>
  <si>
    <t>INE154A01025</t>
  </si>
  <si>
    <t>State Bank of India</t>
  </si>
  <si>
    <t>INE062A01020</t>
  </si>
  <si>
    <t>Kotak Mahindra Bank Ltd.</t>
  </si>
  <si>
    <t>INE237A01028</t>
  </si>
  <si>
    <t>Axis Bank Ltd.</t>
  </si>
  <si>
    <t>INE238A01034</t>
  </si>
  <si>
    <t>Bajaj Finance Ltd.</t>
  </si>
  <si>
    <t>INE296A01024</t>
  </si>
  <si>
    <t>Shakti Pumps (India) Ltd.</t>
  </si>
  <si>
    <t>INE908D01010</t>
  </si>
  <si>
    <t>Industrial Products</t>
  </si>
  <si>
    <t>HCL Technologies Ltd.</t>
  </si>
  <si>
    <t>INE860A01027</t>
  </si>
  <si>
    <t>Grasim Industries Ltd.</t>
  </si>
  <si>
    <t>INE047A01021</t>
  </si>
  <si>
    <t>R K Swamy Ltd.</t>
  </si>
  <si>
    <t>INE0NQ801033</t>
  </si>
  <si>
    <t>Media</t>
  </si>
  <si>
    <t>Hero MotoCorp Ltd.</t>
  </si>
  <si>
    <t>INE158A01026</t>
  </si>
  <si>
    <t>Garware Hi-Tech Films Ltd.</t>
  </si>
  <si>
    <t>INE291A01017</t>
  </si>
  <si>
    <t>Texmaco Rail &amp; Engineering Ltd.</t>
  </si>
  <si>
    <t>INE621L01012</t>
  </si>
  <si>
    <t>Industrial Manufacturing</t>
  </si>
  <si>
    <t>Syngene International Ltd.</t>
  </si>
  <si>
    <t>INE398R01022</t>
  </si>
  <si>
    <t>Healthcare Services</t>
  </si>
  <si>
    <t>Mahindra &amp; Mahindra Financial Serv Ltd.</t>
  </si>
  <si>
    <t>INE774D01024</t>
  </si>
  <si>
    <t>Godrej Consumer Products Ltd.</t>
  </si>
  <si>
    <t>INE102D01028</t>
  </si>
  <si>
    <t>Personal Products</t>
  </si>
  <si>
    <t>Alkem Laboratories Ltd.</t>
  </si>
  <si>
    <t>INE540L01014</t>
  </si>
  <si>
    <t>SRF Ltd.</t>
  </si>
  <si>
    <t>INE647A01010</t>
  </si>
  <si>
    <t>IndusInd Bank Ltd.</t>
  </si>
  <si>
    <t>INE095A01012</t>
  </si>
  <si>
    <t>Power Finance Corporation Ltd.</t>
  </si>
  <si>
    <t>INE134E01011</t>
  </si>
  <si>
    <t>Torrent Pharmaceuticals Ltd.</t>
  </si>
  <si>
    <t>INE685A01028</t>
  </si>
  <si>
    <t>TVS Motor Company Ltd.</t>
  </si>
  <si>
    <t>INE494B01023</t>
  </si>
  <si>
    <t>APL Apollo Tubes Ltd.</t>
  </si>
  <si>
    <t>INE702C01027</t>
  </si>
  <si>
    <t>SBI Life Insurance Company Ltd.</t>
  </si>
  <si>
    <t>INE123W01016</t>
  </si>
  <si>
    <t>Insurance</t>
  </si>
  <si>
    <t>Allied Blenders And Distillers Ltd.</t>
  </si>
  <si>
    <t>INE552Z01027</t>
  </si>
  <si>
    <t>Beverages</t>
  </si>
  <si>
    <t>InterGlobe Aviation Ltd.</t>
  </si>
  <si>
    <t>INE646L01027</t>
  </si>
  <si>
    <t>Dabur India Ltd.</t>
  </si>
  <si>
    <t>INE016A01026</t>
  </si>
  <si>
    <t>IDFC First Bank Ltd.</t>
  </si>
  <si>
    <t>INE092T01019</t>
  </si>
  <si>
    <t>JK Tyre &amp; Industries Ltd.</t>
  </si>
  <si>
    <t>INE573A01042</t>
  </si>
  <si>
    <t>Creditaccess Grameen Ltd.</t>
  </si>
  <si>
    <t>INE741K01010</t>
  </si>
  <si>
    <t>Larsen &amp; Toubro Ltd.</t>
  </si>
  <si>
    <t>INE018A01030</t>
  </si>
  <si>
    <t>Construction</t>
  </si>
  <si>
    <t>REC Ltd.</t>
  </si>
  <si>
    <t>INE020B01018</t>
  </si>
  <si>
    <t>Bank of India</t>
  </si>
  <si>
    <t>INE084A01016</t>
  </si>
  <si>
    <t>Godfrey Phillips India Ltd.</t>
  </si>
  <si>
    <t>INE260B01028</t>
  </si>
  <si>
    <t>Cigarettes &amp; Tobacco Products</t>
  </si>
  <si>
    <t>Gujarat State Petronet Ltd.</t>
  </si>
  <si>
    <t>INE246F01010</t>
  </si>
  <si>
    <t>Sonata Software Ltd.</t>
  </si>
  <si>
    <t>INE269A01021</t>
  </si>
  <si>
    <t>Ador Welding Ltd.</t>
  </si>
  <si>
    <t>INE045A01017</t>
  </si>
  <si>
    <t>Foseco India Ltd.</t>
  </si>
  <si>
    <t>INE519A01011</t>
  </si>
  <si>
    <t>Abbott India Ltd.</t>
  </si>
  <si>
    <t>INE358A01014</t>
  </si>
  <si>
    <t>Aadhar Housing Finance Ltd.</t>
  </si>
  <si>
    <t>INE883F01010</t>
  </si>
  <si>
    <t>Isgec Heavy Engineering Ltd.</t>
  </si>
  <si>
    <t>INE858B01029</t>
  </si>
  <si>
    <t>Grasim Industries Ltd. PARTLY PAID UP FV 1 #</t>
  </si>
  <si>
    <t>7.68% State Government of Karnataka</t>
  </si>
  <si>
    <t>IN1920230159</t>
  </si>
  <si>
    <t>7.8% State Government of Tamil Nadu</t>
  </si>
  <si>
    <t>IN3120220097</t>
  </si>
  <si>
    <t>IN1920230217</t>
  </si>
  <si>
    <t>7.54% Government of India</t>
  </si>
  <si>
    <t>IN0020220029</t>
  </si>
  <si>
    <t>Total outstanding position(as at 31 July 2024 ) in Derivative Instruments(Gross National) 25772.73 lacs.</t>
  </si>
  <si>
    <t>Total percentage of existing assets hedge through futures is 29.39%.</t>
  </si>
  <si>
    <t>Trent Ltd.</t>
  </si>
  <si>
    <t>INE849A01020</t>
  </si>
  <si>
    <t>GE T&amp;D India Ltd.</t>
  </si>
  <si>
    <t>INE200A01026</t>
  </si>
  <si>
    <t>Azad Engineering Ltd.</t>
  </si>
  <si>
    <t>INE02IJ01035</t>
  </si>
  <si>
    <t>Piramal Pharma Ltd.</t>
  </si>
  <si>
    <t>INE0DK501011</t>
  </si>
  <si>
    <t>Dee Development Engineers Ltd.</t>
  </si>
  <si>
    <t>INE841L01016</t>
  </si>
  <si>
    <t>Zomato Ltd.</t>
  </si>
  <si>
    <t>INE758T01015</t>
  </si>
  <si>
    <t>Siemens Ltd.</t>
  </si>
  <si>
    <t>INE003A01024</t>
  </si>
  <si>
    <t>TD Power Systems Ltd.</t>
  </si>
  <si>
    <t>INE419M01027</t>
  </si>
  <si>
    <t>Mankind Pharma Ltd.</t>
  </si>
  <si>
    <t>INE634S01028</t>
  </si>
  <si>
    <t>Titan Company Ltd.</t>
  </si>
  <si>
    <t>INE280A01028</t>
  </si>
  <si>
    <t>Bharat Forge Ltd.</t>
  </si>
  <si>
    <t>INE465A01025</t>
  </si>
  <si>
    <t>VARUN BEVERAGES LIMITED</t>
  </si>
  <si>
    <t>INE200M01021</t>
  </si>
  <si>
    <t>KEI Industries Ltd.</t>
  </si>
  <si>
    <t>INE878B01027</t>
  </si>
  <si>
    <t>Sansera Engineering Ltd.</t>
  </si>
  <si>
    <t>INE953O01021</t>
  </si>
  <si>
    <t>NCC Ltd.</t>
  </si>
  <si>
    <t>INE868B01028</t>
  </si>
  <si>
    <t>Samvardhana Motherson International Ltd.</t>
  </si>
  <si>
    <t>INE775A01035</t>
  </si>
  <si>
    <t>Equitas Small Finance Bank Ltd.</t>
  </si>
  <si>
    <t>INE063P01018</t>
  </si>
  <si>
    <t>Craftsman Automation Ltd.</t>
  </si>
  <si>
    <t>INE00LO01017</t>
  </si>
  <si>
    <t>TARC Ltd.</t>
  </si>
  <si>
    <t>INE0EK901012</t>
  </si>
  <si>
    <t>Bikaji Foods International Ltd.</t>
  </si>
  <si>
    <t>INE00E101023</t>
  </si>
  <si>
    <t>Arvind Fashions Ltd.</t>
  </si>
  <si>
    <t>INE955V01021</t>
  </si>
  <si>
    <t>Latent View Analytics Ltd.</t>
  </si>
  <si>
    <t>INE0I7C01011</t>
  </si>
  <si>
    <t>Five Star Business Finance Ltd.</t>
  </si>
  <si>
    <t>INE128S01021</t>
  </si>
  <si>
    <t>Global Health Ltd.</t>
  </si>
  <si>
    <t>INE474Q01031</t>
  </si>
  <si>
    <t>Mphasis Ltd.</t>
  </si>
  <si>
    <t>INE356A01018</t>
  </si>
  <si>
    <t>Oil India Ltd.</t>
  </si>
  <si>
    <t>INE274J01014</t>
  </si>
  <si>
    <t>Oil</t>
  </si>
  <si>
    <t>Orient Electric Ltd.</t>
  </si>
  <si>
    <t>INE142Z01019</t>
  </si>
  <si>
    <t>Yuken India Ltd.</t>
  </si>
  <si>
    <t>INE384C01016</t>
  </si>
  <si>
    <t>AXISCADES Engineering Technologies Ltd.</t>
  </si>
  <si>
    <t>INE555B01013</t>
  </si>
  <si>
    <t>IT - Services</t>
  </si>
  <si>
    <t>Voltas Ltd.</t>
  </si>
  <si>
    <t>INE226A01021</t>
  </si>
  <si>
    <t>Prestige Estates Projects Ltd.</t>
  </si>
  <si>
    <t>INE811K01011</t>
  </si>
  <si>
    <t>7.7% State Government of Karnataka</t>
  </si>
  <si>
    <t>IN1920230068</t>
  </si>
  <si>
    <t>7.73% State Government of Karnataka</t>
  </si>
  <si>
    <t>IN1920230084</t>
  </si>
  <si>
    <t>7.63% State Government of Maharashtra</t>
  </si>
  <si>
    <t>IN2220230204</t>
  </si>
  <si>
    <t>7.76% State Government of Maharashtra</t>
  </si>
  <si>
    <t>IN2220220122</t>
  </si>
  <si>
    <t>IN2220230162</t>
  </si>
  <si>
    <t>7.41% Government of India</t>
  </si>
  <si>
    <t>IN0020220102</t>
  </si>
  <si>
    <t>7.725% Larsen &amp; Toubro Ltd. **</t>
  </si>
  <si>
    <t>INE018A08BE9</t>
  </si>
  <si>
    <t>6.1% Government of India</t>
  </si>
  <si>
    <t>IN0020210095</t>
  </si>
  <si>
    <t>$0.00%</t>
  </si>
  <si>
    <t>$ Less Than 0.01% of Net Asset Value</t>
  </si>
  <si>
    <t>CSB Bank Ltd.</t>
  </si>
  <si>
    <t>INE679A01013</t>
  </si>
  <si>
    <t>IIFL Finance Ltd.</t>
  </si>
  <si>
    <t>INE530B01024</t>
  </si>
  <si>
    <t>DCB Bank Ltd.</t>
  </si>
  <si>
    <t>INE503A01015</t>
  </si>
  <si>
    <t>Aavas Financiers Ltd.</t>
  </si>
  <si>
    <t>INE216P01012</t>
  </si>
  <si>
    <t>Cholamandalam Financial Holdings Ltd.</t>
  </si>
  <si>
    <t>INE149A01033</t>
  </si>
  <si>
    <t>MAS Financial Services Ltd.</t>
  </si>
  <si>
    <t>INE348L01012</t>
  </si>
  <si>
    <t>Spandana Sphoorty Financial Ltd.</t>
  </si>
  <si>
    <t>INE572J01011</t>
  </si>
  <si>
    <t>Shriram Finance Ltd.</t>
  </si>
  <si>
    <t>INE721A01013</t>
  </si>
  <si>
    <t>ICICI Securities Ltd.</t>
  </si>
  <si>
    <t>INE763G01038</t>
  </si>
  <si>
    <t>Utkarsh Small Finance Bank Ltd.</t>
  </si>
  <si>
    <t>INE735W01017</t>
  </si>
  <si>
    <t>Asian Paints Ltd.</t>
  </si>
  <si>
    <t>INE021A01026</t>
  </si>
  <si>
    <t>Tata Motors Ltd.</t>
  </si>
  <si>
    <t>INE155A01022</t>
  </si>
  <si>
    <t>Coromandel International Ltd.</t>
  </si>
  <si>
    <t>INE169A01031</t>
  </si>
  <si>
    <t>Ultratech Cement Ltd.</t>
  </si>
  <si>
    <t>INE481G01011</t>
  </si>
  <si>
    <t>Artemis Medicare Services Ltd.</t>
  </si>
  <si>
    <t>INE025R01021</t>
  </si>
  <si>
    <t>Gokaldas Exports Ltd.</t>
  </si>
  <si>
    <t>INE887G01027</t>
  </si>
  <si>
    <t>Textiles &amp; Apparels</t>
  </si>
  <si>
    <t>Triveni Turbine Ltd.</t>
  </si>
  <si>
    <t>INE152M01016</t>
  </si>
  <si>
    <t>ION Exchange India Ltd.</t>
  </si>
  <si>
    <t>INE570A01022</t>
  </si>
  <si>
    <t>Other Utilities</t>
  </si>
  <si>
    <t>Motherson Sumi Wiring India Ltd.</t>
  </si>
  <si>
    <t>INE0FS801015</t>
  </si>
  <si>
    <t>Savita Oil Technologies Ltd.</t>
  </si>
  <si>
    <t>INE035D01020</t>
  </si>
  <si>
    <t>Sun Pharmaceutical Industries Ltd.</t>
  </si>
  <si>
    <t>INE044A01036</t>
  </si>
  <si>
    <t>Kennametal India Ltd.</t>
  </si>
  <si>
    <t>INE717A01029</t>
  </si>
  <si>
    <t>Deepak Nitrite Ltd.</t>
  </si>
  <si>
    <t>INE288B01029</t>
  </si>
  <si>
    <t>Hindware Home Innovation Ltd.</t>
  </si>
  <si>
    <t>INE05AN01011</t>
  </si>
  <si>
    <t>Multi Commodity Exchange Of India Ltd.</t>
  </si>
  <si>
    <t>INE745G01035</t>
  </si>
  <si>
    <t>Max Healthcare Institute Ltd.</t>
  </si>
  <si>
    <t>INE027H01010</t>
  </si>
  <si>
    <t>The New India Assurance Company Ltd.</t>
  </si>
  <si>
    <t>INE470Y01017</t>
  </si>
  <si>
    <t>VA Tech Wabag Ltd.</t>
  </si>
  <si>
    <t>INE956G01038</t>
  </si>
  <si>
    <t>JTL Industries Ltd.</t>
  </si>
  <si>
    <t>INE391J01024</t>
  </si>
  <si>
    <t>Teamlease Services Ltd.</t>
  </si>
  <si>
    <t>INE985S01024</t>
  </si>
  <si>
    <t>Commercial Services &amp; Supplies</t>
  </si>
  <si>
    <t>Neogen Chemicals Ltd.</t>
  </si>
  <si>
    <t>INE136S01016</t>
  </si>
  <si>
    <t>Oil &amp; Natural Gas Corporation Ltd.</t>
  </si>
  <si>
    <t>INE213A01029</t>
  </si>
  <si>
    <t>CG Power and Industrial Solutions Ltd.</t>
  </si>
  <si>
    <t>INE067A01029</t>
  </si>
  <si>
    <t>Johnson Controls-Hitachi AC India Ltd.</t>
  </si>
  <si>
    <t>INE782A01015</t>
  </si>
  <si>
    <t>Techno Electric &amp; Engineering Co. Ltd.</t>
  </si>
  <si>
    <t>INE285K01026</t>
  </si>
  <si>
    <t>Surya Roshni Ltd.</t>
  </si>
  <si>
    <t>INE335A01020</t>
  </si>
  <si>
    <t>Indraprastha Gas Ltd.</t>
  </si>
  <si>
    <t>INE203G01027</t>
  </si>
  <si>
    <t>Bharat Bijlee Ltd.</t>
  </si>
  <si>
    <t>INE464A01036</t>
  </si>
  <si>
    <t>EIH Ltd.</t>
  </si>
  <si>
    <t>INE230A01023</t>
  </si>
  <si>
    <t>Sudarshan Chemical Industries Ltd.</t>
  </si>
  <si>
    <t>INE659A01023</t>
  </si>
  <si>
    <t>Protean eGov Technologies Ltd.</t>
  </si>
  <si>
    <t>INE004A01022</t>
  </si>
  <si>
    <t>Bajaj Auto Ltd.</t>
  </si>
  <si>
    <t>INE917I01010</t>
  </si>
  <si>
    <t>CCL Products (India) Ltd.</t>
  </si>
  <si>
    <t>INE421D01022</t>
  </si>
  <si>
    <t>Agricultural Food &amp; other Products</t>
  </si>
  <si>
    <t>Sharda Cropchem Ltd.</t>
  </si>
  <si>
    <t>INE221J01015</t>
  </si>
  <si>
    <t>Radico Khaitan Ltd.</t>
  </si>
  <si>
    <t>INE944F01028</t>
  </si>
  <si>
    <t>MRS Bectors Food Specialities Ltd.</t>
  </si>
  <si>
    <t>INE495P01012</t>
  </si>
  <si>
    <t>PSP Projects Ltd.</t>
  </si>
  <si>
    <t>INE488V01015</t>
  </si>
  <si>
    <t>Apollo Hospitals Enterprise Ltd.</t>
  </si>
  <si>
    <t>INE437A01024</t>
  </si>
  <si>
    <t>Tata Communications Ltd.</t>
  </si>
  <si>
    <t>INE151A01013</t>
  </si>
  <si>
    <t>JK Paper Ltd.</t>
  </si>
  <si>
    <t>INE789E01012</t>
  </si>
  <si>
    <t>Paper, Forest &amp; Jute Products</t>
  </si>
  <si>
    <t>Page Industries Ltd.</t>
  </si>
  <si>
    <t>INE761H01022</t>
  </si>
  <si>
    <t>PCBL Ltd.</t>
  </si>
  <si>
    <t>INE602A01031</t>
  </si>
  <si>
    <t>Maharashtra Seamless Ltd.</t>
  </si>
  <si>
    <t>INE271B01025</t>
  </si>
  <si>
    <t>Himatsingka Seide Ltd.</t>
  </si>
  <si>
    <t>INE049A01027</t>
  </si>
  <si>
    <t>Sanofi Consumer Healthcare India Ltd. #</t>
  </si>
  <si>
    <t>INE0UOS01011</t>
  </si>
  <si>
    <t>SP Apparels Ltd.</t>
  </si>
  <si>
    <t>INE212I01016</t>
  </si>
  <si>
    <t>JB Chemicals &amp; Pharmaceuticals Ltd.</t>
  </si>
  <si>
    <t>INE572A01036</t>
  </si>
  <si>
    <t>Cipla Ltd.</t>
  </si>
  <si>
    <t>INE059A01026</t>
  </si>
  <si>
    <t>IPCA Laboratories Ltd.</t>
  </si>
  <si>
    <t>INE571A01038</t>
  </si>
  <si>
    <t>Divi's Laboratories Ltd.</t>
  </si>
  <si>
    <t>INE361B01024</t>
  </si>
  <si>
    <t>Dr. Reddy's Laboratories Ltd.</t>
  </si>
  <si>
    <t>INE089A01023</t>
  </si>
  <si>
    <t>Laurus Labs Ltd.</t>
  </si>
  <si>
    <t>INE947Q01028</t>
  </si>
  <si>
    <t>Suven Pharmaceuticals Ltd.</t>
  </si>
  <si>
    <t>INE03QK01018</t>
  </si>
  <si>
    <t>Metropolis Healthcare Ltd.</t>
  </si>
  <si>
    <t>INE112L01020</t>
  </si>
  <si>
    <t>UNO Minda Ltd.</t>
  </si>
  <si>
    <t>INE405E01023</t>
  </si>
  <si>
    <t>The Federal Bank Ltd.</t>
  </si>
  <si>
    <t>INE171A01029</t>
  </si>
  <si>
    <t>Torrent Power Ltd.</t>
  </si>
  <si>
    <t>INE813H01021</t>
  </si>
  <si>
    <t>Balkrishna Industries Ltd.</t>
  </si>
  <si>
    <t>INE787D01026</t>
  </si>
  <si>
    <t>The Indian Hotels Company Ltd.</t>
  </si>
  <si>
    <t>INE053A01029</t>
  </si>
  <si>
    <t>Schaeffler India Ltd.</t>
  </si>
  <si>
    <t>INE513A01022</t>
  </si>
  <si>
    <t>ZF Commercial Vehicle Ctrl Sys Ind Ltd.</t>
  </si>
  <si>
    <t>INE342J01019</t>
  </si>
  <si>
    <t>P I INDUSTRIES LIMITED</t>
  </si>
  <si>
    <t>INE603J01030</t>
  </si>
  <si>
    <t>Info Edge (India) Ltd.</t>
  </si>
  <si>
    <t>INE663F01024</t>
  </si>
  <si>
    <t>Endurance Technologies Ltd.</t>
  </si>
  <si>
    <t>INE913H01037</t>
  </si>
  <si>
    <t>3M India Ltd.</t>
  </si>
  <si>
    <t>INE470A01017</t>
  </si>
  <si>
    <t>Diversified</t>
  </si>
  <si>
    <t>Escorts Kubota Ltd.</t>
  </si>
  <si>
    <t>INE042A01014</t>
  </si>
  <si>
    <t>Agricultural, Commercial &amp; Construction Vehicles</t>
  </si>
  <si>
    <t>Astral Ltd.</t>
  </si>
  <si>
    <t>INE006I01046</t>
  </si>
  <si>
    <t>Supreme Industries Ltd.</t>
  </si>
  <si>
    <t>INE195A01028</t>
  </si>
  <si>
    <t>Tata Elxsi Ltd.</t>
  </si>
  <si>
    <t>INE670A01012</t>
  </si>
  <si>
    <t>Metro Brands Ltd.</t>
  </si>
  <si>
    <t>INE317I01021</t>
  </si>
  <si>
    <t>Honeywell Automation India Ltd.</t>
  </si>
  <si>
    <t>INE671A01010</t>
  </si>
  <si>
    <t>K.P.R. Mill Ltd.</t>
  </si>
  <si>
    <t>INE930H01031</t>
  </si>
  <si>
    <t>Coforge Ltd.</t>
  </si>
  <si>
    <t>INE591G01017</t>
  </si>
  <si>
    <t>Swan Energy Ltd.</t>
  </si>
  <si>
    <t>INE665A01038</t>
  </si>
  <si>
    <t>Nippon Life India Asset Management Ltd.</t>
  </si>
  <si>
    <t>INE298J01013</t>
  </si>
  <si>
    <t>Muthoot Finance Ltd.</t>
  </si>
  <si>
    <t>INE414G01012</t>
  </si>
  <si>
    <t>Jubilant Foodworks Ltd.</t>
  </si>
  <si>
    <t>INE797F01020</t>
  </si>
  <si>
    <t>Cholamandalam Investment &amp; Fin Co Ltd.</t>
  </si>
  <si>
    <t>INE121A01024</t>
  </si>
  <si>
    <t>Kirloskar Oil Engines Ltd.</t>
  </si>
  <si>
    <t>INE146L01010</t>
  </si>
  <si>
    <t>ACC Ltd.</t>
  </si>
  <si>
    <t>INE012A01025</t>
  </si>
  <si>
    <t>Hitachi Energy India Ltd.</t>
  </si>
  <si>
    <t>INE07Y701011</t>
  </si>
  <si>
    <t>Oberoi Realty Ltd.</t>
  </si>
  <si>
    <t>INE093I01010</t>
  </si>
  <si>
    <t>Ashok Leyland Ltd.</t>
  </si>
  <si>
    <t>INE208A01029</t>
  </si>
  <si>
    <t>Central Depository Services (I) Ltd.</t>
  </si>
  <si>
    <t>INE736A01011</t>
  </si>
  <si>
    <t>Titagarh Rail Systems Ltd.</t>
  </si>
  <si>
    <t>INE615H01020</t>
  </si>
  <si>
    <t>Tata Consumer Products Ltd.</t>
  </si>
  <si>
    <t>INE192A01025</t>
  </si>
  <si>
    <t>Somany Ceramics Ltd.</t>
  </si>
  <si>
    <t>INE355A01028</t>
  </si>
  <si>
    <t>CEAT Ltd.</t>
  </si>
  <si>
    <t>INE482A01020</t>
  </si>
  <si>
    <t>Bharat Dynamics Ltd.</t>
  </si>
  <si>
    <t>INE171Z01026</t>
  </si>
  <si>
    <t>BSE Ltd.</t>
  </si>
  <si>
    <t>INE118H01025</t>
  </si>
  <si>
    <t>Timken India Ltd.</t>
  </si>
  <si>
    <t>INE325A01013</t>
  </si>
  <si>
    <t>TATA CONSUMER PROD RTS OFF 818 INR ** #</t>
  </si>
  <si>
    <t>INE192A20017</t>
  </si>
  <si>
    <t>Total outstanding position(as at 31 July 2024 ) in Derivative Instruments(Gross National) 673.2 lacs.</t>
  </si>
  <si>
    <t>Total percentage of existing assets hedge through futures is 34.71%.</t>
  </si>
  <si>
    <t>Seamec Ltd.</t>
  </si>
  <si>
    <t>INE497B01018</t>
  </si>
  <si>
    <t>Vinati Organics Ltd.</t>
  </si>
  <si>
    <t>INE410B01037</t>
  </si>
  <si>
    <t>Jyothy Labs Ltd.</t>
  </si>
  <si>
    <t>INE668F01031</t>
  </si>
  <si>
    <t>Household Products</t>
  </si>
  <si>
    <t>IRM Energy Ltd.</t>
  </si>
  <si>
    <t>INE07U701015</t>
  </si>
  <si>
    <t>Mahindra Lifespace Developers Ltd.</t>
  </si>
  <si>
    <t>INE813A01018</t>
  </si>
  <si>
    <t>Alicon Castalloy Ltd.</t>
  </si>
  <si>
    <t>INE062D01024</t>
  </si>
  <si>
    <t>Apar Industries Ltd.</t>
  </si>
  <si>
    <t>INE372A01015</t>
  </si>
  <si>
    <t>Wendt India Ltd.</t>
  </si>
  <si>
    <t>INE274C01019</t>
  </si>
  <si>
    <t>Orient Cement Ltd.</t>
  </si>
  <si>
    <t>INE876N01018</t>
  </si>
  <si>
    <t>CESC Ltd.</t>
  </si>
  <si>
    <t>INE486A01021</t>
  </si>
  <si>
    <t>TVS Holdings Ltd.</t>
  </si>
  <si>
    <t>INE105A01035</t>
  </si>
  <si>
    <t>Biocon Ltd.</t>
  </si>
  <si>
    <t>INE376G01013</t>
  </si>
  <si>
    <t>Navin Fluorine International Ltd.</t>
  </si>
  <si>
    <t>INE048G01026</t>
  </si>
  <si>
    <t>KSB Ltd.</t>
  </si>
  <si>
    <t>INE999A01023</t>
  </si>
  <si>
    <t>Blue Star Ltd.</t>
  </si>
  <si>
    <t>INE472A01039</t>
  </si>
  <si>
    <t>Navkar Corporation Ltd.</t>
  </si>
  <si>
    <t>INE278M01019</t>
  </si>
  <si>
    <t>PNC Infratech Ltd.</t>
  </si>
  <si>
    <t>INE195J01029</t>
  </si>
  <si>
    <t>Arvind Ltd.</t>
  </si>
  <si>
    <t>INE034A01011</t>
  </si>
  <si>
    <t>Lemon Tree Hotels Ltd.</t>
  </si>
  <si>
    <t>INE970X01018</t>
  </si>
  <si>
    <t>Triveni Engineering &amp; Industries Ltd.</t>
  </si>
  <si>
    <t>INE256C01024</t>
  </si>
  <si>
    <t>Crompton Greaves Cons Electrical Ltd.</t>
  </si>
  <si>
    <t>INE299U01018</t>
  </si>
  <si>
    <t>Elgi Equipments Ltd.</t>
  </si>
  <si>
    <t>INE285A01027</t>
  </si>
  <si>
    <t>Avalon Technologies Ltd.</t>
  </si>
  <si>
    <t>INE0LCL01028</t>
  </si>
  <si>
    <t>EID Parry India Ltd.</t>
  </si>
  <si>
    <t>INE126A01031</t>
  </si>
  <si>
    <t>Saregama India Ltd.</t>
  </si>
  <si>
    <t>INE979A01025</t>
  </si>
  <si>
    <t>Entertainment</t>
  </si>
  <si>
    <t>Kirloskar Pneumatic Co.Ltd.</t>
  </si>
  <si>
    <t>INE811A01020</t>
  </si>
  <si>
    <t>Aeroflex Industries Ltd.</t>
  </si>
  <si>
    <t>INE024001021</t>
  </si>
  <si>
    <t>Ratnamani Metals &amp; Tubes Ltd.</t>
  </si>
  <si>
    <t>INE703B01027</t>
  </si>
  <si>
    <t>Sanofi India Ltd.</t>
  </si>
  <si>
    <t>INE058A01010</t>
  </si>
  <si>
    <t>Mahanagar Gas Ltd.</t>
  </si>
  <si>
    <t>INE002S01010</t>
  </si>
  <si>
    <t>Time Technoplast Ltd.</t>
  </si>
  <si>
    <t>INE508G01029</t>
  </si>
  <si>
    <t>Hindustan Foods Ltd.</t>
  </si>
  <si>
    <t>INE254N01026</t>
  </si>
  <si>
    <t>Century Plyboards (India) Ltd.</t>
  </si>
  <si>
    <t>INE348B01021</t>
  </si>
  <si>
    <t>JNK India Ltd.</t>
  </si>
  <si>
    <t>INE0OAF01028</t>
  </si>
  <si>
    <t>NRB Bearing Ltd.</t>
  </si>
  <si>
    <t>INE349A01021</t>
  </si>
  <si>
    <t>INOX India Limited</t>
  </si>
  <si>
    <t>INE616N01034</t>
  </si>
  <si>
    <t>Birla Corporation Ltd.</t>
  </si>
  <si>
    <t>INE340A01012</t>
  </si>
  <si>
    <t>V-Mart Retail Ltd.</t>
  </si>
  <si>
    <t>INE665J01013</t>
  </si>
  <si>
    <t>IFGL Refractories Ltd.</t>
  </si>
  <si>
    <t>INE133Y01011</t>
  </si>
  <si>
    <t>LIC Mutual Fund</t>
  </si>
  <si>
    <t>INF397L01554</t>
  </si>
  <si>
    <t>Pidilite Industries Ltd.</t>
  </si>
  <si>
    <t>INE318A01026</t>
  </si>
  <si>
    <t>ICICI Lombard General Insurance Co. Ltd.</t>
  </si>
  <si>
    <t>INE765G01017</t>
  </si>
  <si>
    <t>Avenue Supermarts Ltd.</t>
  </si>
  <si>
    <t>INE192R01011</t>
  </si>
  <si>
    <t>Schneider Electric Infrastructure Ltd.</t>
  </si>
  <si>
    <t>INE839M01018</t>
  </si>
  <si>
    <t>Cummins India Ltd.</t>
  </si>
  <si>
    <t>INE298A01020</t>
  </si>
  <si>
    <t>Kalyani Steels Ltd.</t>
  </si>
  <si>
    <t>INE907A01026</t>
  </si>
  <si>
    <t>Yatharth Hospital&amp;Trauma Care Serv Ltd.</t>
  </si>
  <si>
    <t>INE0JO301016</t>
  </si>
  <si>
    <t>Bharti Hexacom Ltd.</t>
  </si>
  <si>
    <t>INE343G01021</t>
  </si>
  <si>
    <t>Transport Corporation Of India Ltd.</t>
  </si>
  <si>
    <t>INE688A01022</t>
  </si>
  <si>
    <t>SKF India Ltd.</t>
  </si>
  <si>
    <t>INE640A01023</t>
  </si>
  <si>
    <t>NLC India Ltd.</t>
  </si>
  <si>
    <t>INE589A01014</t>
  </si>
  <si>
    <t>Housing &amp; Urban Development Corp Ltd.</t>
  </si>
  <si>
    <t>INE031A01017</t>
  </si>
  <si>
    <t>Ashoka Buildcon Ltd.</t>
  </si>
  <si>
    <t>INE442H01029</t>
  </si>
  <si>
    <t>Blue Dart Express Ltd.</t>
  </si>
  <si>
    <t>INE233B01017</t>
  </si>
  <si>
    <t>GMM Pfaudler Ltd.</t>
  </si>
  <si>
    <t>INE541A01023</t>
  </si>
  <si>
    <t>Forbes Precision Tools and Mach Pts Ltd.</t>
  </si>
  <si>
    <t>INE0TT901016</t>
  </si>
  <si>
    <t>Swaraj Engines Ltd.</t>
  </si>
  <si>
    <t>INE277A01016</t>
  </si>
  <si>
    <t>JSW Infrastructure Ltd.</t>
  </si>
  <si>
    <t>INE880J01026</t>
  </si>
  <si>
    <t>Kirloskar Industries Ltd.</t>
  </si>
  <si>
    <t>INE250A01039</t>
  </si>
  <si>
    <t>Disa India Ltd.</t>
  </si>
  <si>
    <t>INE131C01011</t>
  </si>
  <si>
    <t>Divgi Torqtransfer Systems Ltd.</t>
  </si>
  <si>
    <t>INE753U01022</t>
  </si>
  <si>
    <t>Adani Ports &amp; Special Economic Zone Ltd.</t>
  </si>
  <si>
    <t>INE742F01042</t>
  </si>
  <si>
    <t>Bajaj Finserv Ltd.</t>
  </si>
  <si>
    <t>INE918I01026</t>
  </si>
  <si>
    <t>Adani Enterprises Ltd.</t>
  </si>
  <si>
    <t>INE423A01024</t>
  </si>
  <si>
    <t>Metals &amp; Minerals Trading</t>
  </si>
  <si>
    <t>HDFC Life Insurance Company Ltd.</t>
  </si>
  <si>
    <t>INE795G01014</t>
  </si>
  <si>
    <t>Wipro Ltd.</t>
  </si>
  <si>
    <t>INE075A01022</t>
  </si>
  <si>
    <t>Eicher Motors Ltd.</t>
  </si>
  <si>
    <t>INE066A01021</t>
  </si>
  <si>
    <t>Emami Ltd.</t>
  </si>
  <si>
    <t>INE548C01032</t>
  </si>
  <si>
    <t>Aditya Birla Sun Life AMC Ltd.</t>
  </si>
  <si>
    <t>INE404A01024</t>
  </si>
  <si>
    <t>Suzlon Energy Ltd.</t>
  </si>
  <si>
    <t>INE040H01021</t>
  </si>
  <si>
    <t>BSE Symbol:544123</t>
  </si>
  <si>
    <t>NSE Symbol:LICNMID100</t>
  </si>
  <si>
    <t>Persistent Systems Ltd.</t>
  </si>
  <si>
    <t>INE262H01021</t>
  </si>
  <si>
    <t>Yes Bank Ltd.</t>
  </si>
  <si>
    <t>INE528G01035</t>
  </si>
  <si>
    <t>Lupin Ltd.</t>
  </si>
  <si>
    <t>INE326A01037</t>
  </si>
  <si>
    <t>Dixon Technologies (India) Ltd.</t>
  </si>
  <si>
    <t>INE935N01020</t>
  </si>
  <si>
    <t>Tube Investments Of India Ltd.</t>
  </si>
  <si>
    <t>INE974X01010</t>
  </si>
  <si>
    <t>PB Fintech Ltd.</t>
  </si>
  <si>
    <t>INE417T01026</t>
  </si>
  <si>
    <t>Financial Technology (Fintech)</t>
  </si>
  <si>
    <t>JSW Energy Ltd.</t>
  </si>
  <si>
    <t>INE121E01018</t>
  </si>
  <si>
    <t>Macrotech Developers Ltd.</t>
  </si>
  <si>
    <t>INE670K01029</t>
  </si>
  <si>
    <t>Godrej Properties Ltd.</t>
  </si>
  <si>
    <t>INE484J01027</t>
  </si>
  <si>
    <t>Indus Towers Ltd.</t>
  </si>
  <si>
    <t>INE121J01017</t>
  </si>
  <si>
    <t>AU Small Finance Bank Ltd.</t>
  </si>
  <si>
    <t>INE949L01017</t>
  </si>
  <si>
    <t>Vodafone Idea Ltd.</t>
  </si>
  <si>
    <t>INE669E01016</t>
  </si>
  <si>
    <t>Rail Vikas Nigam Ltd.</t>
  </si>
  <si>
    <t>INE415G01027</t>
  </si>
  <si>
    <t>NHPC Ltd.</t>
  </si>
  <si>
    <t>INE848E01016</t>
  </si>
  <si>
    <t>Polycab India Ltd.</t>
  </si>
  <si>
    <t>INE455K01017</t>
  </si>
  <si>
    <t>KPIT Technologies Ltd.</t>
  </si>
  <si>
    <t>INE04I401011</t>
  </si>
  <si>
    <t>MRF Ltd.</t>
  </si>
  <si>
    <t>INE883A01011</t>
  </si>
  <si>
    <t>Sona BLW Precision Forgings Ltd.</t>
  </si>
  <si>
    <t>INE073K01018</t>
  </si>
  <si>
    <t>Max Financial Services Ltd.</t>
  </si>
  <si>
    <t>INE180A01020</t>
  </si>
  <si>
    <t>Petronet LNG Ltd.</t>
  </si>
  <si>
    <t>INE347G01014</t>
  </si>
  <si>
    <t>Fortis Healthcare Ltd.</t>
  </si>
  <si>
    <t>INE061F01013</t>
  </si>
  <si>
    <t>Oracle Financial Services Software Ltd.</t>
  </si>
  <si>
    <t>INE881D01027</t>
  </si>
  <si>
    <t>FSN E-Commerce Ventures Ltd.</t>
  </si>
  <si>
    <t>INE388Y01029</t>
  </si>
  <si>
    <t>Union Bank of India</t>
  </si>
  <si>
    <t>INE692A01016</t>
  </si>
  <si>
    <t>LIC Housing Finance Ltd.</t>
  </si>
  <si>
    <t>INE115A01026</t>
  </si>
  <si>
    <t>Steel Authority of India Ltd.</t>
  </si>
  <si>
    <t>INE114A01011</t>
  </si>
  <si>
    <t>Indian Bank</t>
  </si>
  <si>
    <t>INE562A01011</t>
  </si>
  <si>
    <t>Apollo Tyres Ltd.</t>
  </si>
  <si>
    <t>INE438A01022</t>
  </si>
  <si>
    <t>Kalyan Jewellers India Ltd.</t>
  </si>
  <si>
    <t>INE303R01014</t>
  </si>
  <si>
    <t>Tata Chemicals Ltd.</t>
  </si>
  <si>
    <t>INE092A01019</t>
  </si>
  <si>
    <t>Delhivery Ltd.</t>
  </si>
  <si>
    <t>INE148O01028</t>
  </si>
  <si>
    <t>One 97 Communications Ltd.</t>
  </si>
  <si>
    <t>INE982J01020</t>
  </si>
  <si>
    <t>Patanjali Foods Ltd.</t>
  </si>
  <si>
    <t>INE619A01035</t>
  </si>
  <si>
    <t>Mazagon Dock Shipbuilders Ltd.</t>
  </si>
  <si>
    <t>INE249Z01012</t>
  </si>
  <si>
    <t>Gland Pharma Ltd.</t>
  </si>
  <si>
    <t>INE068V01023</t>
  </si>
  <si>
    <t>Dalmia Bharat Ltd.</t>
  </si>
  <si>
    <t>INE00R701025</t>
  </si>
  <si>
    <t>L&amp;T Technology Services Ltd.</t>
  </si>
  <si>
    <t>INE010V01017</t>
  </si>
  <si>
    <t>Zee Entertainment Enterprises Ltd.</t>
  </si>
  <si>
    <t>INE256A01028</t>
  </si>
  <si>
    <t>Gujarat Gas Ltd.</t>
  </si>
  <si>
    <t>INE844O01030</t>
  </si>
  <si>
    <t>Dr. Lal Path Labs Ltd.</t>
  </si>
  <si>
    <t>INE600L01024</t>
  </si>
  <si>
    <t>SJVN Ltd.</t>
  </si>
  <si>
    <t>INE002L01015</t>
  </si>
  <si>
    <t>Poonawalla Fincorp Ltd.</t>
  </si>
  <si>
    <t>INE511C01022</t>
  </si>
  <si>
    <t>Sun TV Network Ltd.</t>
  </si>
  <si>
    <t>INE424H01027</t>
  </si>
  <si>
    <t>Tata Technologies Ltd.</t>
  </si>
  <si>
    <t>INE142M01025</t>
  </si>
  <si>
    <t>Bank of Maharashtra</t>
  </si>
  <si>
    <t>INE457A01014</t>
  </si>
  <si>
    <t>Fertilizers &amp; Chemicals Travancore Ltd.</t>
  </si>
  <si>
    <t>INE188A01015</t>
  </si>
  <si>
    <t>IDBI Bank Ltd.</t>
  </si>
  <si>
    <t>INE008A01015</t>
  </si>
  <si>
    <t>Star Health &amp; Allied Insurance Co Ltd.</t>
  </si>
  <si>
    <t>INE575P01011</t>
  </si>
  <si>
    <t>Cello World Ltd.</t>
  </si>
  <si>
    <t>INE0LMW01024</t>
  </si>
  <si>
    <t>Carysil Ltd.</t>
  </si>
  <si>
    <t>INE482D01024</t>
  </si>
  <si>
    <t>Vedant Fashions Ltd.</t>
  </si>
  <si>
    <t>INE825V01034</t>
  </si>
  <si>
    <t>Vedanta Ltd.</t>
  </si>
  <si>
    <t>INE205A01025</t>
  </si>
  <si>
    <t>Diversified Metals</t>
  </si>
  <si>
    <t>Indian Oil Corporation Ltd.</t>
  </si>
  <si>
    <t>INE242A01010</t>
  </si>
  <si>
    <t>Colgate Palmolive (India) Ltd.</t>
  </si>
  <si>
    <t>INE259A01022</t>
  </si>
  <si>
    <t>ABB India Ltd.</t>
  </si>
  <si>
    <t>INE117A01022</t>
  </si>
  <si>
    <t>United Spirits Ltd.</t>
  </si>
  <si>
    <t>INE854D01024</t>
  </si>
  <si>
    <t>Ambuja Cements Ltd.</t>
  </si>
  <si>
    <t>INE079A01024</t>
  </si>
  <si>
    <t>Canara Bank</t>
  </si>
  <si>
    <t>INE476A01022</t>
  </si>
  <si>
    <t>Shree Cement Ltd.</t>
  </si>
  <si>
    <t>INE070A01015</t>
  </si>
  <si>
    <t>Jindal Steel &amp; Power Ltd.</t>
  </si>
  <si>
    <t>INE749A01030</t>
  </si>
  <si>
    <t>Jio Financial Services Ltd.</t>
  </si>
  <si>
    <t>INE758E01017</t>
  </si>
  <si>
    <t>Marico Ltd.</t>
  </si>
  <si>
    <t>INE196A01026</t>
  </si>
  <si>
    <t>Bosch Ltd.</t>
  </si>
  <si>
    <t>INE323A01026</t>
  </si>
  <si>
    <t>ICICI Prudential Life Insurance Co Ltd.</t>
  </si>
  <si>
    <t>INE726G01019</t>
  </si>
  <si>
    <t>Adani Power Ltd.</t>
  </si>
  <si>
    <t>INE814H01011</t>
  </si>
  <si>
    <t>Adani Green Energy Ltd.</t>
  </si>
  <si>
    <t>INE364U01010</t>
  </si>
  <si>
    <t>SBI Cards &amp; Payment Services Ltd.</t>
  </si>
  <si>
    <t>INE018E01016</t>
  </si>
  <si>
    <t>Berger Paints (I) Ltd.</t>
  </si>
  <si>
    <t>INE463A01038</t>
  </si>
  <si>
    <t>Bajaj Holdings &amp; Investment Ltd.</t>
  </si>
  <si>
    <t>INE118A01012</t>
  </si>
  <si>
    <t>Indian Railway Finance Corporation Ltd.</t>
  </si>
  <si>
    <t>INE053F01010</t>
  </si>
  <si>
    <t>Adani Energy Solutions Ltd.</t>
  </si>
  <si>
    <t>INE931S01010</t>
  </si>
  <si>
    <t>Adani Total Gas Ltd.</t>
  </si>
  <si>
    <t>INE399L01023</t>
  </si>
  <si>
    <t>Life Insurance Corporation of India</t>
  </si>
  <si>
    <t>INE0J1Y01017</t>
  </si>
  <si>
    <t>BSE Symbol:539784</t>
  </si>
  <si>
    <t>NSE Symbol:LICNFNHGP</t>
  </si>
  <si>
    <t>Tata Motors Ltd (DVR)</t>
  </si>
  <si>
    <t>IN9155A01020</t>
  </si>
  <si>
    <t>Thermax Ltd.</t>
  </si>
  <si>
    <t>INE152A01029</t>
  </si>
  <si>
    <t>Affle (India) Ltd.</t>
  </si>
  <si>
    <t>INE00WC01027</t>
  </si>
  <si>
    <t>Safari Industries India Ltd.</t>
  </si>
  <si>
    <t>INE429E01023</t>
  </si>
  <si>
    <t>Grindwell Norton Ltd.</t>
  </si>
  <si>
    <t>INE536A01023</t>
  </si>
  <si>
    <t>Eureka Forbes Ltd.</t>
  </si>
  <si>
    <t>INE0KCE01017</t>
  </si>
  <si>
    <t>BSE Symbol:539480</t>
  </si>
  <si>
    <t>NSE Symbol:LICNETFN50</t>
  </si>
  <si>
    <t>BSE Symbol:539487</t>
  </si>
  <si>
    <t>NSE Symbol:LICNETFSEN</t>
  </si>
  <si>
    <t>Pitti Engineering Ltd.</t>
  </si>
  <si>
    <t>INE450D01021</t>
  </si>
  <si>
    <t>Carborundum Universal Ltd.</t>
  </si>
  <si>
    <t>INE120A01034</t>
  </si>
  <si>
    <t>Cera Sanitaryware Ltd.</t>
  </si>
  <si>
    <t>INE739E01017</t>
  </si>
  <si>
    <t>Bajaj Electricals Ltd.</t>
  </si>
  <si>
    <t>INE193E01025</t>
  </si>
  <si>
    <t>RHI Magnesita India Ltd.</t>
  </si>
  <si>
    <t>INE743M01012</t>
  </si>
  <si>
    <t>Bharti Airtel Ltd. PARTLY PAID UP FV 1.25</t>
  </si>
  <si>
    <t>IN9397D01014</t>
  </si>
  <si>
    <t>5.74% Government of India</t>
  </si>
  <si>
    <t>IN0020210186</t>
  </si>
  <si>
    <t>Moderately High</t>
  </si>
  <si>
    <t>Low</t>
  </si>
  <si>
    <t>Low to Moderate</t>
  </si>
  <si>
    <t>Very High</t>
  </si>
  <si>
    <t>High</t>
  </si>
  <si>
    <t>Not Applicable</t>
  </si>
  <si>
    <t>The product is suitable for investors who are seeking*</t>
  </si>
  <si>
    <t>Riskometer - Scheme</t>
  </si>
  <si>
    <t>First Tier Benchmark</t>
  </si>
  <si>
    <t>Riskometer - First Tier Benchmark</t>
  </si>
  <si>
    <t>•Risk - Moderate</t>
  </si>
  <si>
    <t xml:space="preserve">“The Scheme and Benchmark riskometer disclosed above is latest available riskometer, for any updates please visit the AMC’s website (https://www.licmf.com/downloads/risk-o-meter-disclosure). </t>
  </si>
  <si>
    <t>*Investors should consult their financial advisers if in doubt about whether the product is suitable for them.</t>
  </si>
  <si>
    <t>Mutual Fund investments are subject to market risks, read all scheme related documents carefully.</t>
  </si>
  <si>
    <t>•Risk - Moderately High</t>
  </si>
  <si>
    <t xml:space="preserve">          LIC MF Arbitrage Fund</t>
  </si>
  <si>
    <t>NIFTY 50 Arbitrage Index</t>
  </si>
  <si>
    <t>•Income over a short term investment horizon</t>
  </si>
  <si>
    <t>•Income through arbitrage opportunities between cash and derivative market and arbitrage opportunities within the derivative segment of the equity market</t>
  </si>
  <si>
    <r>
      <t>•</t>
    </r>
    <r>
      <rPr>
        <b/>
        <sz val="9"/>
        <color rgb="FF000000"/>
        <rFont val="Arial"/>
        <family val="2"/>
      </rPr>
      <t>Risk – Low</t>
    </r>
  </si>
  <si>
    <t>NIFTY 50 Hybrid Composite Debt 50:50 Index</t>
  </si>
  <si>
    <t>•Capital appreciation over a long period of time</t>
  </si>
  <si>
    <t>•Investments in a dynamically managed portfolio of equity and equity related instruments, debt and money market instruments</t>
  </si>
  <si>
    <r>
      <t>•</t>
    </r>
    <r>
      <rPr>
        <b/>
        <sz val="9"/>
        <color rgb="FF000000"/>
        <rFont val="Arial"/>
        <family val="2"/>
      </rPr>
      <t>Risk - High</t>
    </r>
  </si>
  <si>
    <t>CRISIL Hybrid 35+65 - Aggressive Index</t>
  </si>
  <si>
    <t>•Long term capital appreciation with current income</t>
  </si>
  <si>
    <t xml:space="preserve">•A fund that invests both in stocks and fixed income instruments. </t>
  </si>
  <si>
    <r>
      <t>•</t>
    </r>
    <r>
      <rPr>
        <b/>
        <sz val="9"/>
        <color rgb="FF000000"/>
        <rFont val="Arial"/>
        <family val="2"/>
      </rPr>
      <t>Risk - Very High</t>
    </r>
  </si>
  <si>
    <t>LIC MF Banking &amp; Financial Services Fund</t>
  </si>
  <si>
    <t>•Capital appreciation over long term.</t>
  </si>
  <si>
    <t>Nifty Financial Services TRI</t>
  </si>
  <si>
    <t>•Investing predominantly in portfolio of equity and equity related securities of companies engaged in banking and financial services.</t>
  </si>
  <si>
    <r>
      <t>•</t>
    </r>
    <r>
      <rPr>
        <b/>
        <sz val="9"/>
        <color rgb="FF000000"/>
        <rFont val="Arial"/>
        <family val="2"/>
      </rPr>
      <t>Risk – Very High</t>
    </r>
  </si>
  <si>
    <t>LIC MF Children's Fund</t>
  </si>
  <si>
    <t>•Long term capital appreciation and current income</t>
  </si>
  <si>
    <t>•A fund that invests both in stocks and fixed income instruments.</t>
  </si>
  <si>
    <t>NIFTY 500  TRI</t>
  </si>
  <si>
    <t>•Long term capital appreciation</t>
  </si>
  <si>
    <t>•Investment predominantly in dividend yielding equity and equity related instruments.</t>
  </si>
  <si>
    <t>BSE Healthcare Total Return Index</t>
  </si>
  <si>
    <t>•Investment predominantly in equity and equity related instruments of companies engaged in Healthcare &amp; Allied Sectors</t>
  </si>
  <si>
    <t>LIC MF Midcap Fund</t>
  </si>
  <si>
    <t>NIFTY Midcap 150 - TRI</t>
  </si>
  <si>
    <t>•Investment predominantly in equity and equity related instruments of Midcap companies.</t>
  </si>
  <si>
    <t>NIFTY Equity Savings Index</t>
  </si>
  <si>
    <t>•Regular income &amp; Capital appreciation over Medium to Long term</t>
  </si>
  <si>
    <t>•Investment in equity and equity related Instruments including equity derivatives, arbitrage and debt and money market instruments</t>
  </si>
  <si>
    <t>Nifty 500 TRI</t>
  </si>
  <si>
    <t>•Investing across Large, Mid &amp; Small Cap stocks.</t>
  </si>
  <si>
    <t>LIC MF SmallCap Fund</t>
  </si>
  <si>
    <t>NIFTY Smallcap 250 - TRI</t>
  </si>
  <si>
    <t>•Investment predominantly in equity and equity related instruments of Smallcap companies.</t>
  </si>
  <si>
    <t>LIC  MF Focused Fund</t>
  </si>
  <si>
    <t>NIFTY 500 - TRI</t>
  </si>
  <si>
    <t>• Investment predominantly in large cap focused equity &amp; equity related instruments of up to 30 ompanies and balance in debt &amp; money market instruments.</t>
  </si>
  <si>
    <t>Domestic Price of Gold</t>
  </si>
  <si>
    <t>•To replicate returns of LIC MF Gold ETF FOF with at least medium term horizon</t>
  </si>
  <si>
    <t>•Investments in units of LIC MF Gold ETF / Money Market Instruments/ LIC MF Liquid Fund Scheme</t>
  </si>
  <si>
    <t>NIFTY 100 TRI</t>
  </si>
  <si>
    <t>•Long Term Capital Appreciation</t>
  </si>
  <si>
    <t>•A Fund that primarily invest in large-cap stock.</t>
  </si>
  <si>
    <t>Nifty Infrastructure TRI</t>
  </si>
  <si>
    <t>•Long Term Capital Growth</t>
  </si>
  <si>
    <t>•Investment in equity and equity related instruments of companies engaged either directly or indirectly in infrastructure sector.</t>
  </si>
  <si>
    <t>NIFTY 50 TRI</t>
  </si>
  <si>
    <r>
      <t>•</t>
    </r>
    <r>
      <rPr>
        <sz val="9"/>
        <color rgb="FF000000"/>
        <rFont val="Arial"/>
        <family val="2"/>
      </rPr>
      <t>Long Term Capital Growth</t>
    </r>
  </si>
  <si>
    <r>
      <t>•</t>
    </r>
    <r>
      <rPr>
        <sz val="9"/>
        <color rgb="FF000000"/>
        <rFont val="Arial"/>
        <family val="2"/>
      </rPr>
      <t>Investment in equity instrument of respective index stocks subject to tracking error.</t>
    </r>
  </si>
  <si>
    <t>BSE Sensex Total Return Index</t>
  </si>
  <si>
    <r>
      <t>•</t>
    </r>
    <r>
      <rPr>
        <sz val="9"/>
        <color rgb="FF000000"/>
        <rFont val="Arial"/>
        <family val="2"/>
      </rPr>
      <t>Investment in equity instrument of BSE Sensex index stocks subject to tracking error.</t>
    </r>
  </si>
  <si>
    <t>•Long term capital appreciation.</t>
  </si>
  <si>
    <t>•Investment in equity and equity related instruments by following value investment strategy.</t>
  </si>
  <si>
    <t>Nifty Midcap 100 TRI</t>
  </si>
  <si>
    <t>•Long term investment.</t>
  </si>
  <si>
    <t>•Investment in equity and equity related securities and portfolios replicating the composition of Nifty Midcap 100 Total Returns Index, subject to tracking errors.</t>
  </si>
  <si>
    <t>Nifty LargeMidcap 250 TRI</t>
  </si>
  <si>
    <r>
      <t>•</t>
    </r>
    <r>
      <rPr>
        <sz val="9"/>
        <color rgb="FF000000"/>
        <rFont val="Arial"/>
        <family val="2"/>
      </rPr>
      <t>Long Term Capital Appreciation.</t>
    </r>
  </si>
  <si>
    <r>
      <t>•</t>
    </r>
    <r>
      <rPr>
        <sz val="9"/>
        <color rgb="FF000000"/>
        <rFont val="Arial"/>
        <family val="2"/>
      </rPr>
      <t>A fund that primarily invests in Large and Mid-cap stocks</t>
    </r>
  </si>
  <si>
    <t>NIFTY 500 Multicap 50:25:25 TRI</t>
  </si>
  <si>
    <r>
      <t>•</t>
    </r>
    <r>
      <rPr>
        <sz val="9"/>
        <color rgb="FF000000"/>
        <rFont val="Arial"/>
        <family val="2"/>
      </rPr>
      <t>Investment in equity and equity related instruments across Large, Mid &amp; Small Cap stocks.</t>
    </r>
  </si>
  <si>
    <t>NIFTY NEXT 50 - TRI</t>
  </si>
  <si>
    <t>•Long Term growth in a passively managed scheme tracking  NIFTY  Next 50 Index (TRI)</t>
  </si>
  <si>
    <t>•Investments only in and all stocks comprising Nifty Next 50 Index in the same weight of these stocks as in index with objective to replicate performance of NIFTY Next 50 Index (TRI)</t>
  </si>
  <si>
    <r>
      <t>•</t>
    </r>
    <r>
      <rPr>
        <sz val="9"/>
        <color rgb="FF000000"/>
        <rFont val="Arial"/>
        <family val="2"/>
      </rPr>
      <t>Long term investment.</t>
    </r>
  </si>
  <si>
    <r>
      <t>•</t>
    </r>
    <r>
      <rPr>
        <sz val="9"/>
        <color rgb="FF000000"/>
        <rFont val="Arial"/>
        <family val="2"/>
      </rPr>
      <t>Investment in equity and equity related securities and portfolios replicating the composition of Nifty 100 Index, subject to tracking errors.</t>
    </r>
  </si>
  <si>
    <r>
      <t>•</t>
    </r>
    <r>
      <rPr>
        <b/>
        <sz val="9"/>
        <color rgb="FF000000"/>
        <rFont val="Arial"/>
        <family val="2"/>
      </rPr>
      <t xml:space="preserve">Risk- Very High </t>
    </r>
  </si>
  <si>
    <r>
      <t>•</t>
    </r>
    <r>
      <rPr>
        <sz val="9"/>
        <color rgb="FF000000"/>
        <rFont val="Arial"/>
        <family val="2"/>
      </rPr>
      <t>Investment in equity and equity related securities</t>
    </r>
  </si>
  <si>
    <r>
      <t>•</t>
    </r>
    <r>
      <rPr>
        <sz val="9"/>
        <color rgb="FF000000"/>
        <rFont val="Arial"/>
        <family val="2"/>
      </rPr>
      <t>Investment in securities covered by NIFTY 50 Index, subject to tracking errors.</t>
    </r>
  </si>
  <si>
    <r>
      <t>•</t>
    </r>
    <r>
      <rPr>
        <b/>
        <sz val="9"/>
        <color rgb="FF000000"/>
        <rFont val="Arial"/>
        <family val="2"/>
      </rPr>
      <t>Risk- Very High</t>
    </r>
  </si>
  <si>
    <r>
      <t>•</t>
    </r>
    <r>
      <rPr>
        <sz val="9"/>
        <color rgb="FF000000"/>
        <rFont val="Arial"/>
        <family val="2"/>
      </rPr>
      <t>Investment in securities covered by BSE SENSEX,  subject to tracking errors.</t>
    </r>
  </si>
  <si>
    <r>
      <t>•</t>
    </r>
    <r>
      <rPr>
        <sz val="9"/>
        <color rgb="FF000000"/>
        <rFont val="Arial"/>
        <family val="2"/>
      </rPr>
      <t>Long term capital appreciation and current income</t>
    </r>
  </si>
  <si>
    <r>
      <t>•</t>
    </r>
    <r>
      <rPr>
        <sz val="9"/>
        <color rgb="FF000000"/>
        <rFont val="Arial"/>
        <family val="2"/>
      </rPr>
      <t>Investment in Equity and equity related securities, fixed income securities (debt and money market securities).</t>
    </r>
  </si>
  <si>
    <t>IN9047A01011</t>
  </si>
  <si>
    <t>LIC MF CHILDREN'S FUND (ERSTWHILE LIC MF CHILDREN'S GIFT FUND)</t>
  </si>
  <si>
    <t>LIC MF FOCUSED FUND (ERSTWHILE LIC MF FOCUSED 30 EQUITY FUND)</t>
  </si>
  <si>
    <t>LIC MF BSE SENSEX INDEX FUND (ERSTWHILE LIC MF S &amp; P BSE SENSEX INDEX FUND)</t>
  </si>
  <si>
    <t>LIC MF VALUE FUND (ERSTWHILE LIC MF LONG TERM VALUE FUND)</t>
  </si>
  <si>
    <t>LIC MF ELSS TAX SAVER (ERSTWHILE LIC MF ELSS)</t>
  </si>
  <si>
    <t>LIC MF BSE SENSEX ETF (ERSTWHILE LIC MF S &amp; P BSE SENSEX ETF)</t>
  </si>
  <si>
    <t>LIC MF GOLD EXCHANGE TRADED FUND</t>
  </si>
  <si>
    <t>Gold</t>
  </si>
  <si>
    <t>LIC MF Gold Exchange Traded Fund</t>
  </si>
  <si>
    <t>• To replicate the performance of gold in domestic prices with at least medium term horizon.</t>
  </si>
  <si>
    <t>• Investments in physical gold and gold related instruments / debt &amp; money market instruments.</t>
  </si>
  <si>
    <t>LICMFGOLDETF</t>
  </si>
  <si>
    <t>NSE Symbol: LICMFGOLD</t>
  </si>
  <si>
    <t>BSE Scrip Code: 533719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</si>
</sst>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_);\(##,##0\)"/>
    <numFmt numFmtId="166" formatCode="#,##0.00_);\(##,##0.00\)"/>
    <numFmt numFmtId="167" formatCode="0.00%_);\(0.00%\)"/>
    <numFmt numFmtId="168" formatCode="#,###_);\(#,###\)"/>
  </numFmts>
  <fonts count="14"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b/>
      <sz val="9"/>
      <color rgb="FF000000"/>
      <name val="Arial"/>
      <family val="2"/>
    </font>
    <font>
      <sz val="9"/>
      <color rgb="FF000000"/>
      <name val="Arial"/>
      <family val="2"/>
    </font>
    <font>
      <sz val="9"/>
      <name val="Arial"/>
      <family val="2"/>
    </font>
    <font>
      <sz val="11"/>
      <name val="Calibri"/>
      <family val="2"/>
      <scheme val="minor"/>
    </font>
  </fonts>
  <fills count="5">
    <fill>
      <patternFill patternType="none"/>
    </fill>
    <fill>
      <patternFill patternType="gray125"/>
    </fill>
    <fill>
      <patternFill patternType="solid">
        <fgColor rgb="FF0066FF"/>
        <bgColor indexed="64"/>
      </patternFill>
    </fill>
    <fill>
      <patternFill patternType="solid">
        <fgColor rgb="FF2E75B6"/>
        <bgColor indexed="64"/>
      </patternFill>
    </fill>
    <fill>
      <patternFill patternType="solid">
        <fgColor rgb="FFFFFF0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indexed="64"/>
      </left>
      <right style="thin">
        <color indexed="64"/>
      </right>
      <top/>
      <bottom/>
      <diagonal/>
    </border>
    <border>
      <left style="medium">
        <color rgb="FF000000"/>
      </left>
      <right style="medium">
        <color rgb="FF000000"/>
      </right>
      <top style="medium">
        <color indexed="64"/>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indexed="64"/>
      </right>
      <top style="medium">
        <color indexed="64"/>
      </top>
      <bottom style="medium">
        <color indexed="64"/>
      </bottom>
      <diagonal/>
    </border>
    <border>
      <left/>
      <right style="medium">
        <color rgb="FF000000"/>
      </right>
      <top style="medium">
        <color rgb="FF000000"/>
      </top>
      <bottom/>
      <diagonal/>
    </border>
    <border>
      <left style="medium">
        <color indexed="64"/>
      </left>
      <right style="medium">
        <color rgb="FF000000"/>
      </right>
      <top/>
      <bottom style="medium">
        <color rgb="FF000000"/>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right/>
      <top/>
      <bottom style="medium">
        <color indexed="64"/>
      </bottom>
      <diagonal/>
    </border>
    <border>
      <left/>
      <right style="medium">
        <color rgb="FF000000"/>
      </right>
      <top style="medium">
        <color indexed="64"/>
      </top>
      <bottom/>
      <diagonal/>
    </border>
    <border>
      <left/>
      <right style="medium">
        <color rgb="FF000000"/>
      </right>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style="thin">
        <color indexed="64"/>
      </top>
      <bottom style="thin">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114">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3" fillId="0" borderId="1" xfId="0" applyFont="1" applyBorder="1" applyAlignment="1">
      <alignment horizontal="left"/>
    </xf>
    <xf numFmtId="0" fontId="1" fillId="0" borderId="3" xfId="0" applyFont="1" applyBorder="1" applyAlignment="1">
      <alignment horizontal="center" vertical="center"/>
    </xf>
    <xf numFmtId="0" fontId="1" fillId="0" borderId="4" xfId="0" applyFont="1" applyBorder="1" applyAlignment="1">
      <alignment horizontal="center" vertical="center"/>
    </xf>
    <xf numFmtId="164" fontId="1" fillId="0" borderId="4" xfId="0" applyNumberFormat="1" applyFont="1"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2" fillId="0" borderId="6" xfId="0" applyFont="1" applyBorder="1" applyAlignment="1">
      <alignment horizontal="left"/>
    </xf>
    <xf numFmtId="165" fontId="2" fillId="0" borderId="6"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167" fontId="2" fillId="0" borderId="6" xfId="1" applyNumberFormat="1" applyFont="1" applyBorder="1"/>
    <xf numFmtId="0" fontId="3" fillId="0" borderId="7" xfId="0" applyFont="1" applyBorder="1" applyAlignment="1">
      <alignment horizontal="left"/>
    </xf>
    <xf numFmtId="0" fontId="2" fillId="0" borderId="7" xfId="0" applyFont="1" applyBorder="1" applyAlignment="1">
      <alignment horizontal="left"/>
    </xf>
    <xf numFmtId="164" fontId="2" fillId="0" borderId="7" xfId="0" applyNumberFormat="1" applyFont="1" applyBorder="1"/>
    <xf numFmtId="4" fontId="2" fillId="0" borderId="7" xfId="0" applyNumberFormat="1" applyFont="1" applyBorder="1"/>
    <xf numFmtId="10" fontId="2" fillId="0" borderId="7" xfId="0" applyNumberFormat="1" applyFont="1" applyBorder="1" applyAlignment="1">
      <alignment horizontal="right"/>
    </xf>
    <xf numFmtId="10" fontId="2" fillId="0" borderId="7" xfId="1" applyNumberFormat="1" applyFont="1" applyBorder="1"/>
    <xf numFmtId="164" fontId="3" fillId="0" borderId="7"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7" xfId="1" applyNumberFormat="1" applyFont="1" applyBorder="1"/>
    <xf numFmtId="4" fontId="2" fillId="0" borderId="8" xfId="0" applyNumberFormat="1" applyFont="1" applyBorder="1" applyAlignment="1">
      <alignment horizontal="right"/>
    </xf>
    <xf numFmtId="10" fontId="2" fillId="0" borderId="8"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166" fontId="2" fillId="0" borderId="7" xfId="0" applyNumberFormat="1" applyFont="1" applyBorder="1"/>
    <xf numFmtId="167" fontId="2" fillId="0" borderId="7" xfId="0" applyNumberFormat="1" applyFont="1" applyBorder="1" applyAlignment="1">
      <alignment horizontal="right"/>
    </xf>
    <xf numFmtId="0" fontId="3" fillId="0" borderId="9" xfId="0" applyFont="1" applyBorder="1" applyAlignment="1">
      <alignment horizontal="left"/>
    </xf>
    <xf numFmtId="164" fontId="3" fillId="0" borderId="9" xfId="0" applyNumberFormat="1" applyFont="1" applyBorder="1"/>
    <xf numFmtId="4" fontId="3" fillId="0" borderId="9" xfId="0" applyNumberFormat="1" applyFont="1" applyBorder="1"/>
    <xf numFmtId="10" fontId="3" fillId="0" borderId="9" xfId="0" applyNumberFormat="1" applyFont="1" applyBorder="1" applyAlignment="1">
      <alignment horizontal="right"/>
    </xf>
    <xf numFmtId="10" fontId="3" fillId="0" borderId="9" xfId="1" applyNumberFormat="1" applyFont="1" applyBorder="1"/>
    <xf numFmtId="0" fontId="3" fillId="0" borderId="6" xfId="0" applyFont="1" applyBorder="1" applyAlignment="1">
      <alignment horizontal="left"/>
    </xf>
    <xf numFmtId="0" fontId="2" fillId="0" borderId="10" xfId="0" applyFont="1" applyBorder="1" applyAlignment="1">
      <alignment horizontal="left"/>
    </xf>
    <xf numFmtId="168" fontId="2" fillId="0" borderId="10" xfId="0" applyNumberFormat="1" applyFont="1" applyBorder="1" applyAlignment="1">
      <alignment horizontal="left"/>
    </xf>
    <xf numFmtId="166" fontId="2" fillId="0" borderId="10" xfId="0" applyNumberFormat="1" applyFont="1" applyBorder="1" applyAlignment="1">
      <alignment horizontal="left"/>
    </xf>
    <xf numFmtId="10" fontId="2" fillId="0" borderId="10" xfId="0" applyNumberFormat="1" applyFont="1" applyBorder="1"/>
    <xf numFmtId="168" fontId="3" fillId="0" borderId="1" xfId="0" applyNumberFormat="1" applyFont="1" applyBorder="1" applyAlignment="1">
      <alignment horizontal="left"/>
    </xf>
    <xf numFmtId="166" fontId="3" fillId="0" borderId="1" xfId="0" applyNumberFormat="1" applyFont="1" applyBorder="1" applyAlignment="1">
      <alignment horizontal="left"/>
    </xf>
    <xf numFmtId="10" fontId="3" fillId="0" borderId="1" xfId="0" applyNumberFormat="1" applyFont="1" applyBorder="1"/>
    <xf numFmtId="10" fontId="2" fillId="0" borderId="0" xfId="0" applyNumberFormat="1" applyFont="1" applyAlignment="1">
      <alignment horizontal="left"/>
    </xf>
    <xf numFmtId="0" fontId="6" fillId="0" borderId="8" xfId="0" applyFont="1" applyBorder="1"/>
    <xf numFmtId="0" fontId="0" fillId="0" borderId="8" xfId="0" applyBorder="1"/>
    <xf numFmtId="0" fontId="8" fillId="3" borderId="11" xfId="0" applyFont="1" applyFill="1" applyBorder="1" applyAlignment="1">
      <alignment horizontal="left" vertical="center" wrapText="1" readingOrder="1"/>
    </xf>
    <xf numFmtId="0" fontId="8" fillId="3" borderId="11" xfId="0" applyFont="1" applyFill="1" applyBorder="1" applyAlignment="1">
      <alignment horizontal="center" vertical="center" wrapText="1" readingOrder="1"/>
    </xf>
    <xf numFmtId="0" fontId="9" fillId="0" borderId="0" xfId="0" applyFont="1" applyAlignment="1">
      <alignment horizontal="left" vertical="center" indent="3" readingOrder="1"/>
    </xf>
    <xf numFmtId="0" fontId="2" fillId="0" borderId="0" xfId="0" applyFont="1" applyAlignment="1">
      <alignment horizontal="center"/>
    </xf>
    <xf numFmtId="0" fontId="10" fillId="0" borderId="0" xfId="0" applyFont="1" applyAlignment="1">
      <alignment horizontal="center" vertical="center" readingOrder="1"/>
    </xf>
    <xf numFmtId="0" fontId="11" fillId="0" borderId="0" xfId="0" applyFont="1" applyAlignment="1">
      <alignment horizontal="center" vertical="center" wrapText="1" readingOrder="1"/>
    </xf>
    <xf numFmtId="0" fontId="8" fillId="3" borderId="20" xfId="0" applyFont="1" applyFill="1" applyBorder="1" applyAlignment="1">
      <alignment horizontal="center" vertical="center" wrapText="1" readingOrder="1"/>
    </xf>
    <xf numFmtId="0" fontId="9" fillId="0" borderId="12" xfId="0" applyFont="1" applyBorder="1" applyAlignment="1">
      <alignment horizontal="left" vertical="center" wrapText="1" indent="3" readingOrder="1"/>
    </xf>
    <xf numFmtId="0" fontId="10" fillId="0" borderId="22" xfId="0" applyFont="1" applyBorder="1" applyAlignment="1">
      <alignment horizontal="center" vertical="center" wrapText="1" readingOrder="1"/>
    </xf>
    <xf numFmtId="0" fontId="12" fillId="0" borderId="13" xfId="0" applyFont="1" applyBorder="1" applyAlignment="1">
      <alignment horizontal="left" vertical="center" wrapText="1" indent="3" readingOrder="1"/>
    </xf>
    <xf numFmtId="2" fontId="9" fillId="0" borderId="12" xfId="0" applyNumberFormat="1" applyFont="1" applyBorder="1" applyAlignment="1">
      <alignment horizontal="left" vertical="center" wrapText="1" readingOrder="1"/>
    </xf>
    <xf numFmtId="0" fontId="12" fillId="0" borderId="14" xfId="0" applyFont="1" applyBorder="1" applyAlignment="1">
      <alignment horizontal="left" vertical="center" wrapText="1" indent="3" readingOrder="1"/>
    </xf>
    <xf numFmtId="0" fontId="12" fillId="0" borderId="17" xfId="0" applyFont="1" applyBorder="1" applyAlignment="1">
      <alignment horizontal="center" vertical="center" wrapText="1" readingOrder="1"/>
    </xf>
    <xf numFmtId="0" fontId="9" fillId="0" borderId="13" xfId="0" applyFont="1" applyBorder="1" applyAlignment="1">
      <alignment horizontal="left" vertical="center" wrapText="1" indent="3" readingOrder="1"/>
    </xf>
    <xf numFmtId="0" fontId="12" fillId="0" borderId="14" xfId="0" applyFont="1" applyBorder="1" applyAlignment="1">
      <alignment horizontal="center" vertical="center" wrapText="1" readingOrder="1"/>
    </xf>
    <xf numFmtId="0" fontId="12" fillId="0" borderId="13" xfId="0" applyFont="1" applyBorder="1" applyAlignment="1">
      <alignment horizontal="center" vertical="center" wrapText="1" readingOrder="1"/>
    </xf>
    <xf numFmtId="0" fontId="9" fillId="0" borderId="14" xfId="0" applyFont="1" applyBorder="1" applyAlignment="1">
      <alignment horizontal="left" vertical="center" wrapText="1" indent="3" readingOrder="1"/>
    </xf>
    <xf numFmtId="0" fontId="2" fillId="4" borderId="7" xfId="0" applyFont="1" applyFill="1" applyBorder="1" applyAlignment="1">
      <alignment horizontal="left"/>
    </xf>
    <xf numFmtId="0" fontId="6" fillId="0" borderId="0" xfId="0" applyFont="1" applyAlignment="1">
      <alignment horizontal="center" vertical="center"/>
    </xf>
    <xf numFmtId="0" fontId="7" fillId="2" borderId="2" xfId="0" applyFont="1" applyFill="1" applyBorder="1" applyAlignment="1">
      <alignment horizontal="center" vertical="center"/>
    </xf>
    <xf numFmtId="0" fontId="8" fillId="0" borderId="0" xfId="0" applyFont="1" applyAlignment="1">
      <alignment horizontal="center" vertical="center" wrapText="1" readingOrder="1"/>
    </xf>
    <xf numFmtId="0" fontId="8" fillId="0" borderId="25" xfId="0" applyFont="1" applyBorder="1" applyAlignment="1">
      <alignment horizontal="center" vertical="center" wrapText="1" readingOrder="1"/>
    </xf>
    <xf numFmtId="0" fontId="11" fillId="0" borderId="15" xfId="0" applyFont="1" applyBorder="1" applyAlignment="1">
      <alignment horizontal="center" vertical="center" readingOrder="1"/>
    </xf>
    <xf numFmtId="0" fontId="11" fillId="0" borderId="16" xfId="0" applyFont="1" applyBorder="1" applyAlignment="1">
      <alignment horizontal="center" vertical="center" readingOrder="1"/>
    </xf>
    <xf numFmtId="0" fontId="8" fillId="0" borderId="21" xfId="0" applyFont="1" applyBorder="1" applyAlignment="1">
      <alignment horizontal="center" vertical="center" wrapText="1" readingOrder="1"/>
    </xf>
    <xf numFmtId="0" fontId="8" fillId="0" borderId="19" xfId="0" applyFont="1" applyBorder="1" applyAlignment="1">
      <alignment horizontal="center" vertical="center" wrapText="1" readingOrder="1"/>
    </xf>
    <xf numFmtId="0" fontId="8" fillId="0" borderId="18" xfId="0" applyFont="1" applyBorder="1" applyAlignment="1">
      <alignment horizontal="center" vertical="center" wrapText="1" readingOrder="1"/>
    </xf>
    <xf numFmtId="0" fontId="8" fillId="0" borderId="23" xfId="0" applyFont="1" applyBorder="1" applyAlignment="1">
      <alignment horizontal="center" vertical="center" wrapText="1" readingOrder="1"/>
    </xf>
    <xf numFmtId="0" fontId="8" fillId="0" borderId="13" xfId="0" applyFont="1" applyBorder="1" applyAlignment="1">
      <alignment horizontal="center" vertical="center" wrapText="1" readingOrder="1"/>
    </xf>
    <xf numFmtId="0" fontId="8" fillId="0" borderId="24" xfId="0" applyFont="1" applyBorder="1" applyAlignment="1">
      <alignment horizontal="center" vertical="center" wrapText="1" readingOrder="1"/>
    </xf>
    <xf numFmtId="0" fontId="11" fillId="0" borderId="12" xfId="0" applyFont="1" applyBorder="1" applyAlignment="1">
      <alignment horizontal="center" vertical="center" wrapText="1" readingOrder="1"/>
    </xf>
    <xf numFmtId="0" fontId="11" fillId="0" borderId="13" xfId="0" applyFont="1" applyBorder="1" applyAlignment="1">
      <alignment horizontal="center" vertical="center" wrapText="1" readingOrder="1"/>
    </xf>
    <xf numFmtId="0" fontId="8" fillId="0" borderId="12" xfId="0" applyFont="1" applyBorder="1" applyAlignment="1">
      <alignment horizontal="center" vertical="center" wrapText="1" readingOrder="1"/>
    </xf>
    <xf numFmtId="0" fontId="8" fillId="0" borderId="14" xfId="0" applyFont="1" applyBorder="1" applyAlignment="1">
      <alignment horizontal="center" vertical="center" wrapText="1" readingOrder="1"/>
    </xf>
    <xf numFmtId="0" fontId="8" fillId="0" borderId="26" xfId="0" applyFont="1" applyBorder="1" applyAlignment="1">
      <alignment horizontal="center" vertical="center" wrapText="1" readingOrder="1"/>
    </xf>
    <xf numFmtId="0" fontId="8" fillId="0" borderId="27" xfId="0" applyFont="1" applyBorder="1" applyAlignment="1">
      <alignment horizontal="center" vertical="center" wrapText="1" readingOrder="1"/>
    </xf>
    <xf numFmtId="0" fontId="2" fillId="0" borderId="28" xfId="0" applyFont="1" applyBorder="1" applyAlignment="1">
      <alignment horizontal="left"/>
    </xf>
    <xf numFmtId="167" fontId="2" fillId="0" borderId="29" xfId="1" applyNumberFormat="1" applyFont="1" applyBorder="1"/>
    <xf numFmtId="0" fontId="2" fillId="0" borderId="30" xfId="0" applyFont="1" applyBorder="1" applyAlignment="1">
      <alignment horizontal="left"/>
    </xf>
    <xf numFmtId="164" fontId="2" fillId="0" borderId="10" xfId="0" applyNumberFormat="1" applyFont="1" applyBorder="1"/>
    <xf numFmtId="4" fontId="2" fillId="0" borderId="10" xfId="0" applyNumberFormat="1" applyFont="1" applyBorder="1"/>
    <xf numFmtId="10" fontId="2" fillId="0" borderId="10" xfId="0" applyNumberFormat="1" applyFont="1" applyBorder="1" applyAlignment="1">
      <alignment horizontal="right"/>
    </xf>
    <xf numFmtId="10" fontId="2" fillId="0" borderId="31" xfId="1" applyNumberFormat="1" applyFont="1" applyBorder="1"/>
    <xf numFmtId="0" fontId="3" fillId="0" borderId="30" xfId="0" applyFont="1" applyBorder="1" applyAlignment="1">
      <alignment horizontal="left"/>
    </xf>
    <xf numFmtId="0" fontId="3" fillId="0" borderId="10" xfId="0" applyFont="1" applyBorder="1" applyAlignment="1">
      <alignment horizontal="left"/>
    </xf>
    <xf numFmtId="164" fontId="3" fillId="0" borderId="10" xfId="0" applyNumberFormat="1" applyFont="1" applyBorder="1"/>
    <xf numFmtId="10" fontId="3" fillId="0" borderId="8" xfId="1" applyNumberFormat="1" applyFont="1" applyBorder="1"/>
    <xf numFmtId="10" fontId="3" fillId="0" borderId="31" xfId="1" applyNumberFormat="1" applyFont="1" applyBorder="1"/>
    <xf numFmtId="0" fontId="3" fillId="0" borderId="32" xfId="0" applyFont="1" applyBorder="1" applyAlignment="1">
      <alignment horizontal="left"/>
    </xf>
    <xf numFmtId="166" fontId="2" fillId="0" borderId="10" xfId="0" applyNumberFormat="1" applyFont="1" applyBorder="1"/>
    <xf numFmtId="167" fontId="2" fillId="0" borderId="10" xfId="0" applyNumberFormat="1" applyFont="1" applyBorder="1" applyAlignment="1">
      <alignment horizontal="right"/>
    </xf>
    <xf numFmtId="0" fontId="3" fillId="0" borderId="33" xfId="0" applyFont="1" applyBorder="1" applyAlignment="1">
      <alignment horizontal="left"/>
    </xf>
    <xf numFmtId="0" fontId="3" fillId="0" borderId="34" xfId="0" applyFont="1" applyBorder="1" applyAlignment="1">
      <alignment horizontal="left"/>
    </xf>
    <xf numFmtId="164" fontId="3" fillId="0" borderId="34" xfId="0" applyNumberFormat="1" applyFont="1" applyBorder="1"/>
    <xf numFmtId="4" fontId="3" fillId="0" borderId="34" xfId="0" applyNumberFormat="1" applyFont="1" applyBorder="1"/>
    <xf numFmtId="10" fontId="3" fillId="0" borderId="34" xfId="0" applyNumberFormat="1" applyFont="1" applyBorder="1" applyAlignment="1">
      <alignment horizontal="right"/>
    </xf>
    <xf numFmtId="10" fontId="3" fillId="0" borderId="35" xfId="1" applyNumberFormat="1" applyFont="1" applyBorder="1"/>
    <xf numFmtId="0" fontId="13" fillId="0" borderId="8" xfId="2" applyFont="1" applyBorder="1"/>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6.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9.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3.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22.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26.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2</xdr:col>
      <xdr:colOff>57150</xdr:colOff>
      <xdr:row>133</xdr:row>
      <xdr:rowOff>50800</xdr:rowOff>
    </xdr:from>
    <xdr:to>
      <xdr:col>2</xdr:col>
      <xdr:colOff>1765299</xdr:colOff>
      <xdr:row>136</xdr:row>
      <xdr:rowOff>285750</xdr:rowOff>
    </xdr:to>
    <xdr:pic>
      <xdr:nvPicPr>
        <xdr:cNvPr id="2" name="Picture 1">
          <a:extLst>
            <a:ext uri="{FF2B5EF4-FFF2-40B4-BE49-F238E27FC236}">
              <a16:creationId xmlns:a16="http://schemas.microsoft.com/office/drawing/2014/main" id="{39856288-CCCF-4C78-A95E-B926E58E99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03550" y="26644600"/>
          <a:ext cx="1708149" cy="1663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63500</xdr:colOff>
      <xdr:row>133</xdr:row>
      <xdr:rowOff>44450</xdr:rowOff>
    </xdr:from>
    <xdr:to>
      <xdr:col>4</xdr:col>
      <xdr:colOff>1860549</xdr:colOff>
      <xdr:row>136</xdr:row>
      <xdr:rowOff>336550</xdr:rowOff>
    </xdr:to>
    <xdr:pic>
      <xdr:nvPicPr>
        <xdr:cNvPr id="3" name="Picture 2">
          <a:extLst>
            <a:ext uri="{FF2B5EF4-FFF2-40B4-BE49-F238E27FC236}">
              <a16:creationId xmlns:a16="http://schemas.microsoft.com/office/drawing/2014/main" id="{80A11A76-224B-4B7D-9D62-9BE0646CAC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13600" y="26638250"/>
          <a:ext cx="1797049" cy="1720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66675</xdr:colOff>
      <xdr:row>129</xdr:row>
      <xdr:rowOff>38100</xdr:rowOff>
    </xdr:from>
    <xdr:to>
      <xdr:col>4</xdr:col>
      <xdr:colOff>2025650</xdr:colOff>
      <xdr:row>132</xdr:row>
      <xdr:rowOff>266700</xdr:rowOff>
    </xdr:to>
    <xdr:pic>
      <xdr:nvPicPr>
        <xdr:cNvPr id="2" name="Picture 1">
          <a:extLst>
            <a:ext uri="{FF2B5EF4-FFF2-40B4-BE49-F238E27FC236}">
              <a16:creationId xmlns:a16="http://schemas.microsoft.com/office/drawing/2014/main" id="{B9B06089-9B74-45D7-8DDC-E194A64C91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0075" y="25844500"/>
          <a:ext cx="1958975" cy="157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70084</xdr:colOff>
      <xdr:row>129</xdr:row>
      <xdr:rowOff>50800</xdr:rowOff>
    </xdr:from>
    <xdr:to>
      <xdr:col>2</xdr:col>
      <xdr:colOff>1553965</xdr:colOff>
      <xdr:row>132</xdr:row>
      <xdr:rowOff>228600</xdr:rowOff>
    </xdr:to>
    <xdr:pic>
      <xdr:nvPicPr>
        <xdr:cNvPr id="3" name="Picture 2">
          <a:extLst>
            <a:ext uri="{FF2B5EF4-FFF2-40B4-BE49-F238E27FC236}">
              <a16:creationId xmlns:a16="http://schemas.microsoft.com/office/drawing/2014/main" id="{CE9B57FA-B620-4515-BD29-4D2AF398C22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16484" y="25857200"/>
          <a:ext cx="1483881" cy="15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38101</xdr:colOff>
      <xdr:row>109</xdr:row>
      <xdr:rowOff>8126</xdr:rowOff>
    </xdr:from>
    <xdr:to>
      <xdr:col>2</xdr:col>
      <xdr:colOff>1955801</xdr:colOff>
      <xdr:row>112</xdr:row>
      <xdr:rowOff>184150</xdr:rowOff>
    </xdr:to>
    <xdr:pic>
      <xdr:nvPicPr>
        <xdr:cNvPr id="2" name="Picture 1">
          <a:extLst>
            <a:ext uri="{FF2B5EF4-FFF2-40B4-BE49-F238E27FC236}">
              <a16:creationId xmlns:a16="http://schemas.microsoft.com/office/drawing/2014/main" id="{0E81B9F2-8F6E-438D-BDF9-EB62142C30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6351" y="21877526"/>
          <a:ext cx="1917700" cy="1319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25401</xdr:colOff>
      <xdr:row>109</xdr:row>
      <xdr:rowOff>24179</xdr:rowOff>
    </xdr:from>
    <xdr:to>
      <xdr:col>4</xdr:col>
      <xdr:colOff>1797050</xdr:colOff>
      <xdr:row>112</xdr:row>
      <xdr:rowOff>222250</xdr:rowOff>
    </xdr:to>
    <xdr:pic>
      <xdr:nvPicPr>
        <xdr:cNvPr id="3" name="Picture 2">
          <a:extLst>
            <a:ext uri="{FF2B5EF4-FFF2-40B4-BE49-F238E27FC236}">
              <a16:creationId xmlns:a16="http://schemas.microsoft.com/office/drawing/2014/main" id="{20ABA7D6-2D59-44A8-A6B5-B53A79C63A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02551" y="21893579"/>
          <a:ext cx="1771649" cy="13410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22785</xdr:colOff>
      <xdr:row>50</xdr:row>
      <xdr:rowOff>47514</xdr:rowOff>
    </xdr:from>
    <xdr:to>
      <xdr:col>2</xdr:col>
      <xdr:colOff>1924050</xdr:colOff>
      <xdr:row>53</xdr:row>
      <xdr:rowOff>298450</xdr:rowOff>
    </xdr:to>
    <xdr:pic>
      <xdr:nvPicPr>
        <xdr:cNvPr id="2" name="Picture 1">
          <a:extLst>
            <a:ext uri="{FF2B5EF4-FFF2-40B4-BE49-F238E27FC236}">
              <a16:creationId xmlns:a16="http://schemas.microsoft.com/office/drawing/2014/main" id="{EFCDA442-6E9B-4D54-816A-3565B30A84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1035" y="10302764"/>
          <a:ext cx="1901265" cy="15717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57150</xdr:colOff>
      <xdr:row>50</xdr:row>
      <xdr:rowOff>38100</xdr:rowOff>
    </xdr:from>
    <xdr:to>
      <xdr:col>4</xdr:col>
      <xdr:colOff>2048295</xdr:colOff>
      <xdr:row>53</xdr:row>
      <xdr:rowOff>349250</xdr:rowOff>
    </xdr:to>
    <xdr:pic>
      <xdr:nvPicPr>
        <xdr:cNvPr id="3" name="Picture 2">
          <a:extLst>
            <a:ext uri="{FF2B5EF4-FFF2-40B4-BE49-F238E27FC236}">
              <a16:creationId xmlns:a16="http://schemas.microsoft.com/office/drawing/2014/main" id="{CD95A93D-D709-4E18-AAF3-071C1B92F8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77150" y="10293350"/>
          <a:ext cx="1991145" cy="163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57151</xdr:colOff>
      <xdr:row>87</xdr:row>
      <xdr:rowOff>53555</xdr:rowOff>
    </xdr:from>
    <xdr:to>
      <xdr:col>5</xdr:col>
      <xdr:colOff>1</xdr:colOff>
      <xdr:row>90</xdr:row>
      <xdr:rowOff>247650</xdr:rowOff>
    </xdr:to>
    <xdr:pic>
      <xdr:nvPicPr>
        <xdr:cNvPr id="2" name="Picture 1">
          <a:extLst>
            <a:ext uri="{FF2B5EF4-FFF2-40B4-BE49-F238E27FC236}">
              <a16:creationId xmlns:a16="http://schemas.microsoft.com/office/drawing/2014/main" id="{E1113869-A0EF-45E4-8B4C-7A7A945D95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07301" y="17592255"/>
          <a:ext cx="1847850" cy="1578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62379</xdr:colOff>
      <xdr:row>87</xdr:row>
      <xdr:rowOff>61768</xdr:rowOff>
    </xdr:from>
    <xdr:to>
      <xdr:col>3</xdr:col>
      <xdr:colOff>0</xdr:colOff>
      <xdr:row>90</xdr:row>
      <xdr:rowOff>234950</xdr:rowOff>
    </xdr:to>
    <xdr:pic>
      <xdr:nvPicPr>
        <xdr:cNvPr id="3" name="Picture 2">
          <a:extLst>
            <a:ext uri="{FF2B5EF4-FFF2-40B4-BE49-F238E27FC236}">
              <a16:creationId xmlns:a16="http://schemas.microsoft.com/office/drawing/2014/main" id="{668FC2C6-307B-4888-AB5C-0D1245DEEC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40629" y="17600468"/>
          <a:ext cx="1785471" cy="15574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50801</xdr:colOff>
      <xdr:row>96</xdr:row>
      <xdr:rowOff>58171</xdr:rowOff>
    </xdr:from>
    <xdr:to>
      <xdr:col>4</xdr:col>
      <xdr:colOff>1885951</xdr:colOff>
      <xdr:row>99</xdr:row>
      <xdr:rowOff>266700</xdr:rowOff>
    </xdr:to>
    <xdr:pic>
      <xdr:nvPicPr>
        <xdr:cNvPr id="2" name="Picture 1">
          <a:extLst>
            <a:ext uri="{FF2B5EF4-FFF2-40B4-BE49-F238E27FC236}">
              <a16:creationId xmlns:a16="http://schemas.microsoft.com/office/drawing/2014/main" id="{C725029B-3359-417E-A962-E3188797AE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37451" y="19368521"/>
          <a:ext cx="1835150" cy="15928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63501</xdr:colOff>
      <xdr:row>96</xdr:row>
      <xdr:rowOff>38100</xdr:rowOff>
    </xdr:from>
    <xdr:to>
      <xdr:col>2</xdr:col>
      <xdr:colOff>1758950</xdr:colOff>
      <xdr:row>99</xdr:row>
      <xdr:rowOff>228600</xdr:rowOff>
    </xdr:to>
    <xdr:pic>
      <xdr:nvPicPr>
        <xdr:cNvPr id="3" name="Picture 2">
          <a:extLst>
            <a:ext uri="{FF2B5EF4-FFF2-40B4-BE49-F238E27FC236}">
              <a16:creationId xmlns:a16="http://schemas.microsoft.com/office/drawing/2014/main" id="{1A4CCEDF-B7F0-42B9-AAF5-944732FDB3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41751" y="19348450"/>
          <a:ext cx="1695449" cy="157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63501</xdr:colOff>
      <xdr:row>43</xdr:row>
      <xdr:rowOff>25401</xdr:rowOff>
    </xdr:from>
    <xdr:to>
      <xdr:col>2</xdr:col>
      <xdr:colOff>1765300</xdr:colOff>
      <xdr:row>46</xdr:row>
      <xdr:rowOff>215900</xdr:rowOff>
    </xdr:to>
    <xdr:pic>
      <xdr:nvPicPr>
        <xdr:cNvPr id="2" name="Picture 1">
          <a:extLst>
            <a:ext uri="{FF2B5EF4-FFF2-40B4-BE49-F238E27FC236}">
              <a16:creationId xmlns:a16="http://schemas.microsoft.com/office/drawing/2014/main" id="{4E584F26-EE36-4C31-A234-3E9FE4ADDD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1751" y="8902701"/>
          <a:ext cx="1701799" cy="1574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25401</xdr:colOff>
      <xdr:row>43</xdr:row>
      <xdr:rowOff>19051</xdr:rowOff>
    </xdr:from>
    <xdr:to>
      <xdr:col>4</xdr:col>
      <xdr:colOff>1905000</xdr:colOff>
      <xdr:row>46</xdr:row>
      <xdr:rowOff>254000</xdr:rowOff>
    </xdr:to>
    <xdr:pic>
      <xdr:nvPicPr>
        <xdr:cNvPr id="3" name="Picture 2">
          <a:extLst>
            <a:ext uri="{FF2B5EF4-FFF2-40B4-BE49-F238E27FC236}">
              <a16:creationId xmlns:a16="http://schemas.microsoft.com/office/drawing/2014/main" id="{D111368F-DDE5-49A8-BB0C-6A012A49E2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37451" y="8896351"/>
          <a:ext cx="1879599" cy="1619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19051</xdr:colOff>
      <xdr:row>83</xdr:row>
      <xdr:rowOff>19051</xdr:rowOff>
    </xdr:from>
    <xdr:to>
      <xdr:col>4</xdr:col>
      <xdr:colOff>1898651</xdr:colOff>
      <xdr:row>86</xdr:row>
      <xdr:rowOff>234950</xdr:rowOff>
    </xdr:to>
    <xdr:pic>
      <xdr:nvPicPr>
        <xdr:cNvPr id="2" name="Picture 1">
          <a:extLst>
            <a:ext uri="{FF2B5EF4-FFF2-40B4-BE49-F238E27FC236}">
              <a16:creationId xmlns:a16="http://schemas.microsoft.com/office/drawing/2014/main" id="{A8CF377B-DFB1-4F92-B637-3F5751596B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73951" y="16770351"/>
          <a:ext cx="1879600" cy="1600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83</xdr:row>
      <xdr:rowOff>19050</xdr:rowOff>
    </xdr:from>
    <xdr:to>
      <xdr:col>2</xdr:col>
      <xdr:colOff>1778000</xdr:colOff>
      <xdr:row>86</xdr:row>
      <xdr:rowOff>234950</xdr:rowOff>
    </xdr:to>
    <xdr:pic>
      <xdr:nvPicPr>
        <xdr:cNvPr id="3" name="Picture 2">
          <a:extLst>
            <a:ext uri="{FF2B5EF4-FFF2-40B4-BE49-F238E27FC236}">
              <a16:creationId xmlns:a16="http://schemas.microsoft.com/office/drawing/2014/main" id="{A821FB9A-5349-4614-BC29-982B73353B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0" y="16770350"/>
          <a:ext cx="1778000" cy="160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82551</xdr:colOff>
      <xdr:row>115</xdr:row>
      <xdr:rowOff>50800</xdr:rowOff>
    </xdr:from>
    <xdr:to>
      <xdr:col>4</xdr:col>
      <xdr:colOff>1752600</xdr:colOff>
      <xdr:row>118</xdr:row>
      <xdr:rowOff>254000</xdr:rowOff>
    </xdr:to>
    <xdr:pic>
      <xdr:nvPicPr>
        <xdr:cNvPr id="2" name="Picture 1">
          <a:extLst>
            <a:ext uri="{FF2B5EF4-FFF2-40B4-BE49-F238E27FC236}">
              <a16:creationId xmlns:a16="http://schemas.microsoft.com/office/drawing/2014/main" id="{75A04503-D56B-4C1B-B112-6087688933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42201" y="23101300"/>
          <a:ext cx="1670049" cy="163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63500</xdr:colOff>
      <xdr:row>115</xdr:row>
      <xdr:rowOff>50800</xdr:rowOff>
    </xdr:from>
    <xdr:to>
      <xdr:col>2</xdr:col>
      <xdr:colOff>1786716</xdr:colOff>
      <xdr:row>118</xdr:row>
      <xdr:rowOff>228600</xdr:rowOff>
    </xdr:to>
    <xdr:pic>
      <xdr:nvPicPr>
        <xdr:cNvPr id="3" name="Picture 2">
          <a:extLst>
            <a:ext uri="{FF2B5EF4-FFF2-40B4-BE49-F238E27FC236}">
              <a16:creationId xmlns:a16="http://schemas.microsoft.com/office/drawing/2014/main" id="{7AD309FF-C2E2-49E2-81B3-1A0370162D8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09900" y="23101300"/>
          <a:ext cx="1723216" cy="161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31749</xdr:colOff>
      <xdr:row>99</xdr:row>
      <xdr:rowOff>1</xdr:rowOff>
    </xdr:from>
    <xdr:to>
      <xdr:col>4</xdr:col>
      <xdr:colOff>2025650</xdr:colOff>
      <xdr:row>102</xdr:row>
      <xdr:rowOff>311150</xdr:rowOff>
    </xdr:to>
    <xdr:pic>
      <xdr:nvPicPr>
        <xdr:cNvPr id="2" name="Picture 1">
          <a:extLst>
            <a:ext uri="{FF2B5EF4-FFF2-40B4-BE49-F238E27FC236}">
              <a16:creationId xmlns:a16="http://schemas.microsoft.com/office/drawing/2014/main" id="{F9C2565D-F6CC-456E-86F8-6DAD48E1EF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6349" y="19900901"/>
          <a:ext cx="1993901" cy="1619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50800</xdr:colOff>
      <xdr:row>99</xdr:row>
      <xdr:rowOff>0</xdr:rowOff>
    </xdr:from>
    <xdr:to>
      <xdr:col>2</xdr:col>
      <xdr:colOff>1917700</xdr:colOff>
      <xdr:row>102</xdr:row>
      <xdr:rowOff>323850</xdr:rowOff>
    </xdr:to>
    <xdr:pic>
      <xdr:nvPicPr>
        <xdr:cNvPr id="3" name="Picture 2">
          <a:extLst>
            <a:ext uri="{FF2B5EF4-FFF2-40B4-BE49-F238E27FC236}">
              <a16:creationId xmlns:a16="http://schemas.microsoft.com/office/drawing/2014/main" id="{C85470E5-459F-4785-8821-EA34C4F559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29050" y="19900900"/>
          <a:ext cx="1866900" cy="163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6351</xdr:colOff>
      <xdr:row>93</xdr:row>
      <xdr:rowOff>25401</xdr:rowOff>
    </xdr:from>
    <xdr:to>
      <xdr:col>2</xdr:col>
      <xdr:colOff>1778000</xdr:colOff>
      <xdr:row>96</xdr:row>
      <xdr:rowOff>215900</xdr:rowOff>
    </xdr:to>
    <xdr:pic>
      <xdr:nvPicPr>
        <xdr:cNvPr id="2" name="Picture 1">
          <a:extLst>
            <a:ext uri="{FF2B5EF4-FFF2-40B4-BE49-F238E27FC236}">
              <a16:creationId xmlns:a16="http://schemas.microsoft.com/office/drawing/2014/main" id="{F9392962-9D2F-4BEE-B116-7724A6C9A7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84601" y="18745201"/>
          <a:ext cx="1771649" cy="1574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31751</xdr:colOff>
      <xdr:row>93</xdr:row>
      <xdr:rowOff>25401</xdr:rowOff>
    </xdr:from>
    <xdr:to>
      <xdr:col>4</xdr:col>
      <xdr:colOff>1968500</xdr:colOff>
      <xdr:row>96</xdr:row>
      <xdr:rowOff>260350</xdr:rowOff>
    </xdr:to>
    <xdr:pic>
      <xdr:nvPicPr>
        <xdr:cNvPr id="3" name="Picture 2">
          <a:extLst>
            <a:ext uri="{FF2B5EF4-FFF2-40B4-BE49-F238E27FC236}">
              <a16:creationId xmlns:a16="http://schemas.microsoft.com/office/drawing/2014/main" id="{AE62FCFB-9E0E-49EE-9C5F-46E331E23F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93001" y="18745201"/>
          <a:ext cx="1936749" cy="1619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1</xdr:colOff>
      <xdr:row>51</xdr:row>
      <xdr:rowOff>0</xdr:rowOff>
    </xdr:from>
    <xdr:to>
      <xdr:col>3</xdr:col>
      <xdr:colOff>0</xdr:colOff>
      <xdr:row>54</xdr:row>
      <xdr:rowOff>247650</xdr:rowOff>
    </xdr:to>
    <xdr:pic>
      <xdr:nvPicPr>
        <xdr:cNvPr id="2" name="Picture 1">
          <a:extLst>
            <a:ext uri="{FF2B5EF4-FFF2-40B4-BE49-F238E27FC236}">
              <a16:creationId xmlns:a16="http://schemas.microsoft.com/office/drawing/2014/main" id="{ADD2937D-E74A-4312-9DA4-C22EFDAA7D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0452100"/>
          <a:ext cx="1771649" cy="163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51</xdr:row>
      <xdr:rowOff>1</xdr:rowOff>
    </xdr:from>
    <xdr:to>
      <xdr:col>5</xdr:col>
      <xdr:colOff>3175</xdr:colOff>
      <xdr:row>54</xdr:row>
      <xdr:rowOff>266700</xdr:rowOff>
    </xdr:to>
    <xdr:pic>
      <xdr:nvPicPr>
        <xdr:cNvPr id="3" name="Picture 2">
          <a:extLst>
            <a:ext uri="{FF2B5EF4-FFF2-40B4-BE49-F238E27FC236}">
              <a16:creationId xmlns:a16="http://schemas.microsoft.com/office/drawing/2014/main" id="{0F6931B0-94A4-4043-8BF8-FD93C0018C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29501" y="10452101"/>
          <a:ext cx="1917699" cy="1650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44450</xdr:colOff>
      <xdr:row>22</xdr:row>
      <xdr:rowOff>38747</xdr:rowOff>
    </xdr:from>
    <xdr:to>
      <xdr:col>4</xdr:col>
      <xdr:colOff>1701799</xdr:colOff>
      <xdr:row>25</xdr:row>
      <xdr:rowOff>254000</xdr:rowOff>
    </xdr:to>
    <xdr:pic>
      <xdr:nvPicPr>
        <xdr:cNvPr id="2" name="Picture 1">
          <a:extLst>
            <a:ext uri="{FF2B5EF4-FFF2-40B4-BE49-F238E27FC236}">
              <a16:creationId xmlns:a16="http://schemas.microsoft.com/office/drawing/2014/main" id="{38A43A5C-D5AB-4F40-8DA4-8A9E3C80CF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62850" y="4782197"/>
          <a:ext cx="1657349" cy="15995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22</xdr:row>
      <xdr:rowOff>1</xdr:rowOff>
    </xdr:from>
    <xdr:to>
      <xdr:col>2</xdr:col>
      <xdr:colOff>1841500</xdr:colOff>
      <xdr:row>25</xdr:row>
      <xdr:rowOff>254000</xdr:rowOff>
    </xdr:to>
    <xdr:pic>
      <xdr:nvPicPr>
        <xdr:cNvPr id="3" name="Picture 2">
          <a:extLst>
            <a:ext uri="{FF2B5EF4-FFF2-40B4-BE49-F238E27FC236}">
              <a16:creationId xmlns:a16="http://schemas.microsoft.com/office/drawing/2014/main" id="{5E6CABC6-1B29-444B-988C-1A647DED1C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4743451"/>
          <a:ext cx="1841499" cy="1638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30628</xdr:colOff>
      <xdr:row>86</xdr:row>
      <xdr:rowOff>44451</xdr:rowOff>
    </xdr:from>
    <xdr:to>
      <xdr:col>2</xdr:col>
      <xdr:colOff>1809750</xdr:colOff>
      <xdr:row>89</xdr:row>
      <xdr:rowOff>266700</xdr:rowOff>
    </xdr:to>
    <xdr:pic>
      <xdr:nvPicPr>
        <xdr:cNvPr id="2" name="Picture 1">
          <a:extLst>
            <a:ext uri="{FF2B5EF4-FFF2-40B4-BE49-F238E27FC236}">
              <a16:creationId xmlns:a16="http://schemas.microsoft.com/office/drawing/2014/main" id="{DA82580B-30D8-44D5-954D-B0E55E8D73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8878" y="17386301"/>
          <a:ext cx="1779122" cy="1587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76200</xdr:colOff>
      <xdr:row>86</xdr:row>
      <xdr:rowOff>1</xdr:rowOff>
    </xdr:from>
    <xdr:to>
      <xdr:col>4</xdr:col>
      <xdr:colOff>2209800</xdr:colOff>
      <xdr:row>89</xdr:row>
      <xdr:rowOff>311150</xdr:rowOff>
    </xdr:to>
    <xdr:pic>
      <xdr:nvPicPr>
        <xdr:cNvPr id="3" name="Picture 2">
          <a:extLst>
            <a:ext uri="{FF2B5EF4-FFF2-40B4-BE49-F238E27FC236}">
              <a16:creationId xmlns:a16="http://schemas.microsoft.com/office/drawing/2014/main" id="{19F9ABCD-87D8-44D9-8F5C-3604A94138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56500" y="17341851"/>
          <a:ext cx="2133600" cy="1676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44449</xdr:colOff>
      <xdr:row>91</xdr:row>
      <xdr:rowOff>1</xdr:rowOff>
    </xdr:from>
    <xdr:to>
      <xdr:col>4</xdr:col>
      <xdr:colOff>2120900</xdr:colOff>
      <xdr:row>94</xdr:row>
      <xdr:rowOff>342900</xdr:rowOff>
    </xdr:to>
    <xdr:pic>
      <xdr:nvPicPr>
        <xdr:cNvPr id="2" name="Picture 1">
          <a:extLst>
            <a:ext uri="{FF2B5EF4-FFF2-40B4-BE49-F238E27FC236}">
              <a16:creationId xmlns:a16="http://schemas.microsoft.com/office/drawing/2014/main" id="{591B9FCC-69BC-4180-99F8-6CDD783B39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62849" y="18326101"/>
          <a:ext cx="2076451" cy="15557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91</xdr:row>
      <xdr:rowOff>1</xdr:rowOff>
    </xdr:from>
    <xdr:to>
      <xdr:col>2</xdr:col>
      <xdr:colOff>1822450</xdr:colOff>
      <xdr:row>94</xdr:row>
      <xdr:rowOff>342900</xdr:rowOff>
    </xdr:to>
    <xdr:pic>
      <xdr:nvPicPr>
        <xdr:cNvPr id="3" name="Picture 2">
          <a:extLst>
            <a:ext uri="{FF2B5EF4-FFF2-40B4-BE49-F238E27FC236}">
              <a16:creationId xmlns:a16="http://schemas.microsoft.com/office/drawing/2014/main" id="{AD210046-86AB-472A-AE50-03877103F7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18326101"/>
          <a:ext cx="1822449" cy="15557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38100</xdr:colOff>
      <xdr:row>76</xdr:row>
      <xdr:rowOff>0</xdr:rowOff>
    </xdr:from>
    <xdr:to>
      <xdr:col>2</xdr:col>
      <xdr:colOff>1930400</xdr:colOff>
      <xdr:row>79</xdr:row>
      <xdr:rowOff>215900</xdr:rowOff>
    </xdr:to>
    <xdr:pic>
      <xdr:nvPicPr>
        <xdr:cNvPr id="2" name="Picture 1">
          <a:extLst>
            <a:ext uri="{FF2B5EF4-FFF2-40B4-BE49-F238E27FC236}">
              <a16:creationId xmlns:a16="http://schemas.microsoft.com/office/drawing/2014/main" id="{6F2A7B22-EA08-45CD-9DFB-4A61F7783B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6350" y="15373350"/>
          <a:ext cx="1892300" cy="147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57150</xdr:colOff>
      <xdr:row>76</xdr:row>
      <xdr:rowOff>1</xdr:rowOff>
    </xdr:from>
    <xdr:to>
      <xdr:col>4</xdr:col>
      <xdr:colOff>2184400</xdr:colOff>
      <xdr:row>79</xdr:row>
      <xdr:rowOff>247650</xdr:rowOff>
    </xdr:to>
    <xdr:pic>
      <xdr:nvPicPr>
        <xdr:cNvPr id="3" name="Picture 2">
          <a:extLst>
            <a:ext uri="{FF2B5EF4-FFF2-40B4-BE49-F238E27FC236}">
              <a16:creationId xmlns:a16="http://schemas.microsoft.com/office/drawing/2014/main" id="{C7716F0B-0336-4FF5-BC31-9348C0204C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02550" y="15373351"/>
          <a:ext cx="2127250" cy="1504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76200</xdr:colOff>
      <xdr:row>52</xdr:row>
      <xdr:rowOff>1</xdr:rowOff>
    </xdr:from>
    <xdr:to>
      <xdr:col>5</xdr:col>
      <xdr:colOff>0</xdr:colOff>
      <xdr:row>55</xdr:row>
      <xdr:rowOff>311150</xdr:rowOff>
    </xdr:to>
    <xdr:pic>
      <xdr:nvPicPr>
        <xdr:cNvPr id="2" name="Picture 1">
          <a:extLst>
            <a:ext uri="{FF2B5EF4-FFF2-40B4-BE49-F238E27FC236}">
              <a16:creationId xmlns:a16="http://schemas.microsoft.com/office/drawing/2014/main" id="{A0AB14BD-CB2B-4090-963D-58219CEEFD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05700" y="10648951"/>
          <a:ext cx="1828800" cy="14350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63500</xdr:colOff>
      <xdr:row>52</xdr:row>
      <xdr:rowOff>1</xdr:rowOff>
    </xdr:from>
    <xdr:to>
      <xdr:col>3</xdr:col>
      <xdr:colOff>3175</xdr:colOff>
      <xdr:row>55</xdr:row>
      <xdr:rowOff>254000</xdr:rowOff>
    </xdr:to>
    <xdr:pic>
      <xdr:nvPicPr>
        <xdr:cNvPr id="3" name="Picture 2">
          <a:extLst>
            <a:ext uri="{FF2B5EF4-FFF2-40B4-BE49-F238E27FC236}">
              <a16:creationId xmlns:a16="http://schemas.microsoft.com/office/drawing/2014/main" id="{D57D2055-4C4A-489D-90A6-2F702B9228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41750" y="10648951"/>
          <a:ext cx="1701800" cy="1377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50799</xdr:colOff>
      <xdr:row>74</xdr:row>
      <xdr:rowOff>0</xdr:rowOff>
    </xdr:from>
    <xdr:to>
      <xdr:col>3</xdr:col>
      <xdr:colOff>0</xdr:colOff>
      <xdr:row>77</xdr:row>
      <xdr:rowOff>254000</xdr:rowOff>
    </xdr:to>
    <xdr:pic>
      <xdr:nvPicPr>
        <xdr:cNvPr id="2" name="Picture 1">
          <a:extLst>
            <a:ext uri="{FF2B5EF4-FFF2-40B4-BE49-F238E27FC236}">
              <a16:creationId xmlns:a16="http://schemas.microsoft.com/office/drawing/2014/main" id="{1F9F3096-86F3-4F76-B28C-146032A404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29049" y="14979650"/>
          <a:ext cx="1739901" cy="163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57150</xdr:colOff>
      <xdr:row>74</xdr:row>
      <xdr:rowOff>1</xdr:rowOff>
    </xdr:from>
    <xdr:to>
      <xdr:col>4</xdr:col>
      <xdr:colOff>1930400</xdr:colOff>
      <xdr:row>77</xdr:row>
      <xdr:rowOff>241300</xdr:rowOff>
    </xdr:to>
    <xdr:pic>
      <xdr:nvPicPr>
        <xdr:cNvPr id="3" name="Picture 2">
          <a:extLst>
            <a:ext uri="{FF2B5EF4-FFF2-40B4-BE49-F238E27FC236}">
              <a16:creationId xmlns:a16="http://schemas.microsoft.com/office/drawing/2014/main" id="{D8D65159-8BA9-43CC-8853-F7F3286063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50150" y="14979651"/>
          <a:ext cx="1892300" cy="1625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4</xdr:col>
      <xdr:colOff>82551</xdr:colOff>
      <xdr:row>122</xdr:row>
      <xdr:rowOff>6351</xdr:rowOff>
    </xdr:from>
    <xdr:to>
      <xdr:col>4</xdr:col>
      <xdr:colOff>2022475</xdr:colOff>
      <xdr:row>125</xdr:row>
      <xdr:rowOff>222250</xdr:rowOff>
    </xdr:to>
    <xdr:pic>
      <xdr:nvPicPr>
        <xdr:cNvPr id="2" name="Picture 1">
          <a:extLst>
            <a:ext uri="{FF2B5EF4-FFF2-40B4-BE49-F238E27FC236}">
              <a16:creationId xmlns:a16="http://schemas.microsoft.com/office/drawing/2014/main" id="{6BE49FD6-70DF-49E9-A73F-465DA24339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40651" y="24434801"/>
          <a:ext cx="1939924" cy="1600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88899</xdr:colOff>
      <xdr:row>122</xdr:row>
      <xdr:rowOff>6351</xdr:rowOff>
    </xdr:from>
    <xdr:to>
      <xdr:col>2</xdr:col>
      <xdr:colOff>1882774</xdr:colOff>
      <xdr:row>125</xdr:row>
      <xdr:rowOff>241300</xdr:rowOff>
    </xdr:to>
    <xdr:pic>
      <xdr:nvPicPr>
        <xdr:cNvPr id="3" name="Picture 2">
          <a:extLst>
            <a:ext uri="{FF2B5EF4-FFF2-40B4-BE49-F238E27FC236}">
              <a16:creationId xmlns:a16="http://schemas.microsoft.com/office/drawing/2014/main" id="{91003FA9-4C16-48C7-85D7-261653C2D9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67149" y="24434801"/>
          <a:ext cx="1793875" cy="1619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38100</xdr:colOff>
      <xdr:row>102</xdr:row>
      <xdr:rowOff>1</xdr:rowOff>
    </xdr:from>
    <xdr:to>
      <xdr:col>2</xdr:col>
      <xdr:colOff>1974850</xdr:colOff>
      <xdr:row>105</xdr:row>
      <xdr:rowOff>177800</xdr:rowOff>
    </xdr:to>
    <xdr:pic>
      <xdr:nvPicPr>
        <xdr:cNvPr id="2" name="Picture 1">
          <a:extLst>
            <a:ext uri="{FF2B5EF4-FFF2-40B4-BE49-F238E27FC236}">
              <a16:creationId xmlns:a16="http://schemas.microsoft.com/office/drawing/2014/main" id="{1286F30E-E02B-4571-BFAC-31D3A45AB9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6350" y="20491451"/>
          <a:ext cx="1936750" cy="14350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76200</xdr:colOff>
      <xdr:row>102</xdr:row>
      <xdr:rowOff>1</xdr:rowOff>
    </xdr:from>
    <xdr:to>
      <xdr:col>4</xdr:col>
      <xdr:colOff>1917700</xdr:colOff>
      <xdr:row>105</xdr:row>
      <xdr:rowOff>241300</xdr:rowOff>
    </xdr:to>
    <xdr:pic>
      <xdr:nvPicPr>
        <xdr:cNvPr id="3" name="Picture 2">
          <a:extLst>
            <a:ext uri="{FF2B5EF4-FFF2-40B4-BE49-F238E27FC236}">
              <a16:creationId xmlns:a16="http://schemas.microsoft.com/office/drawing/2014/main" id="{7AD0C814-70D2-4249-9309-E0200CB979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3350" y="20491451"/>
          <a:ext cx="1841500" cy="1498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4</xdr:col>
      <xdr:colOff>57151</xdr:colOff>
      <xdr:row>99</xdr:row>
      <xdr:rowOff>38101</xdr:rowOff>
    </xdr:from>
    <xdr:to>
      <xdr:col>4</xdr:col>
      <xdr:colOff>2006600</xdr:colOff>
      <xdr:row>102</xdr:row>
      <xdr:rowOff>247650</xdr:rowOff>
    </xdr:to>
    <xdr:pic>
      <xdr:nvPicPr>
        <xdr:cNvPr id="2" name="Picture 1">
          <a:extLst>
            <a:ext uri="{FF2B5EF4-FFF2-40B4-BE49-F238E27FC236}">
              <a16:creationId xmlns:a16="http://schemas.microsoft.com/office/drawing/2014/main" id="{791DDE29-1FEC-416C-82A4-FC41376FBD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61251" y="19939001"/>
          <a:ext cx="1949449" cy="1466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99</xdr:row>
      <xdr:rowOff>1</xdr:rowOff>
    </xdr:from>
    <xdr:to>
      <xdr:col>2</xdr:col>
      <xdr:colOff>1739900</xdr:colOff>
      <xdr:row>102</xdr:row>
      <xdr:rowOff>215900</xdr:rowOff>
    </xdr:to>
    <xdr:pic>
      <xdr:nvPicPr>
        <xdr:cNvPr id="3" name="Picture 2">
          <a:extLst>
            <a:ext uri="{FF2B5EF4-FFF2-40B4-BE49-F238E27FC236}">
              <a16:creationId xmlns:a16="http://schemas.microsoft.com/office/drawing/2014/main" id="{3210A03B-9964-4EC8-A267-9A5D3FDB4E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19900901"/>
          <a:ext cx="1739899" cy="1473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1</xdr:colOff>
      <xdr:row>72</xdr:row>
      <xdr:rowOff>1</xdr:rowOff>
    </xdr:from>
    <xdr:to>
      <xdr:col>2</xdr:col>
      <xdr:colOff>1809750</xdr:colOff>
      <xdr:row>75</xdr:row>
      <xdr:rowOff>222250</xdr:rowOff>
    </xdr:to>
    <xdr:pic>
      <xdr:nvPicPr>
        <xdr:cNvPr id="2" name="Picture 1">
          <a:extLst>
            <a:ext uri="{FF2B5EF4-FFF2-40B4-BE49-F238E27FC236}">
              <a16:creationId xmlns:a16="http://schemas.microsoft.com/office/drawing/2014/main" id="{81BD6F08-DF82-4DD6-B395-D47BD72B9A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4585951"/>
          <a:ext cx="1809749" cy="16700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44450</xdr:colOff>
      <xdr:row>72</xdr:row>
      <xdr:rowOff>1</xdr:rowOff>
    </xdr:from>
    <xdr:to>
      <xdr:col>4</xdr:col>
      <xdr:colOff>1924050</xdr:colOff>
      <xdr:row>75</xdr:row>
      <xdr:rowOff>215900</xdr:rowOff>
    </xdr:to>
    <xdr:pic>
      <xdr:nvPicPr>
        <xdr:cNvPr id="3" name="Picture 2">
          <a:extLst>
            <a:ext uri="{FF2B5EF4-FFF2-40B4-BE49-F238E27FC236}">
              <a16:creationId xmlns:a16="http://schemas.microsoft.com/office/drawing/2014/main" id="{FDB6C7BB-FA11-403C-8514-0F3B3040D7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56500" y="14585951"/>
          <a:ext cx="1879600" cy="1663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4</xdr:col>
      <xdr:colOff>12701</xdr:colOff>
      <xdr:row>127</xdr:row>
      <xdr:rowOff>25401</xdr:rowOff>
    </xdr:from>
    <xdr:to>
      <xdr:col>4</xdr:col>
      <xdr:colOff>1847850</xdr:colOff>
      <xdr:row>130</xdr:row>
      <xdr:rowOff>336550</xdr:rowOff>
    </xdr:to>
    <xdr:pic>
      <xdr:nvPicPr>
        <xdr:cNvPr id="2" name="Picture 1">
          <a:extLst>
            <a:ext uri="{FF2B5EF4-FFF2-40B4-BE49-F238E27FC236}">
              <a16:creationId xmlns:a16="http://schemas.microsoft.com/office/drawing/2014/main" id="{2996EBFB-3BBE-40C8-A503-C8B48DFA76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43801" y="25438101"/>
          <a:ext cx="1835149" cy="1600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127</xdr:row>
      <xdr:rowOff>0</xdr:rowOff>
    </xdr:from>
    <xdr:to>
      <xdr:col>2</xdr:col>
      <xdr:colOff>1822450</xdr:colOff>
      <xdr:row>130</xdr:row>
      <xdr:rowOff>285750</xdr:rowOff>
    </xdr:to>
    <xdr:pic>
      <xdr:nvPicPr>
        <xdr:cNvPr id="3" name="Picture 2">
          <a:extLst>
            <a:ext uri="{FF2B5EF4-FFF2-40B4-BE49-F238E27FC236}">
              <a16:creationId xmlns:a16="http://schemas.microsoft.com/office/drawing/2014/main" id="{3064A0B5-59A0-4FF8-B0E2-0F82C566FE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25412700"/>
          <a:ext cx="1822449" cy="157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1</xdr:colOff>
      <xdr:row>79</xdr:row>
      <xdr:rowOff>0</xdr:rowOff>
    </xdr:from>
    <xdr:to>
      <xdr:col>2</xdr:col>
      <xdr:colOff>1692275</xdr:colOff>
      <xdr:row>82</xdr:row>
      <xdr:rowOff>311150</xdr:rowOff>
    </xdr:to>
    <xdr:pic>
      <xdr:nvPicPr>
        <xdr:cNvPr id="2" name="Picture 1">
          <a:extLst>
            <a:ext uri="{FF2B5EF4-FFF2-40B4-BE49-F238E27FC236}">
              <a16:creationId xmlns:a16="http://schemas.microsoft.com/office/drawing/2014/main" id="{03A88AC6-22CF-4B78-9545-35394FF82C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5963900"/>
          <a:ext cx="1720849" cy="144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31751</xdr:colOff>
      <xdr:row>79</xdr:row>
      <xdr:rowOff>19051</xdr:rowOff>
    </xdr:from>
    <xdr:to>
      <xdr:col>5</xdr:col>
      <xdr:colOff>1</xdr:colOff>
      <xdr:row>82</xdr:row>
      <xdr:rowOff>336550</xdr:rowOff>
    </xdr:to>
    <xdr:pic>
      <xdr:nvPicPr>
        <xdr:cNvPr id="3" name="Picture 2">
          <a:extLst>
            <a:ext uri="{FF2B5EF4-FFF2-40B4-BE49-F238E27FC236}">
              <a16:creationId xmlns:a16="http://schemas.microsoft.com/office/drawing/2014/main" id="{5D235991-B1E4-4E30-AEED-4373EA55D8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48551" y="15982951"/>
          <a:ext cx="2025650" cy="1447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4</xdr:col>
      <xdr:colOff>82550</xdr:colOff>
      <xdr:row>76</xdr:row>
      <xdr:rowOff>22983</xdr:rowOff>
    </xdr:from>
    <xdr:to>
      <xdr:col>4</xdr:col>
      <xdr:colOff>1803400</xdr:colOff>
      <xdr:row>79</xdr:row>
      <xdr:rowOff>330200</xdr:rowOff>
    </xdr:to>
    <xdr:pic>
      <xdr:nvPicPr>
        <xdr:cNvPr id="2" name="Picture 1">
          <a:extLst>
            <a:ext uri="{FF2B5EF4-FFF2-40B4-BE49-F238E27FC236}">
              <a16:creationId xmlns:a16="http://schemas.microsoft.com/office/drawing/2014/main" id="{D55C0958-F8FE-4812-85BE-B9FB1FBF2A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6350" y="15396333"/>
          <a:ext cx="1720850" cy="15581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19051</xdr:colOff>
      <xdr:row>76</xdr:row>
      <xdr:rowOff>6351</xdr:rowOff>
    </xdr:from>
    <xdr:to>
      <xdr:col>2</xdr:col>
      <xdr:colOff>1847850</xdr:colOff>
      <xdr:row>79</xdr:row>
      <xdr:rowOff>355600</xdr:rowOff>
    </xdr:to>
    <xdr:pic>
      <xdr:nvPicPr>
        <xdr:cNvPr id="3" name="Picture 2">
          <a:extLst>
            <a:ext uri="{FF2B5EF4-FFF2-40B4-BE49-F238E27FC236}">
              <a16:creationId xmlns:a16="http://schemas.microsoft.com/office/drawing/2014/main" id="{41294B3E-648D-44AB-9BD1-902E0C6CDD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97301" y="15379701"/>
          <a:ext cx="1828799" cy="1600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1</xdr:colOff>
      <xdr:row>52</xdr:row>
      <xdr:rowOff>1</xdr:rowOff>
    </xdr:from>
    <xdr:to>
      <xdr:col>3</xdr:col>
      <xdr:colOff>0</xdr:colOff>
      <xdr:row>55</xdr:row>
      <xdr:rowOff>285750</xdr:rowOff>
    </xdr:to>
    <xdr:pic>
      <xdr:nvPicPr>
        <xdr:cNvPr id="2" name="Picture 1">
          <a:extLst>
            <a:ext uri="{FF2B5EF4-FFF2-40B4-BE49-F238E27FC236}">
              <a16:creationId xmlns:a16="http://schemas.microsoft.com/office/drawing/2014/main" id="{A2F607DA-3FAA-458A-A6A1-18F9D68883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0648951"/>
          <a:ext cx="1771649" cy="1612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52</xdr:row>
      <xdr:rowOff>1</xdr:rowOff>
    </xdr:from>
    <xdr:to>
      <xdr:col>4</xdr:col>
      <xdr:colOff>1625601</xdr:colOff>
      <xdr:row>55</xdr:row>
      <xdr:rowOff>342900</xdr:rowOff>
    </xdr:to>
    <xdr:pic>
      <xdr:nvPicPr>
        <xdr:cNvPr id="3" name="Picture 2">
          <a:extLst>
            <a:ext uri="{FF2B5EF4-FFF2-40B4-BE49-F238E27FC236}">
              <a16:creationId xmlns:a16="http://schemas.microsoft.com/office/drawing/2014/main" id="{F27B92FB-CB9B-46C2-8AB4-B5483B65D2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73951" y="10648951"/>
          <a:ext cx="1682750" cy="16700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4</xdr:col>
      <xdr:colOff>44450</xdr:colOff>
      <xdr:row>90</xdr:row>
      <xdr:rowOff>1</xdr:rowOff>
    </xdr:from>
    <xdr:to>
      <xdr:col>4</xdr:col>
      <xdr:colOff>1943100</xdr:colOff>
      <xdr:row>93</xdr:row>
      <xdr:rowOff>222250</xdr:rowOff>
    </xdr:to>
    <xdr:pic>
      <xdr:nvPicPr>
        <xdr:cNvPr id="2" name="Picture 1">
          <a:extLst>
            <a:ext uri="{FF2B5EF4-FFF2-40B4-BE49-F238E27FC236}">
              <a16:creationId xmlns:a16="http://schemas.microsoft.com/office/drawing/2014/main" id="{5219642C-E711-49E2-B67E-DB7DDF7430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10450" y="18129251"/>
          <a:ext cx="1898650" cy="1606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31751</xdr:colOff>
      <xdr:row>90</xdr:row>
      <xdr:rowOff>1</xdr:rowOff>
    </xdr:from>
    <xdr:to>
      <xdr:col>2</xdr:col>
      <xdr:colOff>1682750</xdr:colOff>
      <xdr:row>93</xdr:row>
      <xdr:rowOff>254000</xdr:rowOff>
    </xdr:to>
    <xdr:pic>
      <xdr:nvPicPr>
        <xdr:cNvPr id="3" name="Picture 2">
          <a:extLst>
            <a:ext uri="{FF2B5EF4-FFF2-40B4-BE49-F238E27FC236}">
              <a16:creationId xmlns:a16="http://schemas.microsoft.com/office/drawing/2014/main" id="{FE2D5D94-D5F2-439E-9C2C-7657E8DBC6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10001" y="18129251"/>
          <a:ext cx="1650999" cy="1638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161925</xdr:colOff>
      <xdr:row>22</xdr:row>
      <xdr:rowOff>228600</xdr:rowOff>
    </xdr:from>
    <xdr:to>
      <xdr:col>2</xdr:col>
      <xdr:colOff>1542164</xdr:colOff>
      <xdr:row>25</xdr:row>
      <xdr:rowOff>123825</xdr:rowOff>
    </xdr:to>
    <xdr:pic>
      <xdr:nvPicPr>
        <xdr:cNvPr id="2" name="Picture 1">
          <a:extLst>
            <a:ext uri="{FF2B5EF4-FFF2-40B4-BE49-F238E27FC236}">
              <a16:creationId xmlns:a16="http://schemas.microsoft.com/office/drawing/2014/main" id="{4259CF56-F3D1-4F53-8DB5-5CC6136D30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62375" y="5038725"/>
          <a:ext cx="1380239" cy="127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171451</xdr:colOff>
      <xdr:row>22</xdr:row>
      <xdr:rowOff>190499</xdr:rowOff>
    </xdr:from>
    <xdr:to>
      <xdr:col>4</xdr:col>
      <xdr:colOff>1714501</xdr:colOff>
      <xdr:row>25</xdr:row>
      <xdr:rowOff>82185</xdr:rowOff>
    </xdr:to>
    <xdr:pic>
      <xdr:nvPicPr>
        <xdr:cNvPr id="3" name="Picture 2">
          <a:extLst>
            <a:ext uri="{FF2B5EF4-FFF2-40B4-BE49-F238E27FC236}">
              <a16:creationId xmlns:a16="http://schemas.microsoft.com/office/drawing/2014/main" id="{13804583-B3A1-4BF8-BC4D-08CE199DB3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05676" y="5000624"/>
          <a:ext cx="1543050" cy="12728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BA2A6-A2FD-4E1D-BB70-879DAABE0D28}">
  <dimension ref="A1:C33"/>
  <sheetViews>
    <sheetView tabSelected="1" workbookViewId="0">
      <selection sqref="A1:B1"/>
    </sheetView>
  </sheetViews>
  <sheetFormatPr defaultRowHeight="15" x14ac:dyDescent="0.25"/>
  <cols>
    <col min="1" max="1" width="14.28515625" bestFit="1" customWidth="1"/>
    <col min="2" max="2" width="44.28515625" bestFit="1" customWidth="1"/>
    <col min="3" max="3" width="16.140625" bestFit="1" customWidth="1"/>
  </cols>
  <sheetData>
    <row r="1" spans="1:3" x14ac:dyDescent="0.25">
      <c r="A1" s="74" t="s">
        <v>89</v>
      </c>
      <c r="B1" s="74"/>
    </row>
    <row r="2" spans="1:3" x14ac:dyDescent="0.25">
      <c r="A2" s="75" t="s">
        <v>90</v>
      </c>
      <c r="B2" s="75"/>
    </row>
    <row r="3" spans="1:3" x14ac:dyDescent="0.25">
      <c r="A3" s="54" t="s">
        <v>91</v>
      </c>
      <c r="B3" s="54" t="s">
        <v>92</v>
      </c>
      <c r="C3" s="54"/>
    </row>
    <row r="4" spans="1:3" x14ac:dyDescent="0.25">
      <c r="A4" s="55" t="s">
        <v>31</v>
      </c>
      <c r="B4" s="55" t="s">
        <v>32</v>
      </c>
      <c r="C4" s="55" t="s">
        <v>1004</v>
      </c>
    </row>
    <row r="5" spans="1:3" x14ac:dyDescent="0.25">
      <c r="A5" s="55" t="s">
        <v>33</v>
      </c>
      <c r="B5" s="55" t="s">
        <v>34</v>
      </c>
      <c r="C5" s="55" t="s">
        <v>1003</v>
      </c>
    </row>
    <row r="6" spans="1:3" x14ac:dyDescent="0.25">
      <c r="A6" s="55" t="s">
        <v>35</v>
      </c>
      <c r="B6" s="55" t="s">
        <v>36</v>
      </c>
      <c r="C6" s="55" t="s">
        <v>1006</v>
      </c>
    </row>
    <row r="7" spans="1:3" x14ac:dyDescent="0.25">
      <c r="A7" s="55" t="s">
        <v>37</v>
      </c>
      <c r="B7" s="55" t="s">
        <v>38</v>
      </c>
      <c r="C7" s="55" t="s">
        <v>1006</v>
      </c>
    </row>
    <row r="8" spans="1:3" x14ac:dyDescent="0.25">
      <c r="A8" s="55" t="s">
        <v>39</v>
      </c>
      <c r="B8" s="55" t="s">
        <v>40</v>
      </c>
      <c r="C8" s="55" t="s">
        <v>1006</v>
      </c>
    </row>
    <row r="9" spans="1:3" x14ac:dyDescent="0.25">
      <c r="A9" s="55" t="s">
        <v>41</v>
      </c>
      <c r="B9" s="55" t="s">
        <v>42</v>
      </c>
      <c r="C9" s="55" t="s">
        <v>1006</v>
      </c>
    </row>
    <row r="10" spans="1:3" x14ac:dyDescent="0.25">
      <c r="A10" s="55" t="s">
        <v>43</v>
      </c>
      <c r="B10" s="55" t="s">
        <v>44</v>
      </c>
      <c r="C10" s="55" t="s">
        <v>1006</v>
      </c>
    </row>
    <row r="11" spans="1:3" x14ac:dyDescent="0.25">
      <c r="A11" s="55" t="s">
        <v>45</v>
      </c>
      <c r="B11" s="55" t="s">
        <v>46</v>
      </c>
      <c r="C11" s="55" t="s">
        <v>1006</v>
      </c>
    </row>
    <row r="12" spans="1:3" x14ac:dyDescent="0.25">
      <c r="A12" s="55" t="s">
        <v>47</v>
      </c>
      <c r="B12" s="55" t="s">
        <v>48</v>
      </c>
      <c r="C12" s="55" t="s">
        <v>1003</v>
      </c>
    </row>
    <row r="13" spans="1:3" x14ac:dyDescent="0.25">
      <c r="A13" s="55" t="s">
        <v>49</v>
      </c>
      <c r="B13" s="55" t="s">
        <v>50</v>
      </c>
      <c r="C13" s="55" t="s">
        <v>1006</v>
      </c>
    </row>
    <row r="14" spans="1:3" x14ac:dyDescent="0.25">
      <c r="A14" s="55" t="s">
        <v>51</v>
      </c>
      <c r="B14" s="55" t="s">
        <v>52</v>
      </c>
      <c r="C14" s="55" t="s">
        <v>1006</v>
      </c>
    </row>
    <row r="15" spans="1:3" x14ac:dyDescent="0.25">
      <c r="A15" s="55" t="s">
        <v>53</v>
      </c>
      <c r="B15" s="55" t="s">
        <v>54</v>
      </c>
      <c r="C15" s="55" t="s">
        <v>1006</v>
      </c>
    </row>
    <row r="16" spans="1:3" x14ac:dyDescent="0.25">
      <c r="A16" s="55" t="s">
        <v>55</v>
      </c>
      <c r="B16" s="55" t="s">
        <v>56</v>
      </c>
      <c r="C16" s="55" t="s">
        <v>1007</v>
      </c>
    </row>
    <row r="17" spans="1:3" x14ac:dyDescent="0.25">
      <c r="A17" s="55" t="s">
        <v>57</v>
      </c>
      <c r="B17" s="55" t="s">
        <v>58</v>
      </c>
      <c r="C17" s="55" t="s">
        <v>1006</v>
      </c>
    </row>
    <row r="18" spans="1:3" x14ac:dyDescent="0.25">
      <c r="A18" s="55" t="s">
        <v>59</v>
      </c>
      <c r="B18" s="55" t="s">
        <v>60</v>
      </c>
      <c r="C18" s="55" t="s">
        <v>1006</v>
      </c>
    </row>
    <row r="19" spans="1:3" x14ac:dyDescent="0.25">
      <c r="A19" s="55" t="s">
        <v>61</v>
      </c>
      <c r="B19" s="55" t="s">
        <v>62</v>
      </c>
      <c r="C19" s="55" t="s">
        <v>1006</v>
      </c>
    </row>
    <row r="20" spans="1:3" x14ac:dyDescent="0.25">
      <c r="A20" s="55" t="s">
        <v>63</v>
      </c>
      <c r="B20" s="55" t="s">
        <v>64</v>
      </c>
      <c r="C20" s="55" t="s">
        <v>1006</v>
      </c>
    </row>
    <row r="21" spans="1:3" x14ac:dyDescent="0.25">
      <c r="A21" s="55" t="s">
        <v>65</v>
      </c>
      <c r="B21" s="55" t="s">
        <v>66</v>
      </c>
      <c r="C21" s="55" t="s">
        <v>1006</v>
      </c>
    </row>
    <row r="22" spans="1:3" x14ac:dyDescent="0.25">
      <c r="A22" s="55" t="s">
        <v>67</v>
      </c>
      <c r="B22" s="55" t="s">
        <v>68</v>
      </c>
      <c r="C22" s="55" t="s">
        <v>1006</v>
      </c>
    </row>
    <row r="23" spans="1:3" x14ac:dyDescent="0.25">
      <c r="A23" s="55" t="s">
        <v>69</v>
      </c>
      <c r="B23" s="55" t="s">
        <v>70</v>
      </c>
      <c r="C23" s="55" t="s">
        <v>1006</v>
      </c>
    </row>
    <row r="24" spans="1:3" x14ac:dyDescent="0.25">
      <c r="A24" s="55" t="s">
        <v>71</v>
      </c>
      <c r="B24" s="55" t="s">
        <v>72</v>
      </c>
      <c r="C24" s="55" t="s">
        <v>1006</v>
      </c>
    </row>
    <row r="25" spans="1:3" x14ac:dyDescent="0.25">
      <c r="A25" s="55" t="s">
        <v>73</v>
      </c>
      <c r="B25" s="55" t="s">
        <v>74</v>
      </c>
      <c r="C25" s="55" t="s">
        <v>1006</v>
      </c>
    </row>
    <row r="26" spans="1:3" x14ac:dyDescent="0.25">
      <c r="A26" s="55" t="s">
        <v>75</v>
      </c>
      <c r="B26" s="55" t="s">
        <v>76</v>
      </c>
      <c r="C26" s="55" t="s">
        <v>1006</v>
      </c>
    </row>
    <row r="27" spans="1:3" x14ac:dyDescent="0.25">
      <c r="A27" s="55" t="s">
        <v>77</v>
      </c>
      <c r="B27" s="55" t="s">
        <v>78</v>
      </c>
      <c r="C27" s="55" t="s">
        <v>1006</v>
      </c>
    </row>
    <row r="28" spans="1:3" x14ac:dyDescent="0.25">
      <c r="A28" s="55" t="s">
        <v>79</v>
      </c>
      <c r="B28" s="55" t="s">
        <v>80</v>
      </c>
      <c r="C28" s="55" t="s">
        <v>1006</v>
      </c>
    </row>
    <row r="29" spans="1:3" x14ac:dyDescent="0.25">
      <c r="A29" s="55" t="s">
        <v>81</v>
      </c>
      <c r="B29" s="55" t="s">
        <v>82</v>
      </c>
      <c r="C29" s="55" t="s">
        <v>1006</v>
      </c>
    </row>
    <row r="30" spans="1:3" x14ac:dyDescent="0.25">
      <c r="A30" s="55" t="s">
        <v>83</v>
      </c>
      <c r="B30" s="55" t="s">
        <v>84</v>
      </c>
      <c r="C30" s="55" t="s">
        <v>1006</v>
      </c>
    </row>
    <row r="31" spans="1:3" x14ac:dyDescent="0.25">
      <c r="A31" s="55" t="s">
        <v>85</v>
      </c>
      <c r="B31" s="55" t="s">
        <v>86</v>
      </c>
      <c r="C31" s="55" t="s">
        <v>1005</v>
      </c>
    </row>
    <row r="32" spans="1:3" x14ac:dyDescent="0.25">
      <c r="A32" s="113" t="s">
        <v>1106</v>
      </c>
      <c r="B32" s="55" t="s">
        <v>1103</v>
      </c>
      <c r="C32" s="55" t="s">
        <v>1007</v>
      </c>
    </row>
    <row r="33" spans="1:3" x14ac:dyDescent="0.25">
      <c r="A33" s="55" t="s">
        <v>87</v>
      </c>
      <c r="B33" s="55" t="s">
        <v>88</v>
      </c>
      <c r="C33" s="55" t="s">
        <v>1008</v>
      </c>
    </row>
  </sheetData>
  <mergeCells count="2">
    <mergeCell ref="A1:B1"/>
    <mergeCell ref="A2:B2"/>
  </mergeCells>
  <hyperlinks>
    <hyperlink ref="A4" location="'LEARBF'!A1" display="LEARBF" xr:uid="{B3620539-11F2-41D1-A2C1-938F9B09A639}"/>
    <hyperlink ref="A5" location="'LEBADF'!A1" display="LEBADF" xr:uid="{F132BC7F-6197-4818-8C9B-CD6FEB0B4179}"/>
    <hyperlink ref="A6" location="'LEBALF'!A1" display="LEBALF" xr:uid="{5591262E-23EB-4608-A8EF-5D36103B6BE6}"/>
    <hyperlink ref="A7" location="'LEBFSF'!A1" display="LEBFSF" xr:uid="{5DFDCC67-2BA7-41AD-80F2-A3EB87AE3599}"/>
    <hyperlink ref="A8" location="'LECHID'!A1" display="LECHID" xr:uid="{AF2F82B9-865B-4E2B-80F8-F105F660B148}"/>
    <hyperlink ref="A9" location="'LEDDYF'!A1" display="LEDDYF" xr:uid="{2C9C5F0F-25C8-4620-9B99-E47EB317FC49}"/>
    <hyperlink ref="A10" location="'LEDHCF'!A1" display="LEDHCF" xr:uid="{E4273ACD-7436-4401-A032-63ED1280E038}"/>
    <hyperlink ref="A11" location="'LEEMCF'!A1" display="LEEMCF" xr:uid="{848A47E3-8936-4211-A7E4-0C2014FBF0D1}"/>
    <hyperlink ref="A12" location="'LEEQSF'!A1" display="LEEQSF" xr:uid="{58AB2D91-C9FB-49FC-AE8D-6C713BAD3368}"/>
    <hyperlink ref="A13" location="'LEEQTF'!A1" display="LEEQTF" xr:uid="{62B6533B-9638-47AE-90A7-5FC0CEA262A7}"/>
    <hyperlink ref="A14" location="'LEESCF'!A1" display="LEESCF" xr:uid="{BBC595E3-4487-4BF4-883F-BF321BE967F0}"/>
    <hyperlink ref="A15" location="'LEFE30'!A1" display="LEFE30" xr:uid="{5F376CF9-1DA2-455B-AA1E-29E1654788D2}"/>
    <hyperlink ref="A16" location="'LEGFOF'!A1" display="LEGFOF" xr:uid="{634E7270-8DA2-484A-97B6-6E1C6177C614}"/>
    <hyperlink ref="A17" location="'LEGROW'!A1" display="LEGROW" xr:uid="{DEBD09EE-F304-4AAC-A719-DF35C656AE4F}"/>
    <hyperlink ref="A18" location="'LEINFA'!A1" display="LEINFA" xr:uid="{ABDFEDE5-0C0B-4AB7-B8E3-B5E4BBC1574B}"/>
    <hyperlink ref="A19" location="'LEINNF'!A1" display="LEINNF" xr:uid="{0915739F-AFD3-4D50-B43A-6CF14B20BD3B}"/>
    <hyperlink ref="A20" location="'LEINSX'!A1" display="LEINSX" xr:uid="{13DD5AF7-A97B-46F1-B6A0-A306427E5F36}"/>
    <hyperlink ref="A21" location="'LELTVF'!A1" display="LELTVF" xr:uid="{A1A9C867-C71E-434A-8643-DF63118DA3CE}"/>
    <hyperlink ref="A22" location="'LEMETF'!A1" display="LEMETF" xr:uid="{30358FE3-DB92-4418-A17A-355D0F8F8B6E}"/>
    <hyperlink ref="A23" location="'LEMIDF'!A1" display="LEMIDF" xr:uid="{7B84DFCD-B7DF-41F8-A687-F85140BD2AE6}"/>
    <hyperlink ref="A24" location="'LEMUCF'!A1" display="LEMUCF" xr:uid="{ADEF5681-CABA-412C-A007-848352A7A385}"/>
    <hyperlink ref="A25" location="'LENI50'!A1" display="LENI50" xr:uid="{5E889E34-D45C-4B86-9517-AC76DEC0703F}"/>
    <hyperlink ref="A26" location="'LET100'!A1" display="LET100" xr:uid="{683DACC0-6D93-47E7-9D56-51F429A7EAFB}"/>
    <hyperlink ref="A27" location="'LETAXP'!A1" display="LETAXP" xr:uid="{2A006F40-05D0-4839-B400-B88C761EB9ED}"/>
    <hyperlink ref="A28" location="'LETF50'!A1" display="LETF50" xr:uid="{84571978-0D06-479F-AE6A-AE69EF673D50}"/>
    <hyperlink ref="A29" location="'LETFSX'!A1" display="LETFSX" xr:uid="{4CBA84D3-5AA0-4778-A15D-1B81CDC9715D}"/>
    <hyperlink ref="A30" location="'LEULIS'!A1" display="LEULIS" xr:uid="{22D4CB31-757F-4C90-AA1D-25526CBEA00F}"/>
    <hyperlink ref="A31" location="'LLIQDF'!A1" display="LLIQDF" xr:uid="{920FC029-7B09-48D4-9D3B-E7211026BBD0}"/>
    <hyperlink ref="A33" location="'LUNCLF'!A1" display="LUNCLF" xr:uid="{F079FF11-4A0F-4543-BA0B-A680FDE6F2D8}"/>
    <hyperlink ref="A32" location="LICMFGOLDETF!A1" display="LICMFGOLDETF" xr:uid="{C496024A-9C5E-49A4-90B5-9DD032EEB10F}"/>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C9B7C-CE6E-4090-AD31-9AF27E51838E}">
  <dimension ref="B1:N141"/>
  <sheetViews>
    <sheetView workbookViewId="0"/>
  </sheetViews>
  <sheetFormatPr defaultColWidth="9.140625" defaultRowHeight="15.75" customHeight="1" x14ac:dyDescent="0.2"/>
  <cols>
    <col min="1" max="1" width="3.5703125" style="2" customWidth="1"/>
    <col min="2" max="2" width="38.5703125" style="9" bestFit="1" customWidth="1"/>
    <col min="3" max="3" width="26.7109375" style="9" customWidth="1"/>
    <col min="4" max="4" width="33.42578125" style="9" bestFit="1" customWidth="1"/>
    <col min="5" max="5" width="27.5703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132</v>
      </c>
      <c r="C5" s="19"/>
      <c r="D5" s="19"/>
      <c r="E5" s="20"/>
      <c r="F5" s="21"/>
      <c r="G5" s="22"/>
      <c r="H5" s="23"/>
    </row>
    <row r="6" spans="2:8" ht="15.75" customHeight="1" x14ac:dyDescent="0.2">
      <c r="B6" s="24" t="s">
        <v>133</v>
      </c>
      <c r="C6" s="25"/>
      <c r="D6" s="25"/>
      <c r="E6" s="26"/>
      <c r="F6" s="27"/>
      <c r="G6" s="28"/>
      <c r="H6" s="29"/>
    </row>
    <row r="7" spans="2:8" ht="15.75" customHeight="1" x14ac:dyDescent="0.2">
      <c r="B7" s="25" t="s">
        <v>149</v>
      </c>
      <c r="C7" s="25" t="s">
        <v>150</v>
      </c>
      <c r="D7" s="25" t="s">
        <v>136</v>
      </c>
      <c r="E7" s="26">
        <v>57200</v>
      </c>
      <c r="F7" s="27">
        <v>924.21</v>
      </c>
      <c r="G7" s="28">
        <v>6.0400000000000002E-2</v>
      </c>
      <c r="H7" s="29"/>
    </row>
    <row r="8" spans="2:8" ht="15.75" customHeight="1" x14ac:dyDescent="0.2">
      <c r="B8" s="25" t="s">
        <v>170</v>
      </c>
      <c r="C8" s="25" t="s">
        <v>171</v>
      </c>
      <c r="D8" s="25" t="s">
        <v>172</v>
      </c>
      <c r="E8" s="26">
        <v>62100</v>
      </c>
      <c r="F8" s="27">
        <v>774.51</v>
      </c>
      <c r="G8" s="28">
        <v>5.0599999999999999E-2</v>
      </c>
      <c r="H8" s="29"/>
    </row>
    <row r="9" spans="2:8" ht="15.75" customHeight="1" x14ac:dyDescent="0.2">
      <c r="B9" s="25" t="s">
        <v>173</v>
      </c>
      <c r="C9" s="25" t="s">
        <v>174</v>
      </c>
      <c r="D9" s="25" t="s">
        <v>175</v>
      </c>
      <c r="E9" s="26">
        <v>239400</v>
      </c>
      <c r="F9" s="27">
        <v>756.62</v>
      </c>
      <c r="G9" s="28">
        <v>4.9500000000000002E-2</v>
      </c>
      <c r="H9" s="29"/>
    </row>
    <row r="10" spans="2:8" ht="15.75" customHeight="1" x14ac:dyDescent="0.2">
      <c r="B10" s="25" t="s">
        <v>176</v>
      </c>
      <c r="C10" s="25" t="s">
        <v>177</v>
      </c>
      <c r="D10" s="25" t="s">
        <v>178</v>
      </c>
      <c r="E10" s="26">
        <v>181125</v>
      </c>
      <c r="F10" s="27">
        <v>571</v>
      </c>
      <c r="G10" s="28">
        <v>3.73E-2</v>
      </c>
      <c r="H10" s="29"/>
    </row>
    <row r="11" spans="2:8" ht="15.75" customHeight="1" x14ac:dyDescent="0.2">
      <c r="B11" s="25" t="s">
        <v>179</v>
      </c>
      <c r="C11" s="25" t="s">
        <v>180</v>
      </c>
      <c r="D11" s="25" t="s">
        <v>181</v>
      </c>
      <c r="E11" s="26">
        <v>308000</v>
      </c>
      <c r="F11" s="27">
        <v>509.22</v>
      </c>
      <c r="G11" s="28">
        <v>3.3300000000000003E-2</v>
      </c>
      <c r="H11" s="29"/>
    </row>
    <row r="12" spans="2:8" ht="15.75" customHeight="1" x14ac:dyDescent="0.2">
      <c r="B12" s="25" t="s">
        <v>182</v>
      </c>
      <c r="C12" s="25" t="s">
        <v>183</v>
      </c>
      <c r="D12" s="25" t="s">
        <v>184</v>
      </c>
      <c r="E12" s="26">
        <v>112050</v>
      </c>
      <c r="F12" s="27">
        <v>508.26</v>
      </c>
      <c r="G12" s="28">
        <v>3.32E-2</v>
      </c>
      <c r="H12" s="29"/>
    </row>
    <row r="13" spans="2:8" ht="15.75" customHeight="1" x14ac:dyDescent="0.2">
      <c r="B13" s="25" t="s">
        <v>185</v>
      </c>
      <c r="C13" s="25" t="s">
        <v>186</v>
      </c>
      <c r="D13" s="25" t="s">
        <v>187</v>
      </c>
      <c r="E13" s="26">
        <v>25500</v>
      </c>
      <c r="F13" s="27">
        <v>471.71</v>
      </c>
      <c r="G13" s="28">
        <v>3.0800000000000001E-2</v>
      </c>
      <c r="H13" s="29"/>
    </row>
    <row r="14" spans="2:8" ht="15.75" customHeight="1" x14ac:dyDescent="0.2">
      <c r="B14" s="25" t="s">
        <v>188</v>
      </c>
      <c r="C14" s="25" t="s">
        <v>189</v>
      </c>
      <c r="D14" s="25" t="s">
        <v>190</v>
      </c>
      <c r="E14" s="26">
        <v>10800</v>
      </c>
      <c r="F14" s="27">
        <v>444.34</v>
      </c>
      <c r="G14" s="28">
        <v>2.9000000000000001E-2</v>
      </c>
      <c r="H14" s="29"/>
    </row>
    <row r="15" spans="2:8" ht="15.75" customHeight="1" x14ac:dyDescent="0.2">
      <c r="B15" s="25" t="s">
        <v>191</v>
      </c>
      <c r="C15" s="25" t="s">
        <v>192</v>
      </c>
      <c r="D15" s="25" t="s">
        <v>184</v>
      </c>
      <c r="E15" s="26">
        <v>126000</v>
      </c>
      <c r="F15" s="27">
        <v>438.73</v>
      </c>
      <c r="G15" s="28">
        <v>2.87E-2</v>
      </c>
      <c r="H15" s="29"/>
    </row>
    <row r="16" spans="2:8" ht="15.75" customHeight="1" x14ac:dyDescent="0.2">
      <c r="B16" s="25" t="s">
        <v>193</v>
      </c>
      <c r="C16" s="25" t="s">
        <v>194</v>
      </c>
      <c r="D16" s="25" t="s">
        <v>136</v>
      </c>
      <c r="E16" s="26">
        <v>352000</v>
      </c>
      <c r="F16" s="27">
        <v>436.3</v>
      </c>
      <c r="G16" s="28">
        <v>2.8500000000000001E-2</v>
      </c>
      <c r="H16" s="29"/>
    </row>
    <row r="17" spans="2:8" ht="15.75" customHeight="1" x14ac:dyDescent="0.2">
      <c r="B17" s="25" t="s">
        <v>195</v>
      </c>
      <c r="C17" s="25" t="s">
        <v>196</v>
      </c>
      <c r="D17" s="25" t="s">
        <v>136</v>
      </c>
      <c r="E17" s="26">
        <v>185000</v>
      </c>
      <c r="F17" s="27">
        <v>435.12</v>
      </c>
      <c r="G17" s="28">
        <v>2.8400000000000002E-2</v>
      </c>
      <c r="H17" s="29"/>
    </row>
    <row r="18" spans="2:8" ht="15.75" customHeight="1" x14ac:dyDescent="0.2">
      <c r="B18" s="25" t="s">
        <v>197</v>
      </c>
      <c r="C18" s="25" t="s">
        <v>198</v>
      </c>
      <c r="D18" s="25" t="s">
        <v>199</v>
      </c>
      <c r="E18" s="26">
        <v>175500</v>
      </c>
      <c r="F18" s="27">
        <v>424.03</v>
      </c>
      <c r="G18" s="28">
        <v>2.7699999999999999E-2</v>
      </c>
      <c r="H18" s="29"/>
    </row>
    <row r="19" spans="2:8" ht="15.75" customHeight="1" x14ac:dyDescent="0.2">
      <c r="B19" s="25" t="s">
        <v>200</v>
      </c>
      <c r="C19" s="25" t="s">
        <v>201</v>
      </c>
      <c r="D19" s="25" t="s">
        <v>202</v>
      </c>
      <c r="E19" s="26">
        <v>46200</v>
      </c>
      <c r="F19" s="27">
        <v>410.79</v>
      </c>
      <c r="G19" s="28">
        <v>2.6800000000000001E-2</v>
      </c>
      <c r="H19" s="29"/>
    </row>
    <row r="20" spans="2:8" ht="15.75" customHeight="1" x14ac:dyDescent="0.2">
      <c r="B20" s="25" t="s">
        <v>203</v>
      </c>
      <c r="C20" s="25" t="s">
        <v>204</v>
      </c>
      <c r="D20" s="25" t="s">
        <v>139</v>
      </c>
      <c r="E20" s="26">
        <v>26400</v>
      </c>
      <c r="F20" s="27">
        <v>410.36</v>
      </c>
      <c r="G20" s="28">
        <v>2.6800000000000001E-2</v>
      </c>
      <c r="H20" s="29"/>
    </row>
    <row r="21" spans="2:8" ht="15.75" customHeight="1" x14ac:dyDescent="0.2">
      <c r="B21" s="25" t="s">
        <v>205</v>
      </c>
      <c r="C21" s="25" t="s">
        <v>206</v>
      </c>
      <c r="D21" s="25" t="s">
        <v>207</v>
      </c>
      <c r="E21" s="26">
        <v>105225</v>
      </c>
      <c r="F21" s="27">
        <v>253.56</v>
      </c>
      <c r="G21" s="28">
        <v>1.66E-2</v>
      </c>
      <c r="H21" s="29"/>
    </row>
    <row r="22" spans="2:8" ht="15.75" customHeight="1" x14ac:dyDescent="0.2">
      <c r="B22" s="25" t="s">
        <v>208</v>
      </c>
      <c r="C22" s="25" t="s">
        <v>209</v>
      </c>
      <c r="D22" s="25" t="s">
        <v>172</v>
      </c>
      <c r="E22" s="26">
        <v>16500</v>
      </c>
      <c r="F22" s="27">
        <v>236.63</v>
      </c>
      <c r="G22" s="28">
        <v>1.55E-2</v>
      </c>
      <c r="H22" s="29"/>
    </row>
    <row r="23" spans="2:8" ht="15.75" customHeight="1" x14ac:dyDescent="0.2">
      <c r="B23" s="25" t="s">
        <v>210</v>
      </c>
      <c r="C23" s="25" t="s">
        <v>211</v>
      </c>
      <c r="D23" s="25" t="s">
        <v>212</v>
      </c>
      <c r="E23" s="26">
        <v>102600</v>
      </c>
      <c r="F23" s="27">
        <v>232.78</v>
      </c>
      <c r="G23" s="28">
        <v>1.52E-2</v>
      </c>
      <c r="H23" s="29"/>
    </row>
    <row r="24" spans="2:8" ht="15.75" customHeight="1" x14ac:dyDescent="0.2">
      <c r="B24" s="25" t="s">
        <v>213</v>
      </c>
      <c r="C24" s="25" t="s">
        <v>214</v>
      </c>
      <c r="D24" s="25" t="s">
        <v>136</v>
      </c>
      <c r="E24" s="26">
        <v>76050</v>
      </c>
      <c r="F24" s="27">
        <v>192.9</v>
      </c>
      <c r="G24" s="28">
        <v>1.26E-2</v>
      </c>
      <c r="H24" s="29"/>
    </row>
    <row r="25" spans="2:8" ht="15.75" customHeight="1" x14ac:dyDescent="0.2">
      <c r="B25" s="25" t="s">
        <v>215</v>
      </c>
      <c r="C25" s="25" t="s">
        <v>216</v>
      </c>
      <c r="D25" s="25" t="s">
        <v>217</v>
      </c>
      <c r="E25" s="26">
        <v>12350</v>
      </c>
      <c r="F25" s="27">
        <v>184.21</v>
      </c>
      <c r="G25" s="28">
        <v>1.2E-2</v>
      </c>
      <c r="H25" s="29"/>
    </row>
    <row r="26" spans="2:8" ht="15.75" customHeight="1" x14ac:dyDescent="0.2">
      <c r="B26" s="25" t="s">
        <v>218</v>
      </c>
      <c r="C26" s="25" t="s">
        <v>219</v>
      </c>
      <c r="D26" s="25" t="s">
        <v>220</v>
      </c>
      <c r="E26" s="26">
        <v>46800</v>
      </c>
      <c r="F26" s="27">
        <v>160.85</v>
      </c>
      <c r="G26" s="28">
        <v>1.0500000000000001E-2</v>
      </c>
      <c r="H26" s="29"/>
    </row>
    <row r="27" spans="2:8" ht="15.75" customHeight="1" x14ac:dyDescent="0.2">
      <c r="B27" s="25" t="s">
        <v>221</v>
      </c>
      <c r="C27" s="25" t="s">
        <v>222</v>
      </c>
      <c r="D27" s="25" t="s">
        <v>212</v>
      </c>
      <c r="E27" s="26">
        <v>15000</v>
      </c>
      <c r="F27" s="27">
        <v>156.22999999999999</v>
      </c>
      <c r="G27" s="28">
        <v>1.0200000000000001E-2</v>
      </c>
      <c r="H27" s="29"/>
    </row>
    <row r="28" spans="2:8" ht="15.75" customHeight="1" x14ac:dyDescent="0.2">
      <c r="B28" s="25" t="s">
        <v>223</v>
      </c>
      <c r="C28" s="25" t="s">
        <v>224</v>
      </c>
      <c r="D28" s="25" t="s">
        <v>136</v>
      </c>
      <c r="E28" s="26">
        <v>70000</v>
      </c>
      <c r="F28" s="27">
        <v>152.66</v>
      </c>
      <c r="G28" s="28">
        <v>0.01</v>
      </c>
      <c r="H28" s="29"/>
    </row>
    <row r="29" spans="2:8" ht="15.75" customHeight="1" x14ac:dyDescent="0.2">
      <c r="B29" s="25" t="s">
        <v>225</v>
      </c>
      <c r="C29" s="25" t="s">
        <v>226</v>
      </c>
      <c r="D29" s="25" t="s">
        <v>227</v>
      </c>
      <c r="E29" s="26">
        <v>25200</v>
      </c>
      <c r="F29" s="27">
        <v>131.59</v>
      </c>
      <c r="G29" s="28">
        <v>8.6E-3</v>
      </c>
      <c r="H29" s="29"/>
    </row>
    <row r="30" spans="2:8" ht="15.75" customHeight="1" x14ac:dyDescent="0.2">
      <c r="B30" s="25" t="s">
        <v>228</v>
      </c>
      <c r="C30" s="25" t="s">
        <v>229</v>
      </c>
      <c r="D30" s="25" t="s">
        <v>230</v>
      </c>
      <c r="E30" s="26">
        <v>13125</v>
      </c>
      <c r="F30" s="27">
        <v>129.63</v>
      </c>
      <c r="G30" s="28">
        <v>8.5000000000000006E-3</v>
      </c>
      <c r="H30" s="29"/>
    </row>
    <row r="31" spans="2:8" ht="15.75" customHeight="1" x14ac:dyDescent="0.2">
      <c r="B31" s="25" t="s">
        <v>231</v>
      </c>
      <c r="C31" s="25" t="s">
        <v>232</v>
      </c>
      <c r="D31" s="25" t="s">
        <v>233</v>
      </c>
      <c r="E31" s="26">
        <v>16000</v>
      </c>
      <c r="F31" s="27">
        <v>119.82</v>
      </c>
      <c r="G31" s="28">
        <v>7.7999999999999996E-3</v>
      </c>
      <c r="H31" s="29"/>
    </row>
    <row r="32" spans="2:8" ht="15.75" customHeight="1" x14ac:dyDescent="0.2">
      <c r="B32" s="25" t="s">
        <v>146</v>
      </c>
      <c r="C32" s="25" t="s">
        <v>147</v>
      </c>
      <c r="D32" s="25" t="s">
        <v>148</v>
      </c>
      <c r="E32" s="26">
        <v>4800</v>
      </c>
      <c r="F32" s="27">
        <v>117.9</v>
      </c>
      <c r="G32" s="28">
        <v>7.7000000000000002E-3</v>
      </c>
      <c r="H32" s="29"/>
    </row>
    <row r="33" spans="2:8" ht="15.75" customHeight="1" x14ac:dyDescent="0.2">
      <c r="B33" s="25" t="s">
        <v>234</v>
      </c>
      <c r="C33" s="25" t="s">
        <v>235</v>
      </c>
      <c r="D33" s="25" t="s">
        <v>145</v>
      </c>
      <c r="E33" s="26">
        <v>850</v>
      </c>
      <c r="F33" s="27">
        <v>111.48</v>
      </c>
      <c r="G33" s="28">
        <v>7.3000000000000001E-3</v>
      </c>
      <c r="H33" s="29"/>
    </row>
    <row r="34" spans="2:8" ht="15.75" customHeight="1" x14ac:dyDescent="0.2">
      <c r="B34" s="25" t="s">
        <v>236</v>
      </c>
      <c r="C34" s="25" t="s">
        <v>237</v>
      </c>
      <c r="D34" s="25" t="s">
        <v>139</v>
      </c>
      <c r="E34" s="26">
        <v>2450</v>
      </c>
      <c r="F34" s="27">
        <v>107.44</v>
      </c>
      <c r="G34" s="28">
        <v>7.0000000000000001E-3</v>
      </c>
      <c r="H34" s="29"/>
    </row>
    <row r="35" spans="2:8" ht="15.75" customHeight="1" x14ac:dyDescent="0.2">
      <c r="B35" s="25" t="s">
        <v>238</v>
      </c>
      <c r="C35" s="25" t="s">
        <v>239</v>
      </c>
      <c r="D35" s="25" t="s">
        <v>240</v>
      </c>
      <c r="E35" s="26">
        <v>52500</v>
      </c>
      <c r="F35" s="27">
        <v>101.97</v>
      </c>
      <c r="G35" s="28">
        <v>6.7000000000000002E-3</v>
      </c>
      <c r="H35" s="29"/>
    </row>
    <row r="36" spans="2:8" ht="15.75" customHeight="1" x14ac:dyDescent="0.2">
      <c r="B36" s="25" t="s">
        <v>241</v>
      </c>
      <c r="C36" s="25" t="s">
        <v>242</v>
      </c>
      <c r="D36" s="25" t="s">
        <v>181</v>
      </c>
      <c r="E36" s="26">
        <v>10125</v>
      </c>
      <c r="F36" s="27">
        <v>93.99</v>
      </c>
      <c r="G36" s="28">
        <v>6.1000000000000004E-3</v>
      </c>
      <c r="H36" s="29"/>
    </row>
    <row r="37" spans="2:8" ht="15.75" customHeight="1" x14ac:dyDescent="0.2">
      <c r="B37" s="25" t="s">
        <v>243</v>
      </c>
      <c r="C37" s="25" t="s">
        <v>244</v>
      </c>
      <c r="D37" s="25" t="s">
        <v>245</v>
      </c>
      <c r="E37" s="26">
        <v>67500</v>
      </c>
      <c r="F37" s="27">
        <v>68.67</v>
      </c>
      <c r="G37" s="28">
        <v>4.4999999999999997E-3</v>
      </c>
      <c r="H37" s="29"/>
    </row>
    <row r="38" spans="2:8" ht="15.75" customHeight="1" x14ac:dyDescent="0.2">
      <c r="B38" s="25" t="s">
        <v>246</v>
      </c>
      <c r="C38" s="25" t="s">
        <v>247</v>
      </c>
      <c r="D38" s="25" t="s">
        <v>155</v>
      </c>
      <c r="E38" s="26">
        <v>16200</v>
      </c>
      <c r="F38" s="27">
        <v>63.54</v>
      </c>
      <c r="G38" s="28">
        <v>4.1999999999999997E-3</v>
      </c>
      <c r="H38" s="29"/>
    </row>
    <row r="39" spans="2:8" ht="15.75" customHeight="1" x14ac:dyDescent="0.2">
      <c r="B39" s="25" t="s">
        <v>248</v>
      </c>
      <c r="C39" s="25" t="s">
        <v>249</v>
      </c>
      <c r="D39" s="25" t="s">
        <v>155</v>
      </c>
      <c r="E39" s="26">
        <v>16200</v>
      </c>
      <c r="F39" s="27">
        <v>56.71</v>
      </c>
      <c r="G39" s="28">
        <v>3.7000000000000002E-3</v>
      </c>
      <c r="H39" s="29"/>
    </row>
    <row r="40" spans="2:8" ht="15.75" customHeight="1" x14ac:dyDescent="0.2">
      <c r="B40" s="25" t="s">
        <v>250</v>
      </c>
      <c r="C40" s="25" t="s">
        <v>251</v>
      </c>
      <c r="D40" s="25" t="s">
        <v>212</v>
      </c>
      <c r="E40" s="26">
        <v>31234</v>
      </c>
      <c r="F40" s="27">
        <v>56.19</v>
      </c>
      <c r="G40" s="28">
        <v>3.7000000000000002E-3</v>
      </c>
      <c r="H40" s="29"/>
    </row>
    <row r="41" spans="2:8" ht="15.75" customHeight="1" x14ac:dyDescent="0.2">
      <c r="B41" s="25" t="s">
        <v>252</v>
      </c>
      <c r="C41" s="25" t="s">
        <v>253</v>
      </c>
      <c r="D41" s="25" t="s">
        <v>254</v>
      </c>
      <c r="E41" s="26">
        <v>9100</v>
      </c>
      <c r="F41" s="27">
        <v>52.06</v>
      </c>
      <c r="G41" s="28">
        <v>3.3999999999999998E-3</v>
      </c>
      <c r="H41" s="29"/>
    </row>
    <row r="42" spans="2:8" ht="15.75" customHeight="1" x14ac:dyDescent="0.2">
      <c r="B42" s="25" t="s">
        <v>255</v>
      </c>
      <c r="C42" s="25" t="s">
        <v>256</v>
      </c>
      <c r="D42" s="25" t="s">
        <v>184</v>
      </c>
      <c r="E42" s="26">
        <v>9000</v>
      </c>
      <c r="F42" s="27">
        <v>37.44</v>
      </c>
      <c r="G42" s="28">
        <v>2.3999999999999998E-3</v>
      </c>
      <c r="H42" s="29"/>
    </row>
    <row r="43" spans="2:8" ht="15.75" customHeight="1" x14ac:dyDescent="0.2">
      <c r="B43" s="25" t="s">
        <v>257</v>
      </c>
      <c r="C43" s="25" t="s">
        <v>258</v>
      </c>
      <c r="D43" s="25" t="s">
        <v>148</v>
      </c>
      <c r="E43" s="26">
        <v>600</v>
      </c>
      <c r="F43" s="27">
        <v>34.71</v>
      </c>
      <c r="G43" s="28">
        <v>2.3E-3</v>
      </c>
      <c r="H43" s="29"/>
    </row>
    <row r="44" spans="2:8" ht="15.75" customHeight="1" x14ac:dyDescent="0.2">
      <c r="B44" s="25" t="s">
        <v>259</v>
      </c>
      <c r="C44" s="25" t="s">
        <v>260</v>
      </c>
      <c r="D44" s="25" t="s">
        <v>172</v>
      </c>
      <c r="E44" s="26">
        <v>2175</v>
      </c>
      <c r="F44" s="27">
        <v>31.95</v>
      </c>
      <c r="G44" s="28">
        <v>2.0999999999999999E-3</v>
      </c>
      <c r="H44" s="29"/>
    </row>
    <row r="45" spans="2:8" ht="15.75" customHeight="1" x14ac:dyDescent="0.2">
      <c r="B45" s="25" t="s">
        <v>261</v>
      </c>
      <c r="C45" s="25" t="s">
        <v>262</v>
      </c>
      <c r="D45" s="25" t="s">
        <v>263</v>
      </c>
      <c r="E45" s="26">
        <v>3000</v>
      </c>
      <c r="F45" s="27">
        <v>31.21</v>
      </c>
      <c r="G45" s="28">
        <v>2E-3</v>
      </c>
      <c r="H45" s="29"/>
    </row>
    <row r="46" spans="2:8" ht="15.75" customHeight="1" x14ac:dyDescent="0.2">
      <c r="B46" s="25" t="s">
        <v>143</v>
      </c>
      <c r="C46" s="25" t="s">
        <v>144</v>
      </c>
      <c r="D46" s="25" t="s">
        <v>145</v>
      </c>
      <c r="E46" s="26">
        <v>1050</v>
      </c>
      <c r="F46" s="27">
        <v>30.53</v>
      </c>
      <c r="G46" s="28">
        <v>2E-3</v>
      </c>
      <c r="H46" s="29"/>
    </row>
    <row r="47" spans="2:8" ht="15.75" customHeight="1" x14ac:dyDescent="0.2">
      <c r="B47" s="25" t="s">
        <v>264</v>
      </c>
      <c r="C47" s="25" t="s">
        <v>265</v>
      </c>
      <c r="D47" s="25" t="s">
        <v>266</v>
      </c>
      <c r="E47" s="26">
        <v>5400</v>
      </c>
      <c r="F47" s="27">
        <v>28.26</v>
      </c>
      <c r="G47" s="28">
        <v>1.8E-3</v>
      </c>
      <c r="H47" s="29"/>
    </row>
    <row r="48" spans="2:8" ht="15.75" customHeight="1" x14ac:dyDescent="0.2">
      <c r="B48" s="25" t="s">
        <v>267</v>
      </c>
      <c r="C48" s="25" t="s">
        <v>268</v>
      </c>
      <c r="D48" s="25" t="s">
        <v>269</v>
      </c>
      <c r="E48" s="26">
        <v>3400</v>
      </c>
      <c r="F48" s="27">
        <v>28.09</v>
      </c>
      <c r="G48" s="28">
        <v>1.8E-3</v>
      </c>
      <c r="H48" s="29"/>
    </row>
    <row r="49" spans="2:8" ht="15.75" customHeight="1" x14ac:dyDescent="0.2">
      <c r="B49" s="25" t="s">
        <v>270</v>
      </c>
      <c r="C49" s="25" t="s">
        <v>271</v>
      </c>
      <c r="D49" s="25" t="s">
        <v>240</v>
      </c>
      <c r="E49" s="26">
        <v>2800</v>
      </c>
      <c r="F49" s="27">
        <v>18.75</v>
      </c>
      <c r="G49" s="28">
        <v>1.1999999999999999E-3</v>
      </c>
      <c r="H49" s="29"/>
    </row>
    <row r="50" spans="2:8" ht="15.75" customHeight="1" x14ac:dyDescent="0.2">
      <c r="B50" s="25" t="s">
        <v>272</v>
      </c>
      <c r="C50" s="25" t="s">
        <v>273</v>
      </c>
      <c r="D50" s="25" t="s">
        <v>175</v>
      </c>
      <c r="E50" s="26">
        <v>300</v>
      </c>
      <c r="F50" s="27">
        <v>14.77</v>
      </c>
      <c r="G50" s="28">
        <v>1E-3</v>
      </c>
      <c r="H50" s="29"/>
    </row>
    <row r="51" spans="2:8" ht="15.75" customHeight="1" x14ac:dyDescent="0.2">
      <c r="B51" s="25" t="s">
        <v>274</v>
      </c>
      <c r="C51" s="25" t="s">
        <v>275</v>
      </c>
      <c r="D51" s="25" t="s">
        <v>212</v>
      </c>
      <c r="E51" s="26">
        <v>5000</v>
      </c>
      <c r="F51" s="27">
        <v>5.63</v>
      </c>
      <c r="G51" s="28">
        <v>4.0000000000000002E-4</v>
      </c>
      <c r="H51" s="29"/>
    </row>
    <row r="52" spans="2:8" ht="15.75" customHeight="1" x14ac:dyDescent="0.2">
      <c r="B52" s="24" t="s">
        <v>104</v>
      </c>
      <c r="C52" s="24"/>
      <c r="D52" s="24"/>
      <c r="E52" s="30"/>
      <c r="F52" s="31">
        <v>10557.35</v>
      </c>
      <c r="G52" s="32">
        <v>0.69</v>
      </c>
      <c r="H52" s="33"/>
    </row>
    <row r="53" spans="2:8" ht="15.75" customHeight="1" x14ac:dyDescent="0.2">
      <c r="B53" s="24" t="s">
        <v>156</v>
      </c>
      <c r="C53" s="25"/>
      <c r="D53" s="25"/>
      <c r="E53" s="26"/>
      <c r="F53" s="27"/>
      <c r="G53" s="28"/>
      <c r="H53" s="29"/>
    </row>
    <row r="54" spans="2:8" ht="15.75" customHeight="1" x14ac:dyDescent="0.2">
      <c r="B54" s="24" t="s">
        <v>104</v>
      </c>
      <c r="C54" s="25"/>
      <c r="D54" s="25"/>
      <c r="E54" s="26"/>
      <c r="F54" s="34" t="s">
        <v>106</v>
      </c>
      <c r="G54" s="35" t="s">
        <v>106</v>
      </c>
      <c r="H54" s="29"/>
    </row>
    <row r="55" spans="2:8" ht="15.75" customHeight="1" x14ac:dyDescent="0.2">
      <c r="B55" s="25"/>
      <c r="C55" s="25"/>
      <c r="D55" s="25"/>
      <c r="E55" s="26"/>
      <c r="F55" s="27"/>
      <c r="G55" s="28"/>
      <c r="H55" s="29"/>
    </row>
    <row r="56" spans="2:8" ht="15.75" customHeight="1" x14ac:dyDescent="0.2">
      <c r="B56" s="36" t="s">
        <v>108</v>
      </c>
      <c r="C56" s="36"/>
      <c r="D56" s="36"/>
      <c r="E56" s="37"/>
      <c r="F56" s="31">
        <v>10557.35</v>
      </c>
      <c r="G56" s="32">
        <v>0.69</v>
      </c>
      <c r="H56" s="33"/>
    </row>
    <row r="57" spans="2:8" ht="15.75" customHeight="1" x14ac:dyDescent="0.2">
      <c r="B57" s="25"/>
      <c r="C57" s="25"/>
      <c r="D57" s="25"/>
      <c r="E57" s="26"/>
      <c r="F57" s="27"/>
      <c r="G57" s="28"/>
      <c r="H57" s="29"/>
    </row>
    <row r="58" spans="2:8" ht="15.75" customHeight="1" x14ac:dyDescent="0.2">
      <c r="B58" s="24" t="s">
        <v>123</v>
      </c>
      <c r="C58" s="25"/>
      <c r="D58" s="25"/>
      <c r="E58" s="26"/>
      <c r="F58" s="27"/>
      <c r="G58" s="28"/>
      <c r="H58" s="29"/>
    </row>
    <row r="59" spans="2:8" ht="15.75" customHeight="1" x14ac:dyDescent="0.2">
      <c r="B59" s="25"/>
      <c r="C59" s="25"/>
      <c r="D59" s="25"/>
      <c r="E59" s="26"/>
      <c r="F59" s="27"/>
      <c r="G59" s="28"/>
      <c r="H59" s="29"/>
    </row>
    <row r="60" spans="2:8" ht="15.75" customHeight="1" x14ac:dyDescent="0.2">
      <c r="B60" s="24" t="s">
        <v>169</v>
      </c>
      <c r="C60" s="25"/>
      <c r="D60" s="25"/>
      <c r="E60" s="26"/>
      <c r="F60" s="27"/>
      <c r="G60" s="28"/>
      <c r="H60" s="29"/>
    </row>
    <row r="61" spans="2:8" ht="15.75" customHeight="1" x14ac:dyDescent="0.2">
      <c r="B61" s="25" t="s">
        <v>276</v>
      </c>
      <c r="C61" s="25" t="s">
        <v>277</v>
      </c>
      <c r="D61" s="25" t="s">
        <v>130</v>
      </c>
      <c r="E61" s="26">
        <v>200</v>
      </c>
      <c r="F61" s="27">
        <v>999.14</v>
      </c>
      <c r="G61" s="28">
        <v>6.5299999999999997E-2</v>
      </c>
      <c r="H61" s="29">
        <v>7.868E-2</v>
      </c>
    </row>
    <row r="62" spans="2:8" ht="15.75" customHeight="1" x14ac:dyDescent="0.2">
      <c r="B62" s="24" t="s">
        <v>104</v>
      </c>
      <c r="C62" s="24"/>
      <c r="D62" s="24"/>
      <c r="E62" s="30"/>
      <c r="F62" s="31">
        <v>999.14</v>
      </c>
      <c r="G62" s="32">
        <v>6.5299999999999997E-2</v>
      </c>
      <c r="H62" s="33"/>
    </row>
    <row r="63" spans="2:8" ht="15.75" customHeight="1" x14ac:dyDescent="0.2">
      <c r="B63" s="25"/>
      <c r="C63" s="25"/>
      <c r="D63" s="25"/>
      <c r="E63" s="26"/>
      <c r="F63" s="27"/>
      <c r="G63" s="28"/>
      <c r="H63" s="29"/>
    </row>
    <row r="64" spans="2:8" ht="15.75" customHeight="1" x14ac:dyDescent="0.2">
      <c r="B64" s="36" t="s">
        <v>108</v>
      </c>
      <c r="C64" s="36"/>
      <c r="D64" s="36"/>
      <c r="E64" s="37"/>
      <c r="F64" s="31">
        <v>999.14</v>
      </c>
      <c r="G64" s="32">
        <v>6.5299999999999997E-2</v>
      </c>
      <c r="H64" s="33"/>
    </row>
    <row r="65" spans="2:14" ht="15.75" customHeight="1" x14ac:dyDescent="0.2">
      <c r="B65" s="25"/>
      <c r="C65" s="25"/>
      <c r="D65" s="25"/>
      <c r="E65" s="26"/>
      <c r="F65" s="27"/>
      <c r="G65" s="28"/>
      <c r="H65" s="29"/>
    </row>
    <row r="66" spans="2:14" ht="15.75" customHeight="1" x14ac:dyDescent="0.2">
      <c r="B66" s="25"/>
      <c r="C66" s="25"/>
      <c r="D66" s="25"/>
      <c r="E66" s="26"/>
      <c r="F66" s="27"/>
      <c r="G66" s="28"/>
      <c r="H66" s="29"/>
    </row>
    <row r="67" spans="2:14" ht="15.75" customHeight="1" x14ac:dyDescent="0.2">
      <c r="B67" s="24" t="s">
        <v>109</v>
      </c>
      <c r="C67" s="25"/>
      <c r="D67" s="25"/>
      <c r="E67" s="26"/>
      <c r="F67" s="27"/>
      <c r="G67" s="28"/>
      <c r="H67" s="29"/>
    </row>
    <row r="68" spans="2:14" ht="15.75" customHeight="1" x14ac:dyDescent="0.2">
      <c r="B68" s="24" t="s">
        <v>110</v>
      </c>
      <c r="C68" s="25"/>
      <c r="D68" s="25"/>
      <c r="E68" s="26"/>
      <c r="F68" s="27"/>
      <c r="G68" s="28"/>
      <c r="H68" s="29"/>
      <c r="J68" s="3"/>
    </row>
    <row r="69" spans="2:14" ht="15.75" customHeight="1" x14ac:dyDescent="0.2">
      <c r="B69" s="25" t="s">
        <v>278</v>
      </c>
      <c r="C69" s="25" t="s">
        <v>279</v>
      </c>
      <c r="D69" s="25"/>
      <c r="E69" s="26">
        <v>74251.744000000006</v>
      </c>
      <c r="F69" s="27">
        <v>3335.58</v>
      </c>
      <c r="G69" s="28">
        <v>0.218</v>
      </c>
      <c r="H69" s="29"/>
    </row>
    <row r="70" spans="2:14" ht="15.75" customHeight="1" x14ac:dyDescent="0.2">
      <c r="B70" s="25"/>
      <c r="C70" s="25"/>
      <c r="D70" s="25"/>
      <c r="E70" s="26"/>
      <c r="F70" s="27"/>
      <c r="G70" s="28"/>
      <c r="H70" s="29"/>
      <c r="J70" s="3"/>
    </row>
    <row r="71" spans="2:14" ht="15.75" customHeight="1" x14ac:dyDescent="0.2">
      <c r="B71" s="36" t="s">
        <v>108</v>
      </c>
      <c r="C71" s="36"/>
      <c r="D71" s="36"/>
      <c r="E71" s="37"/>
      <c r="F71" s="31">
        <v>3335.58</v>
      </c>
      <c r="G71" s="32">
        <v>0.218</v>
      </c>
      <c r="H71" s="33"/>
      <c r="J71" s="3"/>
    </row>
    <row r="72" spans="2:14" ht="15.75" customHeight="1" x14ac:dyDescent="0.2">
      <c r="B72" s="25"/>
      <c r="C72" s="25"/>
      <c r="D72" s="25"/>
      <c r="E72" s="26"/>
      <c r="F72" s="27"/>
      <c r="G72" s="28"/>
      <c r="H72" s="29"/>
      <c r="J72" s="3"/>
    </row>
    <row r="73" spans="2:14" ht="15.75" customHeight="1" x14ac:dyDescent="0.2">
      <c r="B73" s="24" t="s">
        <v>111</v>
      </c>
      <c r="C73" s="25"/>
      <c r="D73" s="25"/>
      <c r="E73" s="26"/>
      <c r="F73" s="27"/>
      <c r="G73" s="28"/>
      <c r="H73" s="29"/>
      <c r="J73" s="3"/>
    </row>
    <row r="74" spans="2:14" ht="15.75" customHeight="1" x14ac:dyDescent="0.2">
      <c r="B74" s="25" t="s">
        <v>112</v>
      </c>
      <c r="C74" s="25"/>
      <c r="D74" s="25"/>
      <c r="E74" s="26"/>
      <c r="F74" s="27">
        <v>403.83</v>
      </c>
      <c r="G74" s="28">
        <v>2.64E-2</v>
      </c>
      <c r="H74" s="29"/>
      <c r="J74" s="3"/>
    </row>
    <row r="75" spans="2:14" ht="15.75" customHeight="1" x14ac:dyDescent="0.2">
      <c r="B75" s="24" t="s">
        <v>104</v>
      </c>
      <c r="C75" s="24"/>
      <c r="D75" s="24"/>
      <c r="E75" s="30"/>
      <c r="F75" s="31">
        <v>403.83</v>
      </c>
      <c r="G75" s="32">
        <v>2.64E-2</v>
      </c>
      <c r="H75" s="33"/>
      <c r="J75" s="5"/>
      <c r="K75" s="5"/>
      <c r="L75" s="6"/>
      <c r="M75" s="6"/>
      <c r="N75" s="5"/>
    </row>
    <row r="76" spans="2:14" ht="15.75" customHeight="1" x14ac:dyDescent="0.2">
      <c r="B76" s="25"/>
      <c r="C76" s="25"/>
      <c r="D76" s="25"/>
      <c r="E76" s="26"/>
      <c r="F76" s="27"/>
      <c r="G76" s="28"/>
      <c r="H76" s="29"/>
    </row>
    <row r="77" spans="2:14" ht="15.75" customHeight="1" x14ac:dyDescent="0.2">
      <c r="B77" s="36" t="s">
        <v>108</v>
      </c>
      <c r="C77" s="36"/>
      <c r="D77" s="36"/>
      <c r="E77" s="37"/>
      <c r="F77" s="31">
        <v>403.83</v>
      </c>
      <c r="G77" s="32">
        <v>2.64E-2</v>
      </c>
      <c r="H77" s="33"/>
    </row>
    <row r="78" spans="2:14" ht="15.75" customHeight="1" x14ac:dyDescent="0.2">
      <c r="B78" s="25" t="s">
        <v>113</v>
      </c>
      <c r="C78" s="25"/>
      <c r="D78" s="25"/>
      <c r="E78" s="26"/>
      <c r="F78" s="27">
        <v>4.54</v>
      </c>
      <c r="G78" s="28">
        <v>3.0000000000007798E-4</v>
      </c>
      <c r="H78" s="29"/>
      <c r="J78" s="7"/>
      <c r="K78" s="7"/>
      <c r="L78" s="7"/>
      <c r="M78" s="7"/>
      <c r="N78" s="7"/>
    </row>
    <row r="79" spans="2:14" ht="15.75" customHeight="1" x14ac:dyDescent="0.2">
      <c r="B79" s="40" t="s">
        <v>114</v>
      </c>
      <c r="C79" s="40"/>
      <c r="D79" s="40"/>
      <c r="E79" s="41"/>
      <c r="F79" s="42">
        <v>15300.44</v>
      </c>
      <c r="G79" s="43">
        <v>1</v>
      </c>
      <c r="H79" s="44"/>
      <c r="J79" s="7"/>
      <c r="K79" s="7"/>
      <c r="L79" s="7"/>
      <c r="M79" s="7"/>
      <c r="N79" s="7"/>
    </row>
    <row r="80" spans="2:14" ht="15.75" customHeight="1" x14ac:dyDescent="0.2">
      <c r="B80" s="2"/>
      <c r="J80" s="7"/>
      <c r="K80" s="7"/>
      <c r="L80" s="7"/>
      <c r="M80" s="7"/>
      <c r="N80" s="7"/>
    </row>
    <row r="81" spans="2:14" ht="15.75" customHeight="1" x14ac:dyDescent="0.2">
      <c r="B81" s="12" t="s">
        <v>115</v>
      </c>
      <c r="J81" s="7"/>
      <c r="K81" s="7"/>
      <c r="L81" s="7"/>
      <c r="M81" s="7"/>
      <c r="N81" s="7"/>
    </row>
    <row r="82" spans="2:14" ht="15.75" customHeight="1" x14ac:dyDescent="0.2">
      <c r="B82" s="53"/>
      <c r="J82" s="7"/>
      <c r="K82" s="7"/>
      <c r="L82" s="7"/>
      <c r="M82" s="7"/>
      <c r="N82" s="7"/>
    </row>
    <row r="83" spans="2:14" ht="15.75" customHeight="1" x14ac:dyDescent="0.2">
      <c r="B83" s="9" t="s">
        <v>283</v>
      </c>
      <c r="J83" s="7"/>
      <c r="K83" s="7"/>
      <c r="L83" s="7"/>
      <c r="M83" s="7"/>
      <c r="N83" s="7"/>
    </row>
    <row r="84" spans="2:14" ht="15.75" customHeight="1" x14ac:dyDescent="0.2">
      <c r="B84" s="9" t="s">
        <v>284</v>
      </c>
      <c r="J84" s="7"/>
      <c r="K84" s="7"/>
      <c r="L84" s="7"/>
      <c r="M84" s="7"/>
      <c r="N84" s="7"/>
    </row>
    <row r="85" spans="2:14" ht="15.75" customHeight="1" x14ac:dyDescent="0.2">
      <c r="B85" s="13" t="s">
        <v>280</v>
      </c>
      <c r="C85" s="50" t="s">
        <v>2</v>
      </c>
      <c r="D85" s="51" t="s">
        <v>3</v>
      </c>
      <c r="E85" s="52" t="s">
        <v>281</v>
      </c>
    </row>
    <row r="86" spans="2:14" ht="15.75" customHeight="1" x14ac:dyDescent="0.2">
      <c r="B86" s="46" t="s">
        <v>208</v>
      </c>
      <c r="C86" s="47">
        <v>-16500</v>
      </c>
      <c r="D86" s="48">
        <v>-237.35</v>
      </c>
      <c r="E86" s="49">
        <v>-1.55E-2</v>
      </c>
      <c r="J86" s="3"/>
    </row>
    <row r="87" spans="2:14" ht="15.75" customHeight="1" x14ac:dyDescent="0.2">
      <c r="B87" s="46" t="s">
        <v>200</v>
      </c>
      <c r="C87" s="47">
        <v>-46200</v>
      </c>
      <c r="D87" s="48">
        <v>-413.26</v>
      </c>
      <c r="E87" s="49">
        <v>-2.7E-2</v>
      </c>
    </row>
    <row r="88" spans="2:14" ht="15.75" customHeight="1" x14ac:dyDescent="0.2">
      <c r="B88" s="46" t="s">
        <v>272</v>
      </c>
      <c r="C88" s="47">
        <v>-300</v>
      </c>
      <c r="D88" s="48">
        <v>-14.83</v>
      </c>
      <c r="E88" s="49">
        <v>-1E-3</v>
      </c>
    </row>
    <row r="89" spans="2:14" ht="15.75" customHeight="1" x14ac:dyDescent="0.2">
      <c r="B89" s="46" t="s">
        <v>185</v>
      </c>
      <c r="C89" s="47">
        <v>-25500</v>
      </c>
      <c r="D89" s="48">
        <v>-473.69</v>
      </c>
      <c r="E89" s="49">
        <v>-3.1E-2</v>
      </c>
    </row>
    <row r="90" spans="2:14" ht="15.75" customHeight="1" x14ac:dyDescent="0.2">
      <c r="B90" s="46" t="s">
        <v>223</v>
      </c>
      <c r="C90" s="47">
        <v>-70000</v>
      </c>
      <c r="D90" s="48">
        <v>-152.69</v>
      </c>
      <c r="E90" s="49">
        <v>-0.01</v>
      </c>
    </row>
    <row r="91" spans="2:14" ht="15.75" customHeight="1" x14ac:dyDescent="0.2">
      <c r="B91" s="46" t="s">
        <v>188</v>
      </c>
      <c r="C91" s="47">
        <v>-10800</v>
      </c>
      <c r="D91" s="48">
        <v>-447.37</v>
      </c>
      <c r="E91" s="49">
        <v>-2.92E-2</v>
      </c>
    </row>
    <row r="92" spans="2:14" ht="15.75" customHeight="1" x14ac:dyDescent="0.2">
      <c r="B92" s="46" t="s">
        <v>149</v>
      </c>
      <c r="C92" s="47">
        <v>-57200</v>
      </c>
      <c r="D92" s="48">
        <v>-930.99</v>
      </c>
      <c r="E92" s="49">
        <v>-6.08E-2</v>
      </c>
    </row>
    <row r="93" spans="2:14" ht="15.75" customHeight="1" x14ac:dyDescent="0.2">
      <c r="B93" s="46" t="s">
        <v>146</v>
      </c>
      <c r="C93" s="47">
        <v>-4800</v>
      </c>
      <c r="D93" s="48">
        <v>-118.69</v>
      </c>
      <c r="E93" s="49">
        <v>-7.7999999999999996E-3</v>
      </c>
    </row>
    <row r="94" spans="2:14" ht="15.75" customHeight="1" x14ac:dyDescent="0.2">
      <c r="B94" s="46" t="s">
        <v>274</v>
      </c>
      <c r="C94" s="47">
        <v>-5000</v>
      </c>
      <c r="D94" s="48">
        <v>-5.68</v>
      </c>
      <c r="E94" s="49">
        <v>-4.0000000000000002E-4</v>
      </c>
    </row>
    <row r="95" spans="2:14" ht="15.75" customHeight="1" x14ac:dyDescent="0.2">
      <c r="B95" s="46" t="s">
        <v>191</v>
      </c>
      <c r="C95" s="47">
        <v>-126000</v>
      </c>
      <c r="D95" s="48">
        <v>-437.47</v>
      </c>
      <c r="E95" s="49">
        <v>-2.86E-2</v>
      </c>
    </row>
    <row r="96" spans="2:14" ht="15.75" customHeight="1" x14ac:dyDescent="0.2">
      <c r="B96" s="46" t="s">
        <v>231</v>
      </c>
      <c r="C96" s="47">
        <v>-16000</v>
      </c>
      <c r="D96" s="48">
        <v>-120.7</v>
      </c>
      <c r="E96" s="49">
        <v>-7.9000000000000008E-3</v>
      </c>
    </row>
    <row r="97" spans="2:5" ht="15.75" customHeight="1" x14ac:dyDescent="0.2">
      <c r="B97" s="46" t="s">
        <v>210</v>
      </c>
      <c r="C97" s="47">
        <v>-102600</v>
      </c>
      <c r="D97" s="48">
        <v>-234.01</v>
      </c>
      <c r="E97" s="49">
        <v>-1.5299999999999999E-2</v>
      </c>
    </row>
    <row r="98" spans="2:5" ht="15.75" customHeight="1" x14ac:dyDescent="0.2">
      <c r="B98" s="46" t="s">
        <v>261</v>
      </c>
      <c r="C98" s="47">
        <v>-3000</v>
      </c>
      <c r="D98" s="48">
        <v>-31.27</v>
      </c>
      <c r="E98" s="49">
        <v>-2E-3</v>
      </c>
    </row>
    <row r="99" spans="2:5" ht="15.75" customHeight="1" x14ac:dyDescent="0.2">
      <c r="B99" s="46" t="s">
        <v>241</v>
      </c>
      <c r="C99" s="47">
        <v>-10125</v>
      </c>
      <c r="D99" s="48">
        <v>-94.88</v>
      </c>
      <c r="E99" s="49">
        <v>-6.1999999999999998E-3</v>
      </c>
    </row>
    <row r="100" spans="2:5" ht="15.75" customHeight="1" x14ac:dyDescent="0.2">
      <c r="B100" s="46" t="s">
        <v>250</v>
      </c>
      <c r="C100" s="47">
        <v>-31234</v>
      </c>
      <c r="D100" s="48">
        <v>-56.59</v>
      </c>
      <c r="E100" s="49">
        <v>-3.7000000000000002E-3</v>
      </c>
    </row>
    <row r="101" spans="2:5" ht="15.75" customHeight="1" x14ac:dyDescent="0.2">
      <c r="B101" s="46" t="s">
        <v>143</v>
      </c>
      <c r="C101" s="47">
        <v>-1050</v>
      </c>
      <c r="D101" s="48">
        <v>-30.74</v>
      </c>
      <c r="E101" s="49">
        <v>-2E-3</v>
      </c>
    </row>
    <row r="102" spans="2:5" ht="15.75" customHeight="1" x14ac:dyDescent="0.2">
      <c r="B102" s="46" t="s">
        <v>193</v>
      </c>
      <c r="C102" s="47">
        <v>-352000</v>
      </c>
      <c r="D102" s="48">
        <v>-438.1</v>
      </c>
      <c r="E102" s="49">
        <v>-2.86E-2</v>
      </c>
    </row>
    <row r="103" spans="2:5" ht="15.75" customHeight="1" x14ac:dyDescent="0.2">
      <c r="B103" s="46" t="s">
        <v>182</v>
      </c>
      <c r="C103" s="47">
        <v>-112050</v>
      </c>
      <c r="D103" s="48">
        <v>-511.62</v>
      </c>
      <c r="E103" s="49">
        <v>-3.3399999999999999E-2</v>
      </c>
    </row>
    <row r="104" spans="2:5" ht="15.75" customHeight="1" x14ac:dyDescent="0.2">
      <c r="B104" s="46" t="s">
        <v>173</v>
      </c>
      <c r="C104" s="47">
        <v>-239400</v>
      </c>
      <c r="D104" s="48">
        <v>-760.1</v>
      </c>
      <c r="E104" s="49">
        <v>-4.9700000000000001E-2</v>
      </c>
    </row>
    <row r="105" spans="2:5" ht="15.75" customHeight="1" x14ac:dyDescent="0.2">
      <c r="B105" s="46" t="s">
        <v>215</v>
      </c>
      <c r="C105" s="47">
        <v>-12350</v>
      </c>
      <c r="D105" s="48">
        <v>-184.34</v>
      </c>
      <c r="E105" s="49">
        <v>-1.2E-2</v>
      </c>
    </row>
    <row r="106" spans="2:5" ht="15.75" customHeight="1" x14ac:dyDescent="0.2">
      <c r="B106" s="46" t="s">
        <v>213</v>
      </c>
      <c r="C106" s="47">
        <v>-76050</v>
      </c>
      <c r="D106" s="48">
        <v>-194.27</v>
      </c>
      <c r="E106" s="49">
        <v>-1.2699999999999999E-2</v>
      </c>
    </row>
    <row r="107" spans="2:5" ht="15.75" customHeight="1" x14ac:dyDescent="0.2">
      <c r="B107" s="46" t="s">
        <v>248</v>
      </c>
      <c r="C107" s="47">
        <v>-16200</v>
      </c>
      <c r="D107" s="48">
        <v>-56.95</v>
      </c>
      <c r="E107" s="49">
        <v>-3.7000000000000002E-3</v>
      </c>
    </row>
    <row r="108" spans="2:5" ht="15.75" customHeight="1" x14ac:dyDescent="0.2">
      <c r="B108" s="46" t="s">
        <v>259</v>
      </c>
      <c r="C108" s="47">
        <v>-2175</v>
      </c>
      <c r="D108" s="48">
        <v>-32.159999999999997</v>
      </c>
      <c r="E108" s="49">
        <v>-2.0999999999999999E-3</v>
      </c>
    </row>
    <row r="109" spans="2:5" ht="15.75" customHeight="1" x14ac:dyDescent="0.2">
      <c r="B109" s="46" t="s">
        <v>246</v>
      </c>
      <c r="C109" s="47">
        <v>-16200</v>
      </c>
      <c r="D109" s="48">
        <v>-63.93</v>
      </c>
      <c r="E109" s="49">
        <v>-4.1999999999999997E-3</v>
      </c>
    </row>
    <row r="110" spans="2:5" ht="15.75" customHeight="1" x14ac:dyDescent="0.2">
      <c r="B110" s="46" t="s">
        <v>255</v>
      </c>
      <c r="C110" s="47">
        <v>-9000</v>
      </c>
      <c r="D110" s="48">
        <v>-37.31</v>
      </c>
      <c r="E110" s="49">
        <v>-2.3999999999999998E-3</v>
      </c>
    </row>
    <row r="111" spans="2:5" ht="15.75" customHeight="1" x14ac:dyDescent="0.2">
      <c r="B111" s="46" t="s">
        <v>267</v>
      </c>
      <c r="C111" s="47">
        <v>-3400</v>
      </c>
      <c r="D111" s="48">
        <v>-28.16</v>
      </c>
      <c r="E111" s="49">
        <v>-1.8E-3</v>
      </c>
    </row>
    <row r="112" spans="2:5" ht="15.75" customHeight="1" x14ac:dyDescent="0.2">
      <c r="B112" s="46" t="s">
        <v>195</v>
      </c>
      <c r="C112" s="47">
        <v>-185000</v>
      </c>
      <c r="D112" s="48">
        <v>-438.27</v>
      </c>
      <c r="E112" s="49">
        <v>-2.86E-2</v>
      </c>
    </row>
    <row r="113" spans="2:5" ht="15.75" customHeight="1" x14ac:dyDescent="0.2">
      <c r="B113" s="46" t="s">
        <v>179</v>
      </c>
      <c r="C113" s="47">
        <v>-308000</v>
      </c>
      <c r="D113" s="48">
        <v>-512.29999999999995</v>
      </c>
      <c r="E113" s="49">
        <v>-3.3500000000000002E-2</v>
      </c>
    </row>
    <row r="114" spans="2:5" ht="15.75" customHeight="1" x14ac:dyDescent="0.2">
      <c r="B114" s="46" t="s">
        <v>225</v>
      </c>
      <c r="C114" s="47">
        <v>-25200</v>
      </c>
      <c r="D114" s="48">
        <v>-131.30000000000001</v>
      </c>
      <c r="E114" s="49">
        <v>-8.6E-3</v>
      </c>
    </row>
    <row r="115" spans="2:5" ht="15.75" customHeight="1" x14ac:dyDescent="0.2">
      <c r="B115" s="46" t="s">
        <v>264</v>
      </c>
      <c r="C115" s="47">
        <v>-5400</v>
      </c>
      <c r="D115" s="48">
        <v>-28.47</v>
      </c>
      <c r="E115" s="49">
        <v>-1.9E-3</v>
      </c>
    </row>
    <row r="116" spans="2:5" ht="15.75" customHeight="1" x14ac:dyDescent="0.2">
      <c r="B116" s="46" t="s">
        <v>243</v>
      </c>
      <c r="C116" s="47">
        <v>-67500</v>
      </c>
      <c r="D116" s="48">
        <v>-69.150000000000006</v>
      </c>
      <c r="E116" s="49">
        <v>-4.4999999999999997E-3</v>
      </c>
    </row>
    <row r="117" spans="2:5" ht="15.75" customHeight="1" x14ac:dyDescent="0.2">
      <c r="B117" s="46" t="s">
        <v>228</v>
      </c>
      <c r="C117" s="47">
        <v>-13125</v>
      </c>
      <c r="D117" s="48">
        <v>-130.06</v>
      </c>
      <c r="E117" s="49">
        <v>-8.5000000000000006E-3</v>
      </c>
    </row>
    <row r="118" spans="2:5" ht="15.75" customHeight="1" x14ac:dyDescent="0.2">
      <c r="B118" s="46" t="s">
        <v>238</v>
      </c>
      <c r="C118" s="47">
        <v>-52500</v>
      </c>
      <c r="D118" s="48">
        <v>-102.53</v>
      </c>
      <c r="E118" s="49">
        <v>-6.7000000000000002E-3</v>
      </c>
    </row>
    <row r="119" spans="2:5" ht="15.75" customHeight="1" x14ac:dyDescent="0.2">
      <c r="B119" s="46" t="s">
        <v>203</v>
      </c>
      <c r="C119" s="47">
        <v>-26400</v>
      </c>
      <c r="D119" s="48">
        <v>-411.97</v>
      </c>
      <c r="E119" s="49">
        <v>-2.69E-2</v>
      </c>
    </row>
    <row r="120" spans="2:5" ht="15.75" customHeight="1" x14ac:dyDescent="0.2">
      <c r="B120" s="46" t="s">
        <v>205</v>
      </c>
      <c r="C120" s="47">
        <v>-105225</v>
      </c>
      <c r="D120" s="48">
        <v>-255.4</v>
      </c>
      <c r="E120" s="49">
        <v>-1.67E-2</v>
      </c>
    </row>
    <row r="121" spans="2:5" ht="15.75" customHeight="1" x14ac:dyDescent="0.2">
      <c r="B121" s="46" t="s">
        <v>270</v>
      </c>
      <c r="C121" s="47">
        <v>-2800</v>
      </c>
      <c r="D121" s="48">
        <v>-18.809999999999999</v>
      </c>
      <c r="E121" s="49">
        <v>-1.1999999999999999E-3</v>
      </c>
    </row>
    <row r="122" spans="2:5" ht="15.75" customHeight="1" x14ac:dyDescent="0.2">
      <c r="B122" s="46" t="s">
        <v>234</v>
      </c>
      <c r="C122" s="47">
        <v>-850</v>
      </c>
      <c r="D122" s="48">
        <v>-111.49</v>
      </c>
      <c r="E122" s="49">
        <v>-7.3000000000000001E-3</v>
      </c>
    </row>
    <row r="123" spans="2:5" ht="15.75" customHeight="1" x14ac:dyDescent="0.2">
      <c r="B123" s="46" t="s">
        <v>197</v>
      </c>
      <c r="C123" s="47">
        <v>-175500</v>
      </c>
      <c r="D123" s="48">
        <v>-426.18</v>
      </c>
      <c r="E123" s="49">
        <v>-2.7900000000000001E-2</v>
      </c>
    </row>
    <row r="124" spans="2:5" ht="15.75" customHeight="1" x14ac:dyDescent="0.2">
      <c r="B124" s="46" t="s">
        <v>252</v>
      </c>
      <c r="C124" s="47">
        <v>-9100</v>
      </c>
      <c r="D124" s="48">
        <v>-52.2</v>
      </c>
      <c r="E124" s="49">
        <v>-3.3999999999999998E-3</v>
      </c>
    </row>
    <row r="125" spans="2:5" ht="15.75" customHeight="1" x14ac:dyDescent="0.2">
      <c r="B125" s="46" t="s">
        <v>170</v>
      </c>
      <c r="C125" s="47">
        <v>-62100</v>
      </c>
      <c r="D125" s="48">
        <v>-777.83</v>
      </c>
      <c r="E125" s="49">
        <v>-5.0799999999999998E-2</v>
      </c>
    </row>
    <row r="126" spans="2:5" ht="15.75" customHeight="1" x14ac:dyDescent="0.2">
      <c r="B126" s="46" t="s">
        <v>218</v>
      </c>
      <c r="C126" s="47">
        <v>-46800</v>
      </c>
      <c r="D126" s="48">
        <v>-161.93</v>
      </c>
      <c r="E126" s="49">
        <v>-1.06E-2</v>
      </c>
    </row>
    <row r="127" spans="2:5" ht="15.75" customHeight="1" x14ac:dyDescent="0.2">
      <c r="B127" s="46" t="s">
        <v>176</v>
      </c>
      <c r="C127" s="47">
        <v>-181125</v>
      </c>
      <c r="D127" s="48">
        <v>-574.62</v>
      </c>
      <c r="E127" s="49">
        <v>-3.7600000000000001E-2</v>
      </c>
    </row>
    <row r="128" spans="2:5" ht="15.75" customHeight="1" x14ac:dyDescent="0.2">
      <c r="B128" s="46" t="s">
        <v>257</v>
      </c>
      <c r="C128" s="47">
        <v>-600</v>
      </c>
      <c r="D128" s="48">
        <v>-34.51</v>
      </c>
      <c r="E128" s="49">
        <v>-2.3E-3</v>
      </c>
    </row>
    <row r="129" spans="2:8" ht="15.75" customHeight="1" x14ac:dyDescent="0.2">
      <c r="B129" s="46" t="s">
        <v>221</v>
      </c>
      <c r="C129" s="47">
        <v>-15000</v>
      </c>
      <c r="D129" s="48">
        <v>-156.91999999999999</v>
      </c>
      <c r="E129" s="49">
        <v>-1.03E-2</v>
      </c>
    </row>
    <row r="130" spans="2:8" ht="15.75" customHeight="1" x14ac:dyDescent="0.2">
      <c r="B130" s="46" t="s">
        <v>236</v>
      </c>
      <c r="C130" s="47">
        <v>-2450</v>
      </c>
      <c r="D130" s="48">
        <v>-107.93</v>
      </c>
      <c r="E130" s="49">
        <v>-7.1000000000000004E-3</v>
      </c>
    </row>
    <row r="131" spans="2:8" ht="15.75" customHeight="1" x14ac:dyDescent="0.2">
      <c r="B131" s="13" t="s">
        <v>282</v>
      </c>
      <c r="C131" s="50">
        <v>-2649809</v>
      </c>
      <c r="D131" s="51">
        <v>-10609.02</v>
      </c>
      <c r="E131" s="52">
        <v>-0.69340000000000002</v>
      </c>
    </row>
    <row r="132" spans="2:8" ht="15.75" customHeight="1" thickBot="1" x14ac:dyDescent="0.25"/>
    <row r="133" spans="2:8" ht="27" customHeight="1" thickBot="1" x14ac:dyDescent="0.25">
      <c r="B133" s="56" t="s">
        <v>1009</v>
      </c>
      <c r="C133" s="57" t="s">
        <v>1010</v>
      </c>
      <c r="D133" s="57" t="s">
        <v>1011</v>
      </c>
      <c r="E133" s="62" t="s">
        <v>1012</v>
      </c>
      <c r="G133" s="2"/>
      <c r="H133" s="2"/>
    </row>
    <row r="134" spans="2:8" ht="28.5" customHeight="1" x14ac:dyDescent="0.2">
      <c r="B134" s="66" t="s">
        <v>1018</v>
      </c>
      <c r="C134" s="76"/>
      <c r="D134" s="78" t="s">
        <v>1019</v>
      </c>
      <c r="E134" s="80"/>
      <c r="G134" s="2"/>
      <c r="H134" s="2"/>
    </row>
    <row r="135" spans="2:8" ht="28.5" customHeight="1" x14ac:dyDescent="0.2">
      <c r="B135" s="65" t="s">
        <v>1020</v>
      </c>
      <c r="C135" s="76"/>
      <c r="D135" s="79"/>
      <c r="E135" s="81"/>
      <c r="G135" s="2"/>
      <c r="H135" s="2"/>
    </row>
    <row r="136" spans="2:8" ht="55.5" customHeight="1" x14ac:dyDescent="0.2">
      <c r="B136" s="65" t="s">
        <v>1021</v>
      </c>
      <c r="C136" s="76"/>
      <c r="D136" s="79"/>
      <c r="E136" s="81"/>
      <c r="G136" s="2"/>
      <c r="H136" s="2"/>
    </row>
    <row r="137" spans="2:8" ht="28.5" customHeight="1" thickBot="1" x14ac:dyDescent="0.25">
      <c r="B137" s="67" t="s">
        <v>1022</v>
      </c>
      <c r="C137" s="77"/>
      <c r="D137" s="68" t="s">
        <v>1022</v>
      </c>
      <c r="E137" s="82"/>
      <c r="G137" s="2"/>
      <c r="H137" s="2"/>
    </row>
    <row r="138" spans="2:8" ht="24.95" customHeight="1" x14ac:dyDescent="0.2">
      <c r="B138" s="58" t="s">
        <v>1014</v>
      </c>
      <c r="C138" s="59"/>
      <c r="D138" s="60"/>
      <c r="E138" s="61"/>
      <c r="G138" s="2"/>
      <c r="H138" s="2"/>
    </row>
    <row r="140" spans="2:8" ht="12" x14ac:dyDescent="0.2">
      <c r="B140" s="2" t="s">
        <v>1015</v>
      </c>
      <c r="C140" s="2"/>
      <c r="D140" s="2"/>
      <c r="G140" s="2"/>
      <c r="H140" s="2"/>
    </row>
    <row r="141" spans="2:8" ht="12" x14ac:dyDescent="0.2">
      <c r="B141" s="3" t="s">
        <v>1016</v>
      </c>
      <c r="C141" s="2"/>
      <c r="D141" s="2"/>
      <c r="G141" s="2"/>
      <c r="H141" s="2"/>
    </row>
  </sheetData>
  <mergeCells count="3">
    <mergeCell ref="C134:C137"/>
    <mergeCell ref="D134:D136"/>
    <mergeCell ref="E134:E137"/>
  </mergeCells>
  <hyperlinks>
    <hyperlink ref="G1" location="'Sheet1'!A1" display="Index" xr:uid="{26A4F113-7F95-4754-AE00-347956A87EE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6A20-BA57-4A73-A206-DA80777E1F0D}">
  <dimension ref="B1:N137"/>
  <sheetViews>
    <sheetView workbookViewId="0"/>
  </sheetViews>
  <sheetFormatPr defaultColWidth="9.140625" defaultRowHeight="15.75" customHeight="1" x14ac:dyDescent="0.2"/>
  <cols>
    <col min="1" max="1" width="3.5703125" style="2" customWidth="1"/>
    <col min="2" max="2" width="38.5703125" style="9" bestFit="1" customWidth="1"/>
    <col min="3" max="3" width="22.85546875" style="9" customWidth="1"/>
    <col min="4" max="4" width="33.42578125" style="9" bestFit="1" customWidth="1"/>
    <col min="5" max="5" width="29.8554687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132</v>
      </c>
      <c r="C5" s="19"/>
      <c r="D5" s="19"/>
      <c r="E5" s="20"/>
      <c r="F5" s="21"/>
      <c r="G5" s="22"/>
      <c r="H5" s="23"/>
    </row>
    <row r="6" spans="2:8" ht="15.75" customHeight="1" x14ac:dyDescent="0.2">
      <c r="B6" s="24" t="s">
        <v>133</v>
      </c>
      <c r="C6" s="25"/>
      <c r="D6" s="25"/>
      <c r="E6" s="26"/>
      <c r="F6" s="27"/>
      <c r="G6" s="28"/>
      <c r="H6" s="29"/>
    </row>
    <row r="7" spans="2:8" ht="15.75" customHeight="1" x14ac:dyDescent="0.2">
      <c r="B7" s="25" t="s">
        <v>149</v>
      </c>
      <c r="C7" s="25" t="s">
        <v>150</v>
      </c>
      <c r="D7" s="25" t="s">
        <v>136</v>
      </c>
      <c r="E7" s="26">
        <v>466108</v>
      </c>
      <c r="F7" s="27">
        <v>7531.14</v>
      </c>
      <c r="G7" s="28">
        <v>8.5800000000000001E-2</v>
      </c>
      <c r="H7" s="29"/>
    </row>
    <row r="8" spans="2:8" ht="15.75" customHeight="1" x14ac:dyDescent="0.2">
      <c r="B8" s="25" t="s">
        <v>153</v>
      </c>
      <c r="C8" s="25" t="s">
        <v>154</v>
      </c>
      <c r="D8" s="25" t="s">
        <v>155</v>
      </c>
      <c r="E8" s="26">
        <v>189181</v>
      </c>
      <c r="F8" s="27">
        <v>5695.96</v>
      </c>
      <c r="G8" s="28">
        <v>6.4899999999999999E-2</v>
      </c>
      <c r="H8" s="29"/>
    </row>
    <row r="9" spans="2:8" ht="15.75" customHeight="1" x14ac:dyDescent="0.2">
      <c r="B9" s="25" t="s">
        <v>134</v>
      </c>
      <c r="C9" s="25" t="s">
        <v>135</v>
      </c>
      <c r="D9" s="25" t="s">
        <v>136</v>
      </c>
      <c r="E9" s="26">
        <v>458027</v>
      </c>
      <c r="F9" s="27">
        <v>5564.57</v>
      </c>
      <c r="G9" s="28">
        <v>6.3399999999999998E-2</v>
      </c>
      <c r="H9" s="29"/>
    </row>
    <row r="10" spans="2:8" ht="15.75" customHeight="1" x14ac:dyDescent="0.2">
      <c r="B10" s="25" t="s">
        <v>143</v>
      </c>
      <c r="C10" s="25" t="s">
        <v>144</v>
      </c>
      <c r="D10" s="25" t="s">
        <v>145</v>
      </c>
      <c r="E10" s="26">
        <v>156800</v>
      </c>
      <c r="F10" s="27">
        <v>4559.43</v>
      </c>
      <c r="G10" s="28">
        <v>5.1999999999999998E-2</v>
      </c>
      <c r="H10" s="29"/>
    </row>
    <row r="11" spans="2:8" ht="15.75" customHeight="1" x14ac:dyDescent="0.2">
      <c r="B11" s="25" t="s">
        <v>137</v>
      </c>
      <c r="C11" s="25" t="s">
        <v>138</v>
      </c>
      <c r="D11" s="25" t="s">
        <v>139</v>
      </c>
      <c r="E11" s="26">
        <v>218336</v>
      </c>
      <c r="F11" s="27">
        <v>4079.06</v>
      </c>
      <c r="G11" s="28">
        <v>4.65E-2</v>
      </c>
      <c r="H11" s="29"/>
    </row>
    <row r="12" spans="2:8" ht="15.75" customHeight="1" x14ac:dyDescent="0.2">
      <c r="B12" s="25" t="s">
        <v>285</v>
      </c>
      <c r="C12" s="25" t="s">
        <v>286</v>
      </c>
      <c r="D12" s="25" t="s">
        <v>142</v>
      </c>
      <c r="E12" s="26">
        <v>725716</v>
      </c>
      <c r="F12" s="27">
        <v>3594.83</v>
      </c>
      <c r="G12" s="28">
        <v>4.1000000000000002E-2</v>
      </c>
      <c r="H12" s="29"/>
    </row>
    <row r="13" spans="2:8" ht="15.75" customHeight="1" x14ac:dyDescent="0.2">
      <c r="B13" s="25" t="s">
        <v>236</v>
      </c>
      <c r="C13" s="25" t="s">
        <v>237</v>
      </c>
      <c r="D13" s="25" t="s">
        <v>139</v>
      </c>
      <c r="E13" s="26">
        <v>79053</v>
      </c>
      <c r="F13" s="27">
        <v>3466.75</v>
      </c>
      <c r="G13" s="28">
        <v>3.95E-2</v>
      </c>
      <c r="H13" s="29"/>
    </row>
    <row r="14" spans="2:8" ht="15.75" customHeight="1" x14ac:dyDescent="0.2">
      <c r="B14" s="25" t="s">
        <v>287</v>
      </c>
      <c r="C14" s="25" t="s">
        <v>288</v>
      </c>
      <c r="D14" s="25" t="s">
        <v>136</v>
      </c>
      <c r="E14" s="26">
        <v>271008</v>
      </c>
      <c r="F14" s="27">
        <v>2364.27</v>
      </c>
      <c r="G14" s="28">
        <v>2.7E-2</v>
      </c>
      <c r="H14" s="29"/>
    </row>
    <row r="15" spans="2:8" ht="15.75" customHeight="1" x14ac:dyDescent="0.2">
      <c r="B15" s="25" t="s">
        <v>289</v>
      </c>
      <c r="C15" s="25" t="s">
        <v>290</v>
      </c>
      <c r="D15" s="25" t="s">
        <v>136</v>
      </c>
      <c r="E15" s="26">
        <v>125198</v>
      </c>
      <c r="F15" s="27">
        <v>2263.4499999999998</v>
      </c>
      <c r="G15" s="28">
        <v>2.58E-2</v>
      </c>
      <c r="H15" s="29"/>
    </row>
    <row r="16" spans="2:8" ht="15.75" customHeight="1" x14ac:dyDescent="0.2">
      <c r="B16" s="25" t="s">
        <v>291</v>
      </c>
      <c r="C16" s="25" t="s">
        <v>292</v>
      </c>
      <c r="D16" s="25" t="s">
        <v>136</v>
      </c>
      <c r="E16" s="26">
        <v>175849</v>
      </c>
      <c r="F16" s="27">
        <v>2050.58</v>
      </c>
      <c r="G16" s="28">
        <v>2.3400000000000001E-2</v>
      </c>
      <c r="H16" s="29"/>
    </row>
    <row r="17" spans="2:8" ht="15.75" customHeight="1" x14ac:dyDescent="0.2">
      <c r="B17" s="25" t="s">
        <v>293</v>
      </c>
      <c r="C17" s="25" t="s">
        <v>294</v>
      </c>
      <c r="D17" s="25" t="s">
        <v>212</v>
      </c>
      <c r="E17" s="26">
        <v>21685</v>
      </c>
      <c r="F17" s="27">
        <v>1476.09</v>
      </c>
      <c r="G17" s="28">
        <v>1.6799999999999999E-2</v>
      </c>
      <c r="H17" s="29"/>
    </row>
    <row r="18" spans="2:8" ht="15.75" customHeight="1" x14ac:dyDescent="0.2">
      <c r="B18" s="25" t="s">
        <v>295</v>
      </c>
      <c r="C18" s="25" t="s">
        <v>296</v>
      </c>
      <c r="D18" s="25" t="s">
        <v>297</v>
      </c>
      <c r="E18" s="26">
        <v>33042</v>
      </c>
      <c r="F18" s="27">
        <v>1413.19</v>
      </c>
      <c r="G18" s="28">
        <v>1.61E-2</v>
      </c>
      <c r="H18" s="29"/>
    </row>
    <row r="19" spans="2:8" ht="15.75" customHeight="1" x14ac:dyDescent="0.2">
      <c r="B19" s="25" t="s">
        <v>255</v>
      </c>
      <c r="C19" s="25" t="s">
        <v>256</v>
      </c>
      <c r="D19" s="25" t="s">
        <v>184</v>
      </c>
      <c r="E19" s="26">
        <v>334560</v>
      </c>
      <c r="F19" s="27">
        <v>1391.77</v>
      </c>
      <c r="G19" s="28">
        <v>1.5900000000000001E-2</v>
      </c>
      <c r="H19" s="29"/>
    </row>
    <row r="20" spans="2:8" ht="15.75" customHeight="1" x14ac:dyDescent="0.2">
      <c r="B20" s="25" t="s">
        <v>173</v>
      </c>
      <c r="C20" s="25" t="s">
        <v>174</v>
      </c>
      <c r="D20" s="25" t="s">
        <v>175</v>
      </c>
      <c r="E20" s="26">
        <v>322462</v>
      </c>
      <c r="F20" s="27">
        <v>1019.14</v>
      </c>
      <c r="G20" s="28">
        <v>1.1599999999999999E-2</v>
      </c>
      <c r="H20" s="29"/>
    </row>
    <row r="21" spans="2:8" ht="15.75" customHeight="1" x14ac:dyDescent="0.2">
      <c r="B21" s="25" t="s">
        <v>298</v>
      </c>
      <c r="C21" s="25" t="s">
        <v>299</v>
      </c>
      <c r="D21" s="25" t="s">
        <v>139</v>
      </c>
      <c r="E21" s="26">
        <v>61924</v>
      </c>
      <c r="F21" s="27">
        <v>1017.16</v>
      </c>
      <c r="G21" s="28">
        <v>1.1599999999999999E-2</v>
      </c>
      <c r="H21" s="29"/>
    </row>
    <row r="22" spans="2:8" ht="15.75" customHeight="1" x14ac:dyDescent="0.2">
      <c r="B22" s="25" t="s">
        <v>140</v>
      </c>
      <c r="C22" s="25" t="s">
        <v>141</v>
      </c>
      <c r="D22" s="25" t="s">
        <v>142</v>
      </c>
      <c r="E22" s="26">
        <v>37367</v>
      </c>
      <c r="F22" s="27">
        <v>1011.02</v>
      </c>
      <c r="G22" s="28">
        <v>1.15E-2</v>
      </c>
      <c r="H22" s="29"/>
    </row>
    <row r="23" spans="2:8" ht="15.75" customHeight="1" x14ac:dyDescent="0.2">
      <c r="B23" s="25" t="s">
        <v>300</v>
      </c>
      <c r="C23" s="25" t="s">
        <v>301</v>
      </c>
      <c r="D23" s="25" t="s">
        <v>269</v>
      </c>
      <c r="E23" s="26">
        <v>35769</v>
      </c>
      <c r="F23" s="27">
        <v>993.22</v>
      </c>
      <c r="G23" s="28">
        <v>1.1299999999999999E-2</v>
      </c>
      <c r="H23" s="29"/>
    </row>
    <row r="24" spans="2:8" ht="15.75" customHeight="1" x14ac:dyDescent="0.2">
      <c r="B24" s="25" t="s">
        <v>302</v>
      </c>
      <c r="C24" s="25" t="s">
        <v>303</v>
      </c>
      <c r="D24" s="25" t="s">
        <v>304</v>
      </c>
      <c r="E24" s="26">
        <v>312500</v>
      </c>
      <c r="F24" s="27">
        <v>967.5</v>
      </c>
      <c r="G24" s="28">
        <v>1.0999999999999999E-2</v>
      </c>
      <c r="H24" s="29"/>
    </row>
    <row r="25" spans="2:8" ht="15.75" customHeight="1" x14ac:dyDescent="0.2">
      <c r="B25" s="25" t="s">
        <v>305</v>
      </c>
      <c r="C25" s="25" t="s">
        <v>306</v>
      </c>
      <c r="D25" s="25" t="s">
        <v>145</v>
      </c>
      <c r="E25" s="26">
        <v>17003</v>
      </c>
      <c r="F25" s="27">
        <v>933.2</v>
      </c>
      <c r="G25" s="28">
        <v>1.06E-2</v>
      </c>
      <c r="H25" s="29"/>
    </row>
    <row r="26" spans="2:8" ht="15.75" customHeight="1" x14ac:dyDescent="0.2">
      <c r="B26" s="25" t="s">
        <v>203</v>
      </c>
      <c r="C26" s="25" t="s">
        <v>204</v>
      </c>
      <c r="D26" s="25" t="s">
        <v>139</v>
      </c>
      <c r="E26" s="26">
        <v>57401</v>
      </c>
      <c r="F26" s="27">
        <v>892.24</v>
      </c>
      <c r="G26" s="28">
        <v>1.0200000000000001E-2</v>
      </c>
      <c r="H26" s="29"/>
    </row>
    <row r="27" spans="2:8" ht="15.75" customHeight="1" x14ac:dyDescent="0.2">
      <c r="B27" s="25" t="s">
        <v>307</v>
      </c>
      <c r="C27" s="25" t="s">
        <v>308</v>
      </c>
      <c r="D27" s="25" t="s">
        <v>297</v>
      </c>
      <c r="E27" s="26">
        <v>32969</v>
      </c>
      <c r="F27" s="27">
        <v>822.86</v>
      </c>
      <c r="G27" s="28">
        <v>9.4000000000000004E-3</v>
      </c>
      <c r="H27" s="29"/>
    </row>
    <row r="28" spans="2:8" ht="15.75" customHeight="1" x14ac:dyDescent="0.2">
      <c r="B28" s="25" t="s">
        <v>234</v>
      </c>
      <c r="C28" s="25" t="s">
        <v>235</v>
      </c>
      <c r="D28" s="25" t="s">
        <v>145</v>
      </c>
      <c r="E28" s="26">
        <v>6050</v>
      </c>
      <c r="F28" s="27">
        <v>793.51</v>
      </c>
      <c r="G28" s="28">
        <v>8.9999999999999993E-3</v>
      </c>
      <c r="H28" s="29"/>
    </row>
    <row r="29" spans="2:8" ht="15.75" customHeight="1" x14ac:dyDescent="0.2">
      <c r="B29" s="25" t="s">
        <v>309</v>
      </c>
      <c r="C29" s="25" t="s">
        <v>310</v>
      </c>
      <c r="D29" s="25" t="s">
        <v>311</v>
      </c>
      <c r="E29" s="26">
        <v>288264</v>
      </c>
      <c r="F29" s="27">
        <v>774.45</v>
      </c>
      <c r="G29" s="28">
        <v>8.8000000000000005E-3</v>
      </c>
      <c r="H29" s="29"/>
    </row>
    <row r="30" spans="2:8" ht="15.75" customHeight="1" x14ac:dyDescent="0.2">
      <c r="B30" s="25" t="s">
        <v>270</v>
      </c>
      <c r="C30" s="25" t="s">
        <v>271</v>
      </c>
      <c r="D30" s="25" t="s">
        <v>240</v>
      </c>
      <c r="E30" s="26">
        <v>98464</v>
      </c>
      <c r="F30" s="27">
        <v>659.31</v>
      </c>
      <c r="G30" s="28">
        <v>7.4999999999999997E-3</v>
      </c>
      <c r="H30" s="29"/>
    </row>
    <row r="31" spans="2:8" ht="15.75" customHeight="1" x14ac:dyDescent="0.2">
      <c r="B31" s="25" t="s">
        <v>182</v>
      </c>
      <c r="C31" s="25" t="s">
        <v>183</v>
      </c>
      <c r="D31" s="25" t="s">
        <v>184</v>
      </c>
      <c r="E31" s="26">
        <v>130484</v>
      </c>
      <c r="F31" s="27">
        <v>591.88</v>
      </c>
      <c r="G31" s="28">
        <v>6.7000000000000002E-3</v>
      </c>
      <c r="H31" s="29"/>
    </row>
    <row r="32" spans="2:8" ht="15.75" customHeight="1" x14ac:dyDescent="0.2">
      <c r="B32" s="25" t="s">
        <v>191</v>
      </c>
      <c r="C32" s="25" t="s">
        <v>192</v>
      </c>
      <c r="D32" s="25" t="s">
        <v>184</v>
      </c>
      <c r="E32" s="26">
        <v>153823</v>
      </c>
      <c r="F32" s="27">
        <v>535.61</v>
      </c>
      <c r="G32" s="28">
        <v>6.1000000000000004E-3</v>
      </c>
      <c r="H32" s="29"/>
    </row>
    <row r="33" spans="2:8" ht="15.75" customHeight="1" x14ac:dyDescent="0.2">
      <c r="B33" s="25" t="s">
        <v>221</v>
      </c>
      <c r="C33" s="25" t="s">
        <v>222</v>
      </c>
      <c r="D33" s="25" t="s">
        <v>212</v>
      </c>
      <c r="E33" s="26">
        <v>47352</v>
      </c>
      <c r="F33" s="27">
        <v>493.17</v>
      </c>
      <c r="G33" s="28">
        <v>5.5999999999999999E-3</v>
      </c>
      <c r="H33" s="29"/>
    </row>
    <row r="34" spans="2:8" ht="15.75" customHeight="1" x14ac:dyDescent="0.2">
      <c r="B34" s="25" t="s">
        <v>312</v>
      </c>
      <c r="C34" s="25" t="s">
        <v>313</v>
      </c>
      <c r="D34" s="25" t="s">
        <v>314</v>
      </c>
      <c r="E34" s="26">
        <v>60802</v>
      </c>
      <c r="F34" s="27">
        <v>491.16</v>
      </c>
      <c r="G34" s="28">
        <v>5.5999999999999999E-3</v>
      </c>
      <c r="H34" s="29"/>
    </row>
    <row r="35" spans="2:8" ht="15.75" customHeight="1" x14ac:dyDescent="0.2">
      <c r="B35" s="25" t="s">
        <v>315</v>
      </c>
      <c r="C35" s="25" t="s">
        <v>316</v>
      </c>
      <c r="D35" s="25" t="s">
        <v>212</v>
      </c>
      <c r="E35" s="26">
        <v>150488</v>
      </c>
      <c r="F35" s="27">
        <v>456.35</v>
      </c>
      <c r="G35" s="28">
        <v>5.1999999999999998E-3</v>
      </c>
      <c r="H35" s="29"/>
    </row>
    <row r="36" spans="2:8" ht="15.75" customHeight="1" x14ac:dyDescent="0.2">
      <c r="B36" s="25" t="s">
        <v>317</v>
      </c>
      <c r="C36" s="25" t="s">
        <v>318</v>
      </c>
      <c r="D36" s="25" t="s">
        <v>319</v>
      </c>
      <c r="E36" s="26">
        <v>31500</v>
      </c>
      <c r="F36" s="27">
        <v>453.84</v>
      </c>
      <c r="G36" s="28">
        <v>5.1999999999999998E-3</v>
      </c>
      <c r="H36" s="29"/>
    </row>
    <row r="37" spans="2:8" ht="15.75" customHeight="1" x14ac:dyDescent="0.2">
      <c r="B37" s="25" t="s">
        <v>320</v>
      </c>
      <c r="C37" s="25" t="s">
        <v>321</v>
      </c>
      <c r="D37" s="25" t="s">
        <v>172</v>
      </c>
      <c r="E37" s="26">
        <v>8445</v>
      </c>
      <c r="F37" s="27">
        <v>448.39</v>
      </c>
      <c r="G37" s="28">
        <v>5.1000000000000004E-3</v>
      </c>
      <c r="H37" s="29"/>
    </row>
    <row r="38" spans="2:8" ht="15.75" customHeight="1" x14ac:dyDescent="0.2">
      <c r="B38" s="25" t="s">
        <v>322</v>
      </c>
      <c r="C38" s="25" t="s">
        <v>323</v>
      </c>
      <c r="D38" s="25" t="s">
        <v>233</v>
      </c>
      <c r="E38" s="26">
        <v>16500</v>
      </c>
      <c r="F38" s="27">
        <v>436.41</v>
      </c>
      <c r="G38" s="28">
        <v>5.0000000000000001E-3</v>
      </c>
      <c r="H38" s="29"/>
    </row>
    <row r="39" spans="2:8" ht="15.75" customHeight="1" x14ac:dyDescent="0.2">
      <c r="B39" s="25" t="s">
        <v>324</v>
      </c>
      <c r="C39" s="25" t="s">
        <v>325</v>
      </c>
      <c r="D39" s="25" t="s">
        <v>136</v>
      </c>
      <c r="E39" s="26">
        <v>30105</v>
      </c>
      <c r="F39" s="27">
        <v>429.84</v>
      </c>
      <c r="G39" s="28">
        <v>4.8999999999999998E-3</v>
      </c>
      <c r="H39" s="29"/>
    </row>
    <row r="40" spans="2:8" ht="15.75" customHeight="1" x14ac:dyDescent="0.2">
      <c r="B40" s="25" t="s">
        <v>326</v>
      </c>
      <c r="C40" s="25" t="s">
        <v>327</v>
      </c>
      <c r="D40" s="25" t="s">
        <v>212</v>
      </c>
      <c r="E40" s="26">
        <v>76624</v>
      </c>
      <c r="F40" s="27">
        <v>426.64</v>
      </c>
      <c r="G40" s="28">
        <v>4.8999999999999998E-3</v>
      </c>
      <c r="H40" s="29"/>
    </row>
    <row r="41" spans="2:8" ht="15.75" customHeight="1" x14ac:dyDescent="0.2">
      <c r="B41" s="25" t="s">
        <v>328</v>
      </c>
      <c r="C41" s="25" t="s">
        <v>329</v>
      </c>
      <c r="D41" s="25" t="s">
        <v>172</v>
      </c>
      <c r="E41" s="26">
        <v>13198</v>
      </c>
      <c r="F41" s="27">
        <v>418.61</v>
      </c>
      <c r="G41" s="28">
        <v>4.7999999999999996E-3</v>
      </c>
      <c r="H41" s="29"/>
    </row>
    <row r="42" spans="2:8" ht="15.75" customHeight="1" x14ac:dyDescent="0.2">
      <c r="B42" s="25" t="s">
        <v>330</v>
      </c>
      <c r="C42" s="25" t="s">
        <v>331</v>
      </c>
      <c r="D42" s="25" t="s">
        <v>145</v>
      </c>
      <c r="E42" s="26">
        <v>12463</v>
      </c>
      <c r="F42" s="27">
        <v>315.44</v>
      </c>
      <c r="G42" s="28">
        <v>3.5999999999999999E-3</v>
      </c>
      <c r="H42" s="29"/>
    </row>
    <row r="43" spans="2:8" ht="15.75" customHeight="1" x14ac:dyDescent="0.2">
      <c r="B43" s="25" t="s">
        <v>332</v>
      </c>
      <c r="C43" s="25" t="s">
        <v>333</v>
      </c>
      <c r="D43" s="25" t="s">
        <v>297</v>
      </c>
      <c r="E43" s="26">
        <v>19539</v>
      </c>
      <c r="F43" s="27">
        <v>290.25</v>
      </c>
      <c r="G43" s="28">
        <v>3.3E-3</v>
      </c>
      <c r="H43" s="29"/>
    </row>
    <row r="44" spans="2:8" ht="15.75" customHeight="1" x14ac:dyDescent="0.2">
      <c r="B44" s="25" t="s">
        <v>334</v>
      </c>
      <c r="C44" s="25" t="s">
        <v>335</v>
      </c>
      <c r="D44" s="25" t="s">
        <v>336</v>
      </c>
      <c r="E44" s="26">
        <v>15849</v>
      </c>
      <c r="F44" s="27">
        <v>277.94</v>
      </c>
      <c r="G44" s="28">
        <v>3.2000000000000002E-3</v>
      </c>
      <c r="H44" s="29"/>
    </row>
    <row r="45" spans="2:8" ht="15.75" customHeight="1" x14ac:dyDescent="0.2">
      <c r="B45" s="25" t="s">
        <v>337</v>
      </c>
      <c r="C45" s="25" t="s">
        <v>338</v>
      </c>
      <c r="D45" s="25" t="s">
        <v>339</v>
      </c>
      <c r="E45" s="26">
        <v>89075</v>
      </c>
      <c r="F45" s="27">
        <v>274.52999999999997</v>
      </c>
      <c r="G45" s="28">
        <v>3.0999999999999999E-3</v>
      </c>
      <c r="H45" s="29"/>
    </row>
    <row r="46" spans="2:8" ht="15.75" customHeight="1" x14ac:dyDescent="0.2">
      <c r="B46" s="25" t="s">
        <v>340</v>
      </c>
      <c r="C46" s="25" t="s">
        <v>341</v>
      </c>
      <c r="D46" s="25" t="s">
        <v>263</v>
      </c>
      <c r="E46" s="26">
        <v>5823</v>
      </c>
      <c r="F46" s="27">
        <v>260.42</v>
      </c>
      <c r="G46" s="28">
        <v>3.0000000000000001E-3</v>
      </c>
      <c r="H46" s="29"/>
    </row>
    <row r="47" spans="2:8" ht="15.75" customHeight="1" x14ac:dyDescent="0.2">
      <c r="B47" s="25" t="s">
        <v>342</v>
      </c>
      <c r="C47" s="25" t="s">
        <v>343</v>
      </c>
      <c r="D47" s="25" t="s">
        <v>319</v>
      </c>
      <c r="E47" s="26">
        <v>39566</v>
      </c>
      <c r="F47" s="27">
        <v>251.52</v>
      </c>
      <c r="G47" s="28">
        <v>2.8999999999999998E-3</v>
      </c>
      <c r="H47" s="29"/>
    </row>
    <row r="48" spans="2:8" ht="15.75" customHeight="1" x14ac:dyDescent="0.2">
      <c r="B48" s="25" t="s">
        <v>344</v>
      </c>
      <c r="C48" s="25" t="s">
        <v>345</v>
      </c>
      <c r="D48" s="25" t="s">
        <v>136</v>
      </c>
      <c r="E48" s="26">
        <v>310602</v>
      </c>
      <c r="F48" s="27">
        <v>236.03</v>
      </c>
      <c r="G48" s="28">
        <v>2.7000000000000001E-3</v>
      </c>
      <c r="H48" s="29"/>
    </row>
    <row r="49" spans="2:8" ht="15.75" customHeight="1" x14ac:dyDescent="0.2">
      <c r="B49" s="25" t="s">
        <v>346</v>
      </c>
      <c r="C49" s="25" t="s">
        <v>347</v>
      </c>
      <c r="D49" s="25" t="s">
        <v>266</v>
      </c>
      <c r="E49" s="26">
        <v>52918</v>
      </c>
      <c r="F49" s="27">
        <v>235.35</v>
      </c>
      <c r="G49" s="28">
        <v>2.7000000000000001E-3</v>
      </c>
      <c r="H49" s="29"/>
    </row>
    <row r="50" spans="2:8" ht="15.75" customHeight="1" x14ac:dyDescent="0.2">
      <c r="B50" s="25" t="s">
        <v>348</v>
      </c>
      <c r="C50" s="25" t="s">
        <v>349</v>
      </c>
      <c r="D50" s="25" t="s">
        <v>212</v>
      </c>
      <c r="E50" s="26">
        <v>16766</v>
      </c>
      <c r="F50" s="27">
        <v>222.59</v>
      </c>
      <c r="G50" s="28">
        <v>2.5000000000000001E-3</v>
      </c>
      <c r="H50" s="29"/>
    </row>
    <row r="51" spans="2:8" ht="15.75" customHeight="1" x14ac:dyDescent="0.2">
      <c r="B51" s="25" t="s">
        <v>350</v>
      </c>
      <c r="C51" s="25" t="s">
        <v>351</v>
      </c>
      <c r="D51" s="25" t="s">
        <v>352</v>
      </c>
      <c r="E51" s="26">
        <v>5776</v>
      </c>
      <c r="F51" s="27">
        <v>220.35</v>
      </c>
      <c r="G51" s="28">
        <v>2.5000000000000001E-3</v>
      </c>
      <c r="H51" s="29"/>
    </row>
    <row r="52" spans="2:8" ht="15.75" customHeight="1" x14ac:dyDescent="0.2">
      <c r="B52" s="25" t="s">
        <v>353</v>
      </c>
      <c r="C52" s="25" t="s">
        <v>354</v>
      </c>
      <c r="D52" s="25" t="s">
        <v>212</v>
      </c>
      <c r="E52" s="26">
        <v>34193</v>
      </c>
      <c r="F52" s="27">
        <v>220.29</v>
      </c>
      <c r="G52" s="28">
        <v>2.5000000000000001E-3</v>
      </c>
      <c r="H52" s="29"/>
    </row>
    <row r="53" spans="2:8" ht="15.75" customHeight="1" x14ac:dyDescent="0.2">
      <c r="B53" s="25" t="s">
        <v>355</v>
      </c>
      <c r="C53" s="25" t="s">
        <v>356</v>
      </c>
      <c r="D53" s="25" t="s">
        <v>136</v>
      </c>
      <c r="E53" s="26">
        <v>171288</v>
      </c>
      <c r="F53" s="27">
        <v>215.48</v>
      </c>
      <c r="G53" s="28">
        <v>2.5000000000000001E-3</v>
      </c>
      <c r="H53" s="29"/>
    </row>
    <row r="54" spans="2:8" ht="15.75" customHeight="1" x14ac:dyDescent="0.2">
      <c r="B54" s="25" t="s">
        <v>357</v>
      </c>
      <c r="C54" s="25" t="s">
        <v>358</v>
      </c>
      <c r="D54" s="25" t="s">
        <v>359</v>
      </c>
      <c r="E54" s="26">
        <v>4401</v>
      </c>
      <c r="F54" s="27">
        <v>186.09</v>
      </c>
      <c r="G54" s="28">
        <v>2.0999999999999999E-3</v>
      </c>
      <c r="H54" s="29"/>
    </row>
    <row r="55" spans="2:8" ht="15.75" customHeight="1" x14ac:dyDescent="0.2">
      <c r="B55" s="25" t="s">
        <v>360</v>
      </c>
      <c r="C55" s="25" t="s">
        <v>361</v>
      </c>
      <c r="D55" s="25" t="s">
        <v>207</v>
      </c>
      <c r="E55" s="26">
        <v>53763</v>
      </c>
      <c r="F55" s="27">
        <v>182.39</v>
      </c>
      <c r="G55" s="28">
        <v>2.0999999999999999E-3</v>
      </c>
      <c r="H55" s="29"/>
    </row>
    <row r="56" spans="2:8" ht="15.75" customHeight="1" x14ac:dyDescent="0.2">
      <c r="B56" s="25" t="s">
        <v>248</v>
      </c>
      <c r="C56" s="25" t="s">
        <v>249</v>
      </c>
      <c r="D56" s="25" t="s">
        <v>155</v>
      </c>
      <c r="E56" s="26">
        <v>51486</v>
      </c>
      <c r="F56" s="27">
        <v>180.23</v>
      </c>
      <c r="G56" s="28">
        <v>2.0999999999999999E-3</v>
      </c>
      <c r="H56" s="29"/>
    </row>
    <row r="57" spans="2:8" ht="15.75" customHeight="1" x14ac:dyDescent="0.2">
      <c r="B57" s="25" t="s">
        <v>362</v>
      </c>
      <c r="C57" s="25" t="s">
        <v>363</v>
      </c>
      <c r="D57" s="25" t="s">
        <v>139</v>
      </c>
      <c r="E57" s="26">
        <v>23749</v>
      </c>
      <c r="F57" s="27">
        <v>174.99</v>
      </c>
      <c r="G57" s="28">
        <v>2E-3</v>
      </c>
      <c r="H57" s="29"/>
    </row>
    <row r="58" spans="2:8" ht="15.75" customHeight="1" x14ac:dyDescent="0.2">
      <c r="B58" s="25" t="s">
        <v>364</v>
      </c>
      <c r="C58" s="25" t="s">
        <v>365</v>
      </c>
      <c r="D58" s="25" t="s">
        <v>297</v>
      </c>
      <c r="E58" s="26">
        <v>10299</v>
      </c>
      <c r="F58" s="27">
        <v>147.47</v>
      </c>
      <c r="G58" s="28">
        <v>1.6999999999999999E-3</v>
      </c>
      <c r="H58" s="29"/>
    </row>
    <row r="59" spans="2:8" ht="15.75" customHeight="1" x14ac:dyDescent="0.2">
      <c r="B59" s="25" t="s">
        <v>366</v>
      </c>
      <c r="C59" s="25" t="s">
        <v>367</v>
      </c>
      <c r="D59" s="25" t="s">
        <v>233</v>
      </c>
      <c r="E59" s="26">
        <v>2890</v>
      </c>
      <c r="F59" s="27">
        <v>137.47</v>
      </c>
      <c r="G59" s="28">
        <v>1.6000000000000001E-3</v>
      </c>
      <c r="H59" s="29"/>
    </row>
    <row r="60" spans="2:8" ht="15.75" customHeight="1" x14ac:dyDescent="0.2">
      <c r="B60" s="25" t="s">
        <v>368</v>
      </c>
      <c r="C60" s="25" t="s">
        <v>369</v>
      </c>
      <c r="D60" s="25" t="s">
        <v>172</v>
      </c>
      <c r="E60" s="26">
        <v>460</v>
      </c>
      <c r="F60" s="27">
        <v>130.57</v>
      </c>
      <c r="G60" s="28">
        <v>1.5E-3</v>
      </c>
      <c r="H60" s="29"/>
    </row>
    <row r="61" spans="2:8" ht="15.75" customHeight="1" x14ac:dyDescent="0.2">
      <c r="B61" s="25" t="s">
        <v>370</v>
      </c>
      <c r="C61" s="25" t="s">
        <v>371</v>
      </c>
      <c r="D61" s="25" t="s">
        <v>212</v>
      </c>
      <c r="E61" s="26">
        <v>18424</v>
      </c>
      <c r="F61" s="27">
        <v>82.25</v>
      </c>
      <c r="G61" s="28">
        <v>8.9999999999999998E-4</v>
      </c>
      <c r="H61" s="29"/>
    </row>
    <row r="62" spans="2:8" ht="15.75" customHeight="1" x14ac:dyDescent="0.2">
      <c r="B62" s="25" t="s">
        <v>372</v>
      </c>
      <c r="C62" s="25" t="s">
        <v>373</v>
      </c>
      <c r="D62" s="25" t="s">
        <v>352</v>
      </c>
      <c r="E62" s="26">
        <v>830</v>
      </c>
      <c r="F62" s="27">
        <v>12.97</v>
      </c>
      <c r="G62" s="28">
        <v>1E-4</v>
      </c>
      <c r="H62" s="29"/>
    </row>
    <row r="63" spans="2:8" ht="15.75" customHeight="1" x14ac:dyDescent="0.2">
      <c r="B63" s="24" t="s">
        <v>104</v>
      </c>
      <c r="C63" s="24"/>
      <c r="D63" s="24"/>
      <c r="E63" s="30"/>
      <c r="F63" s="31">
        <v>64782.33</v>
      </c>
      <c r="G63" s="32">
        <v>0.73829999999999996</v>
      </c>
      <c r="H63" s="33"/>
    </row>
    <row r="64" spans="2:8" ht="15.75" customHeight="1" x14ac:dyDescent="0.2">
      <c r="B64" s="24" t="s">
        <v>156</v>
      </c>
      <c r="C64" s="25"/>
      <c r="D64" s="25"/>
      <c r="E64" s="26"/>
      <c r="F64" s="27"/>
      <c r="G64" s="28"/>
      <c r="H64" s="29"/>
    </row>
    <row r="65" spans="2:14" ht="15.75" customHeight="1" x14ac:dyDescent="0.2">
      <c r="B65" s="25" t="s">
        <v>374</v>
      </c>
      <c r="C65" s="73" t="s">
        <v>1094</v>
      </c>
      <c r="D65" s="25" t="s">
        <v>269</v>
      </c>
      <c r="E65" s="26">
        <v>594</v>
      </c>
      <c r="F65" s="27">
        <v>11.11</v>
      </c>
      <c r="G65" s="28">
        <v>1E-4</v>
      </c>
      <c r="H65" s="29"/>
    </row>
    <row r="66" spans="2:14" ht="15.75" customHeight="1" x14ac:dyDescent="0.2">
      <c r="B66" s="24" t="s">
        <v>104</v>
      </c>
      <c r="C66" s="25"/>
      <c r="D66" s="25"/>
      <c r="E66" s="26"/>
      <c r="F66" s="31">
        <f>SUM(F65)</f>
        <v>11.11</v>
      </c>
      <c r="G66" s="32">
        <f>SUM(G65)</f>
        <v>1E-4</v>
      </c>
      <c r="H66" s="29"/>
    </row>
    <row r="67" spans="2:14" ht="15.75" customHeight="1" x14ac:dyDescent="0.2">
      <c r="B67" s="25"/>
      <c r="C67" s="25"/>
      <c r="D67" s="25"/>
      <c r="E67" s="26"/>
      <c r="F67" s="27"/>
      <c r="G67" s="28"/>
      <c r="H67" s="29"/>
    </row>
    <row r="68" spans="2:14" ht="15.75" customHeight="1" x14ac:dyDescent="0.2">
      <c r="B68" s="36" t="s">
        <v>108</v>
      </c>
      <c r="C68" s="36"/>
      <c r="D68" s="36"/>
      <c r="E68" s="37"/>
      <c r="F68" s="31">
        <v>64782.33</v>
      </c>
      <c r="G68" s="32">
        <v>0.73839999999999995</v>
      </c>
      <c r="H68" s="33"/>
      <c r="J68" s="3"/>
    </row>
    <row r="69" spans="2:14" ht="15.75" customHeight="1" x14ac:dyDescent="0.2">
      <c r="B69" s="25"/>
      <c r="C69" s="25"/>
      <c r="D69" s="25"/>
      <c r="E69" s="26"/>
      <c r="F69" s="27"/>
      <c r="G69" s="28"/>
      <c r="H69" s="29"/>
    </row>
    <row r="70" spans="2:14" ht="15.75" customHeight="1" x14ac:dyDescent="0.2">
      <c r="B70" s="24" t="s">
        <v>93</v>
      </c>
      <c r="C70" s="25"/>
      <c r="D70" s="25"/>
      <c r="E70" s="26"/>
      <c r="F70" s="27"/>
      <c r="G70" s="28"/>
      <c r="H70" s="29"/>
      <c r="J70" s="3"/>
    </row>
    <row r="71" spans="2:14" ht="15.75" customHeight="1" x14ac:dyDescent="0.2">
      <c r="B71" s="24" t="s">
        <v>94</v>
      </c>
      <c r="C71" s="25"/>
      <c r="D71" s="25"/>
      <c r="E71" s="26"/>
      <c r="F71" s="27"/>
      <c r="G71" s="28"/>
      <c r="H71" s="29"/>
      <c r="J71" s="3"/>
    </row>
    <row r="72" spans="2:14" ht="15.75" customHeight="1" x14ac:dyDescent="0.2">
      <c r="B72" s="25" t="s">
        <v>122</v>
      </c>
      <c r="C72" s="25" t="s">
        <v>161</v>
      </c>
      <c r="D72" s="25" t="s">
        <v>96</v>
      </c>
      <c r="E72" s="26">
        <v>7500000</v>
      </c>
      <c r="F72" s="27">
        <v>7883.12</v>
      </c>
      <c r="G72" s="28">
        <v>8.9899999999999994E-2</v>
      </c>
      <c r="H72" s="29">
        <v>7.0674000000000001E-2</v>
      </c>
      <c r="J72" s="3"/>
    </row>
    <row r="73" spans="2:14" ht="15.75" customHeight="1" x14ac:dyDescent="0.2">
      <c r="B73" s="25" t="s">
        <v>99</v>
      </c>
      <c r="C73" s="25" t="s">
        <v>100</v>
      </c>
      <c r="D73" s="25" t="s">
        <v>96</v>
      </c>
      <c r="E73" s="26">
        <v>2500000</v>
      </c>
      <c r="F73" s="27">
        <v>2613.96</v>
      </c>
      <c r="G73" s="28">
        <v>2.98E-2</v>
      </c>
      <c r="H73" s="29">
        <v>7.4222999999999997E-2</v>
      </c>
      <c r="J73" s="3"/>
    </row>
    <row r="74" spans="2:14" ht="15.75" customHeight="1" x14ac:dyDescent="0.2">
      <c r="B74" s="25" t="s">
        <v>375</v>
      </c>
      <c r="C74" s="25" t="s">
        <v>376</v>
      </c>
      <c r="D74" s="25" t="s">
        <v>96</v>
      </c>
      <c r="E74" s="26">
        <v>2511400</v>
      </c>
      <c r="F74" s="27">
        <v>2608.91</v>
      </c>
      <c r="G74" s="28">
        <v>2.9700000000000001E-2</v>
      </c>
      <c r="H74" s="29">
        <v>7.4387999999999996E-2</v>
      </c>
      <c r="J74" s="3"/>
    </row>
    <row r="75" spans="2:14" ht="15.75" customHeight="1" x14ac:dyDescent="0.2">
      <c r="B75" s="25" t="s">
        <v>377</v>
      </c>
      <c r="C75" s="25" t="s">
        <v>378</v>
      </c>
      <c r="D75" s="25" t="s">
        <v>96</v>
      </c>
      <c r="E75" s="26">
        <v>2500000</v>
      </c>
      <c r="F75" s="27">
        <v>2578.33</v>
      </c>
      <c r="G75" s="28">
        <v>2.9399999999999999E-2</v>
      </c>
      <c r="H75" s="29">
        <v>7.4228000000000002E-2</v>
      </c>
      <c r="J75" s="5"/>
      <c r="K75" s="5"/>
      <c r="L75" s="6"/>
      <c r="M75" s="6"/>
      <c r="N75" s="5"/>
    </row>
    <row r="76" spans="2:14" ht="15.75" customHeight="1" x14ac:dyDescent="0.2">
      <c r="B76" s="25" t="s">
        <v>101</v>
      </c>
      <c r="C76" s="25" t="s">
        <v>102</v>
      </c>
      <c r="D76" s="25" t="s">
        <v>103</v>
      </c>
      <c r="E76" s="26">
        <v>250</v>
      </c>
      <c r="F76" s="27">
        <v>2549.16</v>
      </c>
      <c r="G76" s="28">
        <v>2.9100000000000001E-2</v>
      </c>
      <c r="H76" s="29">
        <v>7.6797000000000004E-2</v>
      </c>
    </row>
    <row r="77" spans="2:14" ht="15.75" customHeight="1" x14ac:dyDescent="0.2">
      <c r="B77" s="25" t="s">
        <v>375</v>
      </c>
      <c r="C77" s="25" t="s">
        <v>379</v>
      </c>
      <c r="D77" s="25" t="s">
        <v>96</v>
      </c>
      <c r="E77" s="26">
        <v>1082000</v>
      </c>
      <c r="F77" s="27">
        <v>1119.76</v>
      </c>
      <c r="G77" s="28">
        <v>1.2800000000000001E-2</v>
      </c>
      <c r="H77" s="29">
        <v>7.4520000000000003E-2</v>
      </c>
    </row>
    <row r="78" spans="2:14" ht="15.75" customHeight="1" x14ac:dyDescent="0.2">
      <c r="B78" s="25" t="s">
        <v>380</v>
      </c>
      <c r="C78" s="25" t="s">
        <v>381</v>
      </c>
      <c r="D78" s="25" t="s">
        <v>96</v>
      </c>
      <c r="E78" s="26">
        <v>1000000</v>
      </c>
      <c r="F78" s="27">
        <v>1057.94</v>
      </c>
      <c r="G78" s="28">
        <v>1.21E-2</v>
      </c>
      <c r="H78" s="29">
        <v>7.1107000000000004E-2</v>
      </c>
      <c r="J78" s="7"/>
      <c r="K78" s="7"/>
      <c r="L78" s="7"/>
      <c r="M78" s="7"/>
      <c r="N78" s="7"/>
    </row>
    <row r="79" spans="2:14" ht="15.75" customHeight="1" x14ac:dyDescent="0.2">
      <c r="B79" s="24" t="s">
        <v>104</v>
      </c>
      <c r="C79" s="24"/>
      <c r="D79" s="24"/>
      <c r="E79" s="30"/>
      <c r="F79" s="31">
        <v>20411.18</v>
      </c>
      <c r="G79" s="32">
        <v>0.23280000000000001</v>
      </c>
      <c r="H79" s="33"/>
      <c r="J79" s="7"/>
      <c r="K79" s="7"/>
      <c r="L79" s="7"/>
      <c r="M79" s="7"/>
      <c r="N79" s="7"/>
    </row>
    <row r="80" spans="2:14" ht="15.75" customHeight="1" x14ac:dyDescent="0.2">
      <c r="B80" s="25"/>
      <c r="C80" s="25"/>
      <c r="D80" s="25"/>
      <c r="E80" s="26"/>
      <c r="F80" s="27"/>
      <c r="G80" s="28"/>
      <c r="H80" s="29"/>
      <c r="J80" s="7"/>
      <c r="K80" s="7"/>
      <c r="L80" s="7"/>
      <c r="M80" s="7"/>
      <c r="N80" s="7"/>
    </row>
    <row r="81" spans="2:14" ht="15.75" customHeight="1" x14ac:dyDescent="0.2">
      <c r="B81" s="24" t="s">
        <v>105</v>
      </c>
      <c r="C81" s="25"/>
      <c r="D81" s="25"/>
      <c r="E81" s="26"/>
      <c r="F81" s="27"/>
      <c r="G81" s="28"/>
      <c r="H81" s="29"/>
      <c r="J81" s="7"/>
      <c r="K81" s="7"/>
      <c r="L81" s="7"/>
      <c r="M81" s="7"/>
      <c r="N81" s="7"/>
    </row>
    <row r="82" spans="2:14" ht="15.75" customHeight="1" x14ac:dyDescent="0.2">
      <c r="B82" s="24" t="s">
        <v>104</v>
      </c>
      <c r="C82" s="25"/>
      <c r="D82" s="25"/>
      <c r="E82" s="26"/>
      <c r="F82" s="34" t="s">
        <v>106</v>
      </c>
      <c r="G82" s="35" t="s">
        <v>106</v>
      </c>
      <c r="H82" s="29"/>
      <c r="J82" s="7"/>
      <c r="K82" s="7"/>
      <c r="L82" s="7"/>
      <c r="M82" s="7"/>
      <c r="N82" s="7"/>
    </row>
    <row r="83" spans="2:14" ht="15.75" customHeight="1" x14ac:dyDescent="0.2">
      <c r="B83" s="25"/>
      <c r="C83" s="25"/>
      <c r="D83" s="25"/>
      <c r="E83" s="26"/>
      <c r="F83" s="27"/>
      <c r="G83" s="28"/>
      <c r="H83" s="29"/>
      <c r="J83" s="7"/>
      <c r="K83" s="7"/>
      <c r="L83" s="7"/>
      <c r="M83" s="7"/>
      <c r="N83" s="7"/>
    </row>
    <row r="84" spans="2:14" ht="15.75" customHeight="1" x14ac:dyDescent="0.2">
      <c r="B84" s="24" t="s">
        <v>107</v>
      </c>
      <c r="C84" s="25"/>
      <c r="D84" s="25"/>
      <c r="E84" s="26"/>
      <c r="F84" s="27"/>
      <c r="G84" s="28"/>
      <c r="H84" s="29"/>
      <c r="J84" s="7"/>
      <c r="K84" s="7"/>
      <c r="L84" s="7"/>
      <c r="M84" s="7"/>
      <c r="N84" s="7"/>
    </row>
    <row r="85" spans="2:14" ht="15.75" customHeight="1" x14ac:dyDescent="0.2">
      <c r="B85" s="24" t="s">
        <v>104</v>
      </c>
      <c r="C85" s="25"/>
      <c r="D85" s="25"/>
      <c r="E85" s="26"/>
      <c r="F85" s="34" t="s">
        <v>106</v>
      </c>
      <c r="G85" s="35" t="s">
        <v>106</v>
      </c>
      <c r="H85" s="29"/>
    </row>
    <row r="86" spans="2:14" ht="15.75" customHeight="1" x14ac:dyDescent="0.2">
      <c r="B86" s="25"/>
      <c r="C86" s="25"/>
      <c r="D86" s="25"/>
      <c r="E86" s="26"/>
      <c r="F86" s="27"/>
      <c r="G86" s="28"/>
      <c r="H86" s="29"/>
      <c r="J86" s="3"/>
    </row>
    <row r="87" spans="2:14" ht="15.75" customHeight="1" x14ac:dyDescent="0.2">
      <c r="B87" s="36" t="s">
        <v>108</v>
      </c>
      <c r="C87" s="36"/>
      <c r="D87" s="36"/>
      <c r="E87" s="37"/>
      <c r="F87" s="31">
        <v>20411.18</v>
      </c>
      <c r="G87" s="32">
        <v>0.23269999999999999</v>
      </c>
      <c r="H87" s="33"/>
    </row>
    <row r="88" spans="2:14" ht="15.75" customHeight="1" x14ac:dyDescent="0.2">
      <c r="B88" s="25"/>
      <c r="C88" s="25"/>
      <c r="D88" s="25"/>
      <c r="E88" s="26"/>
      <c r="F88" s="27"/>
      <c r="G88" s="28"/>
      <c r="H88" s="29"/>
    </row>
    <row r="89" spans="2:14" ht="15.75" customHeight="1" x14ac:dyDescent="0.2">
      <c r="B89" s="25"/>
      <c r="C89" s="25"/>
      <c r="D89" s="25"/>
      <c r="E89" s="26"/>
      <c r="F89" s="27"/>
      <c r="G89" s="28"/>
      <c r="H89" s="29"/>
    </row>
    <row r="90" spans="2:14" ht="15.75" customHeight="1" x14ac:dyDescent="0.2">
      <c r="B90" s="24" t="s">
        <v>111</v>
      </c>
      <c r="C90" s="25"/>
      <c r="D90" s="25"/>
      <c r="E90" s="26"/>
      <c r="F90" s="27"/>
      <c r="G90" s="28"/>
      <c r="H90" s="29"/>
    </row>
    <row r="91" spans="2:14" ht="15.75" customHeight="1" x14ac:dyDescent="0.2">
      <c r="B91" s="25" t="s">
        <v>112</v>
      </c>
      <c r="C91" s="25"/>
      <c r="D91" s="25"/>
      <c r="E91" s="26"/>
      <c r="F91" s="27">
        <v>2608.89</v>
      </c>
      <c r="G91" s="28">
        <v>2.9700000000000001E-2</v>
      </c>
      <c r="H91" s="29"/>
    </row>
    <row r="92" spans="2:14" ht="15.75" customHeight="1" x14ac:dyDescent="0.2">
      <c r="B92" s="24" t="s">
        <v>104</v>
      </c>
      <c r="C92" s="24"/>
      <c r="D92" s="24"/>
      <c r="E92" s="30"/>
      <c r="F92" s="31">
        <v>2608.89</v>
      </c>
      <c r="G92" s="32">
        <v>2.9700000000000001E-2</v>
      </c>
      <c r="H92" s="33"/>
    </row>
    <row r="93" spans="2:14" ht="15.75" customHeight="1" x14ac:dyDescent="0.2">
      <c r="B93" s="25"/>
      <c r="C93" s="25"/>
      <c r="D93" s="25"/>
      <c r="E93" s="26"/>
      <c r="F93" s="27"/>
      <c r="G93" s="28"/>
      <c r="H93" s="29"/>
    </row>
    <row r="94" spans="2:14" ht="15.75" customHeight="1" x14ac:dyDescent="0.2">
      <c r="B94" s="36" t="s">
        <v>108</v>
      </c>
      <c r="C94" s="36"/>
      <c r="D94" s="36"/>
      <c r="E94" s="37"/>
      <c r="F94" s="31">
        <v>2608.89</v>
      </c>
      <c r="G94" s="32">
        <v>2.9700000000000001E-2</v>
      </c>
      <c r="H94" s="33"/>
    </row>
    <row r="95" spans="2:14" ht="15.75" customHeight="1" x14ac:dyDescent="0.2">
      <c r="B95" s="25" t="s">
        <v>113</v>
      </c>
      <c r="C95" s="25"/>
      <c r="D95" s="25"/>
      <c r="E95" s="26"/>
      <c r="F95" s="38">
        <v>-74.849999999999994</v>
      </c>
      <c r="G95" s="39">
        <v>-7.9999999999991189E-4</v>
      </c>
      <c r="H95" s="29"/>
    </row>
    <row r="96" spans="2:14" ht="15.75" customHeight="1" x14ac:dyDescent="0.2">
      <c r="B96" s="40" t="s">
        <v>114</v>
      </c>
      <c r="C96" s="40"/>
      <c r="D96" s="40"/>
      <c r="E96" s="41"/>
      <c r="F96" s="42">
        <v>87727.55</v>
      </c>
      <c r="G96" s="43">
        <v>1</v>
      </c>
      <c r="H96" s="44"/>
    </row>
    <row r="97" spans="2:5" ht="15.75" customHeight="1" x14ac:dyDescent="0.2">
      <c r="B97" s="2"/>
    </row>
    <row r="98" spans="2:5" ht="15.75" customHeight="1" x14ac:dyDescent="0.2">
      <c r="B98" s="12" t="s">
        <v>131</v>
      </c>
    </row>
    <row r="99" spans="2:5" ht="15.75" customHeight="1" x14ac:dyDescent="0.2">
      <c r="B99" s="12" t="s">
        <v>115</v>
      </c>
    </row>
    <row r="100" spans="2:5" ht="15.75" customHeight="1" x14ac:dyDescent="0.2">
      <c r="B100" s="53"/>
    </row>
    <row r="101" spans="2:5" ht="15.75" customHeight="1" x14ac:dyDescent="0.2">
      <c r="B101" s="9" t="s">
        <v>382</v>
      </c>
    </row>
    <row r="102" spans="2:5" ht="15.75" customHeight="1" x14ac:dyDescent="0.2">
      <c r="B102" s="9" t="s">
        <v>383</v>
      </c>
    </row>
    <row r="103" spans="2:5" ht="15.75" customHeight="1" x14ac:dyDescent="0.2">
      <c r="B103" s="13" t="s">
        <v>280</v>
      </c>
      <c r="C103" s="50" t="s">
        <v>2</v>
      </c>
      <c r="D103" s="51" t="s">
        <v>3</v>
      </c>
      <c r="E103" s="52" t="s">
        <v>281</v>
      </c>
    </row>
    <row r="104" spans="2:5" ht="15.75" customHeight="1" x14ac:dyDescent="0.2">
      <c r="B104" s="46" t="s">
        <v>255</v>
      </c>
      <c r="C104" s="47">
        <v>-195000</v>
      </c>
      <c r="D104" s="48">
        <v>-808.28</v>
      </c>
      <c r="E104" s="49">
        <v>-9.1999999999999998E-3</v>
      </c>
    </row>
    <row r="105" spans="2:5" ht="15.75" customHeight="1" x14ac:dyDescent="0.2">
      <c r="B105" s="46" t="s">
        <v>317</v>
      </c>
      <c r="C105" s="47">
        <v>-31500</v>
      </c>
      <c r="D105" s="48">
        <v>-455.9</v>
      </c>
      <c r="E105" s="49">
        <v>-5.1999999999999998E-3</v>
      </c>
    </row>
    <row r="106" spans="2:5" ht="15.75" customHeight="1" x14ac:dyDescent="0.2">
      <c r="B106" s="46" t="s">
        <v>300</v>
      </c>
      <c r="C106" s="47">
        <v>-3000</v>
      </c>
      <c r="D106" s="48">
        <v>-83.59</v>
      </c>
      <c r="E106" s="49">
        <v>-1E-3</v>
      </c>
    </row>
    <row r="107" spans="2:5" ht="15.75" customHeight="1" x14ac:dyDescent="0.2">
      <c r="B107" s="46" t="s">
        <v>234</v>
      </c>
      <c r="C107" s="47">
        <v>-4250</v>
      </c>
      <c r="D107" s="48">
        <v>-557.45000000000005</v>
      </c>
      <c r="E107" s="49">
        <v>-6.4000000000000003E-3</v>
      </c>
    </row>
    <row r="108" spans="2:5" ht="15.75" customHeight="1" x14ac:dyDescent="0.2">
      <c r="B108" s="46" t="s">
        <v>149</v>
      </c>
      <c r="C108" s="47">
        <v>-28050</v>
      </c>
      <c r="D108" s="48">
        <v>-456.54</v>
      </c>
      <c r="E108" s="49">
        <v>-5.1999999999999998E-3</v>
      </c>
    </row>
    <row r="109" spans="2:5" ht="15.75" customHeight="1" x14ac:dyDescent="0.2">
      <c r="B109" s="46" t="s">
        <v>298</v>
      </c>
      <c r="C109" s="47">
        <v>-50750</v>
      </c>
      <c r="D109" s="48">
        <v>-836.89</v>
      </c>
      <c r="E109" s="49">
        <v>-9.4999999999999998E-3</v>
      </c>
    </row>
    <row r="110" spans="2:5" ht="15.75" customHeight="1" x14ac:dyDescent="0.2">
      <c r="B110" s="46" t="s">
        <v>143</v>
      </c>
      <c r="C110" s="47">
        <v>-156800</v>
      </c>
      <c r="D110" s="48">
        <v>-4590.63</v>
      </c>
      <c r="E110" s="49">
        <v>-5.2299999999999999E-2</v>
      </c>
    </row>
    <row r="111" spans="2:5" ht="15.75" customHeight="1" x14ac:dyDescent="0.2">
      <c r="B111" s="46" t="s">
        <v>287</v>
      </c>
      <c r="C111" s="47">
        <v>-177750</v>
      </c>
      <c r="D111" s="48">
        <v>-1562.07</v>
      </c>
      <c r="E111" s="49">
        <v>-1.78E-2</v>
      </c>
    </row>
    <row r="112" spans="2:5" ht="15.75" customHeight="1" x14ac:dyDescent="0.2">
      <c r="B112" s="46" t="s">
        <v>153</v>
      </c>
      <c r="C112" s="47">
        <v>-74000</v>
      </c>
      <c r="D112" s="48">
        <v>-2235.8000000000002</v>
      </c>
      <c r="E112" s="49">
        <v>-2.5499999999999998E-2</v>
      </c>
    </row>
    <row r="113" spans="2:5" ht="15.75" customHeight="1" x14ac:dyDescent="0.2">
      <c r="B113" s="46" t="s">
        <v>368</v>
      </c>
      <c r="C113" s="47">
        <v>-460</v>
      </c>
      <c r="D113" s="48">
        <v>-131.46</v>
      </c>
      <c r="E113" s="49">
        <v>-1.5E-3</v>
      </c>
    </row>
    <row r="114" spans="2:5" ht="15.75" customHeight="1" x14ac:dyDescent="0.2">
      <c r="B114" s="46" t="s">
        <v>285</v>
      </c>
      <c r="C114" s="47">
        <v>-387200</v>
      </c>
      <c r="D114" s="48">
        <v>-1930.97</v>
      </c>
      <c r="E114" s="49">
        <v>-2.1999999999999999E-2</v>
      </c>
    </row>
    <row r="115" spans="2:5" ht="15.75" customHeight="1" x14ac:dyDescent="0.2">
      <c r="B115" s="46" t="s">
        <v>328</v>
      </c>
      <c r="C115" s="47">
        <v>-7750</v>
      </c>
      <c r="D115" s="48">
        <v>-245.95</v>
      </c>
      <c r="E115" s="49">
        <v>-2.8E-3</v>
      </c>
    </row>
    <row r="116" spans="2:5" ht="15.75" customHeight="1" x14ac:dyDescent="0.2">
      <c r="B116" s="46" t="s">
        <v>322</v>
      </c>
      <c r="C116" s="47">
        <v>-16500</v>
      </c>
      <c r="D116" s="48">
        <v>-439.55</v>
      </c>
      <c r="E116" s="49">
        <v>-5.0000000000000001E-3</v>
      </c>
    </row>
    <row r="117" spans="2:5" ht="15.75" customHeight="1" x14ac:dyDescent="0.2">
      <c r="B117" s="46" t="s">
        <v>236</v>
      </c>
      <c r="C117" s="47">
        <v>-34300</v>
      </c>
      <c r="D117" s="48">
        <v>-1511.04</v>
      </c>
      <c r="E117" s="49">
        <v>-1.72E-2</v>
      </c>
    </row>
    <row r="118" spans="2:5" ht="15.75" customHeight="1" x14ac:dyDescent="0.2">
      <c r="B118" s="46" t="s">
        <v>270</v>
      </c>
      <c r="C118" s="47">
        <v>-29400</v>
      </c>
      <c r="D118" s="48">
        <v>-197.51</v>
      </c>
      <c r="E118" s="49">
        <v>-2.3E-3</v>
      </c>
    </row>
    <row r="119" spans="2:5" ht="15.75" customHeight="1" x14ac:dyDescent="0.2">
      <c r="B119" s="46" t="s">
        <v>140</v>
      </c>
      <c r="C119" s="47">
        <v>-12300</v>
      </c>
      <c r="D119" s="48">
        <v>-334.18</v>
      </c>
      <c r="E119" s="49">
        <v>-3.8E-3</v>
      </c>
    </row>
    <row r="120" spans="2:5" ht="15.75" customHeight="1" x14ac:dyDescent="0.2">
      <c r="B120" s="46" t="s">
        <v>203</v>
      </c>
      <c r="C120" s="47">
        <v>-22800</v>
      </c>
      <c r="D120" s="48">
        <v>-355.79</v>
      </c>
      <c r="E120" s="49">
        <v>-4.1000000000000003E-3</v>
      </c>
    </row>
    <row r="121" spans="2:5" ht="15.75" customHeight="1" x14ac:dyDescent="0.2">
      <c r="B121" s="46" t="s">
        <v>134</v>
      </c>
      <c r="C121" s="47">
        <v>-247100</v>
      </c>
      <c r="D121" s="48">
        <v>-2996.58</v>
      </c>
      <c r="E121" s="49">
        <v>-3.4200000000000001E-2</v>
      </c>
    </row>
    <row r="122" spans="2:5" ht="15.75" customHeight="1" x14ac:dyDescent="0.2">
      <c r="B122" s="46" t="s">
        <v>173</v>
      </c>
      <c r="C122" s="47">
        <v>-202350</v>
      </c>
      <c r="D122" s="48">
        <v>-642.46</v>
      </c>
      <c r="E122" s="49">
        <v>-7.3000000000000001E-3</v>
      </c>
    </row>
    <row r="123" spans="2:5" ht="15.75" customHeight="1" x14ac:dyDescent="0.2">
      <c r="B123" s="46" t="s">
        <v>137</v>
      </c>
      <c r="C123" s="47">
        <v>-102000</v>
      </c>
      <c r="D123" s="48">
        <v>-1918.26</v>
      </c>
      <c r="E123" s="49">
        <v>-2.1899999999999999E-2</v>
      </c>
    </row>
    <row r="124" spans="2:5" ht="15.75" customHeight="1" x14ac:dyDescent="0.2">
      <c r="B124" s="46" t="s">
        <v>330</v>
      </c>
      <c r="C124" s="47">
        <v>-12250</v>
      </c>
      <c r="D124" s="48">
        <v>-312.08999999999997</v>
      </c>
      <c r="E124" s="49">
        <v>-3.5999999999999999E-3</v>
      </c>
    </row>
    <row r="125" spans="2:5" ht="15.75" customHeight="1" x14ac:dyDescent="0.2">
      <c r="B125" s="46" t="s">
        <v>291</v>
      </c>
      <c r="C125" s="47">
        <v>-143750</v>
      </c>
      <c r="D125" s="48">
        <v>-1687.84</v>
      </c>
      <c r="E125" s="49">
        <v>-1.9199999999999998E-2</v>
      </c>
    </row>
    <row r="126" spans="2:5" ht="15.75" customHeight="1" x14ac:dyDescent="0.2">
      <c r="B126" s="46" t="s">
        <v>293</v>
      </c>
      <c r="C126" s="47">
        <v>-21625</v>
      </c>
      <c r="D126" s="48">
        <v>-1481.9</v>
      </c>
      <c r="E126" s="49">
        <v>-1.6899999999999998E-2</v>
      </c>
    </row>
    <row r="127" spans="2:5" ht="15.75" customHeight="1" x14ac:dyDescent="0.2">
      <c r="B127" s="13" t="s">
        <v>282</v>
      </c>
      <c r="C127" s="50">
        <v>-1960885</v>
      </c>
      <c r="D127" s="51">
        <v>-25772.73</v>
      </c>
      <c r="E127" s="52">
        <v>-0.29389999999999999</v>
      </c>
    </row>
    <row r="128" spans="2:5" ht="15.75" customHeight="1" thickBot="1" x14ac:dyDescent="0.25"/>
    <row r="129" spans="2:8" ht="27" customHeight="1" thickBot="1" x14ac:dyDescent="0.25">
      <c r="B129" s="56" t="s">
        <v>1009</v>
      </c>
      <c r="C129" s="57" t="s">
        <v>1010</v>
      </c>
      <c r="D129" s="57" t="s">
        <v>1011</v>
      </c>
      <c r="E129" s="62" t="s">
        <v>1012</v>
      </c>
      <c r="G129" s="2"/>
      <c r="H129" s="2"/>
    </row>
    <row r="130" spans="2:8" ht="29.25" customHeight="1" x14ac:dyDescent="0.2">
      <c r="B130" s="69" t="s">
        <v>34</v>
      </c>
      <c r="C130" s="83"/>
      <c r="D130" s="86" t="s">
        <v>1023</v>
      </c>
      <c r="E130" s="88"/>
      <c r="G130" s="2"/>
      <c r="H130" s="2"/>
    </row>
    <row r="131" spans="2:8" ht="26.25" customHeight="1" x14ac:dyDescent="0.2">
      <c r="B131" s="65" t="s">
        <v>1024</v>
      </c>
      <c r="C131" s="84"/>
      <c r="D131" s="87"/>
      <c r="E131" s="84"/>
      <c r="G131" s="2"/>
      <c r="H131" s="2"/>
    </row>
    <row r="132" spans="2:8" ht="51" customHeight="1" x14ac:dyDescent="0.2">
      <c r="B132" s="65" t="s">
        <v>1025</v>
      </c>
      <c r="C132" s="84"/>
      <c r="D132" s="87"/>
      <c r="E132" s="84"/>
      <c r="G132" s="2"/>
      <c r="H132" s="2"/>
    </row>
    <row r="133" spans="2:8" ht="23.25" customHeight="1" thickBot="1" x14ac:dyDescent="0.25">
      <c r="B133" s="67" t="s">
        <v>1017</v>
      </c>
      <c r="C133" s="85"/>
      <c r="D133" s="70" t="s">
        <v>1026</v>
      </c>
      <c r="E133" s="89"/>
      <c r="G133" s="2"/>
      <c r="H133" s="2"/>
    </row>
    <row r="134" spans="2:8" ht="24.95" customHeight="1" x14ac:dyDescent="0.2">
      <c r="B134" s="58" t="s">
        <v>1014</v>
      </c>
      <c r="C134" s="59"/>
      <c r="D134" s="60"/>
      <c r="E134" s="61"/>
      <c r="G134" s="2"/>
      <c r="H134" s="2"/>
    </row>
    <row r="136" spans="2:8" ht="12" x14ac:dyDescent="0.2">
      <c r="B136" s="2" t="s">
        <v>1015</v>
      </c>
      <c r="C136" s="2"/>
      <c r="D136" s="2"/>
      <c r="G136" s="2"/>
      <c r="H136" s="2"/>
    </row>
    <row r="137" spans="2:8" ht="12" x14ac:dyDescent="0.2">
      <c r="B137" s="3" t="s">
        <v>1016</v>
      </c>
      <c r="C137" s="2"/>
      <c r="D137" s="2"/>
      <c r="G137" s="2"/>
      <c r="H137" s="2"/>
    </row>
  </sheetData>
  <mergeCells count="3">
    <mergeCell ref="C130:C133"/>
    <mergeCell ref="D130:D132"/>
    <mergeCell ref="E130:E133"/>
  </mergeCells>
  <hyperlinks>
    <hyperlink ref="G1" location="'Sheet1'!A1" display="Index" xr:uid="{64F4D35A-5553-4C64-94FE-5DB046FA2C5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866A-339E-48F3-9171-C2925F7B12CD}">
  <dimension ref="B1:N117"/>
  <sheetViews>
    <sheetView workbookViewId="0"/>
  </sheetViews>
  <sheetFormatPr defaultColWidth="9.140625" defaultRowHeight="15.75" customHeight="1" x14ac:dyDescent="0.2"/>
  <cols>
    <col min="1" max="1" width="3.5703125" style="2" customWidth="1"/>
    <col min="2" max="2" width="50.42578125" style="9" customWidth="1"/>
    <col min="3" max="3" width="29.140625" style="9" customWidth="1"/>
    <col min="4" max="4" width="26.5703125" style="9" customWidth="1"/>
    <col min="5" max="5" width="26.5703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132</v>
      </c>
      <c r="C5" s="19"/>
      <c r="D5" s="19"/>
      <c r="E5" s="20"/>
      <c r="F5" s="21"/>
      <c r="G5" s="22"/>
      <c r="H5" s="23"/>
    </row>
    <row r="6" spans="2:8" ht="15.75" customHeight="1" x14ac:dyDescent="0.2">
      <c r="B6" s="24" t="s">
        <v>133</v>
      </c>
      <c r="C6" s="25"/>
      <c r="D6" s="25"/>
      <c r="E6" s="26"/>
      <c r="F6" s="27"/>
      <c r="G6" s="28"/>
      <c r="H6" s="29"/>
    </row>
    <row r="7" spans="2:8" ht="15.75" customHeight="1" x14ac:dyDescent="0.2">
      <c r="B7" s="25" t="s">
        <v>149</v>
      </c>
      <c r="C7" s="25" t="s">
        <v>150</v>
      </c>
      <c r="D7" s="25" t="s">
        <v>136</v>
      </c>
      <c r="E7" s="26">
        <v>174356</v>
      </c>
      <c r="F7" s="27">
        <v>2817.16</v>
      </c>
      <c r="G7" s="28">
        <v>5.11E-2</v>
      </c>
      <c r="H7" s="29"/>
    </row>
    <row r="8" spans="2:8" ht="15.75" customHeight="1" x14ac:dyDescent="0.2">
      <c r="B8" s="25" t="s">
        <v>134</v>
      </c>
      <c r="C8" s="25" t="s">
        <v>135</v>
      </c>
      <c r="D8" s="25" t="s">
        <v>136</v>
      </c>
      <c r="E8" s="26">
        <v>178219</v>
      </c>
      <c r="F8" s="27">
        <v>2165.1799999999998</v>
      </c>
      <c r="G8" s="28">
        <v>3.9300000000000002E-2</v>
      </c>
      <c r="H8" s="29"/>
    </row>
    <row r="9" spans="2:8" ht="15.75" customHeight="1" x14ac:dyDescent="0.2">
      <c r="B9" s="25" t="s">
        <v>153</v>
      </c>
      <c r="C9" s="25" t="s">
        <v>154</v>
      </c>
      <c r="D9" s="25" t="s">
        <v>155</v>
      </c>
      <c r="E9" s="26">
        <v>70159</v>
      </c>
      <c r="F9" s="27">
        <v>2112.38</v>
      </c>
      <c r="G9" s="28">
        <v>3.8300000000000001E-2</v>
      </c>
      <c r="H9" s="29"/>
    </row>
    <row r="10" spans="2:8" ht="15.75" customHeight="1" x14ac:dyDescent="0.2">
      <c r="B10" s="25" t="s">
        <v>137</v>
      </c>
      <c r="C10" s="25" t="s">
        <v>138</v>
      </c>
      <c r="D10" s="25" t="s">
        <v>139</v>
      </c>
      <c r="E10" s="26">
        <v>80123</v>
      </c>
      <c r="F10" s="27">
        <v>1496.9</v>
      </c>
      <c r="G10" s="28">
        <v>2.7099999999999999E-2</v>
      </c>
      <c r="H10" s="29"/>
    </row>
    <row r="11" spans="2:8" ht="15.75" customHeight="1" x14ac:dyDescent="0.2">
      <c r="B11" s="25" t="s">
        <v>285</v>
      </c>
      <c r="C11" s="25" t="s">
        <v>286</v>
      </c>
      <c r="D11" s="25" t="s">
        <v>142</v>
      </c>
      <c r="E11" s="26">
        <v>292074</v>
      </c>
      <c r="F11" s="27">
        <v>1446.79</v>
      </c>
      <c r="G11" s="28">
        <v>2.6200000000000001E-2</v>
      </c>
      <c r="H11" s="29"/>
    </row>
    <row r="12" spans="2:8" ht="15.75" customHeight="1" x14ac:dyDescent="0.2">
      <c r="B12" s="25" t="s">
        <v>384</v>
      </c>
      <c r="C12" s="25" t="s">
        <v>385</v>
      </c>
      <c r="D12" s="25" t="s">
        <v>220</v>
      </c>
      <c r="E12" s="26">
        <v>20824</v>
      </c>
      <c r="F12" s="27">
        <v>1215.9100000000001</v>
      </c>
      <c r="G12" s="28">
        <v>2.1999999999999999E-2</v>
      </c>
      <c r="H12" s="29"/>
    </row>
    <row r="13" spans="2:8" ht="15.75" customHeight="1" x14ac:dyDescent="0.2">
      <c r="B13" s="25" t="s">
        <v>236</v>
      </c>
      <c r="C13" s="25" t="s">
        <v>237</v>
      </c>
      <c r="D13" s="25" t="s">
        <v>139</v>
      </c>
      <c r="E13" s="26">
        <v>26629</v>
      </c>
      <c r="F13" s="27">
        <v>1167.77</v>
      </c>
      <c r="G13" s="28">
        <v>2.12E-2</v>
      </c>
      <c r="H13" s="29"/>
    </row>
    <row r="14" spans="2:8" ht="15.75" customHeight="1" x14ac:dyDescent="0.2">
      <c r="B14" s="25" t="s">
        <v>350</v>
      </c>
      <c r="C14" s="25" t="s">
        <v>351</v>
      </c>
      <c r="D14" s="25" t="s">
        <v>352</v>
      </c>
      <c r="E14" s="26">
        <v>29555</v>
      </c>
      <c r="F14" s="27">
        <v>1127.52</v>
      </c>
      <c r="G14" s="28">
        <v>2.0400000000000001E-2</v>
      </c>
      <c r="H14" s="29"/>
    </row>
    <row r="15" spans="2:8" ht="15.75" customHeight="1" x14ac:dyDescent="0.2">
      <c r="B15" s="25" t="s">
        <v>386</v>
      </c>
      <c r="C15" s="25" t="s">
        <v>387</v>
      </c>
      <c r="D15" s="25" t="s">
        <v>178</v>
      </c>
      <c r="E15" s="26">
        <v>70916</v>
      </c>
      <c r="F15" s="27">
        <v>1124.05</v>
      </c>
      <c r="G15" s="28">
        <v>2.0400000000000001E-2</v>
      </c>
      <c r="H15" s="29"/>
    </row>
    <row r="16" spans="2:8" ht="15.75" customHeight="1" x14ac:dyDescent="0.2">
      <c r="B16" s="25" t="s">
        <v>234</v>
      </c>
      <c r="C16" s="25" t="s">
        <v>235</v>
      </c>
      <c r="D16" s="25" t="s">
        <v>145</v>
      </c>
      <c r="E16" s="26">
        <v>7974</v>
      </c>
      <c r="F16" s="27">
        <v>1045.8499999999999</v>
      </c>
      <c r="G16" s="28">
        <v>1.9E-2</v>
      </c>
      <c r="H16" s="29"/>
    </row>
    <row r="17" spans="2:8" ht="15.75" customHeight="1" x14ac:dyDescent="0.2">
      <c r="B17" s="25" t="s">
        <v>388</v>
      </c>
      <c r="C17" s="25" t="s">
        <v>389</v>
      </c>
      <c r="D17" s="25" t="s">
        <v>178</v>
      </c>
      <c r="E17" s="26">
        <v>58569</v>
      </c>
      <c r="F17" s="27">
        <v>953.27</v>
      </c>
      <c r="G17" s="28">
        <v>1.7299999999999999E-2</v>
      </c>
      <c r="H17" s="29"/>
    </row>
    <row r="18" spans="2:8" ht="15.75" customHeight="1" x14ac:dyDescent="0.2">
      <c r="B18" s="25" t="s">
        <v>390</v>
      </c>
      <c r="C18" s="25" t="s">
        <v>391</v>
      </c>
      <c r="D18" s="25" t="s">
        <v>172</v>
      </c>
      <c r="E18" s="26">
        <v>527016</v>
      </c>
      <c r="F18" s="27">
        <v>927.81</v>
      </c>
      <c r="G18" s="28">
        <v>1.6799999999999999E-2</v>
      </c>
      <c r="H18" s="29"/>
    </row>
    <row r="19" spans="2:8" ht="15.75" customHeight="1" x14ac:dyDescent="0.2">
      <c r="B19" s="25" t="s">
        <v>305</v>
      </c>
      <c r="C19" s="25" t="s">
        <v>306</v>
      </c>
      <c r="D19" s="25" t="s">
        <v>145</v>
      </c>
      <c r="E19" s="26">
        <v>16042</v>
      </c>
      <c r="F19" s="27">
        <v>880.46</v>
      </c>
      <c r="G19" s="28">
        <v>1.6E-2</v>
      </c>
      <c r="H19" s="29"/>
    </row>
    <row r="20" spans="2:8" ht="15.75" customHeight="1" x14ac:dyDescent="0.2">
      <c r="B20" s="25" t="s">
        <v>255</v>
      </c>
      <c r="C20" s="25" t="s">
        <v>256</v>
      </c>
      <c r="D20" s="25" t="s">
        <v>184</v>
      </c>
      <c r="E20" s="26">
        <v>209486</v>
      </c>
      <c r="F20" s="27">
        <v>871.46</v>
      </c>
      <c r="G20" s="28">
        <v>1.5800000000000002E-2</v>
      </c>
      <c r="H20" s="29"/>
    </row>
    <row r="21" spans="2:8" ht="15.75" customHeight="1" x14ac:dyDescent="0.2">
      <c r="B21" s="25" t="s">
        <v>392</v>
      </c>
      <c r="C21" s="25" t="s">
        <v>393</v>
      </c>
      <c r="D21" s="25" t="s">
        <v>311</v>
      </c>
      <c r="E21" s="26">
        <v>229689</v>
      </c>
      <c r="F21" s="27">
        <v>846.29</v>
      </c>
      <c r="G21" s="28">
        <v>1.5299999999999999E-2</v>
      </c>
      <c r="H21" s="29"/>
    </row>
    <row r="22" spans="2:8" ht="15.75" customHeight="1" x14ac:dyDescent="0.2">
      <c r="B22" s="25" t="s">
        <v>394</v>
      </c>
      <c r="C22" s="25" t="s">
        <v>395</v>
      </c>
      <c r="D22" s="25" t="s">
        <v>220</v>
      </c>
      <c r="E22" s="26">
        <v>355486</v>
      </c>
      <c r="F22" s="27">
        <v>815.66</v>
      </c>
      <c r="G22" s="28">
        <v>1.4800000000000001E-2</v>
      </c>
      <c r="H22" s="29"/>
    </row>
    <row r="23" spans="2:8" ht="15.75" customHeight="1" x14ac:dyDescent="0.2">
      <c r="B23" s="25" t="s">
        <v>140</v>
      </c>
      <c r="C23" s="25" t="s">
        <v>141</v>
      </c>
      <c r="D23" s="25" t="s">
        <v>142</v>
      </c>
      <c r="E23" s="26">
        <v>29468</v>
      </c>
      <c r="F23" s="27">
        <v>797.3</v>
      </c>
      <c r="G23" s="28">
        <v>1.4500000000000001E-2</v>
      </c>
      <c r="H23" s="29"/>
    </row>
    <row r="24" spans="2:8" ht="15.75" customHeight="1" x14ac:dyDescent="0.2">
      <c r="B24" s="25" t="s">
        <v>396</v>
      </c>
      <c r="C24" s="25" t="s">
        <v>397</v>
      </c>
      <c r="D24" s="25" t="s">
        <v>178</v>
      </c>
      <c r="E24" s="26">
        <v>11021</v>
      </c>
      <c r="F24" s="27">
        <v>786.12</v>
      </c>
      <c r="G24" s="28">
        <v>1.43E-2</v>
      </c>
      <c r="H24" s="29"/>
    </row>
    <row r="25" spans="2:8" ht="15.75" customHeight="1" x14ac:dyDescent="0.2">
      <c r="B25" s="25" t="s">
        <v>398</v>
      </c>
      <c r="C25" s="25" t="s">
        <v>399</v>
      </c>
      <c r="D25" s="25" t="s">
        <v>178</v>
      </c>
      <c r="E25" s="26">
        <v>187101</v>
      </c>
      <c r="F25" s="27">
        <v>777.22</v>
      </c>
      <c r="G25" s="28">
        <v>1.41E-2</v>
      </c>
      <c r="H25" s="29"/>
    </row>
    <row r="26" spans="2:8" ht="15.75" customHeight="1" x14ac:dyDescent="0.2">
      <c r="B26" s="25" t="s">
        <v>400</v>
      </c>
      <c r="C26" s="25" t="s">
        <v>401</v>
      </c>
      <c r="D26" s="25" t="s">
        <v>172</v>
      </c>
      <c r="E26" s="26">
        <v>37221</v>
      </c>
      <c r="F26" s="27">
        <v>754.88</v>
      </c>
      <c r="G26" s="28">
        <v>1.37E-2</v>
      </c>
      <c r="H26" s="29"/>
    </row>
    <row r="27" spans="2:8" ht="15.75" customHeight="1" x14ac:dyDescent="0.2">
      <c r="B27" s="25" t="s">
        <v>332</v>
      </c>
      <c r="C27" s="25" t="s">
        <v>333</v>
      </c>
      <c r="D27" s="25" t="s">
        <v>297</v>
      </c>
      <c r="E27" s="26">
        <v>50605</v>
      </c>
      <c r="F27" s="27">
        <v>751.74</v>
      </c>
      <c r="G27" s="28">
        <v>1.3599999999999999E-2</v>
      </c>
      <c r="H27" s="29"/>
    </row>
    <row r="28" spans="2:8" ht="15.75" customHeight="1" x14ac:dyDescent="0.2">
      <c r="B28" s="25" t="s">
        <v>402</v>
      </c>
      <c r="C28" s="25" t="s">
        <v>403</v>
      </c>
      <c r="D28" s="25" t="s">
        <v>187</v>
      </c>
      <c r="E28" s="26">
        <v>21678</v>
      </c>
      <c r="F28" s="27">
        <v>749.83</v>
      </c>
      <c r="G28" s="28">
        <v>1.3599999999999999E-2</v>
      </c>
      <c r="H28" s="29"/>
    </row>
    <row r="29" spans="2:8" ht="15.75" customHeight="1" x14ac:dyDescent="0.2">
      <c r="B29" s="25" t="s">
        <v>404</v>
      </c>
      <c r="C29" s="25" t="s">
        <v>405</v>
      </c>
      <c r="D29" s="25" t="s">
        <v>266</v>
      </c>
      <c r="E29" s="26">
        <v>42132</v>
      </c>
      <c r="F29" s="27">
        <v>730.36</v>
      </c>
      <c r="G29" s="28">
        <v>1.32E-2</v>
      </c>
      <c r="H29" s="29"/>
    </row>
    <row r="30" spans="2:8" ht="15.75" customHeight="1" x14ac:dyDescent="0.2">
      <c r="B30" s="25" t="s">
        <v>203</v>
      </c>
      <c r="C30" s="25" t="s">
        <v>204</v>
      </c>
      <c r="D30" s="25" t="s">
        <v>139</v>
      </c>
      <c r="E30" s="26">
        <v>45354</v>
      </c>
      <c r="F30" s="27">
        <v>704.98</v>
      </c>
      <c r="G30" s="28">
        <v>1.2800000000000001E-2</v>
      </c>
      <c r="H30" s="29"/>
    </row>
    <row r="31" spans="2:8" ht="15.75" customHeight="1" x14ac:dyDescent="0.2">
      <c r="B31" s="25" t="s">
        <v>326</v>
      </c>
      <c r="C31" s="25" t="s">
        <v>327</v>
      </c>
      <c r="D31" s="25" t="s">
        <v>212</v>
      </c>
      <c r="E31" s="26">
        <v>125442</v>
      </c>
      <c r="F31" s="27">
        <v>698.46</v>
      </c>
      <c r="G31" s="28">
        <v>1.2699999999999999E-2</v>
      </c>
      <c r="H31" s="29"/>
    </row>
    <row r="32" spans="2:8" ht="15.75" customHeight="1" x14ac:dyDescent="0.2">
      <c r="B32" s="25" t="s">
        <v>173</v>
      </c>
      <c r="C32" s="25" t="s">
        <v>174</v>
      </c>
      <c r="D32" s="25" t="s">
        <v>175</v>
      </c>
      <c r="E32" s="26">
        <v>219926</v>
      </c>
      <c r="F32" s="27">
        <v>695.08</v>
      </c>
      <c r="G32" s="28">
        <v>1.26E-2</v>
      </c>
      <c r="H32" s="29"/>
    </row>
    <row r="33" spans="2:8" ht="15.75" customHeight="1" x14ac:dyDescent="0.2">
      <c r="B33" s="25" t="s">
        <v>406</v>
      </c>
      <c r="C33" s="25" t="s">
        <v>407</v>
      </c>
      <c r="D33" s="25" t="s">
        <v>339</v>
      </c>
      <c r="E33" s="26">
        <v>43310</v>
      </c>
      <c r="F33" s="27">
        <v>683.17</v>
      </c>
      <c r="G33" s="28">
        <v>1.24E-2</v>
      </c>
      <c r="H33" s="29"/>
    </row>
    <row r="34" spans="2:8" ht="15.75" customHeight="1" x14ac:dyDescent="0.2">
      <c r="B34" s="25" t="s">
        <v>287</v>
      </c>
      <c r="C34" s="25" t="s">
        <v>288</v>
      </c>
      <c r="D34" s="25" t="s">
        <v>136</v>
      </c>
      <c r="E34" s="26">
        <v>76903</v>
      </c>
      <c r="F34" s="27">
        <v>670.9</v>
      </c>
      <c r="G34" s="28">
        <v>1.2200000000000001E-2</v>
      </c>
      <c r="H34" s="29"/>
    </row>
    <row r="35" spans="2:8" ht="15.75" customHeight="1" x14ac:dyDescent="0.2">
      <c r="B35" s="25" t="s">
        <v>408</v>
      </c>
      <c r="C35" s="25" t="s">
        <v>409</v>
      </c>
      <c r="D35" s="25" t="s">
        <v>297</v>
      </c>
      <c r="E35" s="26">
        <v>15032</v>
      </c>
      <c r="F35" s="27">
        <v>650.86</v>
      </c>
      <c r="G35" s="28">
        <v>1.18E-2</v>
      </c>
      <c r="H35" s="29"/>
    </row>
    <row r="36" spans="2:8" ht="15.75" customHeight="1" x14ac:dyDescent="0.2">
      <c r="B36" s="25" t="s">
        <v>410</v>
      </c>
      <c r="C36" s="25" t="s">
        <v>411</v>
      </c>
      <c r="D36" s="25" t="s">
        <v>266</v>
      </c>
      <c r="E36" s="26">
        <v>44595</v>
      </c>
      <c r="F36" s="27">
        <v>632.47</v>
      </c>
      <c r="G36" s="28">
        <v>1.15E-2</v>
      </c>
      <c r="H36" s="29"/>
    </row>
    <row r="37" spans="2:8" ht="15.75" customHeight="1" x14ac:dyDescent="0.2">
      <c r="B37" s="25" t="s">
        <v>412</v>
      </c>
      <c r="C37" s="25" t="s">
        <v>413</v>
      </c>
      <c r="D37" s="25" t="s">
        <v>352</v>
      </c>
      <c r="E37" s="26">
        <v>174280</v>
      </c>
      <c r="F37" s="27">
        <v>623.84</v>
      </c>
      <c r="G37" s="28">
        <v>1.1299999999999999E-2</v>
      </c>
      <c r="H37" s="29"/>
    </row>
    <row r="38" spans="2:8" ht="15.75" customHeight="1" x14ac:dyDescent="0.2">
      <c r="B38" s="25" t="s">
        <v>344</v>
      </c>
      <c r="C38" s="25" t="s">
        <v>345</v>
      </c>
      <c r="D38" s="25" t="s">
        <v>136</v>
      </c>
      <c r="E38" s="26">
        <v>795452</v>
      </c>
      <c r="F38" s="27">
        <v>604.46</v>
      </c>
      <c r="G38" s="28">
        <v>1.0999999999999999E-2</v>
      </c>
      <c r="H38" s="29"/>
    </row>
    <row r="39" spans="2:8" ht="15.75" customHeight="1" x14ac:dyDescent="0.2">
      <c r="B39" s="25" t="s">
        <v>414</v>
      </c>
      <c r="C39" s="25" t="s">
        <v>415</v>
      </c>
      <c r="D39" s="25" t="s">
        <v>266</v>
      </c>
      <c r="E39" s="26">
        <v>300911</v>
      </c>
      <c r="F39" s="27">
        <v>591.5</v>
      </c>
      <c r="G39" s="28">
        <v>1.0699999999999999E-2</v>
      </c>
      <c r="H39" s="29"/>
    </row>
    <row r="40" spans="2:8" ht="15.75" customHeight="1" x14ac:dyDescent="0.2">
      <c r="B40" s="25" t="s">
        <v>322</v>
      </c>
      <c r="C40" s="25" t="s">
        <v>323</v>
      </c>
      <c r="D40" s="25" t="s">
        <v>233</v>
      </c>
      <c r="E40" s="26">
        <v>22191</v>
      </c>
      <c r="F40" s="27">
        <v>586.92999999999995</v>
      </c>
      <c r="G40" s="28">
        <v>1.06E-2</v>
      </c>
      <c r="H40" s="29"/>
    </row>
    <row r="41" spans="2:8" ht="15.75" customHeight="1" x14ac:dyDescent="0.2">
      <c r="B41" s="25" t="s">
        <v>416</v>
      </c>
      <c r="C41" s="25" t="s">
        <v>417</v>
      </c>
      <c r="D41" s="25" t="s">
        <v>136</v>
      </c>
      <c r="E41" s="26">
        <v>724565</v>
      </c>
      <c r="F41" s="27">
        <v>585.23</v>
      </c>
      <c r="G41" s="28">
        <v>1.06E-2</v>
      </c>
      <c r="H41" s="29"/>
    </row>
    <row r="42" spans="2:8" ht="15.75" customHeight="1" x14ac:dyDescent="0.2">
      <c r="B42" s="25" t="s">
        <v>418</v>
      </c>
      <c r="C42" s="25" t="s">
        <v>419</v>
      </c>
      <c r="D42" s="25" t="s">
        <v>266</v>
      </c>
      <c r="E42" s="26">
        <v>10380</v>
      </c>
      <c r="F42" s="27">
        <v>580.19000000000005</v>
      </c>
      <c r="G42" s="28">
        <v>1.0500000000000001E-2</v>
      </c>
      <c r="H42" s="29"/>
    </row>
    <row r="43" spans="2:8" ht="15.75" customHeight="1" x14ac:dyDescent="0.2">
      <c r="B43" s="25" t="s">
        <v>420</v>
      </c>
      <c r="C43" s="25" t="s">
        <v>421</v>
      </c>
      <c r="D43" s="25" t="s">
        <v>202</v>
      </c>
      <c r="E43" s="26">
        <v>259068</v>
      </c>
      <c r="F43" s="27">
        <v>567.54</v>
      </c>
      <c r="G43" s="28">
        <v>1.03E-2</v>
      </c>
      <c r="H43" s="29"/>
    </row>
    <row r="44" spans="2:8" ht="15.75" customHeight="1" x14ac:dyDescent="0.2">
      <c r="B44" s="25" t="s">
        <v>215</v>
      </c>
      <c r="C44" s="25" t="s">
        <v>216</v>
      </c>
      <c r="D44" s="25" t="s">
        <v>217</v>
      </c>
      <c r="E44" s="26">
        <v>37445</v>
      </c>
      <c r="F44" s="27">
        <v>558.51</v>
      </c>
      <c r="G44" s="28">
        <v>1.01E-2</v>
      </c>
      <c r="H44" s="29"/>
    </row>
    <row r="45" spans="2:8" ht="15.75" customHeight="1" x14ac:dyDescent="0.2">
      <c r="B45" s="25" t="s">
        <v>422</v>
      </c>
      <c r="C45" s="25" t="s">
        <v>423</v>
      </c>
      <c r="D45" s="25" t="s">
        <v>148</v>
      </c>
      <c r="E45" s="26">
        <v>77805</v>
      </c>
      <c r="F45" s="27">
        <v>556.46</v>
      </c>
      <c r="G45" s="28">
        <v>1.01E-2</v>
      </c>
      <c r="H45" s="29"/>
    </row>
    <row r="46" spans="2:8" ht="15.75" customHeight="1" x14ac:dyDescent="0.2">
      <c r="B46" s="25" t="s">
        <v>424</v>
      </c>
      <c r="C46" s="25" t="s">
        <v>425</v>
      </c>
      <c r="D46" s="25" t="s">
        <v>220</v>
      </c>
      <c r="E46" s="26">
        <v>106081</v>
      </c>
      <c r="F46" s="27">
        <v>542.91999999999996</v>
      </c>
      <c r="G46" s="28">
        <v>9.7999999999999997E-3</v>
      </c>
      <c r="H46" s="29"/>
    </row>
    <row r="47" spans="2:8" ht="15.75" customHeight="1" x14ac:dyDescent="0.2">
      <c r="B47" s="25" t="s">
        <v>426</v>
      </c>
      <c r="C47" s="25" t="s">
        <v>427</v>
      </c>
      <c r="D47" s="25" t="s">
        <v>139</v>
      </c>
      <c r="E47" s="26">
        <v>97058</v>
      </c>
      <c r="F47" s="27">
        <v>499.17</v>
      </c>
      <c r="G47" s="28">
        <v>8.9999999999999993E-3</v>
      </c>
      <c r="H47" s="29"/>
    </row>
    <row r="48" spans="2:8" ht="15.75" customHeight="1" x14ac:dyDescent="0.2">
      <c r="B48" s="25" t="s">
        <v>355</v>
      </c>
      <c r="C48" s="25" t="s">
        <v>356</v>
      </c>
      <c r="D48" s="25" t="s">
        <v>136</v>
      </c>
      <c r="E48" s="26">
        <v>352538</v>
      </c>
      <c r="F48" s="27">
        <v>443.49</v>
      </c>
      <c r="G48" s="28">
        <v>8.0000000000000002E-3</v>
      </c>
      <c r="H48" s="29"/>
    </row>
    <row r="49" spans="2:8" ht="15.75" customHeight="1" x14ac:dyDescent="0.2">
      <c r="B49" s="25" t="s">
        <v>330</v>
      </c>
      <c r="C49" s="25" t="s">
        <v>331</v>
      </c>
      <c r="D49" s="25" t="s">
        <v>145</v>
      </c>
      <c r="E49" s="26">
        <v>16849</v>
      </c>
      <c r="F49" s="27">
        <v>426.45</v>
      </c>
      <c r="G49" s="28">
        <v>7.7000000000000002E-3</v>
      </c>
      <c r="H49" s="29"/>
    </row>
    <row r="50" spans="2:8" ht="15.75" customHeight="1" x14ac:dyDescent="0.2">
      <c r="B50" s="25" t="s">
        <v>428</v>
      </c>
      <c r="C50" s="25" t="s">
        <v>429</v>
      </c>
      <c r="D50" s="25" t="s">
        <v>212</v>
      </c>
      <c r="E50" s="26">
        <v>54757</v>
      </c>
      <c r="F50" s="27">
        <v>414.54</v>
      </c>
      <c r="G50" s="28">
        <v>7.4999999999999997E-3</v>
      </c>
      <c r="H50" s="29"/>
    </row>
    <row r="51" spans="2:8" ht="15.75" customHeight="1" x14ac:dyDescent="0.2">
      <c r="B51" s="25" t="s">
        <v>430</v>
      </c>
      <c r="C51" s="25" t="s">
        <v>431</v>
      </c>
      <c r="D51" s="25" t="s">
        <v>314</v>
      </c>
      <c r="E51" s="26">
        <v>31378</v>
      </c>
      <c r="F51" s="27">
        <v>389.68</v>
      </c>
      <c r="G51" s="28">
        <v>7.1000000000000004E-3</v>
      </c>
      <c r="H51" s="29"/>
    </row>
    <row r="52" spans="2:8" ht="15.75" customHeight="1" x14ac:dyDescent="0.2">
      <c r="B52" s="25" t="s">
        <v>432</v>
      </c>
      <c r="C52" s="25" t="s">
        <v>433</v>
      </c>
      <c r="D52" s="25" t="s">
        <v>139</v>
      </c>
      <c r="E52" s="26">
        <v>13377</v>
      </c>
      <c r="F52" s="27">
        <v>386.93</v>
      </c>
      <c r="G52" s="28">
        <v>7.0000000000000001E-3</v>
      </c>
      <c r="H52" s="29"/>
    </row>
    <row r="53" spans="2:8" ht="15.75" customHeight="1" x14ac:dyDescent="0.2">
      <c r="B53" s="25" t="s">
        <v>434</v>
      </c>
      <c r="C53" s="25" t="s">
        <v>435</v>
      </c>
      <c r="D53" s="25" t="s">
        <v>436</v>
      </c>
      <c r="E53" s="26">
        <v>64078</v>
      </c>
      <c r="F53" s="27">
        <v>370.08</v>
      </c>
      <c r="G53" s="28">
        <v>6.7000000000000002E-3</v>
      </c>
      <c r="H53" s="29"/>
    </row>
    <row r="54" spans="2:8" ht="15.75" customHeight="1" x14ac:dyDescent="0.2">
      <c r="B54" s="25" t="s">
        <v>437</v>
      </c>
      <c r="C54" s="25" t="s">
        <v>438</v>
      </c>
      <c r="D54" s="25" t="s">
        <v>187</v>
      </c>
      <c r="E54" s="26">
        <v>124232</v>
      </c>
      <c r="F54" s="27">
        <v>361.39</v>
      </c>
      <c r="G54" s="28">
        <v>6.6E-3</v>
      </c>
      <c r="H54" s="29"/>
    </row>
    <row r="55" spans="2:8" ht="15.75" customHeight="1" x14ac:dyDescent="0.2">
      <c r="B55" s="25" t="s">
        <v>439</v>
      </c>
      <c r="C55" s="25" t="s">
        <v>440</v>
      </c>
      <c r="D55" s="25" t="s">
        <v>297</v>
      </c>
      <c r="E55" s="26">
        <v>26451</v>
      </c>
      <c r="F55" s="27">
        <v>342.61</v>
      </c>
      <c r="G55" s="28">
        <v>6.1999999999999998E-3</v>
      </c>
      <c r="H55" s="29"/>
    </row>
    <row r="56" spans="2:8" ht="15.75" customHeight="1" x14ac:dyDescent="0.2">
      <c r="B56" s="25" t="s">
        <v>441</v>
      </c>
      <c r="C56" s="25" t="s">
        <v>442</v>
      </c>
      <c r="D56" s="25" t="s">
        <v>443</v>
      </c>
      <c r="E56" s="26">
        <v>50966</v>
      </c>
      <c r="F56" s="27">
        <v>287.12</v>
      </c>
      <c r="G56" s="28">
        <v>5.1999999999999998E-3</v>
      </c>
      <c r="H56" s="29"/>
    </row>
    <row r="57" spans="2:8" ht="15.75" customHeight="1" x14ac:dyDescent="0.2">
      <c r="B57" s="25" t="s">
        <v>444</v>
      </c>
      <c r="C57" s="25" t="s">
        <v>445</v>
      </c>
      <c r="D57" s="25" t="s">
        <v>187</v>
      </c>
      <c r="E57" s="26">
        <v>18378</v>
      </c>
      <c r="F57" s="27">
        <v>282.58</v>
      </c>
      <c r="G57" s="28">
        <v>5.1000000000000004E-3</v>
      </c>
      <c r="H57" s="29"/>
    </row>
    <row r="58" spans="2:8" ht="15.75" customHeight="1" x14ac:dyDescent="0.2">
      <c r="B58" s="25" t="s">
        <v>446</v>
      </c>
      <c r="C58" s="25" t="s">
        <v>447</v>
      </c>
      <c r="D58" s="25" t="s">
        <v>202</v>
      </c>
      <c r="E58" s="26">
        <v>15249</v>
      </c>
      <c r="F58" s="27">
        <v>276.91000000000003</v>
      </c>
      <c r="G58" s="28">
        <v>5.0000000000000001E-3</v>
      </c>
      <c r="H58" s="29"/>
    </row>
    <row r="59" spans="2:8" ht="15.75" customHeight="1" x14ac:dyDescent="0.2">
      <c r="B59" s="25" t="s">
        <v>151</v>
      </c>
      <c r="C59" s="25" t="s">
        <v>152</v>
      </c>
      <c r="D59" s="25" t="s">
        <v>139</v>
      </c>
      <c r="E59" s="26">
        <v>4749</v>
      </c>
      <c r="F59" s="27">
        <v>268.70999999999998</v>
      </c>
      <c r="G59" s="28">
        <v>4.8999999999999998E-3</v>
      </c>
      <c r="H59" s="29"/>
    </row>
    <row r="60" spans="2:8" ht="15.75" customHeight="1" x14ac:dyDescent="0.2">
      <c r="B60" s="25" t="s">
        <v>317</v>
      </c>
      <c r="C60" s="25" t="s">
        <v>318</v>
      </c>
      <c r="D60" s="25" t="s">
        <v>319</v>
      </c>
      <c r="E60" s="26">
        <v>18613</v>
      </c>
      <c r="F60" s="27">
        <v>268.17</v>
      </c>
      <c r="G60" s="28">
        <v>4.8999999999999998E-3</v>
      </c>
      <c r="H60" s="29"/>
    </row>
    <row r="61" spans="2:8" ht="15.75" customHeight="1" x14ac:dyDescent="0.2">
      <c r="B61" s="24" t="s">
        <v>104</v>
      </c>
      <c r="C61" s="24"/>
      <c r="D61" s="24"/>
      <c r="E61" s="30"/>
      <c r="F61" s="31">
        <v>41913.24</v>
      </c>
      <c r="G61" s="32">
        <v>0.75980000000000003</v>
      </c>
      <c r="H61" s="33"/>
    </row>
    <row r="62" spans="2:8" ht="15.75" customHeight="1" x14ac:dyDescent="0.2">
      <c r="B62" s="24" t="s">
        <v>156</v>
      </c>
      <c r="C62" s="25"/>
      <c r="D62" s="25"/>
      <c r="E62" s="26"/>
      <c r="F62" s="27"/>
      <c r="G62" s="28"/>
      <c r="H62" s="29"/>
    </row>
    <row r="63" spans="2:8" ht="15.75" customHeight="1" x14ac:dyDescent="0.2">
      <c r="B63" s="24" t="s">
        <v>104</v>
      </c>
      <c r="C63" s="25"/>
      <c r="D63" s="25"/>
      <c r="E63" s="26"/>
      <c r="F63" s="34" t="s">
        <v>106</v>
      </c>
      <c r="G63" s="35" t="s">
        <v>106</v>
      </c>
      <c r="H63" s="29"/>
    </row>
    <row r="64" spans="2:8" ht="15.75" customHeight="1" x14ac:dyDescent="0.2">
      <c r="B64" s="25"/>
      <c r="C64" s="25"/>
      <c r="D64" s="25"/>
      <c r="E64" s="26"/>
      <c r="F64" s="27"/>
      <c r="G64" s="28"/>
      <c r="H64" s="29"/>
    </row>
    <row r="65" spans="2:14" ht="15.75" customHeight="1" x14ac:dyDescent="0.2">
      <c r="B65" s="36" t="s">
        <v>108</v>
      </c>
      <c r="C65" s="36"/>
      <c r="D65" s="36"/>
      <c r="E65" s="37"/>
      <c r="F65" s="31">
        <v>41913.24</v>
      </c>
      <c r="G65" s="32">
        <v>0.75980000000000003</v>
      </c>
      <c r="H65" s="33"/>
    </row>
    <row r="66" spans="2:14" ht="15.75" customHeight="1" x14ac:dyDescent="0.2">
      <c r="B66" s="25"/>
      <c r="C66" s="25"/>
      <c r="D66" s="25"/>
      <c r="E66" s="26"/>
      <c r="F66" s="27"/>
      <c r="G66" s="28"/>
      <c r="H66" s="29"/>
    </row>
    <row r="67" spans="2:14" ht="15.75" customHeight="1" x14ac:dyDescent="0.2">
      <c r="B67" s="24" t="s">
        <v>93</v>
      </c>
      <c r="C67" s="25"/>
      <c r="D67" s="25"/>
      <c r="E67" s="26"/>
      <c r="F67" s="27"/>
      <c r="G67" s="28"/>
      <c r="H67" s="29"/>
    </row>
    <row r="68" spans="2:14" ht="15.75" customHeight="1" x14ac:dyDescent="0.2">
      <c r="B68" s="24" t="s">
        <v>94</v>
      </c>
      <c r="C68" s="25"/>
      <c r="D68" s="25"/>
      <c r="E68" s="26"/>
      <c r="F68" s="27"/>
      <c r="G68" s="28"/>
      <c r="H68" s="29"/>
      <c r="J68" s="3"/>
    </row>
    <row r="69" spans="2:14" ht="15.75" customHeight="1" x14ac:dyDescent="0.2">
      <c r="B69" s="25" t="s">
        <v>97</v>
      </c>
      <c r="C69" s="25" t="s">
        <v>117</v>
      </c>
      <c r="D69" s="25" t="s">
        <v>96</v>
      </c>
      <c r="E69" s="26">
        <v>2500000</v>
      </c>
      <c r="F69" s="27">
        <v>2545.09</v>
      </c>
      <c r="G69" s="28">
        <v>4.6100000000000002E-2</v>
      </c>
      <c r="H69" s="29">
        <v>7.1045999999999998E-2</v>
      </c>
    </row>
    <row r="70" spans="2:14" ht="15.75" customHeight="1" x14ac:dyDescent="0.2">
      <c r="B70" s="25" t="s">
        <v>448</v>
      </c>
      <c r="C70" s="25" t="s">
        <v>449</v>
      </c>
      <c r="D70" s="25" t="s">
        <v>96</v>
      </c>
      <c r="E70" s="26">
        <v>1500000</v>
      </c>
      <c r="F70" s="27">
        <v>1566.69</v>
      </c>
      <c r="G70" s="28">
        <v>2.8400000000000002E-2</v>
      </c>
      <c r="H70" s="29">
        <v>7.4290999999999996E-2</v>
      </c>
      <c r="J70" s="3"/>
    </row>
    <row r="71" spans="2:14" ht="15.75" customHeight="1" x14ac:dyDescent="0.2">
      <c r="B71" s="25" t="s">
        <v>97</v>
      </c>
      <c r="C71" s="25" t="s">
        <v>98</v>
      </c>
      <c r="D71" s="25" t="s">
        <v>96</v>
      </c>
      <c r="E71" s="26">
        <v>1000000</v>
      </c>
      <c r="F71" s="27">
        <v>1047.71</v>
      </c>
      <c r="G71" s="28">
        <v>1.9E-2</v>
      </c>
      <c r="H71" s="29">
        <v>7.0832000000000006E-2</v>
      </c>
      <c r="J71" s="3"/>
    </row>
    <row r="72" spans="2:14" ht="15.75" customHeight="1" x14ac:dyDescent="0.2">
      <c r="B72" s="25" t="s">
        <v>450</v>
      </c>
      <c r="C72" s="25" t="s">
        <v>451</v>
      </c>
      <c r="D72" s="25" t="s">
        <v>96</v>
      </c>
      <c r="E72" s="26">
        <v>1000000</v>
      </c>
      <c r="F72" s="27">
        <v>1044.8800000000001</v>
      </c>
      <c r="G72" s="28">
        <v>1.89E-2</v>
      </c>
      <c r="H72" s="29">
        <v>7.4203000000000005E-2</v>
      </c>
      <c r="J72" s="3"/>
    </row>
    <row r="73" spans="2:14" ht="15.75" customHeight="1" x14ac:dyDescent="0.2">
      <c r="B73" s="25" t="s">
        <v>452</v>
      </c>
      <c r="C73" s="25" t="s">
        <v>453</v>
      </c>
      <c r="D73" s="25" t="s">
        <v>96</v>
      </c>
      <c r="E73" s="26">
        <v>665600</v>
      </c>
      <c r="F73" s="27">
        <v>682.46</v>
      </c>
      <c r="G73" s="28">
        <v>1.24E-2</v>
      </c>
      <c r="H73" s="29">
        <v>7.4365000000000001E-2</v>
      </c>
      <c r="J73" s="3"/>
    </row>
    <row r="74" spans="2:14" ht="15.75" customHeight="1" x14ac:dyDescent="0.2">
      <c r="B74" s="25" t="s">
        <v>157</v>
      </c>
      <c r="C74" s="25" t="s">
        <v>158</v>
      </c>
      <c r="D74" s="25" t="s">
        <v>96</v>
      </c>
      <c r="E74" s="26">
        <v>650000</v>
      </c>
      <c r="F74" s="27">
        <v>664.65</v>
      </c>
      <c r="G74" s="28">
        <v>1.2E-2</v>
      </c>
      <c r="H74" s="29">
        <v>6.9443000000000005E-2</v>
      </c>
      <c r="J74" s="3"/>
    </row>
    <row r="75" spans="2:14" ht="15.75" customHeight="1" x14ac:dyDescent="0.2">
      <c r="B75" s="25" t="s">
        <v>163</v>
      </c>
      <c r="C75" s="25" t="s">
        <v>164</v>
      </c>
      <c r="D75" s="25" t="s">
        <v>96</v>
      </c>
      <c r="E75" s="26">
        <v>550000</v>
      </c>
      <c r="F75" s="27">
        <v>565.29</v>
      </c>
      <c r="G75" s="28">
        <v>1.0200000000000001E-2</v>
      </c>
      <c r="H75" s="29">
        <v>7.2519E-2</v>
      </c>
      <c r="J75" s="5"/>
      <c r="K75" s="5"/>
      <c r="L75" s="6"/>
      <c r="M75" s="6"/>
      <c r="N75" s="5"/>
    </row>
    <row r="76" spans="2:14" ht="15.75" customHeight="1" x14ac:dyDescent="0.2">
      <c r="B76" s="25" t="s">
        <v>454</v>
      </c>
      <c r="C76" s="25" t="s">
        <v>455</v>
      </c>
      <c r="D76" s="25" t="s">
        <v>96</v>
      </c>
      <c r="E76" s="26">
        <v>500000</v>
      </c>
      <c r="F76" s="27">
        <v>525.51</v>
      </c>
      <c r="G76" s="28">
        <v>9.4999999999999998E-3</v>
      </c>
      <c r="H76" s="29">
        <v>7.3622000000000007E-2</v>
      </c>
    </row>
    <row r="77" spans="2:14" ht="15.75" customHeight="1" x14ac:dyDescent="0.2">
      <c r="B77" s="25" t="s">
        <v>95</v>
      </c>
      <c r="C77" s="25" t="s">
        <v>456</v>
      </c>
      <c r="D77" s="25" t="s">
        <v>96</v>
      </c>
      <c r="E77" s="26">
        <v>500000</v>
      </c>
      <c r="F77" s="27">
        <v>522.79</v>
      </c>
      <c r="G77" s="28">
        <v>9.4999999999999998E-3</v>
      </c>
      <c r="H77" s="29">
        <v>7.4203000000000005E-2</v>
      </c>
    </row>
    <row r="78" spans="2:14" ht="15.75" customHeight="1" x14ac:dyDescent="0.2">
      <c r="B78" s="25" t="s">
        <v>126</v>
      </c>
      <c r="C78" s="25" t="s">
        <v>127</v>
      </c>
      <c r="D78" s="25" t="s">
        <v>103</v>
      </c>
      <c r="E78" s="26">
        <v>50</v>
      </c>
      <c r="F78" s="27">
        <v>522.41999999999996</v>
      </c>
      <c r="G78" s="28">
        <v>9.4999999999999998E-3</v>
      </c>
      <c r="H78" s="29">
        <v>7.5175000000000006E-2</v>
      </c>
      <c r="J78" s="7"/>
      <c r="K78" s="7"/>
      <c r="L78" s="7"/>
      <c r="M78" s="7"/>
      <c r="N78" s="7"/>
    </row>
    <row r="79" spans="2:14" ht="15.75" customHeight="1" x14ac:dyDescent="0.2">
      <c r="B79" s="25" t="s">
        <v>457</v>
      </c>
      <c r="C79" s="25" t="s">
        <v>458</v>
      </c>
      <c r="D79" s="25" t="s">
        <v>96</v>
      </c>
      <c r="E79" s="26">
        <v>500000</v>
      </c>
      <c r="F79" s="27">
        <v>521.71</v>
      </c>
      <c r="G79" s="28">
        <v>9.4999999999999998E-3</v>
      </c>
      <c r="H79" s="29">
        <v>7.1065000000000003E-2</v>
      </c>
      <c r="J79" s="7"/>
      <c r="K79" s="7"/>
      <c r="L79" s="7"/>
      <c r="M79" s="7"/>
      <c r="N79" s="7"/>
    </row>
    <row r="80" spans="2:14" ht="15.75" customHeight="1" x14ac:dyDescent="0.2">
      <c r="B80" s="25" t="s">
        <v>124</v>
      </c>
      <c r="C80" s="25" t="s">
        <v>125</v>
      </c>
      <c r="D80" s="25" t="s">
        <v>103</v>
      </c>
      <c r="E80" s="26">
        <v>50</v>
      </c>
      <c r="F80" s="27">
        <v>516.52</v>
      </c>
      <c r="G80" s="28">
        <v>9.4000000000000004E-3</v>
      </c>
      <c r="H80" s="29">
        <v>7.6550000000000007E-2</v>
      </c>
      <c r="J80" s="7"/>
      <c r="K80" s="7"/>
      <c r="L80" s="7"/>
      <c r="M80" s="7"/>
      <c r="N80" s="7"/>
    </row>
    <row r="81" spans="2:14" ht="15.75" customHeight="1" x14ac:dyDescent="0.2">
      <c r="B81" s="25" t="s">
        <v>459</v>
      </c>
      <c r="C81" s="25" t="s">
        <v>460</v>
      </c>
      <c r="D81" s="25" t="s">
        <v>103</v>
      </c>
      <c r="E81" s="26">
        <v>500</v>
      </c>
      <c r="F81" s="27">
        <v>513.26</v>
      </c>
      <c r="G81" s="28">
        <v>9.2999999999999992E-3</v>
      </c>
      <c r="H81" s="29">
        <v>7.5050000000000006E-2</v>
      </c>
      <c r="J81" s="7"/>
      <c r="K81" s="7"/>
      <c r="L81" s="7"/>
      <c r="M81" s="7"/>
      <c r="N81" s="7"/>
    </row>
    <row r="82" spans="2:14" ht="15.75" customHeight="1" x14ac:dyDescent="0.2">
      <c r="B82" s="25" t="s">
        <v>461</v>
      </c>
      <c r="C82" s="25" t="s">
        <v>462</v>
      </c>
      <c r="D82" s="25" t="s">
        <v>96</v>
      </c>
      <c r="E82" s="26">
        <v>500000</v>
      </c>
      <c r="F82" s="27">
        <v>479.36</v>
      </c>
      <c r="G82" s="28">
        <v>8.6999999999999994E-3</v>
      </c>
      <c r="H82" s="29">
        <v>7.0361999999999994E-2</v>
      </c>
      <c r="J82" s="7"/>
      <c r="K82" s="7"/>
      <c r="L82" s="7"/>
      <c r="M82" s="7"/>
      <c r="N82" s="7"/>
    </row>
    <row r="83" spans="2:14" ht="15.75" customHeight="1" x14ac:dyDescent="0.2">
      <c r="B83" s="25" t="s">
        <v>118</v>
      </c>
      <c r="C83" s="25" t="s">
        <v>119</v>
      </c>
      <c r="D83" s="25" t="s">
        <v>96</v>
      </c>
      <c r="E83" s="26">
        <v>250000</v>
      </c>
      <c r="F83" s="27">
        <v>259.62</v>
      </c>
      <c r="G83" s="28">
        <v>4.7000000000000002E-3</v>
      </c>
      <c r="H83" s="29">
        <v>7.1790000000000007E-2</v>
      </c>
      <c r="J83" s="7"/>
      <c r="K83" s="7"/>
      <c r="L83" s="7"/>
      <c r="M83" s="7"/>
      <c r="N83" s="7"/>
    </row>
    <row r="84" spans="2:14" ht="15.75" customHeight="1" x14ac:dyDescent="0.2">
      <c r="B84" s="25" t="s">
        <v>120</v>
      </c>
      <c r="C84" s="25" t="s">
        <v>121</v>
      </c>
      <c r="D84" s="25" t="s">
        <v>96</v>
      </c>
      <c r="E84" s="26">
        <v>250000</v>
      </c>
      <c r="F84" s="27">
        <v>257.5</v>
      </c>
      <c r="G84" s="28">
        <v>4.7000000000000002E-3</v>
      </c>
      <c r="H84" s="29">
        <v>7.2220000000000006E-2</v>
      </c>
      <c r="J84" s="7"/>
      <c r="K84" s="7"/>
      <c r="L84" s="7"/>
      <c r="M84" s="7"/>
      <c r="N84" s="7"/>
    </row>
    <row r="85" spans="2:14" ht="15.75" customHeight="1" x14ac:dyDescent="0.2">
      <c r="B85" s="25" t="s">
        <v>122</v>
      </c>
      <c r="C85" s="25" t="s">
        <v>161</v>
      </c>
      <c r="D85" s="25" t="s">
        <v>96</v>
      </c>
      <c r="E85" s="26">
        <v>50000</v>
      </c>
      <c r="F85" s="27">
        <v>52.55</v>
      </c>
      <c r="G85" s="28">
        <v>1E-3</v>
      </c>
      <c r="H85" s="29">
        <v>7.0674000000000001E-2</v>
      </c>
    </row>
    <row r="86" spans="2:14" ht="15.75" customHeight="1" x14ac:dyDescent="0.2">
      <c r="B86" s="25" t="s">
        <v>167</v>
      </c>
      <c r="C86" s="25" t="s">
        <v>168</v>
      </c>
      <c r="D86" s="25" t="s">
        <v>103</v>
      </c>
      <c r="E86" s="26">
        <v>36000</v>
      </c>
      <c r="F86" s="27">
        <v>1.86</v>
      </c>
      <c r="G86" s="28" t="s">
        <v>463</v>
      </c>
      <c r="H86" s="29">
        <v>7.4349999999999999E-2</v>
      </c>
      <c r="J86" s="3"/>
    </row>
    <row r="87" spans="2:14" ht="15.75" customHeight="1" x14ac:dyDescent="0.2">
      <c r="B87" s="24" t="s">
        <v>104</v>
      </c>
      <c r="C87" s="24"/>
      <c r="D87" s="24"/>
      <c r="E87" s="30"/>
      <c r="F87" s="31">
        <v>12289.87</v>
      </c>
      <c r="G87" s="32">
        <v>0.2228</v>
      </c>
      <c r="H87" s="33"/>
    </row>
    <row r="88" spans="2:14" ht="15.75" customHeight="1" x14ac:dyDescent="0.2">
      <c r="B88" s="25"/>
      <c r="C88" s="25"/>
      <c r="D88" s="25"/>
      <c r="E88" s="26"/>
      <c r="F88" s="27"/>
      <c r="G88" s="28"/>
      <c r="H88" s="29"/>
    </row>
    <row r="89" spans="2:14" ht="15.75" customHeight="1" x14ac:dyDescent="0.2">
      <c r="B89" s="24" t="s">
        <v>105</v>
      </c>
      <c r="C89" s="25"/>
      <c r="D89" s="25"/>
      <c r="E89" s="26"/>
      <c r="F89" s="27"/>
      <c r="G89" s="28"/>
      <c r="H89" s="29"/>
    </row>
    <row r="90" spans="2:14" ht="15.75" customHeight="1" x14ac:dyDescent="0.2">
      <c r="B90" s="24" t="s">
        <v>104</v>
      </c>
      <c r="C90" s="25"/>
      <c r="D90" s="25"/>
      <c r="E90" s="26"/>
      <c r="F90" s="34" t="s">
        <v>106</v>
      </c>
      <c r="G90" s="35" t="s">
        <v>106</v>
      </c>
      <c r="H90" s="29"/>
    </row>
    <row r="91" spans="2:14" ht="15.75" customHeight="1" x14ac:dyDescent="0.2">
      <c r="B91" s="25"/>
      <c r="C91" s="25"/>
      <c r="D91" s="25"/>
      <c r="E91" s="26"/>
      <c r="F91" s="27"/>
      <c r="G91" s="28"/>
      <c r="H91" s="29"/>
    </row>
    <row r="92" spans="2:14" ht="15.75" customHeight="1" x14ac:dyDescent="0.2">
      <c r="B92" s="24" t="s">
        <v>107</v>
      </c>
      <c r="C92" s="25"/>
      <c r="D92" s="25"/>
      <c r="E92" s="26"/>
      <c r="F92" s="27"/>
      <c r="G92" s="28"/>
      <c r="H92" s="29"/>
    </row>
    <row r="93" spans="2:14" ht="15.75" customHeight="1" x14ac:dyDescent="0.2">
      <c r="B93" s="24" t="s">
        <v>104</v>
      </c>
      <c r="C93" s="25"/>
      <c r="D93" s="25"/>
      <c r="E93" s="26"/>
      <c r="F93" s="34" t="s">
        <v>106</v>
      </c>
      <c r="G93" s="35" t="s">
        <v>106</v>
      </c>
      <c r="H93" s="29"/>
    </row>
    <row r="94" spans="2:14" ht="15.75" customHeight="1" x14ac:dyDescent="0.2">
      <c r="B94" s="25"/>
      <c r="C94" s="25"/>
      <c r="D94" s="25"/>
      <c r="E94" s="26"/>
      <c r="F94" s="27"/>
      <c r="G94" s="28"/>
      <c r="H94" s="29"/>
    </row>
    <row r="95" spans="2:14" ht="15.75" customHeight="1" x14ac:dyDescent="0.2">
      <c r="B95" s="36" t="s">
        <v>108</v>
      </c>
      <c r="C95" s="36"/>
      <c r="D95" s="36"/>
      <c r="E95" s="37"/>
      <c r="F95" s="31">
        <v>12289.87</v>
      </c>
      <c r="G95" s="32">
        <v>0.2228</v>
      </c>
      <c r="H95" s="33"/>
    </row>
    <row r="96" spans="2:14" ht="15.75" customHeight="1" x14ac:dyDescent="0.2">
      <c r="B96" s="25"/>
      <c r="C96" s="25"/>
      <c r="D96" s="25"/>
      <c r="E96" s="26"/>
      <c r="F96" s="27"/>
      <c r="G96" s="28"/>
      <c r="H96" s="29"/>
    </row>
    <row r="97" spans="2:8" ht="15.75" customHeight="1" x14ac:dyDescent="0.2">
      <c r="B97" s="25"/>
      <c r="C97" s="25"/>
      <c r="D97" s="25"/>
      <c r="E97" s="26"/>
      <c r="F97" s="27"/>
      <c r="G97" s="28"/>
      <c r="H97" s="29"/>
    </row>
    <row r="98" spans="2:8" ht="15.75" customHeight="1" x14ac:dyDescent="0.2">
      <c r="B98" s="24" t="s">
        <v>111</v>
      </c>
      <c r="C98" s="25"/>
      <c r="D98" s="25"/>
      <c r="E98" s="26"/>
      <c r="F98" s="27"/>
      <c r="G98" s="28"/>
      <c r="H98" s="29"/>
    </row>
    <row r="99" spans="2:8" ht="15.75" customHeight="1" x14ac:dyDescent="0.2">
      <c r="B99" s="25" t="s">
        <v>112</v>
      </c>
      <c r="C99" s="25"/>
      <c r="D99" s="25"/>
      <c r="E99" s="26"/>
      <c r="F99" s="27">
        <v>1269.8800000000001</v>
      </c>
      <c r="G99" s="28">
        <v>2.3E-2</v>
      </c>
      <c r="H99" s="29"/>
    </row>
    <row r="100" spans="2:8" ht="15.75" customHeight="1" x14ac:dyDescent="0.2">
      <c r="B100" s="24" t="s">
        <v>104</v>
      </c>
      <c r="C100" s="24"/>
      <c r="D100" s="24"/>
      <c r="E100" s="30"/>
      <c r="F100" s="31">
        <v>1269.8800000000001</v>
      </c>
      <c r="G100" s="32">
        <v>2.3E-2</v>
      </c>
      <c r="H100" s="33"/>
    </row>
    <row r="101" spans="2:8" ht="15.75" customHeight="1" x14ac:dyDescent="0.2">
      <c r="B101" s="25"/>
      <c r="C101" s="25"/>
      <c r="D101" s="25"/>
      <c r="E101" s="26"/>
      <c r="F101" s="27"/>
      <c r="G101" s="28"/>
      <c r="H101" s="29"/>
    </row>
    <row r="102" spans="2:8" ht="15.75" customHeight="1" x14ac:dyDescent="0.2">
      <c r="B102" s="36" t="s">
        <v>108</v>
      </c>
      <c r="C102" s="36"/>
      <c r="D102" s="36"/>
      <c r="E102" s="37"/>
      <c r="F102" s="31">
        <v>1269.8800000000001</v>
      </c>
      <c r="G102" s="32">
        <v>2.3E-2</v>
      </c>
      <c r="H102" s="33"/>
    </row>
    <row r="103" spans="2:8" ht="15.75" customHeight="1" x14ac:dyDescent="0.2">
      <c r="B103" s="25" t="s">
        <v>113</v>
      </c>
      <c r="C103" s="25"/>
      <c r="D103" s="25"/>
      <c r="E103" s="26"/>
      <c r="F103" s="38">
        <v>-313.67</v>
      </c>
      <c r="G103" s="39">
        <v>-5.6000000000000494E-3</v>
      </c>
      <c r="H103" s="29"/>
    </row>
    <row r="104" spans="2:8" ht="15.75" customHeight="1" x14ac:dyDescent="0.2">
      <c r="B104" s="40" t="s">
        <v>114</v>
      </c>
      <c r="C104" s="40"/>
      <c r="D104" s="40"/>
      <c r="E104" s="41"/>
      <c r="F104" s="42">
        <v>55159.32</v>
      </c>
      <c r="G104" s="43">
        <v>1</v>
      </c>
      <c r="H104" s="44"/>
    </row>
    <row r="105" spans="2:8" ht="15.75" customHeight="1" x14ac:dyDescent="0.2">
      <c r="B105" s="2"/>
    </row>
    <row r="106" spans="2:8" ht="15.75" customHeight="1" x14ac:dyDescent="0.2">
      <c r="B106" s="12" t="s">
        <v>464</v>
      </c>
    </row>
    <row r="107" spans="2:8" ht="15.75" customHeight="1" x14ac:dyDescent="0.2">
      <c r="B107" s="12" t="s">
        <v>115</v>
      </c>
    </row>
    <row r="108" spans="2:8" ht="15.75" customHeight="1" thickBot="1" x14ac:dyDescent="0.25"/>
    <row r="109" spans="2:8" ht="27" customHeight="1" thickBot="1" x14ac:dyDescent="0.25">
      <c r="B109" s="56" t="s">
        <v>1009</v>
      </c>
      <c r="C109" s="57" t="s">
        <v>1010</v>
      </c>
      <c r="D109" s="57" t="s">
        <v>1011</v>
      </c>
      <c r="E109" s="62" t="s">
        <v>1012</v>
      </c>
      <c r="G109" s="2"/>
      <c r="H109" s="2"/>
    </row>
    <row r="110" spans="2:8" ht="35.25" customHeight="1" x14ac:dyDescent="0.2">
      <c r="B110" s="63" t="s">
        <v>11</v>
      </c>
      <c r="C110" s="90"/>
      <c r="D110" s="87" t="s">
        <v>1027</v>
      </c>
      <c r="E110" s="88"/>
      <c r="G110" s="2"/>
      <c r="H110" s="2"/>
    </row>
    <row r="111" spans="2:8" ht="18.75" customHeight="1" x14ac:dyDescent="0.2">
      <c r="B111" s="65" t="s">
        <v>1028</v>
      </c>
      <c r="C111" s="81"/>
      <c r="D111" s="87"/>
      <c r="E111" s="84"/>
      <c r="G111" s="2"/>
      <c r="H111" s="2"/>
    </row>
    <row r="112" spans="2:8" ht="36.75" customHeight="1" x14ac:dyDescent="0.2">
      <c r="B112" s="65" t="s">
        <v>1029</v>
      </c>
      <c r="C112" s="81"/>
      <c r="D112" s="87"/>
      <c r="E112" s="84"/>
      <c r="G112" s="2"/>
      <c r="H112" s="2"/>
    </row>
    <row r="113" spans="2:8" ht="20.100000000000001" customHeight="1" thickBot="1" x14ac:dyDescent="0.25">
      <c r="B113" s="67" t="s">
        <v>1030</v>
      </c>
      <c r="C113" s="91"/>
      <c r="D113" s="70" t="s">
        <v>1030</v>
      </c>
      <c r="E113" s="89"/>
      <c r="G113" s="2"/>
      <c r="H113" s="2"/>
    </row>
    <row r="114" spans="2:8" ht="24.95" customHeight="1" x14ac:dyDescent="0.2">
      <c r="B114" s="58" t="s">
        <v>1014</v>
      </c>
      <c r="C114" s="59"/>
      <c r="D114" s="60"/>
      <c r="E114" s="61"/>
      <c r="G114" s="2"/>
      <c r="H114" s="2"/>
    </row>
    <row r="116" spans="2:8" ht="12" x14ac:dyDescent="0.2">
      <c r="B116" s="2" t="s">
        <v>1015</v>
      </c>
      <c r="C116" s="2"/>
      <c r="D116" s="2"/>
      <c r="G116" s="2"/>
      <c r="H116" s="2"/>
    </row>
    <row r="117" spans="2:8" ht="12" x14ac:dyDescent="0.2">
      <c r="B117" s="3" t="s">
        <v>1016</v>
      </c>
      <c r="C117" s="2"/>
      <c r="D117" s="2"/>
      <c r="G117" s="2"/>
      <c r="H117" s="2"/>
    </row>
  </sheetData>
  <mergeCells count="3">
    <mergeCell ref="C110:C113"/>
    <mergeCell ref="D110:D112"/>
    <mergeCell ref="E110:E113"/>
  </mergeCells>
  <hyperlinks>
    <hyperlink ref="G1" location="'Sheet1'!A1" display="Index" xr:uid="{FCFB83D6-D422-44A2-90BE-CFED9BD31EFC}"/>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1D026-E0D2-4708-9C73-6D5351D34432}">
  <dimension ref="B1:N86"/>
  <sheetViews>
    <sheetView workbookViewId="0"/>
  </sheetViews>
  <sheetFormatPr defaultColWidth="9.140625" defaultRowHeight="15.75" customHeight="1" x14ac:dyDescent="0.2"/>
  <cols>
    <col min="1" max="1" width="3.5703125" style="2" customWidth="1"/>
    <col min="2" max="2" width="50.42578125" style="9" customWidth="1"/>
    <col min="3" max="3" width="28.42578125" style="9" customWidth="1"/>
    <col min="4" max="4" width="26.5703125" style="9" customWidth="1"/>
    <col min="5" max="5" width="30.42578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132</v>
      </c>
      <c r="C5" s="19"/>
      <c r="D5" s="19"/>
      <c r="E5" s="20"/>
      <c r="F5" s="21"/>
      <c r="G5" s="22"/>
      <c r="H5" s="23"/>
    </row>
    <row r="6" spans="2:8" ht="15.75" customHeight="1" x14ac:dyDescent="0.2">
      <c r="B6" s="24" t="s">
        <v>133</v>
      </c>
      <c r="C6" s="25"/>
      <c r="D6" s="25"/>
      <c r="E6" s="26"/>
      <c r="F6" s="27"/>
      <c r="G6" s="28"/>
      <c r="H6" s="29"/>
    </row>
    <row r="7" spans="2:8" ht="15.75" customHeight="1" x14ac:dyDescent="0.2">
      <c r="B7" s="25" t="s">
        <v>149</v>
      </c>
      <c r="C7" s="25" t="s">
        <v>150</v>
      </c>
      <c r="D7" s="25" t="s">
        <v>136</v>
      </c>
      <c r="E7" s="26">
        <v>398905</v>
      </c>
      <c r="F7" s="27">
        <v>6445.31</v>
      </c>
      <c r="G7" s="28">
        <v>0.2177</v>
      </c>
      <c r="H7" s="29"/>
    </row>
    <row r="8" spans="2:8" ht="15.75" customHeight="1" x14ac:dyDescent="0.2">
      <c r="B8" s="25" t="s">
        <v>134</v>
      </c>
      <c r="C8" s="25" t="s">
        <v>135</v>
      </c>
      <c r="D8" s="25" t="s">
        <v>136</v>
      </c>
      <c r="E8" s="26">
        <v>307998</v>
      </c>
      <c r="F8" s="27">
        <v>3741.87</v>
      </c>
      <c r="G8" s="28">
        <v>0.12640000000000001</v>
      </c>
      <c r="H8" s="29"/>
    </row>
    <row r="9" spans="2:8" ht="15.75" customHeight="1" x14ac:dyDescent="0.2">
      <c r="B9" s="25" t="s">
        <v>291</v>
      </c>
      <c r="C9" s="25" t="s">
        <v>292</v>
      </c>
      <c r="D9" s="25" t="s">
        <v>136</v>
      </c>
      <c r="E9" s="26">
        <v>176868</v>
      </c>
      <c r="F9" s="27">
        <v>2062.46</v>
      </c>
      <c r="G9" s="28">
        <v>6.9699999999999998E-2</v>
      </c>
      <c r="H9" s="29"/>
    </row>
    <row r="10" spans="2:8" ht="15.75" customHeight="1" x14ac:dyDescent="0.2">
      <c r="B10" s="25" t="s">
        <v>287</v>
      </c>
      <c r="C10" s="25" t="s">
        <v>288</v>
      </c>
      <c r="D10" s="25" t="s">
        <v>136</v>
      </c>
      <c r="E10" s="26">
        <v>201860</v>
      </c>
      <c r="F10" s="27">
        <v>1761.03</v>
      </c>
      <c r="G10" s="28">
        <v>5.9499999999999997E-2</v>
      </c>
      <c r="H10" s="29"/>
    </row>
    <row r="11" spans="2:8" ht="15.75" customHeight="1" x14ac:dyDescent="0.2">
      <c r="B11" s="25" t="s">
        <v>326</v>
      </c>
      <c r="C11" s="25" t="s">
        <v>327</v>
      </c>
      <c r="D11" s="25" t="s">
        <v>212</v>
      </c>
      <c r="E11" s="26">
        <v>200878</v>
      </c>
      <c r="F11" s="27">
        <v>1118.49</v>
      </c>
      <c r="G11" s="28">
        <v>3.78E-2</v>
      </c>
      <c r="H11" s="29"/>
    </row>
    <row r="12" spans="2:8" ht="15.75" customHeight="1" x14ac:dyDescent="0.2">
      <c r="B12" s="25" t="s">
        <v>348</v>
      </c>
      <c r="C12" s="25" t="s">
        <v>349</v>
      </c>
      <c r="D12" s="25" t="s">
        <v>212</v>
      </c>
      <c r="E12" s="26">
        <v>74502</v>
      </c>
      <c r="F12" s="27">
        <v>989.13</v>
      </c>
      <c r="G12" s="28">
        <v>3.3399999999999999E-2</v>
      </c>
      <c r="H12" s="29"/>
    </row>
    <row r="13" spans="2:8" ht="15.75" customHeight="1" x14ac:dyDescent="0.2">
      <c r="B13" s="25" t="s">
        <v>250</v>
      </c>
      <c r="C13" s="25" t="s">
        <v>251</v>
      </c>
      <c r="D13" s="25" t="s">
        <v>212</v>
      </c>
      <c r="E13" s="26">
        <v>536756</v>
      </c>
      <c r="F13" s="27">
        <v>965.57</v>
      </c>
      <c r="G13" s="28">
        <v>3.2599999999999997E-2</v>
      </c>
      <c r="H13" s="29"/>
    </row>
    <row r="14" spans="2:8" ht="15.75" customHeight="1" x14ac:dyDescent="0.2">
      <c r="B14" s="25" t="s">
        <v>289</v>
      </c>
      <c r="C14" s="25" t="s">
        <v>290</v>
      </c>
      <c r="D14" s="25" t="s">
        <v>136</v>
      </c>
      <c r="E14" s="26">
        <v>49613</v>
      </c>
      <c r="F14" s="27">
        <v>896.95</v>
      </c>
      <c r="G14" s="28">
        <v>3.0300000000000001E-2</v>
      </c>
      <c r="H14" s="29"/>
    </row>
    <row r="15" spans="2:8" ht="15.75" customHeight="1" x14ac:dyDescent="0.2">
      <c r="B15" s="25" t="s">
        <v>221</v>
      </c>
      <c r="C15" s="25" t="s">
        <v>222</v>
      </c>
      <c r="D15" s="25" t="s">
        <v>212</v>
      </c>
      <c r="E15" s="26">
        <v>85634</v>
      </c>
      <c r="F15" s="27">
        <v>891.88</v>
      </c>
      <c r="G15" s="28">
        <v>3.0099999999999998E-2</v>
      </c>
      <c r="H15" s="29"/>
    </row>
    <row r="16" spans="2:8" ht="15.75" customHeight="1" x14ac:dyDescent="0.2">
      <c r="B16" s="25" t="s">
        <v>324</v>
      </c>
      <c r="C16" s="25" t="s">
        <v>325</v>
      </c>
      <c r="D16" s="25" t="s">
        <v>136</v>
      </c>
      <c r="E16" s="26">
        <v>62294</v>
      </c>
      <c r="F16" s="27">
        <v>889.43</v>
      </c>
      <c r="G16" s="28">
        <v>0.03</v>
      </c>
      <c r="H16" s="29"/>
    </row>
    <row r="17" spans="2:8" ht="15.75" customHeight="1" x14ac:dyDescent="0.2">
      <c r="B17" s="25" t="s">
        <v>465</v>
      </c>
      <c r="C17" s="25" t="s">
        <v>466</v>
      </c>
      <c r="D17" s="25" t="s">
        <v>136</v>
      </c>
      <c r="E17" s="26">
        <v>245748</v>
      </c>
      <c r="F17" s="27">
        <v>806.05</v>
      </c>
      <c r="G17" s="28">
        <v>2.7199999999999998E-2</v>
      </c>
      <c r="H17" s="29"/>
    </row>
    <row r="18" spans="2:8" ht="15.75" customHeight="1" x14ac:dyDescent="0.2">
      <c r="B18" s="25" t="s">
        <v>467</v>
      </c>
      <c r="C18" s="25" t="s">
        <v>468</v>
      </c>
      <c r="D18" s="25" t="s">
        <v>212</v>
      </c>
      <c r="E18" s="26">
        <v>165545</v>
      </c>
      <c r="F18" s="27">
        <v>731.79</v>
      </c>
      <c r="G18" s="28">
        <v>2.47E-2</v>
      </c>
      <c r="H18" s="29"/>
    </row>
    <row r="19" spans="2:8" ht="15.75" customHeight="1" x14ac:dyDescent="0.2">
      <c r="B19" s="25" t="s">
        <v>428</v>
      </c>
      <c r="C19" s="25" t="s">
        <v>429</v>
      </c>
      <c r="D19" s="25" t="s">
        <v>212</v>
      </c>
      <c r="E19" s="26">
        <v>95583</v>
      </c>
      <c r="F19" s="27">
        <v>723.61</v>
      </c>
      <c r="G19" s="28">
        <v>2.4400000000000002E-2</v>
      </c>
      <c r="H19" s="29"/>
    </row>
    <row r="20" spans="2:8" ht="15.75" customHeight="1" x14ac:dyDescent="0.2">
      <c r="B20" s="25" t="s">
        <v>315</v>
      </c>
      <c r="C20" s="25" t="s">
        <v>316</v>
      </c>
      <c r="D20" s="25" t="s">
        <v>212</v>
      </c>
      <c r="E20" s="26">
        <v>233744</v>
      </c>
      <c r="F20" s="27">
        <v>708.83</v>
      </c>
      <c r="G20" s="28">
        <v>2.3900000000000001E-2</v>
      </c>
      <c r="H20" s="29"/>
    </row>
    <row r="21" spans="2:8" ht="15.75" customHeight="1" x14ac:dyDescent="0.2">
      <c r="B21" s="25" t="s">
        <v>469</v>
      </c>
      <c r="C21" s="25" t="s">
        <v>470</v>
      </c>
      <c r="D21" s="25" t="s">
        <v>136</v>
      </c>
      <c r="E21" s="26">
        <v>541915</v>
      </c>
      <c r="F21" s="27">
        <v>685.2</v>
      </c>
      <c r="G21" s="28">
        <v>2.3099999999999999E-2</v>
      </c>
      <c r="H21" s="29"/>
    </row>
    <row r="22" spans="2:8" ht="15.75" customHeight="1" x14ac:dyDescent="0.2">
      <c r="B22" s="25" t="s">
        <v>416</v>
      </c>
      <c r="C22" s="25" t="s">
        <v>417</v>
      </c>
      <c r="D22" s="25" t="s">
        <v>136</v>
      </c>
      <c r="E22" s="26">
        <v>765779</v>
      </c>
      <c r="F22" s="27">
        <v>618.52</v>
      </c>
      <c r="G22" s="28">
        <v>2.0899999999999998E-2</v>
      </c>
      <c r="H22" s="29"/>
    </row>
    <row r="23" spans="2:8" ht="15.75" customHeight="1" x14ac:dyDescent="0.2">
      <c r="B23" s="25" t="s">
        <v>334</v>
      </c>
      <c r="C23" s="25" t="s">
        <v>335</v>
      </c>
      <c r="D23" s="25" t="s">
        <v>336</v>
      </c>
      <c r="E23" s="26">
        <v>34766</v>
      </c>
      <c r="F23" s="27">
        <v>609.66999999999996</v>
      </c>
      <c r="G23" s="28">
        <v>2.06E-2</v>
      </c>
      <c r="H23" s="29"/>
    </row>
    <row r="24" spans="2:8" ht="15.75" customHeight="1" x14ac:dyDescent="0.2">
      <c r="B24" s="25" t="s">
        <v>471</v>
      </c>
      <c r="C24" s="25" t="s">
        <v>472</v>
      </c>
      <c r="D24" s="25" t="s">
        <v>212</v>
      </c>
      <c r="E24" s="26">
        <v>35553</v>
      </c>
      <c r="F24" s="27">
        <v>595.74</v>
      </c>
      <c r="G24" s="28">
        <v>2.01E-2</v>
      </c>
      <c r="H24" s="29"/>
    </row>
    <row r="25" spans="2:8" ht="15.75" customHeight="1" x14ac:dyDescent="0.2">
      <c r="B25" s="25" t="s">
        <v>370</v>
      </c>
      <c r="C25" s="25" t="s">
        <v>371</v>
      </c>
      <c r="D25" s="25" t="s">
        <v>212</v>
      </c>
      <c r="E25" s="26">
        <v>107079</v>
      </c>
      <c r="F25" s="27">
        <v>478.05</v>
      </c>
      <c r="G25" s="28">
        <v>1.61E-2</v>
      </c>
      <c r="H25" s="29"/>
    </row>
    <row r="26" spans="2:8" ht="15.75" customHeight="1" x14ac:dyDescent="0.2">
      <c r="B26" s="25" t="s">
        <v>473</v>
      </c>
      <c r="C26" s="25" t="s">
        <v>474</v>
      </c>
      <c r="D26" s="25" t="s">
        <v>212</v>
      </c>
      <c r="E26" s="26">
        <v>28088</v>
      </c>
      <c r="F26" s="27">
        <v>426.28</v>
      </c>
      <c r="G26" s="28">
        <v>1.44E-2</v>
      </c>
      <c r="H26" s="29"/>
    </row>
    <row r="27" spans="2:8" ht="15.75" customHeight="1" x14ac:dyDescent="0.2">
      <c r="B27" s="25" t="s">
        <v>475</v>
      </c>
      <c r="C27" s="25" t="s">
        <v>476</v>
      </c>
      <c r="D27" s="25" t="s">
        <v>212</v>
      </c>
      <c r="E27" s="26">
        <v>134622</v>
      </c>
      <c r="F27" s="27">
        <v>387.64</v>
      </c>
      <c r="G27" s="28">
        <v>1.3100000000000001E-2</v>
      </c>
      <c r="H27" s="29"/>
    </row>
    <row r="28" spans="2:8" ht="15.75" customHeight="1" x14ac:dyDescent="0.2">
      <c r="B28" s="25" t="s">
        <v>477</v>
      </c>
      <c r="C28" s="25" t="s">
        <v>478</v>
      </c>
      <c r="D28" s="25" t="s">
        <v>212</v>
      </c>
      <c r="E28" s="26">
        <v>56153</v>
      </c>
      <c r="F28" s="27">
        <v>376.73</v>
      </c>
      <c r="G28" s="28">
        <v>1.2699999999999999E-2</v>
      </c>
      <c r="H28" s="29"/>
    </row>
    <row r="29" spans="2:8" ht="15.75" customHeight="1" x14ac:dyDescent="0.2">
      <c r="B29" s="25" t="s">
        <v>479</v>
      </c>
      <c r="C29" s="25" t="s">
        <v>480</v>
      </c>
      <c r="D29" s="25" t="s">
        <v>212</v>
      </c>
      <c r="E29" s="26">
        <v>12485</v>
      </c>
      <c r="F29" s="27">
        <v>366.05</v>
      </c>
      <c r="G29" s="28">
        <v>1.24E-2</v>
      </c>
      <c r="H29" s="29"/>
    </row>
    <row r="30" spans="2:8" ht="15.75" customHeight="1" x14ac:dyDescent="0.2">
      <c r="B30" s="25" t="s">
        <v>481</v>
      </c>
      <c r="C30" s="25" t="s">
        <v>482</v>
      </c>
      <c r="D30" s="25" t="s">
        <v>190</v>
      </c>
      <c r="E30" s="26">
        <v>40769</v>
      </c>
      <c r="F30" s="27">
        <v>315.19</v>
      </c>
      <c r="G30" s="28">
        <v>1.06E-2</v>
      </c>
      <c r="H30" s="29"/>
    </row>
    <row r="31" spans="2:8" ht="15.75" customHeight="1" x14ac:dyDescent="0.2">
      <c r="B31" s="25" t="s">
        <v>355</v>
      </c>
      <c r="C31" s="25" t="s">
        <v>356</v>
      </c>
      <c r="D31" s="25" t="s">
        <v>136</v>
      </c>
      <c r="E31" s="26">
        <v>215897</v>
      </c>
      <c r="F31" s="27">
        <v>271.60000000000002</v>
      </c>
      <c r="G31" s="28">
        <v>9.1999999999999998E-3</v>
      </c>
      <c r="H31" s="29"/>
    </row>
    <row r="32" spans="2:8" ht="15.75" customHeight="1" x14ac:dyDescent="0.2">
      <c r="B32" s="25" t="s">
        <v>344</v>
      </c>
      <c r="C32" s="25" t="s">
        <v>345</v>
      </c>
      <c r="D32" s="25" t="s">
        <v>136</v>
      </c>
      <c r="E32" s="26">
        <v>341486</v>
      </c>
      <c r="F32" s="27">
        <v>259.5</v>
      </c>
      <c r="G32" s="28">
        <v>8.8000000000000005E-3</v>
      </c>
      <c r="H32" s="29"/>
    </row>
    <row r="33" spans="2:8" ht="15.75" customHeight="1" x14ac:dyDescent="0.2">
      <c r="B33" s="25" t="s">
        <v>195</v>
      </c>
      <c r="C33" s="25" t="s">
        <v>196</v>
      </c>
      <c r="D33" s="25" t="s">
        <v>136</v>
      </c>
      <c r="E33" s="26">
        <v>104936</v>
      </c>
      <c r="F33" s="27">
        <v>246.81</v>
      </c>
      <c r="G33" s="28">
        <v>8.3000000000000001E-3</v>
      </c>
      <c r="H33" s="29"/>
    </row>
    <row r="34" spans="2:8" ht="15.75" customHeight="1" x14ac:dyDescent="0.2">
      <c r="B34" s="25" t="s">
        <v>483</v>
      </c>
      <c r="C34" s="25" t="s">
        <v>484</v>
      </c>
      <c r="D34" s="25" t="s">
        <v>136</v>
      </c>
      <c r="E34" s="26">
        <v>489067</v>
      </c>
      <c r="F34" s="27">
        <v>246.39</v>
      </c>
      <c r="G34" s="28">
        <v>8.3000000000000001E-3</v>
      </c>
      <c r="H34" s="29"/>
    </row>
    <row r="35" spans="2:8" ht="15.75" customHeight="1" x14ac:dyDescent="0.2">
      <c r="B35" s="24" t="s">
        <v>104</v>
      </c>
      <c r="C35" s="24"/>
      <c r="D35" s="24"/>
      <c r="E35" s="30"/>
      <c r="F35" s="31">
        <v>28615.77</v>
      </c>
      <c r="G35" s="32">
        <v>0.96660000000000001</v>
      </c>
      <c r="H35" s="33"/>
    </row>
    <row r="36" spans="2:8" ht="15.75" customHeight="1" x14ac:dyDescent="0.2">
      <c r="B36" s="24" t="s">
        <v>156</v>
      </c>
      <c r="C36" s="25"/>
      <c r="D36" s="25"/>
      <c r="E36" s="26"/>
      <c r="F36" s="27"/>
      <c r="G36" s="28"/>
      <c r="H36" s="29"/>
    </row>
    <row r="37" spans="2:8" ht="15.75" customHeight="1" x14ac:dyDescent="0.2">
      <c r="B37" s="24" t="s">
        <v>104</v>
      </c>
      <c r="C37" s="25"/>
      <c r="D37" s="25"/>
      <c r="E37" s="26"/>
      <c r="F37" s="34" t="s">
        <v>106</v>
      </c>
      <c r="G37" s="35" t="s">
        <v>106</v>
      </c>
      <c r="H37" s="29"/>
    </row>
    <row r="38" spans="2:8" ht="15.75" customHeight="1" x14ac:dyDescent="0.2">
      <c r="B38" s="25"/>
      <c r="C38" s="25"/>
      <c r="D38" s="25"/>
      <c r="E38" s="26"/>
      <c r="F38" s="27"/>
      <c r="G38" s="28"/>
      <c r="H38" s="29"/>
    </row>
    <row r="39" spans="2:8" ht="15.75" customHeight="1" x14ac:dyDescent="0.2">
      <c r="B39" s="36" t="s">
        <v>108</v>
      </c>
      <c r="C39" s="36"/>
      <c r="D39" s="36"/>
      <c r="E39" s="37"/>
      <c r="F39" s="31">
        <v>28615.77</v>
      </c>
      <c r="G39" s="32">
        <v>0.96660000000000001</v>
      </c>
      <c r="H39" s="33"/>
    </row>
    <row r="40" spans="2:8" ht="15.75" customHeight="1" x14ac:dyDescent="0.2">
      <c r="B40" s="25"/>
      <c r="C40" s="25"/>
      <c r="D40" s="25"/>
      <c r="E40" s="26"/>
      <c r="F40" s="27"/>
      <c r="G40" s="28"/>
      <c r="H40" s="29"/>
    </row>
    <row r="41" spans="2:8" ht="15.75" customHeight="1" x14ac:dyDescent="0.2">
      <c r="B41" s="25"/>
      <c r="C41" s="25"/>
      <c r="D41" s="25"/>
      <c r="E41" s="26"/>
      <c r="F41" s="27"/>
      <c r="G41" s="28"/>
      <c r="H41" s="29"/>
    </row>
    <row r="42" spans="2:8" ht="15.75" customHeight="1" x14ac:dyDescent="0.2">
      <c r="B42" s="24" t="s">
        <v>111</v>
      </c>
      <c r="C42" s="25"/>
      <c r="D42" s="25"/>
      <c r="E42" s="26"/>
      <c r="F42" s="27"/>
      <c r="G42" s="28"/>
      <c r="H42" s="29"/>
    </row>
    <row r="43" spans="2:8" ht="15.75" customHeight="1" x14ac:dyDescent="0.2">
      <c r="B43" s="25" t="s">
        <v>112</v>
      </c>
      <c r="C43" s="25"/>
      <c r="D43" s="25"/>
      <c r="E43" s="26"/>
      <c r="F43" s="27">
        <v>1130.52</v>
      </c>
      <c r="G43" s="28">
        <v>3.8199999999999998E-2</v>
      </c>
      <c r="H43" s="29"/>
    </row>
    <row r="44" spans="2:8" ht="15.75" customHeight="1" x14ac:dyDescent="0.2">
      <c r="B44" s="24" t="s">
        <v>104</v>
      </c>
      <c r="C44" s="24"/>
      <c r="D44" s="24"/>
      <c r="E44" s="30"/>
      <c r="F44" s="31">
        <v>1130.52</v>
      </c>
      <c r="G44" s="32">
        <v>3.8199999999999998E-2</v>
      </c>
      <c r="H44" s="33"/>
    </row>
    <row r="45" spans="2:8" ht="15.75" customHeight="1" x14ac:dyDescent="0.2">
      <c r="B45" s="25"/>
      <c r="C45" s="25"/>
      <c r="D45" s="25"/>
      <c r="E45" s="26"/>
      <c r="F45" s="27"/>
      <c r="G45" s="28"/>
      <c r="H45" s="29"/>
    </row>
    <row r="46" spans="2:8" ht="15.75" customHeight="1" x14ac:dyDescent="0.2">
      <c r="B46" s="36" t="s">
        <v>108</v>
      </c>
      <c r="C46" s="36"/>
      <c r="D46" s="36"/>
      <c r="E46" s="37"/>
      <c r="F46" s="31">
        <v>1130.52</v>
      </c>
      <c r="G46" s="32">
        <v>3.8199999999999998E-2</v>
      </c>
      <c r="H46" s="33"/>
    </row>
    <row r="47" spans="2:8" ht="15.75" customHeight="1" x14ac:dyDescent="0.2">
      <c r="B47" s="25" t="s">
        <v>113</v>
      </c>
      <c r="C47" s="25"/>
      <c r="D47" s="25"/>
      <c r="E47" s="26"/>
      <c r="F47" s="38">
        <v>-141.78</v>
      </c>
      <c r="G47" s="39">
        <v>-4.7999999999999154E-3</v>
      </c>
      <c r="H47" s="29"/>
    </row>
    <row r="48" spans="2:8" ht="15.75" customHeight="1" x14ac:dyDescent="0.2">
      <c r="B48" s="40" t="s">
        <v>114</v>
      </c>
      <c r="C48" s="40"/>
      <c r="D48" s="40"/>
      <c r="E48" s="41"/>
      <c r="F48" s="42">
        <v>29604.51</v>
      </c>
      <c r="G48" s="43">
        <v>1</v>
      </c>
      <c r="H48" s="44"/>
    </row>
    <row r="49" spans="2:8" ht="15.75" customHeight="1" thickBot="1" x14ac:dyDescent="0.25">
      <c r="B49" s="2"/>
    </row>
    <row r="50" spans="2:8" ht="27" customHeight="1" thickBot="1" x14ac:dyDescent="0.25">
      <c r="B50" s="56" t="s">
        <v>1009</v>
      </c>
      <c r="C50" s="57" t="s">
        <v>1010</v>
      </c>
      <c r="D50" s="57" t="s">
        <v>1011</v>
      </c>
      <c r="E50" s="62" t="s">
        <v>1012</v>
      </c>
      <c r="G50" s="2"/>
      <c r="H50" s="2"/>
    </row>
    <row r="51" spans="2:8" ht="20.25" customHeight="1" x14ac:dyDescent="0.2">
      <c r="B51" s="69" t="s">
        <v>1031</v>
      </c>
      <c r="C51" s="83"/>
      <c r="D51" s="71"/>
      <c r="E51" s="88"/>
      <c r="G51" s="2"/>
      <c r="H51" s="2"/>
    </row>
    <row r="52" spans="2:8" ht="39.950000000000003" customHeight="1" x14ac:dyDescent="0.2">
      <c r="B52" s="65" t="s">
        <v>1032</v>
      </c>
      <c r="C52" s="84"/>
      <c r="D52" s="87" t="s">
        <v>1033</v>
      </c>
      <c r="E52" s="84"/>
      <c r="G52" s="2"/>
      <c r="H52" s="2"/>
    </row>
    <row r="53" spans="2:8" ht="44.25" customHeight="1" x14ac:dyDescent="0.2">
      <c r="B53" s="65" t="s">
        <v>1034</v>
      </c>
      <c r="C53" s="84"/>
      <c r="D53" s="87"/>
      <c r="E53" s="84"/>
      <c r="G53" s="2"/>
      <c r="H53" s="2"/>
    </row>
    <row r="54" spans="2:8" ht="29.25" customHeight="1" thickBot="1" x14ac:dyDescent="0.25">
      <c r="B54" s="67" t="s">
        <v>1035</v>
      </c>
      <c r="C54" s="85"/>
      <c r="D54" s="70" t="s">
        <v>1035</v>
      </c>
      <c r="E54" s="89"/>
      <c r="G54" s="2"/>
      <c r="H54" s="2"/>
    </row>
    <row r="55" spans="2:8" ht="24.95" customHeight="1" x14ac:dyDescent="0.2">
      <c r="B55" s="58" t="s">
        <v>1014</v>
      </c>
      <c r="C55" s="59"/>
      <c r="D55" s="60"/>
      <c r="E55" s="61"/>
      <c r="G55" s="2"/>
      <c r="H55" s="2"/>
    </row>
    <row r="57" spans="2:8" ht="12" x14ac:dyDescent="0.2">
      <c r="B57" s="2" t="s">
        <v>1015</v>
      </c>
      <c r="C57" s="2"/>
      <c r="D57" s="2"/>
      <c r="G57" s="2"/>
      <c r="H57" s="2"/>
    </row>
    <row r="58" spans="2:8" ht="12" x14ac:dyDescent="0.2">
      <c r="B58" s="3" t="s">
        <v>1016</v>
      </c>
      <c r="C58" s="2"/>
      <c r="D58" s="2"/>
      <c r="G58" s="2"/>
      <c r="H58" s="2"/>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1:C54"/>
    <mergeCell ref="E51:E54"/>
    <mergeCell ref="D52:D53"/>
  </mergeCells>
  <hyperlinks>
    <hyperlink ref="G1" location="'Sheet1'!A1" display="Index" xr:uid="{4177866E-CF6B-4BF6-AB6E-FEBD1AB31B7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16869-3240-4410-B06B-6788AA27BEA2}">
  <dimension ref="B1:N95"/>
  <sheetViews>
    <sheetView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7.42578125" style="9" customWidth="1"/>
    <col min="4" max="4" width="26.5703125" style="9" customWidth="1"/>
    <col min="5" max="5" width="28.1406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1095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132</v>
      </c>
      <c r="C5" s="19"/>
      <c r="D5" s="19"/>
      <c r="E5" s="20"/>
      <c r="F5" s="21"/>
      <c r="G5" s="22"/>
      <c r="H5" s="23"/>
    </row>
    <row r="6" spans="2:8" ht="15.75" customHeight="1" x14ac:dyDescent="0.2">
      <c r="B6" s="24" t="s">
        <v>133</v>
      </c>
      <c r="C6" s="25"/>
      <c r="D6" s="25"/>
      <c r="E6" s="26"/>
      <c r="F6" s="27"/>
      <c r="G6" s="28"/>
      <c r="H6" s="29"/>
    </row>
    <row r="7" spans="2:8" ht="15.75" customHeight="1" x14ac:dyDescent="0.2">
      <c r="B7" s="25" t="s">
        <v>149</v>
      </c>
      <c r="C7" s="25" t="s">
        <v>150</v>
      </c>
      <c r="D7" s="25" t="s">
        <v>136</v>
      </c>
      <c r="E7" s="26">
        <v>5570</v>
      </c>
      <c r="F7" s="27">
        <v>90</v>
      </c>
      <c r="G7" s="28">
        <v>5.28E-2</v>
      </c>
      <c r="H7" s="29"/>
    </row>
    <row r="8" spans="2:8" ht="15.75" customHeight="1" x14ac:dyDescent="0.2">
      <c r="B8" s="25" t="s">
        <v>134</v>
      </c>
      <c r="C8" s="25" t="s">
        <v>135</v>
      </c>
      <c r="D8" s="25" t="s">
        <v>136</v>
      </c>
      <c r="E8" s="26">
        <v>6839</v>
      </c>
      <c r="F8" s="27">
        <v>83.09</v>
      </c>
      <c r="G8" s="28">
        <v>4.8800000000000003E-2</v>
      </c>
      <c r="H8" s="29"/>
    </row>
    <row r="9" spans="2:8" ht="15.75" customHeight="1" x14ac:dyDescent="0.2">
      <c r="B9" s="25" t="s">
        <v>287</v>
      </c>
      <c r="C9" s="25" t="s">
        <v>288</v>
      </c>
      <c r="D9" s="25" t="s">
        <v>136</v>
      </c>
      <c r="E9" s="26">
        <v>8103</v>
      </c>
      <c r="F9" s="27">
        <v>70.69</v>
      </c>
      <c r="G9" s="28">
        <v>4.1500000000000002E-2</v>
      </c>
      <c r="H9" s="29"/>
    </row>
    <row r="10" spans="2:8" ht="15.75" customHeight="1" x14ac:dyDescent="0.2">
      <c r="B10" s="25" t="s">
        <v>384</v>
      </c>
      <c r="C10" s="25" t="s">
        <v>385</v>
      </c>
      <c r="D10" s="25" t="s">
        <v>220</v>
      </c>
      <c r="E10" s="26">
        <v>1173</v>
      </c>
      <c r="F10" s="27">
        <v>68.489999999999995</v>
      </c>
      <c r="G10" s="28">
        <v>4.02E-2</v>
      </c>
      <c r="H10" s="29"/>
    </row>
    <row r="11" spans="2:8" ht="15.75" customHeight="1" x14ac:dyDescent="0.2">
      <c r="B11" s="25" t="s">
        <v>350</v>
      </c>
      <c r="C11" s="25" t="s">
        <v>351</v>
      </c>
      <c r="D11" s="25" t="s">
        <v>352</v>
      </c>
      <c r="E11" s="26">
        <v>1772</v>
      </c>
      <c r="F11" s="27">
        <v>67.599999999999994</v>
      </c>
      <c r="G11" s="28">
        <v>3.9699999999999999E-2</v>
      </c>
      <c r="H11" s="29"/>
    </row>
    <row r="12" spans="2:8" ht="15.75" customHeight="1" x14ac:dyDescent="0.2">
      <c r="B12" s="25" t="s">
        <v>153</v>
      </c>
      <c r="C12" s="25" t="s">
        <v>154</v>
      </c>
      <c r="D12" s="25" t="s">
        <v>155</v>
      </c>
      <c r="E12" s="26">
        <v>2062</v>
      </c>
      <c r="F12" s="27">
        <v>62.08</v>
      </c>
      <c r="G12" s="28">
        <v>3.6400000000000002E-2</v>
      </c>
      <c r="H12" s="29"/>
    </row>
    <row r="13" spans="2:8" ht="15.75" customHeight="1" x14ac:dyDescent="0.2">
      <c r="B13" s="25" t="s">
        <v>137</v>
      </c>
      <c r="C13" s="25" t="s">
        <v>138</v>
      </c>
      <c r="D13" s="25" t="s">
        <v>139</v>
      </c>
      <c r="E13" s="26">
        <v>3202</v>
      </c>
      <c r="F13" s="27">
        <v>59.82</v>
      </c>
      <c r="G13" s="28">
        <v>3.5099999999999999E-2</v>
      </c>
      <c r="H13" s="29"/>
    </row>
    <row r="14" spans="2:8" ht="15.75" customHeight="1" x14ac:dyDescent="0.2">
      <c r="B14" s="25" t="s">
        <v>485</v>
      </c>
      <c r="C14" s="25" t="s">
        <v>486</v>
      </c>
      <c r="D14" s="25" t="s">
        <v>187</v>
      </c>
      <c r="E14" s="26">
        <v>1737</v>
      </c>
      <c r="F14" s="27">
        <v>53.58</v>
      </c>
      <c r="G14" s="28">
        <v>3.15E-2</v>
      </c>
      <c r="H14" s="29"/>
    </row>
    <row r="15" spans="2:8" ht="15.75" customHeight="1" x14ac:dyDescent="0.2">
      <c r="B15" s="25" t="s">
        <v>140</v>
      </c>
      <c r="C15" s="25" t="s">
        <v>141</v>
      </c>
      <c r="D15" s="25" t="s">
        <v>142</v>
      </c>
      <c r="E15" s="26">
        <v>1380</v>
      </c>
      <c r="F15" s="27">
        <v>37.340000000000003</v>
      </c>
      <c r="G15" s="28">
        <v>2.1899999999999999E-2</v>
      </c>
      <c r="H15" s="29"/>
    </row>
    <row r="16" spans="2:8" ht="15.75" customHeight="1" x14ac:dyDescent="0.2">
      <c r="B16" s="25" t="s">
        <v>412</v>
      </c>
      <c r="C16" s="25" t="s">
        <v>413</v>
      </c>
      <c r="D16" s="25" t="s">
        <v>352</v>
      </c>
      <c r="E16" s="26">
        <v>10219</v>
      </c>
      <c r="F16" s="27">
        <v>36.58</v>
      </c>
      <c r="G16" s="28">
        <v>2.1499999999999998E-2</v>
      </c>
      <c r="H16" s="29"/>
    </row>
    <row r="17" spans="2:8" ht="15.75" customHeight="1" x14ac:dyDescent="0.2">
      <c r="B17" s="25" t="s">
        <v>424</v>
      </c>
      <c r="C17" s="25" t="s">
        <v>425</v>
      </c>
      <c r="D17" s="25" t="s">
        <v>220</v>
      </c>
      <c r="E17" s="26">
        <v>6912</v>
      </c>
      <c r="F17" s="27">
        <v>35.380000000000003</v>
      </c>
      <c r="G17" s="28">
        <v>2.0799999999999999E-2</v>
      </c>
      <c r="H17" s="29"/>
    </row>
    <row r="18" spans="2:8" ht="15.75" customHeight="1" x14ac:dyDescent="0.2">
      <c r="B18" s="25" t="s">
        <v>215</v>
      </c>
      <c r="C18" s="25" t="s">
        <v>216</v>
      </c>
      <c r="D18" s="25" t="s">
        <v>217</v>
      </c>
      <c r="E18" s="26">
        <v>2192</v>
      </c>
      <c r="F18" s="27">
        <v>32.69</v>
      </c>
      <c r="G18" s="28">
        <v>1.9199999999999998E-2</v>
      </c>
      <c r="H18" s="29"/>
    </row>
    <row r="19" spans="2:8" ht="15.75" customHeight="1" x14ac:dyDescent="0.2">
      <c r="B19" s="25" t="s">
        <v>487</v>
      </c>
      <c r="C19" s="25" t="s">
        <v>488</v>
      </c>
      <c r="D19" s="25" t="s">
        <v>145</v>
      </c>
      <c r="E19" s="26">
        <v>2719</v>
      </c>
      <c r="F19" s="27">
        <v>31.45</v>
      </c>
      <c r="G19" s="28">
        <v>1.8499999999999999E-2</v>
      </c>
      <c r="H19" s="29"/>
    </row>
    <row r="20" spans="2:8" ht="15.75" customHeight="1" x14ac:dyDescent="0.2">
      <c r="B20" s="25" t="s">
        <v>489</v>
      </c>
      <c r="C20" s="25" t="s">
        <v>490</v>
      </c>
      <c r="D20" s="25" t="s">
        <v>254</v>
      </c>
      <c r="E20" s="26">
        <v>1862</v>
      </c>
      <c r="F20" s="27">
        <v>30.95</v>
      </c>
      <c r="G20" s="28">
        <v>1.8200000000000001E-2</v>
      </c>
      <c r="H20" s="29"/>
    </row>
    <row r="21" spans="2:8" ht="15.75" customHeight="1" x14ac:dyDescent="0.2">
      <c r="B21" s="25" t="s">
        <v>491</v>
      </c>
      <c r="C21" s="25" t="s">
        <v>492</v>
      </c>
      <c r="D21" s="25" t="s">
        <v>269</v>
      </c>
      <c r="E21" s="26">
        <v>258</v>
      </c>
      <c r="F21" s="27">
        <v>30.67</v>
      </c>
      <c r="G21" s="28">
        <v>1.7999999999999999E-2</v>
      </c>
      <c r="H21" s="29"/>
    </row>
    <row r="22" spans="2:8" ht="15.75" customHeight="1" x14ac:dyDescent="0.2">
      <c r="B22" s="25" t="s">
        <v>493</v>
      </c>
      <c r="C22" s="25" t="s">
        <v>494</v>
      </c>
      <c r="D22" s="25" t="s">
        <v>314</v>
      </c>
      <c r="E22" s="26">
        <v>11621</v>
      </c>
      <c r="F22" s="27">
        <v>30.65</v>
      </c>
      <c r="G22" s="28">
        <v>1.7999999999999999E-2</v>
      </c>
      <c r="H22" s="29"/>
    </row>
    <row r="23" spans="2:8" ht="15.75" customHeight="1" x14ac:dyDescent="0.2">
      <c r="B23" s="25" t="s">
        <v>422</v>
      </c>
      <c r="C23" s="25" t="s">
        <v>423</v>
      </c>
      <c r="D23" s="25" t="s">
        <v>148</v>
      </c>
      <c r="E23" s="26">
        <v>4273</v>
      </c>
      <c r="F23" s="27">
        <v>30.56</v>
      </c>
      <c r="G23" s="28">
        <v>1.7899999999999999E-2</v>
      </c>
      <c r="H23" s="29"/>
    </row>
    <row r="24" spans="2:8" ht="15.75" customHeight="1" x14ac:dyDescent="0.2">
      <c r="B24" s="25" t="s">
        <v>495</v>
      </c>
      <c r="C24" s="25" t="s">
        <v>496</v>
      </c>
      <c r="D24" s="25" t="s">
        <v>497</v>
      </c>
      <c r="E24" s="26">
        <v>2997</v>
      </c>
      <c r="F24" s="27">
        <v>28.84</v>
      </c>
      <c r="G24" s="28">
        <v>1.6899999999999998E-2</v>
      </c>
      <c r="H24" s="29"/>
    </row>
    <row r="25" spans="2:8" ht="15.75" customHeight="1" x14ac:dyDescent="0.2">
      <c r="B25" s="25" t="s">
        <v>236</v>
      </c>
      <c r="C25" s="25" t="s">
        <v>237</v>
      </c>
      <c r="D25" s="25" t="s">
        <v>139</v>
      </c>
      <c r="E25" s="26">
        <v>633</v>
      </c>
      <c r="F25" s="27">
        <v>27.76</v>
      </c>
      <c r="G25" s="28">
        <v>1.6299999999999999E-2</v>
      </c>
      <c r="H25" s="29"/>
    </row>
    <row r="26" spans="2:8" ht="15.75" customHeight="1" x14ac:dyDescent="0.2">
      <c r="B26" s="25" t="s">
        <v>498</v>
      </c>
      <c r="C26" s="25" t="s">
        <v>499</v>
      </c>
      <c r="D26" s="25" t="s">
        <v>178</v>
      </c>
      <c r="E26" s="26">
        <v>4456</v>
      </c>
      <c r="F26" s="27">
        <v>26.5</v>
      </c>
      <c r="G26" s="28">
        <v>1.5599999999999999E-2</v>
      </c>
      <c r="H26" s="29"/>
    </row>
    <row r="27" spans="2:8" ht="15.75" customHeight="1" x14ac:dyDescent="0.2">
      <c r="B27" s="25" t="s">
        <v>500</v>
      </c>
      <c r="C27" s="25" t="s">
        <v>501</v>
      </c>
      <c r="D27" s="25" t="s">
        <v>502</v>
      </c>
      <c r="E27" s="26">
        <v>3733</v>
      </c>
      <c r="F27" s="27">
        <v>25.96</v>
      </c>
      <c r="G27" s="28">
        <v>1.52E-2</v>
      </c>
      <c r="H27" s="29"/>
    </row>
    <row r="28" spans="2:8" ht="15.75" customHeight="1" x14ac:dyDescent="0.2">
      <c r="B28" s="25" t="s">
        <v>503</v>
      </c>
      <c r="C28" s="25" t="s">
        <v>504</v>
      </c>
      <c r="D28" s="25" t="s">
        <v>266</v>
      </c>
      <c r="E28" s="26">
        <v>33895</v>
      </c>
      <c r="F28" s="27">
        <v>25.03</v>
      </c>
      <c r="G28" s="28">
        <v>1.47E-2</v>
      </c>
      <c r="H28" s="29"/>
    </row>
    <row r="29" spans="2:8" ht="15.75" customHeight="1" x14ac:dyDescent="0.2">
      <c r="B29" s="25" t="s">
        <v>505</v>
      </c>
      <c r="C29" s="25" t="s">
        <v>506</v>
      </c>
      <c r="D29" s="25" t="s">
        <v>155</v>
      </c>
      <c r="E29" s="26">
        <v>4025</v>
      </c>
      <c r="F29" s="27">
        <v>25.01</v>
      </c>
      <c r="G29" s="28">
        <v>1.47E-2</v>
      </c>
      <c r="H29" s="29"/>
    </row>
    <row r="30" spans="2:8" ht="15.75" customHeight="1" x14ac:dyDescent="0.2">
      <c r="B30" s="25" t="s">
        <v>234</v>
      </c>
      <c r="C30" s="25" t="s">
        <v>235</v>
      </c>
      <c r="D30" s="25" t="s">
        <v>145</v>
      </c>
      <c r="E30" s="26">
        <v>188</v>
      </c>
      <c r="F30" s="27">
        <v>24.66</v>
      </c>
      <c r="G30" s="28">
        <v>1.4500000000000001E-2</v>
      </c>
      <c r="H30" s="29"/>
    </row>
    <row r="31" spans="2:8" ht="15.75" customHeight="1" x14ac:dyDescent="0.2">
      <c r="B31" s="25" t="s">
        <v>507</v>
      </c>
      <c r="C31" s="25" t="s">
        <v>508</v>
      </c>
      <c r="D31" s="25" t="s">
        <v>172</v>
      </c>
      <c r="E31" s="26">
        <v>1418</v>
      </c>
      <c r="F31" s="27">
        <v>24.38</v>
      </c>
      <c r="G31" s="28">
        <v>1.43E-2</v>
      </c>
      <c r="H31" s="29"/>
    </row>
    <row r="32" spans="2:8" ht="15.75" customHeight="1" x14ac:dyDescent="0.2">
      <c r="B32" s="25" t="s">
        <v>439</v>
      </c>
      <c r="C32" s="25" t="s">
        <v>440</v>
      </c>
      <c r="D32" s="25" t="s">
        <v>297</v>
      </c>
      <c r="E32" s="26">
        <v>1868</v>
      </c>
      <c r="F32" s="27">
        <v>24.2</v>
      </c>
      <c r="G32" s="28">
        <v>1.4200000000000001E-2</v>
      </c>
      <c r="H32" s="29"/>
    </row>
    <row r="33" spans="2:8" ht="15.75" customHeight="1" x14ac:dyDescent="0.2">
      <c r="B33" s="25" t="s">
        <v>257</v>
      </c>
      <c r="C33" s="25" t="s">
        <v>258</v>
      </c>
      <c r="D33" s="25" t="s">
        <v>148</v>
      </c>
      <c r="E33" s="26">
        <v>405</v>
      </c>
      <c r="F33" s="27">
        <v>23.43</v>
      </c>
      <c r="G33" s="28">
        <v>1.38E-2</v>
      </c>
      <c r="H33" s="29"/>
    </row>
    <row r="34" spans="2:8" ht="15.75" customHeight="1" x14ac:dyDescent="0.2">
      <c r="B34" s="25" t="s">
        <v>146</v>
      </c>
      <c r="C34" s="25" t="s">
        <v>147</v>
      </c>
      <c r="D34" s="25" t="s">
        <v>148</v>
      </c>
      <c r="E34" s="26">
        <v>950</v>
      </c>
      <c r="F34" s="27">
        <v>23.34</v>
      </c>
      <c r="G34" s="28">
        <v>1.37E-2</v>
      </c>
      <c r="H34" s="29"/>
    </row>
    <row r="35" spans="2:8" ht="15.75" customHeight="1" x14ac:dyDescent="0.2">
      <c r="B35" s="25" t="s">
        <v>509</v>
      </c>
      <c r="C35" s="25" t="s">
        <v>510</v>
      </c>
      <c r="D35" s="25" t="s">
        <v>311</v>
      </c>
      <c r="E35" s="26">
        <v>672</v>
      </c>
      <c r="F35" s="27">
        <v>22.77</v>
      </c>
      <c r="G35" s="28">
        <v>1.34E-2</v>
      </c>
      <c r="H35" s="29"/>
    </row>
    <row r="36" spans="2:8" ht="15.75" customHeight="1" x14ac:dyDescent="0.2">
      <c r="B36" s="25" t="s">
        <v>298</v>
      </c>
      <c r="C36" s="25" t="s">
        <v>299</v>
      </c>
      <c r="D36" s="25" t="s">
        <v>139</v>
      </c>
      <c r="E36" s="26">
        <v>1320</v>
      </c>
      <c r="F36" s="27">
        <v>21.68</v>
      </c>
      <c r="G36" s="28">
        <v>1.2699999999999999E-2</v>
      </c>
      <c r="H36" s="29"/>
    </row>
    <row r="37" spans="2:8" ht="15.75" customHeight="1" x14ac:dyDescent="0.2">
      <c r="B37" s="25" t="s">
        <v>362</v>
      </c>
      <c r="C37" s="25" t="s">
        <v>363</v>
      </c>
      <c r="D37" s="25" t="s">
        <v>139</v>
      </c>
      <c r="E37" s="26">
        <v>2767</v>
      </c>
      <c r="F37" s="27">
        <v>20.39</v>
      </c>
      <c r="G37" s="28">
        <v>1.2E-2</v>
      </c>
      <c r="H37" s="29"/>
    </row>
    <row r="38" spans="2:8" ht="15.75" customHeight="1" x14ac:dyDescent="0.2">
      <c r="B38" s="25" t="s">
        <v>406</v>
      </c>
      <c r="C38" s="25" t="s">
        <v>407</v>
      </c>
      <c r="D38" s="25" t="s">
        <v>339</v>
      </c>
      <c r="E38" s="26">
        <v>1250</v>
      </c>
      <c r="F38" s="27">
        <v>19.72</v>
      </c>
      <c r="G38" s="28">
        <v>1.1599999999999999E-2</v>
      </c>
      <c r="H38" s="29"/>
    </row>
    <row r="39" spans="2:8" ht="15.75" customHeight="1" x14ac:dyDescent="0.2">
      <c r="B39" s="25" t="s">
        <v>511</v>
      </c>
      <c r="C39" s="25" t="s">
        <v>512</v>
      </c>
      <c r="D39" s="25" t="s">
        <v>233</v>
      </c>
      <c r="E39" s="26">
        <v>636</v>
      </c>
      <c r="F39" s="27">
        <v>19.670000000000002</v>
      </c>
      <c r="G39" s="28">
        <v>1.15E-2</v>
      </c>
      <c r="H39" s="29"/>
    </row>
    <row r="40" spans="2:8" ht="15.75" customHeight="1" x14ac:dyDescent="0.2">
      <c r="B40" s="25" t="s">
        <v>305</v>
      </c>
      <c r="C40" s="25" t="s">
        <v>306</v>
      </c>
      <c r="D40" s="25" t="s">
        <v>145</v>
      </c>
      <c r="E40" s="26">
        <v>352</v>
      </c>
      <c r="F40" s="27">
        <v>19.32</v>
      </c>
      <c r="G40" s="28">
        <v>1.1299999999999999E-2</v>
      </c>
      <c r="H40" s="29"/>
    </row>
    <row r="41" spans="2:8" ht="15.75" customHeight="1" x14ac:dyDescent="0.2">
      <c r="B41" s="25" t="s">
        <v>513</v>
      </c>
      <c r="C41" s="25" t="s">
        <v>514</v>
      </c>
      <c r="D41" s="25" t="s">
        <v>187</v>
      </c>
      <c r="E41" s="26">
        <v>4274</v>
      </c>
      <c r="F41" s="27">
        <v>19.13</v>
      </c>
      <c r="G41" s="28">
        <v>1.12E-2</v>
      </c>
      <c r="H41" s="29"/>
    </row>
    <row r="42" spans="2:8" ht="15.75" customHeight="1" x14ac:dyDescent="0.2">
      <c r="B42" s="25" t="s">
        <v>515</v>
      </c>
      <c r="C42" s="25" t="s">
        <v>516</v>
      </c>
      <c r="D42" s="25" t="s">
        <v>190</v>
      </c>
      <c r="E42" s="26">
        <v>436</v>
      </c>
      <c r="F42" s="27">
        <v>18.7</v>
      </c>
      <c r="G42" s="28">
        <v>1.0999999999999999E-2</v>
      </c>
      <c r="H42" s="29"/>
    </row>
    <row r="43" spans="2:8" ht="15.75" customHeight="1" x14ac:dyDescent="0.2">
      <c r="B43" s="25" t="s">
        <v>337</v>
      </c>
      <c r="C43" s="25" t="s">
        <v>338</v>
      </c>
      <c r="D43" s="25" t="s">
        <v>339</v>
      </c>
      <c r="E43" s="26">
        <v>5976</v>
      </c>
      <c r="F43" s="27">
        <v>18.420000000000002</v>
      </c>
      <c r="G43" s="28">
        <v>1.0800000000000001E-2</v>
      </c>
      <c r="H43" s="29"/>
    </row>
    <row r="44" spans="2:8" ht="15.75" customHeight="1" x14ac:dyDescent="0.2">
      <c r="B44" s="25" t="s">
        <v>517</v>
      </c>
      <c r="C44" s="25" t="s">
        <v>518</v>
      </c>
      <c r="D44" s="25" t="s">
        <v>314</v>
      </c>
      <c r="E44" s="26">
        <v>1982</v>
      </c>
      <c r="F44" s="27">
        <v>18.28</v>
      </c>
      <c r="G44" s="28">
        <v>1.0699999999999999E-2</v>
      </c>
      <c r="H44" s="29"/>
    </row>
    <row r="45" spans="2:8" ht="15.75" customHeight="1" x14ac:dyDescent="0.2">
      <c r="B45" s="25" t="s">
        <v>320</v>
      </c>
      <c r="C45" s="25" t="s">
        <v>321</v>
      </c>
      <c r="D45" s="25" t="s">
        <v>172</v>
      </c>
      <c r="E45" s="26">
        <v>338</v>
      </c>
      <c r="F45" s="27">
        <v>17.95</v>
      </c>
      <c r="G45" s="28">
        <v>1.0500000000000001E-2</v>
      </c>
      <c r="H45" s="29"/>
    </row>
    <row r="46" spans="2:8" ht="15.75" customHeight="1" x14ac:dyDescent="0.2">
      <c r="B46" s="25" t="s">
        <v>394</v>
      </c>
      <c r="C46" s="25" t="s">
        <v>395</v>
      </c>
      <c r="D46" s="25" t="s">
        <v>220</v>
      </c>
      <c r="E46" s="26">
        <v>7794</v>
      </c>
      <c r="F46" s="27">
        <v>17.88</v>
      </c>
      <c r="G46" s="28">
        <v>1.0500000000000001E-2</v>
      </c>
      <c r="H46" s="29"/>
    </row>
    <row r="47" spans="2:8" ht="15.75" customHeight="1" x14ac:dyDescent="0.2">
      <c r="B47" s="25" t="s">
        <v>519</v>
      </c>
      <c r="C47" s="25" t="s">
        <v>520</v>
      </c>
      <c r="D47" s="25" t="s">
        <v>336</v>
      </c>
      <c r="E47" s="26">
        <v>6043</v>
      </c>
      <c r="F47" s="27">
        <v>17.7</v>
      </c>
      <c r="G47" s="28">
        <v>1.04E-2</v>
      </c>
      <c r="H47" s="29"/>
    </row>
    <row r="48" spans="2:8" ht="15.75" customHeight="1" x14ac:dyDescent="0.2">
      <c r="B48" s="25" t="s">
        <v>521</v>
      </c>
      <c r="C48" s="25" t="s">
        <v>522</v>
      </c>
      <c r="D48" s="25" t="s">
        <v>502</v>
      </c>
      <c r="E48" s="26">
        <v>1270</v>
      </c>
      <c r="F48" s="27">
        <v>17.05</v>
      </c>
      <c r="G48" s="28">
        <v>0.01</v>
      </c>
      <c r="H48" s="29"/>
    </row>
    <row r="49" spans="2:8" ht="15.75" customHeight="1" x14ac:dyDescent="0.2">
      <c r="B49" s="25" t="s">
        <v>523</v>
      </c>
      <c r="C49" s="25" t="s">
        <v>524</v>
      </c>
      <c r="D49" s="25" t="s">
        <v>297</v>
      </c>
      <c r="E49" s="26">
        <v>7728</v>
      </c>
      <c r="F49" s="27">
        <v>16.38</v>
      </c>
      <c r="G49" s="28">
        <v>9.5999999999999992E-3</v>
      </c>
      <c r="H49" s="29"/>
    </row>
    <row r="50" spans="2:8" ht="15.75" customHeight="1" x14ac:dyDescent="0.2">
      <c r="B50" s="25" t="s">
        <v>328</v>
      </c>
      <c r="C50" s="25" t="s">
        <v>329</v>
      </c>
      <c r="D50" s="25" t="s">
        <v>172</v>
      </c>
      <c r="E50" s="26">
        <v>436</v>
      </c>
      <c r="F50" s="27">
        <v>13.83</v>
      </c>
      <c r="G50" s="28">
        <v>8.0999999999999996E-3</v>
      </c>
      <c r="H50" s="29"/>
    </row>
    <row r="51" spans="2:8" ht="15.75" customHeight="1" x14ac:dyDescent="0.2">
      <c r="B51" s="25" t="s">
        <v>525</v>
      </c>
      <c r="C51" s="25" t="s">
        <v>526</v>
      </c>
      <c r="D51" s="25" t="s">
        <v>527</v>
      </c>
      <c r="E51" s="26">
        <v>391</v>
      </c>
      <c r="F51" s="27">
        <v>13.75</v>
      </c>
      <c r="G51" s="28">
        <v>8.0999999999999996E-3</v>
      </c>
      <c r="H51" s="29"/>
    </row>
    <row r="52" spans="2:8" ht="15.75" customHeight="1" x14ac:dyDescent="0.2">
      <c r="B52" s="25" t="s">
        <v>471</v>
      </c>
      <c r="C52" s="25" t="s">
        <v>472</v>
      </c>
      <c r="D52" s="25" t="s">
        <v>212</v>
      </c>
      <c r="E52" s="26">
        <v>774</v>
      </c>
      <c r="F52" s="27">
        <v>12.97</v>
      </c>
      <c r="G52" s="28">
        <v>7.6E-3</v>
      </c>
      <c r="H52" s="29"/>
    </row>
    <row r="53" spans="2:8" ht="15.75" customHeight="1" x14ac:dyDescent="0.2">
      <c r="B53" s="25" t="s">
        <v>528</v>
      </c>
      <c r="C53" s="25" t="s">
        <v>529</v>
      </c>
      <c r="D53" s="25" t="s">
        <v>233</v>
      </c>
      <c r="E53" s="26">
        <v>622</v>
      </c>
      <c r="F53" s="27">
        <v>10.38</v>
      </c>
      <c r="G53" s="28">
        <v>6.1000000000000004E-3</v>
      </c>
      <c r="H53" s="29"/>
    </row>
    <row r="54" spans="2:8" ht="15.75" customHeight="1" x14ac:dyDescent="0.2">
      <c r="B54" s="25" t="s">
        <v>205</v>
      </c>
      <c r="C54" s="25" t="s">
        <v>206</v>
      </c>
      <c r="D54" s="25" t="s">
        <v>207</v>
      </c>
      <c r="E54" s="26">
        <v>3772</v>
      </c>
      <c r="F54" s="27">
        <v>9.09</v>
      </c>
      <c r="G54" s="28">
        <v>5.3E-3</v>
      </c>
      <c r="H54" s="29"/>
    </row>
    <row r="55" spans="2:8" ht="15.75" customHeight="1" x14ac:dyDescent="0.2">
      <c r="B55" s="25" t="s">
        <v>530</v>
      </c>
      <c r="C55" s="25" t="s">
        <v>531</v>
      </c>
      <c r="D55" s="25" t="s">
        <v>436</v>
      </c>
      <c r="E55" s="26">
        <v>2661</v>
      </c>
      <c r="F55" s="27">
        <v>8.89</v>
      </c>
      <c r="G55" s="28">
        <v>5.1999999999999998E-3</v>
      </c>
      <c r="H55" s="29"/>
    </row>
    <row r="56" spans="2:8" ht="15.75" customHeight="1" x14ac:dyDescent="0.2">
      <c r="B56" s="25" t="s">
        <v>444</v>
      </c>
      <c r="C56" s="25" t="s">
        <v>445</v>
      </c>
      <c r="D56" s="25" t="s">
        <v>187</v>
      </c>
      <c r="E56" s="26">
        <v>575</v>
      </c>
      <c r="F56" s="27">
        <v>8.84</v>
      </c>
      <c r="G56" s="28">
        <v>5.1999999999999998E-3</v>
      </c>
      <c r="H56" s="29"/>
    </row>
    <row r="57" spans="2:8" ht="15.75" customHeight="1" x14ac:dyDescent="0.2">
      <c r="B57" s="25" t="s">
        <v>532</v>
      </c>
      <c r="C57" s="25" t="s">
        <v>533</v>
      </c>
      <c r="D57" s="25" t="s">
        <v>178</v>
      </c>
      <c r="E57" s="26">
        <v>1181</v>
      </c>
      <c r="F57" s="27">
        <v>8.69</v>
      </c>
      <c r="G57" s="28">
        <v>5.1000000000000004E-3</v>
      </c>
      <c r="H57" s="29"/>
    </row>
    <row r="58" spans="2:8" ht="15.75" customHeight="1" x14ac:dyDescent="0.2">
      <c r="B58" s="25" t="s">
        <v>534</v>
      </c>
      <c r="C58" s="25" t="s">
        <v>535</v>
      </c>
      <c r="D58" s="25" t="s">
        <v>187</v>
      </c>
      <c r="E58" s="26">
        <v>390</v>
      </c>
      <c r="F58" s="27">
        <v>7.92</v>
      </c>
      <c r="G58" s="28">
        <v>4.5999999999999999E-3</v>
      </c>
      <c r="H58" s="29"/>
    </row>
    <row r="59" spans="2:8" ht="15.75" customHeight="1" x14ac:dyDescent="0.2">
      <c r="B59" s="24" t="s">
        <v>104</v>
      </c>
      <c r="C59" s="24"/>
      <c r="D59" s="24"/>
      <c r="E59" s="30"/>
      <c r="F59" s="31">
        <v>1510.13</v>
      </c>
      <c r="G59" s="32">
        <v>0.88649999999999995</v>
      </c>
      <c r="H59" s="33"/>
    </row>
    <row r="60" spans="2:8" ht="15.75" customHeight="1" x14ac:dyDescent="0.2">
      <c r="B60" s="24" t="s">
        <v>156</v>
      </c>
      <c r="C60" s="25"/>
      <c r="D60" s="25"/>
      <c r="E60" s="26"/>
      <c r="F60" s="27"/>
      <c r="G60" s="28"/>
      <c r="H60" s="29"/>
    </row>
    <row r="61" spans="2:8" ht="15.75" customHeight="1" x14ac:dyDescent="0.2">
      <c r="B61" s="24" t="s">
        <v>104</v>
      </c>
      <c r="C61" s="25"/>
      <c r="D61" s="25"/>
      <c r="E61" s="26"/>
      <c r="F61" s="34" t="s">
        <v>106</v>
      </c>
      <c r="G61" s="35" t="s">
        <v>106</v>
      </c>
      <c r="H61" s="29"/>
    </row>
    <row r="62" spans="2:8" ht="15.75" customHeight="1" x14ac:dyDescent="0.2">
      <c r="B62" s="25"/>
      <c r="C62" s="25"/>
      <c r="D62" s="25"/>
      <c r="E62" s="26"/>
      <c r="F62" s="27"/>
      <c r="G62" s="28"/>
      <c r="H62" s="29"/>
    </row>
    <row r="63" spans="2:8" ht="15.75" customHeight="1" x14ac:dyDescent="0.2">
      <c r="B63" s="36" t="s">
        <v>108</v>
      </c>
      <c r="C63" s="36"/>
      <c r="D63" s="36"/>
      <c r="E63" s="37"/>
      <c r="F63" s="31">
        <v>1510.13</v>
      </c>
      <c r="G63" s="32">
        <v>0.88649999999999995</v>
      </c>
      <c r="H63" s="33"/>
    </row>
    <row r="64" spans="2:8" ht="15.75" customHeight="1" x14ac:dyDescent="0.2">
      <c r="B64" s="25"/>
      <c r="C64" s="25"/>
      <c r="D64" s="25"/>
      <c r="E64" s="26"/>
      <c r="F64" s="27"/>
      <c r="G64" s="28"/>
      <c r="H64" s="29"/>
    </row>
    <row r="65" spans="2:14" ht="15.75" customHeight="1" x14ac:dyDescent="0.2">
      <c r="B65" s="24" t="s">
        <v>93</v>
      </c>
      <c r="C65" s="25"/>
      <c r="D65" s="25"/>
      <c r="E65" s="26"/>
      <c r="F65" s="27"/>
      <c r="G65" s="28"/>
      <c r="H65" s="29"/>
    </row>
    <row r="66" spans="2:14" ht="15.75" customHeight="1" x14ac:dyDescent="0.2">
      <c r="B66" s="24" t="s">
        <v>94</v>
      </c>
      <c r="C66" s="25"/>
      <c r="D66" s="25"/>
      <c r="E66" s="26"/>
      <c r="F66" s="27"/>
      <c r="G66" s="28"/>
      <c r="H66" s="29"/>
    </row>
    <row r="67" spans="2:14" ht="15.75" customHeight="1" x14ac:dyDescent="0.2">
      <c r="B67" s="25" t="s">
        <v>157</v>
      </c>
      <c r="C67" s="25" t="s">
        <v>158</v>
      </c>
      <c r="D67" s="25" t="s">
        <v>96</v>
      </c>
      <c r="E67" s="26">
        <v>150000</v>
      </c>
      <c r="F67" s="27">
        <v>153.38</v>
      </c>
      <c r="G67" s="28">
        <v>0.09</v>
      </c>
      <c r="H67" s="29">
        <v>6.9443000000000005E-2</v>
      </c>
    </row>
    <row r="68" spans="2:14" ht="15.75" customHeight="1" x14ac:dyDescent="0.2">
      <c r="B68" s="24" t="s">
        <v>104</v>
      </c>
      <c r="C68" s="24"/>
      <c r="D68" s="24"/>
      <c r="E68" s="30"/>
      <c r="F68" s="31">
        <v>153.38</v>
      </c>
      <c r="G68" s="32">
        <v>0.09</v>
      </c>
      <c r="H68" s="33"/>
      <c r="J68" s="3"/>
    </row>
    <row r="69" spans="2:14" ht="15.75" customHeight="1" x14ac:dyDescent="0.2">
      <c r="B69" s="25"/>
      <c r="C69" s="25"/>
      <c r="D69" s="25"/>
      <c r="E69" s="26"/>
      <c r="F69" s="27"/>
      <c r="G69" s="28"/>
      <c r="H69" s="29"/>
    </row>
    <row r="70" spans="2:14" ht="15.75" customHeight="1" x14ac:dyDescent="0.2">
      <c r="B70" s="24" t="s">
        <v>105</v>
      </c>
      <c r="C70" s="25"/>
      <c r="D70" s="25"/>
      <c r="E70" s="26"/>
      <c r="F70" s="27"/>
      <c r="G70" s="28"/>
      <c r="H70" s="29"/>
      <c r="J70" s="3"/>
    </row>
    <row r="71" spans="2:14" ht="15.75" customHeight="1" x14ac:dyDescent="0.2">
      <c r="B71" s="24" t="s">
        <v>104</v>
      </c>
      <c r="C71" s="25"/>
      <c r="D71" s="25"/>
      <c r="E71" s="26"/>
      <c r="F71" s="34" t="s">
        <v>106</v>
      </c>
      <c r="G71" s="35" t="s">
        <v>106</v>
      </c>
      <c r="H71" s="29"/>
      <c r="J71" s="3"/>
    </row>
    <row r="72" spans="2:14" ht="15.75" customHeight="1" x14ac:dyDescent="0.2">
      <c r="B72" s="25"/>
      <c r="C72" s="25"/>
      <c r="D72" s="25"/>
      <c r="E72" s="26"/>
      <c r="F72" s="27"/>
      <c r="G72" s="28"/>
      <c r="H72" s="29"/>
      <c r="J72" s="3"/>
    </row>
    <row r="73" spans="2:14" ht="15.75" customHeight="1" x14ac:dyDescent="0.2">
      <c r="B73" s="24" t="s">
        <v>107</v>
      </c>
      <c r="C73" s="25"/>
      <c r="D73" s="25"/>
      <c r="E73" s="26"/>
      <c r="F73" s="27"/>
      <c r="G73" s="28"/>
      <c r="H73" s="29"/>
      <c r="J73" s="3"/>
    </row>
    <row r="74" spans="2:14" ht="15.75" customHeight="1" x14ac:dyDescent="0.2">
      <c r="B74" s="24" t="s">
        <v>104</v>
      </c>
      <c r="C74" s="25"/>
      <c r="D74" s="25"/>
      <c r="E74" s="26"/>
      <c r="F74" s="34" t="s">
        <v>106</v>
      </c>
      <c r="G74" s="35" t="s">
        <v>106</v>
      </c>
      <c r="H74" s="29"/>
      <c r="J74" s="3"/>
    </row>
    <row r="75" spans="2:14" ht="15.75" customHeight="1" x14ac:dyDescent="0.2">
      <c r="B75" s="25"/>
      <c r="C75" s="25"/>
      <c r="D75" s="25"/>
      <c r="E75" s="26"/>
      <c r="F75" s="27"/>
      <c r="G75" s="28"/>
      <c r="H75" s="29"/>
      <c r="J75" s="5"/>
      <c r="K75" s="5"/>
      <c r="L75" s="6"/>
      <c r="M75" s="6"/>
      <c r="N75" s="5"/>
    </row>
    <row r="76" spans="2:14" ht="15.75" customHeight="1" x14ac:dyDescent="0.2">
      <c r="B76" s="36" t="s">
        <v>108</v>
      </c>
      <c r="C76" s="36"/>
      <c r="D76" s="36"/>
      <c r="E76" s="37"/>
      <c r="F76" s="31">
        <v>153.38</v>
      </c>
      <c r="G76" s="32">
        <v>0.09</v>
      </c>
      <c r="H76" s="33"/>
    </row>
    <row r="77" spans="2:14" ht="15.75" customHeight="1" x14ac:dyDescent="0.2">
      <c r="B77" s="25"/>
      <c r="C77" s="25"/>
      <c r="D77" s="25"/>
      <c r="E77" s="26"/>
      <c r="F77" s="27"/>
      <c r="G77" s="28"/>
      <c r="H77" s="29"/>
    </row>
    <row r="78" spans="2:14" ht="15.75" customHeight="1" x14ac:dyDescent="0.2">
      <c r="B78" s="25"/>
      <c r="C78" s="25"/>
      <c r="D78" s="25"/>
      <c r="E78" s="26"/>
      <c r="F78" s="27"/>
      <c r="G78" s="28"/>
      <c r="H78" s="29"/>
      <c r="J78" s="7"/>
      <c r="K78" s="7"/>
      <c r="L78" s="7"/>
      <c r="M78" s="7"/>
      <c r="N78" s="7"/>
    </row>
    <row r="79" spans="2:14" ht="15.75" customHeight="1" x14ac:dyDescent="0.2">
      <c r="B79" s="24" t="s">
        <v>111</v>
      </c>
      <c r="C79" s="25"/>
      <c r="D79" s="25"/>
      <c r="E79" s="26"/>
      <c r="F79" s="27"/>
      <c r="G79" s="28"/>
      <c r="H79" s="29"/>
      <c r="J79" s="7"/>
      <c r="K79" s="7"/>
      <c r="L79" s="7"/>
      <c r="M79" s="7"/>
      <c r="N79" s="7"/>
    </row>
    <row r="80" spans="2:14" ht="15.75" customHeight="1" x14ac:dyDescent="0.2">
      <c r="B80" s="25" t="s">
        <v>112</v>
      </c>
      <c r="C80" s="25"/>
      <c r="D80" s="25"/>
      <c r="E80" s="26"/>
      <c r="F80" s="27">
        <v>44.82</v>
      </c>
      <c r="G80" s="28">
        <v>2.63E-2</v>
      </c>
      <c r="H80" s="29"/>
      <c r="J80" s="7"/>
      <c r="K80" s="7"/>
      <c r="L80" s="7"/>
      <c r="M80" s="7"/>
      <c r="N80" s="7"/>
    </row>
    <row r="81" spans="2:14" ht="15.75" customHeight="1" x14ac:dyDescent="0.2">
      <c r="B81" s="24" t="s">
        <v>104</v>
      </c>
      <c r="C81" s="24"/>
      <c r="D81" s="24"/>
      <c r="E81" s="30"/>
      <c r="F81" s="31">
        <v>44.82</v>
      </c>
      <c r="G81" s="32">
        <v>2.63E-2</v>
      </c>
      <c r="H81" s="33"/>
      <c r="J81" s="7"/>
      <c r="K81" s="7"/>
      <c r="L81" s="7"/>
      <c r="M81" s="7"/>
      <c r="N81" s="7"/>
    </row>
    <row r="82" spans="2:14" ht="15.75" customHeight="1" x14ac:dyDescent="0.2">
      <c r="B82" s="25"/>
      <c r="C82" s="25"/>
      <c r="D82" s="25"/>
      <c r="E82" s="26"/>
      <c r="F82" s="27"/>
      <c r="G82" s="28"/>
      <c r="H82" s="29"/>
      <c r="J82" s="7"/>
      <c r="K82" s="7"/>
      <c r="L82" s="7"/>
      <c r="M82" s="7"/>
      <c r="N82" s="7"/>
    </row>
    <row r="83" spans="2:14" ht="15.75" customHeight="1" x14ac:dyDescent="0.2">
      <c r="B83" s="36" t="s">
        <v>108</v>
      </c>
      <c r="C83" s="36"/>
      <c r="D83" s="36"/>
      <c r="E83" s="37"/>
      <c r="F83" s="31">
        <v>44.82</v>
      </c>
      <c r="G83" s="32">
        <v>2.63E-2</v>
      </c>
      <c r="H83" s="33"/>
      <c r="J83" s="7"/>
      <c r="K83" s="7"/>
      <c r="L83" s="7"/>
      <c r="M83" s="7"/>
      <c r="N83" s="7"/>
    </row>
    <row r="84" spans="2:14" ht="15.75" customHeight="1" x14ac:dyDescent="0.2">
      <c r="B84" s="25" t="s">
        <v>113</v>
      </c>
      <c r="C84" s="25"/>
      <c r="D84" s="25"/>
      <c r="E84" s="26"/>
      <c r="F84" s="38">
        <v>-4.83</v>
      </c>
      <c r="G84" s="39">
        <v>-2.7999999999999137E-3</v>
      </c>
      <c r="H84" s="29"/>
      <c r="J84" s="7"/>
      <c r="K84" s="7"/>
      <c r="L84" s="7"/>
      <c r="M84" s="7"/>
      <c r="N84" s="7"/>
    </row>
    <row r="85" spans="2:14" ht="15.75" customHeight="1" x14ac:dyDescent="0.2">
      <c r="B85" s="40" t="s">
        <v>114</v>
      </c>
      <c r="C85" s="40"/>
      <c r="D85" s="40"/>
      <c r="E85" s="41"/>
      <c r="F85" s="42">
        <v>1703.5</v>
      </c>
      <c r="G85" s="43">
        <v>1</v>
      </c>
      <c r="H85" s="44"/>
    </row>
    <row r="86" spans="2:14" ht="15.75" customHeight="1" thickBot="1" x14ac:dyDescent="0.25">
      <c r="B86" s="2"/>
      <c r="J86" s="3"/>
    </row>
    <row r="87" spans="2:14" ht="27" customHeight="1" thickBot="1" x14ac:dyDescent="0.25">
      <c r="B87" s="56" t="s">
        <v>1009</v>
      </c>
      <c r="C87" s="57" t="s">
        <v>1010</v>
      </c>
      <c r="D87" s="57" t="s">
        <v>1011</v>
      </c>
      <c r="E87" s="62" t="s">
        <v>1012</v>
      </c>
      <c r="G87" s="2"/>
      <c r="H87" s="2"/>
    </row>
    <row r="88" spans="2:14" ht="29.25" customHeight="1" x14ac:dyDescent="0.2">
      <c r="B88" s="63" t="s">
        <v>1036</v>
      </c>
      <c r="C88" s="83"/>
      <c r="D88" s="86" t="s">
        <v>1027</v>
      </c>
      <c r="E88" s="88"/>
      <c r="G88" s="2"/>
      <c r="H88" s="2"/>
    </row>
    <row r="89" spans="2:14" ht="39.950000000000003" customHeight="1" x14ac:dyDescent="0.2">
      <c r="B89" s="65" t="s">
        <v>1037</v>
      </c>
      <c r="C89" s="84"/>
      <c r="D89" s="87"/>
      <c r="E89" s="84"/>
      <c r="G89" s="2"/>
      <c r="H89" s="2"/>
    </row>
    <row r="90" spans="2:14" ht="39.950000000000003" customHeight="1" x14ac:dyDescent="0.2">
      <c r="B90" s="65" t="s">
        <v>1038</v>
      </c>
      <c r="C90" s="84"/>
      <c r="D90" s="87"/>
      <c r="E90" s="84"/>
      <c r="G90" s="2"/>
      <c r="H90" s="2"/>
    </row>
    <row r="91" spans="2:14" ht="23.25" customHeight="1" thickBot="1" x14ac:dyDescent="0.25">
      <c r="B91" s="67" t="s">
        <v>1030</v>
      </c>
      <c r="C91" s="85"/>
      <c r="D91" s="70" t="s">
        <v>1030</v>
      </c>
      <c r="E91" s="89"/>
      <c r="G91" s="2"/>
      <c r="H91" s="2"/>
    </row>
    <row r="92" spans="2:14" ht="24.95" customHeight="1" x14ac:dyDescent="0.2">
      <c r="B92" s="58" t="s">
        <v>1014</v>
      </c>
      <c r="C92" s="59"/>
      <c r="D92" s="60"/>
      <c r="E92" s="61"/>
      <c r="G92" s="2"/>
      <c r="H92" s="2"/>
    </row>
    <row r="94" spans="2:14" ht="12" x14ac:dyDescent="0.2">
      <c r="B94" s="2" t="s">
        <v>1015</v>
      </c>
      <c r="C94" s="2"/>
      <c r="D94" s="2"/>
      <c r="G94" s="2"/>
      <c r="H94" s="2"/>
    </row>
    <row r="95" spans="2:14" ht="12" x14ac:dyDescent="0.2">
      <c r="B95" s="3" t="s">
        <v>1016</v>
      </c>
      <c r="C95" s="2"/>
      <c r="D95" s="2"/>
      <c r="G95" s="2"/>
      <c r="H95" s="2"/>
    </row>
  </sheetData>
  <mergeCells count="3">
    <mergeCell ref="C88:C91"/>
    <mergeCell ref="D88:D90"/>
    <mergeCell ref="E88:E91"/>
  </mergeCells>
  <hyperlinks>
    <hyperlink ref="G1" location="'Sheet1'!A1" display="Index" xr:uid="{A03138A8-DCA1-40C9-84BF-2A113B9CFC9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CEB98-080C-4101-B024-A59EDE0078DB}">
  <dimension ref="B1:N104"/>
  <sheetViews>
    <sheetView workbookViewId="0"/>
  </sheetViews>
  <sheetFormatPr defaultColWidth="9.140625" defaultRowHeight="15.75" customHeight="1" x14ac:dyDescent="0.2"/>
  <cols>
    <col min="1" max="1" width="3.5703125" style="2" customWidth="1"/>
    <col min="2" max="2" width="50.42578125" style="9" customWidth="1"/>
    <col min="3" max="3" width="26.42578125" style="9" customWidth="1"/>
    <col min="4" max="4" width="26.5703125" style="9" customWidth="1"/>
    <col min="5" max="5" width="27.710937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13</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132</v>
      </c>
      <c r="C5" s="19"/>
      <c r="D5" s="19"/>
      <c r="E5" s="20"/>
      <c r="F5" s="21"/>
      <c r="G5" s="22"/>
      <c r="H5" s="23"/>
    </row>
    <row r="6" spans="2:8" ht="15.75" customHeight="1" x14ac:dyDescent="0.2">
      <c r="B6" s="24" t="s">
        <v>133</v>
      </c>
      <c r="C6" s="25"/>
      <c r="D6" s="25"/>
      <c r="E6" s="26"/>
      <c r="F6" s="27"/>
      <c r="G6" s="28"/>
      <c r="H6" s="29"/>
    </row>
    <row r="7" spans="2:8" ht="15.75" customHeight="1" x14ac:dyDescent="0.2">
      <c r="B7" s="25" t="s">
        <v>236</v>
      </c>
      <c r="C7" s="25" t="s">
        <v>237</v>
      </c>
      <c r="D7" s="25" t="s">
        <v>139</v>
      </c>
      <c r="E7" s="26">
        <v>21467</v>
      </c>
      <c r="F7" s="27">
        <v>941.4</v>
      </c>
      <c r="G7" s="28">
        <v>2.8500000000000001E-2</v>
      </c>
      <c r="H7" s="29"/>
    </row>
    <row r="8" spans="2:8" ht="15.75" customHeight="1" x14ac:dyDescent="0.2">
      <c r="B8" s="25" t="s">
        <v>289</v>
      </c>
      <c r="C8" s="25" t="s">
        <v>290</v>
      </c>
      <c r="D8" s="25" t="s">
        <v>136</v>
      </c>
      <c r="E8" s="26">
        <v>46630</v>
      </c>
      <c r="F8" s="27">
        <v>843.02</v>
      </c>
      <c r="G8" s="28">
        <v>2.5499999999999998E-2</v>
      </c>
      <c r="H8" s="29"/>
    </row>
    <row r="9" spans="2:8" ht="15.75" customHeight="1" x14ac:dyDescent="0.2">
      <c r="B9" s="25" t="s">
        <v>134</v>
      </c>
      <c r="C9" s="25" t="s">
        <v>135</v>
      </c>
      <c r="D9" s="25" t="s">
        <v>136</v>
      </c>
      <c r="E9" s="26">
        <v>68631</v>
      </c>
      <c r="F9" s="27">
        <v>833.8</v>
      </c>
      <c r="G9" s="28">
        <v>2.52E-2</v>
      </c>
      <c r="H9" s="29"/>
    </row>
    <row r="10" spans="2:8" ht="15.75" customHeight="1" x14ac:dyDescent="0.2">
      <c r="B10" s="25" t="s">
        <v>255</v>
      </c>
      <c r="C10" s="25" t="s">
        <v>256</v>
      </c>
      <c r="D10" s="25" t="s">
        <v>184</v>
      </c>
      <c r="E10" s="26">
        <v>193852</v>
      </c>
      <c r="F10" s="27">
        <v>806.42</v>
      </c>
      <c r="G10" s="28">
        <v>2.4400000000000002E-2</v>
      </c>
      <c r="H10" s="29"/>
    </row>
    <row r="11" spans="2:8" ht="15.75" customHeight="1" x14ac:dyDescent="0.2">
      <c r="B11" s="25" t="s">
        <v>153</v>
      </c>
      <c r="C11" s="25" t="s">
        <v>154</v>
      </c>
      <c r="D11" s="25" t="s">
        <v>155</v>
      </c>
      <c r="E11" s="26">
        <v>24651</v>
      </c>
      <c r="F11" s="27">
        <v>742.2</v>
      </c>
      <c r="G11" s="28">
        <v>2.2499999999999999E-2</v>
      </c>
      <c r="H11" s="29"/>
    </row>
    <row r="12" spans="2:8" ht="15.75" customHeight="1" x14ac:dyDescent="0.2">
      <c r="B12" s="25" t="s">
        <v>234</v>
      </c>
      <c r="C12" s="25" t="s">
        <v>235</v>
      </c>
      <c r="D12" s="25" t="s">
        <v>145</v>
      </c>
      <c r="E12" s="26">
        <v>5563</v>
      </c>
      <c r="F12" s="27">
        <v>729.63</v>
      </c>
      <c r="G12" s="28">
        <v>2.2100000000000002E-2</v>
      </c>
      <c r="H12" s="29"/>
    </row>
    <row r="13" spans="2:8" ht="15.75" customHeight="1" x14ac:dyDescent="0.2">
      <c r="B13" s="25" t="s">
        <v>479</v>
      </c>
      <c r="C13" s="25" t="s">
        <v>480</v>
      </c>
      <c r="D13" s="25" t="s">
        <v>212</v>
      </c>
      <c r="E13" s="26">
        <v>24664</v>
      </c>
      <c r="F13" s="27">
        <v>723.14</v>
      </c>
      <c r="G13" s="28">
        <v>2.1899999999999999E-2</v>
      </c>
      <c r="H13" s="29"/>
    </row>
    <row r="14" spans="2:8" ht="15.75" customHeight="1" x14ac:dyDescent="0.2">
      <c r="B14" s="25" t="s">
        <v>140</v>
      </c>
      <c r="C14" s="25" t="s">
        <v>141</v>
      </c>
      <c r="D14" s="25" t="s">
        <v>142</v>
      </c>
      <c r="E14" s="26">
        <v>26412</v>
      </c>
      <c r="F14" s="27">
        <v>714.62</v>
      </c>
      <c r="G14" s="28">
        <v>2.1600000000000001E-2</v>
      </c>
      <c r="H14" s="29"/>
    </row>
    <row r="15" spans="2:8" ht="15.75" customHeight="1" x14ac:dyDescent="0.2">
      <c r="B15" s="25" t="s">
        <v>326</v>
      </c>
      <c r="C15" s="25" t="s">
        <v>327</v>
      </c>
      <c r="D15" s="25" t="s">
        <v>212</v>
      </c>
      <c r="E15" s="26">
        <v>127550</v>
      </c>
      <c r="F15" s="27">
        <v>710.2</v>
      </c>
      <c r="G15" s="28">
        <v>2.1499999999999998E-2</v>
      </c>
      <c r="H15" s="29"/>
    </row>
    <row r="16" spans="2:8" ht="15.75" customHeight="1" x14ac:dyDescent="0.2">
      <c r="B16" s="25" t="s">
        <v>295</v>
      </c>
      <c r="C16" s="25" t="s">
        <v>296</v>
      </c>
      <c r="D16" s="25" t="s">
        <v>297</v>
      </c>
      <c r="E16" s="26">
        <v>16549</v>
      </c>
      <c r="F16" s="27">
        <v>707.79</v>
      </c>
      <c r="G16" s="28">
        <v>2.1399999999999999E-2</v>
      </c>
      <c r="H16" s="29"/>
    </row>
    <row r="17" spans="2:8" ht="15.75" customHeight="1" x14ac:dyDescent="0.2">
      <c r="B17" s="25" t="s">
        <v>149</v>
      </c>
      <c r="C17" s="25" t="s">
        <v>150</v>
      </c>
      <c r="D17" s="25" t="s">
        <v>136</v>
      </c>
      <c r="E17" s="26">
        <v>43581</v>
      </c>
      <c r="F17" s="27">
        <v>704.16</v>
      </c>
      <c r="G17" s="28">
        <v>2.1299999999999999E-2</v>
      </c>
      <c r="H17" s="29"/>
    </row>
    <row r="18" spans="2:8" ht="15.75" customHeight="1" x14ac:dyDescent="0.2">
      <c r="B18" s="25" t="s">
        <v>536</v>
      </c>
      <c r="C18" s="25" t="s">
        <v>537</v>
      </c>
      <c r="D18" s="25" t="s">
        <v>352</v>
      </c>
      <c r="E18" s="26">
        <v>38657</v>
      </c>
      <c r="F18" s="27">
        <v>659.8</v>
      </c>
      <c r="G18" s="28">
        <v>0.02</v>
      </c>
      <c r="H18" s="29"/>
    </row>
    <row r="19" spans="2:8" ht="15.75" customHeight="1" x14ac:dyDescent="0.2">
      <c r="B19" s="25" t="s">
        <v>173</v>
      </c>
      <c r="C19" s="25" t="s">
        <v>174</v>
      </c>
      <c r="D19" s="25" t="s">
        <v>175</v>
      </c>
      <c r="E19" s="26">
        <v>205472</v>
      </c>
      <c r="F19" s="27">
        <v>649.39</v>
      </c>
      <c r="G19" s="28">
        <v>1.9699999999999999E-2</v>
      </c>
      <c r="H19" s="29"/>
    </row>
    <row r="20" spans="2:8" ht="15.75" customHeight="1" x14ac:dyDescent="0.2">
      <c r="B20" s="25" t="s">
        <v>320</v>
      </c>
      <c r="C20" s="25" t="s">
        <v>321</v>
      </c>
      <c r="D20" s="25" t="s">
        <v>172</v>
      </c>
      <c r="E20" s="26">
        <v>12155</v>
      </c>
      <c r="F20" s="27">
        <v>645.37</v>
      </c>
      <c r="G20" s="28">
        <v>1.95E-2</v>
      </c>
      <c r="H20" s="29"/>
    </row>
    <row r="21" spans="2:8" ht="15.75" customHeight="1" x14ac:dyDescent="0.2">
      <c r="B21" s="25" t="s">
        <v>143</v>
      </c>
      <c r="C21" s="25" t="s">
        <v>144</v>
      </c>
      <c r="D21" s="25" t="s">
        <v>145</v>
      </c>
      <c r="E21" s="26">
        <v>21424</v>
      </c>
      <c r="F21" s="27">
        <v>622.97</v>
      </c>
      <c r="G21" s="28">
        <v>1.89E-2</v>
      </c>
      <c r="H21" s="29"/>
    </row>
    <row r="22" spans="2:8" ht="15.75" customHeight="1" x14ac:dyDescent="0.2">
      <c r="B22" s="25" t="s">
        <v>340</v>
      </c>
      <c r="C22" s="25" t="s">
        <v>341</v>
      </c>
      <c r="D22" s="25" t="s">
        <v>263</v>
      </c>
      <c r="E22" s="26">
        <v>11996</v>
      </c>
      <c r="F22" s="27">
        <v>536.49</v>
      </c>
      <c r="G22" s="28">
        <v>1.6199999999999999E-2</v>
      </c>
      <c r="H22" s="29"/>
    </row>
    <row r="23" spans="2:8" ht="15.75" customHeight="1" x14ac:dyDescent="0.2">
      <c r="B23" s="25" t="s">
        <v>538</v>
      </c>
      <c r="C23" s="25" t="s">
        <v>539</v>
      </c>
      <c r="D23" s="25" t="s">
        <v>297</v>
      </c>
      <c r="E23" s="26">
        <v>86256</v>
      </c>
      <c r="F23" s="27">
        <v>526.33000000000004</v>
      </c>
      <c r="G23" s="28">
        <v>1.5900000000000001E-2</v>
      </c>
      <c r="H23" s="29"/>
    </row>
    <row r="24" spans="2:8" ht="15.75" customHeight="1" x14ac:dyDescent="0.2">
      <c r="B24" s="25" t="s">
        <v>287</v>
      </c>
      <c r="C24" s="25" t="s">
        <v>288</v>
      </c>
      <c r="D24" s="25" t="s">
        <v>136</v>
      </c>
      <c r="E24" s="26">
        <v>58368</v>
      </c>
      <c r="F24" s="27">
        <v>509.2</v>
      </c>
      <c r="G24" s="28">
        <v>1.54E-2</v>
      </c>
      <c r="H24" s="29"/>
    </row>
    <row r="25" spans="2:8" ht="15.75" customHeight="1" x14ac:dyDescent="0.2">
      <c r="B25" s="25" t="s">
        <v>324</v>
      </c>
      <c r="C25" s="25" t="s">
        <v>325</v>
      </c>
      <c r="D25" s="25" t="s">
        <v>136</v>
      </c>
      <c r="E25" s="26">
        <v>35537</v>
      </c>
      <c r="F25" s="27">
        <v>507.4</v>
      </c>
      <c r="G25" s="28">
        <v>1.54E-2</v>
      </c>
      <c r="H25" s="29"/>
    </row>
    <row r="26" spans="2:8" ht="15.75" customHeight="1" x14ac:dyDescent="0.2">
      <c r="B26" s="25" t="s">
        <v>493</v>
      </c>
      <c r="C26" s="25" t="s">
        <v>494</v>
      </c>
      <c r="D26" s="25" t="s">
        <v>314</v>
      </c>
      <c r="E26" s="26">
        <v>191559</v>
      </c>
      <c r="F26" s="27">
        <v>505.26</v>
      </c>
      <c r="G26" s="28">
        <v>1.5299999999999999E-2</v>
      </c>
      <c r="H26" s="29"/>
    </row>
    <row r="27" spans="2:8" ht="15.75" customHeight="1" x14ac:dyDescent="0.2">
      <c r="B27" s="25" t="s">
        <v>203</v>
      </c>
      <c r="C27" s="25" t="s">
        <v>204</v>
      </c>
      <c r="D27" s="25" t="s">
        <v>139</v>
      </c>
      <c r="E27" s="26">
        <v>32086</v>
      </c>
      <c r="F27" s="27">
        <v>498.74</v>
      </c>
      <c r="G27" s="28">
        <v>1.5100000000000001E-2</v>
      </c>
      <c r="H27" s="29"/>
    </row>
    <row r="28" spans="2:8" ht="15.75" customHeight="1" x14ac:dyDescent="0.2">
      <c r="B28" s="25" t="s">
        <v>424</v>
      </c>
      <c r="C28" s="25" t="s">
        <v>425</v>
      </c>
      <c r="D28" s="25" t="s">
        <v>220</v>
      </c>
      <c r="E28" s="26">
        <v>97403</v>
      </c>
      <c r="F28" s="27">
        <v>498.51</v>
      </c>
      <c r="G28" s="28">
        <v>1.5100000000000001E-2</v>
      </c>
      <c r="H28" s="29"/>
    </row>
    <row r="29" spans="2:8" ht="15.75" customHeight="1" x14ac:dyDescent="0.2">
      <c r="B29" s="25" t="s">
        <v>540</v>
      </c>
      <c r="C29" s="25" t="s">
        <v>541</v>
      </c>
      <c r="D29" s="25" t="s">
        <v>207</v>
      </c>
      <c r="E29" s="26">
        <v>90436</v>
      </c>
      <c r="F29" s="27">
        <v>495.59</v>
      </c>
      <c r="G29" s="28">
        <v>1.4999999999999999E-2</v>
      </c>
      <c r="H29" s="29"/>
    </row>
    <row r="30" spans="2:8" ht="15.75" customHeight="1" x14ac:dyDescent="0.2">
      <c r="B30" s="25" t="s">
        <v>542</v>
      </c>
      <c r="C30" s="25" t="s">
        <v>543</v>
      </c>
      <c r="D30" s="25" t="s">
        <v>178</v>
      </c>
      <c r="E30" s="26">
        <v>9826</v>
      </c>
      <c r="F30" s="27">
        <v>494.43</v>
      </c>
      <c r="G30" s="28">
        <v>1.4999999999999999E-2</v>
      </c>
      <c r="H30" s="29"/>
    </row>
    <row r="31" spans="2:8" ht="15.75" customHeight="1" x14ac:dyDescent="0.2">
      <c r="B31" s="25" t="s">
        <v>182</v>
      </c>
      <c r="C31" s="25" t="s">
        <v>183</v>
      </c>
      <c r="D31" s="25" t="s">
        <v>184</v>
      </c>
      <c r="E31" s="26">
        <v>108802</v>
      </c>
      <c r="F31" s="27">
        <v>493.53</v>
      </c>
      <c r="G31" s="28">
        <v>1.49E-2</v>
      </c>
      <c r="H31" s="29"/>
    </row>
    <row r="32" spans="2:8" ht="15.75" customHeight="1" x14ac:dyDescent="0.2">
      <c r="B32" s="25" t="s">
        <v>137</v>
      </c>
      <c r="C32" s="25" t="s">
        <v>138</v>
      </c>
      <c r="D32" s="25" t="s">
        <v>139</v>
      </c>
      <c r="E32" s="26">
        <v>26348</v>
      </c>
      <c r="F32" s="27">
        <v>492.25</v>
      </c>
      <c r="G32" s="28">
        <v>1.49E-2</v>
      </c>
      <c r="H32" s="29"/>
    </row>
    <row r="33" spans="2:8" ht="15.75" customHeight="1" x14ac:dyDescent="0.2">
      <c r="B33" s="25" t="s">
        <v>544</v>
      </c>
      <c r="C33" s="25" t="s">
        <v>545</v>
      </c>
      <c r="D33" s="25" t="s">
        <v>230</v>
      </c>
      <c r="E33" s="26">
        <v>109260</v>
      </c>
      <c r="F33" s="27">
        <v>481.51</v>
      </c>
      <c r="G33" s="28">
        <v>1.46E-2</v>
      </c>
      <c r="H33" s="29"/>
    </row>
    <row r="34" spans="2:8" ht="15.75" customHeight="1" x14ac:dyDescent="0.2">
      <c r="B34" s="25" t="s">
        <v>503</v>
      </c>
      <c r="C34" s="25" t="s">
        <v>504</v>
      </c>
      <c r="D34" s="25" t="s">
        <v>266</v>
      </c>
      <c r="E34" s="26">
        <v>648377</v>
      </c>
      <c r="F34" s="27">
        <v>478.89</v>
      </c>
      <c r="G34" s="28">
        <v>1.4500000000000001E-2</v>
      </c>
      <c r="H34" s="29"/>
    </row>
    <row r="35" spans="2:8" ht="15.75" customHeight="1" x14ac:dyDescent="0.2">
      <c r="B35" s="25" t="s">
        <v>151</v>
      </c>
      <c r="C35" s="25" t="s">
        <v>152</v>
      </c>
      <c r="D35" s="25" t="s">
        <v>139</v>
      </c>
      <c r="E35" s="26">
        <v>7713</v>
      </c>
      <c r="F35" s="27">
        <v>436.41</v>
      </c>
      <c r="G35" s="28">
        <v>1.32E-2</v>
      </c>
      <c r="H35" s="29"/>
    </row>
    <row r="36" spans="2:8" ht="15.75" customHeight="1" x14ac:dyDescent="0.2">
      <c r="B36" s="25" t="s">
        <v>322</v>
      </c>
      <c r="C36" s="25" t="s">
        <v>323</v>
      </c>
      <c r="D36" s="25" t="s">
        <v>233</v>
      </c>
      <c r="E36" s="26">
        <v>16260</v>
      </c>
      <c r="F36" s="27">
        <v>430.06</v>
      </c>
      <c r="G36" s="28">
        <v>1.2999999999999999E-2</v>
      </c>
      <c r="H36" s="29"/>
    </row>
    <row r="37" spans="2:8" ht="15.75" customHeight="1" x14ac:dyDescent="0.2">
      <c r="B37" s="25" t="s">
        <v>285</v>
      </c>
      <c r="C37" s="25" t="s">
        <v>286</v>
      </c>
      <c r="D37" s="25" t="s">
        <v>142</v>
      </c>
      <c r="E37" s="26">
        <v>86190</v>
      </c>
      <c r="F37" s="27">
        <v>426.94</v>
      </c>
      <c r="G37" s="28">
        <v>1.29E-2</v>
      </c>
      <c r="H37" s="29"/>
    </row>
    <row r="38" spans="2:8" ht="15.75" customHeight="1" x14ac:dyDescent="0.2">
      <c r="B38" s="25" t="s">
        <v>337</v>
      </c>
      <c r="C38" s="25" t="s">
        <v>338</v>
      </c>
      <c r="D38" s="25" t="s">
        <v>339</v>
      </c>
      <c r="E38" s="26">
        <v>134911</v>
      </c>
      <c r="F38" s="27">
        <v>415.8</v>
      </c>
      <c r="G38" s="28">
        <v>1.26E-2</v>
      </c>
      <c r="H38" s="29"/>
    </row>
    <row r="39" spans="2:8" ht="15.75" customHeight="1" x14ac:dyDescent="0.2">
      <c r="B39" s="25" t="s">
        <v>346</v>
      </c>
      <c r="C39" s="25" t="s">
        <v>347</v>
      </c>
      <c r="D39" s="25" t="s">
        <v>266</v>
      </c>
      <c r="E39" s="26">
        <v>90830</v>
      </c>
      <c r="F39" s="27">
        <v>403.97</v>
      </c>
      <c r="G39" s="28">
        <v>1.2200000000000001E-2</v>
      </c>
      <c r="H39" s="29"/>
    </row>
    <row r="40" spans="2:8" ht="15.75" customHeight="1" x14ac:dyDescent="0.2">
      <c r="B40" s="25" t="s">
        <v>360</v>
      </c>
      <c r="C40" s="25" t="s">
        <v>361</v>
      </c>
      <c r="D40" s="25" t="s">
        <v>207</v>
      </c>
      <c r="E40" s="26">
        <v>118718</v>
      </c>
      <c r="F40" s="27">
        <v>402.75</v>
      </c>
      <c r="G40" s="28">
        <v>1.2200000000000001E-2</v>
      </c>
      <c r="H40" s="29"/>
    </row>
    <row r="41" spans="2:8" ht="15.75" customHeight="1" x14ac:dyDescent="0.2">
      <c r="B41" s="25" t="s">
        <v>392</v>
      </c>
      <c r="C41" s="25" t="s">
        <v>393</v>
      </c>
      <c r="D41" s="25" t="s">
        <v>311</v>
      </c>
      <c r="E41" s="26">
        <v>109195</v>
      </c>
      <c r="F41" s="27">
        <v>402.33</v>
      </c>
      <c r="G41" s="28">
        <v>1.2200000000000001E-2</v>
      </c>
      <c r="H41" s="29"/>
    </row>
    <row r="42" spans="2:8" ht="15.75" customHeight="1" x14ac:dyDescent="0.2">
      <c r="B42" s="25" t="s">
        <v>404</v>
      </c>
      <c r="C42" s="25" t="s">
        <v>405</v>
      </c>
      <c r="D42" s="25" t="s">
        <v>266</v>
      </c>
      <c r="E42" s="26">
        <v>23178</v>
      </c>
      <c r="F42" s="27">
        <v>401.79</v>
      </c>
      <c r="G42" s="28">
        <v>1.2200000000000001E-2</v>
      </c>
      <c r="H42" s="29"/>
    </row>
    <row r="43" spans="2:8" ht="15.75" customHeight="1" x14ac:dyDescent="0.2">
      <c r="B43" s="25" t="s">
        <v>546</v>
      </c>
      <c r="C43" s="25" t="s">
        <v>547</v>
      </c>
      <c r="D43" s="25" t="s">
        <v>233</v>
      </c>
      <c r="E43" s="26">
        <v>42150</v>
      </c>
      <c r="F43" s="27">
        <v>394.88</v>
      </c>
      <c r="G43" s="28">
        <v>1.1900000000000001E-2</v>
      </c>
      <c r="H43" s="29"/>
    </row>
    <row r="44" spans="2:8" ht="15.75" customHeight="1" x14ac:dyDescent="0.2">
      <c r="B44" s="25" t="s">
        <v>505</v>
      </c>
      <c r="C44" s="25" t="s">
        <v>506</v>
      </c>
      <c r="D44" s="25" t="s">
        <v>155</v>
      </c>
      <c r="E44" s="26">
        <v>63100</v>
      </c>
      <c r="F44" s="27">
        <v>392.1</v>
      </c>
      <c r="G44" s="28">
        <v>1.1900000000000001E-2</v>
      </c>
      <c r="H44" s="29"/>
    </row>
    <row r="45" spans="2:8" ht="15.75" customHeight="1" x14ac:dyDescent="0.2">
      <c r="B45" s="25" t="s">
        <v>548</v>
      </c>
      <c r="C45" s="25" t="s">
        <v>549</v>
      </c>
      <c r="D45" s="25" t="s">
        <v>443</v>
      </c>
      <c r="E45" s="26">
        <v>21354</v>
      </c>
      <c r="F45" s="27">
        <v>387.77</v>
      </c>
      <c r="G45" s="28">
        <v>1.17E-2</v>
      </c>
      <c r="H45" s="29"/>
    </row>
    <row r="46" spans="2:8" ht="15.75" customHeight="1" x14ac:dyDescent="0.2">
      <c r="B46" s="25" t="s">
        <v>300</v>
      </c>
      <c r="C46" s="25" t="s">
        <v>301</v>
      </c>
      <c r="D46" s="25" t="s">
        <v>269</v>
      </c>
      <c r="E46" s="26">
        <v>13820</v>
      </c>
      <c r="F46" s="27">
        <v>383.75</v>
      </c>
      <c r="G46" s="28">
        <v>1.1599999999999999E-2</v>
      </c>
      <c r="H46" s="29"/>
    </row>
    <row r="47" spans="2:8" ht="15.75" customHeight="1" x14ac:dyDescent="0.2">
      <c r="B47" s="25" t="s">
        <v>372</v>
      </c>
      <c r="C47" s="25" t="s">
        <v>373</v>
      </c>
      <c r="D47" s="25" t="s">
        <v>352</v>
      </c>
      <c r="E47" s="26">
        <v>24257</v>
      </c>
      <c r="F47" s="27">
        <v>379.06</v>
      </c>
      <c r="G47" s="28">
        <v>1.15E-2</v>
      </c>
      <c r="H47" s="29"/>
    </row>
    <row r="48" spans="2:8" ht="15.75" customHeight="1" x14ac:dyDescent="0.2">
      <c r="B48" s="25" t="s">
        <v>550</v>
      </c>
      <c r="C48" s="25" t="s">
        <v>551</v>
      </c>
      <c r="D48" s="25" t="s">
        <v>145</v>
      </c>
      <c r="E48" s="26">
        <v>3863</v>
      </c>
      <c r="F48" s="27">
        <v>373.33</v>
      </c>
      <c r="G48" s="28">
        <v>1.1299999999999999E-2</v>
      </c>
      <c r="H48" s="29"/>
    </row>
    <row r="49" spans="2:8" ht="15.75" customHeight="1" x14ac:dyDescent="0.2">
      <c r="B49" s="25" t="s">
        <v>552</v>
      </c>
      <c r="C49" s="25" t="s">
        <v>553</v>
      </c>
      <c r="D49" s="25" t="s">
        <v>554</v>
      </c>
      <c r="E49" s="26">
        <v>54753</v>
      </c>
      <c r="F49" s="27">
        <v>369.58</v>
      </c>
      <c r="G49" s="28">
        <v>1.12E-2</v>
      </c>
      <c r="H49" s="29"/>
    </row>
    <row r="50" spans="2:8" ht="15.75" customHeight="1" x14ac:dyDescent="0.2">
      <c r="B50" s="25" t="s">
        <v>191</v>
      </c>
      <c r="C50" s="25" t="s">
        <v>192</v>
      </c>
      <c r="D50" s="25" t="s">
        <v>184</v>
      </c>
      <c r="E50" s="26">
        <v>103907</v>
      </c>
      <c r="F50" s="27">
        <v>361.8</v>
      </c>
      <c r="G50" s="28">
        <v>1.09E-2</v>
      </c>
      <c r="H50" s="29"/>
    </row>
    <row r="51" spans="2:8" ht="15.75" customHeight="1" x14ac:dyDescent="0.2">
      <c r="B51" s="25" t="s">
        <v>555</v>
      </c>
      <c r="C51" s="25" t="s">
        <v>556</v>
      </c>
      <c r="D51" s="25" t="s">
        <v>254</v>
      </c>
      <c r="E51" s="26">
        <v>63739</v>
      </c>
      <c r="F51" s="27">
        <v>361.75</v>
      </c>
      <c r="G51" s="28">
        <v>1.09E-2</v>
      </c>
      <c r="H51" s="29"/>
    </row>
    <row r="52" spans="2:8" ht="15.75" customHeight="1" x14ac:dyDescent="0.2">
      <c r="B52" s="25" t="s">
        <v>350</v>
      </c>
      <c r="C52" s="25" t="s">
        <v>351</v>
      </c>
      <c r="D52" s="25" t="s">
        <v>352</v>
      </c>
      <c r="E52" s="26">
        <v>9471</v>
      </c>
      <c r="F52" s="27">
        <v>361.32</v>
      </c>
      <c r="G52" s="28">
        <v>1.09E-2</v>
      </c>
      <c r="H52" s="29"/>
    </row>
    <row r="53" spans="2:8" ht="15.75" customHeight="1" x14ac:dyDescent="0.2">
      <c r="B53" s="25" t="s">
        <v>557</v>
      </c>
      <c r="C53" s="25" t="s">
        <v>558</v>
      </c>
      <c r="D53" s="25" t="s">
        <v>339</v>
      </c>
      <c r="E53" s="26">
        <v>20864</v>
      </c>
      <c r="F53" s="27">
        <v>359.59</v>
      </c>
      <c r="G53" s="28">
        <v>1.09E-2</v>
      </c>
      <c r="H53" s="29"/>
    </row>
    <row r="54" spans="2:8" ht="15.75" customHeight="1" x14ac:dyDescent="0.2">
      <c r="B54" s="25" t="s">
        <v>559</v>
      </c>
      <c r="C54" s="25" t="s">
        <v>560</v>
      </c>
      <c r="D54" s="25" t="s">
        <v>148</v>
      </c>
      <c r="E54" s="26">
        <v>25522</v>
      </c>
      <c r="F54" s="27">
        <v>357.91</v>
      </c>
      <c r="G54" s="28">
        <v>1.0800000000000001E-2</v>
      </c>
      <c r="H54" s="29"/>
    </row>
    <row r="55" spans="2:8" ht="15.75" customHeight="1" x14ac:dyDescent="0.2">
      <c r="B55" s="25" t="s">
        <v>561</v>
      </c>
      <c r="C55" s="25" t="s">
        <v>562</v>
      </c>
      <c r="D55" s="25" t="s">
        <v>352</v>
      </c>
      <c r="E55" s="26">
        <v>51927</v>
      </c>
      <c r="F55" s="27">
        <v>354.22</v>
      </c>
      <c r="G55" s="28">
        <v>1.0699999999999999E-2</v>
      </c>
      <c r="H55" s="29"/>
    </row>
    <row r="56" spans="2:8" ht="15.75" customHeight="1" x14ac:dyDescent="0.2">
      <c r="B56" s="25" t="s">
        <v>398</v>
      </c>
      <c r="C56" s="25" t="s">
        <v>399</v>
      </c>
      <c r="D56" s="25" t="s">
        <v>178</v>
      </c>
      <c r="E56" s="26">
        <v>83356</v>
      </c>
      <c r="F56" s="27">
        <v>346.26</v>
      </c>
      <c r="G56" s="28">
        <v>1.0500000000000001E-2</v>
      </c>
      <c r="H56" s="29"/>
    </row>
    <row r="57" spans="2:8" ht="15.75" customHeight="1" x14ac:dyDescent="0.2">
      <c r="B57" s="25" t="s">
        <v>563</v>
      </c>
      <c r="C57" s="25" t="s">
        <v>564</v>
      </c>
      <c r="D57" s="25" t="s">
        <v>314</v>
      </c>
      <c r="E57" s="26">
        <v>5220</v>
      </c>
      <c r="F57" s="27">
        <v>345.32</v>
      </c>
      <c r="G57" s="28">
        <v>1.04E-2</v>
      </c>
      <c r="H57" s="29"/>
    </row>
    <row r="58" spans="2:8" ht="15.75" customHeight="1" x14ac:dyDescent="0.2">
      <c r="B58" s="25" t="s">
        <v>355</v>
      </c>
      <c r="C58" s="25" t="s">
        <v>356</v>
      </c>
      <c r="D58" s="25" t="s">
        <v>136</v>
      </c>
      <c r="E58" s="26">
        <v>271700</v>
      </c>
      <c r="F58" s="27">
        <v>341.8</v>
      </c>
      <c r="G58" s="28">
        <v>1.03E-2</v>
      </c>
      <c r="H58" s="29"/>
    </row>
    <row r="59" spans="2:8" ht="15.75" customHeight="1" x14ac:dyDescent="0.2">
      <c r="B59" s="25" t="s">
        <v>565</v>
      </c>
      <c r="C59" s="25" t="s">
        <v>566</v>
      </c>
      <c r="D59" s="25" t="s">
        <v>217</v>
      </c>
      <c r="E59" s="26">
        <v>17066</v>
      </c>
      <c r="F59" s="27">
        <v>339.74</v>
      </c>
      <c r="G59" s="28">
        <v>1.03E-2</v>
      </c>
      <c r="H59" s="29"/>
    </row>
    <row r="60" spans="2:8" ht="15.75" customHeight="1" x14ac:dyDescent="0.2">
      <c r="B60" s="25" t="s">
        <v>420</v>
      </c>
      <c r="C60" s="25" t="s">
        <v>421</v>
      </c>
      <c r="D60" s="25" t="s">
        <v>202</v>
      </c>
      <c r="E60" s="26">
        <v>154554</v>
      </c>
      <c r="F60" s="27">
        <v>338.58</v>
      </c>
      <c r="G60" s="28">
        <v>1.0200000000000001E-2</v>
      </c>
      <c r="H60" s="29"/>
    </row>
    <row r="61" spans="2:8" ht="15.75" customHeight="1" x14ac:dyDescent="0.2">
      <c r="B61" s="25" t="s">
        <v>213</v>
      </c>
      <c r="C61" s="25" t="s">
        <v>214</v>
      </c>
      <c r="D61" s="25" t="s">
        <v>136</v>
      </c>
      <c r="E61" s="26">
        <v>127540</v>
      </c>
      <c r="F61" s="27">
        <v>323.51</v>
      </c>
      <c r="G61" s="28">
        <v>9.7999999999999997E-3</v>
      </c>
      <c r="H61" s="29"/>
    </row>
    <row r="62" spans="2:8" ht="15.75" customHeight="1" x14ac:dyDescent="0.2">
      <c r="B62" s="25" t="s">
        <v>305</v>
      </c>
      <c r="C62" s="25" t="s">
        <v>306</v>
      </c>
      <c r="D62" s="25" t="s">
        <v>145</v>
      </c>
      <c r="E62" s="26">
        <v>5755</v>
      </c>
      <c r="F62" s="27">
        <v>315.86</v>
      </c>
      <c r="G62" s="28">
        <v>9.5999999999999992E-3</v>
      </c>
      <c r="H62" s="29"/>
    </row>
    <row r="63" spans="2:8" ht="15.75" customHeight="1" x14ac:dyDescent="0.2">
      <c r="B63" s="25" t="s">
        <v>388</v>
      </c>
      <c r="C63" s="25" t="s">
        <v>389</v>
      </c>
      <c r="D63" s="25" t="s">
        <v>178</v>
      </c>
      <c r="E63" s="26">
        <v>19288</v>
      </c>
      <c r="F63" s="27">
        <v>313.93</v>
      </c>
      <c r="G63" s="28">
        <v>9.4999999999999998E-3</v>
      </c>
      <c r="H63" s="29"/>
    </row>
    <row r="64" spans="2:8" ht="15.75" customHeight="1" x14ac:dyDescent="0.2">
      <c r="B64" s="25" t="s">
        <v>402</v>
      </c>
      <c r="C64" s="25" t="s">
        <v>403</v>
      </c>
      <c r="D64" s="25" t="s">
        <v>187</v>
      </c>
      <c r="E64" s="26">
        <v>9000</v>
      </c>
      <c r="F64" s="27">
        <v>311.31</v>
      </c>
      <c r="G64" s="28">
        <v>9.4000000000000004E-3</v>
      </c>
      <c r="H64" s="29"/>
    </row>
    <row r="65" spans="2:14" ht="15.75" customHeight="1" x14ac:dyDescent="0.2">
      <c r="B65" s="25" t="s">
        <v>567</v>
      </c>
      <c r="C65" s="25" t="s">
        <v>568</v>
      </c>
      <c r="D65" s="25" t="s">
        <v>569</v>
      </c>
      <c r="E65" s="26">
        <v>61415</v>
      </c>
      <c r="F65" s="27">
        <v>310.7</v>
      </c>
      <c r="G65" s="28">
        <v>9.4000000000000004E-3</v>
      </c>
      <c r="H65" s="29"/>
    </row>
    <row r="66" spans="2:14" ht="15.75" customHeight="1" x14ac:dyDescent="0.2">
      <c r="B66" s="25" t="s">
        <v>570</v>
      </c>
      <c r="C66" s="25" t="s">
        <v>571</v>
      </c>
      <c r="D66" s="25" t="s">
        <v>497</v>
      </c>
      <c r="E66" s="26">
        <v>727</v>
      </c>
      <c r="F66" s="27">
        <v>308.22000000000003</v>
      </c>
      <c r="G66" s="28">
        <v>9.2999999999999992E-3</v>
      </c>
      <c r="H66" s="29"/>
    </row>
    <row r="67" spans="2:14" ht="15.75" customHeight="1" x14ac:dyDescent="0.2">
      <c r="B67" s="25" t="s">
        <v>357</v>
      </c>
      <c r="C67" s="25" t="s">
        <v>358</v>
      </c>
      <c r="D67" s="25" t="s">
        <v>359</v>
      </c>
      <c r="E67" s="26">
        <v>7117</v>
      </c>
      <c r="F67" s="27">
        <v>300.94</v>
      </c>
      <c r="G67" s="28">
        <v>9.1000000000000004E-3</v>
      </c>
      <c r="H67" s="29"/>
    </row>
    <row r="68" spans="2:14" ht="15.75" customHeight="1" x14ac:dyDescent="0.2">
      <c r="B68" s="25" t="s">
        <v>307</v>
      </c>
      <c r="C68" s="25" t="s">
        <v>308</v>
      </c>
      <c r="D68" s="25" t="s">
        <v>297</v>
      </c>
      <c r="E68" s="26">
        <v>12047</v>
      </c>
      <c r="F68" s="27">
        <v>300.68</v>
      </c>
      <c r="G68" s="28">
        <v>9.1000000000000004E-3</v>
      </c>
      <c r="H68" s="29"/>
      <c r="J68" s="3"/>
    </row>
    <row r="69" spans="2:14" ht="15.75" customHeight="1" x14ac:dyDescent="0.2">
      <c r="B69" s="25" t="s">
        <v>572</v>
      </c>
      <c r="C69" s="25" t="s">
        <v>573</v>
      </c>
      <c r="D69" s="25" t="s">
        <v>233</v>
      </c>
      <c r="E69" s="26">
        <v>92052</v>
      </c>
      <c r="F69" s="27">
        <v>299.39999999999998</v>
      </c>
      <c r="G69" s="28">
        <v>9.1000000000000004E-3</v>
      </c>
      <c r="H69" s="29"/>
    </row>
    <row r="70" spans="2:14" ht="15.75" customHeight="1" x14ac:dyDescent="0.2">
      <c r="B70" s="25" t="s">
        <v>439</v>
      </c>
      <c r="C70" s="25" t="s">
        <v>440</v>
      </c>
      <c r="D70" s="25" t="s">
        <v>297</v>
      </c>
      <c r="E70" s="26">
        <v>21382</v>
      </c>
      <c r="F70" s="27">
        <v>276.95</v>
      </c>
      <c r="G70" s="28">
        <v>8.3999999999999995E-3</v>
      </c>
      <c r="H70" s="29"/>
      <c r="J70" s="3"/>
    </row>
    <row r="71" spans="2:14" ht="15.75" customHeight="1" x14ac:dyDescent="0.2">
      <c r="B71" s="25" t="s">
        <v>362</v>
      </c>
      <c r="C71" s="25" t="s">
        <v>363</v>
      </c>
      <c r="D71" s="25" t="s">
        <v>139</v>
      </c>
      <c r="E71" s="26">
        <v>36392</v>
      </c>
      <c r="F71" s="27">
        <v>268.14999999999998</v>
      </c>
      <c r="G71" s="28">
        <v>8.0999999999999996E-3</v>
      </c>
      <c r="H71" s="29"/>
      <c r="J71" s="3"/>
    </row>
    <row r="72" spans="2:14" ht="15.75" customHeight="1" x14ac:dyDescent="0.2">
      <c r="B72" s="25" t="s">
        <v>574</v>
      </c>
      <c r="C72" s="25" t="s">
        <v>575</v>
      </c>
      <c r="D72" s="25" t="s">
        <v>297</v>
      </c>
      <c r="E72" s="26">
        <v>37059</v>
      </c>
      <c r="F72" s="27">
        <v>240.74</v>
      </c>
      <c r="G72" s="28">
        <v>7.3000000000000001E-3</v>
      </c>
      <c r="H72" s="29"/>
      <c r="J72" s="3"/>
    </row>
    <row r="73" spans="2:14" ht="15.75" customHeight="1" x14ac:dyDescent="0.2">
      <c r="B73" s="25" t="s">
        <v>422</v>
      </c>
      <c r="C73" s="25" t="s">
        <v>423</v>
      </c>
      <c r="D73" s="25" t="s">
        <v>148</v>
      </c>
      <c r="E73" s="26">
        <v>31927</v>
      </c>
      <c r="F73" s="27">
        <v>228.34</v>
      </c>
      <c r="G73" s="28">
        <v>6.8999999999999999E-3</v>
      </c>
      <c r="H73" s="29"/>
      <c r="J73" s="3"/>
    </row>
    <row r="74" spans="2:14" ht="15.75" customHeight="1" x14ac:dyDescent="0.2">
      <c r="B74" s="25" t="s">
        <v>364</v>
      </c>
      <c r="C74" s="25" t="s">
        <v>365</v>
      </c>
      <c r="D74" s="25" t="s">
        <v>297</v>
      </c>
      <c r="E74" s="26">
        <v>13452</v>
      </c>
      <c r="F74" s="27">
        <v>192.61</v>
      </c>
      <c r="G74" s="28">
        <v>5.7999999999999996E-3</v>
      </c>
      <c r="H74" s="29"/>
      <c r="J74" s="3"/>
    </row>
    <row r="75" spans="2:14" ht="15.75" customHeight="1" x14ac:dyDescent="0.2">
      <c r="B75" s="25" t="s">
        <v>509</v>
      </c>
      <c r="C75" s="25" t="s">
        <v>510</v>
      </c>
      <c r="D75" s="25" t="s">
        <v>311</v>
      </c>
      <c r="E75" s="26">
        <v>5645</v>
      </c>
      <c r="F75" s="27">
        <v>191.31</v>
      </c>
      <c r="G75" s="28">
        <v>5.7999999999999996E-3</v>
      </c>
      <c r="H75" s="29"/>
      <c r="J75" s="5"/>
      <c r="K75" s="5"/>
      <c r="L75" s="6"/>
      <c r="M75" s="6"/>
      <c r="N75" s="5"/>
    </row>
    <row r="76" spans="2:14" ht="15.75" customHeight="1" x14ac:dyDescent="0.2">
      <c r="B76" s="25" t="s">
        <v>576</v>
      </c>
      <c r="C76" s="25" t="s">
        <v>577</v>
      </c>
      <c r="D76" s="25" t="s">
        <v>497</v>
      </c>
      <c r="E76" s="26">
        <v>112328</v>
      </c>
      <c r="F76" s="27">
        <v>169.65</v>
      </c>
      <c r="G76" s="28">
        <v>5.1000000000000004E-3</v>
      </c>
      <c r="H76" s="29"/>
    </row>
    <row r="77" spans="2:14" ht="15.75" customHeight="1" x14ac:dyDescent="0.2">
      <c r="B77" s="25" t="s">
        <v>578</v>
      </c>
      <c r="C77" s="25" t="s">
        <v>579</v>
      </c>
      <c r="D77" s="25" t="s">
        <v>172</v>
      </c>
      <c r="E77" s="26">
        <v>4452</v>
      </c>
      <c r="F77" s="27">
        <v>151.16</v>
      </c>
      <c r="G77" s="28">
        <v>4.5999999999999999E-3</v>
      </c>
      <c r="H77" s="29"/>
    </row>
    <row r="78" spans="2:14" ht="15.75" customHeight="1" x14ac:dyDescent="0.2">
      <c r="B78" s="25" t="s">
        <v>580</v>
      </c>
      <c r="C78" s="25" t="s">
        <v>581</v>
      </c>
      <c r="D78" s="25" t="s">
        <v>497</v>
      </c>
      <c r="E78" s="26">
        <v>1413</v>
      </c>
      <c r="F78" s="27">
        <v>12.34</v>
      </c>
      <c r="G78" s="28">
        <v>4.0000000000000002E-4</v>
      </c>
      <c r="H78" s="29"/>
      <c r="J78" s="7"/>
      <c r="K78" s="7"/>
      <c r="L78" s="7"/>
      <c r="M78" s="7"/>
      <c r="N78" s="7"/>
    </row>
    <row r="79" spans="2:14" ht="15.75" customHeight="1" x14ac:dyDescent="0.2">
      <c r="B79" s="24" t="s">
        <v>104</v>
      </c>
      <c r="C79" s="24"/>
      <c r="D79" s="24"/>
      <c r="E79" s="30"/>
      <c r="F79" s="31">
        <v>31936.65</v>
      </c>
      <c r="G79" s="32">
        <v>0.96640000000000004</v>
      </c>
      <c r="H79" s="33"/>
      <c r="J79" s="7"/>
      <c r="K79" s="7"/>
      <c r="L79" s="7"/>
      <c r="M79" s="7"/>
      <c r="N79" s="7"/>
    </row>
    <row r="80" spans="2:14" ht="15.75" customHeight="1" x14ac:dyDescent="0.2">
      <c r="B80" s="24" t="s">
        <v>156</v>
      </c>
      <c r="C80" s="25"/>
      <c r="D80" s="25"/>
      <c r="E80" s="26"/>
      <c r="F80" s="27"/>
      <c r="G80" s="28"/>
      <c r="H80" s="29"/>
      <c r="J80" s="7"/>
      <c r="K80" s="7"/>
      <c r="L80" s="7"/>
      <c r="M80" s="7"/>
      <c r="N80" s="7"/>
    </row>
    <row r="81" spans="2:14" ht="15.75" customHeight="1" x14ac:dyDescent="0.2">
      <c r="B81" s="24" t="s">
        <v>104</v>
      </c>
      <c r="C81" s="25"/>
      <c r="D81" s="25"/>
      <c r="E81" s="26"/>
      <c r="F81" s="34" t="s">
        <v>106</v>
      </c>
      <c r="G81" s="35" t="s">
        <v>106</v>
      </c>
      <c r="H81" s="29"/>
      <c r="J81" s="7"/>
      <c r="K81" s="7"/>
      <c r="L81" s="7"/>
      <c r="M81" s="7"/>
      <c r="N81" s="7"/>
    </row>
    <row r="82" spans="2:14" ht="15.75" customHeight="1" x14ac:dyDescent="0.2">
      <c r="B82" s="25"/>
      <c r="C82" s="25"/>
      <c r="D82" s="25"/>
      <c r="E82" s="26"/>
      <c r="F82" s="27"/>
      <c r="G82" s="28"/>
      <c r="H82" s="29"/>
      <c r="J82" s="7"/>
      <c r="K82" s="7"/>
      <c r="L82" s="7"/>
      <c r="M82" s="7"/>
      <c r="N82" s="7"/>
    </row>
    <row r="83" spans="2:14" ht="15.75" customHeight="1" x14ac:dyDescent="0.2">
      <c r="B83" s="36" t="s">
        <v>108</v>
      </c>
      <c r="C83" s="36"/>
      <c r="D83" s="36"/>
      <c r="E83" s="37"/>
      <c r="F83" s="31">
        <v>31936.65</v>
      </c>
      <c r="G83" s="32">
        <v>0.96640000000000004</v>
      </c>
      <c r="H83" s="33"/>
      <c r="J83" s="7"/>
      <c r="K83" s="7"/>
      <c r="L83" s="7"/>
      <c r="M83" s="7"/>
      <c r="N83" s="7"/>
    </row>
    <row r="84" spans="2:14" ht="15.75" customHeight="1" x14ac:dyDescent="0.2">
      <c r="B84" s="25"/>
      <c r="C84" s="25"/>
      <c r="D84" s="25"/>
      <c r="E84" s="26"/>
      <c r="F84" s="27"/>
      <c r="G84" s="28"/>
      <c r="H84" s="29"/>
      <c r="J84" s="7"/>
      <c r="K84" s="7"/>
      <c r="L84" s="7"/>
      <c r="M84" s="7"/>
      <c r="N84" s="7"/>
    </row>
    <row r="85" spans="2:14" ht="15.75" customHeight="1" x14ac:dyDescent="0.2">
      <c r="B85" s="25"/>
      <c r="C85" s="25"/>
      <c r="D85" s="25"/>
      <c r="E85" s="26"/>
      <c r="F85" s="27"/>
      <c r="G85" s="28"/>
      <c r="H85" s="29"/>
    </row>
    <row r="86" spans="2:14" ht="15.75" customHeight="1" x14ac:dyDescent="0.2">
      <c r="B86" s="24" t="s">
        <v>111</v>
      </c>
      <c r="C86" s="25"/>
      <c r="D86" s="25"/>
      <c r="E86" s="26"/>
      <c r="F86" s="27"/>
      <c r="G86" s="28"/>
      <c r="H86" s="29"/>
      <c r="J86" s="3"/>
    </row>
    <row r="87" spans="2:14" ht="15.75" customHeight="1" x14ac:dyDescent="0.2">
      <c r="B87" s="25" t="s">
        <v>112</v>
      </c>
      <c r="C87" s="25"/>
      <c r="D87" s="25"/>
      <c r="E87" s="26"/>
      <c r="F87" s="27">
        <v>1187.53</v>
      </c>
      <c r="G87" s="28">
        <v>3.5900000000000001E-2</v>
      </c>
      <c r="H87" s="29"/>
    </row>
    <row r="88" spans="2:14" ht="15.75" customHeight="1" x14ac:dyDescent="0.2">
      <c r="B88" s="24" t="s">
        <v>104</v>
      </c>
      <c r="C88" s="24"/>
      <c r="D88" s="24"/>
      <c r="E88" s="30"/>
      <c r="F88" s="31">
        <v>1187.53</v>
      </c>
      <c r="G88" s="32">
        <v>3.5900000000000001E-2</v>
      </c>
      <c r="H88" s="33"/>
    </row>
    <row r="89" spans="2:14" ht="15.75" customHeight="1" x14ac:dyDescent="0.2">
      <c r="B89" s="25"/>
      <c r="C89" s="25"/>
      <c r="D89" s="25"/>
      <c r="E89" s="26"/>
      <c r="F89" s="27"/>
      <c r="G89" s="28"/>
      <c r="H89" s="29"/>
    </row>
    <row r="90" spans="2:14" ht="15.75" customHeight="1" x14ac:dyDescent="0.2">
      <c r="B90" s="36" t="s">
        <v>108</v>
      </c>
      <c r="C90" s="36"/>
      <c r="D90" s="36"/>
      <c r="E90" s="37"/>
      <c r="F90" s="31">
        <v>1187.53</v>
      </c>
      <c r="G90" s="32">
        <v>3.5900000000000001E-2</v>
      </c>
      <c r="H90" s="33"/>
    </row>
    <row r="91" spans="2:14" ht="15.75" customHeight="1" x14ac:dyDescent="0.2">
      <c r="B91" s="25" t="s">
        <v>113</v>
      </c>
      <c r="C91" s="25"/>
      <c r="D91" s="25"/>
      <c r="E91" s="26"/>
      <c r="F91" s="38">
        <v>-77.930000000000007</v>
      </c>
      <c r="G91" s="39">
        <v>-2.2999999999999687E-3</v>
      </c>
      <c r="H91" s="29"/>
    </row>
    <row r="92" spans="2:14" ht="15.75" customHeight="1" x14ac:dyDescent="0.2">
      <c r="B92" s="40" t="s">
        <v>114</v>
      </c>
      <c r="C92" s="40"/>
      <c r="D92" s="40"/>
      <c r="E92" s="41"/>
      <c r="F92" s="42">
        <v>33046.25</v>
      </c>
      <c r="G92" s="43">
        <v>1</v>
      </c>
      <c r="H92" s="44"/>
    </row>
    <row r="93" spans="2:14" ht="15.75" customHeight="1" x14ac:dyDescent="0.2">
      <c r="B93" s="2"/>
    </row>
    <row r="94" spans="2:14" ht="15.75" customHeight="1" x14ac:dyDescent="0.2">
      <c r="B94" s="12" t="s">
        <v>131</v>
      </c>
    </row>
    <row r="95" spans="2:14" ht="15.75" customHeight="1" thickBot="1" x14ac:dyDescent="0.25"/>
    <row r="96" spans="2:14" ht="27" customHeight="1" thickBot="1" x14ac:dyDescent="0.25">
      <c r="B96" s="56" t="s">
        <v>1009</v>
      </c>
      <c r="C96" s="57" t="s">
        <v>1010</v>
      </c>
      <c r="D96" s="57" t="s">
        <v>1011</v>
      </c>
      <c r="E96" s="62" t="s">
        <v>1012</v>
      </c>
      <c r="G96" s="2"/>
      <c r="H96" s="2"/>
    </row>
    <row r="97" spans="2:8" ht="29.25" customHeight="1" x14ac:dyDescent="0.2">
      <c r="B97" s="63" t="s">
        <v>42</v>
      </c>
      <c r="C97" s="83"/>
      <c r="D97" s="86" t="s">
        <v>1039</v>
      </c>
      <c r="E97" s="88"/>
      <c r="G97" s="2"/>
      <c r="H97" s="2"/>
    </row>
    <row r="98" spans="2:8" ht="39.950000000000003" customHeight="1" x14ac:dyDescent="0.2">
      <c r="B98" s="65" t="s">
        <v>1040</v>
      </c>
      <c r="C98" s="84"/>
      <c r="D98" s="87"/>
      <c r="E98" s="84"/>
      <c r="G98" s="2"/>
      <c r="H98" s="2"/>
    </row>
    <row r="99" spans="2:8" ht="39.950000000000003" customHeight="1" x14ac:dyDescent="0.2">
      <c r="B99" s="65" t="s">
        <v>1041</v>
      </c>
      <c r="C99" s="84"/>
      <c r="D99" s="87"/>
      <c r="E99" s="84"/>
      <c r="G99" s="2"/>
      <c r="H99" s="2"/>
    </row>
    <row r="100" spans="2:8" ht="23.25" customHeight="1" thickBot="1" x14ac:dyDescent="0.25">
      <c r="B100" s="67" t="s">
        <v>1030</v>
      </c>
      <c r="C100" s="85"/>
      <c r="D100" s="70" t="s">
        <v>1030</v>
      </c>
      <c r="E100" s="89"/>
      <c r="G100" s="2"/>
      <c r="H100" s="2"/>
    </row>
    <row r="101" spans="2:8" ht="24.95" customHeight="1" x14ac:dyDescent="0.2">
      <c r="B101" s="58" t="s">
        <v>1014</v>
      </c>
      <c r="C101" s="59"/>
      <c r="D101" s="60"/>
      <c r="E101" s="61"/>
      <c r="G101" s="2"/>
      <c r="H101" s="2"/>
    </row>
    <row r="103" spans="2:8" ht="12" x14ac:dyDescent="0.2">
      <c r="B103" s="2" t="s">
        <v>1015</v>
      </c>
      <c r="C103" s="2"/>
      <c r="D103" s="2"/>
      <c r="G103" s="2"/>
      <c r="H103" s="2"/>
    </row>
    <row r="104" spans="2:8" ht="12" x14ac:dyDescent="0.2">
      <c r="B104" s="3" t="s">
        <v>1016</v>
      </c>
      <c r="C104" s="2"/>
      <c r="D104" s="2"/>
      <c r="G104" s="2"/>
      <c r="H104" s="2"/>
    </row>
  </sheetData>
  <mergeCells count="3">
    <mergeCell ref="C97:C100"/>
    <mergeCell ref="D97:D99"/>
    <mergeCell ref="E97:E100"/>
  </mergeCells>
  <hyperlinks>
    <hyperlink ref="G1" location="'Sheet1'!A1" display="Index" xr:uid="{FCB478AC-1019-441B-97C2-FCD7AEABD1E2}"/>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DEFF2-A4F4-47A2-B346-75B9551D2593}">
  <dimension ref="B1:N86"/>
  <sheetViews>
    <sheetView workbookViewId="0"/>
  </sheetViews>
  <sheetFormatPr defaultColWidth="9.140625" defaultRowHeight="15.75" customHeight="1" x14ac:dyDescent="0.2"/>
  <cols>
    <col min="1" max="1" width="3.5703125" style="2" customWidth="1"/>
    <col min="2" max="2" width="50.42578125" style="9" customWidth="1"/>
    <col min="3" max="3" width="26.85546875" style="9" customWidth="1"/>
    <col min="4" max="4" width="26.5703125" style="9" customWidth="1"/>
    <col min="5" max="5" width="27.710937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14</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132</v>
      </c>
      <c r="C5" s="19"/>
      <c r="D5" s="19"/>
      <c r="E5" s="20"/>
      <c r="F5" s="21"/>
      <c r="G5" s="22"/>
      <c r="H5" s="23"/>
    </row>
    <row r="6" spans="2:8" ht="15.75" customHeight="1" x14ac:dyDescent="0.2">
      <c r="B6" s="24" t="s">
        <v>133</v>
      </c>
      <c r="C6" s="25"/>
      <c r="D6" s="25"/>
      <c r="E6" s="26"/>
      <c r="F6" s="27"/>
      <c r="G6" s="28"/>
      <c r="H6" s="29"/>
    </row>
    <row r="7" spans="2:8" ht="15.75" customHeight="1" x14ac:dyDescent="0.2">
      <c r="B7" s="25" t="s">
        <v>507</v>
      </c>
      <c r="C7" s="25" t="s">
        <v>508</v>
      </c>
      <c r="D7" s="25" t="s">
        <v>172</v>
      </c>
      <c r="E7" s="26">
        <v>46390</v>
      </c>
      <c r="F7" s="27">
        <v>797.61</v>
      </c>
      <c r="G7" s="28">
        <v>0.1153</v>
      </c>
      <c r="H7" s="29"/>
    </row>
    <row r="8" spans="2:8" ht="15.75" customHeight="1" x14ac:dyDescent="0.2">
      <c r="B8" s="25" t="s">
        <v>493</v>
      </c>
      <c r="C8" s="25" t="s">
        <v>494</v>
      </c>
      <c r="D8" s="25" t="s">
        <v>314</v>
      </c>
      <c r="E8" s="26">
        <v>183811</v>
      </c>
      <c r="F8" s="27">
        <v>484.82</v>
      </c>
      <c r="G8" s="28">
        <v>7.0099999999999996E-2</v>
      </c>
      <c r="H8" s="29"/>
    </row>
    <row r="9" spans="2:8" ht="15.75" customHeight="1" x14ac:dyDescent="0.2">
      <c r="B9" s="25" t="s">
        <v>390</v>
      </c>
      <c r="C9" s="25" t="s">
        <v>391</v>
      </c>
      <c r="D9" s="25" t="s">
        <v>172</v>
      </c>
      <c r="E9" s="26">
        <v>254261</v>
      </c>
      <c r="F9" s="27">
        <v>447.63</v>
      </c>
      <c r="G9" s="28">
        <v>6.4699999999999994E-2</v>
      </c>
      <c r="H9" s="29"/>
    </row>
    <row r="10" spans="2:8" ht="15.75" customHeight="1" x14ac:dyDescent="0.2">
      <c r="B10" s="25" t="s">
        <v>259</v>
      </c>
      <c r="C10" s="25" t="s">
        <v>260</v>
      </c>
      <c r="D10" s="25" t="s">
        <v>172</v>
      </c>
      <c r="E10" s="26">
        <v>29749</v>
      </c>
      <c r="F10" s="27">
        <v>436.94</v>
      </c>
      <c r="G10" s="28">
        <v>6.3200000000000006E-2</v>
      </c>
      <c r="H10" s="29"/>
    </row>
    <row r="11" spans="2:8" ht="15.75" customHeight="1" x14ac:dyDescent="0.2">
      <c r="B11" s="25" t="s">
        <v>582</v>
      </c>
      <c r="C11" s="25" t="s">
        <v>583</v>
      </c>
      <c r="D11" s="25" t="s">
        <v>172</v>
      </c>
      <c r="E11" s="26">
        <v>21054</v>
      </c>
      <c r="F11" s="27">
        <v>405.21</v>
      </c>
      <c r="G11" s="28">
        <v>5.8599999999999999E-2</v>
      </c>
      <c r="H11" s="29"/>
    </row>
    <row r="12" spans="2:8" ht="15.75" customHeight="1" x14ac:dyDescent="0.2">
      <c r="B12" s="25" t="s">
        <v>328</v>
      </c>
      <c r="C12" s="25" t="s">
        <v>329</v>
      </c>
      <c r="D12" s="25" t="s">
        <v>172</v>
      </c>
      <c r="E12" s="26">
        <v>12401</v>
      </c>
      <c r="F12" s="27">
        <v>393.33</v>
      </c>
      <c r="G12" s="28">
        <v>5.6899999999999999E-2</v>
      </c>
      <c r="H12" s="29"/>
    </row>
    <row r="13" spans="2:8" ht="15.75" customHeight="1" x14ac:dyDescent="0.2">
      <c r="B13" s="25" t="s">
        <v>584</v>
      </c>
      <c r="C13" s="25" t="s">
        <v>585</v>
      </c>
      <c r="D13" s="25" t="s">
        <v>172</v>
      </c>
      <c r="E13" s="26">
        <v>24312</v>
      </c>
      <c r="F13" s="27">
        <v>375.45</v>
      </c>
      <c r="G13" s="28">
        <v>5.4300000000000001E-2</v>
      </c>
      <c r="H13" s="29"/>
    </row>
    <row r="14" spans="2:8" ht="15.75" customHeight="1" x14ac:dyDescent="0.2">
      <c r="B14" s="25" t="s">
        <v>170</v>
      </c>
      <c r="C14" s="25" t="s">
        <v>171</v>
      </c>
      <c r="D14" s="25" t="s">
        <v>172</v>
      </c>
      <c r="E14" s="26">
        <v>28767</v>
      </c>
      <c r="F14" s="27">
        <v>358.78</v>
      </c>
      <c r="G14" s="28">
        <v>5.1900000000000002E-2</v>
      </c>
      <c r="H14" s="29"/>
    </row>
    <row r="15" spans="2:8" ht="15.75" customHeight="1" x14ac:dyDescent="0.2">
      <c r="B15" s="25" t="s">
        <v>400</v>
      </c>
      <c r="C15" s="25" t="s">
        <v>401</v>
      </c>
      <c r="D15" s="25" t="s">
        <v>172</v>
      </c>
      <c r="E15" s="26">
        <v>17262</v>
      </c>
      <c r="F15" s="27">
        <v>350.09</v>
      </c>
      <c r="G15" s="28">
        <v>5.0599999999999999E-2</v>
      </c>
      <c r="H15" s="29"/>
    </row>
    <row r="16" spans="2:8" ht="15.75" customHeight="1" x14ac:dyDescent="0.2">
      <c r="B16" s="25" t="s">
        <v>368</v>
      </c>
      <c r="C16" s="25" t="s">
        <v>369</v>
      </c>
      <c r="D16" s="25" t="s">
        <v>172</v>
      </c>
      <c r="E16" s="26">
        <v>1026</v>
      </c>
      <c r="F16" s="27">
        <v>291.23</v>
      </c>
      <c r="G16" s="28">
        <v>4.2099999999999999E-2</v>
      </c>
      <c r="H16" s="29"/>
    </row>
    <row r="17" spans="2:8" ht="15.75" customHeight="1" x14ac:dyDescent="0.2">
      <c r="B17" s="25" t="s">
        <v>586</v>
      </c>
      <c r="C17" s="25" t="s">
        <v>587</v>
      </c>
      <c r="D17" s="25" t="s">
        <v>172</v>
      </c>
      <c r="E17" s="26">
        <v>21440</v>
      </c>
      <c r="F17" s="27">
        <v>280.42</v>
      </c>
      <c r="G17" s="28">
        <v>4.0500000000000001E-2</v>
      </c>
      <c r="H17" s="29"/>
    </row>
    <row r="18" spans="2:8" ht="15.75" customHeight="1" x14ac:dyDescent="0.2">
      <c r="B18" s="25" t="s">
        <v>588</v>
      </c>
      <c r="C18" s="25" t="s">
        <v>589</v>
      </c>
      <c r="D18" s="25" t="s">
        <v>172</v>
      </c>
      <c r="E18" s="26">
        <v>5549</v>
      </c>
      <c r="F18" s="27">
        <v>273.19</v>
      </c>
      <c r="G18" s="28">
        <v>3.95E-2</v>
      </c>
      <c r="H18" s="29"/>
    </row>
    <row r="19" spans="2:8" ht="15.75" customHeight="1" x14ac:dyDescent="0.2">
      <c r="B19" s="25" t="s">
        <v>430</v>
      </c>
      <c r="C19" s="25" t="s">
        <v>431</v>
      </c>
      <c r="D19" s="25" t="s">
        <v>314</v>
      </c>
      <c r="E19" s="26">
        <v>21865</v>
      </c>
      <c r="F19" s="27">
        <v>271.54000000000002</v>
      </c>
      <c r="G19" s="28">
        <v>3.9300000000000002E-2</v>
      </c>
      <c r="H19" s="29"/>
    </row>
    <row r="20" spans="2:8" ht="15.75" customHeight="1" x14ac:dyDescent="0.2">
      <c r="B20" s="25" t="s">
        <v>590</v>
      </c>
      <c r="C20" s="25" t="s">
        <v>591</v>
      </c>
      <c r="D20" s="25" t="s">
        <v>172</v>
      </c>
      <c r="E20" s="26">
        <v>3946</v>
      </c>
      <c r="F20" s="27">
        <v>266.37</v>
      </c>
      <c r="G20" s="28">
        <v>3.85E-2</v>
      </c>
      <c r="H20" s="29"/>
    </row>
    <row r="21" spans="2:8" ht="15.75" customHeight="1" x14ac:dyDescent="0.2">
      <c r="B21" s="25" t="s">
        <v>320</v>
      </c>
      <c r="C21" s="25" t="s">
        <v>321</v>
      </c>
      <c r="D21" s="25" t="s">
        <v>172</v>
      </c>
      <c r="E21" s="26">
        <v>4829</v>
      </c>
      <c r="F21" s="27">
        <v>256.39999999999998</v>
      </c>
      <c r="G21" s="28">
        <v>3.7100000000000001E-2</v>
      </c>
      <c r="H21" s="29"/>
    </row>
    <row r="22" spans="2:8" ht="15.75" customHeight="1" x14ac:dyDescent="0.2">
      <c r="B22" s="25" t="s">
        <v>563</v>
      </c>
      <c r="C22" s="25" t="s">
        <v>564</v>
      </c>
      <c r="D22" s="25" t="s">
        <v>314</v>
      </c>
      <c r="E22" s="26">
        <v>3590</v>
      </c>
      <c r="F22" s="27">
        <v>237.49</v>
      </c>
      <c r="G22" s="28">
        <v>3.4299999999999997E-2</v>
      </c>
      <c r="H22" s="29"/>
    </row>
    <row r="23" spans="2:8" ht="15.75" customHeight="1" x14ac:dyDescent="0.2">
      <c r="B23" s="25" t="s">
        <v>592</v>
      </c>
      <c r="C23" s="25" t="s">
        <v>593</v>
      </c>
      <c r="D23" s="25" t="s">
        <v>172</v>
      </c>
      <c r="E23" s="26">
        <v>42544</v>
      </c>
      <c r="F23" s="27">
        <v>197.36</v>
      </c>
      <c r="G23" s="28">
        <v>2.8500000000000001E-2</v>
      </c>
      <c r="H23" s="29"/>
    </row>
    <row r="24" spans="2:8" ht="15.75" customHeight="1" x14ac:dyDescent="0.2">
      <c r="B24" s="25" t="s">
        <v>594</v>
      </c>
      <c r="C24" s="25" t="s">
        <v>595</v>
      </c>
      <c r="D24" s="25" t="s">
        <v>172</v>
      </c>
      <c r="E24" s="26">
        <v>19064</v>
      </c>
      <c r="F24" s="27">
        <v>190.11</v>
      </c>
      <c r="G24" s="28">
        <v>2.75E-2</v>
      </c>
      <c r="H24" s="29"/>
    </row>
    <row r="25" spans="2:8" ht="15.75" customHeight="1" x14ac:dyDescent="0.2">
      <c r="B25" s="25" t="s">
        <v>596</v>
      </c>
      <c r="C25" s="25" t="s">
        <v>597</v>
      </c>
      <c r="D25" s="25" t="s">
        <v>314</v>
      </c>
      <c r="E25" s="26">
        <v>7812</v>
      </c>
      <c r="F25" s="27">
        <v>165.53</v>
      </c>
      <c r="G25" s="28">
        <v>2.3900000000000001E-2</v>
      </c>
      <c r="H25" s="29"/>
    </row>
    <row r="26" spans="2:8" ht="15.75" customHeight="1" x14ac:dyDescent="0.2">
      <c r="B26" s="25" t="s">
        <v>528</v>
      </c>
      <c r="C26" s="25" t="s">
        <v>529</v>
      </c>
      <c r="D26" s="25" t="s">
        <v>233</v>
      </c>
      <c r="E26" s="26">
        <v>9323</v>
      </c>
      <c r="F26" s="27">
        <v>155.6</v>
      </c>
      <c r="G26" s="28">
        <v>2.2499999999999999E-2</v>
      </c>
      <c r="H26" s="29"/>
    </row>
    <row r="27" spans="2:8" ht="15.75" customHeight="1" x14ac:dyDescent="0.2">
      <c r="B27" s="25" t="s">
        <v>312</v>
      </c>
      <c r="C27" s="25" t="s">
        <v>313</v>
      </c>
      <c r="D27" s="25" t="s">
        <v>314</v>
      </c>
      <c r="E27" s="26">
        <v>15891</v>
      </c>
      <c r="F27" s="27">
        <v>128.37</v>
      </c>
      <c r="G27" s="28">
        <v>1.8599999999999998E-2</v>
      </c>
      <c r="H27" s="29"/>
    </row>
    <row r="28" spans="2:8" ht="15.75" customHeight="1" x14ac:dyDescent="0.2">
      <c r="B28" s="24" t="s">
        <v>104</v>
      </c>
      <c r="C28" s="24"/>
      <c r="D28" s="24"/>
      <c r="E28" s="30"/>
      <c r="F28" s="31">
        <v>6763.47</v>
      </c>
      <c r="G28" s="32">
        <v>0.97760000000000002</v>
      </c>
      <c r="H28" s="33"/>
    </row>
    <row r="29" spans="2:8" ht="15.75" customHeight="1" x14ac:dyDescent="0.2">
      <c r="B29" s="24" t="s">
        <v>156</v>
      </c>
      <c r="C29" s="25"/>
      <c r="D29" s="25"/>
      <c r="E29" s="26"/>
      <c r="F29" s="27"/>
      <c r="G29" s="28"/>
      <c r="H29" s="29"/>
    </row>
    <row r="30" spans="2:8" ht="15.75" customHeight="1" x14ac:dyDescent="0.2">
      <c r="B30" s="24" t="s">
        <v>104</v>
      </c>
      <c r="C30" s="25"/>
      <c r="D30" s="25"/>
      <c r="E30" s="26"/>
      <c r="F30" s="34" t="s">
        <v>106</v>
      </c>
      <c r="G30" s="35" t="s">
        <v>106</v>
      </c>
      <c r="H30" s="29"/>
    </row>
    <row r="31" spans="2:8" ht="15.75" customHeight="1" x14ac:dyDescent="0.2">
      <c r="B31" s="25"/>
      <c r="C31" s="25"/>
      <c r="D31" s="25"/>
      <c r="E31" s="26"/>
      <c r="F31" s="27"/>
      <c r="G31" s="28"/>
      <c r="H31" s="29"/>
    </row>
    <row r="32" spans="2:8" ht="15.75" customHeight="1" x14ac:dyDescent="0.2">
      <c r="B32" s="36" t="s">
        <v>108</v>
      </c>
      <c r="C32" s="36"/>
      <c r="D32" s="36"/>
      <c r="E32" s="37"/>
      <c r="F32" s="31">
        <v>6763.47</v>
      </c>
      <c r="G32" s="32">
        <v>0.97760000000000002</v>
      </c>
      <c r="H32" s="33"/>
    </row>
    <row r="33" spans="2:8" ht="15.75" customHeight="1" x14ac:dyDescent="0.2">
      <c r="B33" s="25"/>
      <c r="C33" s="25"/>
      <c r="D33" s="25"/>
      <c r="E33" s="26"/>
      <c r="F33" s="27"/>
      <c r="G33" s="28"/>
      <c r="H33" s="29"/>
    </row>
    <row r="34" spans="2:8" ht="15.75" customHeight="1" x14ac:dyDescent="0.2">
      <c r="B34" s="25"/>
      <c r="C34" s="25"/>
      <c r="D34" s="25"/>
      <c r="E34" s="26"/>
      <c r="F34" s="27"/>
      <c r="G34" s="28"/>
      <c r="H34" s="29"/>
    </row>
    <row r="35" spans="2:8" ht="15.75" customHeight="1" x14ac:dyDescent="0.2">
      <c r="B35" s="24" t="s">
        <v>111</v>
      </c>
      <c r="C35" s="25"/>
      <c r="D35" s="25"/>
      <c r="E35" s="26"/>
      <c r="F35" s="27"/>
      <c r="G35" s="28"/>
      <c r="H35" s="29"/>
    </row>
    <row r="36" spans="2:8" ht="15.75" customHeight="1" x14ac:dyDescent="0.2">
      <c r="B36" s="25" t="s">
        <v>112</v>
      </c>
      <c r="C36" s="25"/>
      <c r="D36" s="25"/>
      <c r="E36" s="26"/>
      <c r="F36" s="27">
        <v>173.13</v>
      </c>
      <c r="G36" s="28">
        <v>2.5000000000000001E-2</v>
      </c>
      <c r="H36" s="29"/>
    </row>
    <row r="37" spans="2:8" ht="15.75" customHeight="1" x14ac:dyDescent="0.2">
      <c r="B37" s="24" t="s">
        <v>104</v>
      </c>
      <c r="C37" s="24"/>
      <c r="D37" s="24"/>
      <c r="E37" s="30"/>
      <c r="F37" s="31">
        <v>173.13</v>
      </c>
      <c r="G37" s="32">
        <v>2.5000000000000001E-2</v>
      </c>
      <c r="H37" s="33"/>
    </row>
    <row r="38" spans="2:8" ht="15.75" customHeight="1" x14ac:dyDescent="0.2">
      <c r="B38" s="25"/>
      <c r="C38" s="25"/>
      <c r="D38" s="25"/>
      <c r="E38" s="26"/>
      <c r="F38" s="27"/>
      <c r="G38" s="28"/>
      <c r="H38" s="29"/>
    </row>
    <row r="39" spans="2:8" ht="15.75" customHeight="1" x14ac:dyDescent="0.2">
      <c r="B39" s="36" t="s">
        <v>108</v>
      </c>
      <c r="C39" s="36"/>
      <c r="D39" s="36"/>
      <c r="E39" s="37"/>
      <c r="F39" s="31">
        <v>173.13</v>
      </c>
      <c r="G39" s="32">
        <v>2.5000000000000001E-2</v>
      </c>
      <c r="H39" s="33"/>
    </row>
    <row r="40" spans="2:8" ht="15.75" customHeight="1" x14ac:dyDescent="0.2">
      <c r="B40" s="25" t="s">
        <v>113</v>
      </c>
      <c r="C40" s="25"/>
      <c r="D40" s="25"/>
      <c r="E40" s="26"/>
      <c r="F40" s="38">
        <v>-18.510000000000002</v>
      </c>
      <c r="G40" s="39">
        <v>-2.5999999999999357E-3</v>
      </c>
      <c r="H40" s="29"/>
    </row>
    <row r="41" spans="2:8" ht="15.75" customHeight="1" x14ac:dyDescent="0.2">
      <c r="B41" s="40" t="s">
        <v>114</v>
      </c>
      <c r="C41" s="40"/>
      <c r="D41" s="40"/>
      <c r="E41" s="41"/>
      <c r="F41" s="42">
        <v>6918.09</v>
      </c>
      <c r="G41" s="43">
        <v>1</v>
      </c>
      <c r="H41" s="44"/>
    </row>
    <row r="42" spans="2:8" ht="15.75" customHeight="1" thickBot="1" x14ac:dyDescent="0.25">
      <c r="B42" s="2"/>
    </row>
    <row r="43" spans="2:8" ht="27" customHeight="1" thickBot="1" x14ac:dyDescent="0.25">
      <c r="B43" s="56" t="s">
        <v>1009</v>
      </c>
      <c r="C43" s="57" t="s">
        <v>1010</v>
      </c>
      <c r="D43" s="57" t="s">
        <v>1011</v>
      </c>
      <c r="E43" s="62" t="s">
        <v>1012</v>
      </c>
      <c r="G43" s="2"/>
      <c r="H43" s="2"/>
    </row>
    <row r="44" spans="2:8" ht="29.25" customHeight="1" x14ac:dyDescent="0.2">
      <c r="B44" s="63" t="s">
        <v>44</v>
      </c>
      <c r="C44" s="83"/>
      <c r="D44" s="86" t="s">
        <v>1042</v>
      </c>
      <c r="E44" s="88"/>
      <c r="G44" s="2"/>
      <c r="H44" s="2"/>
    </row>
    <row r="45" spans="2:8" ht="39.950000000000003" customHeight="1" x14ac:dyDescent="0.2">
      <c r="B45" s="65" t="s">
        <v>1040</v>
      </c>
      <c r="C45" s="84"/>
      <c r="D45" s="87"/>
      <c r="E45" s="84"/>
      <c r="G45" s="2"/>
      <c r="H45" s="2"/>
    </row>
    <row r="46" spans="2:8" ht="39.950000000000003" customHeight="1" x14ac:dyDescent="0.2">
      <c r="B46" s="65" t="s">
        <v>1043</v>
      </c>
      <c r="C46" s="84"/>
      <c r="D46" s="87"/>
      <c r="E46" s="84"/>
      <c r="G46" s="2"/>
      <c r="H46" s="2"/>
    </row>
    <row r="47" spans="2:8" ht="23.25" customHeight="1" thickBot="1" x14ac:dyDescent="0.25">
      <c r="B47" s="67" t="s">
        <v>1030</v>
      </c>
      <c r="C47" s="85"/>
      <c r="D47" s="70" t="s">
        <v>1030</v>
      </c>
      <c r="E47" s="89"/>
      <c r="G47" s="2"/>
      <c r="H47" s="2"/>
    </row>
    <row r="48" spans="2:8" ht="24.95" customHeight="1" x14ac:dyDescent="0.2">
      <c r="B48" s="58" t="s">
        <v>1014</v>
      </c>
      <c r="C48" s="59"/>
      <c r="D48" s="60"/>
      <c r="E48" s="61"/>
      <c r="G48" s="2"/>
      <c r="H48" s="2"/>
    </row>
    <row r="50" spans="2:8" ht="12" x14ac:dyDescent="0.2">
      <c r="B50" s="2" t="s">
        <v>1015</v>
      </c>
      <c r="C50" s="2"/>
      <c r="D50" s="2"/>
      <c r="G50" s="2"/>
      <c r="H50" s="2"/>
    </row>
    <row r="51" spans="2:8" ht="12" x14ac:dyDescent="0.2">
      <c r="B51" s="3" t="s">
        <v>1016</v>
      </c>
      <c r="C51" s="2"/>
      <c r="D51" s="2"/>
      <c r="G51" s="2"/>
      <c r="H51" s="2"/>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44:C47"/>
    <mergeCell ref="D44:D46"/>
    <mergeCell ref="E44:E47"/>
  </mergeCells>
  <hyperlinks>
    <hyperlink ref="G1" location="'Sheet1'!A1" display="Index" xr:uid="{A7302D30-363C-4DD7-B17F-1BC571F8EAB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64670-3F8F-4A63-BFC4-310A81C329FB}">
  <dimension ref="B1:N91"/>
  <sheetViews>
    <sheetView workbookViewId="0"/>
  </sheetViews>
  <sheetFormatPr defaultColWidth="9.140625" defaultRowHeight="15.75" customHeight="1" x14ac:dyDescent="0.2"/>
  <cols>
    <col min="1" max="1" width="3.5703125" style="2" customWidth="1"/>
    <col min="2" max="2" width="50.42578125" style="9" customWidth="1"/>
    <col min="3" max="3" width="26" style="9" customWidth="1"/>
    <col min="4" max="4" width="26.5703125" style="9" customWidth="1"/>
    <col min="5" max="5" width="28.42578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132</v>
      </c>
      <c r="C5" s="19"/>
      <c r="D5" s="19"/>
      <c r="E5" s="20"/>
      <c r="F5" s="21"/>
      <c r="G5" s="22"/>
      <c r="H5" s="23"/>
    </row>
    <row r="6" spans="2:8" ht="15.75" customHeight="1" x14ac:dyDescent="0.2">
      <c r="B6" s="24" t="s">
        <v>133</v>
      </c>
      <c r="C6" s="25"/>
      <c r="D6" s="25"/>
      <c r="E6" s="26"/>
      <c r="F6" s="27"/>
      <c r="G6" s="28"/>
      <c r="H6" s="29"/>
    </row>
    <row r="7" spans="2:8" ht="15.75" customHeight="1" x14ac:dyDescent="0.2">
      <c r="B7" s="25" t="s">
        <v>295</v>
      </c>
      <c r="C7" s="25" t="s">
        <v>296</v>
      </c>
      <c r="D7" s="25" t="s">
        <v>297</v>
      </c>
      <c r="E7" s="26">
        <v>41254</v>
      </c>
      <c r="F7" s="27">
        <v>1764.41</v>
      </c>
      <c r="G7" s="28">
        <v>5.5199999999999999E-2</v>
      </c>
      <c r="H7" s="29"/>
    </row>
    <row r="8" spans="2:8" ht="15.75" customHeight="1" x14ac:dyDescent="0.2">
      <c r="B8" s="25" t="s">
        <v>384</v>
      </c>
      <c r="C8" s="25" t="s">
        <v>385</v>
      </c>
      <c r="D8" s="25" t="s">
        <v>220</v>
      </c>
      <c r="E8" s="26">
        <v>22164</v>
      </c>
      <c r="F8" s="27">
        <v>1294.1600000000001</v>
      </c>
      <c r="G8" s="28">
        <v>4.0500000000000001E-2</v>
      </c>
      <c r="H8" s="29"/>
    </row>
    <row r="9" spans="2:8" ht="15.75" customHeight="1" x14ac:dyDescent="0.2">
      <c r="B9" s="25" t="s">
        <v>598</v>
      </c>
      <c r="C9" s="25" t="s">
        <v>599</v>
      </c>
      <c r="D9" s="25" t="s">
        <v>266</v>
      </c>
      <c r="E9" s="26">
        <v>105773</v>
      </c>
      <c r="F9" s="27">
        <v>1101.0999999999999</v>
      </c>
      <c r="G9" s="28">
        <v>3.44E-2</v>
      </c>
      <c r="H9" s="29"/>
    </row>
    <row r="10" spans="2:8" ht="15.75" customHeight="1" x14ac:dyDescent="0.2">
      <c r="B10" s="25" t="s">
        <v>173</v>
      </c>
      <c r="C10" s="25" t="s">
        <v>174</v>
      </c>
      <c r="D10" s="25" t="s">
        <v>175</v>
      </c>
      <c r="E10" s="26">
        <v>299704</v>
      </c>
      <c r="F10" s="27">
        <v>947.21</v>
      </c>
      <c r="G10" s="28">
        <v>2.9600000000000001E-2</v>
      </c>
      <c r="H10" s="29"/>
    </row>
    <row r="11" spans="2:8" ht="15.75" customHeight="1" x14ac:dyDescent="0.2">
      <c r="B11" s="25" t="s">
        <v>600</v>
      </c>
      <c r="C11" s="25" t="s">
        <v>601</v>
      </c>
      <c r="D11" s="25" t="s">
        <v>136</v>
      </c>
      <c r="E11" s="26">
        <v>433372</v>
      </c>
      <c r="F11" s="27">
        <v>872.77</v>
      </c>
      <c r="G11" s="28">
        <v>2.7300000000000001E-2</v>
      </c>
      <c r="H11" s="29"/>
    </row>
    <row r="12" spans="2:8" ht="15.75" customHeight="1" x14ac:dyDescent="0.2">
      <c r="B12" s="25" t="s">
        <v>602</v>
      </c>
      <c r="C12" s="25" t="s">
        <v>603</v>
      </c>
      <c r="D12" s="25" t="s">
        <v>184</v>
      </c>
      <c r="E12" s="26">
        <v>40692</v>
      </c>
      <c r="F12" s="27">
        <v>759.5</v>
      </c>
      <c r="G12" s="28">
        <v>2.3800000000000002E-2</v>
      </c>
      <c r="H12" s="29"/>
    </row>
    <row r="13" spans="2:8" ht="15.75" customHeight="1" x14ac:dyDescent="0.2">
      <c r="B13" s="25" t="s">
        <v>320</v>
      </c>
      <c r="C13" s="25" t="s">
        <v>321</v>
      </c>
      <c r="D13" s="25" t="s">
        <v>172</v>
      </c>
      <c r="E13" s="26">
        <v>12978</v>
      </c>
      <c r="F13" s="27">
        <v>689.07</v>
      </c>
      <c r="G13" s="28">
        <v>2.1600000000000001E-2</v>
      </c>
      <c r="H13" s="29"/>
    </row>
    <row r="14" spans="2:8" ht="15.75" customHeight="1" x14ac:dyDescent="0.2">
      <c r="B14" s="25" t="s">
        <v>404</v>
      </c>
      <c r="C14" s="25" t="s">
        <v>405</v>
      </c>
      <c r="D14" s="25" t="s">
        <v>266</v>
      </c>
      <c r="E14" s="26">
        <v>38755</v>
      </c>
      <c r="F14" s="27">
        <v>671.82</v>
      </c>
      <c r="G14" s="28">
        <v>2.1000000000000001E-2</v>
      </c>
      <c r="H14" s="29"/>
    </row>
    <row r="15" spans="2:8" ht="15.75" customHeight="1" x14ac:dyDescent="0.2">
      <c r="B15" s="25" t="s">
        <v>444</v>
      </c>
      <c r="C15" s="25" t="s">
        <v>445</v>
      </c>
      <c r="D15" s="25" t="s">
        <v>187</v>
      </c>
      <c r="E15" s="26">
        <v>42630</v>
      </c>
      <c r="F15" s="27">
        <v>655.48</v>
      </c>
      <c r="G15" s="28">
        <v>2.0500000000000001E-2</v>
      </c>
      <c r="H15" s="29"/>
    </row>
    <row r="16" spans="2:8" ht="15.75" customHeight="1" x14ac:dyDescent="0.2">
      <c r="B16" s="25" t="s">
        <v>604</v>
      </c>
      <c r="C16" s="25" t="s">
        <v>605</v>
      </c>
      <c r="D16" s="25" t="s">
        <v>266</v>
      </c>
      <c r="E16" s="26">
        <v>19673</v>
      </c>
      <c r="F16" s="27">
        <v>653.79</v>
      </c>
      <c r="G16" s="28">
        <v>2.0400000000000001E-2</v>
      </c>
      <c r="H16" s="29"/>
    </row>
    <row r="17" spans="2:8" ht="15.75" customHeight="1" x14ac:dyDescent="0.2">
      <c r="B17" s="25" t="s">
        <v>446</v>
      </c>
      <c r="C17" s="25" t="s">
        <v>447</v>
      </c>
      <c r="D17" s="25" t="s">
        <v>202</v>
      </c>
      <c r="E17" s="26">
        <v>35386</v>
      </c>
      <c r="F17" s="27">
        <v>642.57000000000005</v>
      </c>
      <c r="G17" s="28">
        <v>2.01E-2</v>
      </c>
      <c r="H17" s="29"/>
    </row>
    <row r="18" spans="2:8" ht="15.75" customHeight="1" x14ac:dyDescent="0.2">
      <c r="B18" s="25" t="s">
        <v>261</v>
      </c>
      <c r="C18" s="25" t="s">
        <v>262</v>
      </c>
      <c r="D18" s="25" t="s">
        <v>263</v>
      </c>
      <c r="E18" s="26">
        <v>60445</v>
      </c>
      <c r="F18" s="27">
        <v>628.9</v>
      </c>
      <c r="G18" s="28">
        <v>1.9699999999999999E-2</v>
      </c>
      <c r="H18" s="29"/>
    </row>
    <row r="19" spans="2:8" ht="15.75" customHeight="1" x14ac:dyDescent="0.2">
      <c r="B19" s="25" t="s">
        <v>606</v>
      </c>
      <c r="C19" s="25" t="s">
        <v>607</v>
      </c>
      <c r="D19" s="25" t="s">
        <v>230</v>
      </c>
      <c r="E19" s="26">
        <v>97473</v>
      </c>
      <c r="F19" s="27">
        <v>625.83000000000004</v>
      </c>
      <c r="G19" s="28">
        <v>1.9599999999999999E-2</v>
      </c>
      <c r="H19" s="29"/>
    </row>
    <row r="20" spans="2:8" ht="15.75" customHeight="1" x14ac:dyDescent="0.2">
      <c r="B20" s="25" t="s">
        <v>608</v>
      </c>
      <c r="C20" s="25" t="s">
        <v>609</v>
      </c>
      <c r="D20" s="25" t="s">
        <v>266</v>
      </c>
      <c r="E20" s="26">
        <v>14429</v>
      </c>
      <c r="F20" s="27">
        <v>615.74</v>
      </c>
      <c r="G20" s="28">
        <v>1.9300000000000001E-2</v>
      </c>
      <c r="H20" s="29"/>
    </row>
    <row r="21" spans="2:8" ht="15.75" customHeight="1" x14ac:dyDescent="0.2">
      <c r="B21" s="25" t="s">
        <v>610</v>
      </c>
      <c r="C21" s="25" t="s">
        <v>611</v>
      </c>
      <c r="D21" s="25" t="s">
        <v>266</v>
      </c>
      <c r="E21" s="26">
        <v>3762</v>
      </c>
      <c r="F21" s="27">
        <v>595.61</v>
      </c>
      <c r="G21" s="28">
        <v>1.8599999999999998E-2</v>
      </c>
      <c r="H21" s="29"/>
    </row>
    <row r="22" spans="2:8" ht="15.75" customHeight="1" x14ac:dyDescent="0.2">
      <c r="B22" s="25" t="s">
        <v>612</v>
      </c>
      <c r="C22" s="25" t="s">
        <v>613</v>
      </c>
      <c r="D22" s="25" t="s">
        <v>254</v>
      </c>
      <c r="E22" s="26">
        <v>13380</v>
      </c>
      <c r="F22" s="27">
        <v>592.83000000000004</v>
      </c>
      <c r="G22" s="28">
        <v>1.8499999999999999E-2</v>
      </c>
      <c r="H22" s="29"/>
    </row>
    <row r="23" spans="2:8" ht="15.75" customHeight="1" x14ac:dyDescent="0.2">
      <c r="B23" s="25" t="s">
        <v>326</v>
      </c>
      <c r="C23" s="25" t="s">
        <v>327</v>
      </c>
      <c r="D23" s="25" t="s">
        <v>212</v>
      </c>
      <c r="E23" s="26">
        <v>104320</v>
      </c>
      <c r="F23" s="27">
        <v>580.85</v>
      </c>
      <c r="G23" s="28">
        <v>1.8200000000000001E-2</v>
      </c>
      <c r="H23" s="29"/>
    </row>
    <row r="24" spans="2:8" ht="15.75" customHeight="1" x14ac:dyDescent="0.2">
      <c r="B24" s="25" t="s">
        <v>614</v>
      </c>
      <c r="C24" s="25" t="s">
        <v>615</v>
      </c>
      <c r="D24" s="25" t="s">
        <v>220</v>
      </c>
      <c r="E24" s="26">
        <v>8219</v>
      </c>
      <c r="F24" s="27">
        <v>577.57000000000005</v>
      </c>
      <c r="G24" s="28">
        <v>1.8100000000000002E-2</v>
      </c>
      <c r="H24" s="29"/>
    </row>
    <row r="25" spans="2:8" ht="15.75" customHeight="1" x14ac:dyDescent="0.2">
      <c r="B25" s="25" t="s">
        <v>616</v>
      </c>
      <c r="C25" s="25" t="s">
        <v>617</v>
      </c>
      <c r="D25" s="25" t="s">
        <v>266</v>
      </c>
      <c r="E25" s="26">
        <v>21903</v>
      </c>
      <c r="F25" s="27">
        <v>569.67999999999995</v>
      </c>
      <c r="G25" s="28">
        <v>1.78E-2</v>
      </c>
      <c r="H25" s="29"/>
    </row>
    <row r="26" spans="2:8" ht="15.75" customHeight="1" x14ac:dyDescent="0.2">
      <c r="B26" s="25" t="s">
        <v>305</v>
      </c>
      <c r="C26" s="25" t="s">
        <v>306</v>
      </c>
      <c r="D26" s="25" t="s">
        <v>145</v>
      </c>
      <c r="E26" s="26">
        <v>10362</v>
      </c>
      <c r="F26" s="27">
        <v>568.71</v>
      </c>
      <c r="G26" s="28">
        <v>1.78E-2</v>
      </c>
      <c r="H26" s="29"/>
    </row>
    <row r="27" spans="2:8" ht="15.75" customHeight="1" x14ac:dyDescent="0.2">
      <c r="B27" s="25" t="s">
        <v>618</v>
      </c>
      <c r="C27" s="25" t="s">
        <v>619</v>
      </c>
      <c r="D27" s="25" t="s">
        <v>620</v>
      </c>
      <c r="E27" s="26">
        <v>1437</v>
      </c>
      <c r="F27" s="27">
        <v>564.54</v>
      </c>
      <c r="G27" s="28">
        <v>1.77E-2</v>
      </c>
      <c r="H27" s="29"/>
    </row>
    <row r="28" spans="2:8" ht="15.75" customHeight="1" x14ac:dyDescent="0.2">
      <c r="B28" s="25" t="s">
        <v>565</v>
      </c>
      <c r="C28" s="25" t="s">
        <v>566</v>
      </c>
      <c r="D28" s="25" t="s">
        <v>217</v>
      </c>
      <c r="E28" s="26">
        <v>28196</v>
      </c>
      <c r="F28" s="27">
        <v>561.30999999999995</v>
      </c>
      <c r="G28" s="28">
        <v>1.7600000000000001E-2</v>
      </c>
      <c r="H28" s="29"/>
    </row>
    <row r="29" spans="2:8" ht="15.75" customHeight="1" x14ac:dyDescent="0.2">
      <c r="B29" s="25" t="s">
        <v>315</v>
      </c>
      <c r="C29" s="25" t="s">
        <v>316</v>
      </c>
      <c r="D29" s="25" t="s">
        <v>212</v>
      </c>
      <c r="E29" s="26">
        <v>181382</v>
      </c>
      <c r="F29" s="27">
        <v>550.04</v>
      </c>
      <c r="G29" s="28">
        <v>1.72E-2</v>
      </c>
      <c r="H29" s="29"/>
    </row>
    <row r="30" spans="2:8" ht="15.75" customHeight="1" x14ac:dyDescent="0.2">
      <c r="B30" s="25" t="s">
        <v>489</v>
      </c>
      <c r="C30" s="25" t="s">
        <v>490</v>
      </c>
      <c r="D30" s="25" t="s">
        <v>254</v>
      </c>
      <c r="E30" s="26">
        <v>31880</v>
      </c>
      <c r="F30" s="27">
        <v>529.85</v>
      </c>
      <c r="G30" s="28">
        <v>1.66E-2</v>
      </c>
      <c r="H30" s="29"/>
    </row>
    <row r="31" spans="2:8" ht="15.75" customHeight="1" x14ac:dyDescent="0.2">
      <c r="B31" s="25" t="s">
        <v>394</v>
      </c>
      <c r="C31" s="25" t="s">
        <v>395</v>
      </c>
      <c r="D31" s="25" t="s">
        <v>220</v>
      </c>
      <c r="E31" s="26">
        <v>230154</v>
      </c>
      <c r="F31" s="27">
        <v>528.09</v>
      </c>
      <c r="G31" s="28">
        <v>1.6500000000000001E-2</v>
      </c>
      <c r="H31" s="29"/>
    </row>
    <row r="32" spans="2:8" ht="15.75" customHeight="1" x14ac:dyDescent="0.2">
      <c r="B32" s="25" t="s">
        <v>570</v>
      </c>
      <c r="C32" s="25" t="s">
        <v>571</v>
      </c>
      <c r="D32" s="25" t="s">
        <v>497</v>
      </c>
      <c r="E32" s="26">
        <v>1185</v>
      </c>
      <c r="F32" s="27">
        <v>502.4</v>
      </c>
      <c r="G32" s="28">
        <v>1.5699999999999999E-2</v>
      </c>
      <c r="H32" s="29"/>
    </row>
    <row r="33" spans="2:8" ht="15.75" customHeight="1" x14ac:dyDescent="0.2">
      <c r="B33" s="25" t="s">
        <v>621</v>
      </c>
      <c r="C33" s="25" t="s">
        <v>622</v>
      </c>
      <c r="D33" s="25" t="s">
        <v>623</v>
      </c>
      <c r="E33" s="26">
        <v>11635</v>
      </c>
      <c r="F33" s="27">
        <v>485.58</v>
      </c>
      <c r="G33" s="28">
        <v>1.52E-2</v>
      </c>
      <c r="H33" s="29"/>
    </row>
    <row r="34" spans="2:8" ht="15.75" customHeight="1" x14ac:dyDescent="0.2">
      <c r="B34" s="25" t="s">
        <v>624</v>
      </c>
      <c r="C34" s="25" t="s">
        <v>625</v>
      </c>
      <c r="D34" s="25" t="s">
        <v>297</v>
      </c>
      <c r="E34" s="26">
        <v>22151</v>
      </c>
      <c r="F34" s="27">
        <v>484.83</v>
      </c>
      <c r="G34" s="28">
        <v>1.52E-2</v>
      </c>
      <c r="H34" s="29"/>
    </row>
    <row r="35" spans="2:8" ht="15.75" customHeight="1" x14ac:dyDescent="0.2">
      <c r="B35" s="25" t="s">
        <v>332</v>
      </c>
      <c r="C35" s="25" t="s">
        <v>333</v>
      </c>
      <c r="D35" s="25" t="s">
        <v>297</v>
      </c>
      <c r="E35" s="26">
        <v>32409</v>
      </c>
      <c r="F35" s="27">
        <v>481.44</v>
      </c>
      <c r="G35" s="28">
        <v>1.5100000000000001E-2</v>
      </c>
      <c r="H35" s="29"/>
    </row>
    <row r="36" spans="2:8" ht="15.75" customHeight="1" x14ac:dyDescent="0.2">
      <c r="B36" s="25" t="s">
        <v>626</v>
      </c>
      <c r="C36" s="25" t="s">
        <v>627</v>
      </c>
      <c r="D36" s="25" t="s">
        <v>297</v>
      </c>
      <c r="E36" s="26">
        <v>8683</v>
      </c>
      <c r="F36" s="27">
        <v>464.93</v>
      </c>
      <c r="G36" s="28">
        <v>1.4500000000000001E-2</v>
      </c>
      <c r="H36" s="29"/>
    </row>
    <row r="37" spans="2:8" ht="15.75" customHeight="1" x14ac:dyDescent="0.2">
      <c r="B37" s="25" t="s">
        <v>628</v>
      </c>
      <c r="C37" s="25" t="s">
        <v>629</v>
      </c>
      <c r="D37" s="25" t="s">
        <v>139</v>
      </c>
      <c r="E37" s="26">
        <v>6633</v>
      </c>
      <c r="F37" s="27">
        <v>463.28</v>
      </c>
      <c r="G37" s="28">
        <v>1.4500000000000001E-2</v>
      </c>
      <c r="H37" s="29"/>
    </row>
    <row r="38" spans="2:8" ht="15.75" customHeight="1" x14ac:dyDescent="0.2">
      <c r="B38" s="25" t="s">
        <v>424</v>
      </c>
      <c r="C38" s="25" t="s">
        <v>425</v>
      </c>
      <c r="D38" s="25" t="s">
        <v>220</v>
      </c>
      <c r="E38" s="26">
        <v>88651</v>
      </c>
      <c r="F38" s="27">
        <v>453.72</v>
      </c>
      <c r="G38" s="28">
        <v>1.4200000000000001E-2</v>
      </c>
      <c r="H38" s="29"/>
    </row>
    <row r="39" spans="2:8" ht="15.75" customHeight="1" x14ac:dyDescent="0.2">
      <c r="B39" s="25" t="s">
        <v>430</v>
      </c>
      <c r="C39" s="25" t="s">
        <v>431</v>
      </c>
      <c r="D39" s="25" t="s">
        <v>314</v>
      </c>
      <c r="E39" s="26">
        <v>36504</v>
      </c>
      <c r="F39" s="27">
        <v>453.34</v>
      </c>
      <c r="G39" s="28">
        <v>1.4200000000000001E-2</v>
      </c>
      <c r="H39" s="29"/>
    </row>
    <row r="40" spans="2:8" ht="15.75" customHeight="1" x14ac:dyDescent="0.2">
      <c r="B40" s="25" t="s">
        <v>348</v>
      </c>
      <c r="C40" s="25" t="s">
        <v>349</v>
      </c>
      <c r="D40" s="25" t="s">
        <v>212</v>
      </c>
      <c r="E40" s="26">
        <v>32085</v>
      </c>
      <c r="F40" s="27">
        <v>425.98</v>
      </c>
      <c r="G40" s="28">
        <v>1.3299999999999999E-2</v>
      </c>
      <c r="H40" s="29"/>
    </row>
    <row r="41" spans="2:8" ht="15.75" customHeight="1" x14ac:dyDescent="0.2">
      <c r="B41" s="25" t="s">
        <v>555</v>
      </c>
      <c r="C41" s="25" t="s">
        <v>556</v>
      </c>
      <c r="D41" s="25" t="s">
        <v>254</v>
      </c>
      <c r="E41" s="26">
        <v>74879</v>
      </c>
      <c r="F41" s="27">
        <v>424.98</v>
      </c>
      <c r="G41" s="28">
        <v>1.3299999999999999E-2</v>
      </c>
      <c r="H41" s="29"/>
    </row>
    <row r="42" spans="2:8" ht="15.75" customHeight="1" x14ac:dyDescent="0.2">
      <c r="B42" s="25" t="s">
        <v>540</v>
      </c>
      <c r="C42" s="25" t="s">
        <v>541</v>
      </c>
      <c r="D42" s="25" t="s">
        <v>207</v>
      </c>
      <c r="E42" s="26">
        <v>74714</v>
      </c>
      <c r="F42" s="27">
        <v>409.43</v>
      </c>
      <c r="G42" s="28">
        <v>1.2800000000000001E-2</v>
      </c>
      <c r="H42" s="29"/>
    </row>
    <row r="43" spans="2:8" ht="15.75" customHeight="1" x14ac:dyDescent="0.2">
      <c r="B43" s="25" t="s">
        <v>630</v>
      </c>
      <c r="C43" s="25" t="s">
        <v>631</v>
      </c>
      <c r="D43" s="25" t="s">
        <v>187</v>
      </c>
      <c r="E43" s="26">
        <v>29833</v>
      </c>
      <c r="F43" s="27">
        <v>403.3</v>
      </c>
      <c r="G43" s="28">
        <v>1.26E-2</v>
      </c>
      <c r="H43" s="29"/>
    </row>
    <row r="44" spans="2:8" ht="15.75" customHeight="1" x14ac:dyDescent="0.2">
      <c r="B44" s="25" t="s">
        <v>434</v>
      </c>
      <c r="C44" s="25" t="s">
        <v>435</v>
      </c>
      <c r="D44" s="25" t="s">
        <v>436</v>
      </c>
      <c r="E44" s="26">
        <v>69514</v>
      </c>
      <c r="F44" s="27">
        <v>401.48</v>
      </c>
      <c r="G44" s="28">
        <v>1.26E-2</v>
      </c>
      <c r="H44" s="29"/>
    </row>
    <row r="45" spans="2:8" ht="15.75" customHeight="1" x14ac:dyDescent="0.2">
      <c r="B45" s="25" t="s">
        <v>632</v>
      </c>
      <c r="C45" s="25" t="s">
        <v>633</v>
      </c>
      <c r="D45" s="25" t="s">
        <v>311</v>
      </c>
      <c r="E45" s="26">
        <v>737</v>
      </c>
      <c r="F45" s="27">
        <v>401.35</v>
      </c>
      <c r="G45" s="28">
        <v>1.26E-2</v>
      </c>
      <c r="H45" s="29"/>
    </row>
    <row r="46" spans="2:8" ht="15.75" customHeight="1" x14ac:dyDescent="0.2">
      <c r="B46" s="25" t="s">
        <v>634</v>
      </c>
      <c r="C46" s="25" t="s">
        <v>635</v>
      </c>
      <c r="D46" s="25" t="s">
        <v>497</v>
      </c>
      <c r="E46" s="26">
        <v>45892</v>
      </c>
      <c r="F46" s="27">
        <v>399.21</v>
      </c>
      <c r="G46" s="28">
        <v>1.2500000000000001E-2</v>
      </c>
      <c r="H46" s="29"/>
    </row>
    <row r="47" spans="2:8" ht="15.75" customHeight="1" x14ac:dyDescent="0.2">
      <c r="B47" s="25" t="s">
        <v>636</v>
      </c>
      <c r="C47" s="25" t="s">
        <v>637</v>
      </c>
      <c r="D47" s="25" t="s">
        <v>139</v>
      </c>
      <c r="E47" s="26">
        <v>6174</v>
      </c>
      <c r="F47" s="27">
        <v>389.3</v>
      </c>
      <c r="G47" s="28">
        <v>1.2200000000000001E-2</v>
      </c>
      <c r="H47" s="29"/>
    </row>
    <row r="48" spans="2:8" ht="15.75" customHeight="1" x14ac:dyDescent="0.2">
      <c r="B48" s="25" t="s">
        <v>392</v>
      </c>
      <c r="C48" s="25" t="s">
        <v>393</v>
      </c>
      <c r="D48" s="25" t="s">
        <v>311</v>
      </c>
      <c r="E48" s="26">
        <v>104767</v>
      </c>
      <c r="F48" s="27">
        <v>386.01</v>
      </c>
      <c r="G48" s="28">
        <v>1.21E-2</v>
      </c>
      <c r="H48" s="29"/>
    </row>
    <row r="49" spans="2:8" ht="15.75" customHeight="1" x14ac:dyDescent="0.2">
      <c r="B49" s="25" t="s">
        <v>408</v>
      </c>
      <c r="C49" s="25" t="s">
        <v>409</v>
      </c>
      <c r="D49" s="25" t="s">
        <v>297</v>
      </c>
      <c r="E49" s="26">
        <v>8769</v>
      </c>
      <c r="F49" s="27">
        <v>379.68</v>
      </c>
      <c r="G49" s="28">
        <v>1.1900000000000001E-2</v>
      </c>
      <c r="H49" s="29"/>
    </row>
    <row r="50" spans="2:8" ht="15.75" customHeight="1" x14ac:dyDescent="0.2">
      <c r="B50" s="25" t="s">
        <v>638</v>
      </c>
      <c r="C50" s="25" t="s">
        <v>639</v>
      </c>
      <c r="D50" s="25" t="s">
        <v>620</v>
      </c>
      <c r="E50" s="26">
        <v>49968</v>
      </c>
      <c r="F50" s="27">
        <v>378.63</v>
      </c>
      <c r="G50" s="28">
        <v>1.18E-2</v>
      </c>
      <c r="H50" s="29"/>
    </row>
    <row r="51" spans="2:8" ht="15.75" customHeight="1" x14ac:dyDescent="0.2">
      <c r="B51" s="25" t="s">
        <v>640</v>
      </c>
      <c r="C51" s="25" t="s">
        <v>641</v>
      </c>
      <c r="D51" s="25" t="s">
        <v>190</v>
      </c>
      <c r="E51" s="26">
        <v>56073</v>
      </c>
      <c r="F51" s="27">
        <v>361.67</v>
      </c>
      <c r="G51" s="28">
        <v>1.1299999999999999E-2</v>
      </c>
      <c r="H51" s="29"/>
    </row>
    <row r="52" spans="2:8" ht="15.75" customHeight="1" x14ac:dyDescent="0.2">
      <c r="B52" s="25" t="s">
        <v>340</v>
      </c>
      <c r="C52" s="25" t="s">
        <v>341</v>
      </c>
      <c r="D52" s="25" t="s">
        <v>263</v>
      </c>
      <c r="E52" s="26">
        <v>7891</v>
      </c>
      <c r="F52" s="27">
        <v>352.9</v>
      </c>
      <c r="G52" s="28">
        <v>1.0999999999999999E-2</v>
      </c>
      <c r="H52" s="29"/>
    </row>
    <row r="53" spans="2:8" ht="15.75" customHeight="1" x14ac:dyDescent="0.2">
      <c r="B53" s="25" t="s">
        <v>221</v>
      </c>
      <c r="C53" s="25" t="s">
        <v>222</v>
      </c>
      <c r="D53" s="25" t="s">
        <v>212</v>
      </c>
      <c r="E53" s="26">
        <v>33581</v>
      </c>
      <c r="F53" s="27">
        <v>349.75</v>
      </c>
      <c r="G53" s="28">
        <v>1.09E-2</v>
      </c>
      <c r="H53" s="29"/>
    </row>
    <row r="54" spans="2:8" ht="15.75" customHeight="1" x14ac:dyDescent="0.2">
      <c r="B54" s="25" t="s">
        <v>511</v>
      </c>
      <c r="C54" s="25" t="s">
        <v>512</v>
      </c>
      <c r="D54" s="25" t="s">
        <v>233</v>
      </c>
      <c r="E54" s="26">
        <v>11218</v>
      </c>
      <c r="F54" s="27">
        <v>346.89</v>
      </c>
      <c r="G54" s="28">
        <v>1.09E-2</v>
      </c>
      <c r="H54" s="29"/>
    </row>
    <row r="55" spans="2:8" ht="15.75" customHeight="1" x14ac:dyDescent="0.2">
      <c r="B55" s="25" t="s">
        <v>642</v>
      </c>
      <c r="C55" s="25" t="s">
        <v>643</v>
      </c>
      <c r="D55" s="25" t="s">
        <v>212</v>
      </c>
      <c r="E55" s="26">
        <v>18869</v>
      </c>
      <c r="F55" s="27">
        <v>346.83</v>
      </c>
      <c r="G55" s="28">
        <v>1.0800000000000001E-2</v>
      </c>
      <c r="H55" s="29"/>
    </row>
    <row r="56" spans="2:8" ht="15.75" customHeight="1" x14ac:dyDescent="0.2">
      <c r="B56" s="25" t="s">
        <v>228</v>
      </c>
      <c r="C56" s="25" t="s">
        <v>229</v>
      </c>
      <c r="D56" s="25" t="s">
        <v>230</v>
      </c>
      <c r="E56" s="26">
        <v>33377</v>
      </c>
      <c r="F56" s="27">
        <v>329.65</v>
      </c>
      <c r="G56" s="28">
        <v>1.03E-2</v>
      </c>
      <c r="H56" s="29"/>
    </row>
    <row r="57" spans="2:8" ht="15.75" customHeight="1" x14ac:dyDescent="0.2">
      <c r="B57" s="25" t="s">
        <v>503</v>
      </c>
      <c r="C57" s="25" t="s">
        <v>504</v>
      </c>
      <c r="D57" s="25" t="s">
        <v>266</v>
      </c>
      <c r="E57" s="26">
        <v>435121</v>
      </c>
      <c r="F57" s="27">
        <v>321.38</v>
      </c>
      <c r="G57" s="28">
        <v>1.01E-2</v>
      </c>
      <c r="H57" s="29"/>
    </row>
    <row r="58" spans="2:8" ht="15.75" customHeight="1" x14ac:dyDescent="0.2">
      <c r="B58" s="25" t="s">
        <v>644</v>
      </c>
      <c r="C58" s="25" t="s">
        <v>645</v>
      </c>
      <c r="D58" s="25" t="s">
        <v>230</v>
      </c>
      <c r="E58" s="26">
        <v>52041</v>
      </c>
      <c r="F58" s="27">
        <v>311.62</v>
      </c>
      <c r="G58" s="28">
        <v>9.7000000000000003E-3</v>
      </c>
      <c r="H58" s="29"/>
    </row>
    <row r="59" spans="2:8" ht="15.75" customHeight="1" x14ac:dyDescent="0.2">
      <c r="B59" s="25" t="s">
        <v>646</v>
      </c>
      <c r="C59" s="25" t="s">
        <v>647</v>
      </c>
      <c r="D59" s="25" t="s">
        <v>212</v>
      </c>
      <c r="E59" s="26">
        <v>21323</v>
      </c>
      <c r="F59" s="27">
        <v>302.06</v>
      </c>
      <c r="G59" s="28">
        <v>9.4000000000000004E-3</v>
      </c>
      <c r="H59" s="29"/>
    </row>
    <row r="60" spans="2:8" ht="15.75" customHeight="1" x14ac:dyDescent="0.2">
      <c r="B60" s="25" t="s">
        <v>523</v>
      </c>
      <c r="C60" s="25" t="s">
        <v>524</v>
      </c>
      <c r="D60" s="25" t="s">
        <v>297</v>
      </c>
      <c r="E60" s="26">
        <v>142180</v>
      </c>
      <c r="F60" s="27">
        <v>301.32</v>
      </c>
      <c r="G60" s="28">
        <v>9.4000000000000004E-3</v>
      </c>
      <c r="H60" s="29"/>
    </row>
    <row r="61" spans="2:8" ht="15.75" customHeight="1" x14ac:dyDescent="0.2">
      <c r="B61" s="25" t="s">
        <v>648</v>
      </c>
      <c r="C61" s="25" t="s">
        <v>649</v>
      </c>
      <c r="D61" s="25" t="s">
        <v>297</v>
      </c>
      <c r="E61" s="26">
        <v>23533</v>
      </c>
      <c r="F61" s="27">
        <v>290.44</v>
      </c>
      <c r="G61" s="28">
        <v>9.1000000000000004E-3</v>
      </c>
      <c r="H61" s="29"/>
    </row>
    <row r="62" spans="2:8" ht="15.75" customHeight="1" x14ac:dyDescent="0.2">
      <c r="B62" s="25" t="s">
        <v>355</v>
      </c>
      <c r="C62" s="25" t="s">
        <v>356</v>
      </c>
      <c r="D62" s="25" t="s">
        <v>136</v>
      </c>
      <c r="E62" s="26">
        <v>220375</v>
      </c>
      <c r="F62" s="27">
        <v>277.23</v>
      </c>
      <c r="G62" s="28">
        <v>8.6999999999999994E-3</v>
      </c>
      <c r="H62" s="29"/>
    </row>
    <row r="63" spans="2:8" ht="15.75" customHeight="1" x14ac:dyDescent="0.2">
      <c r="B63" s="25" t="s">
        <v>650</v>
      </c>
      <c r="C63" s="25" t="s">
        <v>651</v>
      </c>
      <c r="D63" s="25" t="s">
        <v>269</v>
      </c>
      <c r="E63" s="26">
        <v>10330</v>
      </c>
      <c r="F63" s="27">
        <v>267.61</v>
      </c>
      <c r="G63" s="28">
        <v>8.3999999999999995E-3</v>
      </c>
      <c r="H63" s="29"/>
    </row>
    <row r="64" spans="2:8" ht="15.75" customHeight="1" x14ac:dyDescent="0.2">
      <c r="B64" s="25" t="s">
        <v>322</v>
      </c>
      <c r="C64" s="25" t="s">
        <v>323</v>
      </c>
      <c r="D64" s="25" t="s">
        <v>233</v>
      </c>
      <c r="E64" s="26">
        <v>9837</v>
      </c>
      <c r="F64" s="27">
        <v>260.18</v>
      </c>
      <c r="G64" s="28">
        <v>8.0999999999999996E-3</v>
      </c>
      <c r="H64" s="29"/>
    </row>
    <row r="65" spans="2:14" ht="15.75" customHeight="1" x14ac:dyDescent="0.2">
      <c r="B65" s="25" t="s">
        <v>652</v>
      </c>
      <c r="C65" s="25" t="s">
        <v>653</v>
      </c>
      <c r="D65" s="25" t="s">
        <v>178</v>
      </c>
      <c r="E65" s="26">
        <v>1893</v>
      </c>
      <c r="F65" s="27">
        <v>219.72</v>
      </c>
      <c r="G65" s="28">
        <v>6.8999999999999999E-3</v>
      </c>
      <c r="H65" s="29"/>
    </row>
    <row r="66" spans="2:14" ht="15.75" customHeight="1" x14ac:dyDescent="0.2">
      <c r="B66" s="25" t="s">
        <v>439</v>
      </c>
      <c r="C66" s="25" t="s">
        <v>440</v>
      </c>
      <c r="D66" s="25" t="s">
        <v>297</v>
      </c>
      <c r="E66" s="26">
        <v>10349</v>
      </c>
      <c r="F66" s="27">
        <v>134.05000000000001</v>
      </c>
      <c r="G66" s="28">
        <v>4.1999999999999997E-3</v>
      </c>
      <c r="H66" s="29"/>
    </row>
    <row r="67" spans="2:14" ht="15.75" customHeight="1" x14ac:dyDescent="0.2">
      <c r="B67" s="25" t="s">
        <v>654</v>
      </c>
      <c r="C67" s="25" t="s">
        <v>655</v>
      </c>
      <c r="D67" s="25" t="s">
        <v>202</v>
      </c>
      <c r="E67" s="26">
        <v>6535</v>
      </c>
      <c r="F67" s="27">
        <v>121.71</v>
      </c>
      <c r="G67" s="28">
        <v>3.8E-3</v>
      </c>
      <c r="H67" s="29"/>
    </row>
    <row r="68" spans="2:14" ht="15.75" customHeight="1" x14ac:dyDescent="0.2">
      <c r="B68" s="24" t="s">
        <v>104</v>
      </c>
      <c r="C68" s="24"/>
      <c r="D68" s="24"/>
      <c r="E68" s="30"/>
      <c r="F68" s="31">
        <v>31225.31</v>
      </c>
      <c r="G68" s="32">
        <v>0.97660000000000002</v>
      </c>
      <c r="H68" s="33"/>
      <c r="J68" s="3"/>
    </row>
    <row r="69" spans="2:14" ht="15.75" customHeight="1" x14ac:dyDescent="0.2">
      <c r="B69" s="24" t="s">
        <v>156</v>
      </c>
      <c r="C69" s="25"/>
      <c r="D69" s="25"/>
      <c r="E69" s="26"/>
      <c r="F69" s="27"/>
      <c r="G69" s="28"/>
      <c r="H69" s="29"/>
    </row>
    <row r="70" spans="2:14" ht="15.75" customHeight="1" x14ac:dyDescent="0.2">
      <c r="B70" s="24" t="s">
        <v>104</v>
      </c>
      <c r="C70" s="25"/>
      <c r="D70" s="25"/>
      <c r="E70" s="26"/>
      <c r="F70" s="34" t="s">
        <v>106</v>
      </c>
      <c r="G70" s="35" t="s">
        <v>106</v>
      </c>
      <c r="H70" s="29"/>
      <c r="J70" s="3"/>
    </row>
    <row r="71" spans="2:14" ht="15.75" customHeight="1" x14ac:dyDescent="0.2">
      <c r="B71" s="25"/>
      <c r="C71" s="25"/>
      <c r="D71" s="25"/>
      <c r="E71" s="26"/>
      <c r="F71" s="27"/>
      <c r="G71" s="28"/>
      <c r="H71" s="29"/>
      <c r="J71" s="3"/>
    </row>
    <row r="72" spans="2:14" ht="15.75" customHeight="1" x14ac:dyDescent="0.2">
      <c r="B72" s="36" t="s">
        <v>108</v>
      </c>
      <c r="C72" s="36"/>
      <c r="D72" s="36"/>
      <c r="E72" s="37"/>
      <c r="F72" s="31">
        <v>31225.31</v>
      </c>
      <c r="G72" s="32">
        <v>0.97660000000000002</v>
      </c>
      <c r="H72" s="33"/>
      <c r="J72" s="3"/>
    </row>
    <row r="73" spans="2:14" ht="15.75" customHeight="1" x14ac:dyDescent="0.2">
      <c r="B73" s="25"/>
      <c r="C73" s="25"/>
      <c r="D73" s="25"/>
      <c r="E73" s="26"/>
      <c r="F73" s="27"/>
      <c r="G73" s="28"/>
      <c r="H73" s="29"/>
      <c r="J73" s="3"/>
    </row>
    <row r="74" spans="2:14" ht="15.75" customHeight="1" x14ac:dyDescent="0.2">
      <c r="B74" s="25"/>
      <c r="C74" s="25"/>
      <c r="D74" s="25"/>
      <c r="E74" s="26"/>
      <c r="F74" s="27"/>
      <c r="G74" s="28"/>
      <c r="H74" s="29"/>
      <c r="J74" s="3"/>
    </row>
    <row r="75" spans="2:14" ht="15.75" customHeight="1" x14ac:dyDescent="0.2">
      <c r="B75" s="24" t="s">
        <v>111</v>
      </c>
      <c r="C75" s="25"/>
      <c r="D75" s="25"/>
      <c r="E75" s="26"/>
      <c r="F75" s="27"/>
      <c r="G75" s="28"/>
      <c r="H75" s="29"/>
      <c r="J75" s="5"/>
      <c r="K75" s="5"/>
      <c r="L75" s="6"/>
      <c r="M75" s="6"/>
      <c r="N75" s="5"/>
    </row>
    <row r="76" spans="2:14" ht="15.75" customHeight="1" x14ac:dyDescent="0.2">
      <c r="B76" s="25" t="s">
        <v>112</v>
      </c>
      <c r="C76" s="25"/>
      <c r="D76" s="25"/>
      <c r="E76" s="26"/>
      <c r="F76" s="27">
        <v>823.06</v>
      </c>
      <c r="G76" s="28">
        <v>2.5700000000000001E-2</v>
      </c>
      <c r="H76" s="29"/>
    </row>
    <row r="77" spans="2:14" ht="15.75" customHeight="1" x14ac:dyDescent="0.2">
      <c r="B77" s="24" t="s">
        <v>104</v>
      </c>
      <c r="C77" s="24"/>
      <c r="D77" s="24"/>
      <c r="E77" s="30"/>
      <c r="F77" s="31">
        <v>823.06</v>
      </c>
      <c r="G77" s="32">
        <v>2.5700000000000001E-2</v>
      </c>
      <c r="H77" s="33"/>
    </row>
    <row r="78" spans="2:14" ht="15.75" customHeight="1" x14ac:dyDescent="0.2">
      <c r="B78" s="25"/>
      <c r="C78" s="25"/>
      <c r="D78" s="25"/>
      <c r="E78" s="26"/>
      <c r="F78" s="27"/>
      <c r="G78" s="28"/>
      <c r="H78" s="29"/>
      <c r="J78" s="7"/>
      <c r="K78" s="7"/>
      <c r="L78" s="7"/>
      <c r="M78" s="7"/>
      <c r="N78" s="7"/>
    </row>
    <row r="79" spans="2:14" ht="15.75" customHeight="1" x14ac:dyDescent="0.2">
      <c r="B79" s="36" t="s">
        <v>108</v>
      </c>
      <c r="C79" s="36"/>
      <c r="D79" s="36"/>
      <c r="E79" s="37"/>
      <c r="F79" s="31">
        <v>823.06</v>
      </c>
      <c r="G79" s="32">
        <v>2.5700000000000001E-2</v>
      </c>
      <c r="H79" s="33"/>
      <c r="J79" s="7"/>
      <c r="K79" s="7"/>
      <c r="L79" s="7"/>
      <c r="M79" s="7"/>
      <c r="N79" s="7"/>
    </row>
    <row r="80" spans="2:14" ht="15.75" customHeight="1" x14ac:dyDescent="0.2">
      <c r="B80" s="25" t="s">
        <v>113</v>
      </c>
      <c r="C80" s="25"/>
      <c r="D80" s="25"/>
      <c r="E80" s="26"/>
      <c r="F80" s="38">
        <v>-76.89</v>
      </c>
      <c r="G80" s="39">
        <v>-2.2999999999999687E-3</v>
      </c>
      <c r="H80" s="29"/>
      <c r="J80" s="7"/>
      <c r="K80" s="7"/>
      <c r="L80" s="7"/>
      <c r="M80" s="7"/>
      <c r="N80" s="7"/>
    </row>
    <row r="81" spans="2:14" ht="15.75" customHeight="1" x14ac:dyDescent="0.2">
      <c r="B81" s="40" t="s">
        <v>114</v>
      </c>
      <c r="C81" s="40"/>
      <c r="D81" s="40"/>
      <c r="E81" s="41"/>
      <c r="F81" s="42">
        <v>31971.48</v>
      </c>
      <c r="G81" s="43">
        <v>1</v>
      </c>
      <c r="H81" s="44"/>
      <c r="J81" s="7"/>
      <c r="K81" s="7"/>
      <c r="L81" s="7"/>
      <c r="M81" s="7"/>
      <c r="N81" s="7"/>
    </row>
    <row r="82" spans="2:14" ht="15.75" customHeight="1" thickBot="1" x14ac:dyDescent="0.25">
      <c r="B82" s="2"/>
      <c r="J82" s="7"/>
      <c r="K82" s="7"/>
      <c r="L82" s="7"/>
      <c r="M82" s="7"/>
      <c r="N82" s="7"/>
    </row>
    <row r="83" spans="2:14" ht="27" customHeight="1" thickBot="1" x14ac:dyDescent="0.25">
      <c r="B83" s="56" t="s">
        <v>1009</v>
      </c>
      <c r="C83" s="57" t="s">
        <v>1010</v>
      </c>
      <c r="D83" s="57" t="s">
        <v>1011</v>
      </c>
      <c r="E83" s="62" t="s">
        <v>1012</v>
      </c>
      <c r="G83" s="2"/>
      <c r="H83" s="2"/>
    </row>
    <row r="84" spans="2:14" ht="29.25" customHeight="1" x14ac:dyDescent="0.2">
      <c r="B84" s="63" t="s">
        <v>1044</v>
      </c>
      <c r="C84" s="83"/>
      <c r="D84" s="86" t="s">
        <v>1045</v>
      </c>
      <c r="E84" s="88"/>
      <c r="G84" s="2"/>
      <c r="H84" s="2"/>
    </row>
    <row r="85" spans="2:14" ht="39.950000000000003" customHeight="1" x14ac:dyDescent="0.2">
      <c r="B85" s="65" t="s">
        <v>1040</v>
      </c>
      <c r="C85" s="84"/>
      <c r="D85" s="87"/>
      <c r="E85" s="84"/>
      <c r="G85" s="2"/>
      <c r="H85" s="2"/>
    </row>
    <row r="86" spans="2:14" ht="39.950000000000003" customHeight="1" x14ac:dyDescent="0.2">
      <c r="B86" s="65" t="s">
        <v>1046</v>
      </c>
      <c r="C86" s="84"/>
      <c r="D86" s="87"/>
      <c r="E86" s="84"/>
      <c r="G86" s="2"/>
      <c r="H86" s="2"/>
    </row>
    <row r="87" spans="2:14" ht="23.25" customHeight="1" thickBot="1" x14ac:dyDescent="0.25">
      <c r="B87" s="67" t="s">
        <v>1030</v>
      </c>
      <c r="C87" s="85"/>
      <c r="D87" s="70" t="s">
        <v>1030</v>
      </c>
      <c r="E87" s="89"/>
      <c r="G87" s="2"/>
      <c r="H87" s="2"/>
    </row>
    <row r="88" spans="2:14" ht="24.95" customHeight="1" x14ac:dyDescent="0.2">
      <c r="B88" s="58" t="s">
        <v>1014</v>
      </c>
      <c r="C88" s="59"/>
      <c r="D88" s="60"/>
      <c r="E88" s="61"/>
      <c r="G88" s="2"/>
      <c r="H88" s="2"/>
    </row>
    <row r="90" spans="2:14" ht="12" x14ac:dyDescent="0.2">
      <c r="B90" s="2" t="s">
        <v>1015</v>
      </c>
      <c r="C90" s="2"/>
      <c r="D90" s="2"/>
      <c r="G90" s="2"/>
      <c r="H90" s="2"/>
    </row>
    <row r="91" spans="2:14" ht="12" x14ac:dyDescent="0.2">
      <c r="B91" s="3" t="s">
        <v>1016</v>
      </c>
      <c r="C91" s="2"/>
      <c r="D91" s="2"/>
      <c r="G91" s="2"/>
      <c r="H91" s="2"/>
    </row>
  </sheetData>
  <mergeCells count="3">
    <mergeCell ref="C84:C87"/>
    <mergeCell ref="D84:D86"/>
    <mergeCell ref="E84:E87"/>
  </mergeCells>
  <hyperlinks>
    <hyperlink ref="G1" location="'Sheet1'!A1" display="Index" xr:uid="{22A03386-5CAA-4A33-A5BB-76422CFE48F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8E8D-9C98-433D-8AC7-7F51F2DFA852}">
  <dimension ref="B1:N123"/>
  <sheetViews>
    <sheetView workbookViewId="0"/>
  </sheetViews>
  <sheetFormatPr defaultColWidth="9.140625" defaultRowHeight="15.75" customHeight="1" x14ac:dyDescent="0.2"/>
  <cols>
    <col min="1" max="1" width="3.5703125" style="2" customWidth="1"/>
    <col min="2" max="2" width="38.5703125" style="9" bestFit="1" customWidth="1"/>
    <col min="3" max="3" width="26.5703125" style="9" customWidth="1"/>
    <col min="4" max="4" width="36.5703125" style="9" bestFit="1" customWidth="1"/>
    <col min="5" max="5" width="26.42578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132</v>
      </c>
      <c r="C5" s="19"/>
      <c r="D5" s="19"/>
      <c r="E5" s="20"/>
      <c r="F5" s="21"/>
      <c r="G5" s="22"/>
      <c r="H5" s="23"/>
    </row>
    <row r="6" spans="2:8" ht="15.75" customHeight="1" x14ac:dyDescent="0.2">
      <c r="B6" s="24" t="s">
        <v>133</v>
      </c>
      <c r="C6" s="25"/>
      <c r="D6" s="25"/>
      <c r="E6" s="26"/>
      <c r="F6" s="27"/>
      <c r="G6" s="28"/>
      <c r="H6" s="29"/>
    </row>
    <row r="7" spans="2:8" ht="15.75" customHeight="1" x14ac:dyDescent="0.2">
      <c r="B7" s="25" t="s">
        <v>236</v>
      </c>
      <c r="C7" s="25" t="s">
        <v>237</v>
      </c>
      <c r="D7" s="25" t="s">
        <v>139</v>
      </c>
      <c r="E7" s="26">
        <v>2100</v>
      </c>
      <c r="F7" s="27">
        <v>92.09</v>
      </c>
      <c r="G7" s="28">
        <v>4.7500000000000001E-2</v>
      </c>
      <c r="H7" s="29"/>
    </row>
    <row r="8" spans="2:8" ht="15.75" customHeight="1" x14ac:dyDescent="0.2">
      <c r="B8" s="25" t="s">
        <v>179</v>
      </c>
      <c r="C8" s="25" t="s">
        <v>180</v>
      </c>
      <c r="D8" s="25" t="s">
        <v>181</v>
      </c>
      <c r="E8" s="26">
        <v>49500</v>
      </c>
      <c r="F8" s="27">
        <v>81.84</v>
      </c>
      <c r="G8" s="28">
        <v>4.2200000000000001E-2</v>
      </c>
      <c r="H8" s="29"/>
    </row>
    <row r="9" spans="2:8" ht="15.75" customHeight="1" x14ac:dyDescent="0.2">
      <c r="B9" s="25" t="s">
        <v>213</v>
      </c>
      <c r="C9" s="25" t="s">
        <v>214</v>
      </c>
      <c r="D9" s="25" t="s">
        <v>136</v>
      </c>
      <c r="E9" s="26">
        <v>29250</v>
      </c>
      <c r="F9" s="27">
        <v>74.19</v>
      </c>
      <c r="G9" s="28">
        <v>3.8300000000000001E-2</v>
      </c>
      <c r="H9" s="29"/>
    </row>
    <row r="10" spans="2:8" ht="15.75" customHeight="1" x14ac:dyDescent="0.2">
      <c r="B10" s="25" t="s">
        <v>137</v>
      </c>
      <c r="C10" s="25" t="s">
        <v>138</v>
      </c>
      <c r="D10" s="25" t="s">
        <v>139</v>
      </c>
      <c r="E10" s="26">
        <v>3600</v>
      </c>
      <c r="F10" s="27">
        <v>67.260000000000005</v>
      </c>
      <c r="G10" s="28">
        <v>3.4700000000000002E-2</v>
      </c>
      <c r="H10" s="29"/>
    </row>
    <row r="11" spans="2:8" ht="15.75" customHeight="1" x14ac:dyDescent="0.2">
      <c r="B11" s="25" t="s">
        <v>140</v>
      </c>
      <c r="C11" s="25" t="s">
        <v>141</v>
      </c>
      <c r="D11" s="25" t="s">
        <v>142</v>
      </c>
      <c r="E11" s="26">
        <v>2400</v>
      </c>
      <c r="F11" s="27">
        <v>64.94</v>
      </c>
      <c r="G11" s="28">
        <v>3.3500000000000002E-2</v>
      </c>
      <c r="H11" s="29"/>
    </row>
    <row r="12" spans="2:8" ht="15.75" customHeight="1" x14ac:dyDescent="0.2">
      <c r="B12" s="25" t="s">
        <v>491</v>
      </c>
      <c r="C12" s="25" t="s">
        <v>492</v>
      </c>
      <c r="D12" s="25" t="s">
        <v>269</v>
      </c>
      <c r="E12" s="26">
        <v>500</v>
      </c>
      <c r="F12" s="27">
        <v>59.44</v>
      </c>
      <c r="G12" s="28">
        <v>3.0700000000000002E-2</v>
      </c>
      <c r="H12" s="29"/>
    </row>
    <row r="13" spans="2:8" ht="15.75" customHeight="1" x14ac:dyDescent="0.2">
      <c r="B13" s="25" t="s">
        <v>656</v>
      </c>
      <c r="C13" s="25" t="s">
        <v>657</v>
      </c>
      <c r="D13" s="25" t="s">
        <v>623</v>
      </c>
      <c r="E13" s="26">
        <v>20000</v>
      </c>
      <c r="F13" s="27">
        <v>51.42</v>
      </c>
      <c r="G13" s="28">
        <v>2.6499999999999999E-2</v>
      </c>
      <c r="H13" s="29"/>
    </row>
    <row r="14" spans="2:8" ht="15.75" customHeight="1" x14ac:dyDescent="0.2">
      <c r="B14" s="25" t="s">
        <v>523</v>
      </c>
      <c r="C14" s="25" t="s">
        <v>524</v>
      </c>
      <c r="D14" s="25" t="s">
        <v>297</v>
      </c>
      <c r="E14" s="26">
        <v>23696</v>
      </c>
      <c r="F14" s="27">
        <v>50.22</v>
      </c>
      <c r="G14" s="28">
        <v>2.5899999999999999E-2</v>
      </c>
      <c r="H14" s="29"/>
    </row>
    <row r="15" spans="2:8" ht="15.75" customHeight="1" x14ac:dyDescent="0.2">
      <c r="B15" s="25" t="s">
        <v>149</v>
      </c>
      <c r="C15" s="25" t="s">
        <v>150</v>
      </c>
      <c r="D15" s="25" t="s">
        <v>136</v>
      </c>
      <c r="E15" s="26">
        <v>3012</v>
      </c>
      <c r="F15" s="27">
        <v>48.67</v>
      </c>
      <c r="G15" s="28">
        <v>2.5100000000000001E-2</v>
      </c>
      <c r="H15" s="29"/>
    </row>
    <row r="16" spans="2:8" ht="15.75" customHeight="1" x14ac:dyDescent="0.2">
      <c r="B16" s="25" t="s">
        <v>238</v>
      </c>
      <c r="C16" s="25" t="s">
        <v>239</v>
      </c>
      <c r="D16" s="25" t="s">
        <v>240</v>
      </c>
      <c r="E16" s="26">
        <v>22500</v>
      </c>
      <c r="F16" s="27">
        <v>43.7</v>
      </c>
      <c r="G16" s="28">
        <v>2.2499999999999999E-2</v>
      </c>
      <c r="H16" s="29"/>
    </row>
    <row r="17" spans="2:8" ht="15.75" customHeight="1" x14ac:dyDescent="0.2">
      <c r="B17" s="25" t="s">
        <v>143</v>
      </c>
      <c r="C17" s="25" t="s">
        <v>144</v>
      </c>
      <c r="D17" s="25" t="s">
        <v>145</v>
      </c>
      <c r="E17" s="26">
        <v>1400</v>
      </c>
      <c r="F17" s="27">
        <v>40.71</v>
      </c>
      <c r="G17" s="28">
        <v>2.1000000000000001E-2</v>
      </c>
      <c r="H17" s="29"/>
    </row>
    <row r="18" spans="2:8" ht="15.75" customHeight="1" x14ac:dyDescent="0.2">
      <c r="B18" s="25" t="s">
        <v>507</v>
      </c>
      <c r="C18" s="25" t="s">
        <v>508</v>
      </c>
      <c r="D18" s="25" t="s">
        <v>172</v>
      </c>
      <c r="E18" s="26">
        <v>2100</v>
      </c>
      <c r="F18" s="27">
        <v>36.11</v>
      </c>
      <c r="G18" s="28">
        <v>1.8599999999999998E-2</v>
      </c>
      <c r="H18" s="29"/>
    </row>
    <row r="19" spans="2:8" ht="15.75" customHeight="1" x14ac:dyDescent="0.2">
      <c r="B19" s="25" t="s">
        <v>134</v>
      </c>
      <c r="C19" s="25" t="s">
        <v>135</v>
      </c>
      <c r="D19" s="25" t="s">
        <v>136</v>
      </c>
      <c r="E19" s="26">
        <v>2586</v>
      </c>
      <c r="F19" s="27">
        <v>31.42</v>
      </c>
      <c r="G19" s="28">
        <v>1.6199999999999999E-2</v>
      </c>
      <c r="H19" s="29"/>
    </row>
    <row r="20" spans="2:8" ht="15.75" customHeight="1" x14ac:dyDescent="0.2">
      <c r="B20" s="25" t="s">
        <v>350</v>
      </c>
      <c r="C20" s="25" t="s">
        <v>351</v>
      </c>
      <c r="D20" s="25" t="s">
        <v>352</v>
      </c>
      <c r="E20" s="26">
        <v>796</v>
      </c>
      <c r="F20" s="27">
        <v>30.37</v>
      </c>
      <c r="G20" s="28">
        <v>1.5699999999999999E-2</v>
      </c>
      <c r="H20" s="29"/>
    </row>
    <row r="21" spans="2:8" ht="15.75" customHeight="1" x14ac:dyDescent="0.2">
      <c r="B21" s="25" t="s">
        <v>182</v>
      </c>
      <c r="C21" s="25" t="s">
        <v>183</v>
      </c>
      <c r="D21" s="25" t="s">
        <v>184</v>
      </c>
      <c r="E21" s="26">
        <v>6649</v>
      </c>
      <c r="F21" s="27">
        <v>30.16</v>
      </c>
      <c r="G21" s="28">
        <v>1.5599999999999999E-2</v>
      </c>
      <c r="H21" s="29"/>
    </row>
    <row r="22" spans="2:8" ht="15.75" customHeight="1" x14ac:dyDescent="0.2">
      <c r="B22" s="25" t="s">
        <v>291</v>
      </c>
      <c r="C22" s="25" t="s">
        <v>292</v>
      </c>
      <c r="D22" s="25" t="s">
        <v>136</v>
      </c>
      <c r="E22" s="26">
        <v>2500</v>
      </c>
      <c r="F22" s="27">
        <v>29.15</v>
      </c>
      <c r="G22" s="28">
        <v>1.4999999999999999E-2</v>
      </c>
      <c r="H22" s="29"/>
    </row>
    <row r="23" spans="2:8" ht="15.75" customHeight="1" x14ac:dyDescent="0.2">
      <c r="B23" s="25" t="s">
        <v>289</v>
      </c>
      <c r="C23" s="25" t="s">
        <v>290</v>
      </c>
      <c r="D23" s="25" t="s">
        <v>136</v>
      </c>
      <c r="E23" s="26">
        <v>1600</v>
      </c>
      <c r="F23" s="27">
        <v>28.93</v>
      </c>
      <c r="G23" s="28">
        <v>1.49E-2</v>
      </c>
      <c r="H23" s="29"/>
    </row>
    <row r="24" spans="2:8" ht="15.75" customHeight="1" x14ac:dyDescent="0.2">
      <c r="B24" s="25" t="s">
        <v>287</v>
      </c>
      <c r="C24" s="25" t="s">
        <v>288</v>
      </c>
      <c r="D24" s="25" t="s">
        <v>136</v>
      </c>
      <c r="E24" s="26">
        <v>3312</v>
      </c>
      <c r="F24" s="27">
        <v>28.89</v>
      </c>
      <c r="G24" s="28">
        <v>1.49E-2</v>
      </c>
      <c r="H24" s="29"/>
    </row>
    <row r="25" spans="2:8" ht="15.75" customHeight="1" x14ac:dyDescent="0.2">
      <c r="B25" s="25" t="s">
        <v>153</v>
      </c>
      <c r="C25" s="25" t="s">
        <v>154</v>
      </c>
      <c r="D25" s="25" t="s">
        <v>155</v>
      </c>
      <c r="E25" s="26">
        <v>952</v>
      </c>
      <c r="F25" s="27">
        <v>28.66</v>
      </c>
      <c r="G25" s="28">
        <v>1.4800000000000001E-2</v>
      </c>
      <c r="H25" s="29"/>
    </row>
    <row r="26" spans="2:8" ht="15.75" customHeight="1" x14ac:dyDescent="0.2">
      <c r="B26" s="25" t="s">
        <v>285</v>
      </c>
      <c r="C26" s="25" t="s">
        <v>286</v>
      </c>
      <c r="D26" s="25" t="s">
        <v>142</v>
      </c>
      <c r="E26" s="26">
        <v>5504</v>
      </c>
      <c r="F26" s="27">
        <v>27.26</v>
      </c>
      <c r="G26" s="28">
        <v>1.41E-2</v>
      </c>
      <c r="H26" s="29"/>
    </row>
    <row r="27" spans="2:8" ht="15.75" customHeight="1" x14ac:dyDescent="0.2">
      <c r="B27" s="25" t="s">
        <v>542</v>
      </c>
      <c r="C27" s="25" t="s">
        <v>543</v>
      </c>
      <c r="D27" s="25" t="s">
        <v>178</v>
      </c>
      <c r="E27" s="26">
        <v>472</v>
      </c>
      <c r="F27" s="27">
        <v>23.75</v>
      </c>
      <c r="G27" s="28">
        <v>1.23E-2</v>
      </c>
      <c r="H27" s="29"/>
    </row>
    <row r="28" spans="2:8" ht="15.75" customHeight="1" x14ac:dyDescent="0.2">
      <c r="B28" s="25" t="s">
        <v>420</v>
      </c>
      <c r="C28" s="25" t="s">
        <v>421</v>
      </c>
      <c r="D28" s="25" t="s">
        <v>202</v>
      </c>
      <c r="E28" s="26">
        <v>10660</v>
      </c>
      <c r="F28" s="27">
        <v>23.35</v>
      </c>
      <c r="G28" s="28">
        <v>1.2E-2</v>
      </c>
      <c r="H28" s="29"/>
    </row>
    <row r="29" spans="2:8" ht="15.75" customHeight="1" x14ac:dyDescent="0.2">
      <c r="B29" s="25" t="s">
        <v>552</v>
      </c>
      <c r="C29" s="25" t="s">
        <v>553</v>
      </c>
      <c r="D29" s="25" t="s">
        <v>554</v>
      </c>
      <c r="E29" s="26">
        <v>3195</v>
      </c>
      <c r="F29" s="27">
        <v>21.57</v>
      </c>
      <c r="G29" s="28">
        <v>1.11E-2</v>
      </c>
      <c r="H29" s="29"/>
    </row>
    <row r="30" spans="2:8" ht="15.75" customHeight="1" x14ac:dyDescent="0.2">
      <c r="B30" s="25" t="s">
        <v>412</v>
      </c>
      <c r="C30" s="25" t="s">
        <v>413</v>
      </c>
      <c r="D30" s="25" t="s">
        <v>352</v>
      </c>
      <c r="E30" s="26">
        <v>6015</v>
      </c>
      <c r="F30" s="27">
        <v>21.53</v>
      </c>
      <c r="G30" s="28">
        <v>1.11E-2</v>
      </c>
      <c r="H30" s="29"/>
    </row>
    <row r="31" spans="2:8" ht="15.75" customHeight="1" x14ac:dyDescent="0.2">
      <c r="B31" s="25" t="s">
        <v>658</v>
      </c>
      <c r="C31" s="25" t="s">
        <v>659</v>
      </c>
      <c r="D31" s="25" t="s">
        <v>190</v>
      </c>
      <c r="E31" s="26">
        <v>807</v>
      </c>
      <c r="F31" s="27">
        <v>20.190000000000001</v>
      </c>
      <c r="G31" s="28">
        <v>1.04E-2</v>
      </c>
      <c r="H31" s="29"/>
    </row>
    <row r="32" spans="2:8" ht="15.75" customHeight="1" x14ac:dyDescent="0.2">
      <c r="B32" s="25" t="s">
        <v>660</v>
      </c>
      <c r="C32" s="25" t="s">
        <v>661</v>
      </c>
      <c r="D32" s="25" t="s">
        <v>311</v>
      </c>
      <c r="E32" s="26">
        <v>1232</v>
      </c>
      <c r="F32" s="27">
        <v>20.079999999999998</v>
      </c>
      <c r="G32" s="28">
        <v>1.04E-2</v>
      </c>
      <c r="H32" s="29"/>
    </row>
    <row r="33" spans="2:8" ht="15.75" customHeight="1" x14ac:dyDescent="0.2">
      <c r="B33" s="25" t="s">
        <v>309</v>
      </c>
      <c r="C33" s="25" t="s">
        <v>310</v>
      </c>
      <c r="D33" s="25" t="s">
        <v>311</v>
      </c>
      <c r="E33" s="26">
        <v>7416</v>
      </c>
      <c r="F33" s="27">
        <v>19.920000000000002</v>
      </c>
      <c r="G33" s="28">
        <v>1.03E-2</v>
      </c>
      <c r="H33" s="29"/>
    </row>
    <row r="34" spans="2:8" ht="15.75" customHeight="1" x14ac:dyDescent="0.2">
      <c r="B34" s="25" t="s">
        <v>515</v>
      </c>
      <c r="C34" s="25" t="s">
        <v>516</v>
      </c>
      <c r="D34" s="25" t="s">
        <v>190</v>
      </c>
      <c r="E34" s="26">
        <v>463</v>
      </c>
      <c r="F34" s="27">
        <v>19.86</v>
      </c>
      <c r="G34" s="28">
        <v>1.0200000000000001E-2</v>
      </c>
      <c r="H34" s="29"/>
    </row>
    <row r="35" spans="2:8" ht="15.75" customHeight="1" x14ac:dyDescent="0.2">
      <c r="B35" s="25" t="s">
        <v>398</v>
      </c>
      <c r="C35" s="25" t="s">
        <v>399</v>
      </c>
      <c r="D35" s="25" t="s">
        <v>178</v>
      </c>
      <c r="E35" s="26">
        <v>4777</v>
      </c>
      <c r="F35" s="27">
        <v>19.84</v>
      </c>
      <c r="G35" s="28">
        <v>1.0200000000000001E-2</v>
      </c>
      <c r="H35" s="29"/>
    </row>
    <row r="36" spans="2:8" ht="15.75" customHeight="1" x14ac:dyDescent="0.2">
      <c r="B36" s="25" t="s">
        <v>228</v>
      </c>
      <c r="C36" s="25" t="s">
        <v>229</v>
      </c>
      <c r="D36" s="25" t="s">
        <v>230</v>
      </c>
      <c r="E36" s="26">
        <v>2009</v>
      </c>
      <c r="F36" s="27">
        <v>19.84</v>
      </c>
      <c r="G36" s="28">
        <v>1.0200000000000001E-2</v>
      </c>
      <c r="H36" s="29"/>
    </row>
    <row r="37" spans="2:8" ht="15.75" customHeight="1" x14ac:dyDescent="0.2">
      <c r="B37" s="25" t="s">
        <v>234</v>
      </c>
      <c r="C37" s="25" t="s">
        <v>235</v>
      </c>
      <c r="D37" s="25" t="s">
        <v>145</v>
      </c>
      <c r="E37" s="26">
        <v>151</v>
      </c>
      <c r="F37" s="27">
        <v>19.8</v>
      </c>
      <c r="G37" s="28">
        <v>1.0200000000000001E-2</v>
      </c>
      <c r="H37" s="29"/>
    </row>
    <row r="38" spans="2:8" ht="15.75" customHeight="1" x14ac:dyDescent="0.2">
      <c r="B38" s="25" t="s">
        <v>390</v>
      </c>
      <c r="C38" s="25" t="s">
        <v>391</v>
      </c>
      <c r="D38" s="25" t="s">
        <v>172</v>
      </c>
      <c r="E38" s="26">
        <v>10942</v>
      </c>
      <c r="F38" s="27">
        <v>19.260000000000002</v>
      </c>
      <c r="G38" s="28">
        <v>9.9000000000000008E-3</v>
      </c>
      <c r="H38" s="29"/>
    </row>
    <row r="39" spans="2:8" ht="15.75" customHeight="1" x14ac:dyDescent="0.2">
      <c r="B39" s="25" t="s">
        <v>392</v>
      </c>
      <c r="C39" s="25" t="s">
        <v>393</v>
      </c>
      <c r="D39" s="25" t="s">
        <v>311</v>
      </c>
      <c r="E39" s="26">
        <v>5150</v>
      </c>
      <c r="F39" s="27">
        <v>18.98</v>
      </c>
      <c r="G39" s="28">
        <v>9.7999999999999997E-3</v>
      </c>
      <c r="H39" s="29"/>
    </row>
    <row r="40" spans="2:8" ht="15.75" customHeight="1" x14ac:dyDescent="0.2">
      <c r="B40" s="25" t="s">
        <v>332</v>
      </c>
      <c r="C40" s="25" t="s">
        <v>333</v>
      </c>
      <c r="D40" s="25" t="s">
        <v>297</v>
      </c>
      <c r="E40" s="26">
        <v>1099</v>
      </c>
      <c r="F40" s="27">
        <v>16.329999999999998</v>
      </c>
      <c r="G40" s="28">
        <v>8.3999999999999995E-3</v>
      </c>
      <c r="H40" s="29"/>
    </row>
    <row r="41" spans="2:8" ht="15.75" customHeight="1" x14ac:dyDescent="0.2">
      <c r="B41" s="25" t="s">
        <v>300</v>
      </c>
      <c r="C41" s="25" t="s">
        <v>301</v>
      </c>
      <c r="D41" s="25" t="s">
        <v>269</v>
      </c>
      <c r="E41" s="26">
        <v>557</v>
      </c>
      <c r="F41" s="27">
        <v>15.47</v>
      </c>
      <c r="G41" s="28">
        <v>8.0000000000000002E-3</v>
      </c>
      <c r="H41" s="29"/>
    </row>
    <row r="42" spans="2:8" ht="15.75" customHeight="1" x14ac:dyDescent="0.2">
      <c r="B42" s="25" t="s">
        <v>394</v>
      </c>
      <c r="C42" s="25" t="s">
        <v>395</v>
      </c>
      <c r="D42" s="25" t="s">
        <v>220</v>
      </c>
      <c r="E42" s="26">
        <v>6628</v>
      </c>
      <c r="F42" s="27">
        <v>15.21</v>
      </c>
      <c r="G42" s="28">
        <v>7.7999999999999996E-3</v>
      </c>
      <c r="H42" s="29"/>
    </row>
    <row r="43" spans="2:8" ht="15.75" customHeight="1" x14ac:dyDescent="0.2">
      <c r="B43" s="25" t="s">
        <v>467</v>
      </c>
      <c r="C43" s="25" t="s">
        <v>468</v>
      </c>
      <c r="D43" s="25" t="s">
        <v>212</v>
      </c>
      <c r="E43" s="26">
        <v>3437</v>
      </c>
      <c r="F43" s="27">
        <v>15.19</v>
      </c>
      <c r="G43" s="28">
        <v>7.7999999999999996E-3</v>
      </c>
      <c r="H43" s="29"/>
    </row>
    <row r="44" spans="2:8" ht="15.75" customHeight="1" x14ac:dyDescent="0.2">
      <c r="B44" s="25" t="s">
        <v>662</v>
      </c>
      <c r="C44" s="25" t="s">
        <v>663</v>
      </c>
      <c r="D44" s="25" t="s">
        <v>554</v>
      </c>
      <c r="E44" s="26">
        <v>1268</v>
      </c>
      <c r="F44" s="27">
        <v>15.08</v>
      </c>
      <c r="G44" s="28">
        <v>7.7999999999999996E-3</v>
      </c>
      <c r="H44" s="29"/>
    </row>
    <row r="45" spans="2:8" ht="15.75" customHeight="1" x14ac:dyDescent="0.2">
      <c r="B45" s="25" t="s">
        <v>664</v>
      </c>
      <c r="C45" s="25" t="s">
        <v>665</v>
      </c>
      <c r="D45" s="25" t="s">
        <v>187</v>
      </c>
      <c r="E45" s="26">
        <v>1887</v>
      </c>
      <c r="F45" s="27">
        <v>14.64</v>
      </c>
      <c r="G45" s="28">
        <v>7.6E-3</v>
      </c>
      <c r="H45" s="29"/>
    </row>
    <row r="46" spans="2:8" ht="15.75" customHeight="1" x14ac:dyDescent="0.2">
      <c r="B46" s="25" t="s">
        <v>666</v>
      </c>
      <c r="C46" s="25" t="s">
        <v>667</v>
      </c>
      <c r="D46" s="25" t="s">
        <v>266</v>
      </c>
      <c r="E46" s="26">
        <v>537</v>
      </c>
      <c r="F46" s="27">
        <v>14.44</v>
      </c>
      <c r="G46" s="28">
        <v>7.4000000000000003E-3</v>
      </c>
      <c r="H46" s="29"/>
    </row>
    <row r="47" spans="2:8" ht="15.75" customHeight="1" x14ac:dyDescent="0.2">
      <c r="B47" s="25" t="s">
        <v>640</v>
      </c>
      <c r="C47" s="25" t="s">
        <v>641</v>
      </c>
      <c r="D47" s="25" t="s">
        <v>190</v>
      </c>
      <c r="E47" s="26">
        <v>2185</v>
      </c>
      <c r="F47" s="27">
        <v>14.09</v>
      </c>
      <c r="G47" s="28">
        <v>7.3000000000000001E-3</v>
      </c>
      <c r="H47" s="29"/>
    </row>
    <row r="48" spans="2:8" ht="15.75" customHeight="1" x14ac:dyDescent="0.2">
      <c r="B48" s="25" t="s">
        <v>203</v>
      </c>
      <c r="C48" s="25" t="s">
        <v>204</v>
      </c>
      <c r="D48" s="25" t="s">
        <v>139</v>
      </c>
      <c r="E48" s="26">
        <v>879</v>
      </c>
      <c r="F48" s="27">
        <v>13.66</v>
      </c>
      <c r="G48" s="28">
        <v>7.0000000000000001E-3</v>
      </c>
      <c r="H48" s="29"/>
    </row>
    <row r="49" spans="2:8" ht="15.75" customHeight="1" x14ac:dyDescent="0.2">
      <c r="B49" s="25" t="s">
        <v>362</v>
      </c>
      <c r="C49" s="25" t="s">
        <v>363</v>
      </c>
      <c r="D49" s="25" t="s">
        <v>139</v>
      </c>
      <c r="E49" s="26">
        <v>1779</v>
      </c>
      <c r="F49" s="27">
        <v>13.11</v>
      </c>
      <c r="G49" s="28">
        <v>6.7999999999999996E-3</v>
      </c>
      <c r="H49" s="29"/>
    </row>
    <row r="50" spans="2:8" ht="15.75" customHeight="1" x14ac:dyDescent="0.2">
      <c r="B50" s="25" t="s">
        <v>406</v>
      </c>
      <c r="C50" s="25" t="s">
        <v>407</v>
      </c>
      <c r="D50" s="25" t="s">
        <v>339</v>
      </c>
      <c r="E50" s="26">
        <v>697</v>
      </c>
      <c r="F50" s="27">
        <v>10.99</v>
      </c>
      <c r="G50" s="28">
        <v>5.7000000000000002E-3</v>
      </c>
      <c r="H50" s="29"/>
    </row>
    <row r="51" spans="2:8" ht="15.75" customHeight="1" x14ac:dyDescent="0.2">
      <c r="B51" s="25" t="s">
        <v>668</v>
      </c>
      <c r="C51" s="25" t="s">
        <v>669</v>
      </c>
      <c r="D51" s="25" t="s">
        <v>175</v>
      </c>
      <c r="E51" s="26">
        <v>742</v>
      </c>
      <c r="F51" s="27">
        <v>10.83</v>
      </c>
      <c r="G51" s="28">
        <v>5.5999999999999999E-3</v>
      </c>
      <c r="H51" s="29"/>
    </row>
    <row r="52" spans="2:8" ht="15.75" customHeight="1" x14ac:dyDescent="0.2">
      <c r="B52" s="25" t="s">
        <v>618</v>
      </c>
      <c r="C52" s="25" t="s">
        <v>619</v>
      </c>
      <c r="D52" s="25" t="s">
        <v>620</v>
      </c>
      <c r="E52" s="26">
        <v>27</v>
      </c>
      <c r="F52" s="27">
        <v>10.61</v>
      </c>
      <c r="G52" s="28">
        <v>5.4999999999999997E-3</v>
      </c>
      <c r="H52" s="29"/>
    </row>
    <row r="53" spans="2:8" ht="15.75" customHeight="1" x14ac:dyDescent="0.2">
      <c r="B53" s="25" t="s">
        <v>173</v>
      </c>
      <c r="C53" s="25" t="s">
        <v>174</v>
      </c>
      <c r="D53" s="25" t="s">
        <v>175</v>
      </c>
      <c r="E53" s="26">
        <v>3342</v>
      </c>
      <c r="F53" s="27">
        <v>10.56</v>
      </c>
      <c r="G53" s="28">
        <v>5.4000000000000003E-3</v>
      </c>
      <c r="H53" s="29"/>
    </row>
    <row r="54" spans="2:8" ht="15.75" customHeight="1" x14ac:dyDescent="0.2">
      <c r="B54" s="25" t="s">
        <v>670</v>
      </c>
      <c r="C54" s="25" t="s">
        <v>671</v>
      </c>
      <c r="D54" s="25" t="s">
        <v>190</v>
      </c>
      <c r="E54" s="26">
        <v>403</v>
      </c>
      <c r="F54" s="27">
        <v>10.3</v>
      </c>
      <c r="G54" s="28">
        <v>5.3E-3</v>
      </c>
      <c r="H54" s="29"/>
    </row>
    <row r="55" spans="2:8" ht="15.75" customHeight="1" x14ac:dyDescent="0.2">
      <c r="B55" s="25" t="s">
        <v>493</v>
      </c>
      <c r="C55" s="25" t="s">
        <v>494</v>
      </c>
      <c r="D55" s="25" t="s">
        <v>314</v>
      </c>
      <c r="E55" s="26">
        <v>3888</v>
      </c>
      <c r="F55" s="27">
        <v>10.25</v>
      </c>
      <c r="G55" s="28">
        <v>5.3E-3</v>
      </c>
      <c r="H55" s="29"/>
    </row>
    <row r="56" spans="2:8" ht="15.75" customHeight="1" x14ac:dyDescent="0.2">
      <c r="B56" s="25" t="s">
        <v>672</v>
      </c>
      <c r="C56" s="25" t="s">
        <v>673</v>
      </c>
      <c r="D56" s="25" t="s">
        <v>297</v>
      </c>
      <c r="E56" s="26">
        <v>233</v>
      </c>
      <c r="F56" s="27">
        <v>9.94</v>
      </c>
      <c r="G56" s="28">
        <v>5.1000000000000004E-3</v>
      </c>
      <c r="H56" s="29"/>
    </row>
    <row r="57" spans="2:8" ht="15.75" customHeight="1" x14ac:dyDescent="0.2">
      <c r="B57" s="25" t="s">
        <v>320</v>
      </c>
      <c r="C57" s="25" t="s">
        <v>321</v>
      </c>
      <c r="D57" s="25" t="s">
        <v>172</v>
      </c>
      <c r="E57" s="26">
        <v>184</v>
      </c>
      <c r="F57" s="27">
        <v>9.77</v>
      </c>
      <c r="G57" s="28">
        <v>5.0000000000000001E-3</v>
      </c>
      <c r="H57" s="29"/>
    </row>
    <row r="58" spans="2:8" ht="15.75" customHeight="1" x14ac:dyDescent="0.2">
      <c r="B58" s="25" t="s">
        <v>250</v>
      </c>
      <c r="C58" s="25" t="s">
        <v>251</v>
      </c>
      <c r="D58" s="25" t="s">
        <v>212</v>
      </c>
      <c r="E58" s="26">
        <v>4389</v>
      </c>
      <c r="F58" s="27">
        <v>7.9</v>
      </c>
      <c r="G58" s="28">
        <v>4.1000000000000003E-3</v>
      </c>
      <c r="H58" s="29"/>
    </row>
    <row r="59" spans="2:8" ht="15.75" customHeight="1" x14ac:dyDescent="0.2">
      <c r="B59" s="24" t="s">
        <v>104</v>
      </c>
      <c r="C59" s="24"/>
      <c r="D59" s="24"/>
      <c r="E59" s="30"/>
      <c r="F59" s="31">
        <f>SUM(F7:F58)</f>
        <v>1451.7699999999995</v>
      </c>
      <c r="G59" s="32">
        <f>SUM(G7:G58)+0.0002</f>
        <v>0.74890000000000001</v>
      </c>
      <c r="H59" s="33"/>
    </row>
    <row r="60" spans="2:8" ht="15.75" customHeight="1" x14ac:dyDescent="0.2">
      <c r="B60" s="24" t="s">
        <v>156</v>
      </c>
      <c r="C60" s="25"/>
      <c r="D60" s="25"/>
      <c r="E60" s="26"/>
      <c r="F60" s="27"/>
      <c r="G60" s="28"/>
      <c r="H60" s="29"/>
    </row>
    <row r="61" spans="2:8" ht="15.75" customHeight="1" x14ac:dyDescent="0.2">
      <c r="B61" s="25" t="s">
        <v>374</v>
      </c>
      <c r="C61" s="73" t="s">
        <v>1094</v>
      </c>
      <c r="D61" s="25" t="s">
        <v>269</v>
      </c>
      <c r="E61" s="26">
        <v>39</v>
      </c>
      <c r="F61" s="27">
        <v>0.73</v>
      </c>
      <c r="G61" s="28">
        <v>4.0000000000000002E-4</v>
      </c>
      <c r="H61" s="29"/>
    </row>
    <row r="62" spans="2:8" ht="15.75" customHeight="1" x14ac:dyDescent="0.2">
      <c r="B62" s="25" t="s">
        <v>674</v>
      </c>
      <c r="C62" s="25" t="s">
        <v>675</v>
      </c>
      <c r="D62" s="25" t="s">
        <v>554</v>
      </c>
      <c r="E62" s="26">
        <v>48</v>
      </c>
      <c r="F62" s="27">
        <v>0.18</v>
      </c>
      <c r="G62" s="28">
        <v>1E-4</v>
      </c>
      <c r="H62" s="29"/>
    </row>
    <row r="63" spans="2:8" ht="15.75" customHeight="1" x14ac:dyDescent="0.2">
      <c r="B63" s="24" t="s">
        <v>104</v>
      </c>
      <c r="C63" s="25"/>
      <c r="D63" s="25"/>
      <c r="E63" s="26"/>
      <c r="F63" s="31">
        <f>SUM(F61:F62)</f>
        <v>0.90999999999999992</v>
      </c>
      <c r="G63" s="32">
        <f>SUM(G61:G62)</f>
        <v>5.0000000000000001E-4</v>
      </c>
      <c r="H63" s="29"/>
    </row>
    <row r="64" spans="2:8" ht="15.75" customHeight="1" x14ac:dyDescent="0.2">
      <c r="B64" s="25"/>
      <c r="C64" s="25"/>
      <c r="D64" s="25"/>
      <c r="E64" s="26"/>
      <c r="F64" s="27"/>
      <c r="G64" s="28"/>
      <c r="H64" s="29"/>
    </row>
    <row r="65" spans="2:14" ht="15.75" customHeight="1" x14ac:dyDescent="0.2">
      <c r="B65" s="36" t="s">
        <v>108</v>
      </c>
      <c r="C65" s="36"/>
      <c r="D65" s="36"/>
      <c r="E65" s="37"/>
      <c r="F65" s="31">
        <v>1452.68</v>
      </c>
      <c r="G65" s="32">
        <v>0.74939999999999996</v>
      </c>
      <c r="H65" s="33"/>
    </row>
    <row r="66" spans="2:14" ht="15.75" customHeight="1" x14ac:dyDescent="0.2">
      <c r="B66" s="25"/>
      <c r="C66" s="25"/>
      <c r="D66" s="25"/>
      <c r="E66" s="26"/>
      <c r="F66" s="27"/>
      <c r="G66" s="28"/>
      <c r="H66" s="29"/>
    </row>
    <row r="67" spans="2:14" ht="15.75" customHeight="1" x14ac:dyDescent="0.2">
      <c r="B67" s="24" t="s">
        <v>93</v>
      </c>
      <c r="C67" s="25"/>
      <c r="D67" s="25"/>
      <c r="E67" s="26"/>
      <c r="F67" s="27"/>
      <c r="G67" s="28"/>
      <c r="H67" s="29"/>
    </row>
    <row r="68" spans="2:14" ht="15.75" customHeight="1" x14ac:dyDescent="0.2">
      <c r="B68" s="24" t="s">
        <v>94</v>
      </c>
      <c r="C68" s="25"/>
      <c r="D68" s="25"/>
      <c r="E68" s="26"/>
      <c r="F68" s="27"/>
      <c r="G68" s="28"/>
      <c r="H68" s="29"/>
      <c r="J68" s="3"/>
    </row>
    <row r="69" spans="2:14" ht="15.75" customHeight="1" x14ac:dyDescent="0.2">
      <c r="B69" s="25" t="s">
        <v>167</v>
      </c>
      <c r="C69" s="25" t="s">
        <v>168</v>
      </c>
      <c r="D69" s="25" t="s">
        <v>103</v>
      </c>
      <c r="E69" s="26">
        <v>67415.039999999994</v>
      </c>
      <c r="F69" s="27">
        <v>3.49</v>
      </c>
      <c r="G69" s="28">
        <v>1.8E-3</v>
      </c>
      <c r="H69" s="29">
        <v>7.4349999999999999E-2</v>
      </c>
    </row>
    <row r="70" spans="2:14" ht="15.75" customHeight="1" x14ac:dyDescent="0.2">
      <c r="B70" s="24" t="s">
        <v>104</v>
      </c>
      <c r="C70" s="24"/>
      <c r="D70" s="24"/>
      <c r="E70" s="30"/>
      <c r="F70" s="31">
        <v>3.49</v>
      </c>
      <c r="G70" s="32">
        <v>1.8E-3</v>
      </c>
      <c r="H70" s="33"/>
      <c r="J70" s="3"/>
    </row>
    <row r="71" spans="2:14" ht="15.75" customHeight="1" x14ac:dyDescent="0.2">
      <c r="B71" s="25"/>
      <c r="C71" s="25"/>
      <c r="D71" s="25"/>
      <c r="E71" s="26"/>
      <c r="F71" s="27"/>
      <c r="G71" s="28"/>
      <c r="H71" s="29"/>
      <c r="J71" s="3"/>
    </row>
    <row r="72" spans="2:14" ht="15.75" customHeight="1" x14ac:dyDescent="0.2">
      <c r="B72" s="24" t="s">
        <v>105</v>
      </c>
      <c r="C72" s="25"/>
      <c r="D72" s="25"/>
      <c r="E72" s="26"/>
      <c r="F72" s="27"/>
      <c r="G72" s="28"/>
      <c r="H72" s="29"/>
      <c r="J72" s="3"/>
    </row>
    <row r="73" spans="2:14" ht="15.75" customHeight="1" x14ac:dyDescent="0.2">
      <c r="B73" s="24" t="s">
        <v>104</v>
      </c>
      <c r="C73" s="25"/>
      <c r="D73" s="25"/>
      <c r="E73" s="26"/>
      <c r="F73" s="34" t="s">
        <v>106</v>
      </c>
      <c r="G73" s="35" t="s">
        <v>106</v>
      </c>
      <c r="H73" s="29"/>
      <c r="J73" s="3"/>
    </row>
    <row r="74" spans="2:14" ht="15.75" customHeight="1" x14ac:dyDescent="0.2">
      <c r="B74" s="25"/>
      <c r="C74" s="25"/>
      <c r="D74" s="25"/>
      <c r="E74" s="26"/>
      <c r="F74" s="27"/>
      <c r="G74" s="28"/>
      <c r="H74" s="29"/>
      <c r="J74" s="3"/>
    </row>
    <row r="75" spans="2:14" ht="15.75" customHeight="1" x14ac:dyDescent="0.2">
      <c r="B75" s="24" t="s">
        <v>107</v>
      </c>
      <c r="C75" s="25"/>
      <c r="D75" s="25"/>
      <c r="E75" s="26"/>
      <c r="F75" s="27"/>
      <c r="G75" s="28"/>
      <c r="H75" s="29"/>
      <c r="J75" s="5"/>
      <c r="K75" s="5"/>
      <c r="L75" s="6"/>
      <c r="M75" s="6"/>
      <c r="N75" s="5"/>
    </row>
    <row r="76" spans="2:14" ht="15.75" customHeight="1" x14ac:dyDescent="0.2">
      <c r="B76" s="24" t="s">
        <v>104</v>
      </c>
      <c r="C76" s="25"/>
      <c r="D76" s="25"/>
      <c r="E76" s="26"/>
      <c r="F76" s="34" t="s">
        <v>106</v>
      </c>
      <c r="G76" s="35" t="s">
        <v>106</v>
      </c>
      <c r="H76" s="29"/>
    </row>
    <row r="77" spans="2:14" ht="15.75" customHeight="1" x14ac:dyDescent="0.2">
      <c r="B77" s="25"/>
      <c r="C77" s="25"/>
      <c r="D77" s="25"/>
      <c r="E77" s="26"/>
      <c r="F77" s="27"/>
      <c r="G77" s="28"/>
      <c r="H77" s="29"/>
    </row>
    <row r="78" spans="2:14" ht="15.75" customHeight="1" x14ac:dyDescent="0.2">
      <c r="B78" s="36" t="s">
        <v>108</v>
      </c>
      <c r="C78" s="36"/>
      <c r="D78" s="36"/>
      <c r="E78" s="37"/>
      <c r="F78" s="31">
        <v>3.49</v>
      </c>
      <c r="G78" s="32">
        <v>1.8E-3</v>
      </c>
      <c r="H78" s="33"/>
      <c r="J78" s="7"/>
      <c r="K78" s="7"/>
      <c r="L78" s="7"/>
      <c r="M78" s="7"/>
      <c r="N78" s="7"/>
    </row>
    <row r="79" spans="2:14" ht="15.75" customHeight="1" x14ac:dyDescent="0.2">
      <c r="B79" s="25"/>
      <c r="C79" s="25"/>
      <c r="D79" s="25"/>
      <c r="E79" s="26"/>
      <c r="F79" s="27"/>
      <c r="G79" s="28"/>
      <c r="H79" s="29"/>
      <c r="J79" s="7"/>
      <c r="K79" s="7"/>
      <c r="L79" s="7"/>
      <c r="M79" s="7"/>
      <c r="N79" s="7"/>
    </row>
    <row r="80" spans="2:14" ht="15.75" customHeight="1" x14ac:dyDescent="0.2">
      <c r="B80" s="25"/>
      <c r="C80" s="25"/>
      <c r="D80" s="25"/>
      <c r="E80" s="26"/>
      <c r="F80" s="27"/>
      <c r="G80" s="28"/>
      <c r="H80" s="29"/>
      <c r="J80" s="7"/>
      <c r="K80" s="7"/>
      <c r="L80" s="7"/>
      <c r="M80" s="7"/>
      <c r="N80" s="7"/>
    </row>
    <row r="81" spans="2:14" ht="15.75" customHeight="1" x14ac:dyDescent="0.2">
      <c r="B81" s="24" t="s">
        <v>109</v>
      </c>
      <c r="C81" s="25"/>
      <c r="D81" s="25"/>
      <c r="E81" s="26"/>
      <c r="F81" s="27"/>
      <c r="G81" s="28"/>
      <c r="H81" s="29"/>
      <c r="J81" s="7"/>
      <c r="K81" s="7"/>
      <c r="L81" s="7"/>
      <c r="M81" s="7"/>
      <c r="N81" s="7"/>
    </row>
    <row r="82" spans="2:14" ht="15.75" customHeight="1" x14ac:dyDescent="0.2">
      <c r="B82" s="24" t="s">
        <v>110</v>
      </c>
      <c r="C82" s="25"/>
      <c r="D82" s="25"/>
      <c r="E82" s="26"/>
      <c r="F82" s="27"/>
      <c r="G82" s="28"/>
      <c r="H82" s="29"/>
      <c r="J82" s="7"/>
      <c r="K82" s="7"/>
      <c r="L82" s="7"/>
      <c r="M82" s="7"/>
      <c r="N82" s="7"/>
    </row>
    <row r="83" spans="2:14" ht="15.75" customHeight="1" x14ac:dyDescent="0.2">
      <c r="B83" s="25" t="s">
        <v>278</v>
      </c>
      <c r="C83" s="25" t="s">
        <v>279</v>
      </c>
      <c r="D83" s="25"/>
      <c r="E83" s="26">
        <v>4771.375</v>
      </c>
      <c r="F83" s="27">
        <v>214.34</v>
      </c>
      <c r="G83" s="28">
        <v>0.1106</v>
      </c>
      <c r="H83" s="29"/>
      <c r="J83" s="7"/>
      <c r="K83" s="7"/>
      <c r="L83" s="7"/>
      <c r="M83" s="7"/>
      <c r="N83" s="7"/>
    </row>
    <row r="84" spans="2:14" ht="15.75" customHeight="1" x14ac:dyDescent="0.2">
      <c r="B84" s="25"/>
      <c r="C84" s="25"/>
      <c r="D84" s="25"/>
      <c r="E84" s="26"/>
      <c r="F84" s="27"/>
      <c r="G84" s="28"/>
      <c r="H84" s="29"/>
      <c r="J84" s="7"/>
      <c r="K84" s="7"/>
      <c r="L84" s="7"/>
      <c r="M84" s="7"/>
      <c r="N84" s="7"/>
    </row>
    <row r="85" spans="2:14" ht="15.75" customHeight="1" x14ac:dyDescent="0.2">
      <c r="B85" s="36" t="s">
        <v>108</v>
      </c>
      <c r="C85" s="36"/>
      <c r="D85" s="36"/>
      <c r="E85" s="37"/>
      <c r="F85" s="31">
        <v>214.34</v>
      </c>
      <c r="G85" s="32">
        <v>0.1106</v>
      </c>
      <c r="H85" s="33"/>
    </row>
    <row r="86" spans="2:14" ht="15.75" customHeight="1" x14ac:dyDescent="0.2">
      <c r="B86" s="25"/>
      <c r="C86" s="25"/>
      <c r="D86" s="25"/>
      <c r="E86" s="26"/>
      <c r="F86" s="27"/>
      <c r="G86" s="28"/>
      <c r="H86" s="29"/>
      <c r="J86" s="3"/>
    </row>
    <row r="87" spans="2:14" ht="15.75" customHeight="1" x14ac:dyDescent="0.2">
      <c r="B87" s="24" t="s">
        <v>111</v>
      </c>
      <c r="C87" s="25"/>
      <c r="D87" s="25"/>
      <c r="E87" s="26"/>
      <c r="F87" s="27"/>
      <c r="G87" s="28"/>
      <c r="H87" s="29"/>
    </row>
    <row r="88" spans="2:14" ht="15.75" customHeight="1" x14ac:dyDescent="0.2">
      <c r="B88" s="25" t="s">
        <v>112</v>
      </c>
      <c r="C88" s="25"/>
      <c r="D88" s="25"/>
      <c r="E88" s="26"/>
      <c r="F88" s="27">
        <v>273.83</v>
      </c>
      <c r="G88" s="28">
        <v>0.14130000000000001</v>
      </c>
      <c r="H88" s="29"/>
    </row>
    <row r="89" spans="2:14" ht="15.75" customHeight="1" x14ac:dyDescent="0.2">
      <c r="B89" s="24" t="s">
        <v>104</v>
      </c>
      <c r="C89" s="24"/>
      <c r="D89" s="24"/>
      <c r="E89" s="30"/>
      <c r="F89" s="31">
        <v>273.83</v>
      </c>
      <c r="G89" s="32">
        <v>0.14130000000000001</v>
      </c>
      <c r="H89" s="33"/>
    </row>
    <row r="90" spans="2:14" ht="15.75" customHeight="1" x14ac:dyDescent="0.2">
      <c r="B90" s="25"/>
      <c r="C90" s="25"/>
      <c r="D90" s="25"/>
      <c r="E90" s="26"/>
      <c r="F90" s="27"/>
      <c r="G90" s="28"/>
      <c r="H90" s="29"/>
    </row>
    <row r="91" spans="2:14" ht="15.75" customHeight="1" x14ac:dyDescent="0.2">
      <c r="B91" s="36" t="s">
        <v>108</v>
      </c>
      <c r="C91" s="36"/>
      <c r="D91" s="36"/>
      <c r="E91" s="37"/>
      <c r="F91" s="31">
        <v>273.83</v>
      </c>
      <c r="G91" s="32">
        <v>0.14130000000000001</v>
      </c>
      <c r="H91" s="33"/>
    </row>
    <row r="92" spans="2:14" ht="15.75" customHeight="1" x14ac:dyDescent="0.2">
      <c r="B92" s="25" t="s">
        <v>113</v>
      </c>
      <c r="C92" s="25"/>
      <c r="D92" s="25"/>
      <c r="E92" s="26"/>
      <c r="F92" s="38">
        <v>-6.05</v>
      </c>
      <c r="G92" s="39">
        <v>-3.0999999999998806E-3</v>
      </c>
      <c r="H92" s="29"/>
    </row>
    <row r="93" spans="2:14" ht="15.75" customHeight="1" x14ac:dyDescent="0.2">
      <c r="B93" s="40" t="s">
        <v>114</v>
      </c>
      <c r="C93" s="40"/>
      <c r="D93" s="40"/>
      <c r="E93" s="41"/>
      <c r="F93" s="42">
        <v>1938.29</v>
      </c>
      <c r="G93" s="43">
        <v>1</v>
      </c>
      <c r="H93" s="44"/>
    </row>
    <row r="94" spans="2:14" ht="15.75" customHeight="1" x14ac:dyDescent="0.2">
      <c r="B94" s="2"/>
    </row>
    <row r="95" spans="2:14" ht="15.75" customHeight="1" x14ac:dyDescent="0.2">
      <c r="B95" s="12" t="s">
        <v>131</v>
      </c>
    </row>
    <row r="96" spans="2:14" ht="15.75" customHeight="1" x14ac:dyDescent="0.2">
      <c r="B96" s="12" t="s">
        <v>115</v>
      </c>
    </row>
    <row r="97" spans="2:5" ht="15.75" customHeight="1" x14ac:dyDescent="0.2">
      <c r="B97" s="53"/>
    </row>
    <row r="98" spans="2:5" ht="15.75" customHeight="1" x14ac:dyDescent="0.2">
      <c r="B98" s="9" t="s">
        <v>676</v>
      </c>
    </row>
    <row r="99" spans="2:5" ht="15.75" customHeight="1" x14ac:dyDescent="0.2">
      <c r="B99" s="9" t="s">
        <v>677</v>
      </c>
    </row>
    <row r="100" spans="2:5" ht="15.75" customHeight="1" x14ac:dyDescent="0.2">
      <c r="B100" s="13" t="s">
        <v>280</v>
      </c>
      <c r="C100" s="50" t="s">
        <v>2</v>
      </c>
      <c r="D100" s="51" t="s">
        <v>3</v>
      </c>
      <c r="E100" s="52" t="s">
        <v>281</v>
      </c>
    </row>
    <row r="101" spans="2:5" ht="15.75" customHeight="1" x14ac:dyDescent="0.2">
      <c r="B101" s="46" t="s">
        <v>137</v>
      </c>
      <c r="C101" s="47">
        <v>-3600</v>
      </c>
      <c r="D101" s="48">
        <v>-67.7</v>
      </c>
      <c r="E101" s="49">
        <v>-3.49E-2</v>
      </c>
    </row>
    <row r="102" spans="2:5" ht="15.75" customHeight="1" x14ac:dyDescent="0.2">
      <c r="B102" s="46" t="s">
        <v>289</v>
      </c>
      <c r="C102" s="47">
        <v>-1600</v>
      </c>
      <c r="D102" s="48">
        <v>-29.06</v>
      </c>
      <c r="E102" s="49">
        <v>-1.4999999999999999E-2</v>
      </c>
    </row>
    <row r="103" spans="2:5" ht="15.75" customHeight="1" x14ac:dyDescent="0.2">
      <c r="B103" s="46" t="s">
        <v>238</v>
      </c>
      <c r="C103" s="47">
        <v>-22500</v>
      </c>
      <c r="D103" s="48">
        <v>-43.94</v>
      </c>
      <c r="E103" s="49">
        <v>-2.2700000000000001E-2</v>
      </c>
    </row>
    <row r="104" spans="2:5" ht="15.75" customHeight="1" x14ac:dyDescent="0.2">
      <c r="B104" s="46" t="s">
        <v>179</v>
      </c>
      <c r="C104" s="47">
        <v>-49500</v>
      </c>
      <c r="D104" s="48">
        <v>-82.33</v>
      </c>
      <c r="E104" s="49">
        <v>-4.2500000000000003E-2</v>
      </c>
    </row>
    <row r="105" spans="2:5" ht="15.75" customHeight="1" x14ac:dyDescent="0.2">
      <c r="B105" s="46" t="s">
        <v>491</v>
      </c>
      <c r="C105" s="47">
        <v>-500</v>
      </c>
      <c r="D105" s="48">
        <v>-59.51</v>
      </c>
      <c r="E105" s="49">
        <v>-3.0700000000000002E-2</v>
      </c>
    </row>
    <row r="106" spans="2:5" ht="15.75" customHeight="1" x14ac:dyDescent="0.2">
      <c r="B106" s="46" t="s">
        <v>140</v>
      </c>
      <c r="C106" s="47">
        <v>-2400</v>
      </c>
      <c r="D106" s="48">
        <v>-65.209999999999994</v>
      </c>
      <c r="E106" s="49">
        <v>-3.3599999999999998E-2</v>
      </c>
    </row>
    <row r="107" spans="2:5" ht="15.75" customHeight="1" x14ac:dyDescent="0.2">
      <c r="B107" s="46" t="s">
        <v>656</v>
      </c>
      <c r="C107" s="47">
        <v>-20000</v>
      </c>
      <c r="D107" s="48">
        <v>-51.64</v>
      </c>
      <c r="E107" s="49">
        <v>-2.6599999999999999E-2</v>
      </c>
    </row>
    <row r="108" spans="2:5" ht="15.75" customHeight="1" x14ac:dyDescent="0.2">
      <c r="B108" s="46" t="s">
        <v>291</v>
      </c>
      <c r="C108" s="47">
        <v>-2500</v>
      </c>
      <c r="D108" s="48">
        <v>-29.35</v>
      </c>
      <c r="E108" s="49">
        <v>-1.5100000000000001E-2</v>
      </c>
    </row>
    <row r="109" spans="2:5" ht="15.75" customHeight="1" x14ac:dyDescent="0.2">
      <c r="B109" s="46" t="s">
        <v>236</v>
      </c>
      <c r="C109" s="47">
        <v>-2100</v>
      </c>
      <c r="D109" s="48">
        <v>-92.51</v>
      </c>
      <c r="E109" s="49">
        <v>-4.7699999999999999E-2</v>
      </c>
    </row>
    <row r="110" spans="2:5" ht="15.75" customHeight="1" x14ac:dyDescent="0.2">
      <c r="B110" s="46" t="s">
        <v>213</v>
      </c>
      <c r="C110" s="47">
        <v>-29250</v>
      </c>
      <c r="D110" s="48">
        <v>-74.72</v>
      </c>
      <c r="E110" s="49">
        <v>-3.85E-2</v>
      </c>
    </row>
    <row r="111" spans="2:5" ht="15.75" customHeight="1" x14ac:dyDescent="0.2">
      <c r="B111" s="46" t="s">
        <v>143</v>
      </c>
      <c r="C111" s="47">
        <v>-1400</v>
      </c>
      <c r="D111" s="48">
        <v>-40.99</v>
      </c>
      <c r="E111" s="49">
        <v>-2.1100000000000001E-2</v>
      </c>
    </row>
    <row r="112" spans="2:5" ht="15.75" customHeight="1" x14ac:dyDescent="0.2">
      <c r="B112" s="46" t="s">
        <v>507</v>
      </c>
      <c r="C112" s="47">
        <v>-2100</v>
      </c>
      <c r="D112" s="48">
        <v>-36.24</v>
      </c>
      <c r="E112" s="49">
        <v>-1.8700000000000001E-2</v>
      </c>
    </row>
    <row r="113" spans="2:8" ht="15.75" customHeight="1" x14ac:dyDescent="0.2">
      <c r="B113" s="13" t="s">
        <v>282</v>
      </c>
      <c r="C113" s="50">
        <v>-137450</v>
      </c>
      <c r="D113" s="51">
        <v>-673.2</v>
      </c>
      <c r="E113" s="52">
        <v>-0.34710000000000002</v>
      </c>
    </row>
    <row r="114" spans="2:8" ht="15.75" customHeight="1" thickBot="1" x14ac:dyDescent="0.25"/>
    <row r="115" spans="2:8" ht="27" customHeight="1" thickBot="1" x14ac:dyDescent="0.25">
      <c r="B115" s="56" t="s">
        <v>1009</v>
      </c>
      <c r="C115" s="57" t="s">
        <v>1010</v>
      </c>
      <c r="D115" s="57" t="s">
        <v>1011</v>
      </c>
      <c r="E115" s="62" t="s">
        <v>1012</v>
      </c>
      <c r="G115" s="2"/>
      <c r="H115" s="2"/>
    </row>
    <row r="116" spans="2:8" ht="29.25" customHeight="1" x14ac:dyDescent="0.2">
      <c r="B116" s="63" t="s">
        <v>48</v>
      </c>
      <c r="C116" s="83"/>
      <c r="D116" s="86" t="s">
        <v>1047</v>
      </c>
      <c r="E116" s="88"/>
      <c r="G116" s="2"/>
      <c r="H116" s="2"/>
    </row>
    <row r="117" spans="2:8" ht="39.950000000000003" customHeight="1" x14ac:dyDescent="0.2">
      <c r="B117" s="65" t="s">
        <v>1048</v>
      </c>
      <c r="C117" s="84"/>
      <c r="D117" s="87"/>
      <c r="E117" s="84"/>
      <c r="G117" s="2"/>
      <c r="H117" s="2"/>
    </row>
    <row r="118" spans="2:8" ht="44.1" customHeight="1" x14ac:dyDescent="0.2">
      <c r="B118" s="65" t="s">
        <v>1049</v>
      </c>
      <c r="C118" s="84"/>
      <c r="D118" s="87"/>
      <c r="E118" s="84"/>
      <c r="G118" s="2"/>
      <c r="H118" s="2"/>
    </row>
    <row r="119" spans="2:8" ht="23.25" customHeight="1" thickBot="1" x14ac:dyDescent="0.25">
      <c r="B119" s="72" t="s">
        <v>1017</v>
      </c>
      <c r="C119" s="85"/>
      <c r="D119" s="64" t="s">
        <v>1013</v>
      </c>
      <c r="E119" s="89"/>
      <c r="G119" s="2"/>
      <c r="H119" s="2"/>
    </row>
    <row r="120" spans="2:8" ht="24.95" customHeight="1" x14ac:dyDescent="0.2">
      <c r="B120" s="58" t="s">
        <v>1014</v>
      </c>
      <c r="C120" s="59"/>
      <c r="D120" s="60"/>
      <c r="E120" s="61"/>
      <c r="G120" s="2"/>
      <c r="H120" s="2"/>
    </row>
    <row r="122" spans="2:8" ht="12" x14ac:dyDescent="0.2">
      <c r="B122" s="2" t="s">
        <v>1015</v>
      </c>
      <c r="C122" s="2"/>
      <c r="D122" s="2"/>
      <c r="G122" s="2"/>
      <c r="H122" s="2"/>
    </row>
    <row r="123" spans="2:8" ht="12" x14ac:dyDescent="0.2">
      <c r="B123" s="3" t="s">
        <v>1016</v>
      </c>
      <c r="C123" s="2"/>
      <c r="D123" s="2"/>
      <c r="G123" s="2"/>
      <c r="H123" s="2"/>
    </row>
  </sheetData>
  <mergeCells count="3">
    <mergeCell ref="C116:C119"/>
    <mergeCell ref="D116:D118"/>
    <mergeCell ref="E116:E119"/>
  </mergeCells>
  <hyperlinks>
    <hyperlink ref="G1" location="'Sheet1'!A1" display="Index" xr:uid="{B9EE881A-BE5E-4821-863E-F6C749C0617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7AAAD-34DE-4575-B765-6DA55C840541}">
  <dimension ref="B1:P107"/>
  <sheetViews>
    <sheetView workbookViewId="0"/>
  </sheetViews>
  <sheetFormatPr defaultColWidth="9.140625" defaultRowHeight="15.75" customHeight="1" x14ac:dyDescent="0.2"/>
  <cols>
    <col min="1" max="1" width="3.5703125" style="2" customWidth="1"/>
    <col min="2" max="2" width="50.42578125" style="9" customWidth="1"/>
    <col min="3" max="3" width="28" style="9" customWidth="1"/>
    <col min="4" max="4" width="26.5703125" style="9" customWidth="1"/>
    <col min="5" max="5" width="29.42578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17</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132</v>
      </c>
      <c r="C5" s="19"/>
      <c r="D5" s="19"/>
      <c r="E5" s="20"/>
      <c r="F5" s="21"/>
      <c r="G5" s="22"/>
      <c r="H5" s="23"/>
    </row>
    <row r="6" spans="2:8" ht="15.75" customHeight="1" x14ac:dyDescent="0.2">
      <c r="B6" s="24" t="s">
        <v>133</v>
      </c>
      <c r="C6" s="25"/>
      <c r="D6" s="25"/>
      <c r="E6" s="26"/>
      <c r="F6" s="27"/>
      <c r="G6" s="28"/>
      <c r="H6" s="29"/>
    </row>
    <row r="7" spans="2:8" ht="15.75" customHeight="1" x14ac:dyDescent="0.2">
      <c r="B7" s="25" t="s">
        <v>149</v>
      </c>
      <c r="C7" s="25" t="s">
        <v>150</v>
      </c>
      <c r="D7" s="25" t="s">
        <v>136</v>
      </c>
      <c r="E7" s="26">
        <v>397963</v>
      </c>
      <c r="F7" s="27">
        <v>6430.09</v>
      </c>
      <c r="G7" s="28">
        <v>5.7799999999999997E-2</v>
      </c>
      <c r="H7" s="29"/>
    </row>
    <row r="8" spans="2:8" ht="15.75" customHeight="1" x14ac:dyDescent="0.2">
      <c r="B8" s="25" t="s">
        <v>140</v>
      </c>
      <c r="C8" s="25" t="s">
        <v>141</v>
      </c>
      <c r="D8" s="25" t="s">
        <v>142</v>
      </c>
      <c r="E8" s="26">
        <v>178894</v>
      </c>
      <c r="F8" s="27">
        <v>4840.25</v>
      </c>
      <c r="G8" s="28">
        <v>4.3499999999999997E-2</v>
      </c>
      <c r="H8" s="29"/>
    </row>
    <row r="9" spans="2:8" ht="15.75" customHeight="1" x14ac:dyDescent="0.2">
      <c r="B9" s="25" t="s">
        <v>390</v>
      </c>
      <c r="C9" s="25" t="s">
        <v>391</v>
      </c>
      <c r="D9" s="25" t="s">
        <v>172</v>
      </c>
      <c r="E9" s="26">
        <v>1908592</v>
      </c>
      <c r="F9" s="27">
        <v>3360.08</v>
      </c>
      <c r="G9" s="28">
        <v>3.0200000000000001E-2</v>
      </c>
      <c r="H9" s="29"/>
    </row>
    <row r="10" spans="2:8" ht="15.75" customHeight="1" x14ac:dyDescent="0.2">
      <c r="B10" s="25" t="s">
        <v>287</v>
      </c>
      <c r="C10" s="25" t="s">
        <v>288</v>
      </c>
      <c r="D10" s="25" t="s">
        <v>136</v>
      </c>
      <c r="E10" s="26">
        <v>370172</v>
      </c>
      <c r="F10" s="27">
        <v>3229.38</v>
      </c>
      <c r="G10" s="28">
        <v>2.9000000000000001E-2</v>
      </c>
      <c r="H10" s="29"/>
    </row>
    <row r="11" spans="2:8" ht="15.75" customHeight="1" x14ac:dyDescent="0.2">
      <c r="B11" s="25" t="s">
        <v>203</v>
      </c>
      <c r="C11" s="25" t="s">
        <v>204</v>
      </c>
      <c r="D11" s="25" t="s">
        <v>139</v>
      </c>
      <c r="E11" s="26">
        <v>195107</v>
      </c>
      <c r="F11" s="27">
        <v>3032.74</v>
      </c>
      <c r="G11" s="28">
        <v>2.7300000000000001E-2</v>
      </c>
      <c r="H11" s="29"/>
    </row>
    <row r="12" spans="2:8" ht="15.75" customHeight="1" x14ac:dyDescent="0.2">
      <c r="B12" s="25" t="s">
        <v>544</v>
      </c>
      <c r="C12" s="25" t="s">
        <v>545</v>
      </c>
      <c r="D12" s="25" t="s">
        <v>230</v>
      </c>
      <c r="E12" s="26">
        <v>654173</v>
      </c>
      <c r="F12" s="27">
        <v>2882.94</v>
      </c>
      <c r="G12" s="28">
        <v>2.5899999999999999E-2</v>
      </c>
      <c r="H12" s="29"/>
    </row>
    <row r="13" spans="2:8" ht="15.75" customHeight="1" x14ac:dyDescent="0.2">
      <c r="B13" s="25" t="s">
        <v>546</v>
      </c>
      <c r="C13" s="25" t="s">
        <v>547</v>
      </c>
      <c r="D13" s="25" t="s">
        <v>233</v>
      </c>
      <c r="E13" s="26">
        <v>299200</v>
      </c>
      <c r="F13" s="27">
        <v>2803.06</v>
      </c>
      <c r="G13" s="28">
        <v>2.52E-2</v>
      </c>
      <c r="H13" s="29"/>
    </row>
    <row r="14" spans="2:8" ht="15.75" customHeight="1" x14ac:dyDescent="0.2">
      <c r="B14" s="25" t="s">
        <v>521</v>
      </c>
      <c r="C14" s="25" t="s">
        <v>522</v>
      </c>
      <c r="D14" s="25" t="s">
        <v>502</v>
      </c>
      <c r="E14" s="26">
        <v>206465</v>
      </c>
      <c r="F14" s="27">
        <v>2772.1</v>
      </c>
      <c r="G14" s="28">
        <v>2.4899999999999999E-2</v>
      </c>
      <c r="H14" s="29"/>
    </row>
    <row r="15" spans="2:8" ht="15.75" customHeight="1" x14ac:dyDescent="0.2">
      <c r="B15" s="25" t="s">
        <v>182</v>
      </c>
      <c r="C15" s="25" t="s">
        <v>183</v>
      </c>
      <c r="D15" s="25" t="s">
        <v>184</v>
      </c>
      <c r="E15" s="26">
        <v>545988</v>
      </c>
      <c r="F15" s="27">
        <v>2476.6</v>
      </c>
      <c r="G15" s="28">
        <v>2.23E-2</v>
      </c>
      <c r="H15" s="29"/>
    </row>
    <row r="16" spans="2:8" ht="15.75" customHeight="1" x14ac:dyDescent="0.2">
      <c r="B16" s="25" t="s">
        <v>618</v>
      </c>
      <c r="C16" s="25" t="s">
        <v>619</v>
      </c>
      <c r="D16" s="25" t="s">
        <v>620</v>
      </c>
      <c r="E16" s="26">
        <v>6147</v>
      </c>
      <c r="F16" s="27">
        <v>2414.9</v>
      </c>
      <c r="G16" s="28">
        <v>2.1700000000000001E-2</v>
      </c>
      <c r="H16" s="29"/>
    </row>
    <row r="17" spans="2:8" ht="15.75" customHeight="1" x14ac:dyDescent="0.2">
      <c r="B17" s="25" t="s">
        <v>600</v>
      </c>
      <c r="C17" s="25" t="s">
        <v>601</v>
      </c>
      <c r="D17" s="25" t="s">
        <v>136</v>
      </c>
      <c r="E17" s="26">
        <v>1150035</v>
      </c>
      <c r="F17" s="27">
        <v>2316.06</v>
      </c>
      <c r="G17" s="28">
        <v>2.0799999999999999E-2</v>
      </c>
      <c r="H17" s="29"/>
    </row>
    <row r="18" spans="2:8" ht="15.75" customHeight="1" x14ac:dyDescent="0.2">
      <c r="B18" s="25" t="s">
        <v>513</v>
      </c>
      <c r="C18" s="25" t="s">
        <v>514</v>
      </c>
      <c r="D18" s="25" t="s">
        <v>187</v>
      </c>
      <c r="E18" s="26">
        <v>502889</v>
      </c>
      <c r="F18" s="27">
        <v>2250.9299999999998</v>
      </c>
      <c r="G18" s="28">
        <v>2.0199999999999999E-2</v>
      </c>
      <c r="H18" s="29"/>
    </row>
    <row r="19" spans="2:8" ht="15.75" customHeight="1" x14ac:dyDescent="0.2">
      <c r="B19" s="25" t="s">
        <v>570</v>
      </c>
      <c r="C19" s="25" t="s">
        <v>571</v>
      </c>
      <c r="D19" s="25" t="s">
        <v>497</v>
      </c>
      <c r="E19" s="26">
        <v>5176</v>
      </c>
      <c r="F19" s="27">
        <v>2194.46</v>
      </c>
      <c r="G19" s="28">
        <v>1.9699999999999999E-2</v>
      </c>
      <c r="H19" s="29"/>
    </row>
    <row r="20" spans="2:8" ht="15.75" customHeight="1" x14ac:dyDescent="0.2">
      <c r="B20" s="25" t="s">
        <v>414</v>
      </c>
      <c r="C20" s="25" t="s">
        <v>415</v>
      </c>
      <c r="D20" s="25" t="s">
        <v>266</v>
      </c>
      <c r="E20" s="26">
        <v>1083590</v>
      </c>
      <c r="F20" s="27">
        <v>2130.0100000000002</v>
      </c>
      <c r="G20" s="28">
        <v>1.9099999999999999E-2</v>
      </c>
      <c r="H20" s="29"/>
    </row>
    <row r="21" spans="2:8" ht="15.75" customHeight="1" x14ac:dyDescent="0.2">
      <c r="B21" s="25" t="s">
        <v>250</v>
      </c>
      <c r="C21" s="25" t="s">
        <v>251</v>
      </c>
      <c r="D21" s="25" t="s">
        <v>212</v>
      </c>
      <c r="E21" s="26">
        <v>1183762</v>
      </c>
      <c r="F21" s="27">
        <v>2129.4699999999998</v>
      </c>
      <c r="G21" s="28">
        <v>1.9099999999999999E-2</v>
      </c>
      <c r="H21" s="29"/>
    </row>
    <row r="22" spans="2:8" ht="15.75" customHeight="1" x14ac:dyDescent="0.2">
      <c r="B22" s="25" t="s">
        <v>340</v>
      </c>
      <c r="C22" s="25" t="s">
        <v>341</v>
      </c>
      <c r="D22" s="25" t="s">
        <v>263</v>
      </c>
      <c r="E22" s="26">
        <v>46368</v>
      </c>
      <c r="F22" s="27">
        <v>2073.67</v>
      </c>
      <c r="G22" s="28">
        <v>1.8599999999999998E-2</v>
      </c>
      <c r="H22" s="29"/>
    </row>
    <row r="23" spans="2:8" ht="15.75" customHeight="1" x14ac:dyDescent="0.2">
      <c r="B23" s="25" t="s">
        <v>523</v>
      </c>
      <c r="C23" s="25" t="s">
        <v>524</v>
      </c>
      <c r="D23" s="25" t="s">
        <v>297</v>
      </c>
      <c r="E23" s="26">
        <v>947867</v>
      </c>
      <c r="F23" s="27">
        <v>2008.81</v>
      </c>
      <c r="G23" s="28">
        <v>1.8100000000000002E-2</v>
      </c>
      <c r="H23" s="29"/>
    </row>
    <row r="24" spans="2:8" ht="15.75" customHeight="1" x14ac:dyDescent="0.2">
      <c r="B24" s="25" t="s">
        <v>298</v>
      </c>
      <c r="C24" s="25" t="s">
        <v>299</v>
      </c>
      <c r="D24" s="25" t="s">
        <v>139</v>
      </c>
      <c r="E24" s="26">
        <v>120250</v>
      </c>
      <c r="F24" s="27">
        <v>1975.23</v>
      </c>
      <c r="G24" s="28">
        <v>1.78E-2</v>
      </c>
      <c r="H24" s="29"/>
    </row>
    <row r="25" spans="2:8" ht="15.75" customHeight="1" x14ac:dyDescent="0.2">
      <c r="B25" s="25" t="s">
        <v>394</v>
      </c>
      <c r="C25" s="25" t="s">
        <v>395</v>
      </c>
      <c r="D25" s="25" t="s">
        <v>220</v>
      </c>
      <c r="E25" s="26">
        <v>805662</v>
      </c>
      <c r="F25" s="27">
        <v>1848.59</v>
      </c>
      <c r="G25" s="28">
        <v>1.66E-2</v>
      </c>
      <c r="H25" s="29"/>
    </row>
    <row r="26" spans="2:8" ht="15.75" customHeight="1" x14ac:dyDescent="0.2">
      <c r="B26" s="25" t="s">
        <v>370</v>
      </c>
      <c r="C26" s="25" t="s">
        <v>371</v>
      </c>
      <c r="D26" s="25" t="s">
        <v>212</v>
      </c>
      <c r="E26" s="26">
        <v>414023</v>
      </c>
      <c r="F26" s="27">
        <v>1848.41</v>
      </c>
      <c r="G26" s="28">
        <v>1.66E-2</v>
      </c>
      <c r="H26" s="29"/>
    </row>
    <row r="27" spans="2:8" ht="15.75" customHeight="1" x14ac:dyDescent="0.2">
      <c r="B27" s="25" t="s">
        <v>479</v>
      </c>
      <c r="C27" s="25" t="s">
        <v>480</v>
      </c>
      <c r="D27" s="25" t="s">
        <v>212</v>
      </c>
      <c r="E27" s="26">
        <v>62942</v>
      </c>
      <c r="F27" s="27">
        <v>1845.43</v>
      </c>
      <c r="G27" s="28">
        <v>1.66E-2</v>
      </c>
      <c r="H27" s="29"/>
    </row>
    <row r="28" spans="2:8" ht="15.75" customHeight="1" x14ac:dyDescent="0.2">
      <c r="B28" s="25" t="s">
        <v>678</v>
      </c>
      <c r="C28" s="25" t="s">
        <v>679</v>
      </c>
      <c r="D28" s="25" t="s">
        <v>263</v>
      </c>
      <c r="E28" s="26">
        <v>103891</v>
      </c>
      <c r="F28" s="27">
        <v>1650.1</v>
      </c>
      <c r="G28" s="28">
        <v>1.4800000000000001E-2</v>
      </c>
      <c r="H28" s="29"/>
    </row>
    <row r="29" spans="2:8" ht="15.75" customHeight="1" x14ac:dyDescent="0.2">
      <c r="B29" s="25" t="s">
        <v>559</v>
      </c>
      <c r="C29" s="25" t="s">
        <v>560</v>
      </c>
      <c r="D29" s="25" t="s">
        <v>148</v>
      </c>
      <c r="E29" s="26">
        <v>113421</v>
      </c>
      <c r="F29" s="27">
        <v>1590.56</v>
      </c>
      <c r="G29" s="28">
        <v>1.43E-2</v>
      </c>
      <c r="H29" s="29"/>
    </row>
    <row r="30" spans="2:8" ht="15.75" customHeight="1" x14ac:dyDescent="0.2">
      <c r="B30" s="25" t="s">
        <v>337</v>
      </c>
      <c r="C30" s="25" t="s">
        <v>338</v>
      </c>
      <c r="D30" s="25" t="s">
        <v>339</v>
      </c>
      <c r="E30" s="26">
        <v>512560</v>
      </c>
      <c r="F30" s="27">
        <v>1579.71</v>
      </c>
      <c r="G30" s="28">
        <v>1.4200000000000001E-2</v>
      </c>
      <c r="H30" s="29"/>
    </row>
    <row r="31" spans="2:8" ht="15.75" customHeight="1" x14ac:dyDescent="0.2">
      <c r="B31" s="25" t="s">
        <v>137</v>
      </c>
      <c r="C31" s="25" t="s">
        <v>138</v>
      </c>
      <c r="D31" s="25" t="s">
        <v>139</v>
      </c>
      <c r="E31" s="26">
        <v>83819</v>
      </c>
      <c r="F31" s="27">
        <v>1565.95</v>
      </c>
      <c r="G31" s="28">
        <v>1.41E-2</v>
      </c>
      <c r="H31" s="29"/>
    </row>
    <row r="32" spans="2:8" ht="15.75" customHeight="1" x14ac:dyDescent="0.2">
      <c r="B32" s="25" t="s">
        <v>424</v>
      </c>
      <c r="C32" s="25" t="s">
        <v>425</v>
      </c>
      <c r="D32" s="25" t="s">
        <v>220</v>
      </c>
      <c r="E32" s="26">
        <v>295334</v>
      </c>
      <c r="F32" s="27">
        <v>1511.52</v>
      </c>
      <c r="G32" s="28">
        <v>1.3599999999999999E-2</v>
      </c>
      <c r="H32" s="29"/>
    </row>
    <row r="33" spans="2:8" ht="15.75" customHeight="1" x14ac:dyDescent="0.2">
      <c r="B33" s="25" t="s">
        <v>234</v>
      </c>
      <c r="C33" s="25" t="s">
        <v>235</v>
      </c>
      <c r="D33" s="25" t="s">
        <v>145</v>
      </c>
      <c r="E33" s="26">
        <v>11410</v>
      </c>
      <c r="F33" s="27">
        <v>1496.51</v>
      </c>
      <c r="G33" s="28">
        <v>1.35E-2</v>
      </c>
      <c r="H33" s="29"/>
    </row>
    <row r="34" spans="2:8" ht="15.75" customHeight="1" x14ac:dyDescent="0.2">
      <c r="B34" s="25" t="s">
        <v>315</v>
      </c>
      <c r="C34" s="25" t="s">
        <v>316</v>
      </c>
      <c r="D34" s="25" t="s">
        <v>212</v>
      </c>
      <c r="E34" s="26">
        <v>482238</v>
      </c>
      <c r="F34" s="27">
        <v>1462.39</v>
      </c>
      <c r="G34" s="28">
        <v>1.3100000000000001E-2</v>
      </c>
      <c r="H34" s="29"/>
    </row>
    <row r="35" spans="2:8" ht="15.75" customHeight="1" x14ac:dyDescent="0.2">
      <c r="B35" s="25" t="s">
        <v>680</v>
      </c>
      <c r="C35" s="25" t="s">
        <v>681</v>
      </c>
      <c r="D35" s="25" t="s">
        <v>233</v>
      </c>
      <c r="E35" s="26">
        <v>63196</v>
      </c>
      <c r="F35" s="27">
        <v>1394.32</v>
      </c>
      <c r="G35" s="28">
        <v>1.2500000000000001E-2</v>
      </c>
      <c r="H35" s="29"/>
    </row>
    <row r="36" spans="2:8" ht="15.75" customHeight="1" x14ac:dyDescent="0.2">
      <c r="B36" s="25" t="s">
        <v>285</v>
      </c>
      <c r="C36" s="25" t="s">
        <v>286</v>
      </c>
      <c r="D36" s="25" t="s">
        <v>142</v>
      </c>
      <c r="E36" s="26">
        <v>272224</v>
      </c>
      <c r="F36" s="27">
        <v>1348.46</v>
      </c>
      <c r="G36" s="28">
        <v>1.21E-2</v>
      </c>
      <c r="H36" s="29"/>
    </row>
    <row r="37" spans="2:8" ht="15.75" customHeight="1" x14ac:dyDescent="0.2">
      <c r="B37" s="25" t="s">
        <v>406</v>
      </c>
      <c r="C37" s="25" t="s">
        <v>407</v>
      </c>
      <c r="D37" s="25" t="s">
        <v>339</v>
      </c>
      <c r="E37" s="26">
        <v>85364</v>
      </c>
      <c r="F37" s="27">
        <v>1346.53</v>
      </c>
      <c r="G37" s="28">
        <v>1.21E-2</v>
      </c>
      <c r="H37" s="29"/>
    </row>
    <row r="38" spans="2:8" ht="15.75" customHeight="1" x14ac:dyDescent="0.2">
      <c r="B38" s="25" t="s">
        <v>289</v>
      </c>
      <c r="C38" s="25" t="s">
        <v>290</v>
      </c>
      <c r="D38" s="25" t="s">
        <v>136</v>
      </c>
      <c r="E38" s="26">
        <v>73857</v>
      </c>
      <c r="F38" s="27">
        <v>1335.26</v>
      </c>
      <c r="G38" s="28">
        <v>1.2E-2</v>
      </c>
      <c r="H38" s="29"/>
    </row>
    <row r="39" spans="2:8" ht="15.75" customHeight="1" x14ac:dyDescent="0.2">
      <c r="B39" s="25" t="s">
        <v>552</v>
      </c>
      <c r="C39" s="25" t="s">
        <v>553</v>
      </c>
      <c r="D39" s="25" t="s">
        <v>554</v>
      </c>
      <c r="E39" s="26">
        <v>194778</v>
      </c>
      <c r="F39" s="27">
        <v>1314.75</v>
      </c>
      <c r="G39" s="28">
        <v>1.18E-2</v>
      </c>
      <c r="H39" s="29"/>
    </row>
    <row r="40" spans="2:8" ht="15.75" customHeight="1" x14ac:dyDescent="0.2">
      <c r="B40" s="25" t="s">
        <v>682</v>
      </c>
      <c r="C40" s="25" t="s">
        <v>683</v>
      </c>
      <c r="D40" s="25" t="s">
        <v>684</v>
      </c>
      <c r="E40" s="26">
        <v>242654</v>
      </c>
      <c r="F40" s="27">
        <v>1278.3</v>
      </c>
      <c r="G40" s="28">
        <v>1.15E-2</v>
      </c>
      <c r="H40" s="29"/>
    </row>
    <row r="41" spans="2:8" ht="15.75" customHeight="1" x14ac:dyDescent="0.2">
      <c r="B41" s="25" t="s">
        <v>465</v>
      </c>
      <c r="C41" s="25" t="s">
        <v>466</v>
      </c>
      <c r="D41" s="25" t="s">
        <v>136</v>
      </c>
      <c r="E41" s="26">
        <v>382980</v>
      </c>
      <c r="F41" s="27">
        <v>1256.17</v>
      </c>
      <c r="G41" s="28">
        <v>1.1299999999999999E-2</v>
      </c>
      <c r="H41" s="29"/>
    </row>
    <row r="42" spans="2:8" ht="15.75" customHeight="1" x14ac:dyDescent="0.2">
      <c r="B42" s="25" t="s">
        <v>221</v>
      </c>
      <c r="C42" s="25" t="s">
        <v>222</v>
      </c>
      <c r="D42" s="25" t="s">
        <v>212</v>
      </c>
      <c r="E42" s="26">
        <v>116027</v>
      </c>
      <c r="F42" s="27">
        <v>1208.42</v>
      </c>
      <c r="G42" s="28">
        <v>1.09E-2</v>
      </c>
      <c r="H42" s="29"/>
    </row>
    <row r="43" spans="2:8" ht="15.75" customHeight="1" x14ac:dyDescent="0.2">
      <c r="B43" s="25" t="s">
        <v>515</v>
      </c>
      <c r="C43" s="25" t="s">
        <v>516</v>
      </c>
      <c r="D43" s="25" t="s">
        <v>190</v>
      </c>
      <c r="E43" s="26">
        <v>27934</v>
      </c>
      <c r="F43" s="27">
        <v>1198.28</v>
      </c>
      <c r="G43" s="28">
        <v>1.0800000000000001E-2</v>
      </c>
      <c r="H43" s="29"/>
    </row>
    <row r="44" spans="2:8" ht="15.75" customHeight="1" x14ac:dyDescent="0.2">
      <c r="B44" s="25" t="s">
        <v>305</v>
      </c>
      <c r="C44" s="25" t="s">
        <v>306</v>
      </c>
      <c r="D44" s="25" t="s">
        <v>145</v>
      </c>
      <c r="E44" s="26">
        <v>21604</v>
      </c>
      <c r="F44" s="27">
        <v>1185.72</v>
      </c>
      <c r="G44" s="28">
        <v>1.0699999999999999E-2</v>
      </c>
      <c r="H44" s="29"/>
    </row>
    <row r="45" spans="2:8" ht="15.75" customHeight="1" x14ac:dyDescent="0.2">
      <c r="B45" s="25" t="s">
        <v>685</v>
      </c>
      <c r="C45" s="25" t="s">
        <v>686</v>
      </c>
      <c r="D45" s="25" t="s">
        <v>207</v>
      </c>
      <c r="E45" s="26">
        <v>256641</v>
      </c>
      <c r="F45" s="27">
        <v>1185.68</v>
      </c>
      <c r="G45" s="28">
        <v>1.0699999999999999E-2</v>
      </c>
      <c r="H45" s="29"/>
    </row>
    <row r="46" spans="2:8" ht="15.75" customHeight="1" x14ac:dyDescent="0.2">
      <c r="B46" s="25" t="s">
        <v>555</v>
      </c>
      <c r="C46" s="25" t="s">
        <v>556</v>
      </c>
      <c r="D46" s="25" t="s">
        <v>254</v>
      </c>
      <c r="E46" s="26">
        <v>201455</v>
      </c>
      <c r="F46" s="27">
        <v>1143.3599999999999</v>
      </c>
      <c r="G46" s="28">
        <v>1.03E-2</v>
      </c>
      <c r="H46" s="29"/>
    </row>
    <row r="47" spans="2:8" ht="15.75" customHeight="1" x14ac:dyDescent="0.2">
      <c r="B47" s="25" t="s">
        <v>444</v>
      </c>
      <c r="C47" s="25" t="s">
        <v>445</v>
      </c>
      <c r="D47" s="25" t="s">
        <v>187</v>
      </c>
      <c r="E47" s="26">
        <v>73143</v>
      </c>
      <c r="F47" s="27">
        <v>1124.6500000000001</v>
      </c>
      <c r="G47" s="28">
        <v>1.01E-2</v>
      </c>
      <c r="H47" s="29"/>
    </row>
    <row r="48" spans="2:8" ht="15.75" customHeight="1" x14ac:dyDescent="0.2">
      <c r="B48" s="25" t="s">
        <v>519</v>
      </c>
      <c r="C48" s="25" t="s">
        <v>520</v>
      </c>
      <c r="D48" s="25" t="s">
        <v>336</v>
      </c>
      <c r="E48" s="26">
        <v>379949</v>
      </c>
      <c r="F48" s="27">
        <v>1112.79</v>
      </c>
      <c r="G48" s="28">
        <v>0.01</v>
      </c>
      <c r="H48" s="29"/>
    </row>
    <row r="49" spans="2:8" ht="15.75" customHeight="1" x14ac:dyDescent="0.2">
      <c r="B49" s="25" t="s">
        <v>687</v>
      </c>
      <c r="C49" s="25" t="s">
        <v>688</v>
      </c>
      <c r="D49" s="25" t="s">
        <v>202</v>
      </c>
      <c r="E49" s="26">
        <v>182880</v>
      </c>
      <c r="F49" s="27">
        <v>1106.52</v>
      </c>
      <c r="G49" s="28">
        <v>9.9000000000000008E-3</v>
      </c>
      <c r="H49" s="29"/>
    </row>
    <row r="50" spans="2:8" ht="15.75" customHeight="1" x14ac:dyDescent="0.2">
      <c r="B50" s="25" t="s">
        <v>342</v>
      </c>
      <c r="C50" s="25" t="s">
        <v>343</v>
      </c>
      <c r="D50" s="25" t="s">
        <v>319</v>
      </c>
      <c r="E50" s="26">
        <v>172649</v>
      </c>
      <c r="F50" s="27">
        <v>1097.53</v>
      </c>
      <c r="G50" s="28">
        <v>9.9000000000000008E-3</v>
      </c>
      <c r="H50" s="29"/>
    </row>
    <row r="51" spans="2:8" ht="15.75" customHeight="1" x14ac:dyDescent="0.2">
      <c r="B51" s="25" t="s">
        <v>689</v>
      </c>
      <c r="C51" s="25" t="s">
        <v>690</v>
      </c>
      <c r="D51" s="25" t="s">
        <v>266</v>
      </c>
      <c r="E51" s="26">
        <v>83267</v>
      </c>
      <c r="F51" s="27">
        <v>1096.8800000000001</v>
      </c>
      <c r="G51" s="28">
        <v>9.9000000000000008E-3</v>
      </c>
      <c r="H51" s="29"/>
    </row>
    <row r="52" spans="2:8" ht="15.75" customHeight="1" x14ac:dyDescent="0.2">
      <c r="B52" s="25" t="s">
        <v>362</v>
      </c>
      <c r="C52" s="25" t="s">
        <v>363</v>
      </c>
      <c r="D52" s="25" t="s">
        <v>139</v>
      </c>
      <c r="E52" s="26">
        <v>148578</v>
      </c>
      <c r="F52" s="27">
        <v>1094.8</v>
      </c>
      <c r="G52" s="28">
        <v>9.7999999999999997E-3</v>
      </c>
      <c r="H52" s="29"/>
    </row>
    <row r="53" spans="2:8" ht="15.75" customHeight="1" x14ac:dyDescent="0.2">
      <c r="B53" s="25" t="s">
        <v>312</v>
      </c>
      <c r="C53" s="25" t="s">
        <v>313</v>
      </c>
      <c r="D53" s="25" t="s">
        <v>314</v>
      </c>
      <c r="E53" s="26">
        <v>130423</v>
      </c>
      <c r="F53" s="27">
        <v>1053.56</v>
      </c>
      <c r="G53" s="28">
        <v>9.4999999999999998E-3</v>
      </c>
      <c r="H53" s="29"/>
    </row>
    <row r="54" spans="2:8" ht="15.75" customHeight="1" x14ac:dyDescent="0.2">
      <c r="B54" s="25" t="s">
        <v>176</v>
      </c>
      <c r="C54" s="25" t="s">
        <v>177</v>
      </c>
      <c r="D54" s="25" t="s">
        <v>178</v>
      </c>
      <c r="E54" s="26">
        <v>328392</v>
      </c>
      <c r="F54" s="27">
        <v>1035.26</v>
      </c>
      <c r="G54" s="28">
        <v>9.2999999999999992E-3</v>
      </c>
      <c r="H54" s="29"/>
    </row>
    <row r="55" spans="2:8" ht="15.75" customHeight="1" x14ac:dyDescent="0.2">
      <c r="B55" s="25" t="s">
        <v>632</v>
      </c>
      <c r="C55" s="25" t="s">
        <v>633</v>
      </c>
      <c r="D55" s="25" t="s">
        <v>311</v>
      </c>
      <c r="E55" s="26">
        <v>1871</v>
      </c>
      <c r="F55" s="27">
        <v>1018.89</v>
      </c>
      <c r="G55" s="28">
        <v>9.1999999999999998E-3</v>
      </c>
      <c r="H55" s="29"/>
    </row>
    <row r="56" spans="2:8" ht="15.75" customHeight="1" x14ac:dyDescent="0.2">
      <c r="B56" s="25" t="s">
        <v>348</v>
      </c>
      <c r="C56" s="25" t="s">
        <v>349</v>
      </c>
      <c r="D56" s="25" t="s">
        <v>212</v>
      </c>
      <c r="E56" s="26">
        <v>75374</v>
      </c>
      <c r="F56" s="27">
        <v>1000.7</v>
      </c>
      <c r="G56" s="28">
        <v>8.9999999999999993E-3</v>
      </c>
      <c r="H56" s="29"/>
    </row>
    <row r="57" spans="2:8" ht="15.75" customHeight="1" x14ac:dyDescent="0.2">
      <c r="B57" s="25" t="s">
        <v>691</v>
      </c>
      <c r="C57" s="25" t="s">
        <v>692</v>
      </c>
      <c r="D57" s="25" t="s">
        <v>178</v>
      </c>
      <c r="E57" s="26">
        <v>10682</v>
      </c>
      <c r="F57" s="27">
        <v>985.88</v>
      </c>
      <c r="G57" s="28">
        <v>8.8999999999999999E-3</v>
      </c>
      <c r="H57" s="29"/>
    </row>
    <row r="58" spans="2:8" ht="15.75" customHeight="1" x14ac:dyDescent="0.2">
      <c r="B58" s="25" t="s">
        <v>236</v>
      </c>
      <c r="C58" s="25" t="s">
        <v>237</v>
      </c>
      <c r="D58" s="25" t="s">
        <v>139</v>
      </c>
      <c r="E58" s="26">
        <v>20492</v>
      </c>
      <c r="F58" s="27">
        <v>898.65</v>
      </c>
      <c r="G58" s="28">
        <v>8.0999999999999996E-3</v>
      </c>
      <c r="H58" s="29"/>
    </row>
    <row r="59" spans="2:8" ht="15.75" customHeight="1" x14ac:dyDescent="0.2">
      <c r="B59" s="25" t="s">
        <v>364</v>
      </c>
      <c r="C59" s="25" t="s">
        <v>365</v>
      </c>
      <c r="D59" s="25" t="s">
        <v>297</v>
      </c>
      <c r="E59" s="26">
        <v>61356</v>
      </c>
      <c r="F59" s="27">
        <v>878.53</v>
      </c>
      <c r="G59" s="28">
        <v>7.9000000000000008E-3</v>
      </c>
      <c r="H59" s="29"/>
    </row>
    <row r="60" spans="2:8" ht="15.75" customHeight="1" x14ac:dyDescent="0.2">
      <c r="B60" s="25" t="s">
        <v>205</v>
      </c>
      <c r="C60" s="25" t="s">
        <v>206</v>
      </c>
      <c r="D60" s="25" t="s">
        <v>207</v>
      </c>
      <c r="E60" s="26">
        <v>359498</v>
      </c>
      <c r="F60" s="27">
        <v>866.28</v>
      </c>
      <c r="G60" s="28">
        <v>7.7999999999999996E-3</v>
      </c>
      <c r="H60" s="29"/>
    </row>
    <row r="61" spans="2:8" ht="15.75" customHeight="1" x14ac:dyDescent="0.2">
      <c r="B61" s="25" t="s">
        <v>610</v>
      </c>
      <c r="C61" s="25" t="s">
        <v>611</v>
      </c>
      <c r="D61" s="25" t="s">
        <v>266</v>
      </c>
      <c r="E61" s="26">
        <v>5248</v>
      </c>
      <c r="F61" s="27">
        <v>830.88</v>
      </c>
      <c r="G61" s="28">
        <v>7.4999999999999997E-3</v>
      </c>
      <c r="H61" s="29"/>
    </row>
    <row r="62" spans="2:8" ht="15.75" customHeight="1" x14ac:dyDescent="0.2">
      <c r="B62" s="25" t="s">
        <v>693</v>
      </c>
      <c r="C62" s="25" t="s">
        <v>694</v>
      </c>
      <c r="D62" s="25" t="s">
        <v>297</v>
      </c>
      <c r="E62" s="26">
        <v>5019</v>
      </c>
      <c r="F62" s="27">
        <v>788.24</v>
      </c>
      <c r="G62" s="28">
        <v>7.1000000000000004E-3</v>
      </c>
      <c r="H62" s="29"/>
    </row>
    <row r="63" spans="2:8" ht="15.75" customHeight="1" x14ac:dyDescent="0.2">
      <c r="B63" s="25" t="s">
        <v>320</v>
      </c>
      <c r="C63" s="25" t="s">
        <v>321</v>
      </c>
      <c r="D63" s="25" t="s">
        <v>172</v>
      </c>
      <c r="E63" s="26">
        <v>14633</v>
      </c>
      <c r="F63" s="27">
        <v>776.94</v>
      </c>
      <c r="G63" s="28">
        <v>7.0000000000000001E-3</v>
      </c>
      <c r="H63" s="29"/>
    </row>
    <row r="64" spans="2:8" ht="15.75" customHeight="1" x14ac:dyDescent="0.2">
      <c r="B64" s="25" t="s">
        <v>469</v>
      </c>
      <c r="C64" s="25" t="s">
        <v>470</v>
      </c>
      <c r="D64" s="25" t="s">
        <v>136</v>
      </c>
      <c r="E64" s="26">
        <v>594707</v>
      </c>
      <c r="F64" s="27">
        <v>751.95</v>
      </c>
      <c r="G64" s="28">
        <v>6.7999999999999996E-3</v>
      </c>
      <c r="H64" s="29"/>
    </row>
    <row r="65" spans="2:14" ht="15.75" customHeight="1" x14ac:dyDescent="0.2">
      <c r="B65" s="25" t="s">
        <v>695</v>
      </c>
      <c r="C65" s="25" t="s">
        <v>696</v>
      </c>
      <c r="D65" s="25" t="s">
        <v>269</v>
      </c>
      <c r="E65" s="26">
        <v>189436</v>
      </c>
      <c r="F65" s="27">
        <v>661.61</v>
      </c>
      <c r="G65" s="28">
        <v>5.8999999999999999E-3</v>
      </c>
      <c r="H65" s="29"/>
    </row>
    <row r="66" spans="2:14" ht="15.75" customHeight="1" x14ac:dyDescent="0.2">
      <c r="B66" s="25" t="s">
        <v>392</v>
      </c>
      <c r="C66" s="25" t="s">
        <v>393</v>
      </c>
      <c r="D66" s="25" t="s">
        <v>311</v>
      </c>
      <c r="E66" s="26">
        <v>178491</v>
      </c>
      <c r="F66" s="27">
        <v>657.65</v>
      </c>
      <c r="G66" s="28">
        <v>5.8999999999999999E-3</v>
      </c>
      <c r="H66" s="29"/>
    </row>
    <row r="67" spans="2:14" ht="15.75" customHeight="1" x14ac:dyDescent="0.2">
      <c r="B67" s="25" t="s">
        <v>302</v>
      </c>
      <c r="C67" s="25" t="s">
        <v>303</v>
      </c>
      <c r="D67" s="25" t="s">
        <v>304</v>
      </c>
      <c r="E67" s="26">
        <v>207536</v>
      </c>
      <c r="F67" s="27">
        <v>642.53</v>
      </c>
      <c r="G67" s="28">
        <v>5.7999999999999996E-3</v>
      </c>
      <c r="H67" s="29"/>
    </row>
    <row r="68" spans="2:14" ht="15.75" customHeight="1" x14ac:dyDescent="0.2">
      <c r="B68" s="25" t="s">
        <v>697</v>
      </c>
      <c r="C68" s="25" t="s">
        <v>698</v>
      </c>
      <c r="D68" s="25" t="s">
        <v>184</v>
      </c>
      <c r="E68" s="26">
        <v>358451</v>
      </c>
      <c r="F68" s="27">
        <v>618.4</v>
      </c>
      <c r="G68" s="28">
        <v>5.5999999999999999E-3</v>
      </c>
      <c r="H68" s="29"/>
      <c r="J68" s="3"/>
    </row>
    <row r="69" spans="2:14" ht="15.75" customHeight="1" x14ac:dyDescent="0.2">
      <c r="B69" s="25" t="s">
        <v>270</v>
      </c>
      <c r="C69" s="25" t="s">
        <v>271</v>
      </c>
      <c r="D69" s="25" t="s">
        <v>240</v>
      </c>
      <c r="E69" s="26">
        <v>89230</v>
      </c>
      <c r="F69" s="27">
        <v>597.48</v>
      </c>
      <c r="G69" s="28">
        <v>5.4000000000000003E-3</v>
      </c>
      <c r="H69" s="29"/>
    </row>
    <row r="70" spans="2:14" ht="15.75" customHeight="1" x14ac:dyDescent="0.2">
      <c r="B70" s="25" t="s">
        <v>346</v>
      </c>
      <c r="C70" s="25" t="s">
        <v>347</v>
      </c>
      <c r="D70" s="25" t="s">
        <v>266</v>
      </c>
      <c r="E70" s="26">
        <v>132160</v>
      </c>
      <c r="F70" s="27">
        <v>587.78</v>
      </c>
      <c r="G70" s="28">
        <v>5.3E-3</v>
      </c>
      <c r="H70" s="29"/>
      <c r="J70" s="3"/>
    </row>
    <row r="71" spans="2:14" ht="15.75" customHeight="1" x14ac:dyDescent="0.2">
      <c r="B71" s="25" t="s">
        <v>699</v>
      </c>
      <c r="C71" s="25" t="s">
        <v>700</v>
      </c>
      <c r="D71" s="25" t="s">
        <v>212</v>
      </c>
      <c r="E71" s="26">
        <v>4239</v>
      </c>
      <c r="F71" s="27">
        <v>584.58000000000004</v>
      </c>
      <c r="G71" s="28">
        <v>5.3E-3</v>
      </c>
      <c r="H71" s="29"/>
      <c r="J71" s="3"/>
    </row>
    <row r="72" spans="2:14" ht="15.75" customHeight="1" x14ac:dyDescent="0.2">
      <c r="B72" s="25" t="s">
        <v>530</v>
      </c>
      <c r="C72" s="25" t="s">
        <v>531</v>
      </c>
      <c r="D72" s="25" t="s">
        <v>436</v>
      </c>
      <c r="E72" s="26">
        <v>169067</v>
      </c>
      <c r="F72" s="27">
        <v>565.02</v>
      </c>
      <c r="G72" s="28">
        <v>5.1000000000000004E-3</v>
      </c>
      <c r="H72" s="29"/>
      <c r="J72" s="3"/>
    </row>
    <row r="73" spans="2:14" ht="15.75" customHeight="1" x14ac:dyDescent="0.2">
      <c r="B73" s="25" t="s">
        <v>701</v>
      </c>
      <c r="C73" s="25" t="s">
        <v>702</v>
      </c>
      <c r="D73" s="25" t="s">
        <v>172</v>
      </c>
      <c r="E73" s="26">
        <v>154271</v>
      </c>
      <c r="F73" s="27">
        <v>559</v>
      </c>
      <c r="G73" s="28">
        <v>5.0000000000000001E-3</v>
      </c>
      <c r="H73" s="29"/>
      <c r="J73" s="3"/>
    </row>
    <row r="74" spans="2:14" ht="15.75" customHeight="1" x14ac:dyDescent="0.2">
      <c r="B74" s="25" t="s">
        <v>662</v>
      </c>
      <c r="C74" s="25" t="s">
        <v>663</v>
      </c>
      <c r="D74" s="25" t="s">
        <v>554</v>
      </c>
      <c r="E74" s="26">
        <v>43165</v>
      </c>
      <c r="F74" s="27">
        <v>513.21</v>
      </c>
      <c r="G74" s="28">
        <v>4.5999999999999999E-3</v>
      </c>
      <c r="H74" s="29"/>
      <c r="J74" s="3"/>
    </row>
    <row r="75" spans="2:14" ht="15.75" customHeight="1" x14ac:dyDescent="0.2">
      <c r="B75" s="25" t="s">
        <v>485</v>
      </c>
      <c r="C75" s="25" t="s">
        <v>486</v>
      </c>
      <c r="D75" s="25" t="s">
        <v>187</v>
      </c>
      <c r="E75" s="26">
        <v>16553</v>
      </c>
      <c r="F75" s="27">
        <v>510.57</v>
      </c>
      <c r="G75" s="28">
        <v>4.5999999999999999E-3</v>
      </c>
      <c r="H75" s="29"/>
      <c r="J75" s="5"/>
      <c r="K75" s="5"/>
      <c r="L75" s="6"/>
      <c r="M75" s="6"/>
      <c r="N75" s="5"/>
    </row>
    <row r="76" spans="2:14" ht="15.75" customHeight="1" x14ac:dyDescent="0.2">
      <c r="B76" s="25" t="s">
        <v>525</v>
      </c>
      <c r="C76" s="25" t="s">
        <v>526</v>
      </c>
      <c r="D76" s="25" t="s">
        <v>527</v>
      </c>
      <c r="E76" s="26">
        <v>13930</v>
      </c>
      <c r="F76" s="27">
        <v>489.91</v>
      </c>
      <c r="G76" s="28">
        <v>4.4000000000000003E-3</v>
      </c>
      <c r="H76" s="29"/>
    </row>
    <row r="77" spans="2:14" ht="15.75" customHeight="1" x14ac:dyDescent="0.2">
      <c r="B77" s="25" t="s">
        <v>580</v>
      </c>
      <c r="C77" s="25" t="s">
        <v>581</v>
      </c>
      <c r="D77" s="25" t="s">
        <v>497</v>
      </c>
      <c r="E77" s="26">
        <v>43493</v>
      </c>
      <c r="F77" s="27">
        <v>379.87</v>
      </c>
      <c r="G77" s="28">
        <v>3.3999999999999998E-3</v>
      </c>
      <c r="H77" s="29"/>
    </row>
    <row r="78" spans="2:14" ht="15.75" customHeight="1" x14ac:dyDescent="0.2">
      <c r="B78" s="25" t="s">
        <v>418</v>
      </c>
      <c r="C78" s="25" t="s">
        <v>419</v>
      </c>
      <c r="D78" s="25" t="s">
        <v>266</v>
      </c>
      <c r="E78" s="26">
        <v>4354</v>
      </c>
      <c r="F78" s="27">
        <v>243.37</v>
      </c>
      <c r="G78" s="28">
        <v>2.2000000000000001E-3</v>
      </c>
      <c r="H78" s="29"/>
      <c r="J78" s="7"/>
      <c r="K78" s="7"/>
      <c r="L78" s="7"/>
      <c r="M78" s="7"/>
      <c r="N78" s="7"/>
    </row>
    <row r="79" spans="2:14" ht="15.75" customHeight="1" x14ac:dyDescent="0.2">
      <c r="B79" s="25" t="s">
        <v>703</v>
      </c>
      <c r="C79" s="25" t="s">
        <v>704</v>
      </c>
      <c r="D79" s="25" t="s">
        <v>233</v>
      </c>
      <c r="E79" s="26">
        <v>4314</v>
      </c>
      <c r="F79" s="27">
        <v>163.97</v>
      </c>
      <c r="G79" s="28">
        <v>1.5E-3</v>
      </c>
      <c r="H79" s="29"/>
      <c r="J79" s="7"/>
      <c r="K79" s="7"/>
      <c r="L79" s="7"/>
      <c r="M79" s="7"/>
      <c r="N79" s="7"/>
    </row>
    <row r="80" spans="2:14" ht="15.75" customHeight="1" x14ac:dyDescent="0.2">
      <c r="B80" s="24" t="s">
        <v>104</v>
      </c>
      <c r="C80" s="24"/>
      <c r="D80" s="24"/>
      <c r="E80" s="30"/>
      <c r="F80" s="31">
        <f>SUM(F7:F79)</f>
        <v>108209.07999999997</v>
      </c>
      <c r="G80" s="32">
        <v>0.97270000000000001</v>
      </c>
      <c r="H80" s="33"/>
      <c r="J80" s="7"/>
      <c r="K80" s="7"/>
      <c r="L80" s="7"/>
      <c r="M80" s="7"/>
      <c r="N80" s="7"/>
    </row>
    <row r="81" spans="2:14" ht="15.75" customHeight="1" x14ac:dyDescent="0.2">
      <c r="B81" s="24" t="s">
        <v>156</v>
      </c>
      <c r="C81" s="25"/>
      <c r="D81" s="25"/>
      <c r="E81" s="26"/>
      <c r="F81" s="27"/>
      <c r="G81" s="28"/>
      <c r="H81" s="29"/>
      <c r="J81" s="7"/>
      <c r="K81" s="7"/>
      <c r="L81" s="7"/>
      <c r="M81" s="7"/>
      <c r="N81" s="7"/>
    </row>
    <row r="82" spans="2:14" ht="15.75" customHeight="1" x14ac:dyDescent="0.2">
      <c r="B82" s="25" t="s">
        <v>674</v>
      </c>
      <c r="C82" s="25" t="s">
        <v>675</v>
      </c>
      <c r="D82" s="25" t="s">
        <v>554</v>
      </c>
      <c r="E82" s="26">
        <v>1660</v>
      </c>
      <c r="F82" s="27">
        <v>6.16</v>
      </c>
      <c r="G82" s="28">
        <v>1E-4</v>
      </c>
      <c r="H82" s="29"/>
      <c r="J82" s="7"/>
      <c r="K82" s="7"/>
      <c r="L82" s="7"/>
      <c r="M82" s="7"/>
      <c r="N82" s="7"/>
    </row>
    <row r="83" spans="2:14" ht="15.75" customHeight="1" x14ac:dyDescent="0.2">
      <c r="B83" s="24" t="s">
        <v>104</v>
      </c>
      <c r="C83" s="25"/>
      <c r="D83" s="25"/>
      <c r="E83" s="26"/>
      <c r="F83" s="31">
        <f>SUM(F82)</f>
        <v>6.16</v>
      </c>
      <c r="G83" s="32">
        <f>SUM(G82)</f>
        <v>1E-4</v>
      </c>
      <c r="H83" s="29"/>
      <c r="J83" s="7"/>
      <c r="K83" s="7"/>
      <c r="L83" s="7"/>
      <c r="M83" s="7"/>
      <c r="N83" s="7"/>
    </row>
    <row r="84" spans="2:14" ht="15.75" customHeight="1" x14ac:dyDescent="0.2">
      <c r="B84" s="25"/>
      <c r="C84" s="25"/>
      <c r="D84" s="25"/>
      <c r="E84" s="26"/>
      <c r="F84" s="27"/>
      <c r="G84" s="28"/>
      <c r="H84" s="29"/>
      <c r="J84" s="7"/>
      <c r="K84" s="7"/>
      <c r="L84" s="7"/>
      <c r="M84" s="7"/>
      <c r="N84" s="7"/>
    </row>
    <row r="85" spans="2:14" ht="15.75" customHeight="1" x14ac:dyDescent="0.2">
      <c r="B85" s="36" t="s">
        <v>108</v>
      </c>
      <c r="C85" s="36"/>
      <c r="D85" s="36"/>
      <c r="E85" s="37"/>
      <c r="F85" s="31">
        <v>108215.24</v>
      </c>
      <c r="G85" s="32">
        <v>0.9728</v>
      </c>
      <c r="H85" s="33"/>
    </row>
    <row r="86" spans="2:14" ht="15.75" customHeight="1" x14ac:dyDescent="0.2">
      <c r="B86" s="25"/>
      <c r="C86" s="25"/>
      <c r="D86" s="25"/>
      <c r="E86" s="26"/>
      <c r="F86" s="27"/>
      <c r="G86" s="28"/>
      <c r="H86" s="29"/>
      <c r="J86" s="3"/>
    </row>
    <row r="87" spans="2:14" ht="15.75" customHeight="1" x14ac:dyDescent="0.2">
      <c r="B87" s="25"/>
      <c r="C87" s="25"/>
      <c r="D87" s="25"/>
      <c r="E87" s="26"/>
      <c r="F87" s="27"/>
      <c r="G87" s="28"/>
      <c r="H87" s="29"/>
    </row>
    <row r="88" spans="2:14" ht="15.75" customHeight="1" x14ac:dyDescent="0.2">
      <c r="B88" s="24" t="s">
        <v>111</v>
      </c>
      <c r="C88" s="25"/>
      <c r="D88" s="25"/>
      <c r="E88" s="26"/>
      <c r="F88" s="27"/>
      <c r="G88" s="28"/>
      <c r="H88" s="29"/>
    </row>
    <row r="89" spans="2:14" ht="15.75" customHeight="1" x14ac:dyDescent="0.2">
      <c r="B89" s="25" t="s">
        <v>112</v>
      </c>
      <c r="C89" s="25"/>
      <c r="D89" s="25"/>
      <c r="E89" s="26"/>
      <c r="F89" s="27">
        <v>3209.5</v>
      </c>
      <c r="G89" s="28">
        <v>2.8899999999999999E-2</v>
      </c>
      <c r="H89" s="29"/>
    </row>
    <row r="90" spans="2:14" ht="15.75" customHeight="1" x14ac:dyDescent="0.2">
      <c r="B90" s="24" t="s">
        <v>104</v>
      </c>
      <c r="C90" s="24"/>
      <c r="D90" s="24"/>
      <c r="E90" s="30"/>
      <c r="F90" s="31">
        <v>3209.5</v>
      </c>
      <c r="G90" s="32">
        <v>2.8899999999999999E-2</v>
      </c>
      <c r="H90" s="33"/>
    </row>
    <row r="91" spans="2:14" ht="15.75" customHeight="1" x14ac:dyDescent="0.2">
      <c r="B91" s="25"/>
      <c r="C91" s="25"/>
      <c r="D91" s="25"/>
      <c r="E91" s="26"/>
      <c r="F91" s="27"/>
      <c r="G91" s="28"/>
      <c r="H91" s="29"/>
    </row>
    <row r="92" spans="2:14" ht="15.75" customHeight="1" x14ac:dyDescent="0.2">
      <c r="B92" s="36" t="s">
        <v>108</v>
      </c>
      <c r="C92" s="36"/>
      <c r="D92" s="36"/>
      <c r="E92" s="37"/>
      <c r="F92" s="31">
        <v>3209.5</v>
      </c>
      <c r="G92" s="32">
        <v>2.8899999999999999E-2</v>
      </c>
      <c r="H92" s="33"/>
    </row>
    <row r="93" spans="2:14" ht="15.75" customHeight="1" x14ac:dyDescent="0.2">
      <c r="B93" s="25" t="s">
        <v>113</v>
      </c>
      <c r="C93" s="25"/>
      <c r="D93" s="25"/>
      <c r="E93" s="26"/>
      <c r="F93" s="38">
        <v>-179.93</v>
      </c>
      <c r="G93" s="39">
        <v>-1.7000000000000348E-3</v>
      </c>
      <c r="H93" s="29"/>
    </row>
    <row r="94" spans="2:14" ht="15.75" customHeight="1" x14ac:dyDescent="0.2">
      <c r="B94" s="40" t="s">
        <v>114</v>
      </c>
      <c r="C94" s="40"/>
      <c r="D94" s="40"/>
      <c r="E94" s="41"/>
      <c r="F94" s="42">
        <v>111244.81</v>
      </c>
      <c r="G94" s="43">
        <v>1</v>
      </c>
      <c r="H94" s="44"/>
    </row>
    <row r="95" spans="2:14" ht="15.75" customHeight="1" x14ac:dyDescent="0.2">
      <c r="B95" s="2"/>
    </row>
    <row r="96" spans="2:14" ht="15.75" customHeight="1" x14ac:dyDescent="0.2">
      <c r="B96" s="12" t="s">
        <v>131</v>
      </c>
    </row>
    <row r="97" spans="2:16" ht="15.75" customHeight="1" x14ac:dyDescent="0.2">
      <c r="B97" s="12" t="s">
        <v>115</v>
      </c>
    </row>
    <row r="98" spans="2:16" ht="15.75" customHeight="1" thickBot="1" x14ac:dyDescent="0.25"/>
    <row r="99" spans="2:16" ht="27" customHeight="1" thickBot="1" x14ac:dyDescent="0.25">
      <c r="B99" s="56" t="s">
        <v>1009</v>
      </c>
      <c r="C99" s="57" t="s">
        <v>1010</v>
      </c>
      <c r="D99" s="57" t="s">
        <v>1011</v>
      </c>
      <c r="E99" s="62" t="s">
        <v>1012</v>
      </c>
      <c r="G99" s="2"/>
      <c r="H99" s="2"/>
    </row>
    <row r="100" spans="2:16" ht="23.25" customHeight="1" x14ac:dyDescent="0.2">
      <c r="B100" s="63" t="s">
        <v>50</v>
      </c>
      <c r="C100" s="83"/>
      <c r="D100" s="86" t="s">
        <v>1050</v>
      </c>
      <c r="E100" s="88"/>
      <c r="G100" s="2"/>
      <c r="H100" s="2"/>
    </row>
    <row r="101" spans="2:16" ht="39.950000000000003" customHeight="1" x14ac:dyDescent="0.2">
      <c r="B101" s="65" t="s">
        <v>1040</v>
      </c>
      <c r="C101" s="84"/>
      <c r="D101" s="87"/>
      <c r="E101" s="84"/>
      <c r="G101" s="2"/>
      <c r="H101" s="2"/>
    </row>
    <row r="102" spans="2:16" ht="39.950000000000003" customHeight="1" x14ac:dyDescent="0.2">
      <c r="B102" s="65" t="s">
        <v>1051</v>
      </c>
      <c r="C102" s="84"/>
      <c r="D102" s="87"/>
      <c r="E102" s="84"/>
      <c r="G102" s="2"/>
      <c r="H102" s="2"/>
    </row>
    <row r="103" spans="2:16" ht="27.75" customHeight="1" thickBot="1" x14ac:dyDescent="0.25">
      <c r="B103" s="67" t="s">
        <v>1030</v>
      </c>
      <c r="C103" s="85"/>
      <c r="D103" s="70" t="s">
        <v>1035</v>
      </c>
      <c r="E103" s="89"/>
      <c r="G103" s="2"/>
      <c r="H103" s="2"/>
    </row>
    <row r="104" spans="2:16" ht="24.95" customHeight="1" x14ac:dyDescent="0.2">
      <c r="B104" s="58" t="s">
        <v>1014</v>
      </c>
      <c r="C104" s="59"/>
      <c r="D104" s="60"/>
      <c r="E104" s="61"/>
      <c r="G104" s="2"/>
      <c r="H104" s="2"/>
    </row>
    <row r="105" spans="2:16" ht="15.75" customHeight="1" x14ac:dyDescent="0.2">
      <c r="L105" s="7"/>
      <c r="M105" s="7"/>
      <c r="N105" s="7"/>
      <c r="O105" s="7"/>
      <c r="P105" s="7"/>
    </row>
    <row r="106" spans="2:16" ht="12" x14ac:dyDescent="0.2">
      <c r="B106" s="2" t="s">
        <v>1015</v>
      </c>
      <c r="C106" s="2"/>
      <c r="D106" s="2"/>
      <c r="G106" s="2"/>
      <c r="H106" s="2"/>
    </row>
    <row r="107" spans="2:16" ht="12" x14ac:dyDescent="0.2">
      <c r="B107" s="3" t="s">
        <v>1016</v>
      </c>
      <c r="C107" s="2"/>
      <c r="D107" s="2"/>
      <c r="G107" s="2"/>
      <c r="H107" s="2"/>
    </row>
  </sheetData>
  <mergeCells count="3">
    <mergeCell ref="C100:C103"/>
    <mergeCell ref="D100:D102"/>
    <mergeCell ref="E100:E103"/>
  </mergeCells>
  <hyperlinks>
    <hyperlink ref="G1" location="'Sheet1'!A1" display="Index" xr:uid="{A16DECDC-2019-45DD-BBB7-EA3988B1E1A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3EC44-665F-42F6-A828-F074D536A329}">
  <dimension ref="B1:N101"/>
  <sheetViews>
    <sheetView workbookViewId="0"/>
  </sheetViews>
  <sheetFormatPr defaultColWidth="9.140625" defaultRowHeight="15.75" customHeight="1" x14ac:dyDescent="0.2"/>
  <cols>
    <col min="1" max="1" width="3.5703125" style="2" customWidth="1"/>
    <col min="2" max="2" width="50.42578125" style="9" customWidth="1"/>
    <col min="3" max="3" width="26.140625" style="9" customWidth="1"/>
    <col min="4" max="4" width="26.5703125" style="9" customWidth="1"/>
    <col min="5" max="5" width="28.710937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18</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132</v>
      </c>
      <c r="C5" s="19"/>
      <c r="D5" s="19"/>
      <c r="E5" s="20"/>
      <c r="F5" s="21"/>
      <c r="G5" s="22"/>
      <c r="H5" s="23"/>
    </row>
    <row r="6" spans="2:8" ht="15.75" customHeight="1" x14ac:dyDescent="0.2">
      <c r="B6" s="24" t="s">
        <v>133</v>
      </c>
      <c r="C6" s="25"/>
      <c r="D6" s="25"/>
      <c r="E6" s="26"/>
      <c r="F6" s="27"/>
      <c r="G6" s="28"/>
      <c r="H6" s="29"/>
    </row>
    <row r="7" spans="2:8" ht="15.75" customHeight="1" x14ac:dyDescent="0.2">
      <c r="B7" s="25" t="s">
        <v>295</v>
      </c>
      <c r="C7" s="25" t="s">
        <v>296</v>
      </c>
      <c r="D7" s="25" t="s">
        <v>297</v>
      </c>
      <c r="E7" s="26">
        <v>30298</v>
      </c>
      <c r="F7" s="27">
        <v>1295.83</v>
      </c>
      <c r="G7" s="28">
        <v>4.07E-2</v>
      </c>
      <c r="H7" s="29"/>
    </row>
    <row r="8" spans="2:8" ht="15.75" customHeight="1" x14ac:dyDescent="0.2">
      <c r="B8" s="25" t="s">
        <v>648</v>
      </c>
      <c r="C8" s="25" t="s">
        <v>649</v>
      </c>
      <c r="D8" s="25" t="s">
        <v>297</v>
      </c>
      <c r="E8" s="26">
        <v>86263</v>
      </c>
      <c r="F8" s="27">
        <v>1064.6600000000001</v>
      </c>
      <c r="G8" s="28">
        <v>3.3399999999999999E-2</v>
      </c>
      <c r="H8" s="29"/>
    </row>
    <row r="9" spans="2:8" ht="15.75" customHeight="1" x14ac:dyDescent="0.2">
      <c r="B9" s="25" t="s">
        <v>307</v>
      </c>
      <c r="C9" s="25" t="s">
        <v>308</v>
      </c>
      <c r="D9" s="25" t="s">
        <v>297</v>
      </c>
      <c r="E9" s="26">
        <v>40151</v>
      </c>
      <c r="F9" s="27">
        <v>1002.11</v>
      </c>
      <c r="G9" s="28">
        <v>3.15E-2</v>
      </c>
      <c r="H9" s="29"/>
    </row>
    <row r="10" spans="2:8" ht="15.75" customHeight="1" x14ac:dyDescent="0.2">
      <c r="B10" s="25" t="s">
        <v>523</v>
      </c>
      <c r="C10" s="25" t="s">
        <v>524</v>
      </c>
      <c r="D10" s="25" t="s">
        <v>297</v>
      </c>
      <c r="E10" s="26">
        <v>426540</v>
      </c>
      <c r="F10" s="27">
        <v>903.97</v>
      </c>
      <c r="G10" s="28">
        <v>2.8400000000000002E-2</v>
      </c>
      <c r="H10" s="29"/>
    </row>
    <row r="11" spans="2:8" ht="15.75" customHeight="1" x14ac:dyDescent="0.2">
      <c r="B11" s="25" t="s">
        <v>309</v>
      </c>
      <c r="C11" s="25" t="s">
        <v>310</v>
      </c>
      <c r="D11" s="25" t="s">
        <v>311</v>
      </c>
      <c r="E11" s="26">
        <v>331875</v>
      </c>
      <c r="F11" s="27">
        <v>891.62</v>
      </c>
      <c r="G11" s="28">
        <v>2.8000000000000001E-2</v>
      </c>
      <c r="H11" s="29"/>
    </row>
    <row r="12" spans="2:8" ht="15.75" customHeight="1" x14ac:dyDescent="0.2">
      <c r="B12" s="25" t="s">
        <v>509</v>
      </c>
      <c r="C12" s="25" t="s">
        <v>510</v>
      </c>
      <c r="D12" s="25" t="s">
        <v>311</v>
      </c>
      <c r="E12" s="26">
        <v>26305</v>
      </c>
      <c r="F12" s="27">
        <v>891.46</v>
      </c>
      <c r="G12" s="28">
        <v>2.8000000000000001E-2</v>
      </c>
      <c r="H12" s="29"/>
    </row>
    <row r="13" spans="2:8" ht="15.75" customHeight="1" x14ac:dyDescent="0.2">
      <c r="B13" s="25" t="s">
        <v>542</v>
      </c>
      <c r="C13" s="25" t="s">
        <v>543</v>
      </c>
      <c r="D13" s="25" t="s">
        <v>178</v>
      </c>
      <c r="E13" s="26">
        <v>17360</v>
      </c>
      <c r="F13" s="27">
        <v>873.54</v>
      </c>
      <c r="G13" s="28">
        <v>2.7400000000000001E-2</v>
      </c>
      <c r="H13" s="29"/>
    </row>
    <row r="14" spans="2:8" ht="15.75" customHeight="1" x14ac:dyDescent="0.2">
      <c r="B14" s="25" t="s">
        <v>424</v>
      </c>
      <c r="C14" s="25" t="s">
        <v>425</v>
      </c>
      <c r="D14" s="25" t="s">
        <v>220</v>
      </c>
      <c r="E14" s="26">
        <v>151805</v>
      </c>
      <c r="F14" s="27">
        <v>776.94</v>
      </c>
      <c r="G14" s="28">
        <v>2.4400000000000002E-2</v>
      </c>
      <c r="H14" s="29"/>
    </row>
    <row r="15" spans="2:8" ht="15.75" customHeight="1" x14ac:dyDescent="0.2">
      <c r="B15" s="25" t="s">
        <v>408</v>
      </c>
      <c r="C15" s="25" t="s">
        <v>409</v>
      </c>
      <c r="D15" s="25" t="s">
        <v>297</v>
      </c>
      <c r="E15" s="26">
        <v>17539</v>
      </c>
      <c r="F15" s="27">
        <v>759.41</v>
      </c>
      <c r="G15" s="28">
        <v>2.3900000000000001E-2</v>
      </c>
      <c r="H15" s="29"/>
    </row>
    <row r="16" spans="2:8" ht="15.75" customHeight="1" x14ac:dyDescent="0.2">
      <c r="B16" s="25" t="s">
        <v>705</v>
      </c>
      <c r="C16" s="25" t="s">
        <v>706</v>
      </c>
      <c r="D16" s="25" t="s">
        <v>297</v>
      </c>
      <c r="E16" s="26">
        <v>76817</v>
      </c>
      <c r="F16" s="27">
        <v>738.71</v>
      </c>
      <c r="G16" s="28">
        <v>2.3199999999999998E-2</v>
      </c>
      <c r="H16" s="29"/>
    </row>
    <row r="17" spans="2:8" ht="15.75" customHeight="1" x14ac:dyDescent="0.2">
      <c r="B17" s="25" t="s">
        <v>707</v>
      </c>
      <c r="C17" s="25" t="s">
        <v>708</v>
      </c>
      <c r="D17" s="25" t="s">
        <v>187</v>
      </c>
      <c r="E17" s="26">
        <v>42799</v>
      </c>
      <c r="F17" s="27">
        <v>737.73</v>
      </c>
      <c r="G17" s="28">
        <v>2.3199999999999998E-2</v>
      </c>
      <c r="H17" s="29"/>
    </row>
    <row r="18" spans="2:8" ht="15.75" customHeight="1" x14ac:dyDescent="0.2">
      <c r="B18" s="25" t="s">
        <v>515</v>
      </c>
      <c r="C18" s="25" t="s">
        <v>516</v>
      </c>
      <c r="D18" s="25" t="s">
        <v>190</v>
      </c>
      <c r="E18" s="26">
        <v>15194</v>
      </c>
      <c r="F18" s="27">
        <v>651.78</v>
      </c>
      <c r="G18" s="28">
        <v>2.0500000000000001E-2</v>
      </c>
      <c r="H18" s="29"/>
    </row>
    <row r="19" spans="2:8" ht="15.75" customHeight="1" x14ac:dyDescent="0.2">
      <c r="B19" s="25" t="s">
        <v>390</v>
      </c>
      <c r="C19" s="25" t="s">
        <v>391</v>
      </c>
      <c r="D19" s="25" t="s">
        <v>172</v>
      </c>
      <c r="E19" s="26">
        <v>369138</v>
      </c>
      <c r="F19" s="27">
        <v>649.87</v>
      </c>
      <c r="G19" s="28">
        <v>2.0400000000000001E-2</v>
      </c>
      <c r="H19" s="29"/>
    </row>
    <row r="20" spans="2:8" ht="15.75" customHeight="1" x14ac:dyDescent="0.2">
      <c r="B20" s="25" t="s">
        <v>709</v>
      </c>
      <c r="C20" s="25" t="s">
        <v>710</v>
      </c>
      <c r="D20" s="25" t="s">
        <v>263</v>
      </c>
      <c r="E20" s="26">
        <v>438452</v>
      </c>
      <c r="F20" s="27">
        <v>629.97</v>
      </c>
      <c r="G20" s="28">
        <v>1.9800000000000002E-2</v>
      </c>
      <c r="H20" s="29"/>
    </row>
    <row r="21" spans="2:8" ht="15.75" customHeight="1" x14ac:dyDescent="0.2">
      <c r="B21" s="25" t="s">
        <v>546</v>
      </c>
      <c r="C21" s="25" t="s">
        <v>547</v>
      </c>
      <c r="D21" s="25" t="s">
        <v>233</v>
      </c>
      <c r="E21" s="26">
        <v>66784</v>
      </c>
      <c r="F21" s="27">
        <v>625.66999999999996</v>
      </c>
      <c r="G21" s="28">
        <v>1.9699999999999999E-2</v>
      </c>
      <c r="H21" s="29"/>
    </row>
    <row r="22" spans="2:8" ht="15.75" customHeight="1" x14ac:dyDescent="0.2">
      <c r="B22" s="25" t="s">
        <v>521</v>
      </c>
      <c r="C22" s="25" t="s">
        <v>522</v>
      </c>
      <c r="D22" s="25" t="s">
        <v>502</v>
      </c>
      <c r="E22" s="26">
        <v>45389</v>
      </c>
      <c r="F22" s="27">
        <v>609.41999999999996</v>
      </c>
      <c r="G22" s="28">
        <v>1.9099999999999999E-2</v>
      </c>
      <c r="H22" s="29"/>
    </row>
    <row r="23" spans="2:8" ht="15.75" customHeight="1" x14ac:dyDescent="0.2">
      <c r="B23" s="25" t="s">
        <v>337</v>
      </c>
      <c r="C23" s="25" t="s">
        <v>338</v>
      </c>
      <c r="D23" s="25" t="s">
        <v>339</v>
      </c>
      <c r="E23" s="26">
        <v>197065</v>
      </c>
      <c r="F23" s="27">
        <v>607.35</v>
      </c>
      <c r="G23" s="28">
        <v>1.9099999999999999E-2</v>
      </c>
      <c r="H23" s="29"/>
    </row>
    <row r="24" spans="2:8" ht="15.75" customHeight="1" x14ac:dyDescent="0.2">
      <c r="B24" s="25" t="s">
        <v>398</v>
      </c>
      <c r="C24" s="25" t="s">
        <v>399</v>
      </c>
      <c r="D24" s="25" t="s">
        <v>178</v>
      </c>
      <c r="E24" s="26">
        <v>138653</v>
      </c>
      <c r="F24" s="27">
        <v>575.96</v>
      </c>
      <c r="G24" s="28">
        <v>1.8100000000000002E-2</v>
      </c>
      <c r="H24" s="29"/>
    </row>
    <row r="25" spans="2:8" ht="15.75" customHeight="1" x14ac:dyDescent="0.2">
      <c r="B25" s="25" t="s">
        <v>711</v>
      </c>
      <c r="C25" s="25" t="s">
        <v>712</v>
      </c>
      <c r="D25" s="25" t="s">
        <v>352</v>
      </c>
      <c r="E25" s="26">
        <v>113088</v>
      </c>
      <c r="F25" s="27">
        <v>572.34</v>
      </c>
      <c r="G25" s="28">
        <v>1.7999999999999999E-2</v>
      </c>
      <c r="H25" s="29"/>
    </row>
    <row r="26" spans="2:8" ht="15.75" customHeight="1" x14ac:dyDescent="0.2">
      <c r="B26" s="25" t="s">
        <v>493</v>
      </c>
      <c r="C26" s="25" t="s">
        <v>494</v>
      </c>
      <c r="D26" s="25" t="s">
        <v>314</v>
      </c>
      <c r="E26" s="26">
        <v>210569</v>
      </c>
      <c r="F26" s="27">
        <v>555.4</v>
      </c>
      <c r="G26" s="28">
        <v>1.7399999999999999E-2</v>
      </c>
      <c r="H26" s="29"/>
    </row>
    <row r="27" spans="2:8" ht="15.75" customHeight="1" x14ac:dyDescent="0.2">
      <c r="B27" s="25" t="s">
        <v>713</v>
      </c>
      <c r="C27" s="25" t="s">
        <v>714</v>
      </c>
      <c r="D27" s="25" t="s">
        <v>497</v>
      </c>
      <c r="E27" s="26">
        <v>146554</v>
      </c>
      <c r="F27" s="27">
        <v>553.09</v>
      </c>
      <c r="G27" s="28">
        <v>1.7399999999999999E-2</v>
      </c>
      <c r="H27" s="29"/>
    </row>
    <row r="28" spans="2:8" ht="15.75" customHeight="1" x14ac:dyDescent="0.2">
      <c r="B28" s="25" t="s">
        <v>715</v>
      </c>
      <c r="C28" s="25" t="s">
        <v>716</v>
      </c>
      <c r="D28" s="25" t="s">
        <v>230</v>
      </c>
      <c r="E28" s="26">
        <v>355972</v>
      </c>
      <c r="F28" s="27">
        <v>535.99</v>
      </c>
      <c r="G28" s="28">
        <v>1.6799999999999999E-2</v>
      </c>
      <c r="H28" s="29"/>
    </row>
    <row r="29" spans="2:8" ht="15.75" customHeight="1" x14ac:dyDescent="0.2">
      <c r="B29" s="25" t="s">
        <v>717</v>
      </c>
      <c r="C29" s="25" t="s">
        <v>718</v>
      </c>
      <c r="D29" s="25" t="s">
        <v>554</v>
      </c>
      <c r="E29" s="26">
        <v>117930</v>
      </c>
      <c r="F29" s="27">
        <v>498.61</v>
      </c>
      <c r="G29" s="28">
        <v>1.5699999999999999E-2</v>
      </c>
      <c r="H29" s="29"/>
    </row>
    <row r="30" spans="2:8" ht="15.75" customHeight="1" x14ac:dyDescent="0.2">
      <c r="B30" s="25" t="s">
        <v>719</v>
      </c>
      <c r="C30" s="25" t="s">
        <v>720</v>
      </c>
      <c r="D30" s="25" t="s">
        <v>187</v>
      </c>
      <c r="E30" s="26">
        <v>107980</v>
      </c>
      <c r="F30" s="27">
        <v>487.42</v>
      </c>
      <c r="G30" s="28">
        <v>1.5299999999999999E-2</v>
      </c>
      <c r="H30" s="29"/>
    </row>
    <row r="31" spans="2:8" ht="15.75" customHeight="1" x14ac:dyDescent="0.2">
      <c r="B31" s="25" t="s">
        <v>536</v>
      </c>
      <c r="C31" s="25" t="s">
        <v>537</v>
      </c>
      <c r="D31" s="25" t="s">
        <v>352</v>
      </c>
      <c r="E31" s="26">
        <v>28077</v>
      </c>
      <c r="F31" s="27">
        <v>479.22</v>
      </c>
      <c r="G31" s="28">
        <v>1.5100000000000001E-2</v>
      </c>
      <c r="H31" s="29"/>
    </row>
    <row r="32" spans="2:8" ht="15.75" customHeight="1" x14ac:dyDescent="0.2">
      <c r="B32" s="25" t="s">
        <v>721</v>
      </c>
      <c r="C32" s="25" t="s">
        <v>722</v>
      </c>
      <c r="D32" s="25" t="s">
        <v>297</v>
      </c>
      <c r="E32" s="26">
        <v>68649</v>
      </c>
      <c r="F32" s="27">
        <v>475.6</v>
      </c>
      <c r="G32" s="28">
        <v>1.49E-2</v>
      </c>
      <c r="H32" s="29"/>
    </row>
    <row r="33" spans="2:8" ht="15.75" customHeight="1" x14ac:dyDescent="0.2">
      <c r="B33" s="25" t="s">
        <v>723</v>
      </c>
      <c r="C33" s="25" t="s">
        <v>724</v>
      </c>
      <c r="D33" s="25" t="s">
        <v>178</v>
      </c>
      <c r="E33" s="26">
        <v>84788</v>
      </c>
      <c r="F33" s="27">
        <v>442.55</v>
      </c>
      <c r="G33" s="28">
        <v>1.3899999999999999E-2</v>
      </c>
      <c r="H33" s="29"/>
    </row>
    <row r="34" spans="2:8" ht="15.75" customHeight="1" x14ac:dyDescent="0.2">
      <c r="B34" s="25" t="s">
        <v>725</v>
      </c>
      <c r="C34" s="25" t="s">
        <v>726</v>
      </c>
      <c r="D34" s="25" t="s">
        <v>254</v>
      </c>
      <c r="E34" s="26">
        <v>53646</v>
      </c>
      <c r="F34" s="27">
        <v>440.38</v>
      </c>
      <c r="G34" s="28">
        <v>1.38E-2</v>
      </c>
      <c r="H34" s="29"/>
    </row>
    <row r="35" spans="2:8" ht="15.75" customHeight="1" x14ac:dyDescent="0.2">
      <c r="B35" s="25" t="s">
        <v>420</v>
      </c>
      <c r="C35" s="25" t="s">
        <v>421</v>
      </c>
      <c r="D35" s="25" t="s">
        <v>202</v>
      </c>
      <c r="E35" s="26">
        <v>195602</v>
      </c>
      <c r="F35" s="27">
        <v>428.51</v>
      </c>
      <c r="G35" s="28">
        <v>1.35E-2</v>
      </c>
      <c r="H35" s="29"/>
    </row>
    <row r="36" spans="2:8" ht="15.75" customHeight="1" x14ac:dyDescent="0.2">
      <c r="B36" s="25" t="s">
        <v>727</v>
      </c>
      <c r="C36" s="25" t="s">
        <v>728</v>
      </c>
      <c r="D36" s="25" t="s">
        <v>729</v>
      </c>
      <c r="E36" s="26">
        <v>76079</v>
      </c>
      <c r="F36" s="27">
        <v>421.48</v>
      </c>
      <c r="G36" s="28">
        <v>1.32E-2</v>
      </c>
      <c r="H36" s="29"/>
    </row>
    <row r="37" spans="2:8" ht="15.75" customHeight="1" x14ac:dyDescent="0.2">
      <c r="B37" s="25" t="s">
        <v>430</v>
      </c>
      <c r="C37" s="25" t="s">
        <v>431</v>
      </c>
      <c r="D37" s="25" t="s">
        <v>314</v>
      </c>
      <c r="E37" s="26">
        <v>32764</v>
      </c>
      <c r="F37" s="27">
        <v>406.9</v>
      </c>
      <c r="G37" s="28">
        <v>1.2800000000000001E-2</v>
      </c>
      <c r="H37" s="29"/>
    </row>
    <row r="38" spans="2:8" ht="15.75" customHeight="1" x14ac:dyDescent="0.2">
      <c r="B38" s="25" t="s">
        <v>730</v>
      </c>
      <c r="C38" s="25" t="s">
        <v>731</v>
      </c>
      <c r="D38" s="25" t="s">
        <v>297</v>
      </c>
      <c r="E38" s="26">
        <v>28318</v>
      </c>
      <c r="F38" s="27">
        <v>384.13</v>
      </c>
      <c r="G38" s="28">
        <v>1.21E-2</v>
      </c>
      <c r="H38" s="29"/>
    </row>
    <row r="39" spans="2:8" ht="15.75" customHeight="1" x14ac:dyDescent="0.2">
      <c r="B39" s="25" t="s">
        <v>732</v>
      </c>
      <c r="C39" s="25" t="s">
        <v>733</v>
      </c>
      <c r="D39" s="25" t="s">
        <v>297</v>
      </c>
      <c r="E39" s="26">
        <v>243193</v>
      </c>
      <c r="F39" s="27">
        <v>380.89</v>
      </c>
      <c r="G39" s="28">
        <v>1.2E-2</v>
      </c>
      <c r="H39" s="29"/>
    </row>
    <row r="40" spans="2:8" ht="15.75" customHeight="1" x14ac:dyDescent="0.2">
      <c r="B40" s="25" t="s">
        <v>500</v>
      </c>
      <c r="C40" s="25" t="s">
        <v>501</v>
      </c>
      <c r="D40" s="25" t="s">
        <v>502</v>
      </c>
      <c r="E40" s="26">
        <v>54652</v>
      </c>
      <c r="F40" s="27">
        <v>380.1</v>
      </c>
      <c r="G40" s="28">
        <v>1.1900000000000001E-2</v>
      </c>
      <c r="H40" s="29"/>
    </row>
    <row r="41" spans="2:8" ht="15.75" customHeight="1" x14ac:dyDescent="0.2">
      <c r="B41" s="25" t="s">
        <v>652</v>
      </c>
      <c r="C41" s="25" t="s">
        <v>653</v>
      </c>
      <c r="D41" s="25" t="s">
        <v>178</v>
      </c>
      <c r="E41" s="26">
        <v>3245</v>
      </c>
      <c r="F41" s="27">
        <v>376.65</v>
      </c>
      <c r="G41" s="28">
        <v>1.18E-2</v>
      </c>
      <c r="H41" s="29"/>
    </row>
    <row r="42" spans="2:8" ht="15.75" customHeight="1" x14ac:dyDescent="0.2">
      <c r="B42" s="25" t="s">
        <v>360</v>
      </c>
      <c r="C42" s="25" t="s">
        <v>361</v>
      </c>
      <c r="D42" s="25" t="s">
        <v>207</v>
      </c>
      <c r="E42" s="26">
        <v>107681</v>
      </c>
      <c r="F42" s="27">
        <v>365.31</v>
      </c>
      <c r="G42" s="28">
        <v>1.15E-2</v>
      </c>
      <c r="H42" s="29"/>
    </row>
    <row r="43" spans="2:8" ht="15.75" customHeight="1" x14ac:dyDescent="0.2">
      <c r="B43" s="25" t="s">
        <v>734</v>
      </c>
      <c r="C43" s="25" t="s">
        <v>735</v>
      </c>
      <c r="D43" s="25" t="s">
        <v>297</v>
      </c>
      <c r="E43" s="26">
        <v>9913</v>
      </c>
      <c r="F43" s="27">
        <v>359.12</v>
      </c>
      <c r="G43" s="28">
        <v>1.1299999999999999E-2</v>
      </c>
      <c r="H43" s="29"/>
    </row>
    <row r="44" spans="2:8" ht="15.75" customHeight="1" x14ac:dyDescent="0.2">
      <c r="B44" s="25" t="s">
        <v>697</v>
      </c>
      <c r="C44" s="25" t="s">
        <v>698</v>
      </c>
      <c r="D44" s="25" t="s">
        <v>184</v>
      </c>
      <c r="E44" s="26">
        <v>207257</v>
      </c>
      <c r="F44" s="27">
        <v>357.56</v>
      </c>
      <c r="G44" s="28">
        <v>1.12E-2</v>
      </c>
      <c r="H44" s="29"/>
    </row>
    <row r="45" spans="2:8" ht="15.75" customHeight="1" x14ac:dyDescent="0.2">
      <c r="B45" s="25" t="s">
        <v>511</v>
      </c>
      <c r="C45" s="25" t="s">
        <v>512</v>
      </c>
      <c r="D45" s="25" t="s">
        <v>233</v>
      </c>
      <c r="E45" s="26">
        <v>11132</v>
      </c>
      <c r="F45" s="27">
        <v>344.23</v>
      </c>
      <c r="G45" s="28">
        <v>1.0800000000000001E-2</v>
      </c>
      <c r="H45" s="29"/>
    </row>
    <row r="46" spans="2:8" ht="15.75" customHeight="1" x14ac:dyDescent="0.2">
      <c r="B46" s="25" t="s">
        <v>422</v>
      </c>
      <c r="C46" s="25" t="s">
        <v>423</v>
      </c>
      <c r="D46" s="25" t="s">
        <v>148</v>
      </c>
      <c r="E46" s="26">
        <v>47692</v>
      </c>
      <c r="F46" s="27">
        <v>341.09</v>
      </c>
      <c r="G46" s="28">
        <v>1.0699999999999999E-2</v>
      </c>
      <c r="H46" s="29"/>
    </row>
    <row r="47" spans="2:8" ht="15.75" customHeight="1" x14ac:dyDescent="0.2">
      <c r="B47" s="25" t="s">
        <v>736</v>
      </c>
      <c r="C47" s="25" t="s">
        <v>737</v>
      </c>
      <c r="D47" s="25" t="s">
        <v>172</v>
      </c>
      <c r="E47" s="26">
        <v>4956</v>
      </c>
      <c r="F47" s="27">
        <v>327.55</v>
      </c>
      <c r="G47" s="28">
        <v>1.03E-2</v>
      </c>
      <c r="H47" s="29"/>
    </row>
    <row r="48" spans="2:8" ht="15.75" customHeight="1" x14ac:dyDescent="0.2">
      <c r="B48" s="25" t="s">
        <v>205</v>
      </c>
      <c r="C48" s="25" t="s">
        <v>206</v>
      </c>
      <c r="D48" s="25" t="s">
        <v>207</v>
      </c>
      <c r="E48" s="26">
        <v>134758</v>
      </c>
      <c r="F48" s="27">
        <v>324.73</v>
      </c>
      <c r="G48" s="28">
        <v>1.0200000000000001E-2</v>
      </c>
      <c r="H48" s="29"/>
    </row>
    <row r="49" spans="2:8" ht="15.75" customHeight="1" x14ac:dyDescent="0.2">
      <c r="B49" s="25" t="s">
        <v>386</v>
      </c>
      <c r="C49" s="25" t="s">
        <v>387</v>
      </c>
      <c r="D49" s="25" t="s">
        <v>178</v>
      </c>
      <c r="E49" s="26">
        <v>20270</v>
      </c>
      <c r="F49" s="27">
        <v>321.29000000000002</v>
      </c>
      <c r="G49" s="28">
        <v>1.01E-2</v>
      </c>
      <c r="H49" s="29"/>
    </row>
    <row r="50" spans="2:8" ht="15.75" customHeight="1" x14ac:dyDescent="0.2">
      <c r="B50" s="25" t="s">
        <v>364</v>
      </c>
      <c r="C50" s="25" t="s">
        <v>365</v>
      </c>
      <c r="D50" s="25" t="s">
        <v>297</v>
      </c>
      <c r="E50" s="26">
        <v>22182</v>
      </c>
      <c r="F50" s="27">
        <v>317.61</v>
      </c>
      <c r="G50" s="28">
        <v>0.01</v>
      </c>
      <c r="H50" s="29"/>
    </row>
    <row r="51" spans="2:8" ht="15.75" customHeight="1" x14ac:dyDescent="0.2">
      <c r="B51" s="25" t="s">
        <v>532</v>
      </c>
      <c r="C51" s="25" t="s">
        <v>533</v>
      </c>
      <c r="D51" s="25" t="s">
        <v>178</v>
      </c>
      <c r="E51" s="26">
        <v>42861</v>
      </c>
      <c r="F51" s="27">
        <v>315.45999999999998</v>
      </c>
      <c r="G51" s="28">
        <v>9.9000000000000008E-3</v>
      </c>
      <c r="H51" s="29"/>
    </row>
    <row r="52" spans="2:8" ht="15.75" customHeight="1" x14ac:dyDescent="0.2">
      <c r="B52" s="25" t="s">
        <v>703</v>
      </c>
      <c r="C52" s="25" t="s">
        <v>704</v>
      </c>
      <c r="D52" s="25" t="s">
        <v>233</v>
      </c>
      <c r="E52" s="26">
        <v>8283</v>
      </c>
      <c r="F52" s="27">
        <v>314.83</v>
      </c>
      <c r="G52" s="28">
        <v>9.9000000000000008E-3</v>
      </c>
      <c r="H52" s="29"/>
    </row>
    <row r="53" spans="2:8" ht="15.75" customHeight="1" x14ac:dyDescent="0.2">
      <c r="B53" s="25" t="s">
        <v>555</v>
      </c>
      <c r="C53" s="25" t="s">
        <v>556</v>
      </c>
      <c r="D53" s="25" t="s">
        <v>254</v>
      </c>
      <c r="E53" s="26">
        <v>55294</v>
      </c>
      <c r="F53" s="27">
        <v>313.82</v>
      </c>
      <c r="G53" s="28">
        <v>9.9000000000000008E-3</v>
      </c>
      <c r="H53" s="29"/>
    </row>
    <row r="54" spans="2:8" ht="15.75" customHeight="1" x14ac:dyDescent="0.2">
      <c r="B54" s="25" t="s">
        <v>530</v>
      </c>
      <c r="C54" s="25" t="s">
        <v>531</v>
      </c>
      <c r="D54" s="25" t="s">
        <v>436</v>
      </c>
      <c r="E54" s="26">
        <v>93797</v>
      </c>
      <c r="F54" s="27">
        <v>313.47000000000003</v>
      </c>
      <c r="G54" s="28">
        <v>9.7999999999999997E-3</v>
      </c>
      <c r="H54" s="29"/>
    </row>
    <row r="55" spans="2:8" ht="15.75" customHeight="1" x14ac:dyDescent="0.2">
      <c r="B55" s="25" t="s">
        <v>519</v>
      </c>
      <c r="C55" s="25" t="s">
        <v>520</v>
      </c>
      <c r="D55" s="25" t="s">
        <v>336</v>
      </c>
      <c r="E55" s="26">
        <v>106993</v>
      </c>
      <c r="F55" s="27">
        <v>313.36</v>
      </c>
      <c r="G55" s="28">
        <v>9.7999999999999997E-3</v>
      </c>
      <c r="H55" s="29"/>
    </row>
    <row r="56" spans="2:8" ht="15.75" customHeight="1" x14ac:dyDescent="0.2">
      <c r="B56" s="25" t="s">
        <v>444</v>
      </c>
      <c r="C56" s="25" t="s">
        <v>445</v>
      </c>
      <c r="D56" s="25" t="s">
        <v>187</v>
      </c>
      <c r="E56" s="26">
        <v>20210</v>
      </c>
      <c r="F56" s="27">
        <v>310.75</v>
      </c>
      <c r="G56" s="28">
        <v>9.7999999999999997E-3</v>
      </c>
      <c r="H56" s="29"/>
    </row>
    <row r="57" spans="2:8" ht="15.75" customHeight="1" x14ac:dyDescent="0.2">
      <c r="B57" s="25" t="s">
        <v>738</v>
      </c>
      <c r="C57" s="25" t="s">
        <v>739</v>
      </c>
      <c r="D57" s="25" t="s">
        <v>207</v>
      </c>
      <c r="E57" s="26">
        <v>16573</v>
      </c>
      <c r="F57" s="27">
        <v>309.83999999999997</v>
      </c>
      <c r="G57" s="28">
        <v>9.7000000000000003E-3</v>
      </c>
      <c r="H57" s="29"/>
    </row>
    <row r="58" spans="2:8" ht="15.75" customHeight="1" x14ac:dyDescent="0.2">
      <c r="B58" s="25" t="s">
        <v>580</v>
      </c>
      <c r="C58" s="25" t="s">
        <v>581</v>
      </c>
      <c r="D58" s="25" t="s">
        <v>497</v>
      </c>
      <c r="E58" s="26">
        <v>33698</v>
      </c>
      <c r="F58" s="27">
        <v>294.32</v>
      </c>
      <c r="G58" s="28">
        <v>9.1999999999999998E-3</v>
      </c>
      <c r="H58" s="29"/>
    </row>
    <row r="59" spans="2:8" ht="15.75" customHeight="1" x14ac:dyDescent="0.2">
      <c r="B59" s="25" t="s">
        <v>740</v>
      </c>
      <c r="C59" s="25" t="s">
        <v>741</v>
      </c>
      <c r="D59" s="25" t="s">
        <v>297</v>
      </c>
      <c r="E59" s="26">
        <v>83774</v>
      </c>
      <c r="F59" s="27">
        <v>282.57</v>
      </c>
      <c r="G59" s="28">
        <v>8.8999999999999999E-3</v>
      </c>
      <c r="H59" s="29"/>
    </row>
    <row r="60" spans="2:8" ht="15.75" customHeight="1" x14ac:dyDescent="0.2">
      <c r="B60" s="25" t="s">
        <v>362</v>
      </c>
      <c r="C60" s="25" t="s">
        <v>363</v>
      </c>
      <c r="D60" s="25" t="s">
        <v>139</v>
      </c>
      <c r="E60" s="26">
        <v>36530</v>
      </c>
      <c r="F60" s="27">
        <v>269.17</v>
      </c>
      <c r="G60" s="28">
        <v>8.5000000000000006E-3</v>
      </c>
      <c r="H60" s="29"/>
    </row>
    <row r="61" spans="2:8" ht="15.75" customHeight="1" x14ac:dyDescent="0.2">
      <c r="B61" s="25" t="s">
        <v>418</v>
      </c>
      <c r="C61" s="25" t="s">
        <v>419</v>
      </c>
      <c r="D61" s="25" t="s">
        <v>266</v>
      </c>
      <c r="E61" s="26">
        <v>4546</v>
      </c>
      <c r="F61" s="27">
        <v>254.1</v>
      </c>
      <c r="G61" s="28">
        <v>8.0000000000000002E-3</v>
      </c>
      <c r="H61" s="29"/>
    </row>
    <row r="62" spans="2:8" ht="15.75" customHeight="1" x14ac:dyDescent="0.2">
      <c r="B62" s="25" t="s">
        <v>742</v>
      </c>
      <c r="C62" s="25" t="s">
        <v>743</v>
      </c>
      <c r="D62" s="25" t="s">
        <v>142</v>
      </c>
      <c r="E62" s="26">
        <v>42769</v>
      </c>
      <c r="F62" s="27">
        <v>251.27</v>
      </c>
      <c r="G62" s="28">
        <v>7.9000000000000008E-3</v>
      </c>
      <c r="H62" s="29"/>
    </row>
    <row r="63" spans="2:8" ht="15.75" customHeight="1" x14ac:dyDescent="0.2">
      <c r="B63" s="25" t="s">
        <v>744</v>
      </c>
      <c r="C63" s="25" t="s">
        <v>745</v>
      </c>
      <c r="D63" s="25" t="s">
        <v>187</v>
      </c>
      <c r="E63" s="26">
        <v>35250</v>
      </c>
      <c r="F63" s="27">
        <v>249.48</v>
      </c>
      <c r="G63" s="28">
        <v>7.7999999999999996E-3</v>
      </c>
      <c r="H63" s="29"/>
    </row>
    <row r="64" spans="2:8" ht="15.75" customHeight="1" x14ac:dyDescent="0.2">
      <c r="B64" s="25" t="s">
        <v>302</v>
      </c>
      <c r="C64" s="25" t="s">
        <v>303</v>
      </c>
      <c r="D64" s="25" t="s">
        <v>304</v>
      </c>
      <c r="E64" s="26">
        <v>69450</v>
      </c>
      <c r="F64" s="27">
        <v>215.02</v>
      </c>
      <c r="G64" s="28">
        <v>6.7999999999999996E-3</v>
      </c>
      <c r="H64" s="29"/>
    </row>
    <row r="65" spans="2:14" ht="15.75" customHeight="1" x14ac:dyDescent="0.2">
      <c r="B65" s="25" t="s">
        <v>746</v>
      </c>
      <c r="C65" s="25" t="s">
        <v>747</v>
      </c>
      <c r="D65" s="25" t="s">
        <v>311</v>
      </c>
      <c r="E65" s="26">
        <v>27464</v>
      </c>
      <c r="F65" s="27">
        <v>206.47</v>
      </c>
      <c r="G65" s="28">
        <v>6.4999999999999997E-3</v>
      </c>
      <c r="H65" s="29"/>
    </row>
    <row r="66" spans="2:14" ht="15.75" customHeight="1" x14ac:dyDescent="0.2">
      <c r="B66" s="25" t="s">
        <v>748</v>
      </c>
      <c r="C66" s="25" t="s">
        <v>749</v>
      </c>
      <c r="D66" s="25" t="s">
        <v>266</v>
      </c>
      <c r="E66" s="26">
        <v>58140</v>
      </c>
      <c r="F66" s="27">
        <v>190.18</v>
      </c>
      <c r="G66" s="28">
        <v>6.0000000000000001E-3</v>
      </c>
      <c r="H66" s="29"/>
    </row>
    <row r="67" spans="2:14" ht="15.75" customHeight="1" x14ac:dyDescent="0.2">
      <c r="B67" s="25" t="s">
        <v>750</v>
      </c>
      <c r="C67" s="25" t="s">
        <v>751</v>
      </c>
      <c r="D67" s="25" t="s">
        <v>297</v>
      </c>
      <c r="E67" s="26">
        <v>14623</v>
      </c>
      <c r="F67" s="27">
        <v>189.33</v>
      </c>
      <c r="G67" s="28">
        <v>5.8999999999999999E-3</v>
      </c>
      <c r="H67" s="29"/>
    </row>
    <row r="68" spans="2:14" ht="15.75" customHeight="1" x14ac:dyDescent="0.2">
      <c r="B68" s="25" t="s">
        <v>513</v>
      </c>
      <c r="C68" s="25" t="s">
        <v>514</v>
      </c>
      <c r="D68" s="25" t="s">
        <v>187</v>
      </c>
      <c r="E68" s="26">
        <v>41882</v>
      </c>
      <c r="F68" s="27">
        <v>187.46</v>
      </c>
      <c r="G68" s="28">
        <v>5.8999999999999999E-3</v>
      </c>
      <c r="H68" s="29"/>
      <c r="J68" s="3"/>
    </row>
    <row r="69" spans="2:14" ht="15.75" customHeight="1" x14ac:dyDescent="0.2">
      <c r="B69" s="25" t="s">
        <v>752</v>
      </c>
      <c r="C69" s="25" t="s">
        <v>753</v>
      </c>
      <c r="D69" s="25" t="s">
        <v>269</v>
      </c>
      <c r="E69" s="26">
        <v>11370</v>
      </c>
      <c r="F69" s="27">
        <v>173.9</v>
      </c>
      <c r="G69" s="28">
        <v>5.4999999999999997E-3</v>
      </c>
      <c r="H69" s="29"/>
    </row>
    <row r="70" spans="2:14" ht="15.75" customHeight="1" x14ac:dyDescent="0.2">
      <c r="B70" s="25" t="s">
        <v>534</v>
      </c>
      <c r="C70" s="25" t="s">
        <v>535</v>
      </c>
      <c r="D70" s="25" t="s">
        <v>187</v>
      </c>
      <c r="E70" s="26">
        <v>8523</v>
      </c>
      <c r="F70" s="27">
        <v>173.07</v>
      </c>
      <c r="G70" s="28">
        <v>5.4000000000000003E-3</v>
      </c>
      <c r="H70" s="29"/>
      <c r="J70" s="3"/>
    </row>
    <row r="71" spans="2:14" ht="15.75" customHeight="1" x14ac:dyDescent="0.2">
      <c r="B71" s="25" t="s">
        <v>578</v>
      </c>
      <c r="C71" s="25" t="s">
        <v>579</v>
      </c>
      <c r="D71" s="25" t="s">
        <v>172</v>
      </c>
      <c r="E71" s="26">
        <v>4956</v>
      </c>
      <c r="F71" s="27">
        <v>168.28</v>
      </c>
      <c r="G71" s="28">
        <v>5.3E-3</v>
      </c>
      <c r="H71" s="29"/>
      <c r="J71" s="3"/>
    </row>
    <row r="72" spans="2:14" ht="15.75" customHeight="1" x14ac:dyDescent="0.2">
      <c r="B72" s="25" t="s">
        <v>754</v>
      </c>
      <c r="C72" s="25" t="s">
        <v>755</v>
      </c>
      <c r="D72" s="25" t="s">
        <v>220</v>
      </c>
      <c r="E72" s="26">
        <v>4820</v>
      </c>
      <c r="F72" s="27">
        <v>165.08</v>
      </c>
      <c r="G72" s="28">
        <v>5.1999999999999998E-3</v>
      </c>
      <c r="H72" s="29"/>
      <c r="J72" s="3"/>
    </row>
    <row r="73" spans="2:14" ht="15.75" customHeight="1" x14ac:dyDescent="0.2">
      <c r="B73" s="25" t="s">
        <v>685</v>
      </c>
      <c r="C73" s="25" t="s">
        <v>686</v>
      </c>
      <c r="D73" s="25" t="s">
        <v>207</v>
      </c>
      <c r="E73" s="26">
        <v>35122</v>
      </c>
      <c r="F73" s="27">
        <v>162.26</v>
      </c>
      <c r="G73" s="28">
        <v>5.1000000000000004E-3</v>
      </c>
      <c r="H73" s="29"/>
      <c r="J73" s="3"/>
    </row>
    <row r="74" spans="2:14" ht="15.75" customHeight="1" x14ac:dyDescent="0.2">
      <c r="B74" s="25" t="s">
        <v>348</v>
      </c>
      <c r="C74" s="25" t="s">
        <v>349</v>
      </c>
      <c r="D74" s="25" t="s">
        <v>212</v>
      </c>
      <c r="E74" s="26">
        <v>9293</v>
      </c>
      <c r="F74" s="27">
        <v>123.38</v>
      </c>
      <c r="G74" s="28">
        <v>3.8999999999999998E-3</v>
      </c>
      <c r="H74" s="29"/>
      <c r="J74" s="3"/>
    </row>
    <row r="75" spans="2:14" ht="15.75" customHeight="1" x14ac:dyDescent="0.2">
      <c r="B75" s="25" t="s">
        <v>538</v>
      </c>
      <c r="C75" s="25" t="s">
        <v>539</v>
      </c>
      <c r="D75" s="25" t="s">
        <v>297</v>
      </c>
      <c r="E75" s="26">
        <v>10064</v>
      </c>
      <c r="F75" s="27">
        <v>61.41</v>
      </c>
      <c r="G75" s="28">
        <v>1.9E-3</v>
      </c>
      <c r="H75" s="29"/>
      <c r="J75" s="5"/>
      <c r="K75" s="5"/>
      <c r="L75" s="6"/>
      <c r="M75" s="6"/>
      <c r="N75" s="5"/>
    </row>
    <row r="76" spans="2:14" ht="15.75" customHeight="1" x14ac:dyDescent="0.2">
      <c r="B76" s="24" t="s">
        <v>104</v>
      </c>
      <c r="C76" s="24"/>
      <c r="D76" s="24"/>
      <c r="E76" s="30"/>
      <c r="F76" s="31">
        <v>30972.03</v>
      </c>
      <c r="G76" s="32">
        <v>0.97270000000000001</v>
      </c>
      <c r="H76" s="33"/>
    </row>
    <row r="77" spans="2:14" ht="15.75" customHeight="1" x14ac:dyDescent="0.2">
      <c r="B77" s="24" t="s">
        <v>156</v>
      </c>
      <c r="C77" s="25"/>
      <c r="D77" s="25"/>
      <c r="E77" s="26"/>
      <c r="F77" s="27"/>
      <c r="G77" s="28"/>
      <c r="H77" s="29"/>
    </row>
    <row r="78" spans="2:14" ht="15.75" customHeight="1" x14ac:dyDescent="0.2">
      <c r="B78" s="24" t="s">
        <v>104</v>
      </c>
      <c r="C78" s="25"/>
      <c r="D78" s="25"/>
      <c r="E78" s="26"/>
      <c r="F78" s="34" t="s">
        <v>106</v>
      </c>
      <c r="G78" s="35" t="s">
        <v>106</v>
      </c>
      <c r="H78" s="29"/>
      <c r="J78" s="7"/>
      <c r="K78" s="7"/>
      <c r="L78" s="7"/>
      <c r="M78" s="7"/>
      <c r="N78" s="7"/>
    </row>
    <row r="79" spans="2:14" ht="15.75" customHeight="1" x14ac:dyDescent="0.2">
      <c r="B79" s="25"/>
      <c r="C79" s="25"/>
      <c r="D79" s="25"/>
      <c r="E79" s="26"/>
      <c r="F79" s="27"/>
      <c r="G79" s="28"/>
      <c r="H79" s="29"/>
      <c r="J79" s="7"/>
      <c r="K79" s="7"/>
      <c r="L79" s="7"/>
      <c r="M79" s="7"/>
      <c r="N79" s="7"/>
    </row>
    <row r="80" spans="2:14" ht="15.75" customHeight="1" x14ac:dyDescent="0.2">
      <c r="B80" s="36" t="s">
        <v>108</v>
      </c>
      <c r="C80" s="36"/>
      <c r="D80" s="36"/>
      <c r="E80" s="37"/>
      <c r="F80" s="31">
        <v>30972.03</v>
      </c>
      <c r="G80" s="32">
        <v>0.97270000000000001</v>
      </c>
      <c r="H80" s="33"/>
      <c r="J80" s="7"/>
      <c r="K80" s="7"/>
      <c r="L80" s="7"/>
      <c r="M80" s="7"/>
      <c r="N80" s="7"/>
    </row>
    <row r="81" spans="2:14" ht="15.75" customHeight="1" x14ac:dyDescent="0.2">
      <c r="B81" s="25"/>
      <c r="C81" s="25"/>
      <c r="D81" s="25"/>
      <c r="E81" s="26"/>
      <c r="F81" s="27"/>
      <c r="G81" s="28"/>
      <c r="H81" s="29"/>
      <c r="J81" s="7"/>
      <c r="K81" s="7"/>
      <c r="L81" s="7"/>
      <c r="M81" s="7"/>
      <c r="N81" s="7"/>
    </row>
    <row r="82" spans="2:14" ht="15.75" customHeight="1" x14ac:dyDescent="0.2">
      <c r="B82" s="25"/>
      <c r="C82" s="25"/>
      <c r="D82" s="25"/>
      <c r="E82" s="26"/>
      <c r="F82" s="27"/>
      <c r="G82" s="28"/>
      <c r="H82" s="29"/>
      <c r="J82" s="7"/>
      <c r="K82" s="7"/>
      <c r="L82" s="7"/>
      <c r="M82" s="7"/>
      <c r="N82" s="7"/>
    </row>
    <row r="83" spans="2:14" ht="15.75" customHeight="1" x14ac:dyDescent="0.2">
      <c r="B83" s="24" t="s">
        <v>111</v>
      </c>
      <c r="C83" s="25"/>
      <c r="D83" s="25"/>
      <c r="E83" s="26"/>
      <c r="F83" s="27"/>
      <c r="G83" s="28"/>
      <c r="H83" s="29"/>
      <c r="J83" s="7"/>
      <c r="K83" s="7"/>
      <c r="L83" s="7"/>
      <c r="M83" s="7"/>
      <c r="N83" s="7"/>
    </row>
    <row r="84" spans="2:14" ht="15.75" customHeight="1" x14ac:dyDescent="0.2">
      <c r="B84" s="25" t="s">
        <v>112</v>
      </c>
      <c r="C84" s="25"/>
      <c r="D84" s="25"/>
      <c r="E84" s="26"/>
      <c r="F84" s="27">
        <v>1273.93</v>
      </c>
      <c r="G84" s="28">
        <v>0.04</v>
      </c>
      <c r="H84" s="29"/>
      <c r="J84" s="7"/>
      <c r="K84" s="7"/>
      <c r="L84" s="7"/>
      <c r="M84" s="7"/>
      <c r="N84" s="7"/>
    </row>
    <row r="85" spans="2:14" ht="15.75" customHeight="1" x14ac:dyDescent="0.2">
      <c r="B85" s="24" t="s">
        <v>104</v>
      </c>
      <c r="C85" s="24"/>
      <c r="D85" s="24"/>
      <c r="E85" s="30"/>
      <c r="F85" s="31">
        <v>1273.93</v>
      </c>
      <c r="G85" s="32">
        <v>0.04</v>
      </c>
      <c r="H85" s="33"/>
    </row>
    <row r="86" spans="2:14" ht="15.75" customHeight="1" x14ac:dyDescent="0.2">
      <c r="B86" s="25"/>
      <c r="C86" s="25"/>
      <c r="D86" s="25"/>
      <c r="E86" s="26"/>
      <c r="F86" s="27"/>
      <c r="G86" s="28"/>
      <c r="H86" s="29"/>
      <c r="J86" s="3"/>
    </row>
    <row r="87" spans="2:14" ht="15.75" customHeight="1" x14ac:dyDescent="0.2">
      <c r="B87" s="36" t="s">
        <v>108</v>
      </c>
      <c r="C87" s="36"/>
      <c r="D87" s="36"/>
      <c r="E87" s="37"/>
      <c r="F87" s="31">
        <v>1273.93</v>
      </c>
      <c r="G87" s="32">
        <v>0.04</v>
      </c>
      <c r="H87" s="33"/>
    </row>
    <row r="88" spans="2:14" ht="15.75" customHeight="1" x14ac:dyDescent="0.2">
      <c r="B88" s="25" t="s">
        <v>113</v>
      </c>
      <c r="C88" s="25"/>
      <c r="D88" s="25"/>
      <c r="E88" s="26"/>
      <c r="F88" s="38">
        <v>-406.31</v>
      </c>
      <c r="G88" s="39">
        <v>-1.2699999999999934E-2</v>
      </c>
      <c r="H88" s="29"/>
    </row>
    <row r="89" spans="2:14" ht="15.75" customHeight="1" x14ac:dyDescent="0.2">
      <c r="B89" s="40" t="s">
        <v>114</v>
      </c>
      <c r="C89" s="40"/>
      <c r="D89" s="40"/>
      <c r="E89" s="41"/>
      <c r="F89" s="42">
        <v>31839.65</v>
      </c>
      <c r="G89" s="43">
        <v>1</v>
      </c>
      <c r="H89" s="44"/>
    </row>
    <row r="90" spans="2:14" ht="15.75" customHeight="1" x14ac:dyDescent="0.2">
      <c r="B90" s="2"/>
    </row>
    <row r="91" spans="2:14" ht="15.75" customHeight="1" x14ac:dyDescent="0.2">
      <c r="B91" s="12" t="s">
        <v>131</v>
      </c>
    </row>
    <row r="92" spans="2:14" ht="15.75" customHeight="1" thickBot="1" x14ac:dyDescent="0.25"/>
    <row r="93" spans="2:14" ht="27" customHeight="1" thickBot="1" x14ac:dyDescent="0.25">
      <c r="B93" s="56" t="s">
        <v>1009</v>
      </c>
      <c r="C93" s="57" t="s">
        <v>1010</v>
      </c>
      <c r="D93" s="57" t="s">
        <v>1011</v>
      </c>
      <c r="E93" s="62" t="s">
        <v>1012</v>
      </c>
      <c r="G93" s="2"/>
      <c r="H93" s="2"/>
    </row>
    <row r="94" spans="2:14" ht="29.25" customHeight="1" x14ac:dyDescent="0.2">
      <c r="B94" s="63" t="s">
        <v>1052</v>
      </c>
      <c r="C94" s="83"/>
      <c r="D94" s="86" t="s">
        <v>1053</v>
      </c>
      <c r="E94" s="88"/>
      <c r="G94" s="2"/>
      <c r="H94" s="2"/>
    </row>
    <row r="95" spans="2:14" ht="39.950000000000003" customHeight="1" x14ac:dyDescent="0.2">
      <c r="B95" s="65" t="s">
        <v>1040</v>
      </c>
      <c r="C95" s="84"/>
      <c r="D95" s="87"/>
      <c r="E95" s="84"/>
      <c r="G95" s="2"/>
      <c r="H95" s="2"/>
    </row>
    <row r="96" spans="2:14" ht="39.950000000000003" customHeight="1" x14ac:dyDescent="0.2">
      <c r="B96" s="65" t="s">
        <v>1054</v>
      </c>
      <c r="C96" s="84"/>
      <c r="D96" s="87"/>
      <c r="E96" s="84"/>
      <c r="G96" s="2"/>
      <c r="H96" s="2"/>
    </row>
    <row r="97" spans="2:8" ht="23.25" customHeight="1" thickBot="1" x14ac:dyDescent="0.25">
      <c r="B97" s="67" t="s">
        <v>1030</v>
      </c>
      <c r="C97" s="85"/>
      <c r="D97" s="70" t="s">
        <v>1030</v>
      </c>
      <c r="E97" s="89"/>
      <c r="G97" s="2"/>
      <c r="H97" s="2"/>
    </row>
    <row r="98" spans="2:8" ht="24.95" customHeight="1" x14ac:dyDescent="0.2">
      <c r="B98" s="58" t="s">
        <v>1014</v>
      </c>
      <c r="C98" s="59"/>
      <c r="D98" s="60"/>
      <c r="E98" s="61"/>
      <c r="G98" s="2"/>
      <c r="H98" s="2"/>
    </row>
    <row r="100" spans="2:8" ht="12" x14ac:dyDescent="0.2">
      <c r="B100" s="2" t="s">
        <v>1015</v>
      </c>
      <c r="C100" s="2"/>
      <c r="D100" s="2"/>
      <c r="G100" s="2"/>
      <c r="H100" s="2"/>
    </row>
    <row r="101" spans="2:8" ht="12" x14ac:dyDescent="0.2">
      <c r="B101" s="3" t="s">
        <v>1016</v>
      </c>
      <c r="C101" s="2"/>
      <c r="D101" s="2"/>
      <c r="G101" s="2"/>
      <c r="H101" s="2"/>
    </row>
  </sheetData>
  <mergeCells count="3">
    <mergeCell ref="C94:C97"/>
    <mergeCell ref="D94:D96"/>
    <mergeCell ref="E94:E97"/>
  </mergeCells>
  <hyperlinks>
    <hyperlink ref="G1" location="'Sheet1'!A1" display="Index" xr:uid="{8EBC16E0-031C-4880-BE63-2044925F4A3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B4709-1C0A-4820-AEE0-E16539F44448}">
  <dimension ref="B1:N86"/>
  <sheetViews>
    <sheetView workbookViewId="0"/>
  </sheetViews>
  <sheetFormatPr defaultColWidth="9.140625" defaultRowHeight="15.75" customHeight="1" x14ac:dyDescent="0.2"/>
  <cols>
    <col min="1" max="1" width="3.5703125" style="2" customWidth="1"/>
    <col min="2" max="2" width="50.42578125" style="9" customWidth="1"/>
    <col min="3" max="3" width="25.5703125" style="9" customWidth="1"/>
    <col min="4" max="4" width="26.5703125" style="9" customWidth="1"/>
    <col min="5" max="5" width="28.42578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1096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132</v>
      </c>
      <c r="C5" s="19"/>
      <c r="D5" s="19"/>
      <c r="E5" s="20"/>
      <c r="F5" s="21"/>
      <c r="G5" s="22"/>
      <c r="H5" s="23"/>
    </row>
    <row r="6" spans="2:8" ht="15.75" customHeight="1" x14ac:dyDescent="0.2">
      <c r="B6" s="24" t="s">
        <v>133</v>
      </c>
      <c r="C6" s="25"/>
      <c r="D6" s="25"/>
      <c r="E6" s="26"/>
      <c r="F6" s="27"/>
      <c r="G6" s="28"/>
      <c r="H6" s="29"/>
    </row>
    <row r="7" spans="2:8" ht="15.75" customHeight="1" x14ac:dyDescent="0.2">
      <c r="B7" s="25" t="s">
        <v>289</v>
      </c>
      <c r="C7" s="25" t="s">
        <v>290</v>
      </c>
      <c r="D7" s="25" t="s">
        <v>136</v>
      </c>
      <c r="E7" s="26">
        <v>64479</v>
      </c>
      <c r="F7" s="27">
        <v>1165.72</v>
      </c>
      <c r="G7" s="28">
        <v>7.6999999999999999E-2</v>
      </c>
      <c r="H7" s="29"/>
    </row>
    <row r="8" spans="2:8" ht="15.75" customHeight="1" x14ac:dyDescent="0.2">
      <c r="B8" s="25" t="s">
        <v>140</v>
      </c>
      <c r="C8" s="25" t="s">
        <v>141</v>
      </c>
      <c r="D8" s="25" t="s">
        <v>142</v>
      </c>
      <c r="E8" s="26">
        <v>42323</v>
      </c>
      <c r="F8" s="27">
        <v>1145.1099999999999</v>
      </c>
      <c r="G8" s="28">
        <v>7.5600000000000001E-2</v>
      </c>
      <c r="H8" s="29"/>
    </row>
    <row r="9" spans="2:8" ht="15.75" customHeight="1" x14ac:dyDescent="0.2">
      <c r="B9" s="25" t="s">
        <v>149</v>
      </c>
      <c r="C9" s="25" t="s">
        <v>150</v>
      </c>
      <c r="D9" s="25" t="s">
        <v>136</v>
      </c>
      <c r="E9" s="26">
        <v>68383</v>
      </c>
      <c r="F9" s="27">
        <v>1104.9000000000001</v>
      </c>
      <c r="G9" s="28">
        <v>7.2999999999999995E-2</v>
      </c>
      <c r="H9" s="29"/>
    </row>
    <row r="10" spans="2:8" ht="15.75" customHeight="1" x14ac:dyDescent="0.2">
      <c r="B10" s="25" t="s">
        <v>203</v>
      </c>
      <c r="C10" s="25" t="s">
        <v>204</v>
      </c>
      <c r="D10" s="25" t="s">
        <v>139</v>
      </c>
      <c r="E10" s="26">
        <v>55565</v>
      </c>
      <c r="F10" s="27">
        <v>863.7</v>
      </c>
      <c r="G10" s="28">
        <v>5.7000000000000002E-2</v>
      </c>
      <c r="H10" s="29"/>
    </row>
    <row r="11" spans="2:8" ht="15.75" customHeight="1" x14ac:dyDescent="0.2">
      <c r="B11" s="25" t="s">
        <v>420</v>
      </c>
      <c r="C11" s="25" t="s">
        <v>421</v>
      </c>
      <c r="D11" s="25" t="s">
        <v>202</v>
      </c>
      <c r="E11" s="26">
        <v>304462</v>
      </c>
      <c r="F11" s="27">
        <v>666.98</v>
      </c>
      <c r="G11" s="28">
        <v>4.3999999999999997E-2</v>
      </c>
      <c r="H11" s="29"/>
    </row>
    <row r="12" spans="2:8" ht="15.75" customHeight="1" x14ac:dyDescent="0.2">
      <c r="B12" s="25" t="s">
        <v>493</v>
      </c>
      <c r="C12" s="25" t="s">
        <v>494</v>
      </c>
      <c r="D12" s="25" t="s">
        <v>314</v>
      </c>
      <c r="E12" s="26">
        <v>247163</v>
      </c>
      <c r="F12" s="27">
        <v>651.91999999999996</v>
      </c>
      <c r="G12" s="28">
        <v>4.3099999999999999E-2</v>
      </c>
      <c r="H12" s="29"/>
    </row>
    <row r="13" spans="2:8" ht="15.75" customHeight="1" x14ac:dyDescent="0.2">
      <c r="B13" s="25" t="s">
        <v>479</v>
      </c>
      <c r="C13" s="25" t="s">
        <v>480</v>
      </c>
      <c r="D13" s="25" t="s">
        <v>212</v>
      </c>
      <c r="E13" s="26">
        <v>21949</v>
      </c>
      <c r="F13" s="27">
        <v>643.53</v>
      </c>
      <c r="G13" s="28">
        <v>4.2500000000000003E-2</v>
      </c>
      <c r="H13" s="29"/>
    </row>
    <row r="14" spans="2:8" ht="15.75" customHeight="1" x14ac:dyDescent="0.2">
      <c r="B14" s="25" t="s">
        <v>236</v>
      </c>
      <c r="C14" s="25" t="s">
        <v>237</v>
      </c>
      <c r="D14" s="25" t="s">
        <v>139</v>
      </c>
      <c r="E14" s="26">
        <v>13737</v>
      </c>
      <c r="F14" s="27">
        <v>602.41999999999996</v>
      </c>
      <c r="G14" s="28">
        <v>3.9800000000000002E-2</v>
      </c>
      <c r="H14" s="29"/>
    </row>
    <row r="15" spans="2:8" ht="15.75" customHeight="1" x14ac:dyDescent="0.2">
      <c r="B15" s="25" t="s">
        <v>328</v>
      </c>
      <c r="C15" s="25" t="s">
        <v>329</v>
      </c>
      <c r="D15" s="25" t="s">
        <v>172</v>
      </c>
      <c r="E15" s="26">
        <v>18423</v>
      </c>
      <c r="F15" s="27">
        <v>584.33000000000004</v>
      </c>
      <c r="G15" s="28">
        <v>3.8600000000000002E-2</v>
      </c>
      <c r="H15" s="29"/>
    </row>
    <row r="16" spans="2:8" ht="15.75" customHeight="1" x14ac:dyDescent="0.2">
      <c r="B16" s="25" t="s">
        <v>137</v>
      </c>
      <c r="C16" s="25" t="s">
        <v>138</v>
      </c>
      <c r="D16" s="25" t="s">
        <v>139</v>
      </c>
      <c r="E16" s="26">
        <v>29619</v>
      </c>
      <c r="F16" s="27">
        <v>553.36</v>
      </c>
      <c r="G16" s="28">
        <v>3.6499999999999998E-2</v>
      </c>
      <c r="H16" s="29"/>
    </row>
    <row r="17" spans="2:8" ht="15.75" customHeight="1" x14ac:dyDescent="0.2">
      <c r="B17" s="25" t="s">
        <v>544</v>
      </c>
      <c r="C17" s="25" t="s">
        <v>545</v>
      </c>
      <c r="D17" s="25" t="s">
        <v>230</v>
      </c>
      <c r="E17" s="26">
        <v>115976</v>
      </c>
      <c r="F17" s="27">
        <v>511.11</v>
      </c>
      <c r="G17" s="28">
        <v>3.3799999999999997E-2</v>
      </c>
      <c r="H17" s="29"/>
    </row>
    <row r="18" spans="2:8" ht="15.75" customHeight="1" x14ac:dyDescent="0.2">
      <c r="B18" s="25" t="s">
        <v>340</v>
      </c>
      <c r="C18" s="25" t="s">
        <v>341</v>
      </c>
      <c r="D18" s="25" t="s">
        <v>263</v>
      </c>
      <c r="E18" s="26">
        <v>10560</v>
      </c>
      <c r="F18" s="27">
        <v>472.26</v>
      </c>
      <c r="G18" s="28">
        <v>3.1199999999999999E-2</v>
      </c>
      <c r="H18" s="29"/>
    </row>
    <row r="19" spans="2:8" ht="15.75" customHeight="1" x14ac:dyDescent="0.2">
      <c r="B19" s="25" t="s">
        <v>221</v>
      </c>
      <c r="C19" s="25" t="s">
        <v>222</v>
      </c>
      <c r="D19" s="25" t="s">
        <v>212</v>
      </c>
      <c r="E19" s="26">
        <v>45162</v>
      </c>
      <c r="F19" s="27">
        <v>470.36</v>
      </c>
      <c r="G19" s="28">
        <v>3.1099999999999999E-2</v>
      </c>
      <c r="H19" s="29"/>
    </row>
    <row r="20" spans="2:8" ht="15.75" customHeight="1" x14ac:dyDescent="0.2">
      <c r="B20" s="25" t="s">
        <v>285</v>
      </c>
      <c r="C20" s="25" t="s">
        <v>286</v>
      </c>
      <c r="D20" s="25" t="s">
        <v>142</v>
      </c>
      <c r="E20" s="26">
        <v>91519</v>
      </c>
      <c r="F20" s="27">
        <v>453.34</v>
      </c>
      <c r="G20" s="28">
        <v>2.9899999999999999E-2</v>
      </c>
      <c r="H20" s="29"/>
    </row>
    <row r="21" spans="2:8" ht="15.75" customHeight="1" x14ac:dyDescent="0.2">
      <c r="B21" s="25" t="s">
        <v>305</v>
      </c>
      <c r="C21" s="25" t="s">
        <v>306</v>
      </c>
      <c r="D21" s="25" t="s">
        <v>145</v>
      </c>
      <c r="E21" s="26">
        <v>7979</v>
      </c>
      <c r="F21" s="27">
        <v>437.92</v>
      </c>
      <c r="G21" s="28">
        <v>2.8899999999999999E-2</v>
      </c>
      <c r="H21" s="29"/>
    </row>
    <row r="22" spans="2:8" ht="15.75" customHeight="1" x14ac:dyDescent="0.2">
      <c r="B22" s="25" t="s">
        <v>348</v>
      </c>
      <c r="C22" s="25" t="s">
        <v>349</v>
      </c>
      <c r="D22" s="25" t="s">
        <v>212</v>
      </c>
      <c r="E22" s="26">
        <v>32364</v>
      </c>
      <c r="F22" s="27">
        <v>429.68</v>
      </c>
      <c r="G22" s="28">
        <v>2.8400000000000002E-2</v>
      </c>
      <c r="H22" s="29"/>
    </row>
    <row r="23" spans="2:8" ht="15.75" customHeight="1" x14ac:dyDescent="0.2">
      <c r="B23" s="25" t="s">
        <v>406</v>
      </c>
      <c r="C23" s="25" t="s">
        <v>407</v>
      </c>
      <c r="D23" s="25" t="s">
        <v>339</v>
      </c>
      <c r="E23" s="26">
        <v>27236</v>
      </c>
      <c r="F23" s="27">
        <v>429.62</v>
      </c>
      <c r="G23" s="28">
        <v>2.8400000000000002E-2</v>
      </c>
      <c r="H23" s="29"/>
    </row>
    <row r="24" spans="2:8" ht="15.75" customHeight="1" x14ac:dyDescent="0.2">
      <c r="B24" s="25" t="s">
        <v>315</v>
      </c>
      <c r="C24" s="25" t="s">
        <v>316</v>
      </c>
      <c r="D24" s="25" t="s">
        <v>212</v>
      </c>
      <c r="E24" s="26">
        <v>133643</v>
      </c>
      <c r="F24" s="27">
        <v>405.27</v>
      </c>
      <c r="G24" s="28">
        <v>2.6800000000000001E-2</v>
      </c>
      <c r="H24" s="29"/>
    </row>
    <row r="25" spans="2:8" ht="15.75" customHeight="1" x14ac:dyDescent="0.2">
      <c r="B25" s="25" t="s">
        <v>555</v>
      </c>
      <c r="C25" s="25" t="s">
        <v>556</v>
      </c>
      <c r="D25" s="25" t="s">
        <v>254</v>
      </c>
      <c r="E25" s="26">
        <v>67637</v>
      </c>
      <c r="F25" s="27">
        <v>383.87</v>
      </c>
      <c r="G25" s="28">
        <v>2.53E-2</v>
      </c>
      <c r="H25" s="29"/>
    </row>
    <row r="26" spans="2:8" ht="15.75" customHeight="1" x14ac:dyDescent="0.2">
      <c r="B26" s="25" t="s">
        <v>366</v>
      </c>
      <c r="C26" s="25" t="s">
        <v>367</v>
      </c>
      <c r="D26" s="25" t="s">
        <v>233</v>
      </c>
      <c r="E26" s="26">
        <v>6954</v>
      </c>
      <c r="F26" s="27">
        <v>330.78</v>
      </c>
      <c r="G26" s="28">
        <v>2.18E-2</v>
      </c>
      <c r="H26" s="29"/>
    </row>
    <row r="27" spans="2:8" ht="15.75" customHeight="1" x14ac:dyDescent="0.2">
      <c r="B27" s="25" t="s">
        <v>324</v>
      </c>
      <c r="C27" s="25" t="s">
        <v>325</v>
      </c>
      <c r="D27" s="25" t="s">
        <v>136</v>
      </c>
      <c r="E27" s="26">
        <v>22241</v>
      </c>
      <c r="F27" s="27">
        <v>317.56</v>
      </c>
      <c r="G27" s="28">
        <v>2.1000000000000001E-2</v>
      </c>
      <c r="H27" s="29"/>
    </row>
    <row r="28" spans="2:8" ht="15.75" customHeight="1" x14ac:dyDescent="0.2">
      <c r="B28" s="25" t="s">
        <v>234</v>
      </c>
      <c r="C28" s="25" t="s">
        <v>235</v>
      </c>
      <c r="D28" s="25" t="s">
        <v>145</v>
      </c>
      <c r="E28" s="26">
        <v>2248</v>
      </c>
      <c r="F28" s="27">
        <v>294.83999999999997</v>
      </c>
      <c r="G28" s="28">
        <v>1.95E-2</v>
      </c>
      <c r="H28" s="29"/>
    </row>
    <row r="29" spans="2:8" ht="15.75" customHeight="1" x14ac:dyDescent="0.2">
      <c r="B29" s="25" t="s">
        <v>590</v>
      </c>
      <c r="C29" s="25" t="s">
        <v>591</v>
      </c>
      <c r="D29" s="25" t="s">
        <v>172</v>
      </c>
      <c r="E29" s="26">
        <v>4230</v>
      </c>
      <c r="F29" s="27">
        <v>285.55</v>
      </c>
      <c r="G29" s="28">
        <v>1.89E-2</v>
      </c>
      <c r="H29" s="29"/>
    </row>
    <row r="30" spans="2:8" ht="15.75" customHeight="1" x14ac:dyDescent="0.2">
      <c r="B30" s="25" t="s">
        <v>513</v>
      </c>
      <c r="C30" s="25" t="s">
        <v>514</v>
      </c>
      <c r="D30" s="25" t="s">
        <v>187</v>
      </c>
      <c r="E30" s="26">
        <v>62724</v>
      </c>
      <c r="F30" s="27">
        <v>280.75</v>
      </c>
      <c r="G30" s="28">
        <v>1.8499999999999999E-2</v>
      </c>
      <c r="H30" s="29"/>
    </row>
    <row r="31" spans="2:8" ht="15.75" customHeight="1" x14ac:dyDescent="0.2">
      <c r="B31" s="25" t="s">
        <v>146</v>
      </c>
      <c r="C31" s="25" t="s">
        <v>147</v>
      </c>
      <c r="D31" s="25" t="s">
        <v>148</v>
      </c>
      <c r="E31" s="26">
        <v>10538</v>
      </c>
      <c r="F31" s="27">
        <v>258.85000000000002</v>
      </c>
      <c r="G31" s="28">
        <v>1.7100000000000001E-2</v>
      </c>
      <c r="H31" s="29"/>
    </row>
    <row r="32" spans="2:8" ht="15.75" customHeight="1" x14ac:dyDescent="0.2">
      <c r="B32" s="25" t="s">
        <v>685</v>
      </c>
      <c r="C32" s="25" t="s">
        <v>686</v>
      </c>
      <c r="D32" s="25" t="s">
        <v>207</v>
      </c>
      <c r="E32" s="26">
        <v>45281</v>
      </c>
      <c r="F32" s="27">
        <v>209.2</v>
      </c>
      <c r="G32" s="28">
        <v>1.38E-2</v>
      </c>
      <c r="H32" s="29"/>
    </row>
    <row r="33" spans="2:8" ht="15.75" customHeight="1" x14ac:dyDescent="0.2">
      <c r="B33" s="25" t="s">
        <v>334</v>
      </c>
      <c r="C33" s="25" t="s">
        <v>335</v>
      </c>
      <c r="D33" s="25" t="s">
        <v>336</v>
      </c>
      <c r="E33" s="26">
        <v>11628</v>
      </c>
      <c r="F33" s="27">
        <v>203.91</v>
      </c>
      <c r="G33" s="28">
        <v>1.35E-2</v>
      </c>
      <c r="H33" s="29"/>
    </row>
    <row r="34" spans="2:8" ht="15.75" customHeight="1" x14ac:dyDescent="0.2">
      <c r="B34" s="25" t="s">
        <v>287</v>
      </c>
      <c r="C34" s="25" t="s">
        <v>288</v>
      </c>
      <c r="D34" s="25" t="s">
        <v>136</v>
      </c>
      <c r="E34" s="26">
        <v>19273</v>
      </c>
      <c r="F34" s="27">
        <v>168.14</v>
      </c>
      <c r="G34" s="28">
        <v>1.11E-2</v>
      </c>
      <c r="H34" s="29"/>
    </row>
    <row r="35" spans="2:8" ht="15.75" customHeight="1" x14ac:dyDescent="0.2">
      <c r="B35" s="25" t="s">
        <v>756</v>
      </c>
      <c r="C35" s="25" t="s">
        <v>757</v>
      </c>
      <c r="D35" s="25" t="s">
        <v>297</v>
      </c>
      <c r="E35" s="26">
        <v>18966</v>
      </c>
      <c r="F35" s="27">
        <v>117.3</v>
      </c>
      <c r="G35" s="28">
        <v>7.7000000000000002E-3</v>
      </c>
      <c r="H35" s="29"/>
    </row>
    <row r="36" spans="2:8" ht="15.75" customHeight="1" x14ac:dyDescent="0.2">
      <c r="B36" s="24" t="s">
        <v>104</v>
      </c>
      <c r="C36" s="24"/>
      <c r="D36" s="24"/>
      <c r="E36" s="30"/>
      <c r="F36" s="31">
        <v>14442.28</v>
      </c>
      <c r="G36" s="32">
        <v>0.95369999999999999</v>
      </c>
      <c r="H36" s="33"/>
    </row>
    <row r="37" spans="2:8" ht="15.75" customHeight="1" x14ac:dyDescent="0.2">
      <c r="B37" s="24" t="s">
        <v>156</v>
      </c>
      <c r="C37" s="25"/>
      <c r="D37" s="25"/>
      <c r="E37" s="26"/>
      <c r="F37" s="27"/>
      <c r="G37" s="28"/>
      <c r="H37" s="29"/>
    </row>
    <row r="38" spans="2:8" ht="15.75" customHeight="1" x14ac:dyDescent="0.2">
      <c r="B38" s="24" t="s">
        <v>104</v>
      </c>
      <c r="C38" s="25"/>
      <c r="D38" s="25"/>
      <c r="E38" s="26"/>
      <c r="F38" s="34" t="s">
        <v>106</v>
      </c>
      <c r="G38" s="35" t="s">
        <v>106</v>
      </c>
      <c r="H38" s="29"/>
    </row>
    <row r="39" spans="2:8" ht="15.75" customHeight="1" x14ac:dyDescent="0.2">
      <c r="B39" s="25"/>
      <c r="C39" s="25"/>
      <c r="D39" s="25"/>
      <c r="E39" s="26"/>
      <c r="F39" s="27"/>
      <c r="G39" s="28"/>
      <c r="H39" s="29"/>
    </row>
    <row r="40" spans="2:8" ht="15.75" customHeight="1" x14ac:dyDescent="0.2">
      <c r="B40" s="36" t="s">
        <v>108</v>
      </c>
      <c r="C40" s="36"/>
      <c r="D40" s="36"/>
      <c r="E40" s="37"/>
      <c r="F40" s="31">
        <v>14442.28</v>
      </c>
      <c r="G40" s="32">
        <v>0.95369999999999999</v>
      </c>
      <c r="H40" s="33"/>
    </row>
    <row r="41" spans="2:8" ht="15.75" customHeight="1" x14ac:dyDescent="0.2">
      <c r="B41" s="25"/>
      <c r="C41" s="25"/>
      <c r="D41" s="25"/>
      <c r="E41" s="26"/>
      <c r="F41" s="27"/>
      <c r="G41" s="28"/>
      <c r="H41" s="29"/>
    </row>
    <row r="42" spans="2:8" ht="15.75" customHeight="1" x14ac:dyDescent="0.2">
      <c r="B42" s="25"/>
      <c r="C42" s="25"/>
      <c r="D42" s="25"/>
      <c r="E42" s="26"/>
      <c r="F42" s="27"/>
      <c r="G42" s="28"/>
      <c r="H42" s="29"/>
    </row>
    <row r="43" spans="2:8" ht="15.75" customHeight="1" x14ac:dyDescent="0.2">
      <c r="B43" s="24" t="s">
        <v>111</v>
      </c>
      <c r="C43" s="25"/>
      <c r="D43" s="25"/>
      <c r="E43" s="26"/>
      <c r="F43" s="27"/>
      <c r="G43" s="28"/>
      <c r="H43" s="29"/>
    </row>
    <row r="44" spans="2:8" ht="15.75" customHeight="1" x14ac:dyDescent="0.2">
      <c r="B44" s="25" t="s">
        <v>112</v>
      </c>
      <c r="C44" s="25"/>
      <c r="D44" s="25"/>
      <c r="E44" s="26"/>
      <c r="F44" s="27">
        <v>516.99</v>
      </c>
      <c r="G44" s="28">
        <v>3.4099999999999998E-2</v>
      </c>
      <c r="H44" s="29"/>
    </row>
    <row r="45" spans="2:8" ht="15.75" customHeight="1" x14ac:dyDescent="0.2">
      <c r="B45" s="24" t="s">
        <v>104</v>
      </c>
      <c r="C45" s="24"/>
      <c r="D45" s="24"/>
      <c r="E45" s="30"/>
      <c r="F45" s="31">
        <v>516.99</v>
      </c>
      <c r="G45" s="32">
        <v>3.4099999999999998E-2</v>
      </c>
      <c r="H45" s="33"/>
    </row>
    <row r="46" spans="2:8" ht="15.75" customHeight="1" x14ac:dyDescent="0.2">
      <c r="B46" s="25"/>
      <c r="C46" s="25"/>
      <c r="D46" s="25"/>
      <c r="E46" s="26"/>
      <c r="F46" s="27"/>
      <c r="G46" s="28"/>
      <c r="H46" s="29"/>
    </row>
    <row r="47" spans="2:8" ht="15.75" customHeight="1" x14ac:dyDescent="0.2">
      <c r="B47" s="36" t="s">
        <v>108</v>
      </c>
      <c r="C47" s="36"/>
      <c r="D47" s="36"/>
      <c r="E47" s="37"/>
      <c r="F47" s="31">
        <v>516.99</v>
      </c>
      <c r="G47" s="32">
        <v>3.4099999999999998E-2</v>
      </c>
      <c r="H47" s="33"/>
    </row>
    <row r="48" spans="2:8" ht="15.75" customHeight="1" x14ac:dyDescent="0.2">
      <c r="B48" s="25" t="s">
        <v>113</v>
      </c>
      <c r="C48" s="25"/>
      <c r="D48" s="25"/>
      <c r="E48" s="26"/>
      <c r="F48" s="27">
        <v>183.84</v>
      </c>
      <c r="G48" s="28">
        <v>1.2199999999999989E-2</v>
      </c>
      <c r="H48" s="29"/>
    </row>
    <row r="49" spans="2:8" ht="15.75" customHeight="1" x14ac:dyDescent="0.2">
      <c r="B49" s="40" t="s">
        <v>114</v>
      </c>
      <c r="C49" s="40"/>
      <c r="D49" s="40"/>
      <c r="E49" s="41"/>
      <c r="F49" s="42">
        <v>15143.11</v>
      </c>
      <c r="G49" s="43">
        <v>1</v>
      </c>
      <c r="H49" s="44"/>
    </row>
    <row r="50" spans="2:8" ht="15.75" customHeight="1" thickBot="1" x14ac:dyDescent="0.25">
      <c r="B50" s="2"/>
    </row>
    <row r="51" spans="2:8" ht="27" customHeight="1" thickBot="1" x14ac:dyDescent="0.25">
      <c r="B51" s="56" t="s">
        <v>1009</v>
      </c>
      <c r="C51" s="57" t="s">
        <v>1010</v>
      </c>
      <c r="D51" s="57" t="s">
        <v>1011</v>
      </c>
      <c r="E51" s="62" t="s">
        <v>1012</v>
      </c>
      <c r="G51" s="2"/>
      <c r="H51" s="2"/>
    </row>
    <row r="52" spans="2:8" ht="29.25" customHeight="1" x14ac:dyDescent="0.2">
      <c r="B52" s="63" t="s">
        <v>1055</v>
      </c>
      <c r="C52" s="83"/>
      <c r="D52" s="86" t="s">
        <v>1056</v>
      </c>
      <c r="E52" s="88"/>
      <c r="G52" s="2"/>
      <c r="H52" s="2"/>
    </row>
    <row r="53" spans="2:8" ht="39.950000000000003" customHeight="1" x14ac:dyDescent="0.2">
      <c r="B53" s="65" t="s">
        <v>1040</v>
      </c>
      <c r="C53" s="84"/>
      <c r="D53" s="87"/>
      <c r="E53" s="84"/>
      <c r="G53" s="2"/>
      <c r="H53" s="2"/>
    </row>
    <row r="54" spans="2:8" ht="39.950000000000003" customHeight="1" x14ac:dyDescent="0.2">
      <c r="B54" s="65" t="s">
        <v>1057</v>
      </c>
      <c r="C54" s="84"/>
      <c r="D54" s="87"/>
      <c r="E54" s="84"/>
      <c r="G54" s="2"/>
      <c r="H54" s="2"/>
    </row>
    <row r="55" spans="2:8" ht="23.25" customHeight="1" thickBot="1" x14ac:dyDescent="0.25">
      <c r="B55" s="67" t="s">
        <v>1030</v>
      </c>
      <c r="C55" s="85"/>
      <c r="D55" s="70" t="s">
        <v>1030</v>
      </c>
      <c r="E55" s="89"/>
      <c r="G55" s="2"/>
      <c r="H55" s="2"/>
    </row>
    <row r="56" spans="2:8" ht="24.95" customHeight="1" x14ac:dyDescent="0.2">
      <c r="B56" s="58" t="s">
        <v>1014</v>
      </c>
      <c r="C56" s="59"/>
      <c r="D56" s="60"/>
      <c r="E56" s="61"/>
      <c r="G56" s="2"/>
      <c r="H56" s="2"/>
    </row>
    <row r="58" spans="2:8" ht="12" x14ac:dyDescent="0.2">
      <c r="B58" s="2" t="s">
        <v>1015</v>
      </c>
      <c r="C58" s="2"/>
      <c r="D58" s="2"/>
      <c r="G58" s="2"/>
      <c r="H58" s="2"/>
    </row>
    <row r="59" spans="2:8" ht="12" x14ac:dyDescent="0.2">
      <c r="B59" s="3" t="s">
        <v>1016</v>
      </c>
      <c r="C59" s="2"/>
      <c r="D59" s="2"/>
      <c r="G59" s="2"/>
      <c r="H59" s="2"/>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2:C55"/>
    <mergeCell ref="D52:D54"/>
    <mergeCell ref="E52:E55"/>
  </mergeCells>
  <hyperlinks>
    <hyperlink ref="G1" location="'Sheet1'!A1" display="Index" xr:uid="{5DCAD0E1-BA96-4D46-8651-91EC327C366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5E0A-3EAE-45F9-A620-3D95AAA8DA13}">
  <dimension ref="B1:N86"/>
  <sheetViews>
    <sheetView workbookViewId="0"/>
  </sheetViews>
  <sheetFormatPr defaultColWidth="9.140625" defaultRowHeight="15.75" customHeight="1" x14ac:dyDescent="0.2"/>
  <cols>
    <col min="1" max="1" width="3.5703125" style="2" customWidth="1"/>
    <col min="2" max="2" width="50.42578125" style="9" customWidth="1"/>
    <col min="3" max="3" width="26.85546875" style="9" customWidth="1"/>
    <col min="4" max="4" width="26.5703125" style="9" customWidth="1"/>
    <col min="5" max="5" width="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19"/>
      <c r="C5" s="19"/>
      <c r="D5" s="19"/>
      <c r="E5" s="20"/>
      <c r="F5" s="21"/>
      <c r="G5" s="22"/>
      <c r="H5" s="23"/>
    </row>
    <row r="6" spans="2:8" ht="15.75" customHeight="1" x14ac:dyDescent="0.2">
      <c r="B6" s="25"/>
      <c r="C6" s="25"/>
      <c r="D6" s="25"/>
      <c r="E6" s="26"/>
      <c r="F6" s="27"/>
      <c r="G6" s="28"/>
      <c r="H6" s="29"/>
    </row>
    <row r="7" spans="2:8" ht="15.75" customHeight="1" x14ac:dyDescent="0.2">
      <c r="B7" s="24" t="s">
        <v>109</v>
      </c>
      <c r="C7" s="25"/>
      <c r="D7" s="25"/>
      <c r="E7" s="26"/>
      <c r="F7" s="27"/>
      <c r="G7" s="28"/>
      <c r="H7" s="29"/>
    </row>
    <row r="8" spans="2:8" ht="15.75" customHeight="1" x14ac:dyDescent="0.2">
      <c r="B8" s="24" t="s">
        <v>110</v>
      </c>
      <c r="C8" s="25"/>
      <c r="D8" s="25"/>
      <c r="E8" s="26"/>
      <c r="F8" s="27"/>
      <c r="G8" s="28"/>
      <c r="H8" s="29"/>
    </row>
    <row r="9" spans="2:8" ht="15.75" customHeight="1" x14ac:dyDescent="0.2">
      <c r="B9" s="25" t="s">
        <v>758</v>
      </c>
      <c r="C9" s="25" t="s">
        <v>759</v>
      </c>
      <c r="D9" s="25"/>
      <c r="E9" s="26">
        <v>83777</v>
      </c>
      <c r="F9" s="27">
        <v>5372.07</v>
      </c>
      <c r="G9" s="28">
        <v>0.98750000000000004</v>
      </c>
      <c r="H9" s="29"/>
    </row>
    <row r="10" spans="2:8" ht="15.75" customHeight="1" x14ac:dyDescent="0.2">
      <c r="B10" s="24" t="s">
        <v>104</v>
      </c>
      <c r="C10" s="24"/>
      <c r="D10" s="24"/>
      <c r="E10" s="30"/>
      <c r="F10" s="31">
        <v>5372.07</v>
      </c>
      <c r="G10" s="32">
        <v>98.745400000000004</v>
      </c>
      <c r="H10" s="33"/>
    </row>
    <row r="11" spans="2:8" ht="15.75" customHeight="1" x14ac:dyDescent="0.2">
      <c r="B11" s="25"/>
      <c r="C11" s="25"/>
      <c r="D11" s="25"/>
      <c r="E11" s="26"/>
      <c r="F11" s="27"/>
      <c r="G11" s="28"/>
      <c r="H11" s="29"/>
    </row>
    <row r="12" spans="2:8" ht="15.75" customHeight="1" x14ac:dyDescent="0.2">
      <c r="B12" s="36" t="s">
        <v>108</v>
      </c>
      <c r="C12" s="36"/>
      <c r="D12" s="36"/>
      <c r="E12" s="37"/>
      <c r="F12" s="31">
        <v>5372.07</v>
      </c>
      <c r="G12" s="32">
        <v>0.98750000000000004</v>
      </c>
      <c r="H12" s="33"/>
    </row>
    <row r="13" spans="2:8" ht="15.75" customHeight="1" x14ac:dyDescent="0.2">
      <c r="B13" s="25"/>
      <c r="C13" s="25"/>
      <c r="D13" s="25"/>
      <c r="E13" s="26"/>
      <c r="F13" s="27"/>
      <c r="G13" s="28"/>
      <c r="H13" s="29"/>
    </row>
    <row r="14" spans="2:8" ht="15.75" customHeight="1" x14ac:dyDescent="0.2">
      <c r="B14" s="24" t="s">
        <v>111</v>
      </c>
      <c r="C14" s="25"/>
      <c r="D14" s="25"/>
      <c r="E14" s="26"/>
      <c r="F14" s="27"/>
      <c r="G14" s="28"/>
      <c r="H14" s="29"/>
    </row>
    <row r="15" spans="2:8" ht="15.75" customHeight="1" x14ac:dyDescent="0.2">
      <c r="B15" s="25" t="s">
        <v>112</v>
      </c>
      <c r="C15" s="25"/>
      <c r="D15" s="25"/>
      <c r="E15" s="26"/>
      <c r="F15" s="27">
        <v>77.459999999999994</v>
      </c>
      <c r="G15" s="28">
        <v>1.4200000000000001E-2</v>
      </c>
      <c r="H15" s="29"/>
    </row>
    <row r="16" spans="2:8" ht="15.75" customHeight="1" x14ac:dyDescent="0.2">
      <c r="B16" s="24" t="s">
        <v>104</v>
      </c>
      <c r="C16" s="24"/>
      <c r="D16" s="24"/>
      <c r="E16" s="30"/>
      <c r="F16" s="31">
        <v>77.459999999999994</v>
      </c>
      <c r="G16" s="32">
        <v>1.4200000000000001E-2</v>
      </c>
      <c r="H16" s="33"/>
    </row>
    <row r="17" spans="2:8" ht="15.75" customHeight="1" x14ac:dyDescent="0.2">
      <c r="B17" s="25"/>
      <c r="C17" s="25"/>
      <c r="D17" s="25"/>
      <c r="E17" s="26"/>
      <c r="F17" s="27"/>
      <c r="G17" s="28"/>
      <c r="H17" s="29"/>
    </row>
    <row r="18" spans="2:8" ht="15.75" customHeight="1" x14ac:dyDescent="0.2">
      <c r="B18" s="36" t="s">
        <v>108</v>
      </c>
      <c r="C18" s="36"/>
      <c r="D18" s="36"/>
      <c r="E18" s="37"/>
      <c r="F18" s="31">
        <v>77.459999999999994</v>
      </c>
      <c r="G18" s="32">
        <v>1.4200000000000001E-2</v>
      </c>
      <c r="H18" s="33"/>
    </row>
    <row r="19" spans="2:8" ht="15.75" customHeight="1" x14ac:dyDescent="0.2">
      <c r="B19" s="25" t="s">
        <v>113</v>
      </c>
      <c r="C19" s="25"/>
      <c r="D19" s="25"/>
      <c r="E19" s="26"/>
      <c r="F19" s="38">
        <v>-9.1999999999999993</v>
      </c>
      <c r="G19" s="39">
        <v>-1.7000000000000348E-3</v>
      </c>
      <c r="H19" s="29"/>
    </row>
    <row r="20" spans="2:8" ht="15.75" customHeight="1" x14ac:dyDescent="0.2">
      <c r="B20" s="40" t="s">
        <v>114</v>
      </c>
      <c r="C20" s="40"/>
      <c r="D20" s="40"/>
      <c r="E20" s="41"/>
      <c r="F20" s="42">
        <v>5440.33</v>
      </c>
      <c r="G20" s="43">
        <v>1</v>
      </c>
      <c r="H20" s="44"/>
    </row>
    <row r="21" spans="2:8" ht="15.75" customHeight="1" thickBot="1" x14ac:dyDescent="0.25">
      <c r="B21" s="2"/>
    </row>
    <row r="22" spans="2:8" ht="27" customHeight="1" thickBot="1" x14ac:dyDescent="0.25">
      <c r="B22" s="56" t="s">
        <v>1009</v>
      </c>
      <c r="C22" s="57" t="s">
        <v>1010</v>
      </c>
      <c r="D22" s="57" t="s">
        <v>1011</v>
      </c>
      <c r="E22" s="62" t="s">
        <v>1012</v>
      </c>
      <c r="G22" s="2"/>
      <c r="H22" s="2"/>
    </row>
    <row r="23" spans="2:8" ht="29.25" customHeight="1" x14ac:dyDescent="0.2">
      <c r="B23" s="63" t="s">
        <v>56</v>
      </c>
      <c r="C23" s="83"/>
      <c r="D23" s="86" t="s">
        <v>1058</v>
      </c>
      <c r="E23" s="88"/>
      <c r="G23" s="2"/>
      <c r="H23" s="2"/>
    </row>
    <row r="24" spans="2:8" ht="39.950000000000003" customHeight="1" x14ac:dyDescent="0.2">
      <c r="B24" s="65" t="s">
        <v>1059</v>
      </c>
      <c r="C24" s="84"/>
      <c r="D24" s="87"/>
      <c r="E24" s="84"/>
      <c r="G24" s="2"/>
      <c r="H24" s="2"/>
    </row>
    <row r="25" spans="2:8" ht="39.950000000000003" customHeight="1" x14ac:dyDescent="0.2">
      <c r="B25" s="65" t="s">
        <v>1060</v>
      </c>
      <c r="C25" s="84"/>
      <c r="D25" s="87"/>
      <c r="E25" s="84"/>
      <c r="G25" s="2"/>
      <c r="H25" s="2"/>
    </row>
    <row r="26" spans="2:8" ht="23.25" customHeight="1" thickBot="1" x14ac:dyDescent="0.25">
      <c r="B26" s="67" t="s">
        <v>1026</v>
      </c>
      <c r="C26" s="85"/>
      <c r="D26" s="70" t="s">
        <v>1026</v>
      </c>
      <c r="E26" s="89"/>
      <c r="G26" s="2"/>
      <c r="H26" s="2"/>
    </row>
    <row r="27" spans="2:8" ht="24.95" customHeight="1" x14ac:dyDescent="0.2">
      <c r="B27" s="58" t="s">
        <v>1014</v>
      </c>
      <c r="C27" s="59"/>
      <c r="D27" s="60"/>
      <c r="E27" s="61"/>
      <c r="G27" s="2"/>
      <c r="H27" s="2"/>
    </row>
    <row r="29" spans="2:8" ht="12" x14ac:dyDescent="0.2">
      <c r="B29" s="2" t="s">
        <v>1015</v>
      </c>
      <c r="C29" s="2"/>
      <c r="D29" s="2"/>
      <c r="G29" s="2"/>
      <c r="H29" s="2"/>
    </row>
    <row r="30" spans="2:8" ht="12" x14ac:dyDescent="0.2">
      <c r="B30" s="3" t="s">
        <v>1016</v>
      </c>
      <c r="C30" s="2"/>
      <c r="D30" s="2"/>
      <c r="G30" s="2"/>
      <c r="H30" s="2"/>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23:C26"/>
    <mergeCell ref="D23:D25"/>
    <mergeCell ref="E23:E26"/>
  </mergeCells>
  <hyperlinks>
    <hyperlink ref="G1" location="'Sheet1'!A1" display="Index" xr:uid="{97106553-7E5A-4E55-B0A5-C9F50303552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99506-FBEE-41D4-BFD7-274A49649064}">
  <dimension ref="B1:N94"/>
  <sheetViews>
    <sheetView workbookViewId="0"/>
  </sheetViews>
  <sheetFormatPr defaultColWidth="9.140625" defaultRowHeight="15.75" customHeight="1" x14ac:dyDescent="0.2"/>
  <cols>
    <col min="1" max="1" width="3.5703125" style="2" customWidth="1"/>
    <col min="2" max="2" width="50.42578125" style="9" customWidth="1"/>
    <col min="3" max="3" width="26.42578125" style="9" customWidth="1"/>
    <col min="4" max="4" width="26.5703125" style="9" customWidth="1"/>
    <col min="5" max="5" width="32"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132</v>
      </c>
      <c r="C5" s="19"/>
      <c r="D5" s="19"/>
      <c r="E5" s="20"/>
      <c r="F5" s="21"/>
      <c r="G5" s="22"/>
      <c r="H5" s="23"/>
    </row>
    <row r="6" spans="2:8" ht="15.75" customHeight="1" x14ac:dyDescent="0.2">
      <c r="B6" s="24" t="s">
        <v>133</v>
      </c>
      <c r="C6" s="25"/>
      <c r="D6" s="25"/>
      <c r="E6" s="26"/>
      <c r="F6" s="27"/>
      <c r="G6" s="28"/>
      <c r="H6" s="29"/>
    </row>
    <row r="7" spans="2:8" ht="15.75" customHeight="1" x14ac:dyDescent="0.2">
      <c r="B7" s="25" t="s">
        <v>149</v>
      </c>
      <c r="C7" s="25" t="s">
        <v>150</v>
      </c>
      <c r="D7" s="25" t="s">
        <v>136</v>
      </c>
      <c r="E7" s="26">
        <v>774483</v>
      </c>
      <c r="F7" s="27">
        <v>12513.71</v>
      </c>
      <c r="G7" s="28">
        <v>7.9399999999999998E-2</v>
      </c>
      <c r="H7" s="29"/>
    </row>
    <row r="8" spans="2:8" ht="15.75" customHeight="1" x14ac:dyDescent="0.2">
      <c r="B8" s="25" t="s">
        <v>153</v>
      </c>
      <c r="C8" s="25" t="s">
        <v>154</v>
      </c>
      <c r="D8" s="25" t="s">
        <v>155</v>
      </c>
      <c r="E8" s="26">
        <v>326246</v>
      </c>
      <c r="F8" s="27">
        <v>9822.7800000000007</v>
      </c>
      <c r="G8" s="28">
        <v>6.2300000000000001E-2</v>
      </c>
      <c r="H8" s="29"/>
    </row>
    <row r="9" spans="2:8" ht="15.75" customHeight="1" x14ac:dyDescent="0.2">
      <c r="B9" s="25" t="s">
        <v>137</v>
      </c>
      <c r="C9" s="25" t="s">
        <v>138</v>
      </c>
      <c r="D9" s="25" t="s">
        <v>139</v>
      </c>
      <c r="E9" s="26">
        <v>450221</v>
      </c>
      <c r="F9" s="27">
        <v>8411.25</v>
      </c>
      <c r="G9" s="28">
        <v>5.3400000000000003E-2</v>
      </c>
      <c r="H9" s="29"/>
    </row>
    <row r="10" spans="2:8" ht="15.75" customHeight="1" x14ac:dyDescent="0.2">
      <c r="B10" s="25" t="s">
        <v>350</v>
      </c>
      <c r="C10" s="25" t="s">
        <v>351</v>
      </c>
      <c r="D10" s="25" t="s">
        <v>352</v>
      </c>
      <c r="E10" s="26">
        <v>209543</v>
      </c>
      <c r="F10" s="27">
        <v>7994.07</v>
      </c>
      <c r="G10" s="28">
        <v>5.0700000000000002E-2</v>
      </c>
      <c r="H10" s="29"/>
    </row>
    <row r="11" spans="2:8" ht="15.75" customHeight="1" x14ac:dyDescent="0.2">
      <c r="B11" s="25" t="s">
        <v>287</v>
      </c>
      <c r="C11" s="25" t="s">
        <v>288</v>
      </c>
      <c r="D11" s="25" t="s">
        <v>136</v>
      </c>
      <c r="E11" s="26">
        <v>666310</v>
      </c>
      <c r="F11" s="27">
        <v>5812.89</v>
      </c>
      <c r="G11" s="28">
        <v>3.6900000000000002E-2</v>
      </c>
      <c r="H11" s="29"/>
    </row>
    <row r="12" spans="2:8" ht="15.75" customHeight="1" x14ac:dyDescent="0.2">
      <c r="B12" s="25" t="s">
        <v>134</v>
      </c>
      <c r="C12" s="25" t="s">
        <v>135</v>
      </c>
      <c r="D12" s="25" t="s">
        <v>136</v>
      </c>
      <c r="E12" s="26">
        <v>464390</v>
      </c>
      <c r="F12" s="27">
        <v>5641.87</v>
      </c>
      <c r="G12" s="28">
        <v>3.5799999999999998E-2</v>
      </c>
      <c r="H12" s="29"/>
    </row>
    <row r="13" spans="2:8" ht="15.75" customHeight="1" x14ac:dyDescent="0.2">
      <c r="B13" s="25" t="s">
        <v>285</v>
      </c>
      <c r="C13" s="25" t="s">
        <v>286</v>
      </c>
      <c r="D13" s="25" t="s">
        <v>142</v>
      </c>
      <c r="E13" s="26">
        <v>1032489</v>
      </c>
      <c r="F13" s="27">
        <v>5114.43</v>
      </c>
      <c r="G13" s="28">
        <v>3.2500000000000001E-2</v>
      </c>
      <c r="H13" s="29"/>
    </row>
    <row r="14" spans="2:8" ht="15.75" customHeight="1" x14ac:dyDescent="0.2">
      <c r="B14" s="25" t="s">
        <v>234</v>
      </c>
      <c r="C14" s="25" t="s">
        <v>235</v>
      </c>
      <c r="D14" s="25" t="s">
        <v>145</v>
      </c>
      <c r="E14" s="26">
        <v>38920</v>
      </c>
      <c r="F14" s="27">
        <v>5104.67</v>
      </c>
      <c r="G14" s="28">
        <v>3.2399999999999998E-2</v>
      </c>
      <c r="H14" s="29"/>
    </row>
    <row r="15" spans="2:8" ht="15.75" customHeight="1" x14ac:dyDescent="0.2">
      <c r="B15" s="25" t="s">
        <v>215</v>
      </c>
      <c r="C15" s="25" t="s">
        <v>216</v>
      </c>
      <c r="D15" s="25" t="s">
        <v>217</v>
      </c>
      <c r="E15" s="26">
        <v>322865</v>
      </c>
      <c r="F15" s="27">
        <v>4815.6899999999996</v>
      </c>
      <c r="G15" s="28">
        <v>3.0599999999999999E-2</v>
      </c>
      <c r="H15" s="29"/>
    </row>
    <row r="16" spans="2:8" ht="15.75" customHeight="1" x14ac:dyDescent="0.2">
      <c r="B16" s="25" t="s">
        <v>140</v>
      </c>
      <c r="C16" s="25" t="s">
        <v>141</v>
      </c>
      <c r="D16" s="25" t="s">
        <v>142</v>
      </c>
      <c r="E16" s="26">
        <v>177697</v>
      </c>
      <c r="F16" s="27">
        <v>4807.8599999999997</v>
      </c>
      <c r="G16" s="28">
        <v>3.0499999999999999E-2</v>
      </c>
      <c r="H16" s="29"/>
    </row>
    <row r="17" spans="2:8" ht="15.75" customHeight="1" x14ac:dyDescent="0.2">
      <c r="B17" s="25" t="s">
        <v>236</v>
      </c>
      <c r="C17" s="25" t="s">
        <v>237</v>
      </c>
      <c r="D17" s="25" t="s">
        <v>139</v>
      </c>
      <c r="E17" s="26">
        <v>90915</v>
      </c>
      <c r="F17" s="27">
        <v>3986.94</v>
      </c>
      <c r="G17" s="28">
        <v>2.53E-2</v>
      </c>
      <c r="H17" s="29"/>
    </row>
    <row r="18" spans="2:8" ht="15.75" customHeight="1" x14ac:dyDescent="0.2">
      <c r="B18" s="25" t="s">
        <v>255</v>
      </c>
      <c r="C18" s="25" t="s">
        <v>256</v>
      </c>
      <c r="D18" s="25" t="s">
        <v>184</v>
      </c>
      <c r="E18" s="26">
        <v>809564</v>
      </c>
      <c r="F18" s="27">
        <v>3367.79</v>
      </c>
      <c r="G18" s="28">
        <v>2.1399999999999999E-2</v>
      </c>
      <c r="H18" s="29"/>
    </row>
    <row r="19" spans="2:8" ht="15.75" customHeight="1" x14ac:dyDescent="0.2">
      <c r="B19" s="25" t="s">
        <v>394</v>
      </c>
      <c r="C19" s="25" t="s">
        <v>395</v>
      </c>
      <c r="D19" s="25" t="s">
        <v>220</v>
      </c>
      <c r="E19" s="26">
        <v>1402212</v>
      </c>
      <c r="F19" s="27">
        <v>3217.38</v>
      </c>
      <c r="G19" s="28">
        <v>2.0400000000000001E-2</v>
      </c>
      <c r="H19" s="29"/>
    </row>
    <row r="20" spans="2:8" ht="15.75" customHeight="1" x14ac:dyDescent="0.2">
      <c r="B20" s="25" t="s">
        <v>295</v>
      </c>
      <c r="C20" s="25" t="s">
        <v>296</v>
      </c>
      <c r="D20" s="25" t="s">
        <v>297</v>
      </c>
      <c r="E20" s="26">
        <v>73681</v>
      </c>
      <c r="F20" s="27">
        <v>3151.3</v>
      </c>
      <c r="G20" s="28">
        <v>0.02</v>
      </c>
      <c r="H20" s="29"/>
    </row>
    <row r="21" spans="2:8" ht="15.75" customHeight="1" x14ac:dyDescent="0.2">
      <c r="B21" s="25" t="s">
        <v>173</v>
      </c>
      <c r="C21" s="25" t="s">
        <v>174</v>
      </c>
      <c r="D21" s="25" t="s">
        <v>175</v>
      </c>
      <c r="E21" s="26">
        <v>994310</v>
      </c>
      <c r="F21" s="27">
        <v>3142.52</v>
      </c>
      <c r="G21" s="28">
        <v>1.9900000000000001E-2</v>
      </c>
      <c r="H21" s="29"/>
    </row>
    <row r="22" spans="2:8" ht="15.75" customHeight="1" x14ac:dyDescent="0.2">
      <c r="B22" s="25" t="s">
        <v>326</v>
      </c>
      <c r="C22" s="25" t="s">
        <v>327</v>
      </c>
      <c r="D22" s="25" t="s">
        <v>212</v>
      </c>
      <c r="E22" s="26">
        <v>540545</v>
      </c>
      <c r="F22" s="27">
        <v>3009.75</v>
      </c>
      <c r="G22" s="28">
        <v>1.9099999999999999E-2</v>
      </c>
      <c r="H22" s="29"/>
    </row>
    <row r="23" spans="2:8" ht="15.75" customHeight="1" x14ac:dyDescent="0.2">
      <c r="B23" s="25" t="s">
        <v>300</v>
      </c>
      <c r="C23" s="25" t="s">
        <v>301</v>
      </c>
      <c r="D23" s="25" t="s">
        <v>269</v>
      </c>
      <c r="E23" s="26">
        <v>99469</v>
      </c>
      <c r="F23" s="27">
        <v>2762.01</v>
      </c>
      <c r="G23" s="28">
        <v>1.7500000000000002E-2</v>
      </c>
      <c r="H23" s="29"/>
    </row>
    <row r="24" spans="2:8" ht="15.75" customHeight="1" x14ac:dyDescent="0.2">
      <c r="B24" s="25" t="s">
        <v>182</v>
      </c>
      <c r="C24" s="25" t="s">
        <v>183</v>
      </c>
      <c r="D24" s="25" t="s">
        <v>184</v>
      </c>
      <c r="E24" s="26">
        <v>598226</v>
      </c>
      <c r="F24" s="27">
        <v>2713.55</v>
      </c>
      <c r="G24" s="28">
        <v>1.72E-2</v>
      </c>
      <c r="H24" s="29"/>
    </row>
    <row r="25" spans="2:8" ht="15.75" customHeight="1" x14ac:dyDescent="0.2">
      <c r="B25" s="25" t="s">
        <v>334</v>
      </c>
      <c r="C25" s="25" t="s">
        <v>335</v>
      </c>
      <c r="D25" s="25" t="s">
        <v>336</v>
      </c>
      <c r="E25" s="26">
        <v>143997</v>
      </c>
      <c r="F25" s="27">
        <v>2525.1999999999998</v>
      </c>
      <c r="G25" s="28">
        <v>1.6E-2</v>
      </c>
      <c r="H25" s="29"/>
    </row>
    <row r="26" spans="2:8" ht="15.75" customHeight="1" x14ac:dyDescent="0.2">
      <c r="B26" s="25" t="s">
        <v>523</v>
      </c>
      <c r="C26" s="25" t="s">
        <v>524</v>
      </c>
      <c r="D26" s="25" t="s">
        <v>297</v>
      </c>
      <c r="E26" s="26">
        <v>1184834</v>
      </c>
      <c r="F26" s="27">
        <v>2511.02</v>
      </c>
      <c r="G26" s="28">
        <v>1.5900000000000001E-2</v>
      </c>
      <c r="H26" s="29"/>
    </row>
    <row r="27" spans="2:8" ht="15.75" customHeight="1" x14ac:dyDescent="0.2">
      <c r="B27" s="25" t="s">
        <v>530</v>
      </c>
      <c r="C27" s="25" t="s">
        <v>531</v>
      </c>
      <c r="D27" s="25" t="s">
        <v>436</v>
      </c>
      <c r="E27" s="26">
        <v>723962</v>
      </c>
      <c r="F27" s="27">
        <v>2419.48</v>
      </c>
      <c r="G27" s="28">
        <v>1.54E-2</v>
      </c>
      <c r="H27" s="29"/>
    </row>
    <row r="28" spans="2:8" ht="15.75" customHeight="1" x14ac:dyDescent="0.2">
      <c r="B28" s="25" t="s">
        <v>337</v>
      </c>
      <c r="C28" s="25" t="s">
        <v>338</v>
      </c>
      <c r="D28" s="25" t="s">
        <v>339</v>
      </c>
      <c r="E28" s="26">
        <v>733891</v>
      </c>
      <c r="F28" s="27">
        <v>2261.85</v>
      </c>
      <c r="G28" s="28">
        <v>1.44E-2</v>
      </c>
      <c r="H28" s="29"/>
    </row>
    <row r="29" spans="2:8" ht="15.75" customHeight="1" x14ac:dyDescent="0.2">
      <c r="B29" s="25" t="s">
        <v>353</v>
      </c>
      <c r="C29" s="25" t="s">
        <v>354</v>
      </c>
      <c r="D29" s="25" t="s">
        <v>212</v>
      </c>
      <c r="E29" s="26">
        <v>289791</v>
      </c>
      <c r="F29" s="27">
        <v>1866.98</v>
      </c>
      <c r="G29" s="28">
        <v>1.18E-2</v>
      </c>
      <c r="H29" s="29"/>
    </row>
    <row r="30" spans="2:8" ht="15.75" customHeight="1" x14ac:dyDescent="0.2">
      <c r="B30" s="25" t="s">
        <v>507</v>
      </c>
      <c r="C30" s="25" t="s">
        <v>508</v>
      </c>
      <c r="D30" s="25" t="s">
        <v>172</v>
      </c>
      <c r="E30" s="26">
        <v>105333</v>
      </c>
      <c r="F30" s="27">
        <v>1811.04</v>
      </c>
      <c r="G30" s="28">
        <v>1.15E-2</v>
      </c>
      <c r="H30" s="29"/>
    </row>
    <row r="31" spans="2:8" ht="15.75" customHeight="1" x14ac:dyDescent="0.2">
      <c r="B31" s="25" t="s">
        <v>305</v>
      </c>
      <c r="C31" s="25" t="s">
        <v>306</v>
      </c>
      <c r="D31" s="25" t="s">
        <v>145</v>
      </c>
      <c r="E31" s="26">
        <v>31423</v>
      </c>
      <c r="F31" s="27">
        <v>1724.64</v>
      </c>
      <c r="G31" s="28">
        <v>1.09E-2</v>
      </c>
      <c r="H31" s="29"/>
    </row>
    <row r="32" spans="2:8" ht="15.75" customHeight="1" x14ac:dyDescent="0.2">
      <c r="B32" s="25" t="s">
        <v>143</v>
      </c>
      <c r="C32" s="25" t="s">
        <v>144</v>
      </c>
      <c r="D32" s="25" t="s">
        <v>145</v>
      </c>
      <c r="E32" s="26">
        <v>59238</v>
      </c>
      <c r="F32" s="27">
        <v>1722.52</v>
      </c>
      <c r="G32" s="28">
        <v>1.09E-2</v>
      </c>
      <c r="H32" s="29"/>
    </row>
    <row r="33" spans="2:8" ht="15.75" customHeight="1" x14ac:dyDescent="0.2">
      <c r="B33" s="25" t="s">
        <v>515</v>
      </c>
      <c r="C33" s="25" t="s">
        <v>516</v>
      </c>
      <c r="D33" s="25" t="s">
        <v>190</v>
      </c>
      <c r="E33" s="26">
        <v>39428</v>
      </c>
      <c r="F33" s="27">
        <v>1691.34</v>
      </c>
      <c r="G33" s="28">
        <v>1.0699999999999999E-2</v>
      </c>
      <c r="H33" s="29"/>
    </row>
    <row r="34" spans="2:8" ht="15.75" customHeight="1" x14ac:dyDescent="0.2">
      <c r="B34" s="25" t="s">
        <v>412</v>
      </c>
      <c r="C34" s="25" t="s">
        <v>413</v>
      </c>
      <c r="D34" s="25" t="s">
        <v>352</v>
      </c>
      <c r="E34" s="26">
        <v>465454</v>
      </c>
      <c r="F34" s="27">
        <v>1666.09</v>
      </c>
      <c r="G34" s="28">
        <v>1.06E-2</v>
      </c>
      <c r="H34" s="29"/>
    </row>
    <row r="35" spans="2:8" ht="15.75" customHeight="1" x14ac:dyDescent="0.2">
      <c r="B35" s="25" t="s">
        <v>257</v>
      </c>
      <c r="C35" s="25" t="s">
        <v>258</v>
      </c>
      <c r="D35" s="25" t="s">
        <v>148</v>
      </c>
      <c r="E35" s="26">
        <v>28382</v>
      </c>
      <c r="F35" s="27">
        <v>1641.74</v>
      </c>
      <c r="G35" s="28">
        <v>1.04E-2</v>
      </c>
      <c r="H35" s="29"/>
    </row>
    <row r="36" spans="2:8" ht="15.75" customHeight="1" x14ac:dyDescent="0.2">
      <c r="B36" s="25" t="s">
        <v>384</v>
      </c>
      <c r="C36" s="25" t="s">
        <v>385</v>
      </c>
      <c r="D36" s="25" t="s">
        <v>220</v>
      </c>
      <c r="E36" s="26">
        <v>28111</v>
      </c>
      <c r="F36" s="27">
        <v>1641.4</v>
      </c>
      <c r="G36" s="28">
        <v>1.04E-2</v>
      </c>
      <c r="H36" s="29"/>
    </row>
    <row r="37" spans="2:8" ht="15.75" customHeight="1" x14ac:dyDescent="0.2">
      <c r="B37" s="25" t="s">
        <v>406</v>
      </c>
      <c r="C37" s="25" t="s">
        <v>407</v>
      </c>
      <c r="D37" s="25" t="s">
        <v>339</v>
      </c>
      <c r="E37" s="26">
        <v>102252</v>
      </c>
      <c r="F37" s="27">
        <v>1612.92</v>
      </c>
      <c r="G37" s="28">
        <v>1.0200000000000001E-2</v>
      </c>
      <c r="H37" s="29"/>
    </row>
    <row r="38" spans="2:8" ht="15.75" customHeight="1" x14ac:dyDescent="0.2">
      <c r="B38" s="25" t="s">
        <v>225</v>
      </c>
      <c r="C38" s="25" t="s">
        <v>226</v>
      </c>
      <c r="D38" s="25" t="s">
        <v>227</v>
      </c>
      <c r="E38" s="26">
        <v>305281</v>
      </c>
      <c r="F38" s="27">
        <v>1594.18</v>
      </c>
      <c r="G38" s="28">
        <v>1.01E-2</v>
      </c>
      <c r="H38" s="29"/>
    </row>
    <row r="39" spans="2:8" ht="15.75" customHeight="1" x14ac:dyDescent="0.2">
      <c r="B39" s="25" t="s">
        <v>662</v>
      </c>
      <c r="C39" s="25" t="s">
        <v>663</v>
      </c>
      <c r="D39" s="25" t="s">
        <v>554</v>
      </c>
      <c r="E39" s="26">
        <v>132807</v>
      </c>
      <c r="F39" s="27">
        <v>1579.01</v>
      </c>
      <c r="G39" s="28">
        <v>0.01</v>
      </c>
      <c r="H39" s="29"/>
    </row>
    <row r="40" spans="2:8" ht="15.75" customHeight="1" x14ac:dyDescent="0.2">
      <c r="B40" s="25" t="s">
        <v>342</v>
      </c>
      <c r="C40" s="25" t="s">
        <v>343</v>
      </c>
      <c r="D40" s="25" t="s">
        <v>319</v>
      </c>
      <c r="E40" s="26">
        <v>245478</v>
      </c>
      <c r="F40" s="27">
        <v>1560.5</v>
      </c>
      <c r="G40" s="28">
        <v>9.9000000000000008E-3</v>
      </c>
      <c r="H40" s="29"/>
    </row>
    <row r="41" spans="2:8" ht="15.75" customHeight="1" x14ac:dyDescent="0.2">
      <c r="B41" s="25" t="s">
        <v>479</v>
      </c>
      <c r="C41" s="25" t="s">
        <v>480</v>
      </c>
      <c r="D41" s="25" t="s">
        <v>212</v>
      </c>
      <c r="E41" s="26">
        <v>52818</v>
      </c>
      <c r="F41" s="27">
        <v>1548.6</v>
      </c>
      <c r="G41" s="28">
        <v>9.7999999999999997E-3</v>
      </c>
      <c r="H41" s="29"/>
    </row>
    <row r="42" spans="2:8" ht="15.75" customHeight="1" x14ac:dyDescent="0.2">
      <c r="B42" s="25" t="s">
        <v>205</v>
      </c>
      <c r="C42" s="25" t="s">
        <v>206</v>
      </c>
      <c r="D42" s="25" t="s">
        <v>207</v>
      </c>
      <c r="E42" s="26">
        <v>638987</v>
      </c>
      <c r="F42" s="27">
        <v>1539.77</v>
      </c>
      <c r="G42" s="28">
        <v>9.7999999999999997E-3</v>
      </c>
      <c r="H42" s="29"/>
    </row>
    <row r="43" spans="2:8" ht="15.75" customHeight="1" x14ac:dyDescent="0.2">
      <c r="B43" s="25" t="s">
        <v>717</v>
      </c>
      <c r="C43" s="25" t="s">
        <v>718</v>
      </c>
      <c r="D43" s="25" t="s">
        <v>554</v>
      </c>
      <c r="E43" s="26">
        <v>363346</v>
      </c>
      <c r="F43" s="27">
        <v>1536.23</v>
      </c>
      <c r="G43" s="28">
        <v>9.7999999999999997E-3</v>
      </c>
      <c r="H43" s="29"/>
    </row>
    <row r="44" spans="2:8" ht="15.75" customHeight="1" x14ac:dyDescent="0.2">
      <c r="B44" s="25" t="s">
        <v>320</v>
      </c>
      <c r="C44" s="25" t="s">
        <v>321</v>
      </c>
      <c r="D44" s="25" t="s">
        <v>172</v>
      </c>
      <c r="E44" s="26">
        <v>28610</v>
      </c>
      <c r="F44" s="27">
        <v>1519.05</v>
      </c>
      <c r="G44" s="28">
        <v>9.5999999999999992E-3</v>
      </c>
      <c r="H44" s="29"/>
    </row>
    <row r="45" spans="2:8" ht="15.75" customHeight="1" x14ac:dyDescent="0.2">
      <c r="B45" s="25" t="s">
        <v>370</v>
      </c>
      <c r="C45" s="25" t="s">
        <v>371</v>
      </c>
      <c r="D45" s="25" t="s">
        <v>212</v>
      </c>
      <c r="E45" s="26">
        <v>339266</v>
      </c>
      <c r="F45" s="27">
        <v>1514.65</v>
      </c>
      <c r="G45" s="28">
        <v>9.5999999999999992E-3</v>
      </c>
      <c r="H45" s="29"/>
    </row>
    <row r="46" spans="2:8" ht="15.75" customHeight="1" x14ac:dyDescent="0.2">
      <c r="B46" s="25" t="s">
        <v>309</v>
      </c>
      <c r="C46" s="25" t="s">
        <v>310</v>
      </c>
      <c r="D46" s="25" t="s">
        <v>311</v>
      </c>
      <c r="E46" s="26">
        <v>562521</v>
      </c>
      <c r="F46" s="27">
        <v>1511.27</v>
      </c>
      <c r="G46" s="28">
        <v>9.5999999999999992E-3</v>
      </c>
      <c r="H46" s="29"/>
    </row>
    <row r="47" spans="2:8" ht="15.75" customHeight="1" x14ac:dyDescent="0.2">
      <c r="B47" s="25" t="s">
        <v>519</v>
      </c>
      <c r="C47" s="25" t="s">
        <v>520</v>
      </c>
      <c r="D47" s="25" t="s">
        <v>336</v>
      </c>
      <c r="E47" s="26">
        <v>498049</v>
      </c>
      <c r="F47" s="27">
        <v>1458.69</v>
      </c>
      <c r="G47" s="28">
        <v>9.2999999999999992E-3</v>
      </c>
      <c r="H47" s="29"/>
    </row>
    <row r="48" spans="2:8" ht="15.75" customHeight="1" x14ac:dyDescent="0.2">
      <c r="B48" s="25" t="s">
        <v>191</v>
      </c>
      <c r="C48" s="25" t="s">
        <v>192</v>
      </c>
      <c r="D48" s="25" t="s">
        <v>184</v>
      </c>
      <c r="E48" s="26">
        <v>394783</v>
      </c>
      <c r="F48" s="27">
        <v>1374.63</v>
      </c>
      <c r="G48" s="28">
        <v>8.6999999999999994E-3</v>
      </c>
      <c r="H48" s="29"/>
    </row>
    <row r="49" spans="2:8" ht="15.75" customHeight="1" x14ac:dyDescent="0.2">
      <c r="B49" s="25" t="s">
        <v>760</v>
      </c>
      <c r="C49" s="25" t="s">
        <v>761</v>
      </c>
      <c r="D49" s="25" t="s">
        <v>233</v>
      </c>
      <c r="E49" s="26">
        <v>43005</v>
      </c>
      <c r="F49" s="27">
        <v>1370.31</v>
      </c>
      <c r="G49" s="28">
        <v>8.6999999999999994E-3</v>
      </c>
      <c r="H49" s="29"/>
    </row>
    <row r="50" spans="2:8" ht="15.75" customHeight="1" x14ac:dyDescent="0.2">
      <c r="B50" s="25" t="s">
        <v>291</v>
      </c>
      <c r="C50" s="25" t="s">
        <v>292</v>
      </c>
      <c r="D50" s="25" t="s">
        <v>136</v>
      </c>
      <c r="E50" s="26">
        <v>110941</v>
      </c>
      <c r="F50" s="27">
        <v>1293.68</v>
      </c>
      <c r="G50" s="28">
        <v>8.2000000000000007E-3</v>
      </c>
      <c r="H50" s="29"/>
    </row>
    <row r="51" spans="2:8" ht="15.75" customHeight="1" x14ac:dyDescent="0.2">
      <c r="B51" s="25" t="s">
        <v>414</v>
      </c>
      <c r="C51" s="25" t="s">
        <v>415</v>
      </c>
      <c r="D51" s="25" t="s">
        <v>266</v>
      </c>
      <c r="E51" s="26">
        <v>639086</v>
      </c>
      <c r="F51" s="27">
        <v>1256.25</v>
      </c>
      <c r="G51" s="28">
        <v>8.0000000000000002E-3</v>
      </c>
      <c r="H51" s="29"/>
    </row>
    <row r="52" spans="2:8" ht="15.75" customHeight="1" x14ac:dyDescent="0.2">
      <c r="B52" s="25" t="s">
        <v>563</v>
      </c>
      <c r="C52" s="25" t="s">
        <v>564</v>
      </c>
      <c r="D52" s="25" t="s">
        <v>314</v>
      </c>
      <c r="E52" s="26">
        <v>17769</v>
      </c>
      <c r="F52" s="27">
        <v>1175.47</v>
      </c>
      <c r="G52" s="28">
        <v>7.4999999999999997E-3</v>
      </c>
      <c r="H52" s="29"/>
    </row>
    <row r="53" spans="2:8" ht="15.75" customHeight="1" x14ac:dyDescent="0.2">
      <c r="B53" s="25" t="s">
        <v>228</v>
      </c>
      <c r="C53" s="25" t="s">
        <v>229</v>
      </c>
      <c r="D53" s="25" t="s">
        <v>230</v>
      </c>
      <c r="E53" s="26">
        <v>109105</v>
      </c>
      <c r="F53" s="27">
        <v>1077.58</v>
      </c>
      <c r="G53" s="28">
        <v>6.7999999999999996E-3</v>
      </c>
      <c r="H53" s="29"/>
    </row>
    <row r="54" spans="2:8" ht="15.75" customHeight="1" x14ac:dyDescent="0.2">
      <c r="B54" s="25" t="s">
        <v>754</v>
      </c>
      <c r="C54" s="25" t="s">
        <v>755</v>
      </c>
      <c r="D54" s="25" t="s">
        <v>220</v>
      </c>
      <c r="E54" s="26">
        <v>29720</v>
      </c>
      <c r="F54" s="27">
        <v>1017.9</v>
      </c>
      <c r="G54" s="28">
        <v>6.4999999999999997E-3</v>
      </c>
      <c r="H54" s="29"/>
    </row>
    <row r="55" spans="2:8" ht="15.75" customHeight="1" x14ac:dyDescent="0.2">
      <c r="B55" s="25" t="s">
        <v>203</v>
      </c>
      <c r="C55" s="25" t="s">
        <v>204</v>
      </c>
      <c r="D55" s="25" t="s">
        <v>139</v>
      </c>
      <c r="E55" s="26">
        <v>64088</v>
      </c>
      <c r="F55" s="27">
        <v>996.18</v>
      </c>
      <c r="G55" s="28">
        <v>6.3E-3</v>
      </c>
      <c r="H55" s="29"/>
    </row>
    <row r="56" spans="2:8" ht="15.75" customHeight="1" x14ac:dyDescent="0.2">
      <c r="B56" s="25" t="s">
        <v>221</v>
      </c>
      <c r="C56" s="25" t="s">
        <v>222</v>
      </c>
      <c r="D56" s="25" t="s">
        <v>212</v>
      </c>
      <c r="E56" s="26">
        <v>82905</v>
      </c>
      <c r="F56" s="27">
        <v>863.46</v>
      </c>
      <c r="G56" s="28">
        <v>5.4999999999999997E-3</v>
      </c>
      <c r="H56" s="29"/>
    </row>
    <row r="57" spans="2:8" ht="15.75" customHeight="1" x14ac:dyDescent="0.2">
      <c r="B57" s="25" t="s">
        <v>762</v>
      </c>
      <c r="C57" s="25" t="s">
        <v>763</v>
      </c>
      <c r="D57" s="25" t="s">
        <v>336</v>
      </c>
      <c r="E57" s="26">
        <v>42364</v>
      </c>
      <c r="F57" s="27">
        <v>850.58</v>
      </c>
      <c r="G57" s="28">
        <v>5.4000000000000003E-3</v>
      </c>
      <c r="H57" s="29"/>
    </row>
    <row r="58" spans="2:8" ht="15.75" customHeight="1" x14ac:dyDescent="0.2">
      <c r="B58" s="25" t="s">
        <v>272</v>
      </c>
      <c r="C58" s="25" t="s">
        <v>273</v>
      </c>
      <c r="D58" s="25" t="s">
        <v>175</v>
      </c>
      <c r="E58" s="26">
        <v>16631</v>
      </c>
      <c r="F58" s="27">
        <v>818.72</v>
      </c>
      <c r="G58" s="28">
        <v>5.1999999999999998E-3</v>
      </c>
      <c r="H58" s="29"/>
    </row>
    <row r="59" spans="2:8" ht="15.75" customHeight="1" x14ac:dyDescent="0.2">
      <c r="B59" s="25" t="s">
        <v>485</v>
      </c>
      <c r="C59" s="25" t="s">
        <v>486</v>
      </c>
      <c r="D59" s="25" t="s">
        <v>187</v>
      </c>
      <c r="E59" s="26">
        <v>25831</v>
      </c>
      <c r="F59" s="27">
        <v>796.74</v>
      </c>
      <c r="G59" s="28">
        <v>5.1000000000000004E-3</v>
      </c>
      <c r="H59" s="29"/>
    </row>
    <row r="60" spans="2:8" ht="15.75" customHeight="1" x14ac:dyDescent="0.2">
      <c r="B60" s="25" t="s">
        <v>678</v>
      </c>
      <c r="C60" s="25" t="s">
        <v>679</v>
      </c>
      <c r="D60" s="25" t="s">
        <v>263</v>
      </c>
      <c r="E60" s="26">
        <v>50011</v>
      </c>
      <c r="F60" s="27">
        <v>794.32</v>
      </c>
      <c r="G60" s="28">
        <v>5.0000000000000001E-3</v>
      </c>
      <c r="H60" s="29"/>
    </row>
    <row r="61" spans="2:8" ht="15.75" customHeight="1" x14ac:dyDescent="0.2">
      <c r="B61" s="25" t="s">
        <v>600</v>
      </c>
      <c r="C61" s="25" t="s">
        <v>601</v>
      </c>
      <c r="D61" s="25" t="s">
        <v>136</v>
      </c>
      <c r="E61" s="26">
        <v>390612</v>
      </c>
      <c r="F61" s="27">
        <v>786.65</v>
      </c>
      <c r="G61" s="28">
        <v>5.0000000000000001E-3</v>
      </c>
      <c r="H61" s="29"/>
    </row>
    <row r="62" spans="2:8" ht="15.75" customHeight="1" x14ac:dyDescent="0.2">
      <c r="B62" s="25" t="s">
        <v>340</v>
      </c>
      <c r="C62" s="25" t="s">
        <v>341</v>
      </c>
      <c r="D62" s="25" t="s">
        <v>263</v>
      </c>
      <c r="E62" s="26">
        <v>17388</v>
      </c>
      <c r="F62" s="27">
        <v>777.63</v>
      </c>
      <c r="G62" s="28">
        <v>4.8999999999999998E-3</v>
      </c>
      <c r="H62" s="29"/>
    </row>
    <row r="63" spans="2:8" ht="15.75" customHeight="1" x14ac:dyDescent="0.2">
      <c r="B63" s="25" t="s">
        <v>658</v>
      </c>
      <c r="C63" s="25" t="s">
        <v>659</v>
      </c>
      <c r="D63" s="25" t="s">
        <v>190</v>
      </c>
      <c r="E63" s="26">
        <v>30781</v>
      </c>
      <c r="F63" s="27">
        <v>769.99</v>
      </c>
      <c r="G63" s="28">
        <v>4.8999999999999998E-3</v>
      </c>
      <c r="H63" s="29"/>
    </row>
    <row r="64" spans="2:8" ht="15.75" customHeight="1" x14ac:dyDescent="0.2">
      <c r="B64" s="25" t="s">
        <v>764</v>
      </c>
      <c r="C64" s="25" t="s">
        <v>765</v>
      </c>
      <c r="D64" s="25" t="s">
        <v>220</v>
      </c>
      <c r="E64" s="26">
        <v>15303</v>
      </c>
      <c r="F64" s="27">
        <v>755.35</v>
      </c>
      <c r="G64" s="28">
        <v>4.7999999999999996E-3</v>
      </c>
      <c r="H64" s="29"/>
    </row>
    <row r="65" spans="2:14" ht="15.75" customHeight="1" x14ac:dyDescent="0.2">
      <c r="B65" s="25" t="s">
        <v>298</v>
      </c>
      <c r="C65" s="25" t="s">
        <v>299</v>
      </c>
      <c r="D65" s="25" t="s">
        <v>139</v>
      </c>
      <c r="E65" s="26">
        <v>43544</v>
      </c>
      <c r="F65" s="27">
        <v>715.25</v>
      </c>
      <c r="G65" s="28">
        <v>4.4999999999999997E-3</v>
      </c>
      <c r="H65" s="29"/>
    </row>
    <row r="66" spans="2:14" ht="15.75" customHeight="1" x14ac:dyDescent="0.2">
      <c r="B66" s="25" t="s">
        <v>525</v>
      </c>
      <c r="C66" s="25" t="s">
        <v>526</v>
      </c>
      <c r="D66" s="25" t="s">
        <v>527</v>
      </c>
      <c r="E66" s="26">
        <v>20096</v>
      </c>
      <c r="F66" s="27">
        <v>706.77</v>
      </c>
      <c r="G66" s="28">
        <v>4.4999999999999997E-3</v>
      </c>
      <c r="H66" s="29"/>
    </row>
    <row r="67" spans="2:14" ht="15.75" customHeight="1" x14ac:dyDescent="0.2">
      <c r="B67" s="24" t="s">
        <v>104</v>
      </c>
      <c r="C67" s="24"/>
      <c r="D67" s="24"/>
      <c r="E67" s="30"/>
      <c r="F67" s="31">
        <f>SUM(F7:F66)</f>
        <v>154046.08999999991</v>
      </c>
      <c r="G67" s="32">
        <v>0.97770000000000001</v>
      </c>
      <c r="H67" s="33"/>
      <c r="J67" s="3"/>
    </row>
    <row r="68" spans="2:14" ht="15.75" customHeight="1" x14ac:dyDescent="0.2">
      <c r="B68" s="24" t="s">
        <v>156</v>
      </c>
      <c r="C68" s="25"/>
      <c r="D68" s="25"/>
      <c r="E68" s="26"/>
      <c r="F68" s="27"/>
      <c r="G68" s="28"/>
      <c r="H68" s="29"/>
    </row>
    <row r="69" spans="2:14" ht="15.75" customHeight="1" x14ac:dyDescent="0.2">
      <c r="B69" s="25" t="s">
        <v>674</v>
      </c>
      <c r="C69" s="25" t="s">
        <v>675</v>
      </c>
      <c r="D69" s="25" t="s">
        <v>554</v>
      </c>
      <c r="E69" s="26">
        <v>5107</v>
      </c>
      <c r="F69" s="27">
        <v>18.940000000000001</v>
      </c>
      <c r="G69" s="28">
        <v>1E-4</v>
      </c>
      <c r="H69" s="29"/>
    </row>
    <row r="70" spans="2:14" ht="15.75" customHeight="1" x14ac:dyDescent="0.2">
      <c r="B70" s="24" t="s">
        <v>104</v>
      </c>
      <c r="C70" s="25"/>
      <c r="D70" s="25"/>
      <c r="E70" s="26"/>
      <c r="F70" s="31">
        <f>SUM(F69)</f>
        <v>18.940000000000001</v>
      </c>
      <c r="G70" s="32">
        <f>SUM(G69)</f>
        <v>1E-4</v>
      </c>
      <c r="H70" s="29"/>
      <c r="J70" s="3"/>
    </row>
    <row r="71" spans="2:14" ht="15.75" customHeight="1" x14ac:dyDescent="0.2">
      <c r="B71" s="25"/>
      <c r="C71" s="25"/>
      <c r="D71" s="25"/>
      <c r="E71" s="26"/>
      <c r="F71" s="27"/>
      <c r="G71" s="28"/>
      <c r="H71" s="29"/>
      <c r="J71" s="3"/>
    </row>
    <row r="72" spans="2:14" ht="15.75" customHeight="1" x14ac:dyDescent="0.2">
      <c r="B72" s="36" t="s">
        <v>108</v>
      </c>
      <c r="C72" s="36"/>
      <c r="D72" s="36"/>
      <c r="E72" s="37"/>
      <c r="F72" s="31">
        <v>154065.03</v>
      </c>
      <c r="G72" s="32">
        <v>0.9778</v>
      </c>
      <c r="H72" s="33"/>
      <c r="J72" s="3"/>
    </row>
    <row r="73" spans="2:14" ht="15.75" customHeight="1" x14ac:dyDescent="0.2">
      <c r="B73" s="25"/>
      <c r="C73" s="25"/>
      <c r="D73" s="25"/>
      <c r="E73" s="26"/>
      <c r="F73" s="27"/>
      <c r="G73" s="28"/>
      <c r="H73" s="29"/>
      <c r="J73" s="3"/>
    </row>
    <row r="74" spans="2:14" ht="15.75" customHeight="1" x14ac:dyDescent="0.2">
      <c r="B74" s="25"/>
      <c r="C74" s="25"/>
      <c r="D74" s="25"/>
      <c r="E74" s="26"/>
      <c r="F74" s="27"/>
      <c r="G74" s="28"/>
      <c r="H74" s="29"/>
      <c r="J74" s="3"/>
    </row>
    <row r="75" spans="2:14" ht="15.75" customHeight="1" x14ac:dyDescent="0.2">
      <c r="B75" s="24" t="s">
        <v>111</v>
      </c>
      <c r="C75" s="25"/>
      <c r="D75" s="25"/>
      <c r="E75" s="26"/>
      <c r="F75" s="27"/>
      <c r="G75" s="28"/>
      <c r="H75" s="29"/>
      <c r="J75" s="5"/>
      <c r="K75" s="5"/>
      <c r="L75" s="6"/>
      <c r="M75" s="6"/>
      <c r="N75" s="5"/>
    </row>
    <row r="76" spans="2:14" ht="15.75" customHeight="1" x14ac:dyDescent="0.2">
      <c r="B76" s="25" t="s">
        <v>112</v>
      </c>
      <c r="C76" s="25"/>
      <c r="D76" s="25"/>
      <c r="E76" s="26"/>
      <c r="F76" s="27">
        <v>2291.54</v>
      </c>
      <c r="G76" s="28">
        <v>1.4500000000000001E-2</v>
      </c>
      <c r="H76" s="29"/>
    </row>
    <row r="77" spans="2:14" ht="15.75" customHeight="1" x14ac:dyDescent="0.2">
      <c r="B77" s="24" t="s">
        <v>104</v>
      </c>
      <c r="C77" s="24"/>
      <c r="D77" s="24"/>
      <c r="E77" s="30"/>
      <c r="F77" s="31">
        <v>2291.54</v>
      </c>
      <c r="G77" s="32">
        <v>1.4500000000000001E-2</v>
      </c>
      <c r="H77" s="33"/>
    </row>
    <row r="78" spans="2:14" ht="15.75" customHeight="1" x14ac:dyDescent="0.2">
      <c r="B78" s="25"/>
      <c r="C78" s="25"/>
      <c r="D78" s="25"/>
      <c r="E78" s="26"/>
      <c r="F78" s="27"/>
      <c r="G78" s="28"/>
      <c r="H78" s="29"/>
      <c r="J78" s="7"/>
      <c r="K78" s="7"/>
      <c r="L78" s="7"/>
      <c r="M78" s="7"/>
      <c r="N78" s="7"/>
    </row>
    <row r="79" spans="2:14" ht="15.75" customHeight="1" x14ac:dyDescent="0.2">
      <c r="B79" s="36" t="s">
        <v>108</v>
      </c>
      <c r="C79" s="36"/>
      <c r="D79" s="36"/>
      <c r="E79" s="37"/>
      <c r="F79" s="31">
        <v>2291.54</v>
      </c>
      <c r="G79" s="32">
        <v>1.4500000000000001E-2</v>
      </c>
      <c r="H79" s="33"/>
      <c r="J79" s="7"/>
      <c r="K79" s="7"/>
      <c r="L79" s="7"/>
      <c r="M79" s="7"/>
      <c r="N79" s="7"/>
    </row>
    <row r="80" spans="2:14" ht="15.75" customHeight="1" x14ac:dyDescent="0.2">
      <c r="B80" s="25" t="s">
        <v>113</v>
      </c>
      <c r="C80" s="25"/>
      <c r="D80" s="25"/>
      <c r="E80" s="26"/>
      <c r="F80" s="27">
        <v>1194.53</v>
      </c>
      <c r="G80" s="28">
        <v>7.7000000000000401E-3</v>
      </c>
      <c r="H80" s="29"/>
      <c r="J80" s="7"/>
      <c r="K80" s="7"/>
      <c r="L80" s="7"/>
      <c r="M80" s="7"/>
      <c r="N80" s="7"/>
    </row>
    <row r="81" spans="2:14" ht="15.75" customHeight="1" x14ac:dyDescent="0.2">
      <c r="B81" s="40" t="s">
        <v>114</v>
      </c>
      <c r="C81" s="40"/>
      <c r="D81" s="40"/>
      <c r="E81" s="41"/>
      <c r="F81" s="42">
        <v>157551.1</v>
      </c>
      <c r="G81" s="43">
        <v>1</v>
      </c>
      <c r="H81" s="44"/>
      <c r="J81" s="7"/>
      <c r="K81" s="7"/>
      <c r="L81" s="7"/>
      <c r="M81" s="7"/>
      <c r="N81" s="7"/>
    </row>
    <row r="82" spans="2:14" ht="15.75" customHeight="1" x14ac:dyDescent="0.2">
      <c r="B82" s="2"/>
      <c r="J82" s="7"/>
      <c r="K82" s="7"/>
      <c r="L82" s="7"/>
      <c r="M82" s="7"/>
      <c r="N82" s="7"/>
    </row>
    <row r="83" spans="2:14" ht="15.75" customHeight="1" x14ac:dyDescent="0.2">
      <c r="B83" s="12" t="s">
        <v>131</v>
      </c>
      <c r="J83" s="7"/>
      <c r="K83" s="7"/>
      <c r="L83" s="7"/>
      <c r="M83" s="7"/>
      <c r="N83" s="7"/>
    </row>
    <row r="84" spans="2:14" ht="15.75" customHeight="1" x14ac:dyDescent="0.2">
      <c r="B84" s="12" t="s">
        <v>115</v>
      </c>
      <c r="J84" s="7"/>
      <c r="K84" s="7"/>
      <c r="L84" s="7"/>
      <c r="M84" s="7"/>
      <c r="N84" s="7"/>
    </row>
    <row r="85" spans="2:14" ht="15.75" customHeight="1" thickBot="1" x14ac:dyDescent="0.25"/>
    <row r="86" spans="2:14" ht="27" customHeight="1" thickBot="1" x14ac:dyDescent="0.25">
      <c r="B86" s="56" t="s">
        <v>1009</v>
      </c>
      <c r="C86" s="57" t="s">
        <v>1010</v>
      </c>
      <c r="D86" s="57" t="s">
        <v>1011</v>
      </c>
      <c r="E86" s="62" t="s">
        <v>1012</v>
      </c>
      <c r="G86" s="2"/>
      <c r="H86" s="2"/>
    </row>
    <row r="87" spans="2:14" ht="27.75" customHeight="1" x14ac:dyDescent="0.2">
      <c r="B87" s="63" t="s">
        <v>58</v>
      </c>
      <c r="C87" s="83"/>
      <c r="D87" s="86" t="s">
        <v>1061</v>
      </c>
      <c r="E87" s="88"/>
      <c r="G87" s="2"/>
      <c r="H87" s="2"/>
    </row>
    <row r="88" spans="2:14" ht="39.950000000000003" customHeight="1" x14ac:dyDescent="0.2">
      <c r="B88" s="65" t="s">
        <v>1062</v>
      </c>
      <c r="C88" s="84"/>
      <c r="D88" s="87"/>
      <c r="E88" s="84"/>
      <c r="G88" s="2"/>
      <c r="H88" s="2"/>
    </row>
    <row r="89" spans="2:14" ht="39.950000000000003" customHeight="1" x14ac:dyDescent="0.2">
      <c r="B89" s="65" t="s">
        <v>1063</v>
      </c>
      <c r="C89" s="84"/>
      <c r="D89" s="87"/>
      <c r="E89" s="84"/>
      <c r="G89" s="2"/>
      <c r="H89" s="2"/>
    </row>
    <row r="90" spans="2:14" ht="27.75" customHeight="1" thickBot="1" x14ac:dyDescent="0.25">
      <c r="B90" s="67" t="s">
        <v>1035</v>
      </c>
      <c r="C90" s="85"/>
      <c r="D90" s="70" t="s">
        <v>1035</v>
      </c>
      <c r="E90" s="89"/>
      <c r="G90" s="2"/>
      <c r="H90" s="2"/>
    </row>
    <row r="91" spans="2:14" ht="24.95" customHeight="1" x14ac:dyDescent="0.2">
      <c r="B91" s="58" t="s">
        <v>1014</v>
      </c>
      <c r="C91" s="59"/>
      <c r="D91" s="60"/>
      <c r="E91" s="61"/>
      <c r="G91" s="2"/>
      <c r="H91" s="2"/>
    </row>
    <row r="93" spans="2:14" ht="12" x14ac:dyDescent="0.2">
      <c r="B93" s="2" t="s">
        <v>1015</v>
      </c>
      <c r="C93" s="2"/>
      <c r="D93" s="2"/>
      <c r="G93" s="2"/>
      <c r="H93" s="2"/>
    </row>
    <row r="94" spans="2:14" ht="12" x14ac:dyDescent="0.2">
      <c r="B94" s="3" t="s">
        <v>1016</v>
      </c>
      <c r="C94" s="2"/>
      <c r="D94" s="2"/>
      <c r="G94" s="2"/>
      <c r="H94" s="2"/>
    </row>
  </sheetData>
  <mergeCells count="3">
    <mergeCell ref="C87:C90"/>
    <mergeCell ref="D87:D89"/>
    <mergeCell ref="E87:E90"/>
  </mergeCells>
  <hyperlinks>
    <hyperlink ref="G1" location="'Sheet1'!A1" display="Index" xr:uid="{20264877-7A33-448B-9ED2-6B07C8EC178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11458-5ADA-454B-BC32-A47AC2373A2A}">
  <dimension ref="B1:N99"/>
  <sheetViews>
    <sheetView workbookViewId="0"/>
  </sheetViews>
  <sheetFormatPr defaultColWidth="9.140625" defaultRowHeight="15.75" customHeight="1" x14ac:dyDescent="0.2"/>
  <cols>
    <col min="1" max="1" width="3.5703125" style="2" customWidth="1"/>
    <col min="2" max="2" width="50.42578125" style="9" customWidth="1"/>
    <col min="3" max="3" width="26.85546875" style="9" customWidth="1"/>
    <col min="4" max="4" width="26.5703125" style="9" customWidth="1"/>
    <col min="5" max="5" width="30.710937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132</v>
      </c>
      <c r="C5" s="19"/>
      <c r="D5" s="19"/>
      <c r="E5" s="20"/>
      <c r="F5" s="21"/>
      <c r="G5" s="22"/>
      <c r="H5" s="23"/>
    </row>
    <row r="6" spans="2:8" ht="15.75" customHeight="1" x14ac:dyDescent="0.2">
      <c r="B6" s="24" t="s">
        <v>133</v>
      </c>
      <c r="C6" s="25"/>
      <c r="D6" s="25"/>
      <c r="E6" s="26"/>
      <c r="F6" s="27"/>
      <c r="G6" s="28"/>
      <c r="H6" s="29"/>
    </row>
    <row r="7" spans="2:8" ht="15.75" customHeight="1" x14ac:dyDescent="0.2">
      <c r="B7" s="25" t="s">
        <v>766</v>
      </c>
      <c r="C7" s="25" t="s">
        <v>767</v>
      </c>
      <c r="D7" s="25" t="s">
        <v>178</v>
      </c>
      <c r="E7" s="26">
        <v>324490</v>
      </c>
      <c r="F7" s="27">
        <v>2606.14</v>
      </c>
      <c r="G7" s="28">
        <v>4.2099999999999999E-2</v>
      </c>
      <c r="H7" s="29"/>
    </row>
    <row r="8" spans="2:8" ht="15.75" customHeight="1" x14ac:dyDescent="0.2">
      <c r="B8" s="25" t="s">
        <v>542</v>
      </c>
      <c r="C8" s="25" t="s">
        <v>543</v>
      </c>
      <c r="D8" s="25" t="s">
        <v>178</v>
      </c>
      <c r="E8" s="26">
        <v>44119</v>
      </c>
      <c r="F8" s="27">
        <v>2220.02</v>
      </c>
      <c r="G8" s="28">
        <v>3.5900000000000001E-2</v>
      </c>
      <c r="H8" s="29"/>
    </row>
    <row r="9" spans="2:8" ht="15.75" customHeight="1" x14ac:dyDescent="0.2">
      <c r="B9" s="25" t="s">
        <v>295</v>
      </c>
      <c r="C9" s="25" t="s">
        <v>296</v>
      </c>
      <c r="D9" s="25" t="s">
        <v>297</v>
      </c>
      <c r="E9" s="26">
        <v>43876</v>
      </c>
      <c r="F9" s="27">
        <v>1876.55</v>
      </c>
      <c r="G9" s="28">
        <v>3.0300000000000001E-2</v>
      </c>
      <c r="H9" s="29"/>
    </row>
    <row r="10" spans="2:8" ht="15.75" customHeight="1" x14ac:dyDescent="0.2">
      <c r="B10" s="25" t="s">
        <v>307</v>
      </c>
      <c r="C10" s="25" t="s">
        <v>308</v>
      </c>
      <c r="D10" s="25" t="s">
        <v>297</v>
      </c>
      <c r="E10" s="26">
        <v>74591</v>
      </c>
      <c r="F10" s="27">
        <v>1861.68</v>
      </c>
      <c r="G10" s="28">
        <v>3.0099999999999998E-2</v>
      </c>
      <c r="H10" s="29"/>
    </row>
    <row r="11" spans="2:8" ht="15.75" customHeight="1" x14ac:dyDescent="0.2">
      <c r="B11" s="25" t="s">
        <v>768</v>
      </c>
      <c r="C11" s="25" t="s">
        <v>769</v>
      </c>
      <c r="D11" s="25" t="s">
        <v>297</v>
      </c>
      <c r="E11" s="26">
        <v>47728</v>
      </c>
      <c r="F11" s="27">
        <v>1838.65</v>
      </c>
      <c r="G11" s="28">
        <v>2.9700000000000001E-2</v>
      </c>
      <c r="H11" s="29"/>
    </row>
    <row r="12" spans="2:8" ht="15.75" customHeight="1" x14ac:dyDescent="0.2">
      <c r="B12" s="25" t="s">
        <v>309</v>
      </c>
      <c r="C12" s="25" t="s">
        <v>310</v>
      </c>
      <c r="D12" s="25" t="s">
        <v>311</v>
      </c>
      <c r="E12" s="26">
        <v>597104</v>
      </c>
      <c r="F12" s="27">
        <v>1604.18</v>
      </c>
      <c r="G12" s="28">
        <v>2.5899999999999999E-2</v>
      </c>
      <c r="H12" s="29"/>
    </row>
    <row r="13" spans="2:8" ht="15.75" customHeight="1" x14ac:dyDescent="0.2">
      <c r="B13" s="25" t="s">
        <v>372</v>
      </c>
      <c r="C13" s="25" t="s">
        <v>373</v>
      </c>
      <c r="D13" s="25" t="s">
        <v>352</v>
      </c>
      <c r="E13" s="26">
        <v>97386</v>
      </c>
      <c r="F13" s="27">
        <v>1521.85</v>
      </c>
      <c r="G13" s="28">
        <v>2.46E-2</v>
      </c>
      <c r="H13" s="29"/>
    </row>
    <row r="14" spans="2:8" ht="15.75" customHeight="1" x14ac:dyDescent="0.2">
      <c r="B14" s="25" t="s">
        <v>386</v>
      </c>
      <c r="C14" s="25" t="s">
        <v>387</v>
      </c>
      <c r="D14" s="25" t="s">
        <v>178</v>
      </c>
      <c r="E14" s="26">
        <v>95179</v>
      </c>
      <c r="F14" s="27">
        <v>1508.63</v>
      </c>
      <c r="G14" s="28">
        <v>2.4400000000000002E-2</v>
      </c>
      <c r="H14" s="29"/>
    </row>
    <row r="15" spans="2:8" ht="15.75" customHeight="1" x14ac:dyDescent="0.2">
      <c r="B15" s="25" t="s">
        <v>770</v>
      </c>
      <c r="C15" s="25" t="s">
        <v>771</v>
      </c>
      <c r="D15" s="25" t="s">
        <v>297</v>
      </c>
      <c r="E15" s="26">
        <v>163776</v>
      </c>
      <c r="F15" s="27">
        <v>1458.51</v>
      </c>
      <c r="G15" s="28">
        <v>2.3599999999999999E-2</v>
      </c>
      <c r="H15" s="29"/>
    </row>
    <row r="16" spans="2:8" ht="15.75" customHeight="1" x14ac:dyDescent="0.2">
      <c r="B16" s="25" t="s">
        <v>772</v>
      </c>
      <c r="C16" s="25" t="s">
        <v>773</v>
      </c>
      <c r="D16" s="25" t="s">
        <v>314</v>
      </c>
      <c r="E16" s="26">
        <v>309230</v>
      </c>
      <c r="F16" s="27">
        <v>1418.75</v>
      </c>
      <c r="G16" s="28">
        <v>2.29E-2</v>
      </c>
      <c r="H16" s="29"/>
    </row>
    <row r="17" spans="2:8" ht="15.75" customHeight="1" x14ac:dyDescent="0.2">
      <c r="B17" s="25" t="s">
        <v>536</v>
      </c>
      <c r="C17" s="25" t="s">
        <v>537</v>
      </c>
      <c r="D17" s="25" t="s">
        <v>352</v>
      </c>
      <c r="E17" s="26">
        <v>81962</v>
      </c>
      <c r="F17" s="27">
        <v>1398.93</v>
      </c>
      <c r="G17" s="28">
        <v>2.2599999999999999E-2</v>
      </c>
      <c r="H17" s="29"/>
    </row>
    <row r="18" spans="2:8" ht="15.75" customHeight="1" x14ac:dyDescent="0.2">
      <c r="B18" s="25" t="s">
        <v>350</v>
      </c>
      <c r="C18" s="25" t="s">
        <v>351</v>
      </c>
      <c r="D18" s="25" t="s">
        <v>352</v>
      </c>
      <c r="E18" s="26">
        <v>35739</v>
      </c>
      <c r="F18" s="27">
        <v>1363.44</v>
      </c>
      <c r="G18" s="28">
        <v>2.1999999999999999E-2</v>
      </c>
      <c r="H18" s="29"/>
    </row>
    <row r="19" spans="2:8" ht="15.75" customHeight="1" x14ac:dyDescent="0.2">
      <c r="B19" s="25" t="s">
        <v>652</v>
      </c>
      <c r="C19" s="25" t="s">
        <v>653</v>
      </c>
      <c r="D19" s="25" t="s">
        <v>178</v>
      </c>
      <c r="E19" s="26">
        <v>11454</v>
      </c>
      <c r="F19" s="27">
        <v>1329.48</v>
      </c>
      <c r="G19" s="28">
        <v>2.1499999999999998E-2</v>
      </c>
      <c r="H19" s="29"/>
    </row>
    <row r="20" spans="2:8" ht="15.75" customHeight="1" x14ac:dyDescent="0.2">
      <c r="B20" s="25" t="s">
        <v>730</v>
      </c>
      <c r="C20" s="25" t="s">
        <v>731</v>
      </c>
      <c r="D20" s="25" t="s">
        <v>297</v>
      </c>
      <c r="E20" s="26">
        <v>95720</v>
      </c>
      <c r="F20" s="27">
        <v>1298.44</v>
      </c>
      <c r="G20" s="28">
        <v>2.1000000000000001E-2</v>
      </c>
      <c r="H20" s="29"/>
    </row>
    <row r="21" spans="2:8" ht="15.75" customHeight="1" x14ac:dyDescent="0.2">
      <c r="B21" s="25" t="s">
        <v>360</v>
      </c>
      <c r="C21" s="25" t="s">
        <v>361</v>
      </c>
      <c r="D21" s="25" t="s">
        <v>207</v>
      </c>
      <c r="E21" s="26">
        <v>378595</v>
      </c>
      <c r="F21" s="27">
        <v>1284.3800000000001</v>
      </c>
      <c r="G21" s="28">
        <v>2.07E-2</v>
      </c>
      <c r="H21" s="29"/>
    </row>
    <row r="22" spans="2:8" ht="15.75" customHeight="1" x14ac:dyDescent="0.2">
      <c r="B22" s="25" t="s">
        <v>392</v>
      </c>
      <c r="C22" s="25" t="s">
        <v>393</v>
      </c>
      <c r="D22" s="25" t="s">
        <v>311</v>
      </c>
      <c r="E22" s="26">
        <v>336848</v>
      </c>
      <c r="F22" s="27">
        <v>1241.1199999999999</v>
      </c>
      <c r="G22" s="28">
        <v>0.02</v>
      </c>
      <c r="H22" s="29"/>
    </row>
    <row r="23" spans="2:8" ht="15.75" customHeight="1" x14ac:dyDescent="0.2">
      <c r="B23" s="25" t="s">
        <v>353</v>
      </c>
      <c r="C23" s="25" t="s">
        <v>354</v>
      </c>
      <c r="D23" s="25" t="s">
        <v>212</v>
      </c>
      <c r="E23" s="26">
        <v>187819</v>
      </c>
      <c r="F23" s="27">
        <v>1210.02</v>
      </c>
      <c r="G23" s="28">
        <v>1.95E-2</v>
      </c>
      <c r="H23" s="29"/>
    </row>
    <row r="24" spans="2:8" ht="15.75" customHeight="1" x14ac:dyDescent="0.2">
      <c r="B24" s="25" t="s">
        <v>608</v>
      </c>
      <c r="C24" s="25" t="s">
        <v>609</v>
      </c>
      <c r="D24" s="25" t="s">
        <v>266</v>
      </c>
      <c r="E24" s="26">
        <v>26445</v>
      </c>
      <c r="F24" s="27">
        <v>1128.5</v>
      </c>
      <c r="G24" s="28">
        <v>1.8200000000000001E-2</v>
      </c>
      <c r="H24" s="29"/>
    </row>
    <row r="25" spans="2:8" ht="15.75" customHeight="1" x14ac:dyDescent="0.2">
      <c r="B25" s="25" t="s">
        <v>774</v>
      </c>
      <c r="C25" s="25" t="s">
        <v>775</v>
      </c>
      <c r="D25" s="25" t="s">
        <v>217</v>
      </c>
      <c r="E25" s="26">
        <v>97094</v>
      </c>
      <c r="F25" s="27">
        <v>1104.3499999999999</v>
      </c>
      <c r="G25" s="28">
        <v>1.78E-2</v>
      </c>
      <c r="H25" s="29"/>
    </row>
    <row r="26" spans="2:8" ht="15.75" customHeight="1" x14ac:dyDescent="0.2">
      <c r="B26" s="25" t="s">
        <v>364</v>
      </c>
      <c r="C26" s="25" t="s">
        <v>365</v>
      </c>
      <c r="D26" s="25" t="s">
        <v>297</v>
      </c>
      <c r="E26" s="26">
        <v>74951</v>
      </c>
      <c r="F26" s="27">
        <v>1073.19</v>
      </c>
      <c r="G26" s="28">
        <v>1.7299999999999999E-2</v>
      </c>
      <c r="H26" s="29"/>
    </row>
    <row r="27" spans="2:8" ht="15.75" customHeight="1" x14ac:dyDescent="0.2">
      <c r="B27" s="25" t="s">
        <v>776</v>
      </c>
      <c r="C27" s="25" t="s">
        <v>777</v>
      </c>
      <c r="D27" s="25" t="s">
        <v>263</v>
      </c>
      <c r="E27" s="26">
        <v>103822</v>
      </c>
      <c r="F27" s="27">
        <v>1053.53</v>
      </c>
      <c r="G27" s="28">
        <v>1.7000000000000001E-2</v>
      </c>
      <c r="H27" s="29"/>
    </row>
    <row r="28" spans="2:8" ht="15.75" customHeight="1" x14ac:dyDescent="0.2">
      <c r="B28" s="25" t="s">
        <v>509</v>
      </c>
      <c r="C28" s="25" t="s">
        <v>510</v>
      </c>
      <c r="D28" s="25" t="s">
        <v>311</v>
      </c>
      <c r="E28" s="26">
        <v>30754</v>
      </c>
      <c r="F28" s="27">
        <v>1042.24</v>
      </c>
      <c r="G28" s="28">
        <v>1.6799999999999999E-2</v>
      </c>
      <c r="H28" s="29"/>
    </row>
    <row r="29" spans="2:8" ht="15.75" customHeight="1" x14ac:dyDescent="0.2">
      <c r="B29" s="25" t="s">
        <v>398</v>
      </c>
      <c r="C29" s="25" t="s">
        <v>399</v>
      </c>
      <c r="D29" s="25" t="s">
        <v>178</v>
      </c>
      <c r="E29" s="26">
        <v>234351</v>
      </c>
      <c r="F29" s="27">
        <v>973.49</v>
      </c>
      <c r="G29" s="28">
        <v>1.5699999999999999E-2</v>
      </c>
      <c r="H29" s="29"/>
    </row>
    <row r="30" spans="2:8" ht="15.75" customHeight="1" x14ac:dyDescent="0.2">
      <c r="B30" s="25" t="s">
        <v>610</v>
      </c>
      <c r="C30" s="25" t="s">
        <v>611</v>
      </c>
      <c r="D30" s="25" t="s">
        <v>266</v>
      </c>
      <c r="E30" s="26">
        <v>6140</v>
      </c>
      <c r="F30" s="27">
        <v>972.11</v>
      </c>
      <c r="G30" s="28">
        <v>1.5699999999999999E-2</v>
      </c>
      <c r="H30" s="29"/>
    </row>
    <row r="31" spans="2:8" ht="15.75" customHeight="1" x14ac:dyDescent="0.2">
      <c r="B31" s="25" t="s">
        <v>491</v>
      </c>
      <c r="C31" s="25" t="s">
        <v>492</v>
      </c>
      <c r="D31" s="25" t="s">
        <v>269</v>
      </c>
      <c r="E31" s="26">
        <v>7756</v>
      </c>
      <c r="F31" s="27">
        <v>921.97</v>
      </c>
      <c r="G31" s="28">
        <v>1.49E-2</v>
      </c>
      <c r="H31" s="29"/>
    </row>
    <row r="32" spans="2:8" ht="15.75" customHeight="1" x14ac:dyDescent="0.2">
      <c r="B32" s="25" t="s">
        <v>143</v>
      </c>
      <c r="C32" s="25" t="s">
        <v>144</v>
      </c>
      <c r="D32" s="25" t="s">
        <v>145</v>
      </c>
      <c r="E32" s="26">
        <v>31051</v>
      </c>
      <c r="F32" s="27">
        <v>902.9</v>
      </c>
      <c r="G32" s="28">
        <v>1.46E-2</v>
      </c>
      <c r="H32" s="29"/>
    </row>
    <row r="33" spans="2:8" ht="15.75" customHeight="1" x14ac:dyDescent="0.2">
      <c r="B33" s="25" t="s">
        <v>648</v>
      </c>
      <c r="C33" s="25" t="s">
        <v>649</v>
      </c>
      <c r="D33" s="25" t="s">
        <v>297</v>
      </c>
      <c r="E33" s="26">
        <v>72593</v>
      </c>
      <c r="F33" s="27">
        <v>895.94</v>
      </c>
      <c r="G33" s="28">
        <v>1.4500000000000001E-2</v>
      </c>
      <c r="H33" s="29"/>
    </row>
    <row r="34" spans="2:8" ht="15.75" customHeight="1" x14ac:dyDescent="0.2">
      <c r="B34" s="25" t="s">
        <v>632</v>
      </c>
      <c r="C34" s="25" t="s">
        <v>633</v>
      </c>
      <c r="D34" s="25" t="s">
        <v>311</v>
      </c>
      <c r="E34" s="26">
        <v>1644</v>
      </c>
      <c r="F34" s="27">
        <v>895.27</v>
      </c>
      <c r="G34" s="28">
        <v>1.4500000000000001E-2</v>
      </c>
      <c r="H34" s="29"/>
    </row>
    <row r="35" spans="2:8" ht="15.75" customHeight="1" x14ac:dyDescent="0.2">
      <c r="B35" s="25" t="s">
        <v>408</v>
      </c>
      <c r="C35" s="25" t="s">
        <v>409</v>
      </c>
      <c r="D35" s="25" t="s">
        <v>297</v>
      </c>
      <c r="E35" s="26">
        <v>19560</v>
      </c>
      <c r="F35" s="27">
        <v>846.92</v>
      </c>
      <c r="G35" s="28">
        <v>1.37E-2</v>
      </c>
      <c r="H35" s="29"/>
    </row>
    <row r="36" spans="2:8" ht="15.75" customHeight="1" x14ac:dyDescent="0.2">
      <c r="B36" s="25" t="s">
        <v>173</v>
      </c>
      <c r="C36" s="25" t="s">
        <v>174</v>
      </c>
      <c r="D36" s="25" t="s">
        <v>175</v>
      </c>
      <c r="E36" s="26">
        <v>266358</v>
      </c>
      <c r="F36" s="27">
        <v>841.82</v>
      </c>
      <c r="G36" s="28">
        <v>1.3599999999999999E-2</v>
      </c>
      <c r="H36" s="29"/>
    </row>
    <row r="37" spans="2:8" ht="15.75" customHeight="1" x14ac:dyDescent="0.2">
      <c r="B37" s="25" t="s">
        <v>326</v>
      </c>
      <c r="C37" s="25" t="s">
        <v>327</v>
      </c>
      <c r="D37" s="25" t="s">
        <v>212</v>
      </c>
      <c r="E37" s="26">
        <v>145090</v>
      </c>
      <c r="F37" s="27">
        <v>807.86</v>
      </c>
      <c r="G37" s="28">
        <v>1.2999999999999999E-2</v>
      </c>
      <c r="H37" s="29"/>
    </row>
    <row r="38" spans="2:8" ht="15.75" customHeight="1" x14ac:dyDescent="0.2">
      <c r="B38" s="25" t="s">
        <v>778</v>
      </c>
      <c r="C38" s="25" t="s">
        <v>779</v>
      </c>
      <c r="D38" s="25" t="s">
        <v>297</v>
      </c>
      <c r="E38" s="26">
        <v>13913</v>
      </c>
      <c r="F38" s="27">
        <v>779.6</v>
      </c>
      <c r="G38" s="28">
        <v>1.26E-2</v>
      </c>
      <c r="H38" s="29"/>
    </row>
    <row r="39" spans="2:8" ht="15.75" customHeight="1" x14ac:dyDescent="0.2">
      <c r="B39" s="25" t="s">
        <v>687</v>
      </c>
      <c r="C39" s="25" t="s">
        <v>688</v>
      </c>
      <c r="D39" s="25" t="s">
        <v>202</v>
      </c>
      <c r="E39" s="26">
        <v>127680</v>
      </c>
      <c r="F39" s="27">
        <v>772.53</v>
      </c>
      <c r="G39" s="28">
        <v>1.2500000000000001E-2</v>
      </c>
      <c r="H39" s="29"/>
    </row>
    <row r="40" spans="2:8" ht="15.75" customHeight="1" x14ac:dyDescent="0.2">
      <c r="B40" s="25" t="s">
        <v>705</v>
      </c>
      <c r="C40" s="25" t="s">
        <v>706</v>
      </c>
      <c r="D40" s="25" t="s">
        <v>297</v>
      </c>
      <c r="E40" s="26">
        <v>80130</v>
      </c>
      <c r="F40" s="27">
        <v>770.57</v>
      </c>
      <c r="G40" s="28">
        <v>1.24E-2</v>
      </c>
      <c r="H40" s="29"/>
    </row>
    <row r="41" spans="2:8" ht="15.75" customHeight="1" x14ac:dyDescent="0.2">
      <c r="B41" s="25" t="s">
        <v>404</v>
      </c>
      <c r="C41" s="25" t="s">
        <v>405</v>
      </c>
      <c r="D41" s="25" t="s">
        <v>266</v>
      </c>
      <c r="E41" s="26">
        <v>43585</v>
      </c>
      <c r="F41" s="27">
        <v>755.55</v>
      </c>
      <c r="G41" s="28">
        <v>1.2200000000000001E-2</v>
      </c>
      <c r="H41" s="29"/>
    </row>
    <row r="42" spans="2:8" ht="15.75" customHeight="1" x14ac:dyDescent="0.2">
      <c r="B42" s="25" t="s">
        <v>746</v>
      </c>
      <c r="C42" s="25" t="s">
        <v>747</v>
      </c>
      <c r="D42" s="25" t="s">
        <v>311</v>
      </c>
      <c r="E42" s="26">
        <v>98507</v>
      </c>
      <c r="F42" s="27">
        <v>740.58</v>
      </c>
      <c r="G42" s="28">
        <v>1.2E-2</v>
      </c>
      <c r="H42" s="29"/>
    </row>
    <row r="43" spans="2:8" ht="15.75" customHeight="1" x14ac:dyDescent="0.2">
      <c r="B43" s="25" t="s">
        <v>780</v>
      </c>
      <c r="C43" s="25" t="s">
        <v>781</v>
      </c>
      <c r="D43" s="25" t="s">
        <v>184</v>
      </c>
      <c r="E43" s="26">
        <v>255175</v>
      </c>
      <c r="F43" s="27">
        <v>734.55</v>
      </c>
      <c r="G43" s="28">
        <v>1.1900000000000001E-2</v>
      </c>
      <c r="H43" s="29"/>
    </row>
    <row r="44" spans="2:8" ht="15.75" customHeight="1" x14ac:dyDescent="0.2">
      <c r="B44" s="25" t="s">
        <v>228</v>
      </c>
      <c r="C44" s="25" t="s">
        <v>229</v>
      </c>
      <c r="D44" s="25" t="s">
        <v>230</v>
      </c>
      <c r="E44" s="26">
        <v>72698</v>
      </c>
      <c r="F44" s="27">
        <v>718</v>
      </c>
      <c r="G44" s="28">
        <v>1.1599999999999999E-2</v>
      </c>
      <c r="H44" s="29"/>
    </row>
    <row r="45" spans="2:8" ht="15.75" customHeight="1" x14ac:dyDescent="0.2">
      <c r="B45" s="25" t="s">
        <v>782</v>
      </c>
      <c r="C45" s="25" t="s">
        <v>783</v>
      </c>
      <c r="D45" s="25" t="s">
        <v>212</v>
      </c>
      <c r="E45" s="26">
        <v>224091</v>
      </c>
      <c r="F45" s="27">
        <v>699.72</v>
      </c>
      <c r="G45" s="28">
        <v>1.1299999999999999E-2</v>
      </c>
      <c r="H45" s="29"/>
    </row>
    <row r="46" spans="2:8" ht="15.75" customHeight="1" x14ac:dyDescent="0.2">
      <c r="B46" s="25" t="s">
        <v>332</v>
      </c>
      <c r="C46" s="25" t="s">
        <v>333</v>
      </c>
      <c r="D46" s="25" t="s">
        <v>297</v>
      </c>
      <c r="E46" s="26">
        <v>44356</v>
      </c>
      <c r="F46" s="27">
        <v>658.91</v>
      </c>
      <c r="G46" s="28">
        <v>1.06E-2</v>
      </c>
      <c r="H46" s="29"/>
    </row>
    <row r="47" spans="2:8" ht="15.75" customHeight="1" x14ac:dyDescent="0.2">
      <c r="B47" s="25" t="s">
        <v>439</v>
      </c>
      <c r="C47" s="25" t="s">
        <v>440</v>
      </c>
      <c r="D47" s="25" t="s">
        <v>297</v>
      </c>
      <c r="E47" s="26">
        <v>48068</v>
      </c>
      <c r="F47" s="27">
        <v>622.6</v>
      </c>
      <c r="G47" s="28">
        <v>1.01E-2</v>
      </c>
      <c r="H47" s="29"/>
    </row>
    <row r="48" spans="2:8" ht="15.75" customHeight="1" x14ac:dyDescent="0.2">
      <c r="B48" s="25" t="s">
        <v>182</v>
      </c>
      <c r="C48" s="25" t="s">
        <v>183</v>
      </c>
      <c r="D48" s="25" t="s">
        <v>184</v>
      </c>
      <c r="E48" s="26">
        <v>132099</v>
      </c>
      <c r="F48" s="27">
        <v>599.20000000000005</v>
      </c>
      <c r="G48" s="28">
        <v>9.7000000000000003E-3</v>
      </c>
      <c r="H48" s="29"/>
    </row>
    <row r="49" spans="2:8" ht="15.75" customHeight="1" x14ac:dyDescent="0.2">
      <c r="B49" s="25" t="s">
        <v>255</v>
      </c>
      <c r="C49" s="25" t="s">
        <v>256</v>
      </c>
      <c r="D49" s="25" t="s">
        <v>184</v>
      </c>
      <c r="E49" s="26">
        <v>140752</v>
      </c>
      <c r="F49" s="27">
        <v>585.53</v>
      </c>
      <c r="G49" s="28">
        <v>9.4999999999999998E-3</v>
      </c>
      <c r="H49" s="29"/>
    </row>
    <row r="50" spans="2:8" ht="15.75" customHeight="1" x14ac:dyDescent="0.2">
      <c r="B50" s="25" t="s">
        <v>176</v>
      </c>
      <c r="C50" s="25" t="s">
        <v>177</v>
      </c>
      <c r="D50" s="25" t="s">
        <v>178</v>
      </c>
      <c r="E50" s="26">
        <v>185689</v>
      </c>
      <c r="F50" s="27">
        <v>585.38</v>
      </c>
      <c r="G50" s="28">
        <v>9.4999999999999998E-3</v>
      </c>
      <c r="H50" s="29"/>
    </row>
    <row r="51" spans="2:8" ht="15.75" customHeight="1" x14ac:dyDescent="0.2">
      <c r="B51" s="25" t="s">
        <v>153</v>
      </c>
      <c r="C51" s="25" t="s">
        <v>154</v>
      </c>
      <c r="D51" s="25" t="s">
        <v>155</v>
      </c>
      <c r="E51" s="26">
        <v>18841</v>
      </c>
      <c r="F51" s="27">
        <v>567.27</v>
      </c>
      <c r="G51" s="28">
        <v>9.1999999999999998E-3</v>
      </c>
      <c r="H51" s="29"/>
    </row>
    <row r="52" spans="2:8" ht="15.75" customHeight="1" x14ac:dyDescent="0.2">
      <c r="B52" s="25" t="s">
        <v>340</v>
      </c>
      <c r="C52" s="25" t="s">
        <v>341</v>
      </c>
      <c r="D52" s="25" t="s">
        <v>263</v>
      </c>
      <c r="E52" s="26">
        <v>12402</v>
      </c>
      <c r="F52" s="27">
        <v>554.64</v>
      </c>
      <c r="G52" s="28">
        <v>8.9999999999999993E-3</v>
      </c>
      <c r="H52" s="29"/>
    </row>
    <row r="53" spans="2:8" ht="15.75" customHeight="1" x14ac:dyDescent="0.2">
      <c r="B53" s="25" t="s">
        <v>366</v>
      </c>
      <c r="C53" s="25" t="s">
        <v>367</v>
      </c>
      <c r="D53" s="25" t="s">
        <v>233</v>
      </c>
      <c r="E53" s="26">
        <v>11608</v>
      </c>
      <c r="F53" s="27">
        <v>552.16</v>
      </c>
      <c r="G53" s="28">
        <v>8.8999999999999999E-3</v>
      </c>
      <c r="H53" s="29"/>
    </row>
    <row r="54" spans="2:8" ht="15.75" customHeight="1" x14ac:dyDescent="0.2">
      <c r="B54" s="25" t="s">
        <v>709</v>
      </c>
      <c r="C54" s="25" t="s">
        <v>710</v>
      </c>
      <c r="D54" s="25" t="s">
        <v>263</v>
      </c>
      <c r="E54" s="26">
        <v>380793</v>
      </c>
      <c r="F54" s="27">
        <v>547.12</v>
      </c>
      <c r="G54" s="28">
        <v>8.8000000000000005E-3</v>
      </c>
      <c r="H54" s="29"/>
    </row>
    <row r="55" spans="2:8" ht="15.75" customHeight="1" x14ac:dyDescent="0.2">
      <c r="B55" s="25" t="s">
        <v>697</v>
      </c>
      <c r="C55" s="25" t="s">
        <v>698</v>
      </c>
      <c r="D55" s="25" t="s">
        <v>184</v>
      </c>
      <c r="E55" s="26">
        <v>306820</v>
      </c>
      <c r="F55" s="27">
        <v>529.33000000000004</v>
      </c>
      <c r="G55" s="28">
        <v>8.5000000000000006E-3</v>
      </c>
      <c r="H55" s="29"/>
    </row>
    <row r="56" spans="2:8" ht="15.75" customHeight="1" x14ac:dyDescent="0.2">
      <c r="B56" s="25" t="s">
        <v>261</v>
      </c>
      <c r="C56" s="25" t="s">
        <v>262</v>
      </c>
      <c r="D56" s="25" t="s">
        <v>263</v>
      </c>
      <c r="E56" s="26">
        <v>45755</v>
      </c>
      <c r="F56" s="27">
        <v>476.06</v>
      </c>
      <c r="G56" s="28">
        <v>7.7000000000000002E-3</v>
      </c>
      <c r="H56" s="29"/>
    </row>
    <row r="57" spans="2:8" ht="15.75" customHeight="1" x14ac:dyDescent="0.2">
      <c r="B57" s="25" t="s">
        <v>784</v>
      </c>
      <c r="C57" s="25" t="s">
        <v>785</v>
      </c>
      <c r="D57" s="25" t="s">
        <v>352</v>
      </c>
      <c r="E57" s="26">
        <v>184817</v>
      </c>
      <c r="F57" s="27">
        <v>472.02</v>
      </c>
      <c r="G57" s="28">
        <v>7.6E-3</v>
      </c>
      <c r="H57" s="29"/>
    </row>
    <row r="58" spans="2:8" ht="15.75" customHeight="1" x14ac:dyDescent="0.2">
      <c r="B58" s="25" t="s">
        <v>272</v>
      </c>
      <c r="C58" s="25" t="s">
        <v>273</v>
      </c>
      <c r="D58" s="25" t="s">
        <v>175</v>
      </c>
      <c r="E58" s="26">
        <v>8623</v>
      </c>
      <c r="F58" s="27">
        <v>424.5</v>
      </c>
      <c r="G58" s="28">
        <v>6.8999999999999999E-3</v>
      </c>
      <c r="H58" s="29"/>
    </row>
    <row r="59" spans="2:8" ht="15.75" customHeight="1" x14ac:dyDescent="0.2">
      <c r="B59" s="25" t="s">
        <v>723</v>
      </c>
      <c r="C59" s="25" t="s">
        <v>724</v>
      </c>
      <c r="D59" s="25" t="s">
        <v>178</v>
      </c>
      <c r="E59" s="26">
        <v>78411</v>
      </c>
      <c r="F59" s="27">
        <v>409.27</v>
      </c>
      <c r="G59" s="28">
        <v>6.6E-3</v>
      </c>
      <c r="H59" s="29"/>
    </row>
    <row r="60" spans="2:8" ht="15.75" customHeight="1" x14ac:dyDescent="0.2">
      <c r="B60" s="25" t="s">
        <v>786</v>
      </c>
      <c r="C60" s="25" t="s">
        <v>787</v>
      </c>
      <c r="D60" s="25" t="s">
        <v>263</v>
      </c>
      <c r="E60" s="26">
        <v>4814</v>
      </c>
      <c r="F60" s="27">
        <v>393.57</v>
      </c>
      <c r="G60" s="28">
        <v>6.4000000000000003E-3</v>
      </c>
      <c r="H60" s="29"/>
    </row>
    <row r="61" spans="2:8" ht="15.75" customHeight="1" x14ac:dyDescent="0.2">
      <c r="B61" s="25" t="s">
        <v>788</v>
      </c>
      <c r="C61" s="25" t="s">
        <v>789</v>
      </c>
      <c r="D61" s="25" t="s">
        <v>311</v>
      </c>
      <c r="E61" s="26">
        <v>26846</v>
      </c>
      <c r="F61" s="27">
        <v>387.88</v>
      </c>
      <c r="G61" s="28">
        <v>6.3E-3</v>
      </c>
      <c r="H61" s="29"/>
    </row>
    <row r="62" spans="2:8" ht="15.75" customHeight="1" x14ac:dyDescent="0.2">
      <c r="B62" s="25" t="s">
        <v>790</v>
      </c>
      <c r="C62" s="25" t="s">
        <v>791</v>
      </c>
      <c r="D62" s="25" t="s">
        <v>311</v>
      </c>
      <c r="E62" s="26">
        <v>104812</v>
      </c>
      <c r="F62" s="27">
        <v>376.54</v>
      </c>
      <c r="G62" s="28">
        <v>6.1000000000000004E-3</v>
      </c>
      <c r="H62" s="29"/>
    </row>
    <row r="63" spans="2:8" ht="15.75" customHeight="1" x14ac:dyDescent="0.2">
      <c r="B63" s="25" t="s">
        <v>668</v>
      </c>
      <c r="C63" s="25" t="s">
        <v>669</v>
      </c>
      <c r="D63" s="25" t="s">
        <v>175</v>
      </c>
      <c r="E63" s="26">
        <v>25746</v>
      </c>
      <c r="F63" s="27">
        <v>375.92</v>
      </c>
      <c r="G63" s="28">
        <v>6.1000000000000004E-3</v>
      </c>
      <c r="H63" s="29"/>
    </row>
    <row r="64" spans="2:8" ht="15.75" customHeight="1" x14ac:dyDescent="0.2">
      <c r="B64" s="25" t="s">
        <v>270</v>
      </c>
      <c r="C64" s="25" t="s">
        <v>271</v>
      </c>
      <c r="D64" s="25" t="s">
        <v>240</v>
      </c>
      <c r="E64" s="26">
        <v>51768</v>
      </c>
      <c r="F64" s="27">
        <v>346.64</v>
      </c>
      <c r="G64" s="28">
        <v>5.5999999999999999E-3</v>
      </c>
      <c r="H64" s="29"/>
    </row>
    <row r="65" spans="2:14" ht="15.75" customHeight="1" x14ac:dyDescent="0.2">
      <c r="B65" s="25" t="s">
        <v>505</v>
      </c>
      <c r="C65" s="25" t="s">
        <v>506</v>
      </c>
      <c r="D65" s="25" t="s">
        <v>155</v>
      </c>
      <c r="E65" s="26">
        <v>54164</v>
      </c>
      <c r="F65" s="27">
        <v>336.58</v>
      </c>
      <c r="G65" s="28">
        <v>5.4000000000000003E-3</v>
      </c>
      <c r="H65" s="29"/>
    </row>
    <row r="66" spans="2:14" ht="15.75" customHeight="1" x14ac:dyDescent="0.2">
      <c r="B66" s="25" t="s">
        <v>792</v>
      </c>
      <c r="C66" s="25" t="s">
        <v>793</v>
      </c>
      <c r="D66" s="25" t="s">
        <v>297</v>
      </c>
      <c r="E66" s="26">
        <v>10170</v>
      </c>
      <c r="F66" s="27">
        <v>320.11</v>
      </c>
      <c r="G66" s="28">
        <v>5.1999999999999998E-3</v>
      </c>
      <c r="H66" s="29"/>
    </row>
    <row r="67" spans="2:14" ht="15.75" customHeight="1" x14ac:dyDescent="0.2">
      <c r="B67" s="25" t="s">
        <v>215</v>
      </c>
      <c r="C67" s="25" t="s">
        <v>216</v>
      </c>
      <c r="D67" s="25" t="s">
        <v>217</v>
      </c>
      <c r="E67" s="26">
        <v>19331</v>
      </c>
      <c r="F67" s="27">
        <v>288.33</v>
      </c>
      <c r="G67" s="28">
        <v>4.7000000000000002E-3</v>
      </c>
      <c r="H67" s="29"/>
    </row>
    <row r="68" spans="2:14" ht="15.75" customHeight="1" x14ac:dyDescent="0.2">
      <c r="B68" s="25" t="s">
        <v>446</v>
      </c>
      <c r="C68" s="25" t="s">
        <v>447</v>
      </c>
      <c r="D68" s="25" t="s">
        <v>202</v>
      </c>
      <c r="E68" s="26">
        <v>15470</v>
      </c>
      <c r="F68" s="27">
        <v>280.92</v>
      </c>
      <c r="G68" s="28">
        <v>4.4999999999999997E-3</v>
      </c>
      <c r="H68" s="29"/>
      <c r="J68" s="3"/>
    </row>
    <row r="69" spans="2:14" ht="15.75" customHeight="1" x14ac:dyDescent="0.2">
      <c r="B69" s="25" t="s">
        <v>420</v>
      </c>
      <c r="C69" s="25" t="s">
        <v>421</v>
      </c>
      <c r="D69" s="25" t="s">
        <v>202</v>
      </c>
      <c r="E69" s="26">
        <v>119489</v>
      </c>
      <c r="F69" s="27">
        <v>261.76</v>
      </c>
      <c r="G69" s="28">
        <v>4.1999999999999997E-3</v>
      </c>
      <c r="H69" s="29"/>
    </row>
    <row r="70" spans="2:14" ht="15.75" customHeight="1" x14ac:dyDescent="0.2">
      <c r="B70" s="25" t="s">
        <v>540</v>
      </c>
      <c r="C70" s="25" t="s">
        <v>541</v>
      </c>
      <c r="D70" s="25" t="s">
        <v>207</v>
      </c>
      <c r="E70" s="26">
        <v>37779</v>
      </c>
      <c r="F70" s="27">
        <v>207.03</v>
      </c>
      <c r="G70" s="28">
        <v>3.3E-3</v>
      </c>
      <c r="H70" s="29"/>
      <c r="J70" s="3"/>
    </row>
    <row r="71" spans="2:14" ht="15.75" customHeight="1" x14ac:dyDescent="0.2">
      <c r="B71" s="25" t="s">
        <v>794</v>
      </c>
      <c r="C71" s="25" t="s">
        <v>795</v>
      </c>
      <c r="D71" s="25" t="s">
        <v>245</v>
      </c>
      <c r="E71" s="26">
        <v>48564</v>
      </c>
      <c r="F71" s="27">
        <v>164.61</v>
      </c>
      <c r="G71" s="28">
        <v>2.7000000000000001E-3</v>
      </c>
      <c r="H71" s="29"/>
      <c r="J71" s="3"/>
    </row>
    <row r="72" spans="2:14" ht="15.75" customHeight="1" x14ac:dyDescent="0.2">
      <c r="B72" s="25" t="s">
        <v>796</v>
      </c>
      <c r="C72" s="25" t="s">
        <v>797</v>
      </c>
      <c r="D72" s="25" t="s">
        <v>297</v>
      </c>
      <c r="E72" s="26">
        <v>2276</v>
      </c>
      <c r="F72" s="27">
        <v>138.19</v>
      </c>
      <c r="G72" s="28">
        <v>2.2000000000000001E-3</v>
      </c>
      <c r="H72" s="29"/>
      <c r="J72" s="3"/>
    </row>
    <row r="73" spans="2:14" ht="15.75" customHeight="1" x14ac:dyDescent="0.2">
      <c r="B73" s="25" t="s">
        <v>798</v>
      </c>
      <c r="C73" s="25" t="s">
        <v>799</v>
      </c>
      <c r="D73" s="25" t="s">
        <v>311</v>
      </c>
      <c r="E73" s="26">
        <v>583</v>
      </c>
      <c r="F73" s="27">
        <v>117.41</v>
      </c>
      <c r="G73" s="28">
        <v>1.9E-3</v>
      </c>
      <c r="H73" s="29"/>
      <c r="J73" s="3"/>
    </row>
    <row r="74" spans="2:14" ht="15.75" customHeight="1" x14ac:dyDescent="0.2">
      <c r="B74" s="25" t="s">
        <v>538</v>
      </c>
      <c r="C74" s="25" t="s">
        <v>539</v>
      </c>
      <c r="D74" s="25" t="s">
        <v>297</v>
      </c>
      <c r="E74" s="26">
        <v>15832</v>
      </c>
      <c r="F74" s="27">
        <v>96.61</v>
      </c>
      <c r="G74" s="28">
        <v>1.6000000000000001E-3</v>
      </c>
      <c r="H74" s="29"/>
      <c r="J74" s="3"/>
    </row>
    <row r="75" spans="2:14" ht="15.75" customHeight="1" x14ac:dyDescent="0.2">
      <c r="B75" s="25" t="s">
        <v>800</v>
      </c>
      <c r="C75" s="25" t="s">
        <v>801</v>
      </c>
      <c r="D75" s="25" t="s">
        <v>266</v>
      </c>
      <c r="E75" s="26">
        <v>14145</v>
      </c>
      <c r="F75" s="27">
        <v>94.74</v>
      </c>
      <c r="G75" s="28">
        <v>1.5E-3</v>
      </c>
      <c r="H75" s="29"/>
      <c r="J75" s="5"/>
      <c r="K75" s="5"/>
      <c r="L75" s="6"/>
      <c r="M75" s="6"/>
      <c r="N75" s="5"/>
    </row>
    <row r="76" spans="2:14" ht="15.75" customHeight="1" x14ac:dyDescent="0.2">
      <c r="B76" s="24" t="s">
        <v>104</v>
      </c>
      <c r="C76" s="24"/>
      <c r="D76" s="24"/>
      <c r="E76" s="30"/>
      <c r="F76" s="31">
        <v>58242.79</v>
      </c>
      <c r="G76" s="32">
        <v>0.9405</v>
      </c>
      <c r="H76" s="33"/>
    </row>
    <row r="77" spans="2:14" ht="15.75" customHeight="1" x14ac:dyDescent="0.2">
      <c r="B77" s="24" t="s">
        <v>156</v>
      </c>
      <c r="C77" s="25"/>
      <c r="D77" s="25"/>
      <c r="E77" s="26"/>
      <c r="F77" s="27"/>
      <c r="G77" s="28"/>
      <c r="H77" s="29"/>
    </row>
    <row r="78" spans="2:14" ht="15.75" customHeight="1" x14ac:dyDescent="0.2">
      <c r="B78" s="24" t="s">
        <v>104</v>
      </c>
      <c r="C78" s="25"/>
      <c r="D78" s="25"/>
      <c r="E78" s="26"/>
      <c r="F78" s="34" t="s">
        <v>106</v>
      </c>
      <c r="G78" s="35" t="s">
        <v>106</v>
      </c>
      <c r="H78" s="29"/>
      <c r="J78" s="7"/>
      <c r="K78" s="7"/>
      <c r="L78" s="7"/>
      <c r="M78" s="7"/>
      <c r="N78" s="7"/>
    </row>
    <row r="79" spans="2:14" ht="15.75" customHeight="1" x14ac:dyDescent="0.2">
      <c r="B79" s="25"/>
      <c r="C79" s="25"/>
      <c r="D79" s="25"/>
      <c r="E79" s="26"/>
      <c r="F79" s="27"/>
      <c r="G79" s="28"/>
      <c r="H79" s="29"/>
      <c r="J79" s="7"/>
      <c r="K79" s="7"/>
      <c r="L79" s="7"/>
      <c r="M79" s="7"/>
      <c r="N79" s="7"/>
    </row>
    <row r="80" spans="2:14" ht="15.75" customHeight="1" x14ac:dyDescent="0.2">
      <c r="B80" s="36" t="s">
        <v>108</v>
      </c>
      <c r="C80" s="36"/>
      <c r="D80" s="36"/>
      <c r="E80" s="37"/>
      <c r="F80" s="31">
        <v>58242.79</v>
      </c>
      <c r="G80" s="32">
        <v>0.9405</v>
      </c>
      <c r="H80" s="33"/>
      <c r="J80" s="7"/>
      <c r="K80" s="7"/>
      <c r="L80" s="7"/>
      <c r="M80" s="7"/>
      <c r="N80" s="7"/>
    </row>
    <row r="81" spans="2:14" ht="15.75" customHeight="1" x14ac:dyDescent="0.2">
      <c r="B81" s="25"/>
      <c r="C81" s="25"/>
      <c r="D81" s="25"/>
      <c r="E81" s="26"/>
      <c r="F81" s="27"/>
      <c r="G81" s="28"/>
      <c r="H81" s="29"/>
      <c r="J81" s="7"/>
      <c r="K81" s="7"/>
      <c r="L81" s="7"/>
      <c r="M81" s="7"/>
      <c r="N81" s="7"/>
    </row>
    <row r="82" spans="2:14" ht="15.75" customHeight="1" x14ac:dyDescent="0.2">
      <c r="B82" s="25"/>
      <c r="C82" s="25"/>
      <c r="D82" s="25"/>
      <c r="E82" s="26"/>
      <c r="F82" s="27"/>
      <c r="G82" s="28"/>
      <c r="H82" s="29"/>
      <c r="J82" s="7"/>
      <c r="K82" s="7"/>
      <c r="L82" s="7"/>
      <c r="M82" s="7"/>
      <c r="N82" s="7"/>
    </row>
    <row r="83" spans="2:14" ht="15.75" customHeight="1" x14ac:dyDescent="0.2">
      <c r="B83" s="24" t="s">
        <v>111</v>
      </c>
      <c r="C83" s="25"/>
      <c r="D83" s="25"/>
      <c r="E83" s="26"/>
      <c r="F83" s="27"/>
      <c r="G83" s="28"/>
      <c r="H83" s="29"/>
      <c r="J83" s="7"/>
      <c r="K83" s="7"/>
      <c r="L83" s="7"/>
      <c r="M83" s="7"/>
      <c r="N83" s="7"/>
    </row>
    <row r="84" spans="2:14" ht="15.75" customHeight="1" x14ac:dyDescent="0.2">
      <c r="B84" s="25" t="s">
        <v>112</v>
      </c>
      <c r="C84" s="25"/>
      <c r="D84" s="25"/>
      <c r="E84" s="26"/>
      <c r="F84" s="27">
        <v>4715.96</v>
      </c>
      <c r="G84" s="28">
        <v>7.6200000000000004E-2</v>
      </c>
      <c r="H84" s="29"/>
      <c r="J84" s="7"/>
      <c r="K84" s="7"/>
      <c r="L84" s="7"/>
      <c r="M84" s="7"/>
      <c r="N84" s="7"/>
    </row>
    <row r="85" spans="2:14" ht="15.75" customHeight="1" x14ac:dyDescent="0.2">
      <c r="B85" s="24" t="s">
        <v>104</v>
      </c>
      <c r="C85" s="24"/>
      <c r="D85" s="24"/>
      <c r="E85" s="30"/>
      <c r="F85" s="31">
        <v>4715.96</v>
      </c>
      <c r="G85" s="32">
        <v>7.6200000000000004E-2</v>
      </c>
      <c r="H85" s="33"/>
    </row>
    <row r="86" spans="2:14" ht="15.75" customHeight="1" x14ac:dyDescent="0.2">
      <c r="B86" s="25"/>
      <c r="C86" s="25"/>
      <c r="D86" s="25"/>
      <c r="E86" s="26"/>
      <c r="F86" s="27"/>
      <c r="G86" s="28"/>
      <c r="H86" s="29"/>
      <c r="J86" s="3"/>
    </row>
    <row r="87" spans="2:14" ht="15.75" customHeight="1" x14ac:dyDescent="0.2">
      <c r="B87" s="36" t="s">
        <v>108</v>
      </c>
      <c r="C87" s="36"/>
      <c r="D87" s="36"/>
      <c r="E87" s="37"/>
      <c r="F87" s="31">
        <v>4715.96</v>
      </c>
      <c r="G87" s="32">
        <v>7.6200000000000004E-2</v>
      </c>
      <c r="H87" s="33"/>
    </row>
    <row r="88" spans="2:14" ht="15.75" customHeight="1" x14ac:dyDescent="0.2">
      <c r="B88" s="25" t="s">
        <v>113</v>
      </c>
      <c r="C88" s="25"/>
      <c r="D88" s="25"/>
      <c r="E88" s="26"/>
      <c r="F88" s="38">
        <v>-1036.79</v>
      </c>
      <c r="G88" s="39">
        <v>-1.6699999999999937E-2</v>
      </c>
      <c r="H88" s="29"/>
    </row>
    <row r="89" spans="2:14" ht="15.75" customHeight="1" x14ac:dyDescent="0.2">
      <c r="B89" s="40" t="s">
        <v>114</v>
      </c>
      <c r="C89" s="40"/>
      <c r="D89" s="40"/>
      <c r="E89" s="41"/>
      <c r="F89" s="42">
        <v>61921.96</v>
      </c>
      <c r="G89" s="43">
        <v>1</v>
      </c>
      <c r="H89" s="44"/>
    </row>
    <row r="90" spans="2:14" ht="15.75" customHeight="1" thickBot="1" x14ac:dyDescent="0.25">
      <c r="B90" s="2"/>
    </row>
    <row r="91" spans="2:14" ht="27" customHeight="1" thickBot="1" x14ac:dyDescent="0.25">
      <c r="B91" s="56" t="s">
        <v>1009</v>
      </c>
      <c r="C91" s="57" t="s">
        <v>1010</v>
      </c>
      <c r="D91" s="57" t="s">
        <v>1011</v>
      </c>
      <c r="E91" s="62" t="s">
        <v>1012</v>
      </c>
      <c r="G91" s="2"/>
      <c r="H91" s="2"/>
    </row>
    <row r="92" spans="2:14" ht="21.75" customHeight="1" x14ac:dyDescent="0.2">
      <c r="B92" s="69" t="s">
        <v>60</v>
      </c>
      <c r="C92" s="83"/>
      <c r="D92" s="86" t="s">
        <v>1064</v>
      </c>
      <c r="E92" s="88"/>
      <c r="G92" s="2"/>
      <c r="H92" s="2"/>
    </row>
    <row r="93" spans="2:14" ht="27.75" customHeight="1" x14ac:dyDescent="0.2">
      <c r="B93" s="65" t="s">
        <v>1065</v>
      </c>
      <c r="C93" s="84"/>
      <c r="D93" s="87"/>
      <c r="E93" s="84"/>
      <c r="G93" s="2"/>
      <c r="H93" s="2"/>
    </row>
    <row r="94" spans="2:14" ht="46.5" customHeight="1" x14ac:dyDescent="0.2">
      <c r="B94" s="65" t="s">
        <v>1066</v>
      </c>
      <c r="C94" s="84"/>
      <c r="D94" s="87"/>
      <c r="E94" s="84"/>
      <c r="G94" s="2"/>
      <c r="H94" s="2"/>
    </row>
    <row r="95" spans="2:14" ht="30.75" customHeight="1" thickBot="1" x14ac:dyDescent="0.25">
      <c r="B95" s="67" t="s">
        <v>1035</v>
      </c>
      <c r="C95" s="85"/>
      <c r="D95" s="70" t="s">
        <v>1035</v>
      </c>
      <c r="E95" s="89"/>
      <c r="G95" s="2"/>
      <c r="H95" s="2"/>
    </row>
    <row r="96" spans="2:14" ht="24.95" customHeight="1" x14ac:dyDescent="0.2">
      <c r="B96" s="58" t="s">
        <v>1014</v>
      </c>
      <c r="C96" s="59"/>
      <c r="D96" s="60"/>
      <c r="E96" s="61"/>
      <c r="G96" s="2"/>
      <c r="H96" s="2"/>
    </row>
    <row r="98" spans="2:8" ht="12" x14ac:dyDescent="0.2">
      <c r="B98" s="2" t="s">
        <v>1015</v>
      </c>
      <c r="C98" s="2"/>
      <c r="D98" s="2"/>
      <c r="G98" s="2"/>
      <c r="H98" s="2"/>
    </row>
    <row r="99" spans="2:8" ht="12" x14ac:dyDescent="0.2">
      <c r="B99" s="3" t="s">
        <v>1016</v>
      </c>
      <c r="C99" s="2"/>
      <c r="D99" s="2"/>
      <c r="G99" s="2"/>
      <c r="H99" s="2"/>
    </row>
  </sheetData>
  <mergeCells count="3">
    <mergeCell ref="C92:C95"/>
    <mergeCell ref="D92:D94"/>
    <mergeCell ref="E92:E95"/>
  </mergeCells>
  <hyperlinks>
    <hyperlink ref="G1" location="'Sheet1'!A1" display="Index" xr:uid="{D3C1CA9C-178C-46B8-986B-9673D7415C82}"/>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BF313-9E60-42EC-A58B-0ED0DF95A78A}">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8.7109375" style="9" customWidth="1"/>
    <col min="4" max="4" width="26.5703125" style="9" customWidth="1"/>
    <col min="5" max="5" width="32.42578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132</v>
      </c>
      <c r="C5" s="19"/>
      <c r="D5" s="19"/>
      <c r="E5" s="20"/>
      <c r="F5" s="21"/>
      <c r="G5" s="22"/>
      <c r="H5" s="23"/>
    </row>
    <row r="6" spans="2:8" ht="15.75" customHeight="1" x14ac:dyDescent="0.2">
      <c r="B6" s="24" t="s">
        <v>133</v>
      </c>
      <c r="C6" s="25"/>
      <c r="D6" s="25"/>
      <c r="E6" s="26"/>
      <c r="F6" s="27"/>
      <c r="G6" s="28"/>
      <c r="H6" s="29"/>
    </row>
    <row r="7" spans="2:8" ht="15.75" customHeight="1" x14ac:dyDescent="0.2">
      <c r="B7" s="25" t="s">
        <v>149</v>
      </c>
      <c r="C7" s="25" t="s">
        <v>150</v>
      </c>
      <c r="D7" s="25" t="s">
        <v>136</v>
      </c>
      <c r="E7" s="26">
        <v>223686</v>
      </c>
      <c r="F7" s="27">
        <v>3614.21</v>
      </c>
      <c r="G7" s="28">
        <v>0.11020000000000001</v>
      </c>
      <c r="H7" s="29"/>
    </row>
    <row r="8" spans="2:8" ht="15.75" customHeight="1" x14ac:dyDescent="0.2">
      <c r="B8" s="25" t="s">
        <v>153</v>
      </c>
      <c r="C8" s="25" t="s">
        <v>154</v>
      </c>
      <c r="D8" s="25" t="s">
        <v>155</v>
      </c>
      <c r="E8" s="26">
        <v>100262</v>
      </c>
      <c r="F8" s="27">
        <v>3018.74</v>
      </c>
      <c r="G8" s="28">
        <v>9.2100000000000001E-2</v>
      </c>
      <c r="H8" s="29"/>
    </row>
    <row r="9" spans="2:8" ht="15.75" customHeight="1" x14ac:dyDescent="0.2">
      <c r="B9" s="25" t="s">
        <v>134</v>
      </c>
      <c r="C9" s="25" t="s">
        <v>135</v>
      </c>
      <c r="D9" s="25" t="s">
        <v>136</v>
      </c>
      <c r="E9" s="26">
        <v>208983</v>
      </c>
      <c r="F9" s="27">
        <v>2538.9299999999998</v>
      </c>
      <c r="G9" s="28">
        <v>7.7399999999999997E-2</v>
      </c>
      <c r="H9" s="29"/>
    </row>
    <row r="10" spans="2:8" ht="15.75" customHeight="1" x14ac:dyDescent="0.2">
      <c r="B10" s="25" t="s">
        <v>137</v>
      </c>
      <c r="C10" s="25" t="s">
        <v>138</v>
      </c>
      <c r="D10" s="25" t="s">
        <v>139</v>
      </c>
      <c r="E10" s="26">
        <v>107121</v>
      </c>
      <c r="F10" s="27">
        <v>2001.29</v>
      </c>
      <c r="G10" s="28">
        <v>6.0999999999999999E-2</v>
      </c>
      <c r="H10" s="29"/>
    </row>
    <row r="11" spans="2:8" ht="15.75" customHeight="1" x14ac:dyDescent="0.2">
      <c r="B11" s="25" t="s">
        <v>285</v>
      </c>
      <c r="C11" s="25" t="s">
        <v>286</v>
      </c>
      <c r="D11" s="25" t="s">
        <v>142</v>
      </c>
      <c r="E11" s="26">
        <v>274492</v>
      </c>
      <c r="F11" s="27">
        <v>1359.7</v>
      </c>
      <c r="G11" s="28">
        <v>4.1500000000000002E-2</v>
      </c>
      <c r="H11" s="29"/>
    </row>
    <row r="12" spans="2:8" ht="15.75" customHeight="1" x14ac:dyDescent="0.2">
      <c r="B12" s="25" t="s">
        <v>350</v>
      </c>
      <c r="C12" s="25" t="s">
        <v>351</v>
      </c>
      <c r="D12" s="25" t="s">
        <v>352</v>
      </c>
      <c r="E12" s="26">
        <v>34787</v>
      </c>
      <c r="F12" s="27">
        <v>1327.12</v>
      </c>
      <c r="G12" s="28">
        <v>4.0500000000000001E-2</v>
      </c>
      <c r="H12" s="29"/>
    </row>
    <row r="13" spans="2:8" ht="15.75" customHeight="1" x14ac:dyDescent="0.2">
      <c r="B13" s="25" t="s">
        <v>236</v>
      </c>
      <c r="C13" s="25" t="s">
        <v>237</v>
      </c>
      <c r="D13" s="25" t="s">
        <v>139</v>
      </c>
      <c r="E13" s="26">
        <v>30090</v>
      </c>
      <c r="F13" s="27">
        <v>1319.55</v>
      </c>
      <c r="G13" s="28">
        <v>4.02E-2</v>
      </c>
      <c r="H13" s="29"/>
    </row>
    <row r="14" spans="2:8" ht="15.75" customHeight="1" x14ac:dyDescent="0.2">
      <c r="B14" s="25" t="s">
        <v>215</v>
      </c>
      <c r="C14" s="25" t="s">
        <v>216</v>
      </c>
      <c r="D14" s="25" t="s">
        <v>217</v>
      </c>
      <c r="E14" s="26">
        <v>79451</v>
      </c>
      <c r="F14" s="27">
        <v>1185.05</v>
      </c>
      <c r="G14" s="28">
        <v>3.61E-2</v>
      </c>
      <c r="H14" s="29"/>
    </row>
    <row r="15" spans="2:8" ht="15.75" customHeight="1" x14ac:dyDescent="0.2">
      <c r="B15" s="25" t="s">
        <v>287</v>
      </c>
      <c r="C15" s="25" t="s">
        <v>288</v>
      </c>
      <c r="D15" s="25" t="s">
        <v>136</v>
      </c>
      <c r="E15" s="26">
        <v>113980</v>
      </c>
      <c r="F15" s="27">
        <v>994.36</v>
      </c>
      <c r="G15" s="28">
        <v>3.0300000000000001E-2</v>
      </c>
      <c r="H15" s="29"/>
    </row>
    <row r="16" spans="2:8" ht="15.75" customHeight="1" x14ac:dyDescent="0.2">
      <c r="B16" s="25" t="s">
        <v>291</v>
      </c>
      <c r="C16" s="25" t="s">
        <v>292</v>
      </c>
      <c r="D16" s="25" t="s">
        <v>136</v>
      </c>
      <c r="E16" s="26">
        <v>84476</v>
      </c>
      <c r="F16" s="27">
        <v>985.07</v>
      </c>
      <c r="G16" s="28">
        <v>0.03</v>
      </c>
      <c r="H16" s="29"/>
    </row>
    <row r="17" spans="2:8" ht="15.75" customHeight="1" x14ac:dyDescent="0.2">
      <c r="B17" s="25" t="s">
        <v>143</v>
      </c>
      <c r="C17" s="25" t="s">
        <v>144</v>
      </c>
      <c r="D17" s="25" t="s">
        <v>145</v>
      </c>
      <c r="E17" s="26">
        <v>28791</v>
      </c>
      <c r="F17" s="27">
        <v>837.18</v>
      </c>
      <c r="G17" s="28">
        <v>2.5499999999999998E-2</v>
      </c>
      <c r="H17" s="29"/>
    </row>
    <row r="18" spans="2:8" ht="15.75" customHeight="1" x14ac:dyDescent="0.2">
      <c r="B18" s="25" t="s">
        <v>289</v>
      </c>
      <c r="C18" s="25" t="s">
        <v>290</v>
      </c>
      <c r="D18" s="25" t="s">
        <v>136</v>
      </c>
      <c r="E18" s="26">
        <v>44003</v>
      </c>
      <c r="F18" s="27">
        <v>795.53</v>
      </c>
      <c r="G18" s="28">
        <v>2.4299999999999999E-2</v>
      </c>
      <c r="H18" s="29"/>
    </row>
    <row r="19" spans="2:8" ht="15.75" customHeight="1" x14ac:dyDescent="0.2">
      <c r="B19" s="25" t="s">
        <v>140</v>
      </c>
      <c r="C19" s="25" t="s">
        <v>141</v>
      </c>
      <c r="D19" s="25" t="s">
        <v>142</v>
      </c>
      <c r="E19" s="26">
        <v>26338</v>
      </c>
      <c r="F19" s="27">
        <v>712.61</v>
      </c>
      <c r="G19" s="28">
        <v>2.1700000000000001E-2</v>
      </c>
      <c r="H19" s="29"/>
    </row>
    <row r="20" spans="2:8" ht="15.75" customHeight="1" x14ac:dyDescent="0.2">
      <c r="B20" s="25" t="s">
        <v>487</v>
      </c>
      <c r="C20" s="25" t="s">
        <v>488</v>
      </c>
      <c r="D20" s="25" t="s">
        <v>145</v>
      </c>
      <c r="E20" s="26">
        <v>51946</v>
      </c>
      <c r="F20" s="27">
        <v>600.83000000000004</v>
      </c>
      <c r="G20" s="28">
        <v>1.83E-2</v>
      </c>
      <c r="H20" s="29"/>
    </row>
    <row r="21" spans="2:8" ht="15.75" customHeight="1" x14ac:dyDescent="0.2">
      <c r="B21" s="25" t="s">
        <v>255</v>
      </c>
      <c r="C21" s="25" t="s">
        <v>256</v>
      </c>
      <c r="D21" s="25" t="s">
        <v>184</v>
      </c>
      <c r="E21" s="26">
        <v>140904</v>
      </c>
      <c r="F21" s="27">
        <v>586.16</v>
      </c>
      <c r="G21" s="28">
        <v>1.7899999999999999E-2</v>
      </c>
      <c r="H21" s="29"/>
    </row>
    <row r="22" spans="2:8" ht="15.75" customHeight="1" x14ac:dyDescent="0.2">
      <c r="B22" s="25" t="s">
        <v>293</v>
      </c>
      <c r="C22" s="25" t="s">
        <v>294</v>
      </c>
      <c r="D22" s="25" t="s">
        <v>212</v>
      </c>
      <c r="E22" s="26">
        <v>8258</v>
      </c>
      <c r="F22" s="27">
        <v>562.12</v>
      </c>
      <c r="G22" s="28">
        <v>1.7100000000000001E-2</v>
      </c>
      <c r="H22" s="29"/>
    </row>
    <row r="23" spans="2:8" ht="15.75" customHeight="1" x14ac:dyDescent="0.2">
      <c r="B23" s="25" t="s">
        <v>507</v>
      </c>
      <c r="C23" s="25" t="s">
        <v>508</v>
      </c>
      <c r="D23" s="25" t="s">
        <v>172</v>
      </c>
      <c r="E23" s="26">
        <v>31917</v>
      </c>
      <c r="F23" s="27">
        <v>548.76</v>
      </c>
      <c r="G23" s="28">
        <v>1.67E-2</v>
      </c>
      <c r="H23" s="29"/>
    </row>
    <row r="24" spans="2:8" ht="15.75" customHeight="1" x14ac:dyDescent="0.2">
      <c r="B24" s="25" t="s">
        <v>298</v>
      </c>
      <c r="C24" s="25" t="s">
        <v>299</v>
      </c>
      <c r="D24" s="25" t="s">
        <v>139</v>
      </c>
      <c r="E24" s="26">
        <v>31705</v>
      </c>
      <c r="F24" s="27">
        <v>520.79</v>
      </c>
      <c r="G24" s="28">
        <v>1.5900000000000001E-2</v>
      </c>
      <c r="H24" s="29"/>
    </row>
    <row r="25" spans="2:8" ht="15.75" customHeight="1" x14ac:dyDescent="0.2">
      <c r="B25" s="25" t="s">
        <v>234</v>
      </c>
      <c r="C25" s="25" t="s">
        <v>235</v>
      </c>
      <c r="D25" s="25" t="s">
        <v>145</v>
      </c>
      <c r="E25" s="26">
        <v>3942</v>
      </c>
      <c r="F25" s="27">
        <v>517.02</v>
      </c>
      <c r="G25" s="28">
        <v>1.5800000000000002E-2</v>
      </c>
      <c r="H25" s="29"/>
    </row>
    <row r="26" spans="2:8" ht="15.75" customHeight="1" x14ac:dyDescent="0.2">
      <c r="B26" s="25" t="s">
        <v>191</v>
      </c>
      <c r="C26" s="25" t="s">
        <v>192</v>
      </c>
      <c r="D26" s="25" t="s">
        <v>184</v>
      </c>
      <c r="E26" s="26">
        <v>133831</v>
      </c>
      <c r="F26" s="27">
        <v>466</v>
      </c>
      <c r="G26" s="28">
        <v>1.4200000000000001E-2</v>
      </c>
      <c r="H26" s="29"/>
    </row>
    <row r="27" spans="2:8" ht="15.75" customHeight="1" x14ac:dyDescent="0.2">
      <c r="B27" s="25" t="s">
        <v>402</v>
      </c>
      <c r="C27" s="25" t="s">
        <v>403</v>
      </c>
      <c r="D27" s="25" t="s">
        <v>187</v>
      </c>
      <c r="E27" s="26">
        <v>12301</v>
      </c>
      <c r="F27" s="27">
        <v>425.49</v>
      </c>
      <c r="G27" s="28">
        <v>1.2999999999999999E-2</v>
      </c>
      <c r="H27" s="29"/>
    </row>
    <row r="28" spans="2:8" ht="15.75" customHeight="1" x14ac:dyDescent="0.2">
      <c r="B28" s="25" t="s">
        <v>491</v>
      </c>
      <c r="C28" s="25" t="s">
        <v>492</v>
      </c>
      <c r="D28" s="25" t="s">
        <v>269</v>
      </c>
      <c r="E28" s="26">
        <v>3452</v>
      </c>
      <c r="F28" s="27">
        <v>410.35</v>
      </c>
      <c r="G28" s="28">
        <v>1.2500000000000001E-2</v>
      </c>
      <c r="H28" s="29"/>
    </row>
    <row r="29" spans="2:8" ht="15.75" customHeight="1" x14ac:dyDescent="0.2">
      <c r="B29" s="25" t="s">
        <v>485</v>
      </c>
      <c r="C29" s="25" t="s">
        <v>486</v>
      </c>
      <c r="D29" s="25" t="s">
        <v>187</v>
      </c>
      <c r="E29" s="26">
        <v>13235</v>
      </c>
      <c r="F29" s="27">
        <v>408.23</v>
      </c>
      <c r="G29" s="28">
        <v>1.24E-2</v>
      </c>
      <c r="H29" s="29"/>
    </row>
    <row r="30" spans="2:8" ht="15.75" customHeight="1" x14ac:dyDescent="0.2">
      <c r="B30" s="25" t="s">
        <v>179</v>
      </c>
      <c r="C30" s="25" t="s">
        <v>180</v>
      </c>
      <c r="D30" s="25" t="s">
        <v>181</v>
      </c>
      <c r="E30" s="26">
        <v>242148</v>
      </c>
      <c r="F30" s="27">
        <v>400.34</v>
      </c>
      <c r="G30" s="28">
        <v>1.2200000000000001E-2</v>
      </c>
      <c r="H30" s="29"/>
    </row>
    <row r="31" spans="2:8" ht="15.75" customHeight="1" x14ac:dyDescent="0.2">
      <c r="B31" s="25" t="s">
        <v>530</v>
      </c>
      <c r="C31" s="25" t="s">
        <v>531</v>
      </c>
      <c r="D31" s="25" t="s">
        <v>436</v>
      </c>
      <c r="E31" s="26">
        <v>115022</v>
      </c>
      <c r="F31" s="27">
        <v>384.4</v>
      </c>
      <c r="G31" s="28">
        <v>1.17E-2</v>
      </c>
      <c r="H31" s="29"/>
    </row>
    <row r="32" spans="2:8" ht="15.75" customHeight="1" x14ac:dyDescent="0.2">
      <c r="B32" s="25" t="s">
        <v>225</v>
      </c>
      <c r="C32" s="25" t="s">
        <v>226</v>
      </c>
      <c r="D32" s="25" t="s">
        <v>227</v>
      </c>
      <c r="E32" s="26">
        <v>66910</v>
      </c>
      <c r="F32" s="27">
        <v>349.4</v>
      </c>
      <c r="G32" s="28">
        <v>1.0699999999999999E-2</v>
      </c>
      <c r="H32" s="29"/>
    </row>
    <row r="33" spans="2:8" ht="15.75" customHeight="1" x14ac:dyDescent="0.2">
      <c r="B33" s="25" t="s">
        <v>802</v>
      </c>
      <c r="C33" s="25" t="s">
        <v>803</v>
      </c>
      <c r="D33" s="25" t="s">
        <v>245</v>
      </c>
      <c r="E33" s="26">
        <v>21920</v>
      </c>
      <c r="F33" s="27">
        <v>344.12</v>
      </c>
      <c r="G33" s="28">
        <v>1.0500000000000001E-2</v>
      </c>
      <c r="H33" s="29"/>
    </row>
    <row r="34" spans="2:8" ht="15.75" customHeight="1" x14ac:dyDescent="0.2">
      <c r="B34" s="25" t="s">
        <v>550</v>
      </c>
      <c r="C34" s="25" t="s">
        <v>551</v>
      </c>
      <c r="D34" s="25" t="s">
        <v>145</v>
      </c>
      <c r="E34" s="26">
        <v>3304</v>
      </c>
      <c r="F34" s="27">
        <v>319.31</v>
      </c>
      <c r="G34" s="28">
        <v>9.7000000000000003E-3</v>
      </c>
      <c r="H34" s="29"/>
    </row>
    <row r="35" spans="2:8" ht="15.75" customHeight="1" x14ac:dyDescent="0.2">
      <c r="B35" s="25" t="s">
        <v>300</v>
      </c>
      <c r="C35" s="25" t="s">
        <v>301</v>
      </c>
      <c r="D35" s="25" t="s">
        <v>269</v>
      </c>
      <c r="E35" s="26">
        <v>11013</v>
      </c>
      <c r="F35" s="27">
        <v>305.8</v>
      </c>
      <c r="G35" s="28">
        <v>9.2999999999999992E-3</v>
      </c>
      <c r="H35" s="29"/>
    </row>
    <row r="36" spans="2:8" ht="15.75" customHeight="1" x14ac:dyDescent="0.2">
      <c r="B36" s="25" t="s">
        <v>203</v>
      </c>
      <c r="C36" s="25" t="s">
        <v>204</v>
      </c>
      <c r="D36" s="25" t="s">
        <v>139</v>
      </c>
      <c r="E36" s="26">
        <v>18853</v>
      </c>
      <c r="F36" s="27">
        <v>293.05</v>
      </c>
      <c r="G36" s="28">
        <v>8.8999999999999999E-3</v>
      </c>
      <c r="H36" s="29"/>
    </row>
    <row r="37" spans="2:8" ht="15.75" customHeight="1" x14ac:dyDescent="0.2">
      <c r="B37" s="25" t="s">
        <v>270</v>
      </c>
      <c r="C37" s="25" t="s">
        <v>271</v>
      </c>
      <c r="D37" s="25" t="s">
        <v>240</v>
      </c>
      <c r="E37" s="26">
        <v>42888</v>
      </c>
      <c r="F37" s="27">
        <v>287.18</v>
      </c>
      <c r="G37" s="28">
        <v>8.8000000000000005E-3</v>
      </c>
      <c r="H37" s="29"/>
    </row>
    <row r="38" spans="2:8" ht="15.75" customHeight="1" x14ac:dyDescent="0.2">
      <c r="B38" s="25" t="s">
        <v>324</v>
      </c>
      <c r="C38" s="25" t="s">
        <v>325</v>
      </c>
      <c r="D38" s="25" t="s">
        <v>136</v>
      </c>
      <c r="E38" s="26">
        <v>19951</v>
      </c>
      <c r="F38" s="27">
        <v>284.86</v>
      </c>
      <c r="G38" s="28">
        <v>8.6999999999999994E-3</v>
      </c>
      <c r="H38" s="29"/>
    </row>
    <row r="39" spans="2:8" ht="15.75" customHeight="1" x14ac:dyDescent="0.2">
      <c r="B39" s="25" t="s">
        <v>804</v>
      </c>
      <c r="C39" s="25" t="s">
        <v>805</v>
      </c>
      <c r="D39" s="25" t="s">
        <v>212</v>
      </c>
      <c r="E39" s="26">
        <v>16078</v>
      </c>
      <c r="F39" s="27">
        <v>265.55</v>
      </c>
      <c r="G39" s="28">
        <v>8.0999999999999996E-3</v>
      </c>
      <c r="H39" s="29"/>
    </row>
    <row r="40" spans="2:8" ht="15.75" customHeight="1" x14ac:dyDescent="0.2">
      <c r="B40" s="25" t="s">
        <v>241</v>
      </c>
      <c r="C40" s="25" t="s">
        <v>242</v>
      </c>
      <c r="D40" s="25" t="s">
        <v>181</v>
      </c>
      <c r="E40" s="26">
        <v>28431</v>
      </c>
      <c r="F40" s="27">
        <v>263.91000000000003</v>
      </c>
      <c r="G40" s="28">
        <v>8.0000000000000002E-3</v>
      </c>
      <c r="H40" s="29"/>
    </row>
    <row r="41" spans="2:8" ht="15.75" customHeight="1" x14ac:dyDescent="0.2">
      <c r="B41" s="25" t="s">
        <v>146</v>
      </c>
      <c r="C41" s="25" t="s">
        <v>147</v>
      </c>
      <c r="D41" s="25" t="s">
        <v>148</v>
      </c>
      <c r="E41" s="26">
        <v>10471</v>
      </c>
      <c r="F41" s="27">
        <v>257.2</v>
      </c>
      <c r="G41" s="28">
        <v>7.7999999999999996E-3</v>
      </c>
      <c r="H41" s="29"/>
    </row>
    <row r="42" spans="2:8" ht="15.75" customHeight="1" x14ac:dyDescent="0.2">
      <c r="B42" s="25" t="s">
        <v>806</v>
      </c>
      <c r="C42" s="25" t="s">
        <v>807</v>
      </c>
      <c r="D42" s="25" t="s">
        <v>808</v>
      </c>
      <c r="E42" s="26">
        <v>7778</v>
      </c>
      <c r="F42" s="27">
        <v>246.52</v>
      </c>
      <c r="G42" s="28">
        <v>7.4999999999999997E-3</v>
      </c>
      <c r="H42" s="29"/>
    </row>
    <row r="43" spans="2:8" ht="15.75" customHeight="1" x14ac:dyDescent="0.2">
      <c r="B43" s="25" t="s">
        <v>479</v>
      </c>
      <c r="C43" s="25" t="s">
        <v>480</v>
      </c>
      <c r="D43" s="25" t="s">
        <v>212</v>
      </c>
      <c r="E43" s="26">
        <v>8299</v>
      </c>
      <c r="F43" s="27">
        <v>243.32</v>
      </c>
      <c r="G43" s="28">
        <v>7.4000000000000003E-3</v>
      </c>
      <c r="H43" s="29"/>
    </row>
    <row r="44" spans="2:8" ht="15.75" customHeight="1" x14ac:dyDescent="0.2">
      <c r="B44" s="25" t="s">
        <v>584</v>
      </c>
      <c r="C44" s="25" t="s">
        <v>585</v>
      </c>
      <c r="D44" s="25" t="s">
        <v>172</v>
      </c>
      <c r="E44" s="26">
        <v>15597</v>
      </c>
      <c r="F44" s="27">
        <v>240.86</v>
      </c>
      <c r="G44" s="28">
        <v>7.3000000000000001E-3</v>
      </c>
      <c r="H44" s="29"/>
    </row>
    <row r="45" spans="2:8" ht="15.75" customHeight="1" x14ac:dyDescent="0.2">
      <c r="B45" s="25" t="s">
        <v>590</v>
      </c>
      <c r="C45" s="25" t="s">
        <v>591</v>
      </c>
      <c r="D45" s="25" t="s">
        <v>172</v>
      </c>
      <c r="E45" s="26">
        <v>3530</v>
      </c>
      <c r="F45" s="27">
        <v>238.29</v>
      </c>
      <c r="G45" s="28">
        <v>7.3000000000000001E-3</v>
      </c>
      <c r="H45" s="29"/>
    </row>
    <row r="46" spans="2:8" ht="15.75" customHeight="1" x14ac:dyDescent="0.2">
      <c r="B46" s="25" t="s">
        <v>334</v>
      </c>
      <c r="C46" s="25" t="s">
        <v>335</v>
      </c>
      <c r="D46" s="25" t="s">
        <v>336</v>
      </c>
      <c r="E46" s="26">
        <v>13211</v>
      </c>
      <c r="F46" s="27">
        <v>231.67</v>
      </c>
      <c r="G46" s="28">
        <v>7.1000000000000004E-3</v>
      </c>
      <c r="H46" s="29"/>
    </row>
    <row r="47" spans="2:8" ht="15.75" customHeight="1" x14ac:dyDescent="0.2">
      <c r="B47" s="25" t="s">
        <v>809</v>
      </c>
      <c r="C47" s="25" t="s">
        <v>810</v>
      </c>
      <c r="D47" s="25" t="s">
        <v>336</v>
      </c>
      <c r="E47" s="26">
        <v>31143</v>
      </c>
      <c r="F47" s="27">
        <v>222.83</v>
      </c>
      <c r="G47" s="28">
        <v>6.7999999999999996E-3</v>
      </c>
      <c r="H47" s="29"/>
    </row>
    <row r="48" spans="2:8" ht="15.75" customHeight="1" x14ac:dyDescent="0.2">
      <c r="B48" s="25" t="s">
        <v>662</v>
      </c>
      <c r="C48" s="25" t="s">
        <v>663</v>
      </c>
      <c r="D48" s="25" t="s">
        <v>554</v>
      </c>
      <c r="E48" s="26">
        <v>18603</v>
      </c>
      <c r="F48" s="27">
        <v>221.18</v>
      </c>
      <c r="G48" s="28">
        <v>6.7000000000000002E-3</v>
      </c>
      <c r="H48" s="29"/>
    </row>
    <row r="49" spans="2:8" ht="15.75" customHeight="1" x14ac:dyDescent="0.2">
      <c r="B49" s="25" t="s">
        <v>811</v>
      </c>
      <c r="C49" s="25" t="s">
        <v>812</v>
      </c>
      <c r="D49" s="25" t="s">
        <v>139</v>
      </c>
      <c r="E49" s="26">
        <v>42008</v>
      </c>
      <c r="F49" s="27">
        <v>219.28</v>
      </c>
      <c r="G49" s="28">
        <v>6.7000000000000002E-3</v>
      </c>
      <c r="H49" s="29"/>
    </row>
    <row r="50" spans="2:8" ht="15.75" customHeight="1" x14ac:dyDescent="0.2">
      <c r="B50" s="25" t="s">
        <v>305</v>
      </c>
      <c r="C50" s="25" t="s">
        <v>306</v>
      </c>
      <c r="D50" s="25" t="s">
        <v>145</v>
      </c>
      <c r="E50" s="26">
        <v>3814</v>
      </c>
      <c r="F50" s="27">
        <v>209.33</v>
      </c>
      <c r="G50" s="28">
        <v>6.4000000000000003E-3</v>
      </c>
      <c r="H50" s="29"/>
    </row>
    <row r="51" spans="2:8" ht="15.75" customHeight="1" x14ac:dyDescent="0.2">
      <c r="B51" s="25" t="s">
        <v>248</v>
      </c>
      <c r="C51" s="25" t="s">
        <v>249</v>
      </c>
      <c r="D51" s="25" t="s">
        <v>155</v>
      </c>
      <c r="E51" s="26">
        <v>58162</v>
      </c>
      <c r="F51" s="27">
        <v>203.6</v>
      </c>
      <c r="G51" s="28">
        <v>6.1999999999999998E-3</v>
      </c>
      <c r="H51" s="29"/>
    </row>
    <row r="52" spans="2:8" ht="15.75" customHeight="1" x14ac:dyDescent="0.2">
      <c r="B52" s="25" t="s">
        <v>813</v>
      </c>
      <c r="C52" s="25" t="s">
        <v>814</v>
      </c>
      <c r="D52" s="25" t="s">
        <v>145</v>
      </c>
      <c r="E52" s="26">
        <v>4087</v>
      </c>
      <c r="F52" s="27">
        <v>202.83</v>
      </c>
      <c r="G52" s="28">
        <v>6.1999999999999998E-3</v>
      </c>
      <c r="H52" s="29"/>
    </row>
    <row r="53" spans="2:8" ht="15.75" customHeight="1" x14ac:dyDescent="0.2">
      <c r="B53" s="25" t="s">
        <v>257</v>
      </c>
      <c r="C53" s="25" t="s">
        <v>258</v>
      </c>
      <c r="D53" s="25" t="s">
        <v>148</v>
      </c>
      <c r="E53" s="26">
        <v>3497</v>
      </c>
      <c r="F53" s="27">
        <v>202.28</v>
      </c>
      <c r="G53" s="28">
        <v>6.1999999999999998E-3</v>
      </c>
      <c r="H53" s="29"/>
    </row>
    <row r="54" spans="2:8" ht="15.75" customHeight="1" x14ac:dyDescent="0.2">
      <c r="B54" s="25" t="s">
        <v>563</v>
      </c>
      <c r="C54" s="25" t="s">
        <v>564</v>
      </c>
      <c r="D54" s="25" t="s">
        <v>314</v>
      </c>
      <c r="E54" s="26">
        <v>2984</v>
      </c>
      <c r="F54" s="27">
        <v>197.4</v>
      </c>
      <c r="G54" s="28">
        <v>6.0000000000000001E-3</v>
      </c>
      <c r="H54" s="29"/>
    </row>
    <row r="55" spans="2:8" ht="15.75" customHeight="1" x14ac:dyDescent="0.2">
      <c r="B55" s="25" t="s">
        <v>588</v>
      </c>
      <c r="C55" s="25" t="s">
        <v>589</v>
      </c>
      <c r="D55" s="25" t="s">
        <v>172</v>
      </c>
      <c r="E55" s="26">
        <v>3727</v>
      </c>
      <c r="F55" s="27">
        <v>183.49</v>
      </c>
      <c r="G55" s="28">
        <v>5.5999999999999999E-3</v>
      </c>
      <c r="H55" s="29"/>
    </row>
    <row r="56" spans="2:8" ht="15.75" customHeight="1" x14ac:dyDescent="0.2">
      <c r="B56" s="25" t="s">
        <v>151</v>
      </c>
      <c r="C56" s="25" t="s">
        <v>152</v>
      </c>
      <c r="D56" s="25" t="s">
        <v>139</v>
      </c>
      <c r="E56" s="26">
        <v>2717</v>
      </c>
      <c r="F56" s="27">
        <v>153.72999999999999</v>
      </c>
      <c r="G56" s="28">
        <v>4.7000000000000002E-3</v>
      </c>
      <c r="H56" s="29"/>
    </row>
    <row r="57" spans="2:8" ht="15.75" customHeight="1" x14ac:dyDescent="0.2">
      <c r="B57" s="24" t="s">
        <v>104</v>
      </c>
      <c r="C57" s="24"/>
      <c r="D57" s="24"/>
      <c r="E57" s="30"/>
      <c r="F57" s="31">
        <f>SUM(F7:F56)</f>
        <v>32706.820000000003</v>
      </c>
      <c r="G57" s="32">
        <v>0.99729999999999996</v>
      </c>
      <c r="H57" s="33"/>
    </row>
    <row r="58" spans="2:8" ht="15.75" customHeight="1" x14ac:dyDescent="0.2">
      <c r="B58" s="24" t="s">
        <v>156</v>
      </c>
      <c r="C58" s="25"/>
      <c r="D58" s="25"/>
      <c r="E58" s="26"/>
      <c r="F58" s="27"/>
      <c r="G58" s="28"/>
      <c r="H58" s="29"/>
    </row>
    <row r="59" spans="2:8" ht="15.75" customHeight="1" x14ac:dyDescent="0.2">
      <c r="B59" s="25" t="s">
        <v>674</v>
      </c>
      <c r="C59" s="25" t="s">
        <v>675</v>
      </c>
      <c r="D59" s="25" t="s">
        <v>554</v>
      </c>
      <c r="E59" s="26">
        <v>715</v>
      </c>
      <c r="F59" s="27">
        <v>2.65</v>
      </c>
      <c r="G59" s="28">
        <v>1E-4</v>
      </c>
      <c r="H59" s="29"/>
    </row>
    <row r="60" spans="2:8" ht="15.75" customHeight="1" x14ac:dyDescent="0.2">
      <c r="B60" s="24" t="s">
        <v>104</v>
      </c>
      <c r="C60" s="25"/>
      <c r="D60" s="25"/>
      <c r="E60" s="26"/>
      <c r="F60" s="31">
        <f>SUM(F59)</f>
        <v>2.65</v>
      </c>
      <c r="G60" s="32">
        <f>SUM(G59)</f>
        <v>1E-4</v>
      </c>
      <c r="H60" s="29"/>
    </row>
    <row r="61" spans="2:8" ht="15.75" customHeight="1" x14ac:dyDescent="0.2">
      <c r="B61" s="25"/>
      <c r="C61" s="25"/>
      <c r="D61" s="25"/>
      <c r="E61" s="26"/>
      <c r="F61" s="27"/>
      <c r="G61" s="28"/>
      <c r="H61" s="29"/>
    </row>
    <row r="62" spans="2:8" ht="15.75" customHeight="1" x14ac:dyDescent="0.2">
      <c r="B62" s="36" t="s">
        <v>108</v>
      </c>
      <c r="C62" s="36"/>
      <c r="D62" s="36"/>
      <c r="E62" s="37"/>
      <c r="F62" s="31">
        <v>32709.47</v>
      </c>
      <c r="G62" s="32">
        <v>0.99739999999999995</v>
      </c>
      <c r="H62" s="33"/>
    </row>
    <row r="63" spans="2:8" ht="15.75" customHeight="1" x14ac:dyDescent="0.2">
      <c r="B63" s="25"/>
      <c r="C63" s="25"/>
      <c r="D63" s="25"/>
      <c r="E63" s="26"/>
      <c r="F63" s="27"/>
      <c r="G63" s="28"/>
      <c r="H63" s="29"/>
    </row>
    <row r="64" spans="2:8" ht="15.75" customHeight="1" x14ac:dyDescent="0.2">
      <c r="B64" s="25"/>
      <c r="C64" s="25"/>
      <c r="D64" s="25"/>
      <c r="E64" s="26"/>
      <c r="F64" s="27"/>
      <c r="G64" s="28"/>
      <c r="H64" s="29"/>
    </row>
    <row r="65" spans="2:14" ht="15.75" customHeight="1" x14ac:dyDescent="0.2">
      <c r="B65" s="24" t="s">
        <v>111</v>
      </c>
      <c r="C65" s="25"/>
      <c r="D65" s="25"/>
      <c r="E65" s="26"/>
      <c r="F65" s="27"/>
      <c r="G65" s="28"/>
      <c r="H65" s="29"/>
    </row>
    <row r="66" spans="2:14" ht="15.75" customHeight="1" x14ac:dyDescent="0.2">
      <c r="B66" s="25" t="s">
        <v>112</v>
      </c>
      <c r="C66" s="25"/>
      <c r="D66" s="25"/>
      <c r="E66" s="26"/>
      <c r="F66" s="27">
        <v>46.43</v>
      </c>
      <c r="G66" s="28">
        <v>1.4E-3</v>
      </c>
      <c r="H66" s="29"/>
    </row>
    <row r="67" spans="2:14" ht="15.75" customHeight="1" x14ac:dyDescent="0.2">
      <c r="B67" s="24" t="s">
        <v>104</v>
      </c>
      <c r="C67" s="24"/>
      <c r="D67" s="24"/>
      <c r="E67" s="30"/>
      <c r="F67" s="31">
        <v>46.43</v>
      </c>
      <c r="G67" s="32">
        <v>1.4E-3</v>
      </c>
      <c r="H67" s="33"/>
    </row>
    <row r="68" spans="2:14" ht="15.75" customHeight="1" x14ac:dyDescent="0.2">
      <c r="B68" s="25"/>
      <c r="C68" s="25"/>
      <c r="D68" s="25"/>
      <c r="E68" s="26"/>
      <c r="F68" s="27"/>
      <c r="G68" s="28"/>
      <c r="H68" s="29"/>
      <c r="J68" s="3"/>
    </row>
    <row r="69" spans="2:14" ht="15.75" customHeight="1" x14ac:dyDescent="0.2">
      <c r="B69" s="36" t="s">
        <v>108</v>
      </c>
      <c r="C69" s="36"/>
      <c r="D69" s="36"/>
      <c r="E69" s="37"/>
      <c r="F69" s="31">
        <v>46.43</v>
      </c>
      <c r="G69" s="32">
        <v>1.4E-3</v>
      </c>
      <c r="H69" s="33"/>
    </row>
    <row r="70" spans="2:14" ht="15.75" customHeight="1" x14ac:dyDescent="0.2">
      <c r="B70" s="25" t="s">
        <v>113</v>
      </c>
      <c r="C70" s="25"/>
      <c r="D70" s="25"/>
      <c r="E70" s="26"/>
      <c r="F70" s="27">
        <v>37.880000000000003</v>
      </c>
      <c r="G70" s="28">
        <v>1.2000000000000899E-3</v>
      </c>
      <c r="H70" s="29"/>
      <c r="J70" s="3"/>
    </row>
    <row r="71" spans="2:14" ht="15.75" customHeight="1" x14ac:dyDescent="0.2">
      <c r="B71" s="40" t="s">
        <v>114</v>
      </c>
      <c r="C71" s="40"/>
      <c r="D71" s="40"/>
      <c r="E71" s="41"/>
      <c r="F71" s="42">
        <v>32793.78</v>
      </c>
      <c r="G71" s="43">
        <v>1</v>
      </c>
      <c r="H71" s="44"/>
      <c r="J71" s="3"/>
    </row>
    <row r="72" spans="2:14" ht="15.75" customHeight="1" x14ac:dyDescent="0.2">
      <c r="B72" s="2"/>
      <c r="J72" s="3"/>
    </row>
    <row r="73" spans="2:14" ht="15.75" customHeight="1" x14ac:dyDescent="0.2">
      <c r="B73" s="12" t="s">
        <v>131</v>
      </c>
      <c r="J73" s="3"/>
    </row>
    <row r="74" spans="2:14" ht="15.75" customHeight="1" x14ac:dyDescent="0.2">
      <c r="B74" s="12" t="s">
        <v>115</v>
      </c>
      <c r="J74" s="3"/>
    </row>
    <row r="75" spans="2:14" ht="15.75" customHeight="1" thickBot="1" x14ac:dyDescent="0.25">
      <c r="J75" s="5"/>
      <c r="K75" s="5"/>
      <c r="L75" s="6"/>
      <c r="M75" s="6"/>
      <c r="N75" s="5"/>
    </row>
    <row r="76" spans="2:14" ht="27" customHeight="1" thickBot="1" x14ac:dyDescent="0.25">
      <c r="B76" s="56" t="s">
        <v>1009</v>
      </c>
      <c r="C76" s="57" t="s">
        <v>1010</v>
      </c>
      <c r="D76" s="57" t="s">
        <v>1011</v>
      </c>
      <c r="E76" s="62" t="s">
        <v>1012</v>
      </c>
      <c r="G76" s="2"/>
      <c r="H76" s="2"/>
    </row>
    <row r="77" spans="2:14" ht="27.75" customHeight="1" x14ac:dyDescent="0.2">
      <c r="B77" s="69" t="s">
        <v>62</v>
      </c>
      <c r="C77" s="83"/>
      <c r="D77" s="86" t="s">
        <v>1067</v>
      </c>
      <c r="E77" s="88"/>
      <c r="G77" s="2"/>
      <c r="H77" s="2"/>
    </row>
    <row r="78" spans="2:14" ht="31.5" customHeight="1" x14ac:dyDescent="0.2">
      <c r="B78" s="65" t="s">
        <v>1068</v>
      </c>
      <c r="C78" s="84"/>
      <c r="D78" s="87"/>
      <c r="E78" s="84"/>
      <c r="G78" s="2"/>
      <c r="H78" s="2"/>
    </row>
    <row r="79" spans="2:14" ht="39.950000000000003" customHeight="1" x14ac:dyDescent="0.2">
      <c r="B79" s="65" t="s">
        <v>1069</v>
      </c>
      <c r="C79" s="84"/>
      <c r="D79" s="87"/>
      <c r="E79" s="84"/>
      <c r="G79" s="2"/>
      <c r="H79" s="2"/>
    </row>
    <row r="80" spans="2:14" ht="22.5" customHeight="1" thickBot="1" x14ac:dyDescent="0.25">
      <c r="B80" s="67" t="s">
        <v>1030</v>
      </c>
      <c r="C80" s="85"/>
      <c r="D80" s="70" t="s">
        <v>1030</v>
      </c>
      <c r="E80" s="89"/>
      <c r="G80" s="2"/>
      <c r="H80" s="2"/>
    </row>
    <row r="81" spans="2:16" ht="24.95" customHeight="1" x14ac:dyDescent="0.2">
      <c r="B81" s="58" t="s">
        <v>1014</v>
      </c>
      <c r="C81" s="59"/>
      <c r="D81" s="60"/>
      <c r="E81" s="61"/>
      <c r="G81" s="2"/>
      <c r="H81" s="2"/>
    </row>
    <row r="82" spans="2:16" ht="15.75" customHeight="1" x14ac:dyDescent="0.2">
      <c r="L82" s="7"/>
      <c r="M82" s="7"/>
      <c r="N82" s="7"/>
      <c r="O82" s="7"/>
      <c r="P82" s="7"/>
    </row>
    <row r="83" spans="2:16" ht="12" x14ac:dyDescent="0.2">
      <c r="B83" s="2" t="s">
        <v>1015</v>
      </c>
      <c r="C83" s="2"/>
      <c r="D83" s="2"/>
      <c r="G83" s="2"/>
      <c r="H83" s="2"/>
    </row>
    <row r="84" spans="2:16" ht="12" x14ac:dyDescent="0.2">
      <c r="B84" s="3" t="s">
        <v>1016</v>
      </c>
      <c r="C84" s="2"/>
      <c r="D84" s="2"/>
      <c r="G84" s="2"/>
      <c r="H84" s="2"/>
    </row>
    <row r="86" spans="2:16" ht="15.75" customHeight="1" x14ac:dyDescent="0.2">
      <c r="J86" s="3"/>
    </row>
  </sheetData>
  <mergeCells count="3">
    <mergeCell ref="C77:C80"/>
    <mergeCell ref="D77:D79"/>
    <mergeCell ref="E77:E80"/>
  </mergeCells>
  <hyperlinks>
    <hyperlink ref="G1" location="'Sheet1'!A1" display="Index" xr:uid="{24C11519-384C-4BE6-887E-59026C9A3FC2}"/>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01339-3F9D-4B05-B3F3-0787B70C7D20}">
  <dimension ref="B1:N86"/>
  <sheetViews>
    <sheetView workbookViewId="0"/>
  </sheetViews>
  <sheetFormatPr defaultColWidth="9.140625" defaultRowHeight="15.75" customHeight="1" x14ac:dyDescent="0.2"/>
  <cols>
    <col min="1" max="1" width="3.5703125" style="2" customWidth="1"/>
    <col min="2" max="2" width="50.42578125" style="9" customWidth="1"/>
    <col min="3" max="3" width="25.5703125" style="9" customWidth="1"/>
    <col min="4" max="4" width="26.5703125" style="9" customWidth="1"/>
    <col min="5" max="5" width="27.8554687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1097</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132</v>
      </c>
      <c r="C5" s="19"/>
      <c r="D5" s="19"/>
      <c r="E5" s="20"/>
      <c r="F5" s="21"/>
      <c r="G5" s="22"/>
      <c r="H5" s="23"/>
    </row>
    <row r="6" spans="2:8" ht="15.75" customHeight="1" x14ac:dyDescent="0.2">
      <c r="B6" s="24" t="s">
        <v>133</v>
      </c>
      <c r="C6" s="25"/>
      <c r="D6" s="25"/>
      <c r="E6" s="26"/>
      <c r="F6" s="27"/>
      <c r="G6" s="28"/>
      <c r="H6" s="29"/>
    </row>
    <row r="7" spans="2:8" ht="15.75" customHeight="1" x14ac:dyDescent="0.2">
      <c r="B7" s="25" t="s">
        <v>149</v>
      </c>
      <c r="C7" s="25" t="s">
        <v>150</v>
      </c>
      <c r="D7" s="25" t="s">
        <v>136</v>
      </c>
      <c r="E7" s="26">
        <v>69006</v>
      </c>
      <c r="F7" s="27">
        <v>1115.8599999999999</v>
      </c>
      <c r="G7" s="28">
        <v>0.1298</v>
      </c>
      <c r="H7" s="29"/>
    </row>
    <row r="8" spans="2:8" ht="15.75" customHeight="1" x14ac:dyDescent="0.2">
      <c r="B8" s="25" t="s">
        <v>153</v>
      </c>
      <c r="C8" s="25" t="s">
        <v>154</v>
      </c>
      <c r="D8" s="25" t="s">
        <v>155</v>
      </c>
      <c r="E8" s="26">
        <v>31292</v>
      </c>
      <c r="F8" s="27">
        <v>941.97</v>
      </c>
      <c r="G8" s="28">
        <v>0.1096</v>
      </c>
      <c r="H8" s="29"/>
    </row>
    <row r="9" spans="2:8" ht="15.75" customHeight="1" x14ac:dyDescent="0.2">
      <c r="B9" s="25" t="s">
        <v>134</v>
      </c>
      <c r="C9" s="25" t="s">
        <v>135</v>
      </c>
      <c r="D9" s="25" t="s">
        <v>136</v>
      </c>
      <c r="E9" s="26">
        <v>64481</v>
      </c>
      <c r="F9" s="27">
        <v>783.32</v>
      </c>
      <c r="G9" s="28">
        <v>9.11E-2</v>
      </c>
      <c r="H9" s="29"/>
    </row>
    <row r="10" spans="2:8" ht="15.75" customHeight="1" x14ac:dyDescent="0.2">
      <c r="B10" s="25" t="s">
        <v>137</v>
      </c>
      <c r="C10" s="25" t="s">
        <v>138</v>
      </c>
      <c r="D10" s="25" t="s">
        <v>139</v>
      </c>
      <c r="E10" s="26">
        <v>33085</v>
      </c>
      <c r="F10" s="27">
        <v>618.04</v>
      </c>
      <c r="G10" s="28">
        <v>7.1900000000000006E-2</v>
      </c>
      <c r="H10" s="29"/>
    </row>
    <row r="11" spans="2:8" ht="15.75" customHeight="1" x14ac:dyDescent="0.2">
      <c r="B11" s="25" t="s">
        <v>285</v>
      </c>
      <c r="C11" s="25" t="s">
        <v>286</v>
      </c>
      <c r="D11" s="25" t="s">
        <v>142</v>
      </c>
      <c r="E11" s="26">
        <v>83702</v>
      </c>
      <c r="F11" s="27">
        <v>414.37</v>
      </c>
      <c r="G11" s="28">
        <v>4.82E-2</v>
      </c>
      <c r="H11" s="29"/>
    </row>
    <row r="12" spans="2:8" ht="15.75" customHeight="1" x14ac:dyDescent="0.2">
      <c r="B12" s="25" t="s">
        <v>350</v>
      </c>
      <c r="C12" s="25" t="s">
        <v>351</v>
      </c>
      <c r="D12" s="25" t="s">
        <v>352</v>
      </c>
      <c r="E12" s="26">
        <v>10632</v>
      </c>
      <c r="F12" s="27">
        <v>405.35</v>
      </c>
      <c r="G12" s="28">
        <v>4.7199999999999999E-2</v>
      </c>
      <c r="H12" s="29"/>
    </row>
    <row r="13" spans="2:8" ht="15.75" customHeight="1" x14ac:dyDescent="0.2">
      <c r="B13" s="25" t="s">
        <v>236</v>
      </c>
      <c r="C13" s="25" t="s">
        <v>237</v>
      </c>
      <c r="D13" s="25" t="s">
        <v>139</v>
      </c>
      <c r="E13" s="26">
        <v>9196</v>
      </c>
      <c r="F13" s="27">
        <v>403.21</v>
      </c>
      <c r="G13" s="28">
        <v>4.6899999999999997E-2</v>
      </c>
      <c r="H13" s="29"/>
    </row>
    <row r="14" spans="2:8" ht="15.75" customHeight="1" x14ac:dyDescent="0.2">
      <c r="B14" s="25" t="s">
        <v>215</v>
      </c>
      <c r="C14" s="25" t="s">
        <v>216</v>
      </c>
      <c r="D14" s="25" t="s">
        <v>217</v>
      </c>
      <c r="E14" s="26">
        <v>24405</v>
      </c>
      <c r="F14" s="27">
        <v>364.34</v>
      </c>
      <c r="G14" s="28">
        <v>4.24E-2</v>
      </c>
      <c r="H14" s="29"/>
    </row>
    <row r="15" spans="2:8" ht="15.75" customHeight="1" x14ac:dyDescent="0.2">
      <c r="B15" s="25" t="s">
        <v>287</v>
      </c>
      <c r="C15" s="25" t="s">
        <v>288</v>
      </c>
      <c r="D15" s="25" t="s">
        <v>136</v>
      </c>
      <c r="E15" s="26">
        <v>35372</v>
      </c>
      <c r="F15" s="27">
        <v>308.70999999999998</v>
      </c>
      <c r="G15" s="28">
        <v>3.5900000000000001E-2</v>
      </c>
      <c r="H15" s="29"/>
    </row>
    <row r="16" spans="2:8" ht="15.75" customHeight="1" x14ac:dyDescent="0.2">
      <c r="B16" s="25" t="s">
        <v>291</v>
      </c>
      <c r="C16" s="25" t="s">
        <v>292</v>
      </c>
      <c r="D16" s="25" t="s">
        <v>136</v>
      </c>
      <c r="E16" s="26">
        <v>25777</v>
      </c>
      <c r="F16" s="27">
        <v>300.61</v>
      </c>
      <c r="G16" s="28">
        <v>3.5000000000000003E-2</v>
      </c>
      <c r="H16" s="29"/>
    </row>
    <row r="17" spans="2:8" ht="15.75" customHeight="1" x14ac:dyDescent="0.2">
      <c r="B17" s="25" t="s">
        <v>289</v>
      </c>
      <c r="C17" s="25" t="s">
        <v>290</v>
      </c>
      <c r="D17" s="25" t="s">
        <v>136</v>
      </c>
      <c r="E17" s="26">
        <v>13456</v>
      </c>
      <c r="F17" s="27">
        <v>243.1</v>
      </c>
      <c r="G17" s="28">
        <v>2.8299999999999999E-2</v>
      </c>
      <c r="H17" s="29"/>
    </row>
    <row r="18" spans="2:8" ht="15.75" customHeight="1" x14ac:dyDescent="0.2">
      <c r="B18" s="25" t="s">
        <v>143</v>
      </c>
      <c r="C18" s="25" t="s">
        <v>144</v>
      </c>
      <c r="D18" s="25" t="s">
        <v>145</v>
      </c>
      <c r="E18" s="26">
        <v>8193</v>
      </c>
      <c r="F18" s="27">
        <v>238.19</v>
      </c>
      <c r="G18" s="28">
        <v>2.7699999999999999E-2</v>
      </c>
      <c r="H18" s="29"/>
    </row>
    <row r="19" spans="2:8" ht="15.75" customHeight="1" x14ac:dyDescent="0.2">
      <c r="B19" s="25" t="s">
        <v>140</v>
      </c>
      <c r="C19" s="25" t="s">
        <v>141</v>
      </c>
      <c r="D19" s="25" t="s">
        <v>142</v>
      </c>
      <c r="E19" s="26">
        <v>8178</v>
      </c>
      <c r="F19" s="27">
        <v>221.3</v>
      </c>
      <c r="G19" s="28">
        <v>2.5700000000000001E-2</v>
      </c>
      <c r="H19" s="29"/>
    </row>
    <row r="20" spans="2:8" ht="15.75" customHeight="1" x14ac:dyDescent="0.2">
      <c r="B20" s="25" t="s">
        <v>487</v>
      </c>
      <c r="C20" s="25" t="s">
        <v>488</v>
      </c>
      <c r="D20" s="25" t="s">
        <v>145</v>
      </c>
      <c r="E20" s="26">
        <v>16181</v>
      </c>
      <c r="F20" s="27">
        <v>187.11</v>
      </c>
      <c r="G20" s="28">
        <v>2.18E-2</v>
      </c>
      <c r="H20" s="29"/>
    </row>
    <row r="21" spans="2:8" ht="15.75" customHeight="1" x14ac:dyDescent="0.2">
      <c r="B21" s="25" t="s">
        <v>255</v>
      </c>
      <c r="C21" s="25" t="s">
        <v>256</v>
      </c>
      <c r="D21" s="25" t="s">
        <v>184</v>
      </c>
      <c r="E21" s="26">
        <v>43561</v>
      </c>
      <c r="F21" s="27">
        <v>181.24</v>
      </c>
      <c r="G21" s="28">
        <v>2.1100000000000001E-2</v>
      </c>
      <c r="H21" s="29"/>
    </row>
    <row r="22" spans="2:8" ht="15.75" customHeight="1" x14ac:dyDescent="0.2">
      <c r="B22" s="25" t="s">
        <v>293</v>
      </c>
      <c r="C22" s="25" t="s">
        <v>294</v>
      </c>
      <c r="D22" s="25" t="s">
        <v>212</v>
      </c>
      <c r="E22" s="26">
        <v>2570</v>
      </c>
      <c r="F22" s="27">
        <v>174.98</v>
      </c>
      <c r="G22" s="28">
        <v>2.0400000000000001E-2</v>
      </c>
      <c r="H22" s="29"/>
    </row>
    <row r="23" spans="2:8" ht="15.75" customHeight="1" x14ac:dyDescent="0.2">
      <c r="B23" s="25" t="s">
        <v>507</v>
      </c>
      <c r="C23" s="25" t="s">
        <v>508</v>
      </c>
      <c r="D23" s="25" t="s">
        <v>172</v>
      </c>
      <c r="E23" s="26">
        <v>9874</v>
      </c>
      <c r="F23" s="27">
        <v>169.62</v>
      </c>
      <c r="G23" s="28">
        <v>1.9699999999999999E-2</v>
      </c>
      <c r="H23" s="29"/>
    </row>
    <row r="24" spans="2:8" ht="15.75" customHeight="1" x14ac:dyDescent="0.2">
      <c r="B24" s="25" t="s">
        <v>234</v>
      </c>
      <c r="C24" s="25" t="s">
        <v>235</v>
      </c>
      <c r="D24" s="25" t="s">
        <v>145</v>
      </c>
      <c r="E24" s="26">
        <v>1210</v>
      </c>
      <c r="F24" s="27">
        <v>159.33000000000001</v>
      </c>
      <c r="G24" s="28">
        <v>1.8499999999999999E-2</v>
      </c>
      <c r="H24" s="29"/>
    </row>
    <row r="25" spans="2:8" ht="15.75" customHeight="1" x14ac:dyDescent="0.2">
      <c r="B25" s="25" t="s">
        <v>298</v>
      </c>
      <c r="C25" s="25" t="s">
        <v>299</v>
      </c>
      <c r="D25" s="25" t="s">
        <v>139</v>
      </c>
      <c r="E25" s="26">
        <v>9627</v>
      </c>
      <c r="F25" s="27">
        <v>158.07</v>
      </c>
      <c r="G25" s="28">
        <v>1.84E-2</v>
      </c>
      <c r="H25" s="29"/>
    </row>
    <row r="26" spans="2:8" ht="15.75" customHeight="1" x14ac:dyDescent="0.2">
      <c r="B26" s="25" t="s">
        <v>191</v>
      </c>
      <c r="C26" s="25" t="s">
        <v>192</v>
      </c>
      <c r="D26" s="25" t="s">
        <v>184</v>
      </c>
      <c r="E26" s="26">
        <v>41852</v>
      </c>
      <c r="F26" s="27">
        <v>145.9</v>
      </c>
      <c r="G26" s="28">
        <v>1.7000000000000001E-2</v>
      </c>
      <c r="H26" s="29"/>
    </row>
    <row r="27" spans="2:8" ht="15.75" customHeight="1" x14ac:dyDescent="0.2">
      <c r="B27" s="25" t="s">
        <v>402</v>
      </c>
      <c r="C27" s="25" t="s">
        <v>403</v>
      </c>
      <c r="D27" s="25" t="s">
        <v>187</v>
      </c>
      <c r="E27" s="26">
        <v>3832</v>
      </c>
      <c r="F27" s="27">
        <v>132.5</v>
      </c>
      <c r="G27" s="28">
        <v>1.54E-2</v>
      </c>
      <c r="H27" s="29"/>
    </row>
    <row r="28" spans="2:8" ht="15.75" customHeight="1" x14ac:dyDescent="0.2">
      <c r="B28" s="25" t="s">
        <v>485</v>
      </c>
      <c r="C28" s="25" t="s">
        <v>486</v>
      </c>
      <c r="D28" s="25" t="s">
        <v>187</v>
      </c>
      <c r="E28" s="26">
        <v>4139</v>
      </c>
      <c r="F28" s="27">
        <v>127.58</v>
      </c>
      <c r="G28" s="28">
        <v>1.4800000000000001E-2</v>
      </c>
      <c r="H28" s="29"/>
    </row>
    <row r="29" spans="2:8" ht="15.75" customHeight="1" x14ac:dyDescent="0.2">
      <c r="B29" s="25" t="s">
        <v>491</v>
      </c>
      <c r="C29" s="25" t="s">
        <v>492</v>
      </c>
      <c r="D29" s="25" t="s">
        <v>269</v>
      </c>
      <c r="E29" s="26">
        <v>1060</v>
      </c>
      <c r="F29" s="27">
        <v>125.96</v>
      </c>
      <c r="G29" s="28">
        <v>1.47E-2</v>
      </c>
      <c r="H29" s="29"/>
    </row>
    <row r="30" spans="2:8" ht="15.75" customHeight="1" x14ac:dyDescent="0.2">
      <c r="B30" s="25" t="s">
        <v>179</v>
      </c>
      <c r="C30" s="25" t="s">
        <v>180</v>
      </c>
      <c r="D30" s="25" t="s">
        <v>181</v>
      </c>
      <c r="E30" s="26">
        <v>75489</v>
      </c>
      <c r="F30" s="27">
        <v>124.82</v>
      </c>
      <c r="G30" s="28">
        <v>1.4500000000000001E-2</v>
      </c>
      <c r="H30" s="29"/>
    </row>
    <row r="31" spans="2:8" ht="15.75" customHeight="1" x14ac:dyDescent="0.2">
      <c r="B31" s="25" t="s">
        <v>802</v>
      </c>
      <c r="C31" s="25" t="s">
        <v>803</v>
      </c>
      <c r="D31" s="25" t="s">
        <v>245</v>
      </c>
      <c r="E31" s="26">
        <v>6638</v>
      </c>
      <c r="F31" s="27">
        <v>104.19</v>
      </c>
      <c r="G31" s="28">
        <v>1.21E-2</v>
      </c>
      <c r="H31" s="29"/>
    </row>
    <row r="32" spans="2:8" ht="15.75" customHeight="1" x14ac:dyDescent="0.2">
      <c r="B32" s="25" t="s">
        <v>203</v>
      </c>
      <c r="C32" s="25" t="s">
        <v>204</v>
      </c>
      <c r="D32" s="25" t="s">
        <v>139</v>
      </c>
      <c r="E32" s="26">
        <v>5824</v>
      </c>
      <c r="F32" s="27">
        <v>90.5</v>
      </c>
      <c r="G32" s="28">
        <v>1.0500000000000001E-2</v>
      </c>
      <c r="H32" s="29"/>
    </row>
    <row r="33" spans="2:8" ht="15.75" customHeight="1" x14ac:dyDescent="0.2">
      <c r="B33" s="25" t="s">
        <v>324</v>
      </c>
      <c r="C33" s="25" t="s">
        <v>325</v>
      </c>
      <c r="D33" s="25" t="s">
        <v>136</v>
      </c>
      <c r="E33" s="26">
        <v>6073</v>
      </c>
      <c r="F33" s="27">
        <v>86.73</v>
      </c>
      <c r="G33" s="28">
        <v>1.01E-2</v>
      </c>
      <c r="H33" s="29"/>
    </row>
    <row r="34" spans="2:8" ht="15.75" customHeight="1" x14ac:dyDescent="0.2">
      <c r="B34" s="25" t="s">
        <v>241</v>
      </c>
      <c r="C34" s="25" t="s">
        <v>242</v>
      </c>
      <c r="D34" s="25" t="s">
        <v>181</v>
      </c>
      <c r="E34" s="26">
        <v>8736</v>
      </c>
      <c r="F34" s="27">
        <v>81.05</v>
      </c>
      <c r="G34" s="28">
        <v>9.4000000000000004E-3</v>
      </c>
      <c r="H34" s="29"/>
    </row>
    <row r="35" spans="2:8" ht="15.75" customHeight="1" x14ac:dyDescent="0.2">
      <c r="B35" s="25" t="s">
        <v>146</v>
      </c>
      <c r="C35" s="25" t="s">
        <v>147</v>
      </c>
      <c r="D35" s="25" t="s">
        <v>148</v>
      </c>
      <c r="E35" s="26">
        <v>3272</v>
      </c>
      <c r="F35" s="27">
        <v>80.37</v>
      </c>
      <c r="G35" s="28">
        <v>9.4000000000000004E-3</v>
      </c>
      <c r="H35" s="29"/>
    </row>
    <row r="36" spans="2:8" ht="15.75" customHeight="1" x14ac:dyDescent="0.2">
      <c r="B36" s="25" t="s">
        <v>804</v>
      </c>
      <c r="C36" s="25" t="s">
        <v>805</v>
      </c>
      <c r="D36" s="25" t="s">
        <v>212</v>
      </c>
      <c r="E36" s="26">
        <v>4415</v>
      </c>
      <c r="F36" s="27">
        <v>72.989999999999995</v>
      </c>
      <c r="G36" s="28">
        <v>8.5000000000000006E-3</v>
      </c>
      <c r="H36" s="29"/>
    </row>
    <row r="37" spans="2:8" ht="15.75" customHeight="1" x14ac:dyDescent="0.2">
      <c r="B37" s="24" t="s">
        <v>104</v>
      </c>
      <c r="C37" s="24"/>
      <c r="D37" s="24"/>
      <c r="E37" s="30"/>
      <c r="F37" s="31">
        <v>8561.31</v>
      </c>
      <c r="G37" s="32">
        <v>0.99609999999999999</v>
      </c>
      <c r="H37" s="33"/>
    </row>
    <row r="38" spans="2:8" ht="15.75" customHeight="1" x14ac:dyDescent="0.2">
      <c r="B38" s="24" t="s">
        <v>156</v>
      </c>
      <c r="C38" s="25"/>
      <c r="D38" s="25"/>
      <c r="E38" s="26"/>
      <c r="F38" s="27"/>
      <c r="G38" s="28"/>
      <c r="H38" s="29"/>
    </row>
    <row r="39" spans="2:8" ht="15.75" customHeight="1" x14ac:dyDescent="0.2">
      <c r="B39" s="24" t="s">
        <v>104</v>
      </c>
      <c r="C39" s="25"/>
      <c r="D39" s="25"/>
      <c r="E39" s="26"/>
      <c r="F39" s="34" t="s">
        <v>106</v>
      </c>
      <c r="G39" s="35" t="s">
        <v>106</v>
      </c>
      <c r="H39" s="29"/>
    </row>
    <row r="40" spans="2:8" ht="15.75" customHeight="1" x14ac:dyDescent="0.2">
      <c r="B40" s="25"/>
      <c r="C40" s="25"/>
      <c r="D40" s="25"/>
      <c r="E40" s="26"/>
      <c r="F40" s="27"/>
      <c r="G40" s="28"/>
      <c r="H40" s="29"/>
    </row>
    <row r="41" spans="2:8" ht="15.75" customHeight="1" x14ac:dyDescent="0.2">
      <c r="B41" s="36" t="s">
        <v>108</v>
      </c>
      <c r="C41" s="36"/>
      <c r="D41" s="36"/>
      <c r="E41" s="37"/>
      <c r="F41" s="31">
        <v>8561.31</v>
      </c>
      <c r="G41" s="32">
        <v>0.99609999999999999</v>
      </c>
      <c r="H41" s="33"/>
    </row>
    <row r="42" spans="2:8" ht="15.75" customHeight="1" x14ac:dyDescent="0.2">
      <c r="B42" s="25"/>
      <c r="C42" s="25"/>
      <c r="D42" s="25"/>
      <c r="E42" s="26"/>
      <c r="F42" s="27"/>
      <c r="G42" s="28"/>
      <c r="H42" s="29"/>
    </row>
    <row r="43" spans="2:8" ht="15.75" customHeight="1" x14ac:dyDescent="0.2">
      <c r="B43" s="25"/>
      <c r="C43" s="25"/>
      <c r="D43" s="25"/>
      <c r="E43" s="26"/>
      <c r="F43" s="27"/>
      <c r="G43" s="28"/>
      <c r="H43" s="29"/>
    </row>
    <row r="44" spans="2:8" ht="15.75" customHeight="1" x14ac:dyDescent="0.2">
      <c r="B44" s="24" t="s">
        <v>111</v>
      </c>
      <c r="C44" s="25"/>
      <c r="D44" s="25"/>
      <c r="E44" s="26"/>
      <c r="F44" s="27"/>
      <c r="G44" s="28"/>
      <c r="H44" s="29"/>
    </row>
    <row r="45" spans="2:8" ht="15.75" customHeight="1" x14ac:dyDescent="0.2">
      <c r="B45" s="25" t="s">
        <v>112</v>
      </c>
      <c r="C45" s="25"/>
      <c r="D45" s="25"/>
      <c r="E45" s="26"/>
      <c r="F45" s="27">
        <v>13.25</v>
      </c>
      <c r="G45" s="28">
        <v>1.5E-3</v>
      </c>
      <c r="H45" s="29"/>
    </row>
    <row r="46" spans="2:8" ht="15.75" customHeight="1" x14ac:dyDescent="0.2">
      <c r="B46" s="24" t="s">
        <v>104</v>
      </c>
      <c r="C46" s="24"/>
      <c r="D46" s="24"/>
      <c r="E46" s="30"/>
      <c r="F46" s="31">
        <v>13.25</v>
      </c>
      <c r="G46" s="32">
        <v>1.5E-3</v>
      </c>
      <c r="H46" s="33"/>
    </row>
    <row r="47" spans="2:8" ht="15.75" customHeight="1" x14ac:dyDescent="0.2">
      <c r="B47" s="25"/>
      <c r="C47" s="25"/>
      <c r="D47" s="25"/>
      <c r="E47" s="26"/>
      <c r="F47" s="27"/>
      <c r="G47" s="28"/>
      <c r="H47" s="29"/>
    </row>
    <row r="48" spans="2:8" ht="15.75" customHeight="1" x14ac:dyDescent="0.2">
      <c r="B48" s="36" t="s">
        <v>108</v>
      </c>
      <c r="C48" s="36"/>
      <c r="D48" s="36"/>
      <c r="E48" s="37"/>
      <c r="F48" s="31">
        <v>13.25</v>
      </c>
      <c r="G48" s="32">
        <v>1.5E-3</v>
      </c>
      <c r="H48" s="33"/>
    </row>
    <row r="49" spans="2:8" ht="15.75" customHeight="1" x14ac:dyDescent="0.2">
      <c r="B49" s="25" t="s">
        <v>113</v>
      </c>
      <c r="C49" s="25"/>
      <c r="D49" s="25"/>
      <c r="E49" s="26"/>
      <c r="F49" s="27">
        <v>20.010000000000002</v>
      </c>
      <c r="G49" s="28">
        <v>2.4000000000000687E-3</v>
      </c>
      <c r="H49" s="29"/>
    </row>
    <row r="50" spans="2:8" ht="15.75" customHeight="1" x14ac:dyDescent="0.2">
      <c r="B50" s="40" t="s">
        <v>114</v>
      </c>
      <c r="C50" s="40"/>
      <c r="D50" s="40"/>
      <c r="E50" s="41"/>
      <c r="F50" s="42">
        <v>8594.57</v>
      </c>
      <c r="G50" s="43">
        <v>1</v>
      </c>
      <c r="H50" s="44"/>
    </row>
    <row r="51" spans="2:8" ht="15.75" customHeight="1" thickBot="1" x14ac:dyDescent="0.25">
      <c r="B51" s="2"/>
    </row>
    <row r="52" spans="2:8" ht="27" customHeight="1" thickBot="1" x14ac:dyDescent="0.25">
      <c r="B52" s="56" t="s">
        <v>1009</v>
      </c>
      <c r="C52" s="57" t="s">
        <v>1010</v>
      </c>
      <c r="D52" s="57" t="s">
        <v>1011</v>
      </c>
      <c r="E52" s="62" t="s">
        <v>1012</v>
      </c>
      <c r="G52" s="2"/>
      <c r="H52" s="2"/>
    </row>
    <row r="53" spans="2:8" ht="22.5" customHeight="1" x14ac:dyDescent="0.2">
      <c r="B53" s="69" t="s">
        <v>64</v>
      </c>
      <c r="C53" s="83"/>
      <c r="D53" s="86" t="s">
        <v>1070</v>
      </c>
      <c r="E53" s="88"/>
      <c r="G53" s="2"/>
      <c r="H53" s="2"/>
    </row>
    <row r="54" spans="2:8" ht="26.25" customHeight="1" x14ac:dyDescent="0.2">
      <c r="B54" s="65" t="s">
        <v>1068</v>
      </c>
      <c r="C54" s="84"/>
      <c r="D54" s="87"/>
      <c r="E54" s="84"/>
      <c r="G54" s="2"/>
      <c r="H54" s="2"/>
    </row>
    <row r="55" spans="2:8" ht="39.950000000000003" customHeight="1" x14ac:dyDescent="0.2">
      <c r="B55" s="65" t="s">
        <v>1071</v>
      </c>
      <c r="C55" s="84"/>
      <c r="D55" s="87"/>
      <c r="E55" s="84"/>
      <c r="G55" s="2"/>
      <c r="H55" s="2"/>
    </row>
    <row r="56" spans="2:8" ht="27.75" customHeight="1" thickBot="1" x14ac:dyDescent="0.25">
      <c r="B56" s="67" t="s">
        <v>1030</v>
      </c>
      <c r="C56" s="85"/>
      <c r="D56" s="70" t="s">
        <v>1030</v>
      </c>
      <c r="E56" s="89"/>
      <c r="G56" s="2"/>
      <c r="H56" s="2"/>
    </row>
    <row r="57" spans="2:8" ht="24.95" customHeight="1" x14ac:dyDescent="0.2">
      <c r="B57" s="58" t="s">
        <v>1014</v>
      </c>
      <c r="C57" s="59"/>
      <c r="D57" s="60"/>
      <c r="E57" s="61"/>
      <c r="G57" s="2"/>
      <c r="H57" s="2"/>
    </row>
    <row r="59" spans="2:8" ht="12" x14ac:dyDescent="0.2">
      <c r="B59" s="2" t="s">
        <v>1015</v>
      </c>
      <c r="C59" s="2"/>
      <c r="D59" s="2"/>
      <c r="G59" s="2"/>
      <c r="H59" s="2"/>
    </row>
    <row r="60" spans="2:8" ht="12" x14ac:dyDescent="0.2">
      <c r="B60" s="3" t="s">
        <v>1016</v>
      </c>
      <c r="C60" s="2"/>
      <c r="D60" s="2"/>
      <c r="G60" s="2"/>
      <c r="H60" s="2"/>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3:C56"/>
    <mergeCell ref="D53:D55"/>
    <mergeCell ref="E53:E56"/>
  </mergeCells>
  <hyperlinks>
    <hyperlink ref="G1" location="'Sheet1'!A1" display="Index" xr:uid="{5C9B8FB5-4D89-46AF-93FD-6E20DD70D86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FF04C-9146-453B-8D3C-0B755F2BE7E7}">
  <dimension ref="B1:N86"/>
  <sheetViews>
    <sheetView workbookViewId="0"/>
  </sheetViews>
  <sheetFormatPr defaultColWidth="9.140625" defaultRowHeight="15.75" customHeight="1" x14ac:dyDescent="0.2"/>
  <cols>
    <col min="1" max="1" width="3.5703125" style="2" customWidth="1"/>
    <col min="2" max="2" width="50.42578125" style="9" customWidth="1"/>
    <col min="3" max="4" width="26.5703125" style="9" customWidth="1"/>
    <col min="5" max="5" width="29"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1098</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132</v>
      </c>
      <c r="C5" s="19"/>
      <c r="D5" s="19"/>
      <c r="E5" s="20"/>
      <c r="F5" s="21"/>
      <c r="G5" s="22"/>
      <c r="H5" s="23"/>
    </row>
    <row r="6" spans="2:8" ht="15.75" customHeight="1" x14ac:dyDescent="0.2">
      <c r="B6" s="24" t="s">
        <v>133</v>
      </c>
      <c r="C6" s="25"/>
      <c r="D6" s="25"/>
      <c r="E6" s="26"/>
      <c r="F6" s="27"/>
      <c r="G6" s="28"/>
      <c r="H6" s="29"/>
    </row>
    <row r="7" spans="2:8" ht="15.75" customHeight="1" x14ac:dyDescent="0.2">
      <c r="B7" s="25" t="s">
        <v>149</v>
      </c>
      <c r="C7" s="25" t="s">
        <v>150</v>
      </c>
      <c r="D7" s="25" t="s">
        <v>136</v>
      </c>
      <c r="E7" s="26">
        <v>40360</v>
      </c>
      <c r="F7" s="27">
        <v>652.12</v>
      </c>
      <c r="G7" s="28">
        <v>5.28E-2</v>
      </c>
      <c r="H7" s="29"/>
    </row>
    <row r="8" spans="2:8" ht="15.75" customHeight="1" x14ac:dyDescent="0.2">
      <c r="B8" s="25" t="s">
        <v>285</v>
      </c>
      <c r="C8" s="25" t="s">
        <v>286</v>
      </c>
      <c r="D8" s="25" t="s">
        <v>142</v>
      </c>
      <c r="E8" s="26">
        <v>128108</v>
      </c>
      <c r="F8" s="27">
        <v>634.58000000000004</v>
      </c>
      <c r="G8" s="28">
        <v>5.1400000000000001E-2</v>
      </c>
      <c r="H8" s="29"/>
    </row>
    <row r="9" spans="2:8" ht="15.75" customHeight="1" x14ac:dyDescent="0.2">
      <c r="B9" s="25" t="s">
        <v>153</v>
      </c>
      <c r="C9" s="25" t="s">
        <v>154</v>
      </c>
      <c r="D9" s="25" t="s">
        <v>155</v>
      </c>
      <c r="E9" s="26">
        <v>20264</v>
      </c>
      <c r="F9" s="27">
        <v>610.12</v>
      </c>
      <c r="G9" s="28">
        <v>4.9399999999999999E-2</v>
      </c>
      <c r="H9" s="29"/>
    </row>
    <row r="10" spans="2:8" ht="15.75" customHeight="1" x14ac:dyDescent="0.2">
      <c r="B10" s="25" t="s">
        <v>287</v>
      </c>
      <c r="C10" s="25" t="s">
        <v>288</v>
      </c>
      <c r="D10" s="25" t="s">
        <v>136</v>
      </c>
      <c r="E10" s="26">
        <v>69334</v>
      </c>
      <c r="F10" s="27">
        <v>604.87</v>
      </c>
      <c r="G10" s="28">
        <v>4.9000000000000002E-2</v>
      </c>
      <c r="H10" s="29"/>
    </row>
    <row r="11" spans="2:8" ht="15.75" customHeight="1" x14ac:dyDescent="0.2">
      <c r="B11" s="25" t="s">
        <v>137</v>
      </c>
      <c r="C11" s="25" t="s">
        <v>138</v>
      </c>
      <c r="D11" s="25" t="s">
        <v>139</v>
      </c>
      <c r="E11" s="26">
        <v>25657</v>
      </c>
      <c r="F11" s="27">
        <v>479.34</v>
      </c>
      <c r="G11" s="28">
        <v>3.8800000000000001E-2</v>
      </c>
      <c r="H11" s="29"/>
    </row>
    <row r="12" spans="2:8" ht="15.75" customHeight="1" x14ac:dyDescent="0.2">
      <c r="B12" s="25" t="s">
        <v>412</v>
      </c>
      <c r="C12" s="25" t="s">
        <v>413</v>
      </c>
      <c r="D12" s="25" t="s">
        <v>352</v>
      </c>
      <c r="E12" s="26">
        <v>112747</v>
      </c>
      <c r="F12" s="27">
        <v>403.58</v>
      </c>
      <c r="G12" s="28">
        <v>3.27E-2</v>
      </c>
      <c r="H12" s="29"/>
    </row>
    <row r="13" spans="2:8" ht="15.75" customHeight="1" x14ac:dyDescent="0.2">
      <c r="B13" s="25" t="s">
        <v>406</v>
      </c>
      <c r="C13" s="25" t="s">
        <v>407</v>
      </c>
      <c r="D13" s="25" t="s">
        <v>339</v>
      </c>
      <c r="E13" s="26">
        <v>23755</v>
      </c>
      <c r="F13" s="27">
        <v>374.71</v>
      </c>
      <c r="G13" s="28">
        <v>3.0300000000000001E-2</v>
      </c>
      <c r="H13" s="29"/>
    </row>
    <row r="14" spans="2:8" ht="15.75" customHeight="1" x14ac:dyDescent="0.2">
      <c r="B14" s="25" t="s">
        <v>386</v>
      </c>
      <c r="C14" s="25" t="s">
        <v>387</v>
      </c>
      <c r="D14" s="25" t="s">
        <v>178</v>
      </c>
      <c r="E14" s="26">
        <v>20402</v>
      </c>
      <c r="F14" s="27">
        <v>323.38</v>
      </c>
      <c r="G14" s="28">
        <v>2.6200000000000001E-2</v>
      </c>
      <c r="H14" s="29"/>
    </row>
    <row r="15" spans="2:8" ht="15.75" customHeight="1" x14ac:dyDescent="0.2">
      <c r="B15" s="25" t="s">
        <v>493</v>
      </c>
      <c r="C15" s="25" t="s">
        <v>494</v>
      </c>
      <c r="D15" s="25" t="s">
        <v>314</v>
      </c>
      <c r="E15" s="26">
        <v>109655</v>
      </c>
      <c r="F15" s="27">
        <v>289.23</v>
      </c>
      <c r="G15" s="28">
        <v>2.3400000000000001E-2</v>
      </c>
      <c r="H15" s="29"/>
    </row>
    <row r="16" spans="2:8" ht="15.75" customHeight="1" x14ac:dyDescent="0.2">
      <c r="B16" s="25" t="s">
        <v>572</v>
      </c>
      <c r="C16" s="25" t="s">
        <v>573</v>
      </c>
      <c r="D16" s="25" t="s">
        <v>233</v>
      </c>
      <c r="E16" s="26">
        <v>87976</v>
      </c>
      <c r="F16" s="27">
        <v>286.14</v>
      </c>
      <c r="G16" s="28">
        <v>2.3199999999999998E-2</v>
      </c>
      <c r="H16" s="29"/>
    </row>
    <row r="17" spans="2:8" ht="15.75" customHeight="1" x14ac:dyDescent="0.2">
      <c r="B17" s="25" t="s">
        <v>221</v>
      </c>
      <c r="C17" s="25" t="s">
        <v>222</v>
      </c>
      <c r="D17" s="25" t="s">
        <v>212</v>
      </c>
      <c r="E17" s="26">
        <v>26374</v>
      </c>
      <c r="F17" s="27">
        <v>274.69</v>
      </c>
      <c r="G17" s="28">
        <v>2.2200000000000001E-2</v>
      </c>
      <c r="H17" s="29"/>
    </row>
    <row r="18" spans="2:8" ht="15.75" customHeight="1" x14ac:dyDescent="0.2">
      <c r="B18" s="25" t="s">
        <v>218</v>
      </c>
      <c r="C18" s="25" t="s">
        <v>219</v>
      </c>
      <c r="D18" s="25" t="s">
        <v>220</v>
      </c>
      <c r="E18" s="26">
        <v>78044</v>
      </c>
      <c r="F18" s="27">
        <v>268.24</v>
      </c>
      <c r="G18" s="28">
        <v>2.1700000000000001E-2</v>
      </c>
      <c r="H18" s="29"/>
    </row>
    <row r="19" spans="2:8" ht="15.75" customHeight="1" x14ac:dyDescent="0.2">
      <c r="B19" s="25" t="s">
        <v>307</v>
      </c>
      <c r="C19" s="25" t="s">
        <v>308</v>
      </c>
      <c r="D19" s="25" t="s">
        <v>297</v>
      </c>
      <c r="E19" s="26">
        <v>10643</v>
      </c>
      <c r="F19" s="27">
        <v>265.63</v>
      </c>
      <c r="G19" s="28">
        <v>2.1499999999999998E-2</v>
      </c>
      <c r="H19" s="29"/>
    </row>
    <row r="20" spans="2:8" ht="15.75" customHeight="1" x14ac:dyDescent="0.2">
      <c r="B20" s="25" t="s">
        <v>234</v>
      </c>
      <c r="C20" s="25" t="s">
        <v>235</v>
      </c>
      <c r="D20" s="25" t="s">
        <v>145</v>
      </c>
      <c r="E20" s="26">
        <v>2019</v>
      </c>
      <c r="F20" s="27">
        <v>264.81</v>
      </c>
      <c r="G20" s="28">
        <v>2.1399999999999999E-2</v>
      </c>
      <c r="H20" s="29"/>
    </row>
    <row r="21" spans="2:8" ht="15.75" customHeight="1" x14ac:dyDescent="0.2">
      <c r="B21" s="25" t="s">
        <v>390</v>
      </c>
      <c r="C21" s="25" t="s">
        <v>391</v>
      </c>
      <c r="D21" s="25" t="s">
        <v>172</v>
      </c>
      <c r="E21" s="26">
        <v>147109</v>
      </c>
      <c r="F21" s="27">
        <v>258.99</v>
      </c>
      <c r="G21" s="28">
        <v>2.1000000000000001E-2</v>
      </c>
      <c r="H21" s="29"/>
    </row>
    <row r="22" spans="2:8" ht="15.75" customHeight="1" x14ac:dyDescent="0.2">
      <c r="B22" s="25" t="s">
        <v>134</v>
      </c>
      <c r="C22" s="25" t="s">
        <v>135</v>
      </c>
      <c r="D22" s="25" t="s">
        <v>136</v>
      </c>
      <c r="E22" s="26">
        <v>21251</v>
      </c>
      <c r="F22" s="27">
        <v>258.18</v>
      </c>
      <c r="G22" s="28">
        <v>2.0899999999999998E-2</v>
      </c>
      <c r="H22" s="29"/>
    </row>
    <row r="23" spans="2:8" ht="15.75" customHeight="1" x14ac:dyDescent="0.2">
      <c r="B23" s="25" t="s">
        <v>420</v>
      </c>
      <c r="C23" s="25" t="s">
        <v>421</v>
      </c>
      <c r="D23" s="25" t="s">
        <v>202</v>
      </c>
      <c r="E23" s="26">
        <v>117487</v>
      </c>
      <c r="F23" s="27">
        <v>257.38</v>
      </c>
      <c r="G23" s="28">
        <v>2.0799999999999999E-2</v>
      </c>
      <c r="H23" s="29"/>
    </row>
    <row r="24" spans="2:8" ht="15.75" customHeight="1" x14ac:dyDescent="0.2">
      <c r="B24" s="25" t="s">
        <v>326</v>
      </c>
      <c r="C24" s="25" t="s">
        <v>327</v>
      </c>
      <c r="D24" s="25" t="s">
        <v>212</v>
      </c>
      <c r="E24" s="26">
        <v>46098</v>
      </c>
      <c r="F24" s="27">
        <v>256.67</v>
      </c>
      <c r="G24" s="28">
        <v>2.0799999999999999E-2</v>
      </c>
      <c r="H24" s="29"/>
    </row>
    <row r="25" spans="2:8" ht="15.75" customHeight="1" x14ac:dyDescent="0.2">
      <c r="B25" s="25" t="s">
        <v>523</v>
      </c>
      <c r="C25" s="25" t="s">
        <v>524</v>
      </c>
      <c r="D25" s="25" t="s">
        <v>297</v>
      </c>
      <c r="E25" s="26">
        <v>118483</v>
      </c>
      <c r="F25" s="27">
        <v>251.1</v>
      </c>
      <c r="G25" s="28">
        <v>2.0299999999999999E-2</v>
      </c>
      <c r="H25" s="29"/>
    </row>
    <row r="26" spans="2:8" ht="15.75" customHeight="1" x14ac:dyDescent="0.2">
      <c r="B26" s="25" t="s">
        <v>404</v>
      </c>
      <c r="C26" s="25" t="s">
        <v>405</v>
      </c>
      <c r="D26" s="25" t="s">
        <v>266</v>
      </c>
      <c r="E26" s="26">
        <v>14460</v>
      </c>
      <c r="F26" s="27">
        <v>250.66</v>
      </c>
      <c r="G26" s="28">
        <v>2.0299999999999999E-2</v>
      </c>
      <c r="H26" s="29"/>
    </row>
    <row r="27" spans="2:8" ht="15.75" customHeight="1" x14ac:dyDescent="0.2">
      <c r="B27" s="25" t="s">
        <v>215</v>
      </c>
      <c r="C27" s="25" t="s">
        <v>216</v>
      </c>
      <c r="D27" s="25" t="s">
        <v>217</v>
      </c>
      <c r="E27" s="26">
        <v>16800</v>
      </c>
      <c r="F27" s="27">
        <v>250.58</v>
      </c>
      <c r="G27" s="28">
        <v>2.0299999999999999E-2</v>
      </c>
      <c r="H27" s="29"/>
    </row>
    <row r="28" spans="2:8" ht="15.75" customHeight="1" x14ac:dyDescent="0.2">
      <c r="B28" s="25" t="s">
        <v>719</v>
      </c>
      <c r="C28" s="25" t="s">
        <v>720</v>
      </c>
      <c r="D28" s="25" t="s">
        <v>187</v>
      </c>
      <c r="E28" s="26">
        <v>53704</v>
      </c>
      <c r="F28" s="27">
        <v>242.42</v>
      </c>
      <c r="G28" s="28">
        <v>1.9599999999999999E-2</v>
      </c>
      <c r="H28" s="29"/>
    </row>
    <row r="29" spans="2:8" ht="15.75" customHeight="1" x14ac:dyDescent="0.2">
      <c r="B29" s="25" t="s">
        <v>491</v>
      </c>
      <c r="C29" s="25" t="s">
        <v>492</v>
      </c>
      <c r="D29" s="25" t="s">
        <v>269</v>
      </c>
      <c r="E29" s="26">
        <v>2000</v>
      </c>
      <c r="F29" s="27">
        <v>237.74</v>
      </c>
      <c r="G29" s="28">
        <v>1.9300000000000001E-2</v>
      </c>
      <c r="H29" s="29"/>
    </row>
    <row r="30" spans="2:8" ht="15.75" customHeight="1" x14ac:dyDescent="0.2">
      <c r="B30" s="25" t="s">
        <v>815</v>
      </c>
      <c r="C30" s="25" t="s">
        <v>816</v>
      </c>
      <c r="D30" s="25" t="s">
        <v>319</v>
      </c>
      <c r="E30" s="26">
        <v>26702</v>
      </c>
      <c r="F30" s="27">
        <v>218.14</v>
      </c>
      <c r="G30" s="28">
        <v>1.77E-2</v>
      </c>
      <c r="H30" s="29"/>
    </row>
    <row r="31" spans="2:8" ht="15.75" customHeight="1" x14ac:dyDescent="0.2">
      <c r="B31" s="25" t="s">
        <v>302</v>
      </c>
      <c r="C31" s="25" t="s">
        <v>303</v>
      </c>
      <c r="D31" s="25" t="s">
        <v>304</v>
      </c>
      <c r="E31" s="26">
        <v>69450</v>
      </c>
      <c r="F31" s="27">
        <v>215.02</v>
      </c>
      <c r="G31" s="28">
        <v>1.7399999999999999E-2</v>
      </c>
      <c r="H31" s="29"/>
    </row>
    <row r="32" spans="2:8" ht="15.75" customHeight="1" x14ac:dyDescent="0.2">
      <c r="B32" s="25" t="s">
        <v>291</v>
      </c>
      <c r="C32" s="25" t="s">
        <v>292</v>
      </c>
      <c r="D32" s="25" t="s">
        <v>136</v>
      </c>
      <c r="E32" s="26">
        <v>17920</v>
      </c>
      <c r="F32" s="27">
        <v>208.97</v>
      </c>
      <c r="G32" s="28">
        <v>1.6899999999999998E-2</v>
      </c>
      <c r="H32" s="29"/>
    </row>
    <row r="33" spans="2:8" ht="15.75" customHeight="1" x14ac:dyDescent="0.2">
      <c r="B33" s="25" t="s">
        <v>505</v>
      </c>
      <c r="C33" s="25" t="s">
        <v>506</v>
      </c>
      <c r="D33" s="25" t="s">
        <v>155</v>
      </c>
      <c r="E33" s="26">
        <v>32634</v>
      </c>
      <c r="F33" s="27">
        <v>202.79</v>
      </c>
      <c r="G33" s="28">
        <v>1.6400000000000001E-2</v>
      </c>
      <c r="H33" s="29"/>
    </row>
    <row r="34" spans="2:8" ht="15.75" customHeight="1" x14ac:dyDescent="0.2">
      <c r="B34" s="25" t="s">
        <v>525</v>
      </c>
      <c r="C34" s="25" t="s">
        <v>526</v>
      </c>
      <c r="D34" s="25" t="s">
        <v>527</v>
      </c>
      <c r="E34" s="26">
        <v>5454</v>
      </c>
      <c r="F34" s="27">
        <v>191.81</v>
      </c>
      <c r="G34" s="28">
        <v>1.55E-2</v>
      </c>
      <c r="H34" s="29"/>
    </row>
    <row r="35" spans="2:8" ht="15.75" customHeight="1" x14ac:dyDescent="0.2">
      <c r="B35" s="25" t="s">
        <v>612</v>
      </c>
      <c r="C35" s="25" t="s">
        <v>613</v>
      </c>
      <c r="D35" s="25" t="s">
        <v>254</v>
      </c>
      <c r="E35" s="26">
        <v>4125</v>
      </c>
      <c r="F35" s="27">
        <v>182.77</v>
      </c>
      <c r="G35" s="28">
        <v>1.4800000000000001E-2</v>
      </c>
      <c r="H35" s="29"/>
    </row>
    <row r="36" spans="2:8" ht="15.75" customHeight="1" x14ac:dyDescent="0.2">
      <c r="B36" s="25" t="s">
        <v>337</v>
      </c>
      <c r="C36" s="25" t="s">
        <v>338</v>
      </c>
      <c r="D36" s="25" t="s">
        <v>339</v>
      </c>
      <c r="E36" s="26">
        <v>58001</v>
      </c>
      <c r="F36" s="27">
        <v>178.76</v>
      </c>
      <c r="G36" s="28">
        <v>1.4500000000000001E-2</v>
      </c>
      <c r="H36" s="29"/>
    </row>
    <row r="37" spans="2:8" ht="15.75" customHeight="1" x14ac:dyDescent="0.2">
      <c r="B37" s="25" t="s">
        <v>424</v>
      </c>
      <c r="C37" s="25" t="s">
        <v>425</v>
      </c>
      <c r="D37" s="25" t="s">
        <v>220</v>
      </c>
      <c r="E37" s="26">
        <v>33417</v>
      </c>
      <c r="F37" s="27">
        <v>171.03</v>
      </c>
      <c r="G37" s="28">
        <v>1.3899999999999999E-2</v>
      </c>
      <c r="H37" s="29"/>
    </row>
    <row r="38" spans="2:8" ht="15.75" customHeight="1" x14ac:dyDescent="0.2">
      <c r="B38" s="25" t="s">
        <v>298</v>
      </c>
      <c r="C38" s="25" t="s">
        <v>299</v>
      </c>
      <c r="D38" s="25" t="s">
        <v>139</v>
      </c>
      <c r="E38" s="26">
        <v>10278</v>
      </c>
      <c r="F38" s="27">
        <v>168.83</v>
      </c>
      <c r="G38" s="28">
        <v>1.37E-2</v>
      </c>
      <c r="H38" s="29"/>
    </row>
    <row r="39" spans="2:8" ht="15.75" customHeight="1" x14ac:dyDescent="0.2">
      <c r="B39" s="25" t="s">
        <v>546</v>
      </c>
      <c r="C39" s="25" t="s">
        <v>547</v>
      </c>
      <c r="D39" s="25" t="s">
        <v>233</v>
      </c>
      <c r="E39" s="26">
        <v>16669</v>
      </c>
      <c r="F39" s="27">
        <v>156.16</v>
      </c>
      <c r="G39" s="28">
        <v>1.26E-2</v>
      </c>
      <c r="H39" s="29"/>
    </row>
    <row r="40" spans="2:8" ht="15.75" customHeight="1" x14ac:dyDescent="0.2">
      <c r="B40" s="25" t="s">
        <v>362</v>
      </c>
      <c r="C40" s="25" t="s">
        <v>363</v>
      </c>
      <c r="D40" s="25" t="s">
        <v>139</v>
      </c>
      <c r="E40" s="26">
        <v>19382</v>
      </c>
      <c r="F40" s="27">
        <v>142.82</v>
      </c>
      <c r="G40" s="28">
        <v>1.1599999999999999E-2</v>
      </c>
      <c r="H40" s="29"/>
    </row>
    <row r="41" spans="2:8" ht="15.75" customHeight="1" x14ac:dyDescent="0.2">
      <c r="B41" s="25" t="s">
        <v>580</v>
      </c>
      <c r="C41" s="25" t="s">
        <v>581</v>
      </c>
      <c r="D41" s="25" t="s">
        <v>497</v>
      </c>
      <c r="E41" s="26">
        <v>16188</v>
      </c>
      <c r="F41" s="27">
        <v>141.38999999999999</v>
      </c>
      <c r="G41" s="28">
        <v>1.15E-2</v>
      </c>
      <c r="H41" s="29"/>
    </row>
    <row r="42" spans="2:8" ht="15.75" customHeight="1" x14ac:dyDescent="0.2">
      <c r="B42" s="25" t="s">
        <v>511</v>
      </c>
      <c r="C42" s="25" t="s">
        <v>512</v>
      </c>
      <c r="D42" s="25" t="s">
        <v>233</v>
      </c>
      <c r="E42" s="26">
        <v>4459</v>
      </c>
      <c r="F42" s="27">
        <v>137.88999999999999</v>
      </c>
      <c r="G42" s="28">
        <v>1.12E-2</v>
      </c>
      <c r="H42" s="29"/>
    </row>
    <row r="43" spans="2:8" ht="15.75" customHeight="1" x14ac:dyDescent="0.2">
      <c r="B43" s="25" t="s">
        <v>766</v>
      </c>
      <c r="C43" s="25" t="s">
        <v>767</v>
      </c>
      <c r="D43" s="25" t="s">
        <v>178</v>
      </c>
      <c r="E43" s="26">
        <v>15736</v>
      </c>
      <c r="F43" s="27">
        <v>126.38</v>
      </c>
      <c r="G43" s="28">
        <v>1.0200000000000001E-2</v>
      </c>
      <c r="H43" s="29"/>
    </row>
    <row r="44" spans="2:8" ht="15.75" customHeight="1" x14ac:dyDescent="0.2">
      <c r="B44" s="25" t="s">
        <v>636</v>
      </c>
      <c r="C44" s="25" t="s">
        <v>637</v>
      </c>
      <c r="D44" s="25" t="s">
        <v>139</v>
      </c>
      <c r="E44" s="26">
        <v>1980</v>
      </c>
      <c r="F44" s="27">
        <v>124.85</v>
      </c>
      <c r="G44" s="28">
        <v>1.01E-2</v>
      </c>
      <c r="H44" s="29"/>
    </row>
    <row r="45" spans="2:8" ht="15.75" customHeight="1" x14ac:dyDescent="0.2">
      <c r="B45" s="25" t="s">
        <v>530</v>
      </c>
      <c r="C45" s="25" t="s">
        <v>531</v>
      </c>
      <c r="D45" s="25" t="s">
        <v>436</v>
      </c>
      <c r="E45" s="26">
        <v>37280</v>
      </c>
      <c r="F45" s="27">
        <v>124.59</v>
      </c>
      <c r="G45" s="28">
        <v>1.01E-2</v>
      </c>
      <c r="H45" s="29"/>
    </row>
    <row r="46" spans="2:8" ht="15.75" customHeight="1" x14ac:dyDescent="0.2">
      <c r="B46" s="25" t="s">
        <v>519</v>
      </c>
      <c r="C46" s="25" t="s">
        <v>520</v>
      </c>
      <c r="D46" s="25" t="s">
        <v>336</v>
      </c>
      <c r="E46" s="26">
        <v>42266</v>
      </c>
      <c r="F46" s="27">
        <v>123.79</v>
      </c>
      <c r="G46" s="28">
        <v>0.01</v>
      </c>
      <c r="H46" s="29"/>
    </row>
    <row r="47" spans="2:8" ht="15.75" customHeight="1" x14ac:dyDescent="0.2">
      <c r="B47" s="25" t="s">
        <v>521</v>
      </c>
      <c r="C47" s="25" t="s">
        <v>522</v>
      </c>
      <c r="D47" s="25" t="s">
        <v>502</v>
      </c>
      <c r="E47" s="26">
        <v>9147</v>
      </c>
      <c r="F47" s="27">
        <v>122.81</v>
      </c>
      <c r="G47" s="28">
        <v>9.9000000000000008E-3</v>
      </c>
      <c r="H47" s="29"/>
    </row>
    <row r="48" spans="2:8" ht="15.75" customHeight="1" x14ac:dyDescent="0.2">
      <c r="B48" s="25" t="s">
        <v>414</v>
      </c>
      <c r="C48" s="25" t="s">
        <v>415</v>
      </c>
      <c r="D48" s="25" t="s">
        <v>266</v>
      </c>
      <c r="E48" s="26">
        <v>62279</v>
      </c>
      <c r="F48" s="27">
        <v>122.42</v>
      </c>
      <c r="G48" s="28">
        <v>9.9000000000000008E-3</v>
      </c>
      <c r="H48" s="29"/>
    </row>
    <row r="49" spans="2:8" ht="15.75" customHeight="1" x14ac:dyDescent="0.2">
      <c r="B49" s="25" t="s">
        <v>182</v>
      </c>
      <c r="C49" s="25" t="s">
        <v>183</v>
      </c>
      <c r="D49" s="25" t="s">
        <v>184</v>
      </c>
      <c r="E49" s="26">
        <v>26957</v>
      </c>
      <c r="F49" s="27">
        <v>122.28</v>
      </c>
      <c r="G49" s="28">
        <v>9.9000000000000008E-3</v>
      </c>
      <c r="H49" s="29"/>
    </row>
    <row r="50" spans="2:8" ht="15.75" customHeight="1" x14ac:dyDescent="0.2">
      <c r="B50" s="25" t="s">
        <v>717</v>
      </c>
      <c r="C50" s="25" t="s">
        <v>718</v>
      </c>
      <c r="D50" s="25" t="s">
        <v>554</v>
      </c>
      <c r="E50" s="26">
        <v>28605</v>
      </c>
      <c r="F50" s="27">
        <v>120.94</v>
      </c>
      <c r="G50" s="28">
        <v>9.7999999999999997E-3</v>
      </c>
      <c r="H50" s="29"/>
    </row>
    <row r="51" spans="2:8" ht="15.75" customHeight="1" x14ac:dyDescent="0.2">
      <c r="B51" s="25" t="s">
        <v>817</v>
      </c>
      <c r="C51" s="25" t="s">
        <v>818</v>
      </c>
      <c r="D51" s="25" t="s">
        <v>190</v>
      </c>
      <c r="E51" s="26">
        <v>17089</v>
      </c>
      <c r="F51" s="27">
        <v>120.74</v>
      </c>
      <c r="G51" s="28">
        <v>9.7999999999999997E-3</v>
      </c>
      <c r="H51" s="29"/>
    </row>
    <row r="52" spans="2:8" ht="15.75" customHeight="1" x14ac:dyDescent="0.2">
      <c r="B52" s="25" t="s">
        <v>342</v>
      </c>
      <c r="C52" s="25" t="s">
        <v>343</v>
      </c>
      <c r="D52" s="25" t="s">
        <v>319</v>
      </c>
      <c r="E52" s="26">
        <v>18989</v>
      </c>
      <c r="F52" s="27">
        <v>120.71</v>
      </c>
      <c r="G52" s="28">
        <v>9.7999999999999997E-3</v>
      </c>
      <c r="H52" s="29"/>
    </row>
    <row r="53" spans="2:8" ht="15.75" customHeight="1" x14ac:dyDescent="0.2">
      <c r="B53" s="25" t="s">
        <v>507</v>
      </c>
      <c r="C53" s="25" t="s">
        <v>508</v>
      </c>
      <c r="D53" s="25" t="s">
        <v>172</v>
      </c>
      <c r="E53" s="26">
        <v>6914</v>
      </c>
      <c r="F53" s="27">
        <v>118.88</v>
      </c>
      <c r="G53" s="28">
        <v>9.5999999999999992E-3</v>
      </c>
      <c r="H53" s="29"/>
    </row>
    <row r="54" spans="2:8" ht="15.75" customHeight="1" x14ac:dyDescent="0.2">
      <c r="B54" s="25" t="s">
        <v>439</v>
      </c>
      <c r="C54" s="25" t="s">
        <v>440</v>
      </c>
      <c r="D54" s="25" t="s">
        <v>297</v>
      </c>
      <c r="E54" s="26">
        <v>8513</v>
      </c>
      <c r="F54" s="27">
        <v>110.26</v>
      </c>
      <c r="G54" s="28">
        <v>8.8999999999999999E-3</v>
      </c>
      <c r="H54" s="29"/>
    </row>
    <row r="55" spans="2:8" ht="15.75" customHeight="1" x14ac:dyDescent="0.2">
      <c r="B55" s="25" t="s">
        <v>500</v>
      </c>
      <c r="C55" s="25" t="s">
        <v>501</v>
      </c>
      <c r="D55" s="25" t="s">
        <v>502</v>
      </c>
      <c r="E55" s="26">
        <v>14624</v>
      </c>
      <c r="F55" s="27">
        <v>101.71</v>
      </c>
      <c r="G55" s="28">
        <v>8.2000000000000007E-3</v>
      </c>
      <c r="H55" s="29"/>
    </row>
    <row r="56" spans="2:8" ht="15.75" customHeight="1" x14ac:dyDescent="0.2">
      <c r="B56" s="25" t="s">
        <v>205</v>
      </c>
      <c r="C56" s="25" t="s">
        <v>206</v>
      </c>
      <c r="D56" s="25" t="s">
        <v>207</v>
      </c>
      <c r="E56" s="26">
        <v>39568</v>
      </c>
      <c r="F56" s="27">
        <v>95.35</v>
      </c>
      <c r="G56" s="28">
        <v>7.7000000000000002E-3</v>
      </c>
      <c r="H56" s="29"/>
    </row>
    <row r="57" spans="2:8" ht="15.75" customHeight="1" x14ac:dyDescent="0.2">
      <c r="B57" s="25" t="s">
        <v>143</v>
      </c>
      <c r="C57" s="25" t="s">
        <v>144</v>
      </c>
      <c r="D57" s="25" t="s">
        <v>145</v>
      </c>
      <c r="E57" s="26">
        <v>2999</v>
      </c>
      <c r="F57" s="27">
        <v>87.2</v>
      </c>
      <c r="G57" s="28">
        <v>7.1000000000000004E-3</v>
      </c>
      <c r="H57" s="29"/>
    </row>
    <row r="58" spans="2:8" ht="15.75" customHeight="1" x14ac:dyDescent="0.2">
      <c r="B58" s="25" t="s">
        <v>481</v>
      </c>
      <c r="C58" s="25" t="s">
        <v>482</v>
      </c>
      <c r="D58" s="25" t="s">
        <v>190</v>
      </c>
      <c r="E58" s="26">
        <v>9634</v>
      </c>
      <c r="F58" s="27">
        <v>74.48</v>
      </c>
      <c r="G58" s="28">
        <v>6.0000000000000001E-3</v>
      </c>
      <c r="H58" s="29"/>
    </row>
    <row r="59" spans="2:8" ht="15.75" customHeight="1" x14ac:dyDescent="0.2">
      <c r="B59" s="24" t="s">
        <v>104</v>
      </c>
      <c r="C59" s="24"/>
      <c r="D59" s="24"/>
      <c r="E59" s="30"/>
      <c r="F59" s="31">
        <v>12128.93</v>
      </c>
      <c r="G59" s="32">
        <v>0.98229999999999995</v>
      </c>
      <c r="H59" s="33"/>
    </row>
    <row r="60" spans="2:8" ht="15.75" customHeight="1" x14ac:dyDescent="0.2">
      <c r="B60" s="24" t="s">
        <v>156</v>
      </c>
      <c r="C60" s="25"/>
      <c r="D60" s="25"/>
      <c r="E60" s="26"/>
      <c r="F60" s="27"/>
      <c r="G60" s="28"/>
      <c r="H60" s="29"/>
    </row>
    <row r="61" spans="2:8" ht="15.75" customHeight="1" x14ac:dyDescent="0.2">
      <c r="B61" s="24" t="s">
        <v>104</v>
      </c>
      <c r="C61" s="25"/>
      <c r="D61" s="25"/>
      <c r="E61" s="26"/>
      <c r="F61" s="34" t="s">
        <v>106</v>
      </c>
      <c r="G61" s="35" t="s">
        <v>106</v>
      </c>
      <c r="H61" s="29"/>
    </row>
    <row r="62" spans="2:8" ht="15.75" customHeight="1" x14ac:dyDescent="0.2">
      <c r="B62" s="25"/>
      <c r="C62" s="25"/>
      <c r="D62" s="25"/>
      <c r="E62" s="26"/>
      <c r="F62" s="27"/>
      <c r="G62" s="28"/>
      <c r="H62" s="29"/>
    </row>
    <row r="63" spans="2:8" ht="15.75" customHeight="1" x14ac:dyDescent="0.2">
      <c r="B63" s="36" t="s">
        <v>108</v>
      </c>
      <c r="C63" s="36"/>
      <c r="D63" s="36"/>
      <c r="E63" s="37"/>
      <c r="F63" s="31">
        <v>12128.93</v>
      </c>
      <c r="G63" s="32">
        <v>0.98229999999999995</v>
      </c>
      <c r="H63" s="33"/>
    </row>
    <row r="64" spans="2:8" ht="15.75" customHeight="1" x14ac:dyDescent="0.2">
      <c r="B64" s="25"/>
      <c r="C64" s="25"/>
      <c r="D64" s="25"/>
      <c r="E64" s="26"/>
      <c r="F64" s="27"/>
      <c r="G64" s="28"/>
      <c r="H64" s="29"/>
    </row>
    <row r="65" spans="2:10" ht="15.75" customHeight="1" x14ac:dyDescent="0.2">
      <c r="B65" s="25"/>
      <c r="C65" s="25"/>
      <c r="D65" s="25"/>
      <c r="E65" s="26"/>
      <c r="F65" s="27"/>
      <c r="G65" s="28"/>
      <c r="H65" s="29"/>
    </row>
    <row r="66" spans="2:10" ht="15.75" customHeight="1" x14ac:dyDescent="0.2">
      <c r="B66" s="24" t="s">
        <v>111</v>
      </c>
      <c r="C66" s="25"/>
      <c r="D66" s="25"/>
      <c r="E66" s="26"/>
      <c r="F66" s="27"/>
      <c r="G66" s="28"/>
      <c r="H66" s="29"/>
    </row>
    <row r="67" spans="2:10" ht="15.75" customHeight="1" x14ac:dyDescent="0.2">
      <c r="B67" s="25" t="s">
        <v>112</v>
      </c>
      <c r="C67" s="25"/>
      <c r="D67" s="25"/>
      <c r="E67" s="26"/>
      <c r="F67" s="27">
        <v>221.33</v>
      </c>
      <c r="G67" s="28">
        <v>1.7899999999999999E-2</v>
      </c>
      <c r="H67" s="29"/>
    </row>
    <row r="68" spans="2:10" ht="15.75" customHeight="1" x14ac:dyDescent="0.2">
      <c r="B68" s="24" t="s">
        <v>104</v>
      </c>
      <c r="C68" s="24"/>
      <c r="D68" s="24"/>
      <c r="E68" s="30"/>
      <c r="F68" s="31">
        <v>221.33</v>
      </c>
      <c r="G68" s="32">
        <v>1.7899999999999999E-2</v>
      </c>
      <c r="H68" s="33"/>
      <c r="J68" s="3"/>
    </row>
    <row r="69" spans="2:10" ht="15.75" customHeight="1" x14ac:dyDescent="0.2">
      <c r="B69" s="25"/>
      <c r="C69" s="25"/>
      <c r="D69" s="25"/>
      <c r="E69" s="26"/>
      <c r="F69" s="27"/>
      <c r="G69" s="28"/>
      <c r="H69" s="29"/>
    </row>
    <row r="70" spans="2:10" ht="15.75" customHeight="1" x14ac:dyDescent="0.2">
      <c r="B70" s="36" t="s">
        <v>108</v>
      </c>
      <c r="C70" s="36"/>
      <c r="D70" s="36"/>
      <c r="E70" s="37"/>
      <c r="F70" s="31">
        <v>221.33</v>
      </c>
      <c r="G70" s="32">
        <v>1.7899999999999999E-2</v>
      </c>
      <c r="H70" s="33"/>
      <c r="J70" s="3"/>
    </row>
    <row r="71" spans="2:10" ht="15.75" customHeight="1" x14ac:dyDescent="0.2">
      <c r="B71" s="25" t="s">
        <v>113</v>
      </c>
      <c r="C71" s="25"/>
      <c r="D71" s="25"/>
      <c r="E71" s="26"/>
      <c r="F71" s="38">
        <v>-3.58</v>
      </c>
      <c r="G71" s="39">
        <v>-1.9999999999997797E-4</v>
      </c>
      <c r="H71" s="29"/>
      <c r="J71" s="3"/>
    </row>
    <row r="72" spans="2:10" ht="15.75" customHeight="1" x14ac:dyDescent="0.2">
      <c r="B72" s="40" t="s">
        <v>114</v>
      </c>
      <c r="C72" s="40"/>
      <c r="D72" s="40"/>
      <c r="E72" s="41"/>
      <c r="F72" s="42">
        <v>12346.68</v>
      </c>
      <c r="G72" s="43">
        <v>1</v>
      </c>
      <c r="H72" s="44"/>
      <c r="J72" s="3"/>
    </row>
    <row r="73" spans="2:10" ht="15.75" customHeight="1" thickBot="1" x14ac:dyDescent="0.25">
      <c r="B73" s="2"/>
      <c r="J73" s="3"/>
    </row>
    <row r="74" spans="2:10" ht="27" customHeight="1" thickBot="1" x14ac:dyDescent="0.25">
      <c r="B74" s="56" t="s">
        <v>1009</v>
      </c>
      <c r="C74" s="57" t="s">
        <v>1010</v>
      </c>
      <c r="D74" s="57" t="s">
        <v>1011</v>
      </c>
      <c r="E74" s="62" t="s">
        <v>1012</v>
      </c>
      <c r="G74" s="2"/>
      <c r="H74" s="2"/>
    </row>
    <row r="75" spans="2:10" ht="29.25" customHeight="1" x14ac:dyDescent="0.2">
      <c r="B75" s="63" t="s">
        <v>66</v>
      </c>
      <c r="C75" s="83"/>
      <c r="D75" s="86" t="s">
        <v>1056</v>
      </c>
      <c r="E75" s="88"/>
      <c r="G75" s="2"/>
      <c r="H75" s="2"/>
    </row>
    <row r="76" spans="2:10" ht="39.950000000000003" customHeight="1" x14ac:dyDescent="0.2">
      <c r="B76" s="65" t="s">
        <v>1072</v>
      </c>
      <c r="C76" s="84"/>
      <c r="D76" s="87"/>
      <c r="E76" s="84"/>
      <c r="G76" s="2"/>
      <c r="H76" s="2"/>
    </row>
    <row r="77" spans="2:10" ht="39.950000000000003" customHeight="1" x14ac:dyDescent="0.2">
      <c r="B77" s="65" t="s">
        <v>1073</v>
      </c>
      <c r="C77" s="84"/>
      <c r="D77" s="87"/>
      <c r="E77" s="84"/>
      <c r="G77" s="2"/>
      <c r="H77" s="2"/>
    </row>
    <row r="78" spans="2:10" ht="23.25" customHeight="1" thickBot="1" x14ac:dyDescent="0.25">
      <c r="B78" s="67" t="s">
        <v>1030</v>
      </c>
      <c r="C78" s="85"/>
      <c r="D78" s="70" t="s">
        <v>1030</v>
      </c>
      <c r="E78" s="89"/>
      <c r="G78" s="2"/>
      <c r="H78" s="2"/>
    </row>
    <row r="79" spans="2:10" ht="24.95" customHeight="1" x14ac:dyDescent="0.2">
      <c r="B79" s="58" t="s">
        <v>1014</v>
      </c>
      <c r="C79" s="59"/>
      <c r="D79" s="60"/>
      <c r="E79" s="61"/>
      <c r="G79" s="2"/>
      <c r="H79" s="2"/>
    </row>
    <row r="81" spans="2:14" ht="12" x14ac:dyDescent="0.2">
      <c r="B81" s="2" t="s">
        <v>1015</v>
      </c>
      <c r="C81" s="2"/>
      <c r="D81" s="2"/>
      <c r="G81" s="2"/>
      <c r="H81" s="2"/>
    </row>
    <row r="82" spans="2:14" ht="12" x14ac:dyDescent="0.2">
      <c r="B82" s="3" t="s">
        <v>1016</v>
      </c>
      <c r="C82" s="2"/>
      <c r="D82" s="2"/>
      <c r="G82" s="2"/>
      <c r="H82" s="2"/>
    </row>
    <row r="83" spans="2:14" ht="15.75" customHeight="1" x14ac:dyDescent="0.2">
      <c r="J83" s="7"/>
      <c r="K83" s="7"/>
      <c r="L83" s="7"/>
      <c r="M83" s="7"/>
      <c r="N83" s="7"/>
    </row>
    <row r="84" spans="2:14" ht="15.75" customHeight="1" x14ac:dyDescent="0.2">
      <c r="J84" s="7"/>
      <c r="K84" s="7"/>
      <c r="L84" s="7"/>
      <c r="M84" s="7"/>
      <c r="N84" s="7"/>
    </row>
    <row r="86" spans="2:14" ht="15.75" customHeight="1" x14ac:dyDescent="0.2">
      <c r="J86" s="3"/>
    </row>
  </sheetData>
  <mergeCells count="3">
    <mergeCell ref="C75:C78"/>
    <mergeCell ref="D75:D77"/>
    <mergeCell ref="E75:E78"/>
  </mergeCells>
  <hyperlinks>
    <hyperlink ref="G1" location="'Sheet1'!A1" display="Index" xr:uid="{022B3629-3629-4DFC-8A2F-96DF6CC0EAE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704EB-8BEF-4110-99A1-04C4EAE266F4}">
  <dimension ref="B1:N130"/>
  <sheetViews>
    <sheetView workbookViewId="0"/>
  </sheetViews>
  <sheetFormatPr defaultColWidth="9.140625" defaultRowHeight="15.75" customHeight="1" x14ac:dyDescent="0.2"/>
  <cols>
    <col min="1" max="1" width="3.5703125" style="2" customWidth="1"/>
    <col min="2" max="2" width="50.42578125" style="9" customWidth="1"/>
    <col min="3" max="3" width="28.85546875" style="9" customWidth="1"/>
    <col min="4" max="4" width="26.5703125" style="9" customWidth="1"/>
    <col min="5" max="5" width="30.42578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23</v>
      </c>
      <c r="C1" s="4" t="s">
        <v>822</v>
      </c>
      <c r="D1" s="4" t="s">
        <v>821</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132</v>
      </c>
      <c r="C5" s="19"/>
      <c r="D5" s="19"/>
      <c r="E5" s="20"/>
      <c r="F5" s="21"/>
      <c r="G5" s="22"/>
      <c r="H5" s="23"/>
    </row>
    <row r="6" spans="2:8" ht="15.75" customHeight="1" x14ac:dyDescent="0.2">
      <c r="B6" s="24" t="s">
        <v>133</v>
      </c>
      <c r="C6" s="25"/>
      <c r="D6" s="25"/>
      <c r="E6" s="26"/>
      <c r="F6" s="27"/>
      <c r="G6" s="28"/>
      <c r="H6" s="29"/>
    </row>
    <row r="7" spans="2:8" ht="15.75" customHeight="1" x14ac:dyDescent="0.2">
      <c r="B7" s="25" t="s">
        <v>819</v>
      </c>
      <c r="C7" s="25" t="s">
        <v>820</v>
      </c>
      <c r="D7" s="25" t="s">
        <v>178</v>
      </c>
      <c r="E7" s="26">
        <v>2897434</v>
      </c>
      <c r="F7" s="27">
        <v>2010.24</v>
      </c>
      <c r="G7" s="28">
        <v>2.7400000000000001E-2</v>
      </c>
      <c r="H7" s="29"/>
    </row>
    <row r="8" spans="2:8" ht="15.75" customHeight="1" x14ac:dyDescent="0.2">
      <c r="B8" s="25" t="s">
        <v>517</v>
      </c>
      <c r="C8" s="25" t="s">
        <v>518</v>
      </c>
      <c r="D8" s="25" t="s">
        <v>314</v>
      </c>
      <c r="E8" s="26">
        <v>200308</v>
      </c>
      <c r="F8" s="27">
        <v>1847.34</v>
      </c>
      <c r="G8" s="28">
        <v>2.52E-2</v>
      </c>
      <c r="H8" s="29"/>
    </row>
    <row r="9" spans="2:8" ht="15.75" customHeight="1" x14ac:dyDescent="0.2">
      <c r="B9" s="25" t="s">
        <v>606</v>
      </c>
      <c r="C9" s="25" t="s">
        <v>607</v>
      </c>
      <c r="D9" s="25" t="s">
        <v>230</v>
      </c>
      <c r="E9" s="26">
        <v>237129</v>
      </c>
      <c r="F9" s="27">
        <v>1522.49</v>
      </c>
      <c r="G9" s="28">
        <v>2.07E-2</v>
      </c>
      <c r="H9" s="29"/>
    </row>
    <row r="10" spans="2:8" ht="15.75" customHeight="1" x14ac:dyDescent="0.2">
      <c r="B10" s="25" t="s">
        <v>768</v>
      </c>
      <c r="C10" s="25" t="s">
        <v>769</v>
      </c>
      <c r="D10" s="25" t="s">
        <v>297</v>
      </c>
      <c r="E10" s="26">
        <v>37202</v>
      </c>
      <c r="F10" s="27">
        <v>1433.15</v>
      </c>
      <c r="G10" s="28">
        <v>1.95E-2</v>
      </c>
      <c r="H10" s="29"/>
    </row>
    <row r="11" spans="2:8" ht="15.75" customHeight="1" x14ac:dyDescent="0.2">
      <c r="B11" s="25" t="s">
        <v>823</v>
      </c>
      <c r="C11" s="25" t="s">
        <v>824</v>
      </c>
      <c r="D11" s="25" t="s">
        <v>139</v>
      </c>
      <c r="E11" s="26">
        <v>28515</v>
      </c>
      <c r="F11" s="27">
        <v>1377.93</v>
      </c>
      <c r="G11" s="28">
        <v>1.8800000000000001E-2</v>
      </c>
      <c r="H11" s="29"/>
    </row>
    <row r="12" spans="2:8" ht="15.75" customHeight="1" x14ac:dyDescent="0.2">
      <c r="B12" s="25" t="s">
        <v>825</v>
      </c>
      <c r="C12" s="25" t="s">
        <v>826</v>
      </c>
      <c r="D12" s="25" t="s">
        <v>136</v>
      </c>
      <c r="E12" s="26">
        <v>4951821</v>
      </c>
      <c r="F12" s="27">
        <v>1312.73</v>
      </c>
      <c r="G12" s="28">
        <v>1.7899999999999999E-2</v>
      </c>
      <c r="H12" s="29"/>
    </row>
    <row r="13" spans="2:8" ht="15.75" customHeight="1" x14ac:dyDescent="0.2">
      <c r="B13" s="25" t="s">
        <v>600</v>
      </c>
      <c r="C13" s="25" t="s">
        <v>601</v>
      </c>
      <c r="D13" s="25" t="s">
        <v>136</v>
      </c>
      <c r="E13" s="26">
        <v>645872</v>
      </c>
      <c r="F13" s="27">
        <v>1300.72</v>
      </c>
      <c r="G13" s="28">
        <v>1.77E-2</v>
      </c>
      <c r="H13" s="29"/>
    </row>
    <row r="14" spans="2:8" ht="15.75" customHeight="1" x14ac:dyDescent="0.2">
      <c r="B14" s="25" t="s">
        <v>532</v>
      </c>
      <c r="C14" s="25" t="s">
        <v>533</v>
      </c>
      <c r="D14" s="25" t="s">
        <v>178</v>
      </c>
      <c r="E14" s="26">
        <v>175634</v>
      </c>
      <c r="F14" s="27">
        <v>1292.67</v>
      </c>
      <c r="G14" s="28">
        <v>1.7600000000000001E-2</v>
      </c>
      <c r="H14" s="29"/>
    </row>
    <row r="15" spans="2:8" ht="15.75" customHeight="1" x14ac:dyDescent="0.2">
      <c r="B15" s="25" t="s">
        <v>827</v>
      </c>
      <c r="C15" s="25" t="s">
        <v>828</v>
      </c>
      <c r="D15" s="25" t="s">
        <v>172</v>
      </c>
      <c r="E15" s="26">
        <v>65853</v>
      </c>
      <c r="F15" s="27">
        <v>1259.01</v>
      </c>
      <c r="G15" s="28">
        <v>1.7100000000000001E-2</v>
      </c>
      <c r="H15" s="29"/>
    </row>
    <row r="16" spans="2:8" ht="15.75" customHeight="1" x14ac:dyDescent="0.2">
      <c r="B16" s="25" t="s">
        <v>829</v>
      </c>
      <c r="C16" s="25" t="s">
        <v>830</v>
      </c>
      <c r="D16" s="25" t="s">
        <v>187</v>
      </c>
      <c r="E16" s="26">
        <v>10345</v>
      </c>
      <c r="F16" s="27">
        <v>1252.4100000000001</v>
      </c>
      <c r="G16" s="28">
        <v>1.7100000000000001E-2</v>
      </c>
      <c r="H16" s="29"/>
    </row>
    <row r="17" spans="2:8" ht="15.75" customHeight="1" x14ac:dyDescent="0.2">
      <c r="B17" s="25" t="s">
        <v>404</v>
      </c>
      <c r="C17" s="25" t="s">
        <v>405</v>
      </c>
      <c r="D17" s="25" t="s">
        <v>266</v>
      </c>
      <c r="E17" s="26">
        <v>70478</v>
      </c>
      <c r="F17" s="27">
        <v>1221.74</v>
      </c>
      <c r="G17" s="28">
        <v>1.66E-2</v>
      </c>
      <c r="H17" s="29"/>
    </row>
    <row r="18" spans="2:8" ht="15.75" customHeight="1" x14ac:dyDescent="0.2">
      <c r="B18" s="25" t="s">
        <v>831</v>
      </c>
      <c r="C18" s="25" t="s">
        <v>832</v>
      </c>
      <c r="D18" s="25" t="s">
        <v>266</v>
      </c>
      <c r="E18" s="26">
        <v>29219</v>
      </c>
      <c r="F18" s="27">
        <v>1209.24</v>
      </c>
      <c r="G18" s="28">
        <v>1.6500000000000001E-2</v>
      </c>
      <c r="H18" s="29"/>
    </row>
    <row r="19" spans="2:8" ht="15.75" customHeight="1" x14ac:dyDescent="0.2">
      <c r="B19" s="25" t="s">
        <v>833</v>
      </c>
      <c r="C19" s="25" t="s">
        <v>834</v>
      </c>
      <c r="D19" s="25" t="s">
        <v>835</v>
      </c>
      <c r="E19" s="26">
        <v>81997</v>
      </c>
      <c r="F19" s="27">
        <v>1191.42</v>
      </c>
      <c r="G19" s="28">
        <v>1.6199999999999999E-2</v>
      </c>
      <c r="H19" s="29"/>
    </row>
    <row r="20" spans="2:8" ht="15.75" customHeight="1" x14ac:dyDescent="0.2">
      <c r="B20" s="25" t="s">
        <v>636</v>
      </c>
      <c r="C20" s="25" t="s">
        <v>637</v>
      </c>
      <c r="D20" s="25" t="s">
        <v>139</v>
      </c>
      <c r="E20" s="26">
        <v>18162</v>
      </c>
      <c r="F20" s="27">
        <v>1145.2</v>
      </c>
      <c r="G20" s="28">
        <v>1.5599999999999999E-2</v>
      </c>
      <c r="H20" s="29"/>
    </row>
    <row r="21" spans="2:8" ht="15.75" customHeight="1" x14ac:dyDescent="0.2">
      <c r="B21" s="25" t="s">
        <v>188</v>
      </c>
      <c r="C21" s="25" t="s">
        <v>189</v>
      </c>
      <c r="D21" s="25" t="s">
        <v>190</v>
      </c>
      <c r="E21" s="26">
        <v>27608</v>
      </c>
      <c r="F21" s="27">
        <v>1135.8599999999999</v>
      </c>
      <c r="G21" s="28">
        <v>1.55E-2</v>
      </c>
      <c r="H21" s="29"/>
    </row>
    <row r="22" spans="2:8" ht="15.75" customHeight="1" x14ac:dyDescent="0.2">
      <c r="B22" s="25" t="s">
        <v>176</v>
      </c>
      <c r="C22" s="25" t="s">
        <v>177</v>
      </c>
      <c r="D22" s="25" t="s">
        <v>178</v>
      </c>
      <c r="E22" s="26">
        <v>350263</v>
      </c>
      <c r="F22" s="27">
        <v>1104.2</v>
      </c>
      <c r="G22" s="28">
        <v>1.4999999999999999E-2</v>
      </c>
      <c r="H22" s="29"/>
    </row>
    <row r="23" spans="2:8" ht="15.75" customHeight="1" x14ac:dyDescent="0.2">
      <c r="B23" s="25" t="s">
        <v>208</v>
      </c>
      <c r="C23" s="25" t="s">
        <v>209</v>
      </c>
      <c r="D23" s="25" t="s">
        <v>172</v>
      </c>
      <c r="E23" s="26">
        <v>75972</v>
      </c>
      <c r="F23" s="27">
        <v>1089.55</v>
      </c>
      <c r="G23" s="28">
        <v>1.4800000000000001E-2</v>
      </c>
      <c r="H23" s="29"/>
    </row>
    <row r="24" spans="2:8" ht="15.75" customHeight="1" x14ac:dyDescent="0.2">
      <c r="B24" s="25" t="s">
        <v>836</v>
      </c>
      <c r="C24" s="25" t="s">
        <v>837</v>
      </c>
      <c r="D24" s="25" t="s">
        <v>184</v>
      </c>
      <c r="E24" s="26">
        <v>143603</v>
      </c>
      <c r="F24" s="27">
        <v>1045.43</v>
      </c>
      <c r="G24" s="28">
        <v>1.4200000000000001E-2</v>
      </c>
      <c r="H24" s="29"/>
    </row>
    <row r="25" spans="2:8" ht="15.75" customHeight="1" x14ac:dyDescent="0.2">
      <c r="B25" s="25" t="s">
        <v>246</v>
      </c>
      <c r="C25" s="25" t="s">
        <v>247</v>
      </c>
      <c r="D25" s="25" t="s">
        <v>155</v>
      </c>
      <c r="E25" s="26">
        <v>260796</v>
      </c>
      <c r="F25" s="27">
        <v>1022.97</v>
      </c>
      <c r="G25" s="28">
        <v>1.3899999999999999E-2</v>
      </c>
      <c r="H25" s="29"/>
    </row>
    <row r="26" spans="2:8" ht="15.75" customHeight="1" x14ac:dyDescent="0.2">
      <c r="B26" s="25" t="s">
        <v>656</v>
      </c>
      <c r="C26" s="25" t="s">
        <v>657</v>
      </c>
      <c r="D26" s="25" t="s">
        <v>623</v>
      </c>
      <c r="E26" s="26">
        <v>394246</v>
      </c>
      <c r="F26" s="27">
        <v>1013.57</v>
      </c>
      <c r="G26" s="28">
        <v>1.38E-2</v>
      </c>
      <c r="H26" s="29"/>
    </row>
    <row r="27" spans="2:8" ht="15.75" customHeight="1" x14ac:dyDescent="0.2">
      <c r="B27" s="25" t="s">
        <v>838</v>
      </c>
      <c r="C27" s="25" t="s">
        <v>839</v>
      </c>
      <c r="D27" s="25" t="s">
        <v>202</v>
      </c>
      <c r="E27" s="26">
        <v>75939</v>
      </c>
      <c r="F27" s="27">
        <v>993.89</v>
      </c>
      <c r="G27" s="28">
        <v>1.35E-2</v>
      </c>
      <c r="H27" s="29"/>
    </row>
    <row r="28" spans="2:8" ht="15.75" customHeight="1" x14ac:dyDescent="0.2">
      <c r="B28" s="25" t="s">
        <v>840</v>
      </c>
      <c r="C28" s="25" t="s">
        <v>841</v>
      </c>
      <c r="D28" s="25" t="s">
        <v>202</v>
      </c>
      <c r="E28" s="26">
        <v>30723</v>
      </c>
      <c r="F28" s="27">
        <v>989.14</v>
      </c>
      <c r="G28" s="28">
        <v>1.35E-2</v>
      </c>
      <c r="H28" s="29"/>
    </row>
    <row r="29" spans="2:8" ht="15.75" customHeight="1" x14ac:dyDescent="0.2">
      <c r="B29" s="25" t="s">
        <v>842</v>
      </c>
      <c r="C29" s="25" t="s">
        <v>843</v>
      </c>
      <c r="D29" s="25" t="s">
        <v>217</v>
      </c>
      <c r="E29" s="26">
        <v>226184</v>
      </c>
      <c r="F29" s="27">
        <v>979.72</v>
      </c>
      <c r="G29" s="28">
        <v>1.3299999999999999E-2</v>
      </c>
      <c r="H29" s="29"/>
    </row>
    <row r="30" spans="2:8" ht="15.75" customHeight="1" x14ac:dyDescent="0.2">
      <c r="B30" s="25" t="s">
        <v>844</v>
      </c>
      <c r="C30" s="25" t="s">
        <v>845</v>
      </c>
      <c r="D30" s="25" t="s">
        <v>136</v>
      </c>
      <c r="E30" s="26">
        <v>151469</v>
      </c>
      <c r="F30" s="27">
        <v>978.57</v>
      </c>
      <c r="G30" s="28">
        <v>1.3299999999999999E-2</v>
      </c>
      <c r="H30" s="29"/>
    </row>
    <row r="31" spans="2:8" ht="15.75" customHeight="1" x14ac:dyDescent="0.2">
      <c r="B31" s="25" t="s">
        <v>612</v>
      </c>
      <c r="C31" s="25" t="s">
        <v>613</v>
      </c>
      <c r="D31" s="25" t="s">
        <v>254</v>
      </c>
      <c r="E31" s="26">
        <v>21948</v>
      </c>
      <c r="F31" s="27">
        <v>972.46</v>
      </c>
      <c r="G31" s="28">
        <v>1.32E-2</v>
      </c>
      <c r="H31" s="29"/>
    </row>
    <row r="32" spans="2:8" ht="15.75" customHeight="1" x14ac:dyDescent="0.2">
      <c r="B32" s="25" t="s">
        <v>444</v>
      </c>
      <c r="C32" s="25" t="s">
        <v>445</v>
      </c>
      <c r="D32" s="25" t="s">
        <v>187</v>
      </c>
      <c r="E32" s="26">
        <v>62432</v>
      </c>
      <c r="F32" s="27">
        <v>959.95</v>
      </c>
      <c r="G32" s="28">
        <v>1.3100000000000001E-2</v>
      </c>
      <c r="H32" s="29"/>
    </row>
    <row r="33" spans="2:8" ht="15.75" customHeight="1" x14ac:dyDescent="0.2">
      <c r="B33" s="25" t="s">
        <v>670</v>
      </c>
      <c r="C33" s="25" t="s">
        <v>671</v>
      </c>
      <c r="D33" s="25" t="s">
        <v>190</v>
      </c>
      <c r="E33" s="26">
        <v>36829</v>
      </c>
      <c r="F33" s="27">
        <v>941.51</v>
      </c>
      <c r="G33" s="28">
        <v>1.2800000000000001E-2</v>
      </c>
      <c r="H33" s="29"/>
    </row>
    <row r="34" spans="2:8" ht="15.75" customHeight="1" x14ac:dyDescent="0.2">
      <c r="B34" s="25" t="s">
        <v>626</v>
      </c>
      <c r="C34" s="25" t="s">
        <v>627</v>
      </c>
      <c r="D34" s="25" t="s">
        <v>297</v>
      </c>
      <c r="E34" s="26">
        <v>17522</v>
      </c>
      <c r="F34" s="27">
        <v>938.21</v>
      </c>
      <c r="G34" s="28">
        <v>1.2800000000000001E-2</v>
      </c>
      <c r="H34" s="29"/>
    </row>
    <row r="35" spans="2:8" ht="15.75" customHeight="1" x14ac:dyDescent="0.2">
      <c r="B35" s="25" t="s">
        <v>846</v>
      </c>
      <c r="C35" s="25" t="s">
        <v>847</v>
      </c>
      <c r="D35" s="25" t="s">
        <v>217</v>
      </c>
      <c r="E35" s="26">
        <v>5725844</v>
      </c>
      <c r="F35" s="27">
        <v>931.59</v>
      </c>
      <c r="G35" s="28">
        <v>1.2699999999999999E-2</v>
      </c>
      <c r="H35" s="29"/>
    </row>
    <row r="36" spans="2:8" ht="15.75" customHeight="1" x14ac:dyDescent="0.2">
      <c r="B36" s="25" t="s">
        <v>848</v>
      </c>
      <c r="C36" s="25" t="s">
        <v>849</v>
      </c>
      <c r="D36" s="25" t="s">
        <v>352</v>
      </c>
      <c r="E36" s="26">
        <v>154387</v>
      </c>
      <c r="F36" s="27">
        <v>928.64</v>
      </c>
      <c r="G36" s="28">
        <v>1.26E-2</v>
      </c>
      <c r="H36" s="29"/>
    </row>
    <row r="37" spans="2:8" ht="15.75" customHeight="1" x14ac:dyDescent="0.2">
      <c r="B37" s="25" t="s">
        <v>850</v>
      </c>
      <c r="C37" s="25" t="s">
        <v>851</v>
      </c>
      <c r="D37" s="25" t="s">
        <v>184</v>
      </c>
      <c r="E37" s="26">
        <v>853431</v>
      </c>
      <c r="F37" s="27">
        <v>896.44</v>
      </c>
      <c r="G37" s="28">
        <v>1.2200000000000001E-2</v>
      </c>
      <c r="H37" s="29"/>
    </row>
    <row r="38" spans="2:8" ht="15.75" customHeight="1" x14ac:dyDescent="0.2">
      <c r="B38" s="25" t="s">
        <v>602</v>
      </c>
      <c r="C38" s="25" t="s">
        <v>603</v>
      </c>
      <c r="D38" s="25" t="s">
        <v>184</v>
      </c>
      <c r="E38" s="26">
        <v>46575</v>
      </c>
      <c r="F38" s="27">
        <v>869.3</v>
      </c>
      <c r="G38" s="28">
        <v>1.18E-2</v>
      </c>
      <c r="H38" s="29"/>
    </row>
    <row r="39" spans="2:8" ht="15.75" customHeight="1" x14ac:dyDescent="0.2">
      <c r="B39" s="25" t="s">
        <v>852</v>
      </c>
      <c r="C39" s="25" t="s">
        <v>853</v>
      </c>
      <c r="D39" s="25" t="s">
        <v>297</v>
      </c>
      <c r="E39" s="26">
        <v>12636</v>
      </c>
      <c r="F39" s="27">
        <v>866.6</v>
      </c>
      <c r="G39" s="28">
        <v>1.18E-2</v>
      </c>
      <c r="H39" s="29"/>
    </row>
    <row r="40" spans="2:8" ht="15.75" customHeight="1" x14ac:dyDescent="0.2">
      <c r="B40" s="25" t="s">
        <v>434</v>
      </c>
      <c r="C40" s="25" t="s">
        <v>435</v>
      </c>
      <c r="D40" s="25" t="s">
        <v>436</v>
      </c>
      <c r="E40" s="26">
        <v>146174</v>
      </c>
      <c r="F40" s="27">
        <v>844.23</v>
      </c>
      <c r="G40" s="28">
        <v>1.15E-2</v>
      </c>
      <c r="H40" s="29"/>
    </row>
    <row r="41" spans="2:8" ht="15.75" customHeight="1" x14ac:dyDescent="0.2">
      <c r="B41" s="25" t="s">
        <v>344</v>
      </c>
      <c r="C41" s="25" t="s">
        <v>345</v>
      </c>
      <c r="D41" s="25" t="s">
        <v>136</v>
      </c>
      <c r="E41" s="26">
        <v>1078775</v>
      </c>
      <c r="F41" s="27">
        <v>819.76</v>
      </c>
      <c r="G41" s="28">
        <v>1.12E-2</v>
      </c>
      <c r="H41" s="29"/>
    </row>
    <row r="42" spans="2:8" ht="15.75" customHeight="1" x14ac:dyDescent="0.2">
      <c r="B42" s="25" t="s">
        <v>854</v>
      </c>
      <c r="C42" s="25" t="s">
        <v>855</v>
      </c>
      <c r="D42" s="25" t="s">
        <v>139</v>
      </c>
      <c r="E42" s="26">
        <v>43726</v>
      </c>
      <c r="F42" s="27">
        <v>805.7</v>
      </c>
      <c r="G42" s="28">
        <v>1.0999999999999999E-2</v>
      </c>
      <c r="H42" s="29"/>
    </row>
    <row r="43" spans="2:8" ht="15.75" customHeight="1" x14ac:dyDescent="0.2">
      <c r="B43" s="25" t="s">
        <v>856</v>
      </c>
      <c r="C43" s="25" t="s">
        <v>857</v>
      </c>
      <c r="D43" s="25" t="s">
        <v>266</v>
      </c>
      <c r="E43" s="26">
        <v>559</v>
      </c>
      <c r="F43" s="27">
        <v>795.17</v>
      </c>
      <c r="G43" s="28">
        <v>1.0800000000000001E-2</v>
      </c>
      <c r="H43" s="29"/>
    </row>
    <row r="44" spans="2:8" ht="15.75" customHeight="1" x14ac:dyDescent="0.2">
      <c r="B44" s="25" t="s">
        <v>252</v>
      </c>
      <c r="C44" s="25" t="s">
        <v>253</v>
      </c>
      <c r="D44" s="25" t="s">
        <v>254</v>
      </c>
      <c r="E44" s="26">
        <v>137456</v>
      </c>
      <c r="F44" s="27">
        <v>786.32</v>
      </c>
      <c r="G44" s="28">
        <v>1.0699999999999999E-2</v>
      </c>
      <c r="H44" s="29"/>
    </row>
    <row r="45" spans="2:8" ht="15.75" customHeight="1" x14ac:dyDescent="0.2">
      <c r="B45" s="25" t="s">
        <v>261</v>
      </c>
      <c r="C45" s="25" t="s">
        <v>262</v>
      </c>
      <c r="D45" s="25" t="s">
        <v>263</v>
      </c>
      <c r="E45" s="26">
        <v>75290</v>
      </c>
      <c r="F45" s="27">
        <v>783.35</v>
      </c>
      <c r="G45" s="28">
        <v>1.0699999999999999E-2</v>
      </c>
      <c r="H45" s="29"/>
    </row>
    <row r="46" spans="2:8" ht="15.75" customHeight="1" x14ac:dyDescent="0.2">
      <c r="B46" s="25" t="s">
        <v>858</v>
      </c>
      <c r="C46" s="25" t="s">
        <v>859</v>
      </c>
      <c r="D46" s="25" t="s">
        <v>266</v>
      </c>
      <c r="E46" s="26">
        <v>113385</v>
      </c>
      <c r="F46" s="27">
        <v>770.17</v>
      </c>
      <c r="G46" s="28">
        <v>1.0500000000000001E-2</v>
      </c>
      <c r="H46" s="29"/>
    </row>
    <row r="47" spans="2:8" ht="15.75" customHeight="1" x14ac:dyDescent="0.2">
      <c r="B47" s="25" t="s">
        <v>197</v>
      </c>
      <c r="C47" s="25" t="s">
        <v>198</v>
      </c>
      <c r="D47" s="25" t="s">
        <v>199</v>
      </c>
      <c r="E47" s="26">
        <v>310139</v>
      </c>
      <c r="F47" s="27">
        <v>749.33</v>
      </c>
      <c r="G47" s="28">
        <v>1.0200000000000001E-2</v>
      </c>
      <c r="H47" s="29"/>
    </row>
    <row r="48" spans="2:8" ht="15.75" customHeight="1" x14ac:dyDescent="0.2">
      <c r="B48" s="25" t="s">
        <v>860</v>
      </c>
      <c r="C48" s="25" t="s">
        <v>861</v>
      </c>
      <c r="D48" s="25" t="s">
        <v>336</v>
      </c>
      <c r="E48" s="26">
        <v>67035</v>
      </c>
      <c r="F48" s="27">
        <v>745.43</v>
      </c>
      <c r="G48" s="28">
        <v>1.01E-2</v>
      </c>
      <c r="H48" s="29"/>
    </row>
    <row r="49" spans="2:8" ht="15.75" customHeight="1" x14ac:dyDescent="0.2">
      <c r="B49" s="25" t="s">
        <v>862</v>
      </c>
      <c r="C49" s="25" t="s">
        <v>863</v>
      </c>
      <c r="D49" s="25" t="s">
        <v>207</v>
      </c>
      <c r="E49" s="26">
        <v>201445</v>
      </c>
      <c r="F49" s="27">
        <v>742.32</v>
      </c>
      <c r="G49" s="28">
        <v>1.01E-2</v>
      </c>
      <c r="H49" s="29"/>
    </row>
    <row r="50" spans="2:8" ht="15.75" customHeight="1" x14ac:dyDescent="0.2">
      <c r="B50" s="25" t="s">
        <v>624</v>
      </c>
      <c r="C50" s="25" t="s">
        <v>625</v>
      </c>
      <c r="D50" s="25" t="s">
        <v>297</v>
      </c>
      <c r="E50" s="26">
        <v>33691</v>
      </c>
      <c r="F50" s="27">
        <v>737.41</v>
      </c>
      <c r="G50" s="28">
        <v>0.01</v>
      </c>
      <c r="H50" s="29"/>
    </row>
    <row r="51" spans="2:8" ht="15.75" customHeight="1" x14ac:dyDescent="0.2">
      <c r="B51" s="25" t="s">
        <v>320</v>
      </c>
      <c r="C51" s="25" t="s">
        <v>321</v>
      </c>
      <c r="D51" s="25" t="s">
        <v>172</v>
      </c>
      <c r="E51" s="26">
        <v>13652</v>
      </c>
      <c r="F51" s="27">
        <v>724.85</v>
      </c>
      <c r="G51" s="28">
        <v>9.9000000000000008E-3</v>
      </c>
      <c r="H51" s="29"/>
    </row>
    <row r="52" spans="2:8" ht="15.75" customHeight="1" x14ac:dyDescent="0.2">
      <c r="B52" s="25" t="s">
        <v>332</v>
      </c>
      <c r="C52" s="25" t="s">
        <v>333</v>
      </c>
      <c r="D52" s="25" t="s">
        <v>297</v>
      </c>
      <c r="E52" s="26">
        <v>48586</v>
      </c>
      <c r="F52" s="27">
        <v>721.75</v>
      </c>
      <c r="G52" s="28">
        <v>9.7999999999999997E-3</v>
      </c>
      <c r="H52" s="29"/>
    </row>
    <row r="53" spans="2:8" ht="15.75" customHeight="1" x14ac:dyDescent="0.2">
      <c r="B53" s="25" t="s">
        <v>604</v>
      </c>
      <c r="C53" s="25" t="s">
        <v>605</v>
      </c>
      <c r="D53" s="25" t="s">
        <v>266</v>
      </c>
      <c r="E53" s="26">
        <v>21655</v>
      </c>
      <c r="F53" s="27">
        <v>719.66</v>
      </c>
      <c r="G53" s="28">
        <v>9.7999999999999997E-3</v>
      </c>
      <c r="H53" s="29"/>
    </row>
    <row r="54" spans="2:8" ht="15.75" customHeight="1" x14ac:dyDescent="0.2">
      <c r="B54" s="25" t="s">
        <v>864</v>
      </c>
      <c r="C54" s="25" t="s">
        <v>865</v>
      </c>
      <c r="D54" s="25" t="s">
        <v>314</v>
      </c>
      <c r="E54" s="26">
        <v>142970</v>
      </c>
      <c r="F54" s="27">
        <v>717.57</v>
      </c>
      <c r="G54" s="28">
        <v>9.7999999999999997E-3</v>
      </c>
      <c r="H54" s="29"/>
    </row>
    <row r="55" spans="2:8" ht="15.75" customHeight="1" x14ac:dyDescent="0.2">
      <c r="B55" s="25" t="s">
        <v>866</v>
      </c>
      <c r="C55" s="25" t="s">
        <v>867</v>
      </c>
      <c r="D55" s="25" t="s">
        <v>139</v>
      </c>
      <c r="E55" s="26">
        <v>6450</v>
      </c>
      <c r="F55" s="27">
        <v>712.39</v>
      </c>
      <c r="G55" s="28">
        <v>9.7000000000000003E-3</v>
      </c>
      <c r="H55" s="29"/>
    </row>
    <row r="56" spans="2:8" ht="15.75" customHeight="1" x14ac:dyDescent="0.2">
      <c r="B56" s="25" t="s">
        <v>868</v>
      </c>
      <c r="C56" s="25" t="s">
        <v>869</v>
      </c>
      <c r="D56" s="25" t="s">
        <v>220</v>
      </c>
      <c r="E56" s="26">
        <v>367407</v>
      </c>
      <c r="F56" s="27">
        <v>709.06</v>
      </c>
      <c r="G56" s="28">
        <v>9.7000000000000003E-3</v>
      </c>
      <c r="H56" s="29"/>
    </row>
    <row r="57" spans="2:8" ht="15.75" customHeight="1" x14ac:dyDescent="0.2">
      <c r="B57" s="25" t="s">
        <v>570</v>
      </c>
      <c r="C57" s="25" t="s">
        <v>571</v>
      </c>
      <c r="D57" s="25" t="s">
        <v>497</v>
      </c>
      <c r="E57" s="26">
        <v>1658</v>
      </c>
      <c r="F57" s="27">
        <v>702.94</v>
      </c>
      <c r="G57" s="28">
        <v>9.5999999999999992E-3</v>
      </c>
      <c r="H57" s="29"/>
    </row>
    <row r="58" spans="2:8" ht="15.75" customHeight="1" x14ac:dyDescent="0.2">
      <c r="B58" s="25" t="s">
        <v>870</v>
      </c>
      <c r="C58" s="25" t="s">
        <v>871</v>
      </c>
      <c r="D58" s="25" t="s">
        <v>136</v>
      </c>
      <c r="E58" s="26">
        <v>520614</v>
      </c>
      <c r="F58" s="27">
        <v>701.79</v>
      </c>
      <c r="G58" s="28">
        <v>9.5999999999999992E-3</v>
      </c>
      <c r="H58" s="29"/>
    </row>
    <row r="59" spans="2:8" ht="15.75" customHeight="1" x14ac:dyDescent="0.2">
      <c r="B59" s="25" t="s">
        <v>446</v>
      </c>
      <c r="C59" s="25" t="s">
        <v>447</v>
      </c>
      <c r="D59" s="25" t="s">
        <v>202</v>
      </c>
      <c r="E59" s="26">
        <v>38190</v>
      </c>
      <c r="F59" s="27">
        <v>693.49</v>
      </c>
      <c r="G59" s="28">
        <v>9.4000000000000004E-3</v>
      </c>
      <c r="H59" s="29"/>
    </row>
    <row r="60" spans="2:8" ht="15.75" customHeight="1" x14ac:dyDescent="0.2">
      <c r="B60" s="25" t="s">
        <v>243</v>
      </c>
      <c r="C60" s="25" t="s">
        <v>244</v>
      </c>
      <c r="D60" s="25" t="s">
        <v>245</v>
      </c>
      <c r="E60" s="26">
        <v>674001</v>
      </c>
      <c r="F60" s="27">
        <v>685.66</v>
      </c>
      <c r="G60" s="28">
        <v>9.2999999999999992E-3</v>
      </c>
      <c r="H60" s="29"/>
    </row>
    <row r="61" spans="2:8" ht="15.75" customHeight="1" x14ac:dyDescent="0.2">
      <c r="B61" s="25" t="s">
        <v>628</v>
      </c>
      <c r="C61" s="25" t="s">
        <v>629</v>
      </c>
      <c r="D61" s="25" t="s">
        <v>139</v>
      </c>
      <c r="E61" s="26">
        <v>9514</v>
      </c>
      <c r="F61" s="27">
        <v>664.51</v>
      </c>
      <c r="G61" s="28">
        <v>8.9999999999999993E-3</v>
      </c>
      <c r="H61" s="29"/>
    </row>
    <row r="62" spans="2:8" ht="15.75" customHeight="1" x14ac:dyDescent="0.2">
      <c r="B62" s="25" t="s">
        <v>432</v>
      </c>
      <c r="C62" s="25" t="s">
        <v>433</v>
      </c>
      <c r="D62" s="25" t="s">
        <v>139</v>
      </c>
      <c r="E62" s="26">
        <v>22814</v>
      </c>
      <c r="F62" s="27">
        <v>659.89</v>
      </c>
      <c r="G62" s="28">
        <v>8.9999999999999993E-3</v>
      </c>
      <c r="H62" s="29"/>
    </row>
    <row r="63" spans="2:8" ht="15.75" customHeight="1" x14ac:dyDescent="0.2">
      <c r="B63" s="25" t="s">
        <v>872</v>
      </c>
      <c r="C63" s="25" t="s">
        <v>873</v>
      </c>
      <c r="D63" s="25" t="s">
        <v>212</v>
      </c>
      <c r="E63" s="26">
        <v>82870</v>
      </c>
      <c r="F63" s="27">
        <v>635.82000000000005</v>
      </c>
      <c r="G63" s="28">
        <v>8.6999999999999994E-3</v>
      </c>
      <c r="H63" s="29"/>
    </row>
    <row r="64" spans="2:8" ht="15.75" customHeight="1" x14ac:dyDescent="0.2">
      <c r="B64" s="25" t="s">
        <v>565</v>
      </c>
      <c r="C64" s="25" t="s">
        <v>566</v>
      </c>
      <c r="D64" s="25" t="s">
        <v>217</v>
      </c>
      <c r="E64" s="26">
        <v>31863</v>
      </c>
      <c r="F64" s="27">
        <v>634.30999999999995</v>
      </c>
      <c r="G64" s="28">
        <v>8.6E-3</v>
      </c>
      <c r="H64" s="29"/>
    </row>
    <row r="65" spans="2:14" ht="15.75" customHeight="1" x14ac:dyDescent="0.2">
      <c r="B65" s="25" t="s">
        <v>644</v>
      </c>
      <c r="C65" s="25" t="s">
        <v>645</v>
      </c>
      <c r="D65" s="25" t="s">
        <v>230</v>
      </c>
      <c r="E65" s="26">
        <v>103300</v>
      </c>
      <c r="F65" s="27">
        <v>618.55999999999995</v>
      </c>
      <c r="G65" s="28">
        <v>8.3999999999999995E-3</v>
      </c>
      <c r="H65" s="29"/>
    </row>
    <row r="66" spans="2:14" ht="15.75" customHeight="1" x14ac:dyDescent="0.2">
      <c r="B66" s="25" t="s">
        <v>874</v>
      </c>
      <c r="C66" s="25" t="s">
        <v>875</v>
      </c>
      <c r="D66" s="25" t="s">
        <v>181</v>
      </c>
      <c r="E66" s="26">
        <v>395234</v>
      </c>
      <c r="F66" s="27">
        <v>604.87</v>
      </c>
      <c r="G66" s="28">
        <v>8.2000000000000007E-3</v>
      </c>
      <c r="H66" s="29"/>
    </row>
    <row r="67" spans="2:14" ht="15.75" customHeight="1" x14ac:dyDescent="0.2">
      <c r="B67" s="25" t="s">
        <v>654</v>
      </c>
      <c r="C67" s="25" t="s">
        <v>655</v>
      </c>
      <c r="D67" s="25" t="s">
        <v>202</v>
      </c>
      <c r="E67" s="26">
        <v>31620</v>
      </c>
      <c r="F67" s="27">
        <v>588.89</v>
      </c>
      <c r="G67" s="28">
        <v>8.0000000000000002E-3</v>
      </c>
      <c r="H67" s="29"/>
    </row>
    <row r="68" spans="2:14" ht="15.75" customHeight="1" x14ac:dyDescent="0.2">
      <c r="B68" s="25" t="s">
        <v>511</v>
      </c>
      <c r="C68" s="25" t="s">
        <v>512</v>
      </c>
      <c r="D68" s="25" t="s">
        <v>233</v>
      </c>
      <c r="E68" s="26">
        <v>18629</v>
      </c>
      <c r="F68" s="27">
        <v>576.05999999999995</v>
      </c>
      <c r="G68" s="28">
        <v>7.7999999999999996E-3</v>
      </c>
      <c r="H68" s="29"/>
      <c r="J68" s="3"/>
    </row>
    <row r="69" spans="2:14" ht="15.75" customHeight="1" x14ac:dyDescent="0.2">
      <c r="B69" s="25" t="s">
        <v>876</v>
      </c>
      <c r="C69" s="25" t="s">
        <v>877</v>
      </c>
      <c r="D69" s="25" t="s">
        <v>136</v>
      </c>
      <c r="E69" s="26">
        <v>93990</v>
      </c>
      <c r="F69" s="27">
        <v>572.21</v>
      </c>
      <c r="G69" s="28">
        <v>7.7999999999999996E-3</v>
      </c>
      <c r="H69" s="29"/>
    </row>
    <row r="70" spans="2:14" ht="15.75" customHeight="1" x14ac:dyDescent="0.2">
      <c r="B70" s="25" t="s">
        <v>540</v>
      </c>
      <c r="C70" s="25" t="s">
        <v>541</v>
      </c>
      <c r="D70" s="25" t="s">
        <v>207</v>
      </c>
      <c r="E70" s="26">
        <v>94595</v>
      </c>
      <c r="F70" s="27">
        <v>518.38</v>
      </c>
      <c r="G70" s="28">
        <v>7.1000000000000004E-3</v>
      </c>
      <c r="H70" s="29"/>
      <c r="J70" s="3"/>
    </row>
    <row r="71" spans="2:14" ht="15.75" customHeight="1" x14ac:dyDescent="0.2">
      <c r="B71" s="25" t="s">
        <v>400</v>
      </c>
      <c r="C71" s="25" t="s">
        <v>401</v>
      </c>
      <c r="D71" s="25" t="s">
        <v>172</v>
      </c>
      <c r="E71" s="26">
        <v>25347</v>
      </c>
      <c r="F71" s="27">
        <v>514.05999999999995</v>
      </c>
      <c r="G71" s="28">
        <v>7.0000000000000001E-3</v>
      </c>
      <c r="H71" s="29"/>
      <c r="J71" s="3"/>
    </row>
    <row r="72" spans="2:14" ht="15.75" customHeight="1" x14ac:dyDescent="0.2">
      <c r="B72" s="25" t="s">
        <v>878</v>
      </c>
      <c r="C72" s="25" t="s">
        <v>879</v>
      </c>
      <c r="D72" s="25" t="s">
        <v>266</v>
      </c>
      <c r="E72" s="26">
        <v>89994</v>
      </c>
      <c r="F72" s="27">
        <v>500.1</v>
      </c>
      <c r="G72" s="28">
        <v>6.7999999999999996E-3</v>
      </c>
      <c r="H72" s="29"/>
      <c r="J72" s="3"/>
    </row>
    <row r="73" spans="2:14" ht="15.75" customHeight="1" x14ac:dyDescent="0.2">
      <c r="B73" s="25" t="s">
        <v>592</v>
      </c>
      <c r="C73" s="25" t="s">
        <v>593</v>
      </c>
      <c r="D73" s="25" t="s">
        <v>172</v>
      </c>
      <c r="E73" s="26">
        <v>106985</v>
      </c>
      <c r="F73" s="27">
        <v>496.3</v>
      </c>
      <c r="G73" s="28">
        <v>6.7999999999999996E-3</v>
      </c>
      <c r="H73" s="29"/>
      <c r="J73" s="3"/>
    </row>
    <row r="74" spans="2:14" ht="15.75" customHeight="1" x14ac:dyDescent="0.2">
      <c r="B74" s="25" t="s">
        <v>315</v>
      </c>
      <c r="C74" s="25" t="s">
        <v>316</v>
      </c>
      <c r="D74" s="25" t="s">
        <v>212</v>
      </c>
      <c r="E74" s="26">
        <v>160619</v>
      </c>
      <c r="F74" s="27">
        <v>487.08</v>
      </c>
      <c r="G74" s="28">
        <v>6.6E-3</v>
      </c>
      <c r="H74" s="29"/>
      <c r="J74" s="3"/>
    </row>
    <row r="75" spans="2:14" ht="15.75" customHeight="1" x14ac:dyDescent="0.2">
      <c r="B75" s="25" t="s">
        <v>880</v>
      </c>
      <c r="C75" s="25" t="s">
        <v>881</v>
      </c>
      <c r="D75" s="25" t="s">
        <v>187</v>
      </c>
      <c r="E75" s="26">
        <v>83760</v>
      </c>
      <c r="F75" s="27">
        <v>485.31</v>
      </c>
      <c r="G75" s="28">
        <v>6.6E-3</v>
      </c>
      <c r="H75" s="29"/>
      <c r="J75" s="5"/>
      <c r="K75" s="5"/>
      <c r="L75" s="6"/>
      <c r="M75" s="6"/>
      <c r="N75" s="5"/>
    </row>
    <row r="76" spans="2:14" ht="15.75" customHeight="1" x14ac:dyDescent="0.2">
      <c r="B76" s="25" t="s">
        <v>586</v>
      </c>
      <c r="C76" s="25" t="s">
        <v>587</v>
      </c>
      <c r="D76" s="25" t="s">
        <v>172</v>
      </c>
      <c r="E76" s="26">
        <v>36848</v>
      </c>
      <c r="F76" s="27">
        <v>481.95</v>
      </c>
      <c r="G76" s="28">
        <v>6.6E-3</v>
      </c>
      <c r="H76" s="29"/>
    </row>
    <row r="77" spans="2:14" ht="15.75" customHeight="1" x14ac:dyDescent="0.2">
      <c r="B77" s="25" t="s">
        <v>650</v>
      </c>
      <c r="C77" s="25" t="s">
        <v>651</v>
      </c>
      <c r="D77" s="25" t="s">
        <v>269</v>
      </c>
      <c r="E77" s="26">
        <v>18547</v>
      </c>
      <c r="F77" s="27">
        <v>480.49</v>
      </c>
      <c r="G77" s="28">
        <v>6.4999999999999997E-3</v>
      </c>
      <c r="H77" s="29"/>
    </row>
    <row r="78" spans="2:14" ht="15.75" customHeight="1" x14ac:dyDescent="0.2">
      <c r="B78" s="25" t="s">
        <v>223</v>
      </c>
      <c r="C78" s="25" t="s">
        <v>224</v>
      </c>
      <c r="D78" s="25" t="s">
        <v>136</v>
      </c>
      <c r="E78" s="26">
        <v>219945</v>
      </c>
      <c r="F78" s="27">
        <v>479.66</v>
      </c>
      <c r="G78" s="28">
        <v>6.4999999999999997E-3</v>
      </c>
      <c r="H78" s="29"/>
      <c r="J78" s="7"/>
      <c r="K78" s="7"/>
      <c r="L78" s="7"/>
      <c r="M78" s="7"/>
      <c r="N78" s="7"/>
    </row>
    <row r="79" spans="2:14" ht="15.75" customHeight="1" x14ac:dyDescent="0.2">
      <c r="B79" s="25" t="s">
        <v>882</v>
      </c>
      <c r="C79" s="25" t="s">
        <v>883</v>
      </c>
      <c r="D79" s="25" t="s">
        <v>233</v>
      </c>
      <c r="E79" s="26">
        <v>42540</v>
      </c>
      <c r="F79" s="27">
        <v>476.3</v>
      </c>
      <c r="G79" s="28">
        <v>6.4999999999999997E-3</v>
      </c>
      <c r="H79" s="29"/>
      <c r="J79" s="7"/>
      <c r="K79" s="7"/>
      <c r="L79" s="7"/>
      <c r="M79" s="7"/>
      <c r="N79" s="7"/>
    </row>
    <row r="80" spans="2:14" ht="15.75" customHeight="1" x14ac:dyDescent="0.2">
      <c r="B80" s="25" t="s">
        <v>884</v>
      </c>
      <c r="C80" s="25" t="s">
        <v>885</v>
      </c>
      <c r="D80" s="25" t="s">
        <v>263</v>
      </c>
      <c r="E80" s="26">
        <v>117616</v>
      </c>
      <c r="F80" s="27">
        <v>475.17</v>
      </c>
      <c r="G80" s="28">
        <v>6.4999999999999997E-3</v>
      </c>
      <c r="H80" s="29"/>
      <c r="J80" s="7"/>
      <c r="K80" s="7"/>
      <c r="L80" s="7"/>
      <c r="M80" s="7"/>
      <c r="N80" s="7"/>
    </row>
    <row r="81" spans="2:14" ht="15.75" customHeight="1" x14ac:dyDescent="0.2">
      <c r="B81" s="25" t="s">
        <v>886</v>
      </c>
      <c r="C81" s="25" t="s">
        <v>887</v>
      </c>
      <c r="D81" s="25" t="s">
        <v>835</v>
      </c>
      <c r="E81" s="26">
        <v>89077</v>
      </c>
      <c r="F81" s="27">
        <v>440.26</v>
      </c>
      <c r="G81" s="28">
        <v>6.0000000000000001E-3</v>
      </c>
      <c r="H81" s="29"/>
      <c r="J81" s="7"/>
      <c r="K81" s="7"/>
      <c r="L81" s="7"/>
      <c r="M81" s="7"/>
      <c r="N81" s="7"/>
    </row>
    <row r="82" spans="2:14" ht="15.75" customHeight="1" x14ac:dyDescent="0.2">
      <c r="B82" s="25" t="s">
        <v>701</v>
      </c>
      <c r="C82" s="25" t="s">
        <v>702</v>
      </c>
      <c r="D82" s="25" t="s">
        <v>172</v>
      </c>
      <c r="E82" s="26">
        <v>121250</v>
      </c>
      <c r="F82" s="27">
        <v>439.35</v>
      </c>
      <c r="G82" s="28">
        <v>6.0000000000000001E-3</v>
      </c>
      <c r="H82" s="29"/>
      <c r="J82" s="7"/>
      <c r="K82" s="7"/>
      <c r="L82" s="7"/>
      <c r="M82" s="7"/>
      <c r="N82" s="7"/>
    </row>
    <row r="83" spans="2:14" ht="15.75" customHeight="1" x14ac:dyDescent="0.2">
      <c r="B83" s="25" t="s">
        <v>888</v>
      </c>
      <c r="C83" s="25" t="s">
        <v>889</v>
      </c>
      <c r="D83" s="25" t="s">
        <v>554</v>
      </c>
      <c r="E83" s="26">
        <v>25119</v>
      </c>
      <c r="F83" s="27">
        <v>432.07</v>
      </c>
      <c r="G83" s="28">
        <v>5.8999999999999999E-3</v>
      </c>
      <c r="H83" s="29"/>
      <c r="J83" s="7"/>
      <c r="K83" s="7"/>
      <c r="L83" s="7"/>
      <c r="M83" s="7"/>
      <c r="N83" s="7"/>
    </row>
    <row r="84" spans="2:14" ht="15.75" customHeight="1" x14ac:dyDescent="0.2">
      <c r="B84" s="25" t="s">
        <v>890</v>
      </c>
      <c r="C84" s="25" t="s">
        <v>891</v>
      </c>
      <c r="D84" s="25" t="s">
        <v>311</v>
      </c>
      <c r="E84" s="26">
        <v>8178</v>
      </c>
      <c r="F84" s="27">
        <v>428.81</v>
      </c>
      <c r="G84" s="28">
        <v>5.7999999999999996E-3</v>
      </c>
      <c r="H84" s="29"/>
      <c r="J84" s="7"/>
      <c r="K84" s="7"/>
      <c r="L84" s="7"/>
      <c r="M84" s="7"/>
      <c r="N84" s="7"/>
    </row>
    <row r="85" spans="2:14" ht="15.75" customHeight="1" x14ac:dyDescent="0.2">
      <c r="B85" s="25" t="s">
        <v>210</v>
      </c>
      <c r="C85" s="25" t="s">
        <v>211</v>
      </c>
      <c r="D85" s="25" t="s">
        <v>212</v>
      </c>
      <c r="E85" s="26">
        <v>187248</v>
      </c>
      <c r="F85" s="27">
        <v>424.83</v>
      </c>
      <c r="G85" s="28">
        <v>5.7999999999999996E-3</v>
      </c>
      <c r="H85" s="29"/>
    </row>
    <row r="86" spans="2:14" ht="15.75" customHeight="1" x14ac:dyDescent="0.2">
      <c r="B86" s="25" t="s">
        <v>355</v>
      </c>
      <c r="C86" s="25" t="s">
        <v>356</v>
      </c>
      <c r="D86" s="25" t="s">
        <v>136</v>
      </c>
      <c r="E86" s="26">
        <v>332351</v>
      </c>
      <c r="F86" s="27">
        <v>418.1</v>
      </c>
      <c r="G86" s="28">
        <v>5.7000000000000002E-3</v>
      </c>
      <c r="H86" s="29"/>
      <c r="J86" s="3"/>
    </row>
    <row r="87" spans="2:14" ht="15.75" customHeight="1" x14ac:dyDescent="0.2">
      <c r="B87" s="25" t="s">
        <v>892</v>
      </c>
      <c r="C87" s="25" t="s">
        <v>893</v>
      </c>
      <c r="D87" s="25" t="s">
        <v>172</v>
      </c>
      <c r="E87" s="26">
        <v>19031</v>
      </c>
      <c r="F87" s="27">
        <v>407.57</v>
      </c>
      <c r="G87" s="28">
        <v>5.4999999999999997E-3</v>
      </c>
      <c r="H87" s="29"/>
    </row>
    <row r="88" spans="2:14" ht="15.75" customHeight="1" x14ac:dyDescent="0.2">
      <c r="B88" s="25" t="s">
        <v>894</v>
      </c>
      <c r="C88" s="25" t="s">
        <v>895</v>
      </c>
      <c r="D88" s="25" t="s">
        <v>269</v>
      </c>
      <c r="E88" s="26">
        <v>21579</v>
      </c>
      <c r="F88" s="27">
        <v>399.33</v>
      </c>
      <c r="G88" s="28">
        <v>5.4000000000000003E-3</v>
      </c>
      <c r="H88" s="29"/>
    </row>
    <row r="89" spans="2:14" ht="15.75" customHeight="1" x14ac:dyDescent="0.2">
      <c r="B89" s="25" t="s">
        <v>312</v>
      </c>
      <c r="C89" s="25" t="s">
        <v>313</v>
      </c>
      <c r="D89" s="25" t="s">
        <v>314</v>
      </c>
      <c r="E89" s="26">
        <v>49320</v>
      </c>
      <c r="F89" s="27">
        <v>398.41</v>
      </c>
      <c r="G89" s="28">
        <v>5.4000000000000003E-3</v>
      </c>
      <c r="H89" s="29"/>
    </row>
    <row r="90" spans="2:14" ht="15.75" customHeight="1" x14ac:dyDescent="0.2">
      <c r="B90" s="25" t="s">
        <v>896</v>
      </c>
      <c r="C90" s="25" t="s">
        <v>897</v>
      </c>
      <c r="D90" s="25" t="s">
        <v>443</v>
      </c>
      <c r="E90" s="26">
        <v>7458</v>
      </c>
      <c r="F90" s="27">
        <v>389.01</v>
      </c>
      <c r="G90" s="28">
        <v>5.3E-3</v>
      </c>
      <c r="H90" s="29"/>
    </row>
    <row r="91" spans="2:14" ht="15.75" customHeight="1" x14ac:dyDescent="0.2">
      <c r="B91" s="25" t="s">
        <v>250</v>
      </c>
      <c r="C91" s="25" t="s">
        <v>251</v>
      </c>
      <c r="D91" s="25" t="s">
        <v>212</v>
      </c>
      <c r="E91" s="26">
        <v>215127</v>
      </c>
      <c r="F91" s="27">
        <v>386.99</v>
      </c>
      <c r="G91" s="28">
        <v>5.3E-3</v>
      </c>
      <c r="H91" s="29"/>
    </row>
    <row r="92" spans="2:14" ht="15.75" customHeight="1" x14ac:dyDescent="0.2">
      <c r="B92" s="25" t="s">
        <v>621</v>
      </c>
      <c r="C92" s="25" t="s">
        <v>622</v>
      </c>
      <c r="D92" s="25" t="s">
        <v>623</v>
      </c>
      <c r="E92" s="26">
        <v>8909</v>
      </c>
      <c r="F92" s="27">
        <v>371.81</v>
      </c>
      <c r="G92" s="28">
        <v>5.1000000000000004E-3</v>
      </c>
      <c r="H92" s="29"/>
    </row>
    <row r="93" spans="2:14" ht="15.75" customHeight="1" x14ac:dyDescent="0.2">
      <c r="B93" s="25" t="s">
        <v>898</v>
      </c>
      <c r="C93" s="25" t="s">
        <v>899</v>
      </c>
      <c r="D93" s="25" t="s">
        <v>729</v>
      </c>
      <c r="E93" s="26">
        <v>249766</v>
      </c>
      <c r="F93" s="27">
        <v>371.33</v>
      </c>
      <c r="G93" s="28">
        <v>5.1000000000000004E-3</v>
      </c>
      <c r="H93" s="29"/>
    </row>
    <row r="94" spans="2:14" ht="15.75" customHeight="1" x14ac:dyDescent="0.2">
      <c r="B94" s="25" t="s">
        <v>668</v>
      </c>
      <c r="C94" s="25" t="s">
        <v>669</v>
      </c>
      <c r="D94" s="25" t="s">
        <v>175</v>
      </c>
      <c r="E94" s="26">
        <v>25153</v>
      </c>
      <c r="F94" s="27">
        <v>367.26</v>
      </c>
      <c r="G94" s="28">
        <v>5.0000000000000001E-3</v>
      </c>
      <c r="H94" s="29"/>
    </row>
    <row r="95" spans="2:14" ht="15.75" customHeight="1" x14ac:dyDescent="0.2">
      <c r="B95" s="25" t="s">
        <v>221</v>
      </c>
      <c r="C95" s="25" t="s">
        <v>222</v>
      </c>
      <c r="D95" s="25" t="s">
        <v>212</v>
      </c>
      <c r="E95" s="26">
        <v>32372</v>
      </c>
      <c r="F95" s="27">
        <v>337.15</v>
      </c>
      <c r="G95" s="28">
        <v>4.5999999999999999E-3</v>
      </c>
      <c r="H95" s="29"/>
    </row>
    <row r="96" spans="2:14" ht="15.75" customHeight="1" x14ac:dyDescent="0.2">
      <c r="B96" s="25" t="s">
        <v>900</v>
      </c>
      <c r="C96" s="25" t="s">
        <v>901</v>
      </c>
      <c r="D96" s="25" t="s">
        <v>207</v>
      </c>
      <c r="E96" s="26">
        <v>46922</v>
      </c>
      <c r="F96" s="27">
        <v>318.55</v>
      </c>
      <c r="G96" s="28">
        <v>4.3E-3</v>
      </c>
      <c r="H96" s="29"/>
    </row>
    <row r="97" spans="2:8" ht="15.75" customHeight="1" x14ac:dyDescent="0.2">
      <c r="B97" s="25" t="s">
        <v>218</v>
      </c>
      <c r="C97" s="25" t="s">
        <v>219</v>
      </c>
      <c r="D97" s="25" t="s">
        <v>220</v>
      </c>
      <c r="E97" s="26">
        <v>91317</v>
      </c>
      <c r="F97" s="27">
        <v>313.86</v>
      </c>
      <c r="G97" s="28">
        <v>4.3E-3</v>
      </c>
      <c r="H97" s="29"/>
    </row>
    <row r="98" spans="2:8" ht="15.75" customHeight="1" x14ac:dyDescent="0.2">
      <c r="B98" s="25" t="s">
        <v>902</v>
      </c>
      <c r="C98" s="25" t="s">
        <v>903</v>
      </c>
      <c r="D98" s="25" t="s">
        <v>314</v>
      </c>
      <c r="E98" s="26">
        <v>9877</v>
      </c>
      <c r="F98" s="27">
        <v>305.26</v>
      </c>
      <c r="G98" s="28">
        <v>4.1999999999999997E-3</v>
      </c>
      <c r="H98" s="29"/>
    </row>
    <row r="99" spans="2:8" ht="15.75" customHeight="1" x14ac:dyDescent="0.2">
      <c r="B99" s="25" t="s">
        <v>904</v>
      </c>
      <c r="C99" s="25" t="s">
        <v>905</v>
      </c>
      <c r="D99" s="25" t="s">
        <v>184</v>
      </c>
      <c r="E99" s="26">
        <v>194845</v>
      </c>
      <c r="F99" s="27">
        <v>289.29000000000002</v>
      </c>
      <c r="G99" s="28">
        <v>3.8999999999999998E-3</v>
      </c>
      <c r="H99" s="29"/>
    </row>
    <row r="100" spans="2:8" ht="15.75" customHeight="1" x14ac:dyDescent="0.2">
      <c r="B100" s="25" t="s">
        <v>906</v>
      </c>
      <c r="C100" s="25" t="s">
        <v>907</v>
      </c>
      <c r="D100" s="25" t="s">
        <v>212</v>
      </c>
      <c r="E100" s="26">
        <v>74784</v>
      </c>
      <c r="F100" s="27">
        <v>275.99</v>
      </c>
      <c r="G100" s="28">
        <v>3.8E-3</v>
      </c>
      <c r="H100" s="29"/>
    </row>
    <row r="101" spans="2:8" ht="15.75" customHeight="1" x14ac:dyDescent="0.2">
      <c r="B101" s="25" t="s">
        <v>794</v>
      </c>
      <c r="C101" s="25" t="s">
        <v>795</v>
      </c>
      <c r="D101" s="25" t="s">
        <v>245</v>
      </c>
      <c r="E101" s="26">
        <v>66744</v>
      </c>
      <c r="F101" s="27">
        <v>226.23</v>
      </c>
      <c r="G101" s="28">
        <v>3.0999999999999999E-3</v>
      </c>
      <c r="H101" s="29"/>
    </row>
    <row r="102" spans="2:8" ht="15.75" customHeight="1" x14ac:dyDescent="0.2">
      <c r="B102" s="25" t="s">
        <v>908</v>
      </c>
      <c r="C102" s="25" t="s">
        <v>909</v>
      </c>
      <c r="D102" s="25" t="s">
        <v>729</v>
      </c>
      <c r="E102" s="26">
        <v>22599</v>
      </c>
      <c r="F102" s="27">
        <v>203.66</v>
      </c>
      <c r="G102" s="28">
        <v>2.8E-3</v>
      </c>
      <c r="H102" s="29"/>
    </row>
    <row r="103" spans="2:8" ht="15.75" customHeight="1" x14ac:dyDescent="0.2">
      <c r="B103" s="25" t="s">
        <v>910</v>
      </c>
      <c r="C103" s="25" t="s">
        <v>911</v>
      </c>
      <c r="D103" s="25" t="s">
        <v>443</v>
      </c>
      <c r="E103" s="26">
        <v>19919</v>
      </c>
      <c r="F103" s="27">
        <v>199.06</v>
      </c>
      <c r="G103" s="28">
        <v>2.7000000000000001E-3</v>
      </c>
      <c r="H103" s="29"/>
    </row>
    <row r="104" spans="2:8" ht="15.75" customHeight="1" x14ac:dyDescent="0.2">
      <c r="B104" s="25" t="s">
        <v>912</v>
      </c>
      <c r="C104" s="25" t="s">
        <v>913</v>
      </c>
      <c r="D104" s="25" t="s">
        <v>136</v>
      </c>
      <c r="E104" s="26">
        <v>270731</v>
      </c>
      <c r="F104" s="27">
        <v>181.23</v>
      </c>
      <c r="G104" s="28">
        <v>2.5000000000000001E-3</v>
      </c>
      <c r="H104" s="29"/>
    </row>
    <row r="105" spans="2:8" ht="15.75" customHeight="1" x14ac:dyDescent="0.2">
      <c r="B105" s="25" t="s">
        <v>914</v>
      </c>
      <c r="C105" s="25" t="s">
        <v>915</v>
      </c>
      <c r="D105" s="25" t="s">
        <v>254</v>
      </c>
      <c r="E105" s="26">
        <v>17550</v>
      </c>
      <c r="F105" s="27">
        <v>180.34</v>
      </c>
      <c r="G105" s="28">
        <v>2.5000000000000001E-3</v>
      </c>
      <c r="H105" s="29"/>
    </row>
    <row r="106" spans="2:8" ht="15.75" customHeight="1" x14ac:dyDescent="0.2">
      <c r="B106" s="25" t="s">
        <v>916</v>
      </c>
      <c r="C106" s="25" t="s">
        <v>917</v>
      </c>
      <c r="D106" s="25" t="s">
        <v>136</v>
      </c>
      <c r="E106" s="26">
        <v>145417</v>
      </c>
      <c r="F106" s="27">
        <v>150.77000000000001</v>
      </c>
      <c r="G106" s="28">
        <v>2.0999999999999999E-3</v>
      </c>
      <c r="H106" s="29"/>
    </row>
    <row r="107" spans="2:8" ht="15.75" customHeight="1" x14ac:dyDescent="0.2">
      <c r="B107" s="24" t="s">
        <v>104</v>
      </c>
      <c r="C107" s="24"/>
      <c r="D107" s="24"/>
      <c r="E107" s="30"/>
      <c r="F107" s="31">
        <v>73308.679999999993</v>
      </c>
      <c r="G107" s="32">
        <v>0.998</v>
      </c>
      <c r="H107" s="33"/>
    </row>
    <row r="108" spans="2:8" ht="15.75" customHeight="1" x14ac:dyDescent="0.2">
      <c r="B108" s="24" t="s">
        <v>156</v>
      </c>
      <c r="C108" s="25"/>
      <c r="D108" s="25"/>
      <c r="E108" s="26"/>
      <c r="F108" s="27"/>
      <c r="G108" s="28"/>
      <c r="H108" s="29"/>
    </row>
    <row r="109" spans="2:8" ht="15.75" customHeight="1" x14ac:dyDescent="0.2">
      <c r="B109" s="24" t="s">
        <v>104</v>
      </c>
      <c r="C109" s="25"/>
      <c r="D109" s="25"/>
      <c r="E109" s="26"/>
      <c r="F109" s="34" t="s">
        <v>106</v>
      </c>
      <c r="G109" s="35" t="s">
        <v>106</v>
      </c>
      <c r="H109" s="29"/>
    </row>
    <row r="110" spans="2:8" ht="15.75" customHeight="1" x14ac:dyDescent="0.2">
      <c r="B110" s="25"/>
      <c r="C110" s="25"/>
      <c r="D110" s="25"/>
      <c r="E110" s="26"/>
      <c r="F110" s="27"/>
      <c r="G110" s="28"/>
      <c r="H110" s="29"/>
    </row>
    <row r="111" spans="2:8" ht="15.75" customHeight="1" x14ac:dyDescent="0.2">
      <c r="B111" s="36" t="s">
        <v>108</v>
      </c>
      <c r="C111" s="36"/>
      <c r="D111" s="36"/>
      <c r="E111" s="37"/>
      <c r="F111" s="31">
        <v>73308.679999999993</v>
      </c>
      <c r="G111" s="32">
        <v>0.998</v>
      </c>
      <c r="H111" s="33"/>
    </row>
    <row r="112" spans="2:8" ht="15.75" customHeight="1" x14ac:dyDescent="0.2">
      <c r="B112" s="25"/>
      <c r="C112" s="25"/>
      <c r="D112" s="25"/>
      <c r="E112" s="26"/>
      <c r="F112" s="27"/>
      <c r="G112" s="28"/>
      <c r="H112" s="29"/>
    </row>
    <row r="113" spans="2:8" ht="15.75" customHeight="1" x14ac:dyDescent="0.2">
      <c r="B113" s="25"/>
      <c r="C113" s="25"/>
      <c r="D113" s="25"/>
      <c r="E113" s="26"/>
      <c r="F113" s="27"/>
      <c r="G113" s="28"/>
      <c r="H113" s="29"/>
    </row>
    <row r="114" spans="2:8" ht="15.75" customHeight="1" x14ac:dyDescent="0.2">
      <c r="B114" s="24" t="s">
        <v>111</v>
      </c>
      <c r="C114" s="25"/>
      <c r="D114" s="25"/>
      <c r="E114" s="26"/>
      <c r="F114" s="27"/>
      <c r="G114" s="28"/>
      <c r="H114" s="29"/>
    </row>
    <row r="115" spans="2:8" ht="15.75" customHeight="1" x14ac:dyDescent="0.2">
      <c r="B115" s="25" t="s">
        <v>112</v>
      </c>
      <c r="C115" s="25"/>
      <c r="D115" s="25"/>
      <c r="E115" s="26"/>
      <c r="F115" s="27">
        <v>75.08</v>
      </c>
      <c r="G115" s="28">
        <v>1E-3</v>
      </c>
      <c r="H115" s="29"/>
    </row>
    <row r="116" spans="2:8" ht="15.75" customHeight="1" x14ac:dyDescent="0.2">
      <c r="B116" s="24" t="s">
        <v>104</v>
      </c>
      <c r="C116" s="24"/>
      <c r="D116" s="24"/>
      <c r="E116" s="30"/>
      <c r="F116" s="31">
        <v>75.08</v>
      </c>
      <c r="G116" s="32">
        <v>1E-3</v>
      </c>
      <c r="H116" s="33"/>
    </row>
    <row r="117" spans="2:8" ht="15.75" customHeight="1" x14ac:dyDescent="0.2">
      <c r="B117" s="25"/>
      <c r="C117" s="25"/>
      <c r="D117" s="25"/>
      <c r="E117" s="26"/>
      <c r="F117" s="27"/>
      <c r="G117" s="28"/>
      <c r="H117" s="29"/>
    </row>
    <row r="118" spans="2:8" ht="15.75" customHeight="1" x14ac:dyDescent="0.2">
      <c r="B118" s="36" t="s">
        <v>108</v>
      </c>
      <c r="C118" s="36"/>
      <c r="D118" s="36"/>
      <c r="E118" s="37"/>
      <c r="F118" s="31">
        <v>75.08</v>
      </c>
      <c r="G118" s="32">
        <v>1E-3</v>
      </c>
      <c r="H118" s="33"/>
    </row>
    <row r="119" spans="2:8" ht="15.75" customHeight="1" x14ac:dyDescent="0.2">
      <c r="B119" s="25" t="s">
        <v>113</v>
      </c>
      <c r="C119" s="25"/>
      <c r="D119" s="25"/>
      <c r="E119" s="26"/>
      <c r="F119" s="27">
        <v>65.8</v>
      </c>
      <c r="G119" s="28">
        <v>1.0000000000000009E-3</v>
      </c>
      <c r="H119" s="29"/>
    </row>
    <row r="120" spans="2:8" ht="15.75" customHeight="1" x14ac:dyDescent="0.2">
      <c r="B120" s="40" t="s">
        <v>114</v>
      </c>
      <c r="C120" s="40"/>
      <c r="D120" s="40"/>
      <c r="E120" s="41"/>
      <c r="F120" s="42">
        <v>73449.56</v>
      </c>
      <c r="G120" s="43">
        <v>1</v>
      </c>
      <c r="H120" s="44"/>
    </row>
    <row r="121" spans="2:8" ht="15.75" customHeight="1" thickBot="1" x14ac:dyDescent="0.25">
      <c r="B121" s="2"/>
    </row>
    <row r="122" spans="2:8" ht="27" customHeight="1" thickBot="1" x14ac:dyDescent="0.25">
      <c r="B122" s="56" t="s">
        <v>1009</v>
      </c>
      <c r="C122" s="57" t="s">
        <v>1010</v>
      </c>
      <c r="D122" s="57" t="s">
        <v>1011</v>
      </c>
      <c r="E122" s="62" t="s">
        <v>1012</v>
      </c>
      <c r="G122" s="2"/>
      <c r="H122" s="2"/>
    </row>
    <row r="123" spans="2:8" ht="29.25" customHeight="1" x14ac:dyDescent="0.2">
      <c r="B123" s="63" t="s">
        <v>68</v>
      </c>
      <c r="C123" s="83"/>
      <c r="D123" s="86" t="s">
        <v>1074</v>
      </c>
      <c r="E123" s="88"/>
      <c r="G123" s="2"/>
      <c r="H123" s="2"/>
    </row>
    <row r="124" spans="2:8" ht="39.950000000000003" customHeight="1" x14ac:dyDescent="0.2">
      <c r="B124" s="65" t="s">
        <v>1075</v>
      </c>
      <c r="C124" s="84"/>
      <c r="D124" s="87"/>
      <c r="E124" s="84"/>
      <c r="G124" s="2"/>
      <c r="H124" s="2"/>
    </row>
    <row r="125" spans="2:8" ht="39.950000000000003" customHeight="1" x14ac:dyDescent="0.2">
      <c r="B125" s="65" t="s">
        <v>1076</v>
      </c>
      <c r="C125" s="84"/>
      <c r="D125" s="87"/>
      <c r="E125" s="84"/>
      <c r="G125" s="2"/>
      <c r="H125" s="2"/>
    </row>
    <row r="126" spans="2:8" ht="23.25" customHeight="1" thickBot="1" x14ac:dyDescent="0.25">
      <c r="B126" s="67" t="s">
        <v>1030</v>
      </c>
      <c r="C126" s="85"/>
      <c r="D126" s="70" t="s">
        <v>1030</v>
      </c>
      <c r="E126" s="89"/>
      <c r="G126" s="2"/>
      <c r="H126" s="2"/>
    </row>
    <row r="127" spans="2:8" ht="24.95" customHeight="1" x14ac:dyDescent="0.2">
      <c r="B127" s="58" t="s">
        <v>1014</v>
      </c>
      <c r="C127" s="59"/>
      <c r="D127" s="60"/>
      <c r="E127" s="61"/>
      <c r="G127" s="2"/>
      <c r="H127" s="2"/>
    </row>
    <row r="129" spans="2:8" ht="12" x14ac:dyDescent="0.2">
      <c r="B129" s="2" t="s">
        <v>1015</v>
      </c>
      <c r="C129" s="2"/>
      <c r="D129" s="2"/>
      <c r="G129" s="2"/>
      <c r="H129" s="2"/>
    </row>
    <row r="130" spans="2:8" ht="12" x14ac:dyDescent="0.2">
      <c r="B130" s="3" t="s">
        <v>1016</v>
      </c>
      <c r="C130" s="2"/>
      <c r="D130" s="2"/>
      <c r="G130" s="2"/>
      <c r="H130" s="2"/>
    </row>
  </sheetData>
  <mergeCells count="3">
    <mergeCell ref="C123:C126"/>
    <mergeCell ref="D123:D125"/>
    <mergeCell ref="E123:E126"/>
  </mergeCells>
  <hyperlinks>
    <hyperlink ref="G1" location="'Sheet1'!A1" display="Index" xr:uid="{DCF6B67B-B5CF-4137-91FA-4D34211FDA3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422CA-2824-4FB9-85C7-BBE165B6D15A}">
  <dimension ref="B1:N110"/>
  <sheetViews>
    <sheetView workbookViewId="0"/>
  </sheetViews>
  <sheetFormatPr defaultColWidth="9.140625" defaultRowHeight="15.75" customHeight="1" x14ac:dyDescent="0.2"/>
  <cols>
    <col min="1" max="1" width="3.5703125" style="2" customWidth="1"/>
    <col min="2" max="2" width="50.42578125" style="9" customWidth="1"/>
    <col min="3" max="3" width="29.140625" style="9" customWidth="1"/>
    <col min="4" max="4" width="26.5703125" style="9" customWidth="1"/>
    <col min="5" max="5" width="28.8554687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24</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132</v>
      </c>
      <c r="C5" s="19"/>
      <c r="D5" s="19"/>
      <c r="E5" s="20"/>
      <c r="F5" s="21"/>
      <c r="G5" s="22"/>
      <c r="H5" s="23"/>
    </row>
    <row r="6" spans="2:8" ht="15.75" customHeight="1" x14ac:dyDescent="0.2">
      <c r="B6" s="24" t="s">
        <v>133</v>
      </c>
      <c r="C6" s="25"/>
      <c r="D6" s="25"/>
      <c r="E6" s="26"/>
      <c r="F6" s="27"/>
      <c r="G6" s="28"/>
      <c r="H6" s="29"/>
    </row>
    <row r="7" spans="2:8" ht="15.75" customHeight="1" x14ac:dyDescent="0.2">
      <c r="B7" s="25" t="s">
        <v>134</v>
      </c>
      <c r="C7" s="25" t="s">
        <v>135</v>
      </c>
      <c r="D7" s="25" t="s">
        <v>136</v>
      </c>
      <c r="E7" s="26">
        <v>1146090</v>
      </c>
      <c r="F7" s="27">
        <v>13923.85</v>
      </c>
      <c r="G7" s="28">
        <v>4.3999999999999997E-2</v>
      </c>
      <c r="H7" s="29"/>
    </row>
    <row r="8" spans="2:8" ht="15.75" customHeight="1" x14ac:dyDescent="0.2">
      <c r="B8" s="25" t="s">
        <v>149</v>
      </c>
      <c r="C8" s="25" t="s">
        <v>150</v>
      </c>
      <c r="D8" s="25" t="s">
        <v>136</v>
      </c>
      <c r="E8" s="26">
        <v>845123</v>
      </c>
      <c r="F8" s="27">
        <v>13655.07</v>
      </c>
      <c r="G8" s="28">
        <v>4.3200000000000002E-2</v>
      </c>
      <c r="H8" s="29"/>
    </row>
    <row r="9" spans="2:8" ht="15.75" customHeight="1" x14ac:dyDescent="0.2">
      <c r="B9" s="25" t="s">
        <v>353</v>
      </c>
      <c r="C9" s="25" t="s">
        <v>354</v>
      </c>
      <c r="D9" s="25" t="s">
        <v>212</v>
      </c>
      <c r="E9" s="26">
        <v>1500835</v>
      </c>
      <c r="F9" s="27">
        <v>9669.1299999999992</v>
      </c>
      <c r="G9" s="28">
        <v>3.0599999999999999E-2</v>
      </c>
      <c r="H9" s="29"/>
    </row>
    <row r="10" spans="2:8" ht="15.75" customHeight="1" x14ac:dyDescent="0.2">
      <c r="B10" s="25" t="s">
        <v>295</v>
      </c>
      <c r="C10" s="25" t="s">
        <v>296</v>
      </c>
      <c r="D10" s="25" t="s">
        <v>297</v>
      </c>
      <c r="E10" s="26">
        <v>223976</v>
      </c>
      <c r="F10" s="27">
        <v>9579.34</v>
      </c>
      <c r="G10" s="28">
        <v>3.0300000000000001E-2</v>
      </c>
      <c r="H10" s="29"/>
    </row>
    <row r="11" spans="2:8" ht="15.75" customHeight="1" x14ac:dyDescent="0.2">
      <c r="B11" s="25" t="s">
        <v>384</v>
      </c>
      <c r="C11" s="25" t="s">
        <v>385</v>
      </c>
      <c r="D11" s="25" t="s">
        <v>220</v>
      </c>
      <c r="E11" s="26">
        <v>162102</v>
      </c>
      <c r="F11" s="27">
        <v>9465.14</v>
      </c>
      <c r="G11" s="28">
        <v>2.9899999999999999E-2</v>
      </c>
      <c r="H11" s="29"/>
    </row>
    <row r="12" spans="2:8" ht="15.75" customHeight="1" x14ac:dyDescent="0.2">
      <c r="B12" s="25" t="s">
        <v>610</v>
      </c>
      <c r="C12" s="25" t="s">
        <v>611</v>
      </c>
      <c r="D12" s="25" t="s">
        <v>266</v>
      </c>
      <c r="E12" s="26">
        <v>43783</v>
      </c>
      <c r="F12" s="27">
        <v>6931.9</v>
      </c>
      <c r="G12" s="28">
        <v>2.1899999999999999E-2</v>
      </c>
      <c r="H12" s="29"/>
    </row>
    <row r="13" spans="2:8" ht="15.75" customHeight="1" x14ac:dyDescent="0.2">
      <c r="B13" s="25" t="s">
        <v>542</v>
      </c>
      <c r="C13" s="25" t="s">
        <v>543</v>
      </c>
      <c r="D13" s="25" t="s">
        <v>178</v>
      </c>
      <c r="E13" s="26">
        <v>132156</v>
      </c>
      <c r="F13" s="27">
        <v>6649.96</v>
      </c>
      <c r="G13" s="28">
        <v>2.1000000000000001E-2</v>
      </c>
      <c r="H13" s="29"/>
    </row>
    <row r="14" spans="2:8" ht="15.75" customHeight="1" x14ac:dyDescent="0.2">
      <c r="B14" s="25" t="s">
        <v>236</v>
      </c>
      <c r="C14" s="25" t="s">
        <v>237</v>
      </c>
      <c r="D14" s="25" t="s">
        <v>139</v>
      </c>
      <c r="E14" s="26">
        <v>147953</v>
      </c>
      <c r="F14" s="27">
        <v>6488.26</v>
      </c>
      <c r="G14" s="28">
        <v>2.0500000000000001E-2</v>
      </c>
      <c r="H14" s="29"/>
    </row>
    <row r="15" spans="2:8" ht="15.75" customHeight="1" x14ac:dyDescent="0.2">
      <c r="B15" s="25" t="s">
        <v>153</v>
      </c>
      <c r="C15" s="25" t="s">
        <v>154</v>
      </c>
      <c r="D15" s="25" t="s">
        <v>155</v>
      </c>
      <c r="E15" s="26">
        <v>215328</v>
      </c>
      <c r="F15" s="27">
        <v>6483.2</v>
      </c>
      <c r="G15" s="28">
        <v>2.0500000000000001E-2</v>
      </c>
      <c r="H15" s="29"/>
    </row>
    <row r="16" spans="2:8" ht="15.75" customHeight="1" x14ac:dyDescent="0.2">
      <c r="B16" s="25" t="s">
        <v>326</v>
      </c>
      <c r="C16" s="25" t="s">
        <v>327</v>
      </c>
      <c r="D16" s="25" t="s">
        <v>212</v>
      </c>
      <c r="E16" s="26">
        <v>1120673</v>
      </c>
      <c r="F16" s="27">
        <v>6239.91</v>
      </c>
      <c r="G16" s="28">
        <v>1.9699999999999999E-2</v>
      </c>
      <c r="H16" s="29"/>
    </row>
    <row r="17" spans="2:8" ht="15.75" customHeight="1" x14ac:dyDescent="0.2">
      <c r="B17" s="25" t="s">
        <v>479</v>
      </c>
      <c r="C17" s="25" t="s">
        <v>480</v>
      </c>
      <c r="D17" s="25" t="s">
        <v>212</v>
      </c>
      <c r="E17" s="26">
        <v>207557</v>
      </c>
      <c r="F17" s="27">
        <v>6085.47</v>
      </c>
      <c r="G17" s="28">
        <v>1.9300000000000001E-2</v>
      </c>
      <c r="H17" s="29"/>
    </row>
    <row r="18" spans="2:8" ht="15.75" customHeight="1" x14ac:dyDescent="0.2">
      <c r="B18" s="25" t="s">
        <v>289</v>
      </c>
      <c r="C18" s="25" t="s">
        <v>290</v>
      </c>
      <c r="D18" s="25" t="s">
        <v>136</v>
      </c>
      <c r="E18" s="26">
        <v>325930</v>
      </c>
      <c r="F18" s="27">
        <v>5892.49</v>
      </c>
      <c r="G18" s="28">
        <v>1.8599999999999998E-2</v>
      </c>
      <c r="H18" s="29"/>
    </row>
    <row r="19" spans="2:8" ht="15.75" customHeight="1" x14ac:dyDescent="0.2">
      <c r="B19" s="25" t="s">
        <v>632</v>
      </c>
      <c r="C19" s="25" t="s">
        <v>633</v>
      </c>
      <c r="D19" s="25" t="s">
        <v>311</v>
      </c>
      <c r="E19" s="26">
        <v>10622</v>
      </c>
      <c r="F19" s="27">
        <v>5784.42</v>
      </c>
      <c r="G19" s="28">
        <v>1.83E-2</v>
      </c>
      <c r="H19" s="29"/>
    </row>
    <row r="20" spans="2:8" ht="15.75" customHeight="1" x14ac:dyDescent="0.2">
      <c r="B20" s="25" t="s">
        <v>173</v>
      </c>
      <c r="C20" s="25" t="s">
        <v>174</v>
      </c>
      <c r="D20" s="25" t="s">
        <v>175</v>
      </c>
      <c r="E20" s="26">
        <v>1801233</v>
      </c>
      <c r="F20" s="27">
        <v>5692.8</v>
      </c>
      <c r="G20" s="28">
        <v>1.7999999999999999E-2</v>
      </c>
      <c r="H20" s="29"/>
    </row>
    <row r="21" spans="2:8" ht="15.75" customHeight="1" x14ac:dyDescent="0.2">
      <c r="B21" s="25" t="s">
        <v>404</v>
      </c>
      <c r="C21" s="25" t="s">
        <v>405</v>
      </c>
      <c r="D21" s="25" t="s">
        <v>266</v>
      </c>
      <c r="E21" s="26">
        <v>327439</v>
      </c>
      <c r="F21" s="27">
        <v>5676.16</v>
      </c>
      <c r="G21" s="28">
        <v>1.7999999999999999E-2</v>
      </c>
      <c r="H21" s="29"/>
    </row>
    <row r="22" spans="2:8" ht="15.75" customHeight="1" x14ac:dyDescent="0.2">
      <c r="B22" s="25" t="s">
        <v>489</v>
      </c>
      <c r="C22" s="25" t="s">
        <v>490</v>
      </c>
      <c r="D22" s="25" t="s">
        <v>254</v>
      </c>
      <c r="E22" s="26">
        <v>329910</v>
      </c>
      <c r="F22" s="27">
        <v>5483.1</v>
      </c>
      <c r="G22" s="28">
        <v>1.7299999999999999E-2</v>
      </c>
      <c r="H22" s="29"/>
    </row>
    <row r="23" spans="2:8" ht="15.75" customHeight="1" x14ac:dyDescent="0.2">
      <c r="B23" s="25" t="s">
        <v>137</v>
      </c>
      <c r="C23" s="25" t="s">
        <v>138</v>
      </c>
      <c r="D23" s="25" t="s">
        <v>139</v>
      </c>
      <c r="E23" s="26">
        <v>291212</v>
      </c>
      <c r="F23" s="27">
        <v>5440.57</v>
      </c>
      <c r="G23" s="28">
        <v>1.72E-2</v>
      </c>
      <c r="H23" s="29"/>
    </row>
    <row r="24" spans="2:8" ht="15.75" customHeight="1" x14ac:dyDescent="0.2">
      <c r="B24" s="25" t="s">
        <v>307</v>
      </c>
      <c r="C24" s="25" t="s">
        <v>308</v>
      </c>
      <c r="D24" s="25" t="s">
        <v>297</v>
      </c>
      <c r="E24" s="26">
        <v>201312</v>
      </c>
      <c r="F24" s="27">
        <v>5024.45</v>
      </c>
      <c r="G24" s="28">
        <v>1.5900000000000001E-2</v>
      </c>
      <c r="H24" s="29"/>
    </row>
    <row r="25" spans="2:8" ht="15.75" customHeight="1" x14ac:dyDescent="0.2">
      <c r="B25" s="25" t="s">
        <v>768</v>
      </c>
      <c r="C25" s="25" t="s">
        <v>769</v>
      </c>
      <c r="D25" s="25" t="s">
        <v>297</v>
      </c>
      <c r="E25" s="26">
        <v>129703</v>
      </c>
      <c r="F25" s="27">
        <v>4996.6099999999997</v>
      </c>
      <c r="G25" s="28">
        <v>1.5800000000000002E-2</v>
      </c>
      <c r="H25" s="29"/>
    </row>
    <row r="26" spans="2:8" ht="15.75" customHeight="1" x14ac:dyDescent="0.2">
      <c r="B26" s="25" t="s">
        <v>606</v>
      </c>
      <c r="C26" s="25" t="s">
        <v>607</v>
      </c>
      <c r="D26" s="25" t="s">
        <v>230</v>
      </c>
      <c r="E26" s="26">
        <v>743717</v>
      </c>
      <c r="F26" s="27">
        <v>4775.03</v>
      </c>
      <c r="G26" s="28">
        <v>1.5100000000000001E-2</v>
      </c>
      <c r="H26" s="29"/>
    </row>
    <row r="27" spans="2:8" ht="15.75" customHeight="1" x14ac:dyDescent="0.2">
      <c r="B27" s="25" t="s">
        <v>368</v>
      </c>
      <c r="C27" s="25" t="s">
        <v>369</v>
      </c>
      <c r="D27" s="25" t="s">
        <v>172</v>
      </c>
      <c r="E27" s="26">
        <v>16338</v>
      </c>
      <c r="F27" s="27">
        <v>4637.5600000000004</v>
      </c>
      <c r="G27" s="28">
        <v>1.47E-2</v>
      </c>
      <c r="H27" s="29"/>
    </row>
    <row r="28" spans="2:8" ht="15.75" customHeight="1" x14ac:dyDescent="0.2">
      <c r="B28" s="25" t="s">
        <v>287</v>
      </c>
      <c r="C28" s="25" t="s">
        <v>288</v>
      </c>
      <c r="D28" s="25" t="s">
        <v>136</v>
      </c>
      <c r="E28" s="26">
        <v>520744</v>
      </c>
      <c r="F28" s="27">
        <v>4542.97</v>
      </c>
      <c r="G28" s="28">
        <v>1.44E-2</v>
      </c>
      <c r="H28" s="29"/>
    </row>
    <row r="29" spans="2:8" ht="15.75" customHeight="1" x14ac:dyDescent="0.2">
      <c r="B29" s="25" t="s">
        <v>608</v>
      </c>
      <c r="C29" s="25" t="s">
        <v>609</v>
      </c>
      <c r="D29" s="25" t="s">
        <v>266</v>
      </c>
      <c r="E29" s="26">
        <v>104468</v>
      </c>
      <c r="F29" s="27">
        <v>4458.0200000000004</v>
      </c>
      <c r="G29" s="28">
        <v>1.41E-2</v>
      </c>
      <c r="H29" s="29"/>
    </row>
    <row r="30" spans="2:8" ht="15.75" customHeight="1" x14ac:dyDescent="0.2">
      <c r="B30" s="25" t="s">
        <v>774</v>
      </c>
      <c r="C30" s="25" t="s">
        <v>775</v>
      </c>
      <c r="D30" s="25" t="s">
        <v>217</v>
      </c>
      <c r="E30" s="26">
        <v>386670</v>
      </c>
      <c r="F30" s="27">
        <v>4397.9799999999996</v>
      </c>
      <c r="G30" s="28">
        <v>1.3899999999999999E-2</v>
      </c>
      <c r="H30" s="29"/>
    </row>
    <row r="31" spans="2:8" ht="15.75" customHeight="1" x14ac:dyDescent="0.2">
      <c r="B31" s="25" t="s">
        <v>305</v>
      </c>
      <c r="C31" s="25" t="s">
        <v>306</v>
      </c>
      <c r="D31" s="25" t="s">
        <v>145</v>
      </c>
      <c r="E31" s="26">
        <v>79941</v>
      </c>
      <c r="F31" s="27">
        <v>4387.5200000000004</v>
      </c>
      <c r="G31" s="28">
        <v>1.3899999999999999E-2</v>
      </c>
      <c r="H31" s="29"/>
    </row>
    <row r="32" spans="2:8" ht="15.75" customHeight="1" x14ac:dyDescent="0.2">
      <c r="B32" s="25" t="s">
        <v>309</v>
      </c>
      <c r="C32" s="25" t="s">
        <v>310</v>
      </c>
      <c r="D32" s="25" t="s">
        <v>311</v>
      </c>
      <c r="E32" s="26">
        <v>1611670</v>
      </c>
      <c r="F32" s="27">
        <v>4329.91</v>
      </c>
      <c r="G32" s="28">
        <v>1.37E-2</v>
      </c>
      <c r="H32" s="29"/>
    </row>
    <row r="33" spans="2:8" ht="15.75" customHeight="1" x14ac:dyDescent="0.2">
      <c r="B33" s="25" t="s">
        <v>300</v>
      </c>
      <c r="C33" s="25" t="s">
        <v>301</v>
      </c>
      <c r="D33" s="25" t="s">
        <v>269</v>
      </c>
      <c r="E33" s="26">
        <v>152132</v>
      </c>
      <c r="F33" s="27">
        <v>4224.33</v>
      </c>
      <c r="G33" s="28">
        <v>1.34E-2</v>
      </c>
      <c r="H33" s="29"/>
    </row>
    <row r="34" spans="2:8" ht="15.75" customHeight="1" x14ac:dyDescent="0.2">
      <c r="B34" s="25" t="s">
        <v>503</v>
      </c>
      <c r="C34" s="25" t="s">
        <v>504</v>
      </c>
      <c r="D34" s="25" t="s">
        <v>266</v>
      </c>
      <c r="E34" s="26">
        <v>5646320</v>
      </c>
      <c r="F34" s="27">
        <v>4170.37</v>
      </c>
      <c r="G34" s="28">
        <v>1.32E-2</v>
      </c>
      <c r="H34" s="29"/>
    </row>
    <row r="35" spans="2:8" ht="15.75" customHeight="1" x14ac:dyDescent="0.2">
      <c r="B35" s="25" t="s">
        <v>444</v>
      </c>
      <c r="C35" s="25" t="s">
        <v>445</v>
      </c>
      <c r="D35" s="25" t="s">
        <v>187</v>
      </c>
      <c r="E35" s="26">
        <v>259094</v>
      </c>
      <c r="F35" s="27">
        <v>3983.83</v>
      </c>
      <c r="G35" s="28">
        <v>1.26E-2</v>
      </c>
      <c r="H35" s="29"/>
    </row>
    <row r="36" spans="2:8" ht="15.75" customHeight="1" x14ac:dyDescent="0.2">
      <c r="B36" s="25" t="s">
        <v>860</v>
      </c>
      <c r="C36" s="25" t="s">
        <v>861</v>
      </c>
      <c r="D36" s="25" t="s">
        <v>336</v>
      </c>
      <c r="E36" s="26">
        <v>358153</v>
      </c>
      <c r="F36" s="27">
        <v>3982.66</v>
      </c>
      <c r="G36" s="28">
        <v>1.26E-2</v>
      </c>
      <c r="H36" s="29"/>
    </row>
    <row r="37" spans="2:8" ht="15.75" customHeight="1" x14ac:dyDescent="0.2">
      <c r="B37" s="25" t="s">
        <v>618</v>
      </c>
      <c r="C37" s="25" t="s">
        <v>619</v>
      </c>
      <c r="D37" s="25" t="s">
        <v>620</v>
      </c>
      <c r="E37" s="26">
        <v>10048</v>
      </c>
      <c r="F37" s="27">
        <v>3947.44</v>
      </c>
      <c r="G37" s="28">
        <v>1.2500000000000001E-2</v>
      </c>
      <c r="H37" s="29"/>
    </row>
    <row r="38" spans="2:8" ht="15.75" customHeight="1" x14ac:dyDescent="0.2">
      <c r="B38" s="25" t="s">
        <v>509</v>
      </c>
      <c r="C38" s="25" t="s">
        <v>510</v>
      </c>
      <c r="D38" s="25" t="s">
        <v>311</v>
      </c>
      <c r="E38" s="26">
        <v>111820</v>
      </c>
      <c r="F38" s="27">
        <v>3789.52</v>
      </c>
      <c r="G38" s="28">
        <v>1.2E-2</v>
      </c>
      <c r="H38" s="29"/>
    </row>
    <row r="39" spans="2:8" ht="15.75" customHeight="1" x14ac:dyDescent="0.2">
      <c r="B39" s="25" t="s">
        <v>151</v>
      </c>
      <c r="C39" s="25" t="s">
        <v>152</v>
      </c>
      <c r="D39" s="25" t="s">
        <v>139</v>
      </c>
      <c r="E39" s="26">
        <v>64320</v>
      </c>
      <c r="F39" s="27">
        <v>3639.32</v>
      </c>
      <c r="G39" s="28">
        <v>1.15E-2</v>
      </c>
      <c r="H39" s="29"/>
    </row>
    <row r="40" spans="2:8" ht="15.75" customHeight="1" x14ac:dyDescent="0.2">
      <c r="B40" s="25" t="s">
        <v>312</v>
      </c>
      <c r="C40" s="25" t="s">
        <v>313</v>
      </c>
      <c r="D40" s="25" t="s">
        <v>314</v>
      </c>
      <c r="E40" s="26">
        <v>448824</v>
      </c>
      <c r="F40" s="27">
        <v>3625.6</v>
      </c>
      <c r="G40" s="28">
        <v>1.15E-2</v>
      </c>
      <c r="H40" s="29"/>
    </row>
    <row r="41" spans="2:8" ht="15.75" customHeight="1" x14ac:dyDescent="0.2">
      <c r="B41" s="25" t="s">
        <v>511</v>
      </c>
      <c r="C41" s="25" t="s">
        <v>512</v>
      </c>
      <c r="D41" s="25" t="s">
        <v>233</v>
      </c>
      <c r="E41" s="26">
        <v>116323</v>
      </c>
      <c r="F41" s="27">
        <v>3597.06</v>
      </c>
      <c r="G41" s="28">
        <v>1.14E-2</v>
      </c>
      <c r="H41" s="29"/>
    </row>
    <row r="42" spans="2:8" ht="15.75" customHeight="1" x14ac:dyDescent="0.2">
      <c r="B42" s="25" t="s">
        <v>320</v>
      </c>
      <c r="C42" s="25" t="s">
        <v>321</v>
      </c>
      <c r="D42" s="25" t="s">
        <v>172</v>
      </c>
      <c r="E42" s="26">
        <v>66792</v>
      </c>
      <c r="F42" s="27">
        <v>3546.32</v>
      </c>
      <c r="G42" s="28">
        <v>1.12E-2</v>
      </c>
      <c r="H42" s="29"/>
    </row>
    <row r="43" spans="2:8" ht="15.75" customHeight="1" x14ac:dyDescent="0.2">
      <c r="B43" s="25" t="s">
        <v>332</v>
      </c>
      <c r="C43" s="25" t="s">
        <v>333</v>
      </c>
      <c r="D43" s="25" t="s">
        <v>297</v>
      </c>
      <c r="E43" s="26">
        <v>236646</v>
      </c>
      <c r="F43" s="27">
        <v>3515.38</v>
      </c>
      <c r="G43" s="28">
        <v>1.11E-2</v>
      </c>
      <c r="H43" s="29"/>
    </row>
    <row r="44" spans="2:8" ht="15.75" customHeight="1" x14ac:dyDescent="0.2">
      <c r="B44" s="25" t="s">
        <v>398</v>
      </c>
      <c r="C44" s="25" t="s">
        <v>399</v>
      </c>
      <c r="D44" s="25" t="s">
        <v>178</v>
      </c>
      <c r="E44" s="26">
        <v>845202</v>
      </c>
      <c r="F44" s="27">
        <v>3510.97</v>
      </c>
      <c r="G44" s="28">
        <v>1.11E-2</v>
      </c>
      <c r="H44" s="29"/>
    </row>
    <row r="45" spans="2:8" ht="15.75" customHeight="1" x14ac:dyDescent="0.2">
      <c r="B45" s="25" t="s">
        <v>234</v>
      </c>
      <c r="C45" s="25" t="s">
        <v>235</v>
      </c>
      <c r="D45" s="25" t="s">
        <v>145</v>
      </c>
      <c r="E45" s="26">
        <v>26734</v>
      </c>
      <c r="F45" s="27">
        <v>3506.38</v>
      </c>
      <c r="G45" s="28">
        <v>1.11E-2</v>
      </c>
      <c r="H45" s="29"/>
    </row>
    <row r="46" spans="2:8" ht="15.75" customHeight="1" x14ac:dyDescent="0.2">
      <c r="B46" s="25" t="s">
        <v>315</v>
      </c>
      <c r="C46" s="25" t="s">
        <v>316</v>
      </c>
      <c r="D46" s="25" t="s">
        <v>212</v>
      </c>
      <c r="E46" s="26">
        <v>1130811</v>
      </c>
      <c r="F46" s="27">
        <v>3429.18</v>
      </c>
      <c r="G46" s="28">
        <v>1.0800000000000001E-2</v>
      </c>
      <c r="H46" s="29"/>
    </row>
    <row r="47" spans="2:8" ht="15.75" customHeight="1" x14ac:dyDescent="0.2">
      <c r="B47" s="25" t="s">
        <v>228</v>
      </c>
      <c r="C47" s="25" t="s">
        <v>229</v>
      </c>
      <c r="D47" s="25" t="s">
        <v>230</v>
      </c>
      <c r="E47" s="26">
        <v>342123</v>
      </c>
      <c r="F47" s="27">
        <v>3378.98</v>
      </c>
      <c r="G47" s="28">
        <v>1.0699999999999999E-2</v>
      </c>
      <c r="H47" s="29"/>
    </row>
    <row r="48" spans="2:8" ht="15.75" customHeight="1" x14ac:dyDescent="0.2">
      <c r="B48" s="25" t="s">
        <v>402</v>
      </c>
      <c r="C48" s="25" t="s">
        <v>403</v>
      </c>
      <c r="D48" s="25" t="s">
        <v>187</v>
      </c>
      <c r="E48" s="26">
        <v>96571</v>
      </c>
      <c r="F48" s="27">
        <v>3340.34</v>
      </c>
      <c r="G48" s="28">
        <v>1.06E-2</v>
      </c>
      <c r="H48" s="29"/>
    </row>
    <row r="49" spans="2:8" ht="15.75" customHeight="1" x14ac:dyDescent="0.2">
      <c r="B49" s="25" t="s">
        <v>285</v>
      </c>
      <c r="C49" s="25" t="s">
        <v>286</v>
      </c>
      <c r="D49" s="25" t="s">
        <v>142</v>
      </c>
      <c r="E49" s="26">
        <v>672927</v>
      </c>
      <c r="F49" s="27">
        <v>3333.34</v>
      </c>
      <c r="G49" s="28">
        <v>1.0500000000000001E-2</v>
      </c>
      <c r="H49" s="29"/>
    </row>
    <row r="50" spans="2:8" ht="15.75" customHeight="1" x14ac:dyDescent="0.2">
      <c r="B50" s="25" t="s">
        <v>218</v>
      </c>
      <c r="C50" s="25" t="s">
        <v>219</v>
      </c>
      <c r="D50" s="25" t="s">
        <v>220</v>
      </c>
      <c r="E50" s="26">
        <v>968021</v>
      </c>
      <c r="F50" s="27">
        <v>3327.09</v>
      </c>
      <c r="G50" s="28">
        <v>1.0500000000000001E-2</v>
      </c>
      <c r="H50" s="29"/>
    </row>
    <row r="51" spans="2:8" ht="15.75" customHeight="1" x14ac:dyDescent="0.2">
      <c r="B51" s="25" t="s">
        <v>766</v>
      </c>
      <c r="C51" s="25" t="s">
        <v>767</v>
      </c>
      <c r="D51" s="25" t="s">
        <v>178</v>
      </c>
      <c r="E51" s="26">
        <v>409284</v>
      </c>
      <c r="F51" s="27">
        <v>3287.16</v>
      </c>
      <c r="G51" s="28">
        <v>1.04E-2</v>
      </c>
      <c r="H51" s="29"/>
    </row>
    <row r="52" spans="2:8" ht="15.75" customHeight="1" x14ac:dyDescent="0.2">
      <c r="B52" s="25" t="s">
        <v>140</v>
      </c>
      <c r="C52" s="25" t="s">
        <v>141</v>
      </c>
      <c r="D52" s="25" t="s">
        <v>142</v>
      </c>
      <c r="E52" s="26">
        <v>120069</v>
      </c>
      <c r="F52" s="27">
        <v>3248.65</v>
      </c>
      <c r="G52" s="28">
        <v>1.03E-2</v>
      </c>
      <c r="H52" s="29"/>
    </row>
    <row r="53" spans="2:8" ht="15.75" customHeight="1" x14ac:dyDescent="0.2">
      <c r="B53" s="25" t="s">
        <v>291</v>
      </c>
      <c r="C53" s="25" t="s">
        <v>292</v>
      </c>
      <c r="D53" s="25" t="s">
        <v>136</v>
      </c>
      <c r="E53" s="26">
        <v>267145</v>
      </c>
      <c r="F53" s="27">
        <v>3115.18</v>
      </c>
      <c r="G53" s="28">
        <v>9.9000000000000008E-3</v>
      </c>
      <c r="H53" s="29"/>
    </row>
    <row r="54" spans="2:8" ht="15.75" customHeight="1" x14ac:dyDescent="0.2">
      <c r="B54" s="25" t="s">
        <v>406</v>
      </c>
      <c r="C54" s="25" t="s">
        <v>407</v>
      </c>
      <c r="D54" s="25" t="s">
        <v>339</v>
      </c>
      <c r="E54" s="26">
        <v>192846</v>
      </c>
      <c r="F54" s="27">
        <v>3041.95</v>
      </c>
      <c r="G54" s="28">
        <v>9.5999999999999992E-3</v>
      </c>
      <c r="H54" s="29"/>
    </row>
    <row r="55" spans="2:8" ht="15.75" customHeight="1" x14ac:dyDescent="0.2">
      <c r="B55" s="25" t="s">
        <v>776</v>
      </c>
      <c r="C55" s="25" t="s">
        <v>777</v>
      </c>
      <c r="D55" s="25" t="s">
        <v>263</v>
      </c>
      <c r="E55" s="26">
        <v>296369</v>
      </c>
      <c r="F55" s="27">
        <v>3007.4</v>
      </c>
      <c r="G55" s="28">
        <v>9.4999999999999998E-3</v>
      </c>
      <c r="H55" s="29"/>
    </row>
    <row r="56" spans="2:8" ht="15.75" customHeight="1" x14ac:dyDescent="0.2">
      <c r="B56" s="25" t="s">
        <v>703</v>
      </c>
      <c r="C56" s="25" t="s">
        <v>704</v>
      </c>
      <c r="D56" s="25" t="s">
        <v>233</v>
      </c>
      <c r="E56" s="26">
        <v>78865</v>
      </c>
      <c r="F56" s="27">
        <v>2997.62</v>
      </c>
      <c r="G56" s="28">
        <v>9.4999999999999998E-3</v>
      </c>
      <c r="H56" s="29"/>
    </row>
    <row r="57" spans="2:8" ht="15.75" customHeight="1" x14ac:dyDescent="0.2">
      <c r="B57" s="25" t="s">
        <v>355</v>
      </c>
      <c r="C57" s="25" t="s">
        <v>356</v>
      </c>
      <c r="D57" s="25" t="s">
        <v>136</v>
      </c>
      <c r="E57" s="26">
        <v>2314573</v>
      </c>
      <c r="F57" s="27">
        <v>2911.73</v>
      </c>
      <c r="G57" s="28">
        <v>9.1999999999999998E-3</v>
      </c>
      <c r="H57" s="29"/>
    </row>
    <row r="58" spans="2:8" ht="15.75" customHeight="1" x14ac:dyDescent="0.2">
      <c r="B58" s="25" t="s">
        <v>918</v>
      </c>
      <c r="C58" s="25" t="s">
        <v>919</v>
      </c>
      <c r="D58" s="25" t="s">
        <v>336</v>
      </c>
      <c r="E58" s="26">
        <v>474909</v>
      </c>
      <c r="F58" s="27">
        <v>2878.42</v>
      </c>
      <c r="G58" s="28">
        <v>9.1000000000000004E-3</v>
      </c>
      <c r="H58" s="29"/>
    </row>
    <row r="59" spans="2:8" ht="15.75" customHeight="1" x14ac:dyDescent="0.2">
      <c r="B59" s="25" t="s">
        <v>644</v>
      </c>
      <c r="C59" s="25" t="s">
        <v>645</v>
      </c>
      <c r="D59" s="25" t="s">
        <v>230</v>
      </c>
      <c r="E59" s="26">
        <v>465191</v>
      </c>
      <c r="F59" s="27">
        <v>2785.56</v>
      </c>
      <c r="G59" s="28">
        <v>8.8000000000000005E-3</v>
      </c>
      <c r="H59" s="29"/>
    </row>
    <row r="60" spans="2:8" ht="15.75" customHeight="1" x14ac:dyDescent="0.2">
      <c r="B60" s="25" t="s">
        <v>446</v>
      </c>
      <c r="C60" s="25" t="s">
        <v>447</v>
      </c>
      <c r="D60" s="25" t="s">
        <v>202</v>
      </c>
      <c r="E60" s="26">
        <v>150660</v>
      </c>
      <c r="F60" s="27">
        <v>2735.83</v>
      </c>
      <c r="G60" s="28">
        <v>8.6999999999999994E-3</v>
      </c>
      <c r="H60" s="29"/>
    </row>
    <row r="61" spans="2:8" ht="15.75" customHeight="1" x14ac:dyDescent="0.2">
      <c r="B61" s="25" t="s">
        <v>570</v>
      </c>
      <c r="C61" s="25" t="s">
        <v>571</v>
      </c>
      <c r="D61" s="25" t="s">
        <v>497</v>
      </c>
      <c r="E61" s="26">
        <v>6255</v>
      </c>
      <c r="F61" s="27">
        <v>2651.92</v>
      </c>
      <c r="G61" s="28">
        <v>8.3999999999999995E-3</v>
      </c>
      <c r="H61" s="29"/>
    </row>
    <row r="62" spans="2:8" ht="15.75" customHeight="1" x14ac:dyDescent="0.2">
      <c r="B62" s="25" t="s">
        <v>424</v>
      </c>
      <c r="C62" s="25" t="s">
        <v>425</v>
      </c>
      <c r="D62" s="25" t="s">
        <v>220</v>
      </c>
      <c r="E62" s="26">
        <v>502646</v>
      </c>
      <c r="F62" s="27">
        <v>2572.54</v>
      </c>
      <c r="G62" s="28">
        <v>8.0999999999999996E-3</v>
      </c>
      <c r="H62" s="29"/>
    </row>
    <row r="63" spans="2:8" ht="15.75" customHeight="1" x14ac:dyDescent="0.2">
      <c r="B63" s="25" t="s">
        <v>540</v>
      </c>
      <c r="C63" s="25" t="s">
        <v>541</v>
      </c>
      <c r="D63" s="25" t="s">
        <v>207</v>
      </c>
      <c r="E63" s="26">
        <v>462898</v>
      </c>
      <c r="F63" s="27">
        <v>2536.6799999999998</v>
      </c>
      <c r="G63" s="28">
        <v>8.0000000000000002E-3</v>
      </c>
      <c r="H63" s="29"/>
    </row>
    <row r="64" spans="2:8" ht="15.75" customHeight="1" x14ac:dyDescent="0.2">
      <c r="B64" s="25" t="s">
        <v>794</v>
      </c>
      <c r="C64" s="25" t="s">
        <v>795</v>
      </c>
      <c r="D64" s="25" t="s">
        <v>245</v>
      </c>
      <c r="E64" s="26">
        <v>744358</v>
      </c>
      <c r="F64" s="27">
        <v>2523</v>
      </c>
      <c r="G64" s="28">
        <v>8.0000000000000002E-3</v>
      </c>
      <c r="H64" s="29"/>
    </row>
    <row r="65" spans="2:14" ht="15.75" customHeight="1" x14ac:dyDescent="0.2">
      <c r="B65" s="25" t="s">
        <v>598</v>
      </c>
      <c r="C65" s="25" t="s">
        <v>599</v>
      </c>
      <c r="D65" s="25" t="s">
        <v>266</v>
      </c>
      <c r="E65" s="26">
        <v>233700</v>
      </c>
      <c r="F65" s="27">
        <v>2432.8200000000002</v>
      </c>
      <c r="G65" s="28">
        <v>7.7000000000000002E-3</v>
      </c>
      <c r="H65" s="29"/>
    </row>
    <row r="66" spans="2:14" ht="15.75" customHeight="1" x14ac:dyDescent="0.2">
      <c r="B66" s="25" t="s">
        <v>725</v>
      </c>
      <c r="C66" s="25" t="s">
        <v>726</v>
      </c>
      <c r="D66" s="25" t="s">
        <v>254</v>
      </c>
      <c r="E66" s="26">
        <v>290511</v>
      </c>
      <c r="F66" s="27">
        <v>2384.8000000000002</v>
      </c>
      <c r="G66" s="28">
        <v>7.4999999999999997E-3</v>
      </c>
      <c r="H66" s="29"/>
    </row>
    <row r="67" spans="2:14" ht="15.75" customHeight="1" x14ac:dyDescent="0.2">
      <c r="B67" s="25" t="s">
        <v>662</v>
      </c>
      <c r="C67" s="25" t="s">
        <v>663</v>
      </c>
      <c r="D67" s="25" t="s">
        <v>554</v>
      </c>
      <c r="E67" s="26">
        <v>197810</v>
      </c>
      <c r="F67" s="27">
        <v>2351.86</v>
      </c>
      <c r="G67" s="28">
        <v>7.4000000000000003E-3</v>
      </c>
      <c r="H67" s="29"/>
    </row>
    <row r="68" spans="2:14" ht="15.75" customHeight="1" x14ac:dyDescent="0.2">
      <c r="B68" s="25" t="s">
        <v>414</v>
      </c>
      <c r="C68" s="25" t="s">
        <v>415</v>
      </c>
      <c r="D68" s="25" t="s">
        <v>266</v>
      </c>
      <c r="E68" s="26">
        <v>1050564</v>
      </c>
      <c r="F68" s="27">
        <v>2065.09</v>
      </c>
      <c r="G68" s="28">
        <v>6.4999999999999997E-3</v>
      </c>
      <c r="H68" s="29"/>
      <c r="J68" s="3"/>
    </row>
    <row r="69" spans="2:14" ht="15.75" customHeight="1" x14ac:dyDescent="0.2">
      <c r="B69" s="25" t="s">
        <v>348</v>
      </c>
      <c r="C69" s="25" t="s">
        <v>349</v>
      </c>
      <c r="D69" s="25" t="s">
        <v>212</v>
      </c>
      <c r="E69" s="26">
        <v>155079</v>
      </c>
      <c r="F69" s="27">
        <v>2058.91</v>
      </c>
      <c r="G69" s="28">
        <v>6.4999999999999997E-3</v>
      </c>
      <c r="H69" s="29"/>
    </row>
    <row r="70" spans="2:14" ht="15.75" customHeight="1" x14ac:dyDescent="0.2">
      <c r="B70" s="25" t="s">
        <v>408</v>
      </c>
      <c r="C70" s="25" t="s">
        <v>409</v>
      </c>
      <c r="D70" s="25" t="s">
        <v>297</v>
      </c>
      <c r="E70" s="26">
        <v>47351</v>
      </c>
      <c r="F70" s="27">
        <v>2050.23</v>
      </c>
      <c r="G70" s="28">
        <v>6.4999999999999997E-3</v>
      </c>
      <c r="H70" s="29"/>
      <c r="J70" s="3"/>
    </row>
    <row r="71" spans="2:14" ht="15.75" customHeight="1" x14ac:dyDescent="0.2">
      <c r="B71" s="25" t="s">
        <v>430</v>
      </c>
      <c r="C71" s="25" t="s">
        <v>431</v>
      </c>
      <c r="D71" s="25" t="s">
        <v>314</v>
      </c>
      <c r="E71" s="26">
        <v>162034</v>
      </c>
      <c r="F71" s="27">
        <v>2012.3</v>
      </c>
      <c r="G71" s="28">
        <v>6.4000000000000003E-3</v>
      </c>
      <c r="H71" s="29"/>
      <c r="J71" s="3"/>
    </row>
    <row r="72" spans="2:14" ht="15.75" customHeight="1" x14ac:dyDescent="0.2">
      <c r="B72" s="25" t="s">
        <v>392</v>
      </c>
      <c r="C72" s="25" t="s">
        <v>393</v>
      </c>
      <c r="D72" s="25" t="s">
        <v>311</v>
      </c>
      <c r="E72" s="26">
        <v>538005</v>
      </c>
      <c r="F72" s="27">
        <v>1982.28</v>
      </c>
      <c r="G72" s="28">
        <v>6.3E-3</v>
      </c>
      <c r="H72" s="29"/>
      <c r="J72" s="3"/>
    </row>
    <row r="73" spans="2:14" ht="15.75" customHeight="1" x14ac:dyDescent="0.2">
      <c r="B73" s="25" t="s">
        <v>746</v>
      </c>
      <c r="C73" s="25" t="s">
        <v>747</v>
      </c>
      <c r="D73" s="25" t="s">
        <v>311</v>
      </c>
      <c r="E73" s="26">
        <v>257553</v>
      </c>
      <c r="F73" s="27">
        <v>1936.28</v>
      </c>
      <c r="G73" s="28">
        <v>6.1000000000000004E-3</v>
      </c>
      <c r="H73" s="29"/>
      <c r="J73" s="3"/>
    </row>
    <row r="74" spans="2:14" ht="15.75" customHeight="1" x14ac:dyDescent="0.2">
      <c r="B74" s="25" t="s">
        <v>600</v>
      </c>
      <c r="C74" s="25" t="s">
        <v>601</v>
      </c>
      <c r="D74" s="25" t="s">
        <v>136</v>
      </c>
      <c r="E74" s="26">
        <v>821861</v>
      </c>
      <c r="F74" s="27">
        <v>1655.15</v>
      </c>
      <c r="G74" s="28">
        <v>5.1999999999999998E-3</v>
      </c>
      <c r="H74" s="29"/>
      <c r="J74" s="3"/>
    </row>
    <row r="75" spans="2:14" ht="15.75" customHeight="1" x14ac:dyDescent="0.2">
      <c r="B75" s="25" t="s">
        <v>670</v>
      </c>
      <c r="C75" s="25" t="s">
        <v>671</v>
      </c>
      <c r="D75" s="25" t="s">
        <v>190</v>
      </c>
      <c r="E75" s="26">
        <v>63272</v>
      </c>
      <c r="F75" s="27">
        <v>1617.52</v>
      </c>
      <c r="G75" s="28">
        <v>5.1000000000000004E-3</v>
      </c>
      <c r="H75" s="29"/>
      <c r="J75" s="5"/>
      <c r="K75" s="5"/>
      <c r="L75" s="6"/>
      <c r="M75" s="6"/>
      <c r="N75" s="5"/>
    </row>
    <row r="76" spans="2:14" ht="15.75" customHeight="1" x14ac:dyDescent="0.2">
      <c r="B76" s="25" t="s">
        <v>372</v>
      </c>
      <c r="C76" s="25" t="s">
        <v>373</v>
      </c>
      <c r="D76" s="25" t="s">
        <v>352</v>
      </c>
      <c r="E76" s="26">
        <v>96272</v>
      </c>
      <c r="F76" s="27">
        <v>1504.44</v>
      </c>
      <c r="G76" s="28">
        <v>4.7999999999999996E-3</v>
      </c>
      <c r="H76" s="29"/>
    </row>
    <row r="77" spans="2:14" ht="15.75" customHeight="1" x14ac:dyDescent="0.2">
      <c r="B77" s="25" t="s">
        <v>340</v>
      </c>
      <c r="C77" s="25" t="s">
        <v>341</v>
      </c>
      <c r="D77" s="25" t="s">
        <v>263</v>
      </c>
      <c r="E77" s="26">
        <v>32349</v>
      </c>
      <c r="F77" s="27">
        <v>1446.71</v>
      </c>
      <c r="G77" s="28">
        <v>4.5999999999999999E-3</v>
      </c>
      <c r="H77" s="29"/>
    </row>
    <row r="78" spans="2:14" ht="15.75" customHeight="1" x14ac:dyDescent="0.2">
      <c r="B78" s="25" t="s">
        <v>360</v>
      </c>
      <c r="C78" s="25" t="s">
        <v>361</v>
      </c>
      <c r="D78" s="25" t="s">
        <v>207</v>
      </c>
      <c r="E78" s="26">
        <v>423079</v>
      </c>
      <c r="F78" s="27">
        <v>1435.3</v>
      </c>
      <c r="G78" s="28">
        <v>4.4999999999999997E-3</v>
      </c>
      <c r="H78" s="29"/>
      <c r="J78" s="7"/>
      <c r="K78" s="7"/>
      <c r="L78" s="7"/>
      <c r="M78" s="7"/>
      <c r="N78" s="7"/>
    </row>
    <row r="79" spans="2:14" ht="15.75" customHeight="1" x14ac:dyDescent="0.2">
      <c r="B79" s="25" t="s">
        <v>322</v>
      </c>
      <c r="C79" s="25" t="s">
        <v>323</v>
      </c>
      <c r="D79" s="25" t="s">
        <v>233</v>
      </c>
      <c r="E79" s="26">
        <v>53552</v>
      </c>
      <c r="F79" s="27">
        <v>1416.4</v>
      </c>
      <c r="G79" s="28">
        <v>4.4999999999999997E-3</v>
      </c>
      <c r="H79" s="29"/>
      <c r="J79" s="7"/>
      <c r="K79" s="7"/>
      <c r="L79" s="7"/>
      <c r="M79" s="7"/>
      <c r="N79" s="7"/>
    </row>
    <row r="80" spans="2:14" ht="15.75" customHeight="1" x14ac:dyDescent="0.2">
      <c r="B80" s="25" t="s">
        <v>469</v>
      </c>
      <c r="C80" s="25" t="s">
        <v>470</v>
      </c>
      <c r="D80" s="25" t="s">
        <v>136</v>
      </c>
      <c r="E80" s="26">
        <v>652234</v>
      </c>
      <c r="F80" s="27">
        <v>824.68</v>
      </c>
      <c r="G80" s="28">
        <v>2.5999999999999999E-3</v>
      </c>
      <c r="H80" s="29"/>
      <c r="J80" s="7"/>
      <c r="K80" s="7"/>
      <c r="L80" s="7"/>
      <c r="M80" s="7"/>
      <c r="N80" s="7"/>
    </row>
    <row r="81" spans="2:14" ht="15.75" customHeight="1" x14ac:dyDescent="0.2">
      <c r="B81" s="25" t="s">
        <v>800</v>
      </c>
      <c r="C81" s="25" t="s">
        <v>801</v>
      </c>
      <c r="D81" s="25" t="s">
        <v>266</v>
      </c>
      <c r="E81" s="26">
        <v>114136</v>
      </c>
      <c r="F81" s="27">
        <v>764.43</v>
      </c>
      <c r="G81" s="28">
        <v>2.3999999999999998E-3</v>
      </c>
      <c r="H81" s="29"/>
      <c r="J81" s="7"/>
      <c r="K81" s="7"/>
      <c r="L81" s="7"/>
      <c r="M81" s="7"/>
      <c r="N81" s="7"/>
    </row>
    <row r="82" spans="2:14" ht="15.75" customHeight="1" x14ac:dyDescent="0.2">
      <c r="B82" s="25" t="s">
        <v>780</v>
      </c>
      <c r="C82" s="25" t="s">
        <v>781</v>
      </c>
      <c r="D82" s="25" t="s">
        <v>184</v>
      </c>
      <c r="E82" s="26">
        <v>257664</v>
      </c>
      <c r="F82" s="27">
        <v>741.71</v>
      </c>
      <c r="G82" s="28">
        <v>2.3E-3</v>
      </c>
      <c r="H82" s="29"/>
      <c r="J82" s="7"/>
      <c r="K82" s="7"/>
      <c r="L82" s="7"/>
      <c r="M82" s="7"/>
      <c r="N82" s="7"/>
    </row>
    <row r="83" spans="2:14" ht="15.75" customHeight="1" x14ac:dyDescent="0.2">
      <c r="B83" s="24" t="s">
        <v>104</v>
      </c>
      <c r="C83" s="24"/>
      <c r="D83" s="24"/>
      <c r="E83" s="30"/>
      <c r="F83" s="31">
        <f>SUM(F7:F82)</f>
        <v>307513.4800000001</v>
      </c>
      <c r="G83" s="32">
        <v>0.97270000000000001</v>
      </c>
      <c r="H83" s="33"/>
      <c r="J83" s="7"/>
      <c r="K83" s="7"/>
      <c r="L83" s="7"/>
      <c r="M83" s="7"/>
      <c r="N83" s="7"/>
    </row>
    <row r="84" spans="2:14" ht="15.75" customHeight="1" x14ac:dyDescent="0.2">
      <c r="B84" s="24" t="s">
        <v>156</v>
      </c>
      <c r="C84" s="25"/>
      <c r="D84" s="25"/>
      <c r="E84" s="26"/>
      <c r="F84" s="27"/>
      <c r="G84" s="28"/>
      <c r="H84" s="29"/>
    </row>
    <row r="85" spans="2:14" ht="15.75" customHeight="1" x14ac:dyDescent="0.2">
      <c r="B85" s="25" t="s">
        <v>674</v>
      </c>
      <c r="C85" s="25" t="s">
        <v>675</v>
      </c>
      <c r="D85" s="25" t="s">
        <v>554</v>
      </c>
      <c r="E85" s="26">
        <v>7608</v>
      </c>
      <c r="F85" s="27">
        <v>28.22</v>
      </c>
      <c r="G85" s="28">
        <v>1E-4</v>
      </c>
      <c r="H85" s="29"/>
      <c r="J85" s="7"/>
      <c r="K85" s="7"/>
      <c r="L85" s="7"/>
      <c r="M85" s="7"/>
      <c r="N85" s="7"/>
    </row>
    <row r="86" spans="2:14" ht="15.75" customHeight="1" x14ac:dyDescent="0.2">
      <c r="B86" s="24" t="s">
        <v>104</v>
      </c>
      <c r="C86" s="25"/>
      <c r="D86" s="25"/>
      <c r="E86" s="26"/>
      <c r="F86" s="34">
        <f>SUM(F85)</f>
        <v>28.22</v>
      </c>
      <c r="G86" s="32">
        <f>SUM(G85)</f>
        <v>1E-4</v>
      </c>
      <c r="H86" s="29"/>
      <c r="J86" s="3"/>
    </row>
    <row r="87" spans="2:14" ht="15.75" customHeight="1" x14ac:dyDescent="0.2">
      <c r="B87" s="25"/>
      <c r="C87" s="25"/>
      <c r="D87" s="25"/>
      <c r="E87" s="26"/>
      <c r="F87" s="27"/>
      <c r="G87" s="28"/>
      <c r="H87" s="29"/>
    </row>
    <row r="88" spans="2:14" ht="15.75" customHeight="1" x14ac:dyDescent="0.2">
      <c r="B88" s="36" t="s">
        <v>108</v>
      </c>
      <c r="C88" s="36"/>
      <c r="D88" s="36"/>
      <c r="E88" s="37"/>
      <c r="F88" s="31">
        <v>307541.7</v>
      </c>
      <c r="G88" s="32">
        <v>0.9728</v>
      </c>
      <c r="H88" s="33"/>
    </row>
    <row r="89" spans="2:14" ht="15.75" customHeight="1" x14ac:dyDescent="0.2">
      <c r="B89" s="25"/>
      <c r="C89" s="25"/>
      <c r="D89" s="25"/>
      <c r="E89" s="26"/>
      <c r="F89" s="27"/>
      <c r="G89" s="28"/>
      <c r="H89" s="29"/>
    </row>
    <row r="90" spans="2:14" ht="15.75" customHeight="1" x14ac:dyDescent="0.2">
      <c r="B90" s="25"/>
      <c r="C90" s="25"/>
      <c r="D90" s="25"/>
      <c r="E90" s="26"/>
      <c r="F90" s="27"/>
      <c r="G90" s="28"/>
      <c r="H90" s="29"/>
    </row>
    <row r="91" spans="2:14" ht="15.75" customHeight="1" x14ac:dyDescent="0.2">
      <c r="B91" s="24" t="s">
        <v>111</v>
      </c>
      <c r="C91" s="25"/>
      <c r="D91" s="25"/>
      <c r="E91" s="26"/>
      <c r="F91" s="27"/>
      <c r="G91" s="28"/>
      <c r="H91" s="29"/>
    </row>
    <row r="92" spans="2:14" ht="15.75" customHeight="1" x14ac:dyDescent="0.2">
      <c r="B92" s="25" t="s">
        <v>112</v>
      </c>
      <c r="C92" s="25"/>
      <c r="D92" s="25"/>
      <c r="E92" s="26"/>
      <c r="F92" s="27">
        <v>8910.77</v>
      </c>
      <c r="G92" s="28">
        <v>2.8199999999999999E-2</v>
      </c>
      <c r="H92" s="29"/>
    </row>
    <row r="93" spans="2:14" ht="15.75" customHeight="1" x14ac:dyDescent="0.2">
      <c r="B93" s="24" t="s">
        <v>104</v>
      </c>
      <c r="C93" s="24"/>
      <c r="D93" s="24"/>
      <c r="E93" s="30"/>
      <c r="F93" s="31">
        <v>8910.77</v>
      </c>
      <c r="G93" s="32">
        <v>2.8199999999999999E-2</v>
      </c>
      <c r="H93" s="33"/>
    </row>
    <row r="94" spans="2:14" ht="15.75" customHeight="1" x14ac:dyDescent="0.2">
      <c r="B94" s="25"/>
      <c r="C94" s="25"/>
      <c r="D94" s="25"/>
      <c r="E94" s="26"/>
      <c r="F94" s="27"/>
      <c r="G94" s="28"/>
      <c r="H94" s="29"/>
    </row>
    <row r="95" spans="2:14" ht="15.75" customHeight="1" x14ac:dyDescent="0.2">
      <c r="B95" s="36" t="s">
        <v>108</v>
      </c>
      <c r="C95" s="36"/>
      <c r="D95" s="36"/>
      <c r="E95" s="37"/>
      <c r="F95" s="31">
        <v>8910.77</v>
      </c>
      <c r="G95" s="32">
        <v>2.8199999999999999E-2</v>
      </c>
      <c r="H95" s="33"/>
    </row>
    <row r="96" spans="2:14" ht="15.75" customHeight="1" x14ac:dyDescent="0.2">
      <c r="B96" s="25" t="s">
        <v>113</v>
      </c>
      <c r="C96" s="25"/>
      <c r="D96" s="25"/>
      <c r="E96" s="26"/>
      <c r="F96" s="38">
        <v>-336.89</v>
      </c>
      <c r="G96" s="39">
        <v>-9.9999999999988987E-4</v>
      </c>
      <c r="H96" s="29"/>
    </row>
    <row r="97" spans="2:8" ht="15.75" customHeight="1" x14ac:dyDescent="0.2">
      <c r="B97" s="40" t="s">
        <v>114</v>
      </c>
      <c r="C97" s="40"/>
      <c r="D97" s="40"/>
      <c r="E97" s="41"/>
      <c r="F97" s="42">
        <v>316115.58</v>
      </c>
      <c r="G97" s="43">
        <v>1</v>
      </c>
      <c r="H97" s="44"/>
    </row>
    <row r="98" spans="2:8" ht="15.75" customHeight="1" x14ac:dyDescent="0.2">
      <c r="B98" s="2"/>
    </row>
    <row r="99" spans="2:8" ht="15.75" customHeight="1" x14ac:dyDescent="0.2">
      <c r="B99" s="12" t="s">
        <v>131</v>
      </c>
    </row>
    <row r="100" spans="2:8" ht="15.75" customHeight="1" x14ac:dyDescent="0.2">
      <c r="B100" s="12" t="s">
        <v>115</v>
      </c>
    </row>
    <row r="101" spans="2:8" ht="15.75" customHeight="1" thickBot="1" x14ac:dyDescent="0.25"/>
    <row r="102" spans="2:8" ht="27" customHeight="1" thickBot="1" x14ac:dyDescent="0.25">
      <c r="B102" s="56" t="s">
        <v>1009</v>
      </c>
      <c r="C102" s="57" t="s">
        <v>1010</v>
      </c>
      <c r="D102" s="57" t="s">
        <v>1011</v>
      </c>
      <c r="E102" s="62" t="s">
        <v>1012</v>
      </c>
      <c r="G102" s="2"/>
      <c r="H102" s="2"/>
    </row>
    <row r="103" spans="2:8" ht="27.75" customHeight="1" x14ac:dyDescent="0.2">
      <c r="B103" s="69" t="s">
        <v>70</v>
      </c>
      <c r="C103" s="83"/>
      <c r="D103" s="86" t="s">
        <v>1077</v>
      </c>
      <c r="E103" s="88"/>
      <c r="G103" s="2"/>
      <c r="H103" s="2"/>
    </row>
    <row r="104" spans="2:8" ht="31.5" customHeight="1" x14ac:dyDescent="0.2">
      <c r="B104" s="65" t="s">
        <v>1078</v>
      </c>
      <c r="C104" s="84"/>
      <c r="D104" s="87"/>
      <c r="E104" s="84"/>
      <c r="G104" s="2"/>
      <c r="H104" s="2"/>
    </row>
    <row r="105" spans="2:8" ht="39.950000000000003" customHeight="1" x14ac:dyDescent="0.2">
      <c r="B105" s="65" t="s">
        <v>1079</v>
      </c>
      <c r="C105" s="84"/>
      <c r="D105" s="87"/>
      <c r="E105" s="84"/>
      <c r="G105" s="2"/>
      <c r="H105" s="2"/>
    </row>
    <row r="106" spans="2:8" ht="21.75" customHeight="1" thickBot="1" x14ac:dyDescent="0.25">
      <c r="B106" s="67" t="s">
        <v>1035</v>
      </c>
      <c r="C106" s="85"/>
      <c r="D106" s="70" t="s">
        <v>1035</v>
      </c>
      <c r="E106" s="89"/>
      <c r="G106" s="2"/>
      <c r="H106" s="2"/>
    </row>
    <row r="107" spans="2:8" ht="24.95" customHeight="1" x14ac:dyDescent="0.2">
      <c r="B107" s="58" t="s">
        <v>1014</v>
      </c>
      <c r="C107" s="59"/>
      <c r="D107" s="60"/>
      <c r="E107" s="61"/>
      <c r="G107" s="2"/>
      <c r="H107" s="2"/>
    </row>
    <row r="109" spans="2:8" ht="12" x14ac:dyDescent="0.2">
      <c r="B109" s="2" t="s">
        <v>1015</v>
      </c>
      <c r="C109" s="2"/>
      <c r="D109" s="2"/>
      <c r="G109" s="2"/>
      <c r="H109" s="2"/>
    </row>
    <row r="110" spans="2:8" ht="12" x14ac:dyDescent="0.2">
      <c r="B110" s="3" t="s">
        <v>1016</v>
      </c>
      <c r="C110" s="2"/>
      <c r="D110" s="2"/>
      <c r="G110" s="2"/>
      <c r="H110" s="2"/>
    </row>
  </sheetData>
  <mergeCells count="3">
    <mergeCell ref="C103:C106"/>
    <mergeCell ref="D103:D105"/>
    <mergeCell ref="E103:E106"/>
  </mergeCells>
  <hyperlinks>
    <hyperlink ref="G1" location="'Sheet1'!A1" display="Index" xr:uid="{96478B9F-2E2E-4780-8E64-7C7B2FF8284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71956-46B0-48EA-9528-D4AA1D32047E}">
  <dimension ref="B1:N107"/>
  <sheetViews>
    <sheetView workbookViewId="0"/>
  </sheetViews>
  <sheetFormatPr defaultColWidth="9.140625" defaultRowHeight="15.75" customHeight="1" x14ac:dyDescent="0.2"/>
  <cols>
    <col min="1" max="1" width="3.5703125" style="2" customWidth="1"/>
    <col min="2" max="2" width="50.42578125" style="9" customWidth="1"/>
    <col min="3" max="3" width="25.28515625" style="9" customWidth="1"/>
    <col min="4" max="4" width="26.5703125" style="9" customWidth="1"/>
    <col min="5" max="5" width="29.8554687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132</v>
      </c>
      <c r="C5" s="19"/>
      <c r="D5" s="19"/>
      <c r="E5" s="20"/>
      <c r="F5" s="21"/>
      <c r="G5" s="22"/>
      <c r="H5" s="23"/>
    </row>
    <row r="6" spans="2:8" ht="15.75" customHeight="1" x14ac:dyDescent="0.2">
      <c r="B6" s="24" t="s">
        <v>133</v>
      </c>
      <c r="C6" s="25"/>
      <c r="D6" s="25"/>
      <c r="E6" s="26"/>
      <c r="F6" s="27"/>
      <c r="G6" s="28"/>
      <c r="H6" s="29"/>
    </row>
    <row r="7" spans="2:8" ht="15.75" customHeight="1" x14ac:dyDescent="0.2">
      <c r="B7" s="25" t="s">
        <v>295</v>
      </c>
      <c r="C7" s="25" t="s">
        <v>296</v>
      </c>
      <c r="D7" s="25" t="s">
        <v>297</v>
      </c>
      <c r="E7" s="26">
        <v>124121</v>
      </c>
      <c r="F7" s="27">
        <v>5308.59</v>
      </c>
      <c r="G7" s="28">
        <v>4.1099999999999998E-2</v>
      </c>
      <c r="H7" s="29"/>
    </row>
    <row r="8" spans="2:8" ht="15.75" customHeight="1" x14ac:dyDescent="0.2">
      <c r="B8" s="25" t="s">
        <v>134</v>
      </c>
      <c r="C8" s="25" t="s">
        <v>135</v>
      </c>
      <c r="D8" s="25" t="s">
        <v>136</v>
      </c>
      <c r="E8" s="26">
        <v>305293</v>
      </c>
      <c r="F8" s="27">
        <v>3709</v>
      </c>
      <c r="G8" s="28">
        <v>2.87E-2</v>
      </c>
      <c r="H8" s="29"/>
    </row>
    <row r="9" spans="2:8" ht="15.75" customHeight="1" x14ac:dyDescent="0.2">
      <c r="B9" s="25" t="s">
        <v>326</v>
      </c>
      <c r="C9" s="25" t="s">
        <v>327</v>
      </c>
      <c r="D9" s="25" t="s">
        <v>212</v>
      </c>
      <c r="E9" s="26">
        <v>615742</v>
      </c>
      <c r="F9" s="27">
        <v>3428.45</v>
      </c>
      <c r="G9" s="28">
        <v>2.6599999999999999E-2</v>
      </c>
      <c r="H9" s="29"/>
    </row>
    <row r="10" spans="2:8" ht="15.75" customHeight="1" x14ac:dyDescent="0.2">
      <c r="B10" s="25" t="s">
        <v>149</v>
      </c>
      <c r="C10" s="25" t="s">
        <v>150</v>
      </c>
      <c r="D10" s="25" t="s">
        <v>136</v>
      </c>
      <c r="E10" s="26">
        <v>210896</v>
      </c>
      <c r="F10" s="27">
        <v>3407.55</v>
      </c>
      <c r="G10" s="28">
        <v>2.64E-2</v>
      </c>
      <c r="H10" s="29"/>
    </row>
    <row r="11" spans="2:8" ht="15.75" customHeight="1" x14ac:dyDescent="0.2">
      <c r="B11" s="25" t="s">
        <v>307</v>
      </c>
      <c r="C11" s="25" t="s">
        <v>308</v>
      </c>
      <c r="D11" s="25" t="s">
        <v>297</v>
      </c>
      <c r="E11" s="26">
        <v>115234</v>
      </c>
      <c r="F11" s="27">
        <v>2876.07</v>
      </c>
      <c r="G11" s="28">
        <v>2.23E-2</v>
      </c>
      <c r="H11" s="29"/>
    </row>
    <row r="12" spans="2:8" ht="15.75" customHeight="1" x14ac:dyDescent="0.2">
      <c r="B12" s="25" t="s">
        <v>542</v>
      </c>
      <c r="C12" s="25" t="s">
        <v>543</v>
      </c>
      <c r="D12" s="25" t="s">
        <v>178</v>
      </c>
      <c r="E12" s="26">
        <v>49855</v>
      </c>
      <c r="F12" s="27">
        <v>2508.65</v>
      </c>
      <c r="G12" s="28">
        <v>1.9400000000000001E-2</v>
      </c>
      <c r="H12" s="29"/>
    </row>
    <row r="13" spans="2:8" ht="15.75" customHeight="1" x14ac:dyDescent="0.2">
      <c r="B13" s="25" t="s">
        <v>287</v>
      </c>
      <c r="C13" s="25" t="s">
        <v>288</v>
      </c>
      <c r="D13" s="25" t="s">
        <v>136</v>
      </c>
      <c r="E13" s="26">
        <v>277477</v>
      </c>
      <c r="F13" s="27">
        <v>2420.71</v>
      </c>
      <c r="G13" s="28">
        <v>1.8800000000000001E-2</v>
      </c>
      <c r="H13" s="29"/>
    </row>
    <row r="14" spans="2:8" ht="15.75" customHeight="1" x14ac:dyDescent="0.2">
      <c r="B14" s="25" t="s">
        <v>300</v>
      </c>
      <c r="C14" s="25" t="s">
        <v>301</v>
      </c>
      <c r="D14" s="25" t="s">
        <v>269</v>
      </c>
      <c r="E14" s="26">
        <v>85585</v>
      </c>
      <c r="F14" s="27">
        <v>2376.48</v>
      </c>
      <c r="G14" s="28">
        <v>1.84E-2</v>
      </c>
      <c r="H14" s="29"/>
    </row>
    <row r="15" spans="2:8" ht="15.75" customHeight="1" x14ac:dyDescent="0.2">
      <c r="B15" s="25" t="s">
        <v>309</v>
      </c>
      <c r="C15" s="25" t="s">
        <v>310</v>
      </c>
      <c r="D15" s="25" t="s">
        <v>311</v>
      </c>
      <c r="E15" s="26">
        <v>858205</v>
      </c>
      <c r="F15" s="27">
        <v>2305.65</v>
      </c>
      <c r="G15" s="28">
        <v>1.7899999999999999E-2</v>
      </c>
      <c r="H15" s="29"/>
    </row>
    <row r="16" spans="2:8" ht="15.75" customHeight="1" x14ac:dyDescent="0.2">
      <c r="B16" s="25" t="s">
        <v>305</v>
      </c>
      <c r="C16" s="25" t="s">
        <v>306</v>
      </c>
      <c r="D16" s="25" t="s">
        <v>145</v>
      </c>
      <c r="E16" s="26">
        <v>38997</v>
      </c>
      <c r="F16" s="27">
        <v>2140.33</v>
      </c>
      <c r="G16" s="28">
        <v>1.66E-2</v>
      </c>
      <c r="H16" s="29"/>
    </row>
    <row r="17" spans="2:8" ht="15.75" customHeight="1" x14ac:dyDescent="0.2">
      <c r="B17" s="25" t="s">
        <v>320</v>
      </c>
      <c r="C17" s="25" t="s">
        <v>321</v>
      </c>
      <c r="D17" s="25" t="s">
        <v>172</v>
      </c>
      <c r="E17" s="26">
        <v>39391</v>
      </c>
      <c r="F17" s="27">
        <v>2091.4699999999998</v>
      </c>
      <c r="G17" s="28">
        <v>1.6199999999999999E-2</v>
      </c>
      <c r="H17" s="29"/>
    </row>
    <row r="18" spans="2:8" ht="15.75" customHeight="1" x14ac:dyDescent="0.2">
      <c r="B18" s="25" t="s">
        <v>143</v>
      </c>
      <c r="C18" s="25" t="s">
        <v>144</v>
      </c>
      <c r="D18" s="25" t="s">
        <v>145</v>
      </c>
      <c r="E18" s="26">
        <v>71178</v>
      </c>
      <c r="F18" s="27">
        <v>2069.71</v>
      </c>
      <c r="G18" s="28">
        <v>1.6E-2</v>
      </c>
      <c r="H18" s="29"/>
    </row>
    <row r="19" spans="2:8" ht="15.75" customHeight="1" x14ac:dyDescent="0.2">
      <c r="B19" s="25" t="s">
        <v>544</v>
      </c>
      <c r="C19" s="25" t="s">
        <v>545</v>
      </c>
      <c r="D19" s="25" t="s">
        <v>230</v>
      </c>
      <c r="E19" s="26">
        <v>461524</v>
      </c>
      <c r="F19" s="27">
        <v>2033.94</v>
      </c>
      <c r="G19" s="28">
        <v>1.5800000000000002E-2</v>
      </c>
      <c r="H19" s="29"/>
    </row>
    <row r="20" spans="2:8" ht="15.75" customHeight="1" x14ac:dyDescent="0.2">
      <c r="B20" s="25" t="s">
        <v>815</v>
      </c>
      <c r="C20" s="25" t="s">
        <v>816</v>
      </c>
      <c r="D20" s="25" t="s">
        <v>319</v>
      </c>
      <c r="E20" s="26">
        <v>247379</v>
      </c>
      <c r="F20" s="27">
        <v>2020.96</v>
      </c>
      <c r="G20" s="28">
        <v>1.5699999999999999E-2</v>
      </c>
      <c r="H20" s="29"/>
    </row>
    <row r="21" spans="2:8" ht="15.75" customHeight="1" x14ac:dyDescent="0.2">
      <c r="B21" s="25" t="s">
        <v>386</v>
      </c>
      <c r="C21" s="25" t="s">
        <v>387</v>
      </c>
      <c r="D21" s="25" t="s">
        <v>178</v>
      </c>
      <c r="E21" s="26">
        <v>123493</v>
      </c>
      <c r="F21" s="27">
        <v>1957.43</v>
      </c>
      <c r="G21" s="28">
        <v>1.52E-2</v>
      </c>
      <c r="H21" s="29"/>
    </row>
    <row r="22" spans="2:8" ht="15.75" customHeight="1" x14ac:dyDescent="0.2">
      <c r="B22" s="25" t="s">
        <v>234</v>
      </c>
      <c r="C22" s="25" t="s">
        <v>235</v>
      </c>
      <c r="D22" s="25" t="s">
        <v>145</v>
      </c>
      <c r="E22" s="26">
        <v>14882</v>
      </c>
      <c r="F22" s="27">
        <v>1951.89</v>
      </c>
      <c r="G22" s="28">
        <v>1.5100000000000001E-2</v>
      </c>
      <c r="H22" s="29"/>
    </row>
    <row r="23" spans="2:8" ht="15.75" customHeight="1" x14ac:dyDescent="0.2">
      <c r="B23" s="25" t="s">
        <v>236</v>
      </c>
      <c r="C23" s="25" t="s">
        <v>237</v>
      </c>
      <c r="D23" s="25" t="s">
        <v>139</v>
      </c>
      <c r="E23" s="26">
        <v>44442</v>
      </c>
      <c r="F23" s="27">
        <v>1948.94</v>
      </c>
      <c r="G23" s="28">
        <v>1.5100000000000001E-2</v>
      </c>
      <c r="H23" s="29"/>
    </row>
    <row r="24" spans="2:8" ht="15.75" customHeight="1" x14ac:dyDescent="0.2">
      <c r="B24" s="25" t="s">
        <v>727</v>
      </c>
      <c r="C24" s="25" t="s">
        <v>728</v>
      </c>
      <c r="D24" s="25" t="s">
        <v>729</v>
      </c>
      <c r="E24" s="26">
        <v>347711</v>
      </c>
      <c r="F24" s="27">
        <v>1926.32</v>
      </c>
      <c r="G24" s="28">
        <v>1.49E-2</v>
      </c>
      <c r="H24" s="29"/>
    </row>
    <row r="25" spans="2:8" ht="15.75" customHeight="1" x14ac:dyDescent="0.2">
      <c r="B25" s="25" t="s">
        <v>153</v>
      </c>
      <c r="C25" s="25" t="s">
        <v>154</v>
      </c>
      <c r="D25" s="25" t="s">
        <v>155</v>
      </c>
      <c r="E25" s="26">
        <v>63641</v>
      </c>
      <c r="F25" s="27">
        <v>1916.14</v>
      </c>
      <c r="G25" s="28">
        <v>1.49E-2</v>
      </c>
      <c r="H25" s="29"/>
    </row>
    <row r="26" spans="2:8" ht="15.75" customHeight="1" x14ac:dyDescent="0.2">
      <c r="B26" s="25" t="s">
        <v>404</v>
      </c>
      <c r="C26" s="25" t="s">
        <v>405</v>
      </c>
      <c r="D26" s="25" t="s">
        <v>266</v>
      </c>
      <c r="E26" s="26">
        <v>109811</v>
      </c>
      <c r="F26" s="27">
        <v>1903.57</v>
      </c>
      <c r="G26" s="28">
        <v>1.4800000000000001E-2</v>
      </c>
      <c r="H26" s="29"/>
    </row>
    <row r="27" spans="2:8" ht="15.75" customHeight="1" x14ac:dyDescent="0.2">
      <c r="B27" s="25" t="s">
        <v>315</v>
      </c>
      <c r="C27" s="25" t="s">
        <v>316</v>
      </c>
      <c r="D27" s="25" t="s">
        <v>212</v>
      </c>
      <c r="E27" s="26">
        <v>625313</v>
      </c>
      <c r="F27" s="27">
        <v>1896.26</v>
      </c>
      <c r="G27" s="28">
        <v>1.47E-2</v>
      </c>
      <c r="H27" s="29"/>
    </row>
    <row r="28" spans="2:8" ht="15.75" customHeight="1" x14ac:dyDescent="0.2">
      <c r="B28" s="25" t="s">
        <v>137</v>
      </c>
      <c r="C28" s="25" t="s">
        <v>138</v>
      </c>
      <c r="D28" s="25" t="s">
        <v>139</v>
      </c>
      <c r="E28" s="26">
        <v>101159</v>
      </c>
      <c r="F28" s="27">
        <v>1889.9</v>
      </c>
      <c r="G28" s="28">
        <v>1.46E-2</v>
      </c>
      <c r="H28" s="29"/>
    </row>
    <row r="29" spans="2:8" ht="15.75" customHeight="1" x14ac:dyDescent="0.2">
      <c r="B29" s="25" t="s">
        <v>608</v>
      </c>
      <c r="C29" s="25" t="s">
        <v>609</v>
      </c>
      <c r="D29" s="25" t="s">
        <v>266</v>
      </c>
      <c r="E29" s="26">
        <v>42756</v>
      </c>
      <c r="F29" s="27">
        <v>1824.55</v>
      </c>
      <c r="G29" s="28">
        <v>1.41E-2</v>
      </c>
      <c r="H29" s="29"/>
    </row>
    <row r="30" spans="2:8" ht="15.75" customHeight="1" x14ac:dyDescent="0.2">
      <c r="B30" s="25" t="s">
        <v>509</v>
      </c>
      <c r="C30" s="25" t="s">
        <v>510</v>
      </c>
      <c r="D30" s="25" t="s">
        <v>311</v>
      </c>
      <c r="E30" s="26">
        <v>53593</v>
      </c>
      <c r="F30" s="27">
        <v>1816.24</v>
      </c>
      <c r="G30" s="28">
        <v>1.41E-2</v>
      </c>
      <c r="H30" s="29"/>
    </row>
    <row r="31" spans="2:8" ht="15.75" customHeight="1" x14ac:dyDescent="0.2">
      <c r="B31" s="25" t="s">
        <v>394</v>
      </c>
      <c r="C31" s="25" t="s">
        <v>395</v>
      </c>
      <c r="D31" s="25" t="s">
        <v>220</v>
      </c>
      <c r="E31" s="26">
        <v>780873</v>
      </c>
      <c r="F31" s="27">
        <v>1791.71</v>
      </c>
      <c r="G31" s="28">
        <v>1.3899999999999999E-2</v>
      </c>
      <c r="H31" s="29"/>
    </row>
    <row r="32" spans="2:8" ht="15.75" customHeight="1" x14ac:dyDescent="0.2">
      <c r="B32" s="25" t="s">
        <v>774</v>
      </c>
      <c r="C32" s="25" t="s">
        <v>775</v>
      </c>
      <c r="D32" s="25" t="s">
        <v>217</v>
      </c>
      <c r="E32" s="26">
        <v>155446</v>
      </c>
      <c r="F32" s="27">
        <v>1768.04</v>
      </c>
      <c r="G32" s="28">
        <v>1.37E-2</v>
      </c>
      <c r="H32" s="29"/>
    </row>
    <row r="33" spans="2:8" ht="15.75" customHeight="1" x14ac:dyDescent="0.2">
      <c r="B33" s="25" t="s">
        <v>598</v>
      </c>
      <c r="C33" s="25" t="s">
        <v>599</v>
      </c>
      <c r="D33" s="25" t="s">
        <v>266</v>
      </c>
      <c r="E33" s="26">
        <v>165956</v>
      </c>
      <c r="F33" s="27">
        <v>1727.6</v>
      </c>
      <c r="G33" s="28">
        <v>1.34E-2</v>
      </c>
      <c r="H33" s="29"/>
    </row>
    <row r="34" spans="2:8" ht="15.75" customHeight="1" x14ac:dyDescent="0.2">
      <c r="B34" s="25" t="s">
        <v>414</v>
      </c>
      <c r="C34" s="25" t="s">
        <v>415</v>
      </c>
      <c r="D34" s="25" t="s">
        <v>266</v>
      </c>
      <c r="E34" s="26">
        <v>873965</v>
      </c>
      <c r="F34" s="27">
        <v>1717.95</v>
      </c>
      <c r="G34" s="28">
        <v>1.3299999999999999E-2</v>
      </c>
      <c r="H34" s="29"/>
    </row>
    <row r="35" spans="2:8" ht="15.75" customHeight="1" x14ac:dyDescent="0.2">
      <c r="B35" s="25" t="s">
        <v>489</v>
      </c>
      <c r="C35" s="25" t="s">
        <v>490</v>
      </c>
      <c r="D35" s="25" t="s">
        <v>254</v>
      </c>
      <c r="E35" s="26">
        <v>103290</v>
      </c>
      <c r="F35" s="27">
        <v>1716.68</v>
      </c>
      <c r="G35" s="28">
        <v>1.3299999999999999E-2</v>
      </c>
      <c r="H35" s="29"/>
    </row>
    <row r="36" spans="2:8" ht="15.75" customHeight="1" x14ac:dyDescent="0.2">
      <c r="B36" s="25" t="s">
        <v>446</v>
      </c>
      <c r="C36" s="25" t="s">
        <v>447</v>
      </c>
      <c r="D36" s="25" t="s">
        <v>202</v>
      </c>
      <c r="E36" s="26">
        <v>93997</v>
      </c>
      <c r="F36" s="27">
        <v>1706.89</v>
      </c>
      <c r="G36" s="28">
        <v>1.32E-2</v>
      </c>
      <c r="H36" s="29"/>
    </row>
    <row r="37" spans="2:8" ht="15.75" customHeight="1" x14ac:dyDescent="0.2">
      <c r="B37" s="25" t="s">
        <v>434</v>
      </c>
      <c r="C37" s="25" t="s">
        <v>435</v>
      </c>
      <c r="D37" s="25" t="s">
        <v>436</v>
      </c>
      <c r="E37" s="26">
        <v>294903</v>
      </c>
      <c r="F37" s="27">
        <v>1703.21</v>
      </c>
      <c r="G37" s="28">
        <v>1.32E-2</v>
      </c>
      <c r="H37" s="29"/>
    </row>
    <row r="38" spans="2:8" ht="15.75" customHeight="1" x14ac:dyDescent="0.2">
      <c r="B38" s="25" t="s">
        <v>151</v>
      </c>
      <c r="C38" s="25" t="s">
        <v>152</v>
      </c>
      <c r="D38" s="25" t="s">
        <v>139</v>
      </c>
      <c r="E38" s="26">
        <v>29858</v>
      </c>
      <c r="F38" s="27">
        <v>1689.41</v>
      </c>
      <c r="G38" s="28">
        <v>1.3100000000000001E-2</v>
      </c>
      <c r="H38" s="29"/>
    </row>
    <row r="39" spans="2:8" ht="15.75" customHeight="1" x14ac:dyDescent="0.2">
      <c r="B39" s="25" t="s">
        <v>572</v>
      </c>
      <c r="C39" s="25" t="s">
        <v>573</v>
      </c>
      <c r="D39" s="25" t="s">
        <v>233</v>
      </c>
      <c r="E39" s="26">
        <v>518284</v>
      </c>
      <c r="F39" s="27">
        <v>1685.72</v>
      </c>
      <c r="G39" s="28">
        <v>1.3100000000000001E-2</v>
      </c>
      <c r="H39" s="29"/>
    </row>
    <row r="40" spans="2:8" ht="15.75" customHeight="1" x14ac:dyDescent="0.2">
      <c r="B40" s="25" t="s">
        <v>612</v>
      </c>
      <c r="C40" s="25" t="s">
        <v>613</v>
      </c>
      <c r="D40" s="25" t="s">
        <v>254</v>
      </c>
      <c r="E40" s="26">
        <v>38020</v>
      </c>
      <c r="F40" s="27">
        <v>1684.57</v>
      </c>
      <c r="G40" s="28">
        <v>1.3100000000000001E-2</v>
      </c>
      <c r="H40" s="29"/>
    </row>
    <row r="41" spans="2:8" ht="15.75" customHeight="1" x14ac:dyDescent="0.2">
      <c r="B41" s="25" t="s">
        <v>725</v>
      </c>
      <c r="C41" s="25" t="s">
        <v>726</v>
      </c>
      <c r="D41" s="25" t="s">
        <v>254</v>
      </c>
      <c r="E41" s="26">
        <v>202588</v>
      </c>
      <c r="F41" s="27">
        <v>1663.04</v>
      </c>
      <c r="G41" s="28">
        <v>1.29E-2</v>
      </c>
      <c r="H41" s="29"/>
    </row>
    <row r="42" spans="2:8" ht="15.75" customHeight="1" x14ac:dyDescent="0.2">
      <c r="B42" s="25" t="s">
        <v>561</v>
      </c>
      <c r="C42" s="25" t="s">
        <v>562</v>
      </c>
      <c r="D42" s="25" t="s">
        <v>352</v>
      </c>
      <c r="E42" s="26">
        <v>239069</v>
      </c>
      <c r="F42" s="27">
        <v>1630.81</v>
      </c>
      <c r="G42" s="28">
        <v>1.26E-2</v>
      </c>
      <c r="H42" s="29"/>
    </row>
    <row r="43" spans="2:8" ht="15.75" customHeight="1" x14ac:dyDescent="0.2">
      <c r="B43" s="25" t="s">
        <v>422</v>
      </c>
      <c r="C43" s="25" t="s">
        <v>423</v>
      </c>
      <c r="D43" s="25" t="s">
        <v>148</v>
      </c>
      <c r="E43" s="26">
        <v>225616</v>
      </c>
      <c r="F43" s="27">
        <v>1613.61</v>
      </c>
      <c r="G43" s="28">
        <v>1.2500000000000001E-2</v>
      </c>
      <c r="H43" s="29"/>
    </row>
    <row r="44" spans="2:8" ht="15.75" customHeight="1" x14ac:dyDescent="0.2">
      <c r="B44" s="25" t="s">
        <v>289</v>
      </c>
      <c r="C44" s="25" t="s">
        <v>290</v>
      </c>
      <c r="D44" s="25" t="s">
        <v>136</v>
      </c>
      <c r="E44" s="26">
        <v>89154</v>
      </c>
      <c r="F44" s="27">
        <v>1611.82</v>
      </c>
      <c r="G44" s="28">
        <v>1.2500000000000001E-2</v>
      </c>
      <c r="H44" s="29"/>
    </row>
    <row r="45" spans="2:8" ht="15.75" customHeight="1" x14ac:dyDescent="0.2">
      <c r="B45" s="25" t="s">
        <v>570</v>
      </c>
      <c r="C45" s="25" t="s">
        <v>571</v>
      </c>
      <c r="D45" s="25" t="s">
        <v>497</v>
      </c>
      <c r="E45" s="26">
        <v>3798</v>
      </c>
      <c r="F45" s="27">
        <v>1610.23</v>
      </c>
      <c r="G45" s="28">
        <v>1.2500000000000001E-2</v>
      </c>
      <c r="H45" s="29"/>
    </row>
    <row r="46" spans="2:8" ht="15.75" customHeight="1" x14ac:dyDescent="0.2">
      <c r="B46" s="25" t="s">
        <v>312</v>
      </c>
      <c r="C46" s="25" t="s">
        <v>313</v>
      </c>
      <c r="D46" s="25" t="s">
        <v>314</v>
      </c>
      <c r="E46" s="26">
        <v>192416</v>
      </c>
      <c r="F46" s="27">
        <v>1554.34</v>
      </c>
      <c r="G46" s="28">
        <v>1.2E-2</v>
      </c>
      <c r="H46" s="29"/>
    </row>
    <row r="47" spans="2:8" ht="15.75" customHeight="1" x14ac:dyDescent="0.2">
      <c r="B47" s="25" t="s">
        <v>536</v>
      </c>
      <c r="C47" s="25" t="s">
        <v>537</v>
      </c>
      <c r="D47" s="25" t="s">
        <v>352</v>
      </c>
      <c r="E47" s="26">
        <v>90929</v>
      </c>
      <c r="F47" s="27">
        <v>1551.98</v>
      </c>
      <c r="G47" s="28">
        <v>1.2E-2</v>
      </c>
      <c r="H47" s="29"/>
    </row>
    <row r="48" spans="2:8" ht="15.75" customHeight="1" x14ac:dyDescent="0.2">
      <c r="B48" s="25" t="s">
        <v>408</v>
      </c>
      <c r="C48" s="25" t="s">
        <v>409</v>
      </c>
      <c r="D48" s="25" t="s">
        <v>297</v>
      </c>
      <c r="E48" s="26">
        <v>34612</v>
      </c>
      <c r="F48" s="27">
        <v>1498.65</v>
      </c>
      <c r="G48" s="28">
        <v>1.1599999999999999E-2</v>
      </c>
      <c r="H48" s="29"/>
    </row>
    <row r="49" spans="2:8" ht="15.75" customHeight="1" x14ac:dyDescent="0.2">
      <c r="B49" s="25" t="s">
        <v>634</v>
      </c>
      <c r="C49" s="25" t="s">
        <v>635</v>
      </c>
      <c r="D49" s="25" t="s">
        <v>497</v>
      </c>
      <c r="E49" s="26">
        <v>165498</v>
      </c>
      <c r="F49" s="27">
        <v>1439.67</v>
      </c>
      <c r="G49" s="28">
        <v>1.12E-2</v>
      </c>
      <c r="H49" s="29"/>
    </row>
    <row r="50" spans="2:8" ht="15.75" customHeight="1" x14ac:dyDescent="0.2">
      <c r="B50" s="25" t="s">
        <v>600</v>
      </c>
      <c r="C50" s="25" t="s">
        <v>601</v>
      </c>
      <c r="D50" s="25" t="s">
        <v>136</v>
      </c>
      <c r="E50" s="26">
        <v>696412</v>
      </c>
      <c r="F50" s="27">
        <v>1402.5</v>
      </c>
      <c r="G50" s="28">
        <v>1.09E-2</v>
      </c>
      <c r="H50" s="29"/>
    </row>
    <row r="51" spans="2:8" ht="15.75" customHeight="1" x14ac:dyDescent="0.2">
      <c r="B51" s="25" t="s">
        <v>604</v>
      </c>
      <c r="C51" s="25" t="s">
        <v>605</v>
      </c>
      <c r="D51" s="25" t="s">
        <v>266</v>
      </c>
      <c r="E51" s="26">
        <v>41909</v>
      </c>
      <c r="F51" s="27">
        <v>1392.76</v>
      </c>
      <c r="G51" s="28">
        <v>1.0800000000000001E-2</v>
      </c>
      <c r="H51" s="29"/>
    </row>
    <row r="52" spans="2:8" ht="15.75" customHeight="1" x14ac:dyDescent="0.2">
      <c r="B52" s="25" t="s">
        <v>507</v>
      </c>
      <c r="C52" s="25" t="s">
        <v>508</v>
      </c>
      <c r="D52" s="25" t="s">
        <v>172</v>
      </c>
      <c r="E52" s="26">
        <v>79086</v>
      </c>
      <c r="F52" s="27">
        <v>1359.77</v>
      </c>
      <c r="G52" s="28">
        <v>1.0500000000000001E-2</v>
      </c>
      <c r="H52" s="29"/>
    </row>
    <row r="53" spans="2:8" ht="15.75" customHeight="1" x14ac:dyDescent="0.2">
      <c r="B53" s="25" t="s">
        <v>398</v>
      </c>
      <c r="C53" s="25" t="s">
        <v>399</v>
      </c>
      <c r="D53" s="25" t="s">
        <v>178</v>
      </c>
      <c r="E53" s="26">
        <v>325594</v>
      </c>
      <c r="F53" s="27">
        <v>1352.52</v>
      </c>
      <c r="G53" s="28">
        <v>1.0500000000000001E-2</v>
      </c>
      <c r="H53" s="29"/>
    </row>
    <row r="54" spans="2:8" ht="15.75" customHeight="1" x14ac:dyDescent="0.2">
      <c r="B54" s="25" t="s">
        <v>392</v>
      </c>
      <c r="C54" s="25" t="s">
        <v>393</v>
      </c>
      <c r="D54" s="25" t="s">
        <v>311</v>
      </c>
      <c r="E54" s="26">
        <v>351825</v>
      </c>
      <c r="F54" s="27">
        <v>1296.3</v>
      </c>
      <c r="G54" s="28">
        <v>0.01</v>
      </c>
      <c r="H54" s="29"/>
    </row>
    <row r="55" spans="2:8" ht="15.75" customHeight="1" x14ac:dyDescent="0.2">
      <c r="B55" s="25" t="s">
        <v>772</v>
      </c>
      <c r="C55" s="25" t="s">
        <v>773</v>
      </c>
      <c r="D55" s="25" t="s">
        <v>314</v>
      </c>
      <c r="E55" s="26">
        <v>281921</v>
      </c>
      <c r="F55" s="27">
        <v>1293.45</v>
      </c>
      <c r="G55" s="28">
        <v>0.01</v>
      </c>
      <c r="H55" s="29"/>
    </row>
    <row r="56" spans="2:8" ht="15.75" customHeight="1" x14ac:dyDescent="0.2">
      <c r="B56" s="25" t="s">
        <v>920</v>
      </c>
      <c r="C56" s="25" t="s">
        <v>921</v>
      </c>
      <c r="D56" s="25" t="s">
        <v>187</v>
      </c>
      <c r="E56" s="26">
        <v>135344</v>
      </c>
      <c r="F56" s="27">
        <v>1289.76</v>
      </c>
      <c r="G56" s="28">
        <v>0.01</v>
      </c>
      <c r="H56" s="29"/>
    </row>
    <row r="57" spans="2:8" ht="15.75" customHeight="1" x14ac:dyDescent="0.2">
      <c r="B57" s="25" t="s">
        <v>766</v>
      </c>
      <c r="C57" s="25" t="s">
        <v>767</v>
      </c>
      <c r="D57" s="25" t="s">
        <v>178</v>
      </c>
      <c r="E57" s="26">
        <v>160356</v>
      </c>
      <c r="F57" s="27">
        <v>1287.9000000000001</v>
      </c>
      <c r="G57" s="28">
        <v>0.01</v>
      </c>
      <c r="H57" s="29"/>
    </row>
    <row r="58" spans="2:8" ht="15.75" customHeight="1" x14ac:dyDescent="0.2">
      <c r="B58" s="25" t="s">
        <v>900</v>
      </c>
      <c r="C58" s="25" t="s">
        <v>901</v>
      </c>
      <c r="D58" s="25" t="s">
        <v>207</v>
      </c>
      <c r="E58" s="26">
        <v>183275</v>
      </c>
      <c r="F58" s="27">
        <v>1244.25</v>
      </c>
      <c r="G58" s="28">
        <v>9.5999999999999992E-3</v>
      </c>
      <c r="H58" s="29"/>
    </row>
    <row r="59" spans="2:8" ht="15.75" customHeight="1" x14ac:dyDescent="0.2">
      <c r="B59" s="25" t="s">
        <v>636</v>
      </c>
      <c r="C59" s="25" t="s">
        <v>637</v>
      </c>
      <c r="D59" s="25" t="s">
        <v>139</v>
      </c>
      <c r="E59" s="26">
        <v>19717</v>
      </c>
      <c r="F59" s="27">
        <v>1243.26</v>
      </c>
      <c r="G59" s="28">
        <v>9.5999999999999992E-3</v>
      </c>
      <c r="H59" s="29"/>
    </row>
    <row r="60" spans="2:8" ht="15.75" customHeight="1" x14ac:dyDescent="0.2">
      <c r="B60" s="25" t="s">
        <v>538</v>
      </c>
      <c r="C60" s="25" t="s">
        <v>539</v>
      </c>
      <c r="D60" s="25" t="s">
        <v>297</v>
      </c>
      <c r="E60" s="26">
        <v>200785</v>
      </c>
      <c r="F60" s="27">
        <v>1225.19</v>
      </c>
      <c r="G60" s="28">
        <v>9.4999999999999998E-3</v>
      </c>
      <c r="H60" s="29"/>
    </row>
    <row r="61" spans="2:8" ht="15.75" customHeight="1" x14ac:dyDescent="0.2">
      <c r="B61" s="25" t="s">
        <v>424</v>
      </c>
      <c r="C61" s="25" t="s">
        <v>425</v>
      </c>
      <c r="D61" s="25" t="s">
        <v>220</v>
      </c>
      <c r="E61" s="26">
        <v>238957</v>
      </c>
      <c r="F61" s="27">
        <v>1222.98</v>
      </c>
      <c r="G61" s="28">
        <v>9.4999999999999998E-3</v>
      </c>
      <c r="H61" s="29"/>
    </row>
    <row r="62" spans="2:8" ht="15.75" customHeight="1" x14ac:dyDescent="0.2">
      <c r="B62" s="25" t="s">
        <v>918</v>
      </c>
      <c r="C62" s="25" t="s">
        <v>919</v>
      </c>
      <c r="D62" s="25" t="s">
        <v>336</v>
      </c>
      <c r="E62" s="26">
        <v>193353</v>
      </c>
      <c r="F62" s="27">
        <v>1171.9100000000001</v>
      </c>
      <c r="G62" s="28">
        <v>9.1000000000000004E-3</v>
      </c>
      <c r="H62" s="29"/>
    </row>
    <row r="63" spans="2:8" ht="15.75" customHeight="1" x14ac:dyDescent="0.2">
      <c r="B63" s="25" t="s">
        <v>621</v>
      </c>
      <c r="C63" s="25" t="s">
        <v>622</v>
      </c>
      <c r="D63" s="25" t="s">
        <v>623</v>
      </c>
      <c r="E63" s="26">
        <v>27860</v>
      </c>
      <c r="F63" s="27">
        <v>1162.71</v>
      </c>
      <c r="G63" s="28">
        <v>8.9999999999999993E-3</v>
      </c>
      <c r="H63" s="29"/>
    </row>
    <row r="64" spans="2:8" ht="15.75" customHeight="1" x14ac:dyDescent="0.2">
      <c r="B64" s="25" t="s">
        <v>388</v>
      </c>
      <c r="C64" s="25" t="s">
        <v>389</v>
      </c>
      <c r="D64" s="25" t="s">
        <v>178</v>
      </c>
      <c r="E64" s="26">
        <v>71097</v>
      </c>
      <c r="F64" s="27">
        <v>1157.17</v>
      </c>
      <c r="G64" s="28">
        <v>8.9999999999999993E-3</v>
      </c>
      <c r="H64" s="29"/>
    </row>
    <row r="65" spans="2:14" ht="15.75" customHeight="1" x14ac:dyDescent="0.2">
      <c r="B65" s="25" t="s">
        <v>552</v>
      </c>
      <c r="C65" s="25" t="s">
        <v>553</v>
      </c>
      <c r="D65" s="25" t="s">
        <v>554</v>
      </c>
      <c r="E65" s="26">
        <v>169862</v>
      </c>
      <c r="F65" s="27">
        <v>1146.57</v>
      </c>
      <c r="G65" s="28">
        <v>8.8999999999999999E-3</v>
      </c>
      <c r="H65" s="29"/>
    </row>
    <row r="66" spans="2:14" ht="15.75" customHeight="1" x14ac:dyDescent="0.2">
      <c r="B66" s="25" t="s">
        <v>291</v>
      </c>
      <c r="C66" s="25" t="s">
        <v>292</v>
      </c>
      <c r="D66" s="25" t="s">
        <v>136</v>
      </c>
      <c r="E66" s="26">
        <v>97555</v>
      </c>
      <c r="F66" s="27">
        <v>1137.5899999999999</v>
      </c>
      <c r="G66" s="28">
        <v>8.8000000000000005E-3</v>
      </c>
      <c r="H66" s="29"/>
    </row>
    <row r="67" spans="2:14" ht="15.75" customHeight="1" x14ac:dyDescent="0.2">
      <c r="B67" s="25" t="s">
        <v>322</v>
      </c>
      <c r="C67" s="25" t="s">
        <v>323</v>
      </c>
      <c r="D67" s="25" t="s">
        <v>233</v>
      </c>
      <c r="E67" s="26">
        <v>42207</v>
      </c>
      <c r="F67" s="27">
        <v>1116.33</v>
      </c>
      <c r="G67" s="28">
        <v>8.6999999999999994E-3</v>
      </c>
      <c r="H67" s="29"/>
    </row>
    <row r="68" spans="2:14" ht="15.75" customHeight="1" x14ac:dyDescent="0.2">
      <c r="B68" s="25" t="s">
        <v>360</v>
      </c>
      <c r="C68" s="25" t="s">
        <v>361</v>
      </c>
      <c r="D68" s="25" t="s">
        <v>207</v>
      </c>
      <c r="E68" s="26">
        <v>326665</v>
      </c>
      <c r="F68" s="27">
        <v>1108.21</v>
      </c>
      <c r="G68" s="28">
        <v>8.6E-3</v>
      </c>
      <c r="H68" s="29"/>
      <c r="J68" s="3"/>
    </row>
    <row r="69" spans="2:14" ht="15.75" customHeight="1" x14ac:dyDescent="0.2">
      <c r="B69" s="25" t="s">
        <v>364</v>
      </c>
      <c r="C69" s="25" t="s">
        <v>365</v>
      </c>
      <c r="D69" s="25" t="s">
        <v>297</v>
      </c>
      <c r="E69" s="26">
        <v>75049</v>
      </c>
      <c r="F69" s="27">
        <v>1074.5899999999999</v>
      </c>
      <c r="G69" s="28">
        <v>8.3000000000000001E-3</v>
      </c>
      <c r="H69" s="29"/>
    </row>
    <row r="70" spans="2:14" ht="15.75" customHeight="1" x14ac:dyDescent="0.2">
      <c r="B70" s="25" t="s">
        <v>285</v>
      </c>
      <c r="C70" s="25" t="s">
        <v>286</v>
      </c>
      <c r="D70" s="25" t="s">
        <v>142</v>
      </c>
      <c r="E70" s="26">
        <v>215041</v>
      </c>
      <c r="F70" s="27">
        <v>1065.21</v>
      </c>
      <c r="G70" s="28">
        <v>8.3000000000000001E-3</v>
      </c>
      <c r="H70" s="29"/>
      <c r="J70" s="3"/>
    </row>
    <row r="71" spans="2:14" ht="15.75" customHeight="1" x14ac:dyDescent="0.2">
      <c r="B71" s="25" t="s">
        <v>723</v>
      </c>
      <c r="C71" s="25" t="s">
        <v>724</v>
      </c>
      <c r="D71" s="25" t="s">
        <v>178</v>
      </c>
      <c r="E71" s="26">
        <v>203118</v>
      </c>
      <c r="F71" s="27">
        <v>1060.17</v>
      </c>
      <c r="G71" s="28">
        <v>8.2000000000000007E-3</v>
      </c>
      <c r="H71" s="29"/>
      <c r="J71" s="3"/>
    </row>
    <row r="72" spans="2:14" ht="15.75" customHeight="1" x14ac:dyDescent="0.2">
      <c r="B72" s="25" t="s">
        <v>505</v>
      </c>
      <c r="C72" s="25" t="s">
        <v>506</v>
      </c>
      <c r="D72" s="25" t="s">
        <v>155</v>
      </c>
      <c r="E72" s="26">
        <v>166411</v>
      </c>
      <c r="F72" s="27">
        <v>1034.08</v>
      </c>
      <c r="G72" s="28">
        <v>8.0000000000000002E-3</v>
      </c>
      <c r="H72" s="29"/>
      <c r="J72" s="3"/>
    </row>
    <row r="73" spans="2:14" ht="15.75" customHeight="1" x14ac:dyDescent="0.2">
      <c r="B73" s="25" t="s">
        <v>469</v>
      </c>
      <c r="C73" s="25" t="s">
        <v>470</v>
      </c>
      <c r="D73" s="25" t="s">
        <v>136</v>
      </c>
      <c r="E73" s="26">
        <v>782184</v>
      </c>
      <c r="F73" s="27">
        <v>988.99</v>
      </c>
      <c r="G73" s="28">
        <v>7.7000000000000002E-3</v>
      </c>
      <c r="H73" s="29"/>
      <c r="J73" s="3"/>
    </row>
    <row r="74" spans="2:14" ht="15.75" customHeight="1" x14ac:dyDescent="0.2">
      <c r="B74" s="25" t="s">
        <v>402</v>
      </c>
      <c r="C74" s="25" t="s">
        <v>403</v>
      </c>
      <c r="D74" s="25" t="s">
        <v>187</v>
      </c>
      <c r="E74" s="26">
        <v>28390</v>
      </c>
      <c r="F74" s="27">
        <v>982</v>
      </c>
      <c r="G74" s="28">
        <v>7.6E-3</v>
      </c>
      <c r="H74" s="29"/>
      <c r="J74" s="3"/>
    </row>
    <row r="75" spans="2:14" ht="15.75" customHeight="1" x14ac:dyDescent="0.2">
      <c r="B75" s="25" t="s">
        <v>703</v>
      </c>
      <c r="C75" s="25" t="s">
        <v>704</v>
      </c>
      <c r="D75" s="25" t="s">
        <v>233</v>
      </c>
      <c r="E75" s="26">
        <v>25332</v>
      </c>
      <c r="F75" s="27">
        <v>962.86</v>
      </c>
      <c r="G75" s="28">
        <v>7.4999999999999997E-3</v>
      </c>
      <c r="H75" s="29"/>
      <c r="J75" s="5"/>
      <c r="K75" s="5"/>
      <c r="L75" s="6"/>
      <c r="M75" s="6"/>
      <c r="N75" s="5"/>
    </row>
    <row r="76" spans="2:14" ht="15.75" customHeight="1" x14ac:dyDescent="0.2">
      <c r="B76" s="25" t="s">
        <v>355</v>
      </c>
      <c r="C76" s="25" t="s">
        <v>356</v>
      </c>
      <c r="D76" s="25" t="s">
        <v>136</v>
      </c>
      <c r="E76" s="26">
        <v>723141</v>
      </c>
      <c r="F76" s="27">
        <v>909.71</v>
      </c>
      <c r="G76" s="28">
        <v>7.1000000000000004E-3</v>
      </c>
      <c r="H76" s="29"/>
    </row>
    <row r="77" spans="2:14" ht="15.75" customHeight="1" x14ac:dyDescent="0.2">
      <c r="B77" s="25" t="s">
        <v>922</v>
      </c>
      <c r="C77" s="25" t="s">
        <v>923</v>
      </c>
      <c r="D77" s="25" t="s">
        <v>187</v>
      </c>
      <c r="E77" s="26">
        <v>100001</v>
      </c>
      <c r="F77" s="27">
        <v>778.51</v>
      </c>
      <c r="G77" s="28">
        <v>6.0000000000000001E-3</v>
      </c>
      <c r="H77" s="29"/>
    </row>
    <row r="78" spans="2:14" ht="15.75" customHeight="1" x14ac:dyDescent="0.2">
      <c r="B78" s="25" t="s">
        <v>302</v>
      </c>
      <c r="C78" s="25" t="s">
        <v>303</v>
      </c>
      <c r="D78" s="25" t="s">
        <v>304</v>
      </c>
      <c r="E78" s="26">
        <v>223465</v>
      </c>
      <c r="F78" s="27">
        <v>691.85</v>
      </c>
      <c r="G78" s="28">
        <v>5.4000000000000003E-3</v>
      </c>
      <c r="H78" s="29"/>
      <c r="J78" s="7"/>
      <c r="K78" s="7"/>
      <c r="L78" s="7"/>
      <c r="M78" s="7"/>
      <c r="N78" s="7"/>
    </row>
    <row r="79" spans="2:14" ht="15.75" customHeight="1" x14ac:dyDescent="0.2">
      <c r="B79" s="25" t="s">
        <v>513</v>
      </c>
      <c r="C79" s="25" t="s">
        <v>514</v>
      </c>
      <c r="D79" s="25" t="s">
        <v>187</v>
      </c>
      <c r="E79" s="26">
        <v>151550</v>
      </c>
      <c r="F79" s="27">
        <v>678.34</v>
      </c>
      <c r="G79" s="28">
        <v>5.3E-3</v>
      </c>
      <c r="H79" s="29"/>
      <c r="J79" s="7"/>
      <c r="K79" s="7"/>
      <c r="L79" s="7"/>
      <c r="M79" s="7"/>
      <c r="N79" s="7"/>
    </row>
    <row r="80" spans="2:14" ht="15.75" customHeight="1" x14ac:dyDescent="0.2">
      <c r="B80" s="25" t="s">
        <v>800</v>
      </c>
      <c r="C80" s="25" t="s">
        <v>801</v>
      </c>
      <c r="D80" s="25" t="s">
        <v>266</v>
      </c>
      <c r="E80" s="26">
        <v>90082</v>
      </c>
      <c r="F80" s="27">
        <v>603.32000000000005</v>
      </c>
      <c r="G80" s="28">
        <v>4.7000000000000002E-3</v>
      </c>
      <c r="H80" s="29"/>
      <c r="J80" s="7"/>
      <c r="K80" s="7"/>
      <c r="L80" s="7"/>
      <c r="M80" s="7"/>
      <c r="N80" s="7"/>
    </row>
    <row r="81" spans="2:14" ht="15.75" customHeight="1" x14ac:dyDescent="0.2">
      <c r="B81" s="25" t="s">
        <v>924</v>
      </c>
      <c r="C81" s="25" t="s">
        <v>925</v>
      </c>
      <c r="D81" s="25" t="s">
        <v>220</v>
      </c>
      <c r="E81" s="26">
        <v>48599</v>
      </c>
      <c r="F81" s="27">
        <v>559.16</v>
      </c>
      <c r="G81" s="28">
        <v>4.3E-3</v>
      </c>
      <c r="H81" s="29"/>
      <c r="J81" s="7"/>
      <c r="K81" s="7"/>
      <c r="L81" s="7"/>
      <c r="M81" s="7"/>
      <c r="N81" s="7"/>
    </row>
    <row r="82" spans="2:14" ht="15.75" customHeight="1" x14ac:dyDescent="0.2">
      <c r="B82" s="25" t="s">
        <v>648</v>
      </c>
      <c r="C82" s="25" t="s">
        <v>649</v>
      </c>
      <c r="D82" s="25" t="s">
        <v>297</v>
      </c>
      <c r="E82" s="26">
        <v>43494</v>
      </c>
      <c r="F82" s="27">
        <v>536.79999999999995</v>
      </c>
      <c r="G82" s="28">
        <v>4.1999999999999997E-3</v>
      </c>
      <c r="H82" s="29"/>
      <c r="J82" s="7"/>
      <c r="K82" s="7"/>
      <c r="L82" s="7"/>
      <c r="M82" s="7"/>
      <c r="N82" s="7"/>
    </row>
    <row r="83" spans="2:14" ht="15.75" customHeight="1" x14ac:dyDescent="0.2">
      <c r="B83" s="25" t="s">
        <v>630</v>
      </c>
      <c r="C83" s="25" t="s">
        <v>631</v>
      </c>
      <c r="D83" s="25" t="s">
        <v>187</v>
      </c>
      <c r="E83" s="26">
        <v>37389</v>
      </c>
      <c r="F83" s="27">
        <v>505.44</v>
      </c>
      <c r="G83" s="28">
        <v>3.8999999999999998E-3</v>
      </c>
      <c r="H83" s="29"/>
      <c r="J83" s="7"/>
      <c r="K83" s="7"/>
      <c r="L83" s="7"/>
      <c r="M83" s="7"/>
      <c r="N83" s="7"/>
    </row>
    <row r="84" spans="2:14" ht="15.75" customHeight="1" x14ac:dyDescent="0.2">
      <c r="B84" s="24" t="s">
        <v>104</v>
      </c>
      <c r="C84" s="24"/>
      <c r="D84" s="24"/>
      <c r="E84" s="30"/>
      <c r="F84" s="31">
        <v>125136.89</v>
      </c>
      <c r="G84" s="32">
        <v>0.96989999999999998</v>
      </c>
      <c r="H84" s="33"/>
      <c r="J84" s="7"/>
      <c r="K84" s="7"/>
      <c r="L84" s="7"/>
      <c r="M84" s="7"/>
      <c r="N84" s="7"/>
    </row>
    <row r="85" spans="2:14" ht="15.75" customHeight="1" x14ac:dyDescent="0.2">
      <c r="B85" s="24" t="s">
        <v>156</v>
      </c>
      <c r="C85" s="25"/>
      <c r="D85" s="25"/>
      <c r="E85" s="26"/>
      <c r="F85" s="27"/>
      <c r="G85" s="28"/>
      <c r="H85" s="29"/>
    </row>
    <row r="86" spans="2:14" ht="15.75" customHeight="1" x14ac:dyDescent="0.2">
      <c r="B86" s="24" t="s">
        <v>104</v>
      </c>
      <c r="C86" s="25"/>
      <c r="D86" s="25"/>
      <c r="E86" s="26"/>
      <c r="F86" s="34" t="s">
        <v>106</v>
      </c>
      <c r="G86" s="35" t="s">
        <v>106</v>
      </c>
      <c r="H86" s="29"/>
      <c r="J86" s="3"/>
    </row>
    <row r="87" spans="2:14" ht="15.75" customHeight="1" x14ac:dyDescent="0.2">
      <c r="B87" s="25"/>
      <c r="C87" s="25"/>
      <c r="D87" s="25"/>
      <c r="E87" s="26"/>
      <c r="F87" s="27"/>
      <c r="G87" s="28"/>
      <c r="H87" s="29"/>
    </row>
    <row r="88" spans="2:14" ht="15.75" customHeight="1" x14ac:dyDescent="0.2">
      <c r="B88" s="36" t="s">
        <v>108</v>
      </c>
      <c r="C88" s="36"/>
      <c r="D88" s="36"/>
      <c r="E88" s="37"/>
      <c r="F88" s="31">
        <v>125136.89</v>
      </c>
      <c r="G88" s="32">
        <v>0.96989999999999998</v>
      </c>
      <c r="H88" s="33"/>
    </row>
    <row r="89" spans="2:14" ht="15.75" customHeight="1" x14ac:dyDescent="0.2">
      <c r="B89" s="25"/>
      <c r="C89" s="25"/>
      <c r="D89" s="25"/>
      <c r="E89" s="26"/>
      <c r="F89" s="27"/>
      <c r="G89" s="28"/>
      <c r="H89" s="29"/>
    </row>
    <row r="90" spans="2:14" ht="15.75" customHeight="1" x14ac:dyDescent="0.2">
      <c r="B90" s="25"/>
      <c r="C90" s="25"/>
      <c r="D90" s="25"/>
      <c r="E90" s="26"/>
      <c r="F90" s="27"/>
      <c r="G90" s="28"/>
      <c r="H90" s="29"/>
    </row>
    <row r="91" spans="2:14" ht="15.75" customHeight="1" x14ac:dyDescent="0.2">
      <c r="B91" s="24" t="s">
        <v>111</v>
      </c>
      <c r="C91" s="25"/>
      <c r="D91" s="25"/>
      <c r="E91" s="26"/>
      <c r="F91" s="27"/>
      <c r="G91" s="28"/>
      <c r="H91" s="29"/>
    </row>
    <row r="92" spans="2:14" ht="15.75" customHeight="1" x14ac:dyDescent="0.2">
      <c r="B92" s="25" t="s">
        <v>112</v>
      </c>
      <c r="C92" s="25"/>
      <c r="D92" s="25"/>
      <c r="E92" s="26"/>
      <c r="F92" s="27">
        <v>3834.32</v>
      </c>
      <c r="G92" s="28">
        <v>2.9700000000000001E-2</v>
      </c>
      <c r="H92" s="29"/>
    </row>
    <row r="93" spans="2:14" ht="15.75" customHeight="1" x14ac:dyDescent="0.2">
      <c r="B93" s="24" t="s">
        <v>104</v>
      </c>
      <c r="C93" s="24"/>
      <c r="D93" s="24"/>
      <c r="E93" s="30"/>
      <c r="F93" s="31">
        <v>3834.32</v>
      </c>
      <c r="G93" s="32">
        <v>2.9700000000000001E-2</v>
      </c>
      <c r="H93" s="33"/>
    </row>
    <row r="94" spans="2:14" ht="15.75" customHeight="1" x14ac:dyDescent="0.2">
      <c r="B94" s="25"/>
      <c r="C94" s="25"/>
      <c r="D94" s="25"/>
      <c r="E94" s="26"/>
      <c r="F94" s="27"/>
      <c r="G94" s="28"/>
      <c r="H94" s="29"/>
    </row>
    <row r="95" spans="2:14" ht="15.75" customHeight="1" x14ac:dyDescent="0.2">
      <c r="B95" s="36" t="s">
        <v>108</v>
      </c>
      <c r="C95" s="36"/>
      <c r="D95" s="36"/>
      <c r="E95" s="37"/>
      <c r="F95" s="31">
        <v>3834.32</v>
      </c>
      <c r="G95" s="32">
        <v>2.9700000000000001E-2</v>
      </c>
      <c r="H95" s="33"/>
    </row>
    <row r="96" spans="2:14" ht="15.75" customHeight="1" x14ac:dyDescent="0.2">
      <c r="B96" s="25" t="s">
        <v>113</v>
      </c>
      <c r="C96" s="25"/>
      <c r="D96" s="25"/>
      <c r="E96" s="26"/>
      <c r="F96" s="27">
        <v>44.37</v>
      </c>
      <c r="G96" s="28">
        <v>4.0000000000006697E-4</v>
      </c>
      <c r="H96" s="29"/>
    </row>
    <row r="97" spans="2:8" ht="15.75" customHeight="1" x14ac:dyDescent="0.2">
      <c r="B97" s="40" t="s">
        <v>114</v>
      </c>
      <c r="C97" s="40"/>
      <c r="D97" s="40"/>
      <c r="E97" s="41"/>
      <c r="F97" s="42">
        <v>129015.58</v>
      </c>
      <c r="G97" s="43">
        <v>1</v>
      </c>
      <c r="H97" s="44"/>
    </row>
    <row r="98" spans="2:8" ht="15.75" customHeight="1" thickBot="1" x14ac:dyDescent="0.25">
      <c r="B98" s="2"/>
    </row>
    <row r="99" spans="2:8" ht="27" customHeight="1" thickBot="1" x14ac:dyDescent="0.25">
      <c r="B99" s="56" t="s">
        <v>1009</v>
      </c>
      <c r="C99" s="57" t="s">
        <v>1010</v>
      </c>
      <c r="D99" s="57" t="s">
        <v>1011</v>
      </c>
      <c r="E99" s="62" t="s">
        <v>1012</v>
      </c>
      <c r="G99" s="2"/>
      <c r="H99" s="2"/>
    </row>
    <row r="100" spans="2:8" ht="27.75" customHeight="1" x14ac:dyDescent="0.2">
      <c r="B100" s="69" t="s">
        <v>25</v>
      </c>
      <c r="C100" s="83"/>
      <c r="D100" s="86" t="s">
        <v>1080</v>
      </c>
      <c r="E100" s="88"/>
      <c r="G100" s="2"/>
      <c r="H100" s="2"/>
    </row>
    <row r="101" spans="2:8" ht="31.5" customHeight="1" x14ac:dyDescent="0.2">
      <c r="B101" s="65" t="s">
        <v>1078</v>
      </c>
      <c r="C101" s="84"/>
      <c r="D101" s="87"/>
      <c r="E101" s="84"/>
      <c r="G101" s="2"/>
      <c r="H101" s="2"/>
    </row>
    <row r="102" spans="2:8" ht="39.950000000000003" customHeight="1" x14ac:dyDescent="0.2">
      <c r="B102" s="65" t="s">
        <v>1081</v>
      </c>
      <c r="C102" s="84"/>
      <c r="D102" s="87"/>
      <c r="E102" s="84"/>
      <c r="G102" s="2"/>
      <c r="H102" s="2"/>
    </row>
    <row r="103" spans="2:8" ht="21.75" customHeight="1" thickBot="1" x14ac:dyDescent="0.25">
      <c r="B103" s="67" t="s">
        <v>1035</v>
      </c>
      <c r="C103" s="85"/>
      <c r="D103" s="70" t="s">
        <v>1035</v>
      </c>
      <c r="E103" s="89"/>
      <c r="G103" s="2"/>
      <c r="H103" s="2"/>
    </row>
    <row r="104" spans="2:8" ht="24.95" customHeight="1" x14ac:dyDescent="0.2">
      <c r="B104" s="58" t="s">
        <v>1014</v>
      </c>
      <c r="C104" s="59"/>
      <c r="D104" s="60"/>
      <c r="E104" s="61"/>
      <c r="G104" s="2"/>
      <c r="H104" s="2"/>
    </row>
    <row r="106" spans="2:8" ht="12" x14ac:dyDescent="0.2">
      <c r="B106" s="2" t="s">
        <v>1015</v>
      </c>
      <c r="C106" s="2"/>
      <c r="D106" s="2"/>
      <c r="G106" s="2"/>
      <c r="H106" s="2"/>
    </row>
    <row r="107" spans="2:8" ht="12" x14ac:dyDescent="0.2">
      <c r="B107" s="3" t="s">
        <v>1016</v>
      </c>
      <c r="C107" s="2"/>
      <c r="D107" s="2"/>
      <c r="G107" s="2"/>
      <c r="H107" s="2"/>
    </row>
  </sheetData>
  <mergeCells count="3">
    <mergeCell ref="C100:C103"/>
    <mergeCell ref="D100:D102"/>
    <mergeCell ref="E100:E103"/>
  </mergeCells>
  <hyperlinks>
    <hyperlink ref="G1" location="'Sheet1'!A1" display="Index" xr:uid="{370FC3B5-E155-41EC-80A7-A3DA4BA6212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0D086-C6B3-4D3C-9972-FD0CE8EC73E0}">
  <dimension ref="B1:N86"/>
  <sheetViews>
    <sheetView workbookViewId="0"/>
  </sheetViews>
  <sheetFormatPr defaultColWidth="9.140625" defaultRowHeight="15.75" customHeight="1" x14ac:dyDescent="0.2"/>
  <cols>
    <col min="1" max="1" width="3.5703125" style="2" customWidth="1"/>
    <col min="2" max="2" width="50.42578125" style="9" customWidth="1"/>
    <col min="3" max="3" width="26.85546875" style="9" customWidth="1"/>
    <col min="4" max="4" width="26.5703125" style="9" customWidth="1"/>
    <col min="5" max="5" width="28.1406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132</v>
      </c>
      <c r="C5" s="19"/>
      <c r="D5" s="19"/>
      <c r="E5" s="20"/>
      <c r="F5" s="21"/>
      <c r="G5" s="22"/>
      <c r="H5" s="23"/>
    </row>
    <row r="6" spans="2:8" ht="15.75" customHeight="1" x14ac:dyDescent="0.2">
      <c r="B6" s="24" t="s">
        <v>133</v>
      </c>
      <c r="C6" s="25"/>
      <c r="D6" s="25"/>
      <c r="E6" s="26"/>
      <c r="F6" s="27"/>
      <c r="G6" s="28"/>
      <c r="H6" s="29"/>
    </row>
    <row r="7" spans="2:8" ht="15.75" customHeight="1" x14ac:dyDescent="0.2">
      <c r="B7" s="25" t="s">
        <v>384</v>
      </c>
      <c r="C7" s="25" t="s">
        <v>385</v>
      </c>
      <c r="D7" s="25" t="s">
        <v>220</v>
      </c>
      <c r="E7" s="26">
        <v>9221</v>
      </c>
      <c r="F7" s="27">
        <v>538.41</v>
      </c>
      <c r="G7" s="28">
        <v>5.62E-2</v>
      </c>
      <c r="H7" s="29"/>
    </row>
    <row r="8" spans="2:8" ht="15.75" customHeight="1" x14ac:dyDescent="0.2">
      <c r="B8" s="25" t="s">
        <v>173</v>
      </c>
      <c r="C8" s="25" t="s">
        <v>174</v>
      </c>
      <c r="D8" s="25" t="s">
        <v>175</v>
      </c>
      <c r="E8" s="26">
        <v>150113</v>
      </c>
      <c r="F8" s="27">
        <v>474.43</v>
      </c>
      <c r="G8" s="28">
        <v>4.9500000000000002E-2</v>
      </c>
      <c r="H8" s="29"/>
    </row>
    <row r="9" spans="2:8" ht="15.75" customHeight="1" x14ac:dyDescent="0.2">
      <c r="B9" s="25" t="s">
        <v>272</v>
      </c>
      <c r="C9" s="25" t="s">
        <v>273</v>
      </c>
      <c r="D9" s="25" t="s">
        <v>175</v>
      </c>
      <c r="E9" s="26">
        <v>7920</v>
      </c>
      <c r="F9" s="27">
        <v>389.89</v>
      </c>
      <c r="G9" s="28">
        <v>4.07E-2</v>
      </c>
      <c r="H9" s="29"/>
    </row>
    <row r="10" spans="2:8" ht="15.75" customHeight="1" x14ac:dyDescent="0.2">
      <c r="B10" s="25" t="s">
        <v>326</v>
      </c>
      <c r="C10" s="25" t="s">
        <v>327</v>
      </c>
      <c r="D10" s="25" t="s">
        <v>212</v>
      </c>
      <c r="E10" s="26">
        <v>60951</v>
      </c>
      <c r="F10" s="27">
        <v>339.38</v>
      </c>
      <c r="G10" s="28">
        <v>3.5400000000000001E-2</v>
      </c>
      <c r="H10" s="29"/>
    </row>
    <row r="11" spans="2:8" ht="15.75" customHeight="1" x14ac:dyDescent="0.2">
      <c r="B11" s="25" t="s">
        <v>353</v>
      </c>
      <c r="C11" s="25" t="s">
        <v>354</v>
      </c>
      <c r="D11" s="25" t="s">
        <v>212</v>
      </c>
      <c r="E11" s="26">
        <v>51875</v>
      </c>
      <c r="F11" s="27">
        <v>334.2</v>
      </c>
      <c r="G11" s="28">
        <v>3.49E-2</v>
      </c>
      <c r="H11" s="29"/>
    </row>
    <row r="12" spans="2:8" ht="15.75" customHeight="1" x14ac:dyDescent="0.2">
      <c r="B12" s="25" t="s">
        <v>182</v>
      </c>
      <c r="C12" s="25" t="s">
        <v>183</v>
      </c>
      <c r="D12" s="25" t="s">
        <v>184</v>
      </c>
      <c r="E12" s="26">
        <v>70922</v>
      </c>
      <c r="F12" s="27">
        <v>321.7</v>
      </c>
      <c r="G12" s="28">
        <v>3.3599999999999998E-2</v>
      </c>
      <c r="H12" s="29"/>
    </row>
    <row r="13" spans="2:8" ht="15.75" customHeight="1" x14ac:dyDescent="0.2">
      <c r="B13" s="25" t="s">
        <v>340</v>
      </c>
      <c r="C13" s="25" t="s">
        <v>341</v>
      </c>
      <c r="D13" s="25" t="s">
        <v>263</v>
      </c>
      <c r="E13" s="26">
        <v>6935</v>
      </c>
      <c r="F13" s="27">
        <v>310.14999999999998</v>
      </c>
      <c r="G13" s="28">
        <v>3.2399999999999998E-2</v>
      </c>
      <c r="H13" s="29"/>
    </row>
    <row r="14" spans="2:8" ht="15.75" customHeight="1" x14ac:dyDescent="0.2">
      <c r="B14" s="25" t="s">
        <v>926</v>
      </c>
      <c r="C14" s="25" t="s">
        <v>927</v>
      </c>
      <c r="D14" s="25" t="s">
        <v>928</v>
      </c>
      <c r="E14" s="26">
        <v>67271</v>
      </c>
      <c r="F14" s="27">
        <v>303.22000000000003</v>
      </c>
      <c r="G14" s="28">
        <v>3.1600000000000003E-2</v>
      </c>
      <c r="H14" s="29"/>
    </row>
    <row r="15" spans="2:8" ht="15.75" customHeight="1" x14ac:dyDescent="0.2">
      <c r="B15" s="25" t="s">
        <v>929</v>
      </c>
      <c r="C15" s="25" t="s">
        <v>930</v>
      </c>
      <c r="D15" s="25" t="s">
        <v>155</v>
      </c>
      <c r="E15" s="26">
        <v>153451</v>
      </c>
      <c r="F15" s="27">
        <v>278.77</v>
      </c>
      <c r="G15" s="28">
        <v>2.9100000000000001E-2</v>
      </c>
      <c r="H15" s="29"/>
    </row>
    <row r="16" spans="2:8" ht="15.75" customHeight="1" x14ac:dyDescent="0.2">
      <c r="B16" s="25" t="s">
        <v>205</v>
      </c>
      <c r="C16" s="25" t="s">
        <v>206</v>
      </c>
      <c r="D16" s="25" t="s">
        <v>207</v>
      </c>
      <c r="E16" s="26">
        <v>111324</v>
      </c>
      <c r="F16" s="27">
        <v>268.26</v>
      </c>
      <c r="G16" s="28">
        <v>2.8000000000000001E-2</v>
      </c>
      <c r="H16" s="29"/>
    </row>
    <row r="17" spans="2:8" ht="15.75" customHeight="1" x14ac:dyDescent="0.2">
      <c r="B17" s="25" t="s">
        <v>396</v>
      </c>
      <c r="C17" s="25" t="s">
        <v>397</v>
      </c>
      <c r="D17" s="25" t="s">
        <v>178</v>
      </c>
      <c r="E17" s="26">
        <v>3743</v>
      </c>
      <c r="F17" s="27">
        <v>266.98</v>
      </c>
      <c r="G17" s="28">
        <v>2.7900000000000001E-2</v>
      </c>
      <c r="H17" s="29"/>
    </row>
    <row r="18" spans="2:8" ht="15.75" customHeight="1" x14ac:dyDescent="0.2">
      <c r="B18" s="25" t="s">
        <v>646</v>
      </c>
      <c r="C18" s="25" t="s">
        <v>647</v>
      </c>
      <c r="D18" s="25" t="s">
        <v>212</v>
      </c>
      <c r="E18" s="26">
        <v>17684</v>
      </c>
      <c r="F18" s="27">
        <v>250.51</v>
      </c>
      <c r="G18" s="28">
        <v>2.6100000000000002E-2</v>
      </c>
      <c r="H18" s="29"/>
    </row>
    <row r="19" spans="2:8" ht="15.75" customHeight="1" x14ac:dyDescent="0.2">
      <c r="B19" s="25" t="s">
        <v>330</v>
      </c>
      <c r="C19" s="25" t="s">
        <v>331</v>
      </c>
      <c r="D19" s="25" t="s">
        <v>145</v>
      </c>
      <c r="E19" s="26">
        <v>9778</v>
      </c>
      <c r="F19" s="27">
        <v>247.48</v>
      </c>
      <c r="G19" s="28">
        <v>2.58E-2</v>
      </c>
      <c r="H19" s="29"/>
    </row>
    <row r="20" spans="2:8" ht="15.75" customHeight="1" x14ac:dyDescent="0.2">
      <c r="B20" s="25" t="s">
        <v>200</v>
      </c>
      <c r="C20" s="25" t="s">
        <v>201</v>
      </c>
      <c r="D20" s="25" t="s">
        <v>202</v>
      </c>
      <c r="E20" s="26">
        <v>26719</v>
      </c>
      <c r="F20" s="27">
        <v>237.57</v>
      </c>
      <c r="G20" s="28">
        <v>2.4799999999999999E-2</v>
      </c>
      <c r="H20" s="29"/>
    </row>
    <row r="21" spans="2:8" ht="15.75" customHeight="1" x14ac:dyDescent="0.2">
      <c r="B21" s="25" t="s">
        <v>317</v>
      </c>
      <c r="C21" s="25" t="s">
        <v>318</v>
      </c>
      <c r="D21" s="25" t="s">
        <v>319</v>
      </c>
      <c r="E21" s="26">
        <v>15894</v>
      </c>
      <c r="F21" s="27">
        <v>228.99</v>
      </c>
      <c r="G21" s="28">
        <v>2.3900000000000001E-2</v>
      </c>
      <c r="H21" s="29"/>
    </row>
    <row r="22" spans="2:8" ht="15.75" customHeight="1" x14ac:dyDescent="0.2">
      <c r="B22" s="25" t="s">
        <v>614</v>
      </c>
      <c r="C22" s="25" t="s">
        <v>615</v>
      </c>
      <c r="D22" s="25" t="s">
        <v>220</v>
      </c>
      <c r="E22" s="26">
        <v>3241</v>
      </c>
      <c r="F22" s="27">
        <v>227.75</v>
      </c>
      <c r="G22" s="28">
        <v>2.3800000000000002E-2</v>
      </c>
      <c r="H22" s="29"/>
    </row>
    <row r="23" spans="2:8" ht="15.75" customHeight="1" x14ac:dyDescent="0.2">
      <c r="B23" s="25" t="s">
        <v>414</v>
      </c>
      <c r="C23" s="25" t="s">
        <v>415</v>
      </c>
      <c r="D23" s="25" t="s">
        <v>266</v>
      </c>
      <c r="E23" s="26">
        <v>113688</v>
      </c>
      <c r="F23" s="27">
        <v>223.48</v>
      </c>
      <c r="G23" s="28">
        <v>2.3300000000000001E-2</v>
      </c>
      <c r="H23" s="29"/>
    </row>
    <row r="24" spans="2:8" ht="15.75" customHeight="1" x14ac:dyDescent="0.2">
      <c r="B24" s="25" t="s">
        <v>762</v>
      </c>
      <c r="C24" s="25" t="s">
        <v>763</v>
      </c>
      <c r="D24" s="25" t="s">
        <v>336</v>
      </c>
      <c r="E24" s="26">
        <v>10131</v>
      </c>
      <c r="F24" s="27">
        <v>203.41</v>
      </c>
      <c r="G24" s="28">
        <v>2.12E-2</v>
      </c>
      <c r="H24" s="29"/>
    </row>
    <row r="25" spans="2:8" ht="15.75" customHeight="1" x14ac:dyDescent="0.2">
      <c r="B25" s="25" t="s">
        <v>760</v>
      </c>
      <c r="C25" s="25" t="s">
        <v>761</v>
      </c>
      <c r="D25" s="25" t="s">
        <v>233</v>
      </c>
      <c r="E25" s="26">
        <v>6354</v>
      </c>
      <c r="F25" s="27">
        <v>202.46</v>
      </c>
      <c r="G25" s="28">
        <v>2.1100000000000001E-2</v>
      </c>
      <c r="H25" s="29"/>
    </row>
    <row r="26" spans="2:8" ht="15.75" customHeight="1" x14ac:dyDescent="0.2">
      <c r="B26" s="25" t="s">
        <v>213</v>
      </c>
      <c r="C26" s="25" t="s">
        <v>214</v>
      </c>
      <c r="D26" s="25" t="s">
        <v>136</v>
      </c>
      <c r="E26" s="26">
        <v>78292</v>
      </c>
      <c r="F26" s="27">
        <v>198.59</v>
      </c>
      <c r="G26" s="28">
        <v>2.07E-2</v>
      </c>
      <c r="H26" s="29"/>
    </row>
    <row r="27" spans="2:8" ht="15.75" customHeight="1" x14ac:dyDescent="0.2">
      <c r="B27" s="25" t="s">
        <v>185</v>
      </c>
      <c r="C27" s="25" t="s">
        <v>186</v>
      </c>
      <c r="D27" s="25" t="s">
        <v>187</v>
      </c>
      <c r="E27" s="26">
        <v>10441</v>
      </c>
      <c r="F27" s="27">
        <v>193.14</v>
      </c>
      <c r="G27" s="28">
        <v>2.0199999999999999E-2</v>
      </c>
      <c r="H27" s="29"/>
    </row>
    <row r="28" spans="2:8" ht="15.75" customHeight="1" x14ac:dyDescent="0.2">
      <c r="B28" s="25" t="s">
        <v>394</v>
      </c>
      <c r="C28" s="25" t="s">
        <v>395</v>
      </c>
      <c r="D28" s="25" t="s">
        <v>220</v>
      </c>
      <c r="E28" s="26">
        <v>84141</v>
      </c>
      <c r="F28" s="27">
        <v>193.06</v>
      </c>
      <c r="G28" s="28">
        <v>2.01E-2</v>
      </c>
      <c r="H28" s="29"/>
    </row>
    <row r="29" spans="2:8" ht="15.75" customHeight="1" x14ac:dyDescent="0.2">
      <c r="B29" s="25" t="s">
        <v>931</v>
      </c>
      <c r="C29" s="25" t="s">
        <v>932</v>
      </c>
      <c r="D29" s="25" t="s">
        <v>319</v>
      </c>
      <c r="E29" s="26">
        <v>5552</v>
      </c>
      <c r="F29" s="27">
        <v>189.44</v>
      </c>
      <c r="G29" s="28">
        <v>1.9800000000000002E-2</v>
      </c>
      <c r="H29" s="29"/>
    </row>
    <row r="30" spans="2:8" ht="15.75" customHeight="1" x14ac:dyDescent="0.2">
      <c r="B30" s="25" t="s">
        <v>933</v>
      </c>
      <c r="C30" s="25" t="s">
        <v>934</v>
      </c>
      <c r="D30" s="25" t="s">
        <v>178</v>
      </c>
      <c r="E30" s="26">
        <v>2236</v>
      </c>
      <c r="F30" s="27">
        <v>176.57</v>
      </c>
      <c r="G30" s="28">
        <v>1.84E-2</v>
      </c>
      <c r="H30" s="29"/>
    </row>
    <row r="31" spans="2:8" ht="15.75" customHeight="1" x14ac:dyDescent="0.2">
      <c r="B31" s="25" t="s">
        <v>935</v>
      </c>
      <c r="C31" s="25" t="s">
        <v>936</v>
      </c>
      <c r="D31" s="25" t="s">
        <v>339</v>
      </c>
      <c r="E31" s="26">
        <v>12119</v>
      </c>
      <c r="F31" s="27">
        <v>171.28</v>
      </c>
      <c r="G31" s="28">
        <v>1.7899999999999999E-2</v>
      </c>
      <c r="H31" s="29"/>
    </row>
    <row r="32" spans="2:8" ht="15.75" customHeight="1" x14ac:dyDescent="0.2">
      <c r="B32" s="25" t="s">
        <v>937</v>
      </c>
      <c r="C32" s="25" t="s">
        <v>938</v>
      </c>
      <c r="D32" s="25" t="s">
        <v>269</v>
      </c>
      <c r="E32" s="26">
        <v>24684</v>
      </c>
      <c r="F32" s="27">
        <v>167.84</v>
      </c>
      <c r="G32" s="28">
        <v>1.7500000000000002E-2</v>
      </c>
      <c r="H32" s="29"/>
    </row>
    <row r="33" spans="2:8" ht="15.75" customHeight="1" x14ac:dyDescent="0.2">
      <c r="B33" s="25" t="s">
        <v>939</v>
      </c>
      <c r="C33" s="25" t="s">
        <v>940</v>
      </c>
      <c r="D33" s="25" t="s">
        <v>136</v>
      </c>
      <c r="E33" s="26">
        <v>140836</v>
      </c>
      <c r="F33" s="27">
        <v>161.55000000000001</v>
      </c>
      <c r="G33" s="28">
        <v>1.6899999999999998E-2</v>
      </c>
      <c r="H33" s="29"/>
    </row>
    <row r="34" spans="2:8" ht="15.75" customHeight="1" x14ac:dyDescent="0.2">
      <c r="B34" s="25" t="s">
        <v>322</v>
      </c>
      <c r="C34" s="25" t="s">
        <v>323</v>
      </c>
      <c r="D34" s="25" t="s">
        <v>233</v>
      </c>
      <c r="E34" s="26">
        <v>6059</v>
      </c>
      <c r="F34" s="27">
        <v>160.25</v>
      </c>
      <c r="G34" s="28">
        <v>1.67E-2</v>
      </c>
      <c r="H34" s="29"/>
    </row>
    <row r="35" spans="2:8" ht="15.75" customHeight="1" x14ac:dyDescent="0.2">
      <c r="B35" s="25" t="s">
        <v>342</v>
      </c>
      <c r="C35" s="25" t="s">
        <v>343</v>
      </c>
      <c r="D35" s="25" t="s">
        <v>319</v>
      </c>
      <c r="E35" s="26">
        <v>24423</v>
      </c>
      <c r="F35" s="27">
        <v>155.26</v>
      </c>
      <c r="G35" s="28">
        <v>1.6199999999999999E-2</v>
      </c>
      <c r="H35" s="29"/>
    </row>
    <row r="36" spans="2:8" ht="15.75" customHeight="1" x14ac:dyDescent="0.2">
      <c r="B36" s="25" t="s">
        <v>193</v>
      </c>
      <c r="C36" s="25" t="s">
        <v>194</v>
      </c>
      <c r="D36" s="25" t="s">
        <v>136</v>
      </c>
      <c r="E36" s="26">
        <v>125131</v>
      </c>
      <c r="F36" s="27">
        <v>155.1</v>
      </c>
      <c r="G36" s="28">
        <v>1.6199999999999999E-2</v>
      </c>
      <c r="H36" s="29"/>
    </row>
    <row r="37" spans="2:8" ht="15.75" customHeight="1" x14ac:dyDescent="0.2">
      <c r="B37" s="25" t="s">
        <v>941</v>
      </c>
      <c r="C37" s="25" t="s">
        <v>942</v>
      </c>
      <c r="D37" s="25" t="s">
        <v>269</v>
      </c>
      <c r="E37" s="26">
        <v>555</v>
      </c>
      <c r="F37" s="27">
        <v>153.96</v>
      </c>
      <c r="G37" s="28">
        <v>1.61E-2</v>
      </c>
      <c r="H37" s="29"/>
    </row>
    <row r="38" spans="2:8" ht="15.75" customHeight="1" x14ac:dyDescent="0.2">
      <c r="B38" s="25" t="s">
        <v>943</v>
      </c>
      <c r="C38" s="25" t="s">
        <v>944</v>
      </c>
      <c r="D38" s="25" t="s">
        <v>181</v>
      </c>
      <c r="E38" s="26">
        <v>15408</v>
      </c>
      <c r="F38" s="27">
        <v>152.27000000000001</v>
      </c>
      <c r="G38" s="28">
        <v>1.5900000000000001E-2</v>
      </c>
      <c r="H38" s="29"/>
    </row>
    <row r="39" spans="2:8" ht="15.75" customHeight="1" x14ac:dyDescent="0.2">
      <c r="B39" s="25" t="s">
        <v>945</v>
      </c>
      <c r="C39" s="25" t="s">
        <v>946</v>
      </c>
      <c r="D39" s="25" t="s">
        <v>212</v>
      </c>
      <c r="E39" s="26">
        <v>44841</v>
      </c>
      <c r="F39" s="27">
        <v>147.30000000000001</v>
      </c>
      <c r="G39" s="28">
        <v>1.54E-2</v>
      </c>
      <c r="H39" s="29"/>
    </row>
    <row r="40" spans="2:8" ht="15.75" customHeight="1" x14ac:dyDescent="0.2">
      <c r="B40" s="25" t="s">
        <v>947</v>
      </c>
      <c r="C40" s="25" t="s">
        <v>948</v>
      </c>
      <c r="D40" s="25" t="s">
        <v>554</v>
      </c>
      <c r="E40" s="26">
        <v>21647</v>
      </c>
      <c r="F40" s="27">
        <v>145.91999999999999</v>
      </c>
      <c r="G40" s="28">
        <v>1.52E-2</v>
      </c>
      <c r="H40" s="29"/>
    </row>
    <row r="41" spans="2:8" ht="15.75" customHeight="1" x14ac:dyDescent="0.2">
      <c r="B41" s="25" t="s">
        <v>170</v>
      </c>
      <c r="C41" s="25" t="s">
        <v>171</v>
      </c>
      <c r="D41" s="25" t="s">
        <v>172</v>
      </c>
      <c r="E41" s="26">
        <v>10552</v>
      </c>
      <c r="F41" s="27">
        <v>131.6</v>
      </c>
      <c r="G41" s="28">
        <v>1.37E-2</v>
      </c>
      <c r="H41" s="29"/>
    </row>
    <row r="42" spans="2:8" ht="15.75" customHeight="1" x14ac:dyDescent="0.2">
      <c r="B42" s="25" t="s">
        <v>228</v>
      </c>
      <c r="C42" s="25" t="s">
        <v>229</v>
      </c>
      <c r="D42" s="25" t="s">
        <v>230</v>
      </c>
      <c r="E42" s="26">
        <v>12719</v>
      </c>
      <c r="F42" s="27">
        <v>125.62</v>
      </c>
      <c r="G42" s="28">
        <v>1.3100000000000001E-2</v>
      </c>
      <c r="H42" s="29"/>
    </row>
    <row r="43" spans="2:8" ht="15.75" customHeight="1" x14ac:dyDescent="0.2">
      <c r="B43" s="25" t="s">
        <v>949</v>
      </c>
      <c r="C43" s="25" t="s">
        <v>950</v>
      </c>
      <c r="D43" s="25" t="s">
        <v>266</v>
      </c>
      <c r="E43" s="26">
        <v>356</v>
      </c>
      <c r="F43" s="27">
        <v>124.52</v>
      </c>
      <c r="G43" s="28">
        <v>1.2999999999999999E-2</v>
      </c>
      <c r="H43" s="29"/>
    </row>
    <row r="44" spans="2:8" ht="15.75" customHeight="1" x14ac:dyDescent="0.2">
      <c r="B44" s="25" t="s">
        <v>328</v>
      </c>
      <c r="C44" s="25" t="s">
        <v>329</v>
      </c>
      <c r="D44" s="25" t="s">
        <v>172</v>
      </c>
      <c r="E44" s="26">
        <v>3819</v>
      </c>
      <c r="F44" s="27">
        <v>121.13</v>
      </c>
      <c r="G44" s="28">
        <v>1.26E-2</v>
      </c>
      <c r="H44" s="29"/>
    </row>
    <row r="45" spans="2:8" ht="15.75" customHeight="1" x14ac:dyDescent="0.2">
      <c r="B45" s="25" t="s">
        <v>951</v>
      </c>
      <c r="C45" s="25" t="s">
        <v>952</v>
      </c>
      <c r="D45" s="25" t="s">
        <v>336</v>
      </c>
      <c r="E45" s="26">
        <v>16326</v>
      </c>
      <c r="F45" s="27">
        <v>120.15</v>
      </c>
      <c r="G45" s="28">
        <v>1.2500000000000001E-2</v>
      </c>
      <c r="H45" s="29"/>
    </row>
    <row r="46" spans="2:8" ht="15.75" customHeight="1" x14ac:dyDescent="0.2">
      <c r="B46" s="25" t="s">
        <v>406</v>
      </c>
      <c r="C46" s="25" t="s">
        <v>407</v>
      </c>
      <c r="D46" s="25" t="s">
        <v>339</v>
      </c>
      <c r="E46" s="26">
        <v>6529</v>
      </c>
      <c r="F46" s="27">
        <v>102.99</v>
      </c>
      <c r="G46" s="28">
        <v>1.0699999999999999E-2</v>
      </c>
      <c r="H46" s="29"/>
    </row>
    <row r="47" spans="2:8" ht="15.75" customHeight="1" x14ac:dyDescent="0.2">
      <c r="B47" s="25" t="s">
        <v>764</v>
      </c>
      <c r="C47" s="25" t="s">
        <v>765</v>
      </c>
      <c r="D47" s="25" t="s">
        <v>220</v>
      </c>
      <c r="E47" s="26">
        <v>2034</v>
      </c>
      <c r="F47" s="27">
        <v>100.4</v>
      </c>
      <c r="G47" s="28">
        <v>1.0500000000000001E-2</v>
      </c>
      <c r="H47" s="29"/>
    </row>
    <row r="48" spans="2:8" ht="15.75" customHeight="1" x14ac:dyDescent="0.2">
      <c r="B48" s="25" t="s">
        <v>953</v>
      </c>
      <c r="C48" s="25" t="s">
        <v>954</v>
      </c>
      <c r="D48" s="25" t="s">
        <v>184</v>
      </c>
      <c r="E48" s="26">
        <v>12620</v>
      </c>
      <c r="F48" s="27">
        <v>92.69</v>
      </c>
      <c r="G48" s="28">
        <v>9.7000000000000003E-3</v>
      </c>
      <c r="H48" s="29"/>
    </row>
    <row r="49" spans="2:8" ht="15.75" customHeight="1" x14ac:dyDescent="0.2">
      <c r="B49" s="25" t="s">
        <v>955</v>
      </c>
      <c r="C49" s="25" t="s">
        <v>956</v>
      </c>
      <c r="D49" s="25" t="s">
        <v>184</v>
      </c>
      <c r="E49" s="26">
        <v>4949</v>
      </c>
      <c r="F49" s="27">
        <v>91.42</v>
      </c>
      <c r="G49" s="28">
        <v>9.4999999999999998E-3</v>
      </c>
      <c r="H49" s="29"/>
    </row>
    <row r="50" spans="2:8" ht="15.75" customHeight="1" x14ac:dyDescent="0.2">
      <c r="B50" s="25" t="s">
        <v>957</v>
      </c>
      <c r="C50" s="25" t="s">
        <v>958</v>
      </c>
      <c r="D50" s="25" t="s">
        <v>212</v>
      </c>
      <c r="E50" s="26">
        <v>12284</v>
      </c>
      <c r="F50" s="27">
        <v>89.29</v>
      </c>
      <c r="G50" s="28">
        <v>9.2999999999999992E-3</v>
      </c>
      <c r="H50" s="29"/>
    </row>
    <row r="51" spans="2:8" ht="15.75" customHeight="1" x14ac:dyDescent="0.2">
      <c r="B51" s="25" t="s">
        <v>959</v>
      </c>
      <c r="C51" s="25" t="s">
        <v>960</v>
      </c>
      <c r="D51" s="25" t="s">
        <v>187</v>
      </c>
      <c r="E51" s="26">
        <v>11662</v>
      </c>
      <c r="F51" s="27">
        <v>64.709999999999994</v>
      </c>
      <c r="G51" s="28">
        <v>6.7999999999999996E-3</v>
      </c>
      <c r="H51" s="29"/>
    </row>
    <row r="52" spans="2:8" ht="15.75" customHeight="1" x14ac:dyDescent="0.2">
      <c r="B52" s="25" t="s">
        <v>961</v>
      </c>
      <c r="C52" s="25" t="s">
        <v>962</v>
      </c>
      <c r="D52" s="25" t="s">
        <v>212</v>
      </c>
      <c r="E52" s="26">
        <v>586</v>
      </c>
      <c r="F52" s="27">
        <v>56.37</v>
      </c>
      <c r="G52" s="28">
        <v>5.8999999999999999E-3</v>
      </c>
      <c r="H52" s="29"/>
    </row>
    <row r="53" spans="2:8" ht="15.75" customHeight="1" x14ac:dyDescent="0.2">
      <c r="B53" s="25" t="s">
        <v>963</v>
      </c>
      <c r="C53" s="25" t="s">
        <v>964</v>
      </c>
      <c r="D53" s="25" t="s">
        <v>212</v>
      </c>
      <c r="E53" s="26">
        <v>25097</v>
      </c>
      <c r="F53" s="27">
        <v>48.6</v>
      </c>
      <c r="G53" s="28">
        <v>5.1000000000000004E-3</v>
      </c>
      <c r="H53" s="29"/>
    </row>
    <row r="54" spans="2:8" ht="15.75" customHeight="1" x14ac:dyDescent="0.2">
      <c r="B54" s="25" t="s">
        <v>965</v>
      </c>
      <c r="C54" s="25" t="s">
        <v>966</v>
      </c>
      <c r="D54" s="25" t="s">
        <v>184</v>
      </c>
      <c r="E54" s="26">
        <v>4084</v>
      </c>
      <c r="F54" s="27">
        <v>46.48</v>
      </c>
      <c r="G54" s="28">
        <v>4.7999999999999996E-3</v>
      </c>
      <c r="H54" s="29"/>
    </row>
    <row r="55" spans="2:8" ht="15.75" customHeight="1" x14ac:dyDescent="0.2">
      <c r="B55" s="25" t="s">
        <v>967</v>
      </c>
      <c r="C55" s="25" t="s">
        <v>968</v>
      </c>
      <c r="D55" s="25" t="s">
        <v>207</v>
      </c>
      <c r="E55" s="26">
        <v>3728</v>
      </c>
      <c r="F55" s="27">
        <v>33.39</v>
      </c>
      <c r="G55" s="28">
        <v>3.5000000000000001E-3</v>
      </c>
      <c r="H55" s="29"/>
    </row>
    <row r="56" spans="2:8" ht="15.75" customHeight="1" x14ac:dyDescent="0.2">
      <c r="B56" s="25" t="s">
        <v>969</v>
      </c>
      <c r="C56" s="25" t="s">
        <v>970</v>
      </c>
      <c r="D56" s="25" t="s">
        <v>336</v>
      </c>
      <c r="E56" s="26">
        <v>2548</v>
      </c>
      <c r="F56" s="27">
        <v>29.97</v>
      </c>
      <c r="G56" s="28">
        <v>3.0999999999999999E-3</v>
      </c>
      <c r="H56" s="29"/>
    </row>
    <row r="57" spans="2:8" ht="15.75" customHeight="1" x14ac:dyDescent="0.2">
      <c r="B57" s="24" t="s">
        <v>104</v>
      </c>
      <c r="C57" s="24"/>
      <c r="D57" s="24"/>
      <c r="E57" s="30"/>
      <c r="F57" s="31">
        <v>9547.9</v>
      </c>
      <c r="G57" s="32">
        <v>0.99629999999999996</v>
      </c>
      <c r="H57" s="33"/>
    </row>
    <row r="58" spans="2:8" ht="15.75" customHeight="1" x14ac:dyDescent="0.2">
      <c r="B58" s="24" t="s">
        <v>156</v>
      </c>
      <c r="C58" s="25"/>
      <c r="D58" s="25"/>
      <c r="E58" s="26"/>
      <c r="F58" s="27"/>
      <c r="G58" s="28"/>
      <c r="H58" s="29"/>
    </row>
    <row r="59" spans="2:8" ht="15.75" customHeight="1" x14ac:dyDescent="0.2">
      <c r="B59" s="24" t="s">
        <v>104</v>
      </c>
      <c r="C59" s="25"/>
      <c r="D59" s="25"/>
      <c r="E59" s="26"/>
      <c r="F59" s="34" t="s">
        <v>106</v>
      </c>
      <c r="G59" s="35" t="s">
        <v>106</v>
      </c>
      <c r="H59" s="29"/>
    </row>
    <row r="60" spans="2:8" ht="15.75" customHeight="1" x14ac:dyDescent="0.2">
      <c r="B60" s="25"/>
      <c r="C60" s="25"/>
      <c r="D60" s="25"/>
      <c r="E60" s="26"/>
      <c r="F60" s="27"/>
      <c r="G60" s="28"/>
      <c r="H60" s="29"/>
    </row>
    <row r="61" spans="2:8" ht="15.75" customHeight="1" x14ac:dyDescent="0.2">
      <c r="B61" s="36" t="s">
        <v>108</v>
      </c>
      <c r="C61" s="36"/>
      <c r="D61" s="36"/>
      <c r="E61" s="37"/>
      <c r="F61" s="31">
        <v>9547.9</v>
      </c>
      <c r="G61" s="32">
        <v>0.99629999999999996</v>
      </c>
      <c r="H61" s="33"/>
    </row>
    <row r="62" spans="2:8" ht="15.75" customHeight="1" x14ac:dyDescent="0.2">
      <c r="B62" s="25"/>
      <c r="C62" s="25"/>
      <c r="D62" s="25"/>
      <c r="E62" s="26"/>
      <c r="F62" s="27"/>
      <c r="G62" s="28"/>
      <c r="H62" s="29"/>
    </row>
    <row r="63" spans="2:8" ht="15.75" customHeight="1" x14ac:dyDescent="0.2">
      <c r="B63" s="25"/>
      <c r="C63" s="25"/>
      <c r="D63" s="25"/>
      <c r="E63" s="26"/>
      <c r="F63" s="27"/>
      <c r="G63" s="28"/>
      <c r="H63" s="29"/>
    </row>
    <row r="64" spans="2:8" ht="15.75" customHeight="1" x14ac:dyDescent="0.2">
      <c r="B64" s="24" t="s">
        <v>111</v>
      </c>
      <c r="C64" s="25"/>
      <c r="D64" s="25"/>
      <c r="E64" s="26"/>
      <c r="F64" s="27"/>
      <c r="G64" s="28"/>
      <c r="H64" s="29"/>
    </row>
    <row r="65" spans="2:10" ht="15.75" customHeight="1" x14ac:dyDescent="0.2">
      <c r="B65" s="25" t="s">
        <v>112</v>
      </c>
      <c r="C65" s="25"/>
      <c r="D65" s="25"/>
      <c r="E65" s="26"/>
      <c r="F65" s="27">
        <v>60.04</v>
      </c>
      <c r="G65" s="28">
        <v>6.3E-3</v>
      </c>
      <c r="H65" s="29"/>
    </row>
    <row r="66" spans="2:10" ht="15.75" customHeight="1" x14ac:dyDescent="0.2">
      <c r="B66" s="24" t="s">
        <v>104</v>
      </c>
      <c r="C66" s="24"/>
      <c r="D66" s="24"/>
      <c r="E66" s="30"/>
      <c r="F66" s="31">
        <v>60.04</v>
      </c>
      <c r="G66" s="32">
        <v>6.3E-3</v>
      </c>
      <c r="H66" s="33"/>
    </row>
    <row r="67" spans="2:10" ht="15.75" customHeight="1" x14ac:dyDescent="0.2">
      <c r="B67" s="25"/>
      <c r="C67" s="25"/>
      <c r="D67" s="25"/>
      <c r="E67" s="26"/>
      <c r="F67" s="27"/>
      <c r="G67" s="28"/>
      <c r="H67" s="29"/>
    </row>
    <row r="68" spans="2:10" ht="15.75" customHeight="1" x14ac:dyDescent="0.2">
      <c r="B68" s="36" t="s">
        <v>108</v>
      </c>
      <c r="C68" s="36"/>
      <c r="D68" s="36"/>
      <c r="E68" s="37"/>
      <c r="F68" s="31">
        <v>60.04</v>
      </c>
      <c r="G68" s="32">
        <v>6.3E-3</v>
      </c>
      <c r="H68" s="33"/>
      <c r="J68" s="3"/>
    </row>
    <row r="69" spans="2:10" ht="15.75" customHeight="1" x14ac:dyDescent="0.2">
      <c r="B69" s="25" t="s">
        <v>113</v>
      </c>
      <c r="C69" s="25"/>
      <c r="D69" s="25"/>
      <c r="E69" s="26"/>
      <c r="F69" s="38">
        <v>-24.53</v>
      </c>
      <c r="G69" s="39">
        <v>-2.5999999999999357E-3</v>
      </c>
      <c r="H69" s="29"/>
    </row>
    <row r="70" spans="2:10" ht="15.75" customHeight="1" x14ac:dyDescent="0.2">
      <c r="B70" s="40" t="s">
        <v>114</v>
      </c>
      <c r="C70" s="40"/>
      <c r="D70" s="40"/>
      <c r="E70" s="41"/>
      <c r="F70" s="42">
        <v>9583.41</v>
      </c>
      <c r="G70" s="43">
        <v>1</v>
      </c>
      <c r="H70" s="44"/>
      <c r="J70" s="3"/>
    </row>
    <row r="71" spans="2:10" ht="15.75" customHeight="1" thickBot="1" x14ac:dyDescent="0.25">
      <c r="B71" s="2"/>
      <c r="J71" s="3"/>
    </row>
    <row r="72" spans="2:10" ht="27" customHeight="1" thickBot="1" x14ac:dyDescent="0.25">
      <c r="B72" s="56" t="s">
        <v>1009</v>
      </c>
      <c r="C72" s="57" t="s">
        <v>1010</v>
      </c>
      <c r="D72" s="57" t="s">
        <v>1011</v>
      </c>
      <c r="E72" s="62" t="s">
        <v>1012</v>
      </c>
      <c r="G72" s="2"/>
      <c r="H72" s="2"/>
    </row>
    <row r="73" spans="2:10" ht="29.25" customHeight="1" x14ac:dyDescent="0.2">
      <c r="B73" s="63" t="s">
        <v>26</v>
      </c>
      <c r="C73" s="83"/>
      <c r="D73" s="86" t="s">
        <v>1082</v>
      </c>
      <c r="E73" s="88"/>
      <c r="G73" s="2"/>
      <c r="H73" s="2"/>
    </row>
    <row r="74" spans="2:10" ht="39.950000000000003" customHeight="1" x14ac:dyDescent="0.2">
      <c r="B74" s="65" t="s">
        <v>1083</v>
      </c>
      <c r="C74" s="84"/>
      <c r="D74" s="87"/>
      <c r="E74" s="84"/>
      <c r="G74" s="2"/>
      <c r="H74" s="2"/>
    </row>
    <row r="75" spans="2:10" ht="45" customHeight="1" x14ac:dyDescent="0.2">
      <c r="B75" s="65" t="s">
        <v>1084</v>
      </c>
      <c r="C75" s="84"/>
      <c r="D75" s="87"/>
      <c r="E75" s="84"/>
      <c r="G75" s="2"/>
      <c r="H75" s="2"/>
    </row>
    <row r="76" spans="2:10" ht="23.25" customHeight="1" thickBot="1" x14ac:dyDescent="0.25">
      <c r="B76" s="67" t="s">
        <v>1030</v>
      </c>
      <c r="C76" s="85"/>
      <c r="D76" s="70" t="s">
        <v>1030</v>
      </c>
      <c r="E76" s="89"/>
      <c r="G76" s="2"/>
      <c r="H76" s="2"/>
    </row>
    <row r="77" spans="2:10" ht="24.95" customHeight="1" x14ac:dyDescent="0.2">
      <c r="B77" s="58" t="s">
        <v>1014</v>
      </c>
      <c r="C77" s="59"/>
      <c r="D77" s="60"/>
      <c r="E77" s="61"/>
      <c r="G77" s="2"/>
      <c r="H77" s="2"/>
    </row>
    <row r="79" spans="2:10" ht="12" x14ac:dyDescent="0.2">
      <c r="B79" s="2" t="s">
        <v>1015</v>
      </c>
      <c r="C79" s="2"/>
      <c r="D79" s="2"/>
      <c r="G79" s="2"/>
      <c r="H79" s="2"/>
    </row>
    <row r="80" spans="2:10" ht="12" x14ac:dyDescent="0.2">
      <c r="B80" s="3" t="s">
        <v>1016</v>
      </c>
      <c r="C80" s="2"/>
      <c r="D80" s="2"/>
      <c r="G80" s="2"/>
      <c r="H80" s="2"/>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73:C76"/>
    <mergeCell ref="D73:D75"/>
    <mergeCell ref="E73:E76"/>
  </mergeCells>
  <hyperlinks>
    <hyperlink ref="G1" location="'Sheet1'!A1" display="Index" xr:uid="{B3E2EF33-A853-43E3-973D-736CD83ADB35}"/>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1C112-C975-4DA4-9830-5BC9F61931C6}">
  <dimension ref="B1:N135"/>
  <sheetViews>
    <sheetView workbookViewId="0"/>
  </sheetViews>
  <sheetFormatPr defaultColWidth="9.140625" defaultRowHeight="15.75" customHeight="1" x14ac:dyDescent="0.2"/>
  <cols>
    <col min="1" max="1" width="3.5703125" style="2" customWidth="1"/>
    <col min="2" max="2" width="50.42578125" style="9" customWidth="1"/>
    <col min="3" max="3" width="27.140625" style="9" customWidth="1"/>
    <col min="4" max="4" width="26.5703125" style="9" customWidth="1"/>
    <col min="5" max="5" width="27.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27</v>
      </c>
      <c r="C1" s="4" t="s">
        <v>972</v>
      </c>
      <c r="D1" s="4" t="s">
        <v>971</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132</v>
      </c>
      <c r="C5" s="19"/>
      <c r="D5" s="19"/>
      <c r="E5" s="20"/>
      <c r="F5" s="21"/>
      <c r="G5" s="22"/>
      <c r="H5" s="23"/>
    </row>
    <row r="6" spans="2:8" ht="15.75" customHeight="1" x14ac:dyDescent="0.2">
      <c r="B6" s="24" t="s">
        <v>133</v>
      </c>
      <c r="C6" s="25"/>
      <c r="D6" s="25"/>
      <c r="E6" s="26"/>
      <c r="F6" s="27"/>
      <c r="G6" s="28"/>
      <c r="H6" s="29"/>
    </row>
    <row r="7" spans="2:8" ht="15.75" customHeight="1" x14ac:dyDescent="0.2">
      <c r="B7" s="25" t="s">
        <v>149</v>
      </c>
      <c r="C7" s="25" t="s">
        <v>150</v>
      </c>
      <c r="D7" s="25" t="s">
        <v>136</v>
      </c>
      <c r="E7" s="26">
        <v>406433</v>
      </c>
      <c r="F7" s="27">
        <v>6566.94</v>
      </c>
      <c r="G7" s="28">
        <v>8.7900000000000006E-2</v>
      </c>
      <c r="H7" s="29"/>
    </row>
    <row r="8" spans="2:8" ht="15.75" customHeight="1" x14ac:dyDescent="0.2">
      <c r="B8" s="25" t="s">
        <v>153</v>
      </c>
      <c r="C8" s="25" t="s">
        <v>154</v>
      </c>
      <c r="D8" s="25" t="s">
        <v>155</v>
      </c>
      <c r="E8" s="26">
        <v>182481</v>
      </c>
      <c r="F8" s="27">
        <v>5494.23</v>
      </c>
      <c r="G8" s="28">
        <v>7.3599999999999999E-2</v>
      </c>
      <c r="H8" s="29"/>
    </row>
    <row r="9" spans="2:8" ht="15.75" customHeight="1" x14ac:dyDescent="0.2">
      <c r="B9" s="25" t="s">
        <v>134</v>
      </c>
      <c r="C9" s="25" t="s">
        <v>135</v>
      </c>
      <c r="D9" s="25" t="s">
        <v>136</v>
      </c>
      <c r="E9" s="26">
        <v>379725</v>
      </c>
      <c r="F9" s="27">
        <v>4613.28</v>
      </c>
      <c r="G9" s="28">
        <v>6.1800000000000001E-2</v>
      </c>
      <c r="H9" s="29"/>
    </row>
    <row r="10" spans="2:8" ht="15.75" customHeight="1" x14ac:dyDescent="0.2">
      <c r="B10" s="25" t="s">
        <v>137</v>
      </c>
      <c r="C10" s="25" t="s">
        <v>138</v>
      </c>
      <c r="D10" s="25" t="s">
        <v>139</v>
      </c>
      <c r="E10" s="26">
        <v>194778</v>
      </c>
      <c r="F10" s="27">
        <v>3638.94</v>
      </c>
      <c r="G10" s="28">
        <v>4.87E-2</v>
      </c>
      <c r="H10" s="29"/>
    </row>
    <row r="11" spans="2:8" ht="15.75" customHeight="1" x14ac:dyDescent="0.2">
      <c r="B11" s="25" t="s">
        <v>285</v>
      </c>
      <c r="C11" s="25" t="s">
        <v>286</v>
      </c>
      <c r="D11" s="25" t="s">
        <v>142</v>
      </c>
      <c r="E11" s="26">
        <v>498528</v>
      </c>
      <c r="F11" s="27">
        <v>2469.46</v>
      </c>
      <c r="G11" s="28">
        <v>3.3099999999999997E-2</v>
      </c>
      <c r="H11" s="29"/>
    </row>
    <row r="12" spans="2:8" ht="15.75" customHeight="1" x14ac:dyDescent="0.2">
      <c r="B12" s="25" t="s">
        <v>350</v>
      </c>
      <c r="C12" s="25" t="s">
        <v>351</v>
      </c>
      <c r="D12" s="25" t="s">
        <v>352</v>
      </c>
      <c r="E12" s="26">
        <v>63198</v>
      </c>
      <c r="F12" s="27">
        <v>2411</v>
      </c>
      <c r="G12" s="28">
        <v>3.2300000000000002E-2</v>
      </c>
      <c r="H12" s="29"/>
    </row>
    <row r="13" spans="2:8" ht="15.75" customHeight="1" x14ac:dyDescent="0.2">
      <c r="B13" s="25" t="s">
        <v>236</v>
      </c>
      <c r="C13" s="25" t="s">
        <v>237</v>
      </c>
      <c r="D13" s="25" t="s">
        <v>139</v>
      </c>
      <c r="E13" s="26">
        <v>54806</v>
      </c>
      <c r="F13" s="27">
        <v>2403.4299999999998</v>
      </c>
      <c r="G13" s="28">
        <v>3.2199999999999999E-2</v>
      </c>
      <c r="H13" s="29"/>
    </row>
    <row r="14" spans="2:8" ht="15.75" customHeight="1" x14ac:dyDescent="0.2">
      <c r="B14" s="25" t="s">
        <v>215</v>
      </c>
      <c r="C14" s="25" t="s">
        <v>216</v>
      </c>
      <c r="D14" s="25" t="s">
        <v>217</v>
      </c>
      <c r="E14" s="26">
        <v>144350</v>
      </c>
      <c r="F14" s="27">
        <v>2153.0500000000002</v>
      </c>
      <c r="G14" s="28">
        <v>2.8799999999999999E-2</v>
      </c>
      <c r="H14" s="29"/>
    </row>
    <row r="15" spans="2:8" ht="15.75" customHeight="1" x14ac:dyDescent="0.2">
      <c r="B15" s="25" t="s">
        <v>287</v>
      </c>
      <c r="C15" s="25" t="s">
        <v>288</v>
      </c>
      <c r="D15" s="25" t="s">
        <v>136</v>
      </c>
      <c r="E15" s="26">
        <v>206754</v>
      </c>
      <c r="F15" s="27">
        <v>1803.72</v>
      </c>
      <c r="G15" s="28">
        <v>2.4199999999999999E-2</v>
      </c>
      <c r="H15" s="29"/>
    </row>
    <row r="16" spans="2:8" ht="15.75" customHeight="1" x14ac:dyDescent="0.2">
      <c r="B16" s="25" t="s">
        <v>291</v>
      </c>
      <c r="C16" s="25" t="s">
        <v>292</v>
      </c>
      <c r="D16" s="25" t="s">
        <v>136</v>
      </c>
      <c r="E16" s="26">
        <v>153069</v>
      </c>
      <c r="F16" s="27">
        <v>1784.94</v>
      </c>
      <c r="G16" s="28">
        <v>2.3900000000000001E-2</v>
      </c>
      <c r="H16" s="29"/>
    </row>
    <row r="17" spans="2:8" ht="15.75" customHeight="1" x14ac:dyDescent="0.2">
      <c r="B17" s="25" t="s">
        <v>143</v>
      </c>
      <c r="C17" s="25" t="s">
        <v>144</v>
      </c>
      <c r="D17" s="25" t="s">
        <v>145</v>
      </c>
      <c r="E17" s="26">
        <v>52175</v>
      </c>
      <c r="F17" s="27">
        <v>1517.14</v>
      </c>
      <c r="G17" s="28">
        <v>2.0299999999999999E-2</v>
      </c>
      <c r="H17" s="29"/>
    </row>
    <row r="18" spans="2:8" ht="15.75" customHeight="1" x14ac:dyDescent="0.2">
      <c r="B18" s="25" t="s">
        <v>289</v>
      </c>
      <c r="C18" s="25" t="s">
        <v>290</v>
      </c>
      <c r="D18" s="25" t="s">
        <v>136</v>
      </c>
      <c r="E18" s="26">
        <v>79159</v>
      </c>
      <c r="F18" s="27">
        <v>1431.12</v>
      </c>
      <c r="G18" s="28">
        <v>1.9199999999999998E-2</v>
      </c>
      <c r="H18" s="29"/>
    </row>
    <row r="19" spans="2:8" ht="15.75" customHeight="1" x14ac:dyDescent="0.2">
      <c r="B19" s="25" t="s">
        <v>140</v>
      </c>
      <c r="C19" s="25" t="s">
        <v>141</v>
      </c>
      <c r="D19" s="25" t="s">
        <v>142</v>
      </c>
      <c r="E19" s="26">
        <v>48042</v>
      </c>
      <c r="F19" s="27">
        <v>1299.8499999999999</v>
      </c>
      <c r="G19" s="28">
        <v>1.7399999999999999E-2</v>
      </c>
      <c r="H19" s="29"/>
    </row>
    <row r="20" spans="2:8" ht="15.75" customHeight="1" x14ac:dyDescent="0.2">
      <c r="B20" s="25" t="s">
        <v>487</v>
      </c>
      <c r="C20" s="25" t="s">
        <v>488</v>
      </c>
      <c r="D20" s="25" t="s">
        <v>145</v>
      </c>
      <c r="E20" s="26">
        <v>95120</v>
      </c>
      <c r="F20" s="27">
        <v>1100.21</v>
      </c>
      <c r="G20" s="28">
        <v>1.47E-2</v>
      </c>
      <c r="H20" s="29"/>
    </row>
    <row r="21" spans="2:8" ht="15.75" customHeight="1" x14ac:dyDescent="0.2">
      <c r="B21" s="25" t="s">
        <v>255</v>
      </c>
      <c r="C21" s="25" t="s">
        <v>256</v>
      </c>
      <c r="D21" s="25" t="s">
        <v>184</v>
      </c>
      <c r="E21" s="26">
        <v>255568</v>
      </c>
      <c r="F21" s="27">
        <v>1063.1600000000001</v>
      </c>
      <c r="G21" s="28">
        <v>1.4200000000000001E-2</v>
      </c>
      <c r="H21" s="29"/>
    </row>
    <row r="22" spans="2:8" ht="15.75" customHeight="1" x14ac:dyDescent="0.2">
      <c r="B22" s="25" t="s">
        <v>293</v>
      </c>
      <c r="C22" s="25" t="s">
        <v>294</v>
      </c>
      <c r="D22" s="25" t="s">
        <v>212</v>
      </c>
      <c r="E22" s="26">
        <v>15032</v>
      </c>
      <c r="F22" s="27">
        <v>1023.22</v>
      </c>
      <c r="G22" s="28">
        <v>1.37E-2</v>
      </c>
      <c r="H22" s="29"/>
    </row>
    <row r="23" spans="2:8" ht="15.75" customHeight="1" x14ac:dyDescent="0.2">
      <c r="B23" s="25" t="s">
        <v>507</v>
      </c>
      <c r="C23" s="25" t="s">
        <v>508</v>
      </c>
      <c r="D23" s="25" t="s">
        <v>172</v>
      </c>
      <c r="E23" s="26">
        <v>57956</v>
      </c>
      <c r="F23" s="27">
        <v>996.47</v>
      </c>
      <c r="G23" s="28">
        <v>1.3299999999999999E-2</v>
      </c>
      <c r="H23" s="29"/>
    </row>
    <row r="24" spans="2:8" ht="15.75" customHeight="1" x14ac:dyDescent="0.2">
      <c r="B24" s="25" t="s">
        <v>298</v>
      </c>
      <c r="C24" s="25" t="s">
        <v>299</v>
      </c>
      <c r="D24" s="25" t="s">
        <v>139</v>
      </c>
      <c r="E24" s="26">
        <v>57708</v>
      </c>
      <c r="F24" s="27">
        <v>947.91</v>
      </c>
      <c r="G24" s="28">
        <v>1.2699999999999999E-2</v>
      </c>
      <c r="H24" s="29"/>
    </row>
    <row r="25" spans="2:8" ht="15.75" customHeight="1" x14ac:dyDescent="0.2">
      <c r="B25" s="25" t="s">
        <v>234</v>
      </c>
      <c r="C25" s="25" t="s">
        <v>235</v>
      </c>
      <c r="D25" s="25" t="s">
        <v>145</v>
      </c>
      <c r="E25" s="26">
        <v>7166</v>
      </c>
      <c r="F25" s="27">
        <v>939.88</v>
      </c>
      <c r="G25" s="28">
        <v>1.26E-2</v>
      </c>
      <c r="H25" s="29"/>
    </row>
    <row r="26" spans="2:8" ht="15.75" customHeight="1" x14ac:dyDescent="0.2">
      <c r="B26" s="25" t="s">
        <v>191</v>
      </c>
      <c r="C26" s="25" t="s">
        <v>192</v>
      </c>
      <c r="D26" s="25" t="s">
        <v>184</v>
      </c>
      <c r="E26" s="26">
        <v>245392</v>
      </c>
      <c r="F26" s="27">
        <v>854.45</v>
      </c>
      <c r="G26" s="28">
        <v>1.14E-2</v>
      </c>
      <c r="H26" s="29"/>
    </row>
    <row r="27" spans="2:8" ht="15.75" customHeight="1" x14ac:dyDescent="0.2">
      <c r="B27" s="25" t="s">
        <v>402</v>
      </c>
      <c r="C27" s="25" t="s">
        <v>403</v>
      </c>
      <c r="D27" s="25" t="s">
        <v>187</v>
      </c>
      <c r="E27" s="26">
        <v>22356</v>
      </c>
      <c r="F27" s="27">
        <v>773.28</v>
      </c>
      <c r="G27" s="28">
        <v>1.04E-2</v>
      </c>
      <c r="H27" s="29"/>
    </row>
    <row r="28" spans="2:8" ht="15.75" customHeight="1" x14ac:dyDescent="0.2">
      <c r="B28" s="25" t="s">
        <v>394</v>
      </c>
      <c r="C28" s="25" t="s">
        <v>395</v>
      </c>
      <c r="D28" s="25" t="s">
        <v>220</v>
      </c>
      <c r="E28" s="26">
        <v>334407</v>
      </c>
      <c r="F28" s="27">
        <v>767.3</v>
      </c>
      <c r="G28" s="28">
        <v>1.03E-2</v>
      </c>
      <c r="H28" s="29"/>
    </row>
    <row r="29" spans="2:8" ht="15.75" customHeight="1" x14ac:dyDescent="0.2">
      <c r="B29" s="25" t="s">
        <v>485</v>
      </c>
      <c r="C29" s="25" t="s">
        <v>486</v>
      </c>
      <c r="D29" s="25" t="s">
        <v>187</v>
      </c>
      <c r="E29" s="26">
        <v>24315</v>
      </c>
      <c r="F29" s="27">
        <v>749.98</v>
      </c>
      <c r="G29" s="28">
        <v>0.01</v>
      </c>
      <c r="H29" s="29"/>
    </row>
    <row r="30" spans="2:8" ht="15.75" customHeight="1" x14ac:dyDescent="0.2">
      <c r="B30" s="25" t="s">
        <v>491</v>
      </c>
      <c r="C30" s="25" t="s">
        <v>492</v>
      </c>
      <c r="D30" s="25" t="s">
        <v>269</v>
      </c>
      <c r="E30" s="26">
        <v>6269</v>
      </c>
      <c r="F30" s="27">
        <v>745.21</v>
      </c>
      <c r="G30" s="28">
        <v>0.01</v>
      </c>
      <c r="H30" s="29"/>
    </row>
    <row r="31" spans="2:8" ht="15.75" customHeight="1" x14ac:dyDescent="0.2">
      <c r="B31" s="25" t="s">
        <v>179</v>
      </c>
      <c r="C31" s="25" t="s">
        <v>180</v>
      </c>
      <c r="D31" s="25" t="s">
        <v>181</v>
      </c>
      <c r="E31" s="26">
        <v>445576</v>
      </c>
      <c r="F31" s="27">
        <v>736.67</v>
      </c>
      <c r="G31" s="28">
        <v>9.9000000000000008E-3</v>
      </c>
      <c r="H31" s="29"/>
    </row>
    <row r="32" spans="2:8" ht="15.75" customHeight="1" x14ac:dyDescent="0.2">
      <c r="B32" s="25" t="s">
        <v>530</v>
      </c>
      <c r="C32" s="25" t="s">
        <v>531</v>
      </c>
      <c r="D32" s="25" t="s">
        <v>436</v>
      </c>
      <c r="E32" s="26">
        <v>210003</v>
      </c>
      <c r="F32" s="27">
        <v>701.83</v>
      </c>
      <c r="G32" s="28">
        <v>9.4000000000000004E-3</v>
      </c>
      <c r="H32" s="29"/>
    </row>
    <row r="33" spans="2:8" ht="15.75" customHeight="1" x14ac:dyDescent="0.2">
      <c r="B33" s="25" t="s">
        <v>384</v>
      </c>
      <c r="C33" s="25" t="s">
        <v>385</v>
      </c>
      <c r="D33" s="25" t="s">
        <v>220</v>
      </c>
      <c r="E33" s="26">
        <v>11824</v>
      </c>
      <c r="F33" s="27">
        <v>690.4</v>
      </c>
      <c r="G33" s="28">
        <v>9.1999999999999998E-3</v>
      </c>
      <c r="H33" s="29"/>
    </row>
    <row r="34" spans="2:8" ht="15.75" customHeight="1" x14ac:dyDescent="0.2">
      <c r="B34" s="25" t="s">
        <v>225</v>
      </c>
      <c r="C34" s="25" t="s">
        <v>226</v>
      </c>
      <c r="D34" s="25" t="s">
        <v>227</v>
      </c>
      <c r="E34" s="26">
        <v>121858</v>
      </c>
      <c r="F34" s="27">
        <v>636.34</v>
      </c>
      <c r="G34" s="28">
        <v>8.5000000000000006E-3</v>
      </c>
      <c r="H34" s="29"/>
    </row>
    <row r="35" spans="2:8" ht="15.75" customHeight="1" x14ac:dyDescent="0.2">
      <c r="B35" s="25" t="s">
        <v>802</v>
      </c>
      <c r="C35" s="25" t="s">
        <v>803</v>
      </c>
      <c r="D35" s="25" t="s">
        <v>245</v>
      </c>
      <c r="E35" s="26">
        <v>39815</v>
      </c>
      <c r="F35" s="27">
        <v>625.05999999999995</v>
      </c>
      <c r="G35" s="28">
        <v>8.3999999999999995E-3</v>
      </c>
      <c r="H35" s="29"/>
    </row>
    <row r="36" spans="2:8" ht="15.75" customHeight="1" x14ac:dyDescent="0.2">
      <c r="B36" s="25" t="s">
        <v>173</v>
      </c>
      <c r="C36" s="25" t="s">
        <v>174</v>
      </c>
      <c r="D36" s="25" t="s">
        <v>175</v>
      </c>
      <c r="E36" s="26">
        <v>194241</v>
      </c>
      <c r="F36" s="27">
        <v>613.9</v>
      </c>
      <c r="G36" s="28">
        <v>8.2000000000000007E-3</v>
      </c>
      <c r="H36" s="29"/>
    </row>
    <row r="37" spans="2:8" ht="15.75" customHeight="1" x14ac:dyDescent="0.2">
      <c r="B37" s="25" t="s">
        <v>550</v>
      </c>
      <c r="C37" s="25" t="s">
        <v>551</v>
      </c>
      <c r="D37" s="25" t="s">
        <v>145</v>
      </c>
      <c r="E37" s="26">
        <v>6007</v>
      </c>
      <c r="F37" s="27">
        <v>580.53</v>
      </c>
      <c r="G37" s="28">
        <v>7.7999999999999996E-3</v>
      </c>
      <c r="H37" s="29"/>
    </row>
    <row r="38" spans="2:8" ht="15.75" customHeight="1" x14ac:dyDescent="0.2">
      <c r="B38" s="25" t="s">
        <v>945</v>
      </c>
      <c r="C38" s="25" t="s">
        <v>946</v>
      </c>
      <c r="D38" s="25" t="s">
        <v>212</v>
      </c>
      <c r="E38" s="26">
        <v>176419</v>
      </c>
      <c r="F38" s="27">
        <v>579.54</v>
      </c>
      <c r="G38" s="28">
        <v>7.7999999999999996E-3</v>
      </c>
      <c r="H38" s="29"/>
    </row>
    <row r="39" spans="2:8" ht="15.75" customHeight="1" x14ac:dyDescent="0.2">
      <c r="B39" s="25" t="s">
        <v>300</v>
      </c>
      <c r="C39" s="25" t="s">
        <v>301</v>
      </c>
      <c r="D39" s="25" t="s">
        <v>269</v>
      </c>
      <c r="E39" s="26">
        <v>20050</v>
      </c>
      <c r="F39" s="27">
        <v>556.74</v>
      </c>
      <c r="G39" s="28">
        <v>7.4999999999999997E-3</v>
      </c>
      <c r="H39" s="29"/>
    </row>
    <row r="40" spans="2:8" ht="15.75" customHeight="1" x14ac:dyDescent="0.2">
      <c r="B40" s="25" t="s">
        <v>203</v>
      </c>
      <c r="C40" s="25" t="s">
        <v>204</v>
      </c>
      <c r="D40" s="25" t="s">
        <v>139</v>
      </c>
      <c r="E40" s="26">
        <v>34336</v>
      </c>
      <c r="F40" s="27">
        <v>533.72</v>
      </c>
      <c r="G40" s="28">
        <v>7.1000000000000004E-3</v>
      </c>
      <c r="H40" s="29"/>
    </row>
    <row r="41" spans="2:8" ht="15.75" customHeight="1" x14ac:dyDescent="0.2">
      <c r="B41" s="25" t="s">
        <v>270</v>
      </c>
      <c r="C41" s="25" t="s">
        <v>271</v>
      </c>
      <c r="D41" s="25" t="s">
        <v>240</v>
      </c>
      <c r="E41" s="26">
        <v>78038</v>
      </c>
      <c r="F41" s="27">
        <v>522.54</v>
      </c>
      <c r="G41" s="28">
        <v>7.0000000000000001E-3</v>
      </c>
      <c r="H41" s="29"/>
    </row>
    <row r="42" spans="2:8" ht="15.75" customHeight="1" x14ac:dyDescent="0.2">
      <c r="B42" s="25" t="s">
        <v>324</v>
      </c>
      <c r="C42" s="25" t="s">
        <v>325</v>
      </c>
      <c r="D42" s="25" t="s">
        <v>136</v>
      </c>
      <c r="E42" s="26">
        <v>36279</v>
      </c>
      <c r="F42" s="27">
        <v>517.99</v>
      </c>
      <c r="G42" s="28">
        <v>6.8999999999999999E-3</v>
      </c>
      <c r="H42" s="29"/>
    </row>
    <row r="43" spans="2:8" ht="15.75" customHeight="1" x14ac:dyDescent="0.2">
      <c r="B43" s="25" t="s">
        <v>272</v>
      </c>
      <c r="C43" s="25" t="s">
        <v>273</v>
      </c>
      <c r="D43" s="25" t="s">
        <v>175</v>
      </c>
      <c r="E43" s="26">
        <v>10116</v>
      </c>
      <c r="F43" s="27">
        <v>498</v>
      </c>
      <c r="G43" s="28">
        <v>6.7000000000000002E-3</v>
      </c>
      <c r="H43" s="29"/>
    </row>
    <row r="44" spans="2:8" ht="15.75" customHeight="1" x14ac:dyDescent="0.2">
      <c r="B44" s="25" t="s">
        <v>804</v>
      </c>
      <c r="C44" s="25" t="s">
        <v>805</v>
      </c>
      <c r="D44" s="25" t="s">
        <v>212</v>
      </c>
      <c r="E44" s="26">
        <v>29232</v>
      </c>
      <c r="F44" s="27">
        <v>482.81</v>
      </c>
      <c r="G44" s="28">
        <v>6.4999999999999997E-3</v>
      </c>
      <c r="H44" s="29"/>
    </row>
    <row r="45" spans="2:8" ht="15.75" customHeight="1" x14ac:dyDescent="0.2">
      <c r="B45" s="25" t="s">
        <v>241</v>
      </c>
      <c r="C45" s="25" t="s">
        <v>242</v>
      </c>
      <c r="D45" s="25" t="s">
        <v>181</v>
      </c>
      <c r="E45" s="26">
        <v>51700</v>
      </c>
      <c r="F45" s="27">
        <v>479.91</v>
      </c>
      <c r="G45" s="28">
        <v>6.4000000000000003E-3</v>
      </c>
      <c r="H45" s="29"/>
    </row>
    <row r="46" spans="2:8" ht="15.75" customHeight="1" x14ac:dyDescent="0.2">
      <c r="B46" s="25" t="s">
        <v>146</v>
      </c>
      <c r="C46" s="25" t="s">
        <v>147</v>
      </c>
      <c r="D46" s="25" t="s">
        <v>148</v>
      </c>
      <c r="E46" s="26">
        <v>19033</v>
      </c>
      <c r="F46" s="27">
        <v>467.52</v>
      </c>
      <c r="G46" s="28">
        <v>6.3E-3</v>
      </c>
      <c r="H46" s="29"/>
    </row>
    <row r="47" spans="2:8" ht="15.75" customHeight="1" x14ac:dyDescent="0.2">
      <c r="B47" s="25" t="s">
        <v>806</v>
      </c>
      <c r="C47" s="25" t="s">
        <v>807</v>
      </c>
      <c r="D47" s="25" t="s">
        <v>808</v>
      </c>
      <c r="E47" s="26">
        <v>14132</v>
      </c>
      <c r="F47" s="27">
        <v>447.9</v>
      </c>
      <c r="G47" s="28">
        <v>6.0000000000000001E-3</v>
      </c>
      <c r="H47" s="29"/>
    </row>
    <row r="48" spans="2:8" ht="15.75" customHeight="1" x14ac:dyDescent="0.2">
      <c r="B48" s="25" t="s">
        <v>590</v>
      </c>
      <c r="C48" s="25" t="s">
        <v>591</v>
      </c>
      <c r="D48" s="25" t="s">
        <v>172</v>
      </c>
      <c r="E48" s="26">
        <v>6572</v>
      </c>
      <c r="F48" s="27">
        <v>443.64</v>
      </c>
      <c r="G48" s="28">
        <v>5.8999999999999999E-3</v>
      </c>
      <c r="H48" s="29"/>
    </row>
    <row r="49" spans="2:8" ht="15.75" customHeight="1" x14ac:dyDescent="0.2">
      <c r="B49" s="25" t="s">
        <v>479</v>
      </c>
      <c r="C49" s="25" t="s">
        <v>480</v>
      </c>
      <c r="D49" s="25" t="s">
        <v>212</v>
      </c>
      <c r="E49" s="26">
        <v>15082</v>
      </c>
      <c r="F49" s="27">
        <v>442.2</v>
      </c>
      <c r="G49" s="28">
        <v>5.8999999999999999E-3</v>
      </c>
      <c r="H49" s="29"/>
    </row>
    <row r="50" spans="2:8" ht="15.75" customHeight="1" x14ac:dyDescent="0.2">
      <c r="B50" s="25" t="s">
        <v>584</v>
      </c>
      <c r="C50" s="25" t="s">
        <v>585</v>
      </c>
      <c r="D50" s="25" t="s">
        <v>172</v>
      </c>
      <c r="E50" s="26">
        <v>28379</v>
      </c>
      <c r="F50" s="27">
        <v>438.26</v>
      </c>
      <c r="G50" s="28">
        <v>5.8999999999999999E-3</v>
      </c>
      <c r="H50" s="29"/>
    </row>
    <row r="51" spans="2:8" ht="15.75" customHeight="1" x14ac:dyDescent="0.2">
      <c r="B51" s="25" t="s">
        <v>326</v>
      </c>
      <c r="C51" s="25" t="s">
        <v>327</v>
      </c>
      <c r="D51" s="25" t="s">
        <v>212</v>
      </c>
      <c r="E51" s="26">
        <v>78164</v>
      </c>
      <c r="F51" s="27">
        <v>435.22</v>
      </c>
      <c r="G51" s="28">
        <v>5.7999999999999996E-3</v>
      </c>
      <c r="H51" s="29"/>
    </row>
    <row r="52" spans="2:8" ht="15.75" customHeight="1" x14ac:dyDescent="0.2">
      <c r="B52" s="25" t="s">
        <v>353</v>
      </c>
      <c r="C52" s="25" t="s">
        <v>354</v>
      </c>
      <c r="D52" s="25" t="s">
        <v>212</v>
      </c>
      <c r="E52" s="26">
        <v>66699</v>
      </c>
      <c r="F52" s="27">
        <v>429.71</v>
      </c>
      <c r="G52" s="28">
        <v>5.7999999999999996E-3</v>
      </c>
      <c r="H52" s="29"/>
    </row>
    <row r="53" spans="2:8" ht="15.75" customHeight="1" x14ac:dyDescent="0.2">
      <c r="B53" s="25" t="s">
        <v>334</v>
      </c>
      <c r="C53" s="25" t="s">
        <v>335</v>
      </c>
      <c r="D53" s="25" t="s">
        <v>336</v>
      </c>
      <c r="E53" s="26">
        <v>24011</v>
      </c>
      <c r="F53" s="27">
        <v>421.07</v>
      </c>
      <c r="G53" s="28">
        <v>5.5999999999999999E-3</v>
      </c>
      <c r="H53" s="29"/>
    </row>
    <row r="54" spans="2:8" ht="15.75" customHeight="1" x14ac:dyDescent="0.2">
      <c r="B54" s="25" t="s">
        <v>182</v>
      </c>
      <c r="C54" s="25" t="s">
        <v>183</v>
      </c>
      <c r="D54" s="25" t="s">
        <v>184</v>
      </c>
      <c r="E54" s="26">
        <v>91402</v>
      </c>
      <c r="F54" s="27">
        <v>414.6</v>
      </c>
      <c r="G54" s="28">
        <v>5.5999999999999999E-3</v>
      </c>
      <c r="H54" s="29"/>
    </row>
    <row r="55" spans="2:8" ht="15.75" customHeight="1" x14ac:dyDescent="0.2">
      <c r="B55" s="25" t="s">
        <v>406</v>
      </c>
      <c r="C55" s="25" t="s">
        <v>407</v>
      </c>
      <c r="D55" s="25" t="s">
        <v>339</v>
      </c>
      <c r="E55" s="26">
        <v>25995</v>
      </c>
      <c r="F55" s="27">
        <v>410.05</v>
      </c>
      <c r="G55" s="28">
        <v>5.4999999999999997E-3</v>
      </c>
      <c r="H55" s="29"/>
    </row>
    <row r="56" spans="2:8" ht="15.75" customHeight="1" x14ac:dyDescent="0.2">
      <c r="B56" s="25" t="s">
        <v>809</v>
      </c>
      <c r="C56" s="25" t="s">
        <v>810</v>
      </c>
      <c r="D56" s="25" t="s">
        <v>336</v>
      </c>
      <c r="E56" s="26">
        <v>56587</v>
      </c>
      <c r="F56" s="27">
        <v>404.88</v>
      </c>
      <c r="G56" s="28">
        <v>5.4000000000000003E-3</v>
      </c>
      <c r="H56" s="29"/>
    </row>
    <row r="57" spans="2:8" ht="15.75" customHeight="1" x14ac:dyDescent="0.2">
      <c r="B57" s="25" t="s">
        <v>662</v>
      </c>
      <c r="C57" s="25" t="s">
        <v>663</v>
      </c>
      <c r="D57" s="25" t="s">
        <v>554</v>
      </c>
      <c r="E57" s="26">
        <v>33794</v>
      </c>
      <c r="F57" s="27">
        <v>401.79</v>
      </c>
      <c r="G57" s="28">
        <v>5.4000000000000003E-3</v>
      </c>
      <c r="H57" s="29"/>
    </row>
    <row r="58" spans="2:8" ht="15.75" customHeight="1" x14ac:dyDescent="0.2">
      <c r="B58" s="25" t="s">
        <v>764</v>
      </c>
      <c r="C58" s="25" t="s">
        <v>765</v>
      </c>
      <c r="D58" s="25" t="s">
        <v>220</v>
      </c>
      <c r="E58" s="26">
        <v>8136</v>
      </c>
      <c r="F58" s="27">
        <v>401.59</v>
      </c>
      <c r="G58" s="28">
        <v>5.4000000000000003E-3</v>
      </c>
      <c r="H58" s="29"/>
    </row>
    <row r="59" spans="2:8" ht="15.75" customHeight="1" x14ac:dyDescent="0.2">
      <c r="B59" s="25" t="s">
        <v>811</v>
      </c>
      <c r="C59" s="25" t="s">
        <v>812</v>
      </c>
      <c r="D59" s="25" t="s">
        <v>139</v>
      </c>
      <c r="E59" s="26">
        <v>76458</v>
      </c>
      <c r="F59" s="27">
        <v>399.11</v>
      </c>
      <c r="G59" s="28">
        <v>5.3E-3</v>
      </c>
      <c r="H59" s="29"/>
    </row>
    <row r="60" spans="2:8" ht="15.75" customHeight="1" x14ac:dyDescent="0.2">
      <c r="B60" s="25" t="s">
        <v>340</v>
      </c>
      <c r="C60" s="25" t="s">
        <v>341</v>
      </c>
      <c r="D60" s="25" t="s">
        <v>263</v>
      </c>
      <c r="E60" s="26">
        <v>8912</v>
      </c>
      <c r="F60" s="27">
        <v>398.56</v>
      </c>
      <c r="G60" s="28">
        <v>5.3E-3</v>
      </c>
      <c r="H60" s="29"/>
    </row>
    <row r="61" spans="2:8" ht="15.75" customHeight="1" x14ac:dyDescent="0.2">
      <c r="B61" s="25" t="s">
        <v>305</v>
      </c>
      <c r="C61" s="25" t="s">
        <v>306</v>
      </c>
      <c r="D61" s="25" t="s">
        <v>145</v>
      </c>
      <c r="E61" s="26">
        <v>6925</v>
      </c>
      <c r="F61" s="27">
        <v>380.08</v>
      </c>
      <c r="G61" s="28">
        <v>5.1000000000000004E-3</v>
      </c>
      <c r="H61" s="29"/>
    </row>
    <row r="62" spans="2:8" ht="15.75" customHeight="1" x14ac:dyDescent="0.2">
      <c r="B62" s="25" t="s">
        <v>248</v>
      </c>
      <c r="C62" s="25" t="s">
        <v>249</v>
      </c>
      <c r="D62" s="25" t="s">
        <v>155</v>
      </c>
      <c r="E62" s="26">
        <v>105787</v>
      </c>
      <c r="F62" s="27">
        <v>370.31</v>
      </c>
      <c r="G62" s="28">
        <v>5.0000000000000001E-3</v>
      </c>
      <c r="H62" s="29"/>
    </row>
    <row r="63" spans="2:8" ht="15.75" customHeight="1" x14ac:dyDescent="0.2">
      <c r="B63" s="25" t="s">
        <v>813</v>
      </c>
      <c r="C63" s="25" t="s">
        <v>814</v>
      </c>
      <c r="D63" s="25" t="s">
        <v>145</v>
      </c>
      <c r="E63" s="26">
        <v>7441</v>
      </c>
      <c r="F63" s="27">
        <v>369.27</v>
      </c>
      <c r="G63" s="28">
        <v>4.8999999999999998E-3</v>
      </c>
      <c r="H63" s="29"/>
    </row>
    <row r="64" spans="2:8" ht="15.75" customHeight="1" x14ac:dyDescent="0.2">
      <c r="B64" s="25" t="s">
        <v>257</v>
      </c>
      <c r="C64" s="25" t="s">
        <v>258</v>
      </c>
      <c r="D64" s="25" t="s">
        <v>148</v>
      </c>
      <c r="E64" s="26">
        <v>6366</v>
      </c>
      <c r="F64" s="27">
        <v>368.24</v>
      </c>
      <c r="G64" s="28">
        <v>4.8999999999999998E-3</v>
      </c>
      <c r="H64" s="29"/>
    </row>
    <row r="65" spans="2:14" ht="15.75" customHeight="1" x14ac:dyDescent="0.2">
      <c r="B65" s="25" t="s">
        <v>955</v>
      </c>
      <c r="C65" s="25" t="s">
        <v>956</v>
      </c>
      <c r="D65" s="25" t="s">
        <v>184</v>
      </c>
      <c r="E65" s="26">
        <v>19788</v>
      </c>
      <c r="F65" s="27">
        <v>365.52</v>
      </c>
      <c r="G65" s="28">
        <v>4.8999999999999998E-3</v>
      </c>
      <c r="H65" s="29"/>
    </row>
    <row r="66" spans="2:14" ht="15.75" customHeight="1" x14ac:dyDescent="0.2">
      <c r="B66" s="25" t="s">
        <v>953</v>
      </c>
      <c r="C66" s="25" t="s">
        <v>954</v>
      </c>
      <c r="D66" s="25" t="s">
        <v>184</v>
      </c>
      <c r="E66" s="26">
        <v>49620</v>
      </c>
      <c r="F66" s="27">
        <v>364.43</v>
      </c>
      <c r="G66" s="28">
        <v>4.8999999999999998E-3</v>
      </c>
      <c r="H66" s="29"/>
    </row>
    <row r="67" spans="2:14" ht="15.75" customHeight="1" x14ac:dyDescent="0.2">
      <c r="B67" s="25" t="s">
        <v>563</v>
      </c>
      <c r="C67" s="25" t="s">
        <v>564</v>
      </c>
      <c r="D67" s="25" t="s">
        <v>314</v>
      </c>
      <c r="E67" s="26">
        <v>5423</v>
      </c>
      <c r="F67" s="27">
        <v>358.75</v>
      </c>
      <c r="G67" s="28">
        <v>4.7999999999999996E-3</v>
      </c>
      <c r="H67" s="29"/>
    </row>
    <row r="68" spans="2:14" ht="15.75" customHeight="1" x14ac:dyDescent="0.2">
      <c r="B68" s="25" t="s">
        <v>929</v>
      </c>
      <c r="C68" s="25" t="s">
        <v>930</v>
      </c>
      <c r="D68" s="25" t="s">
        <v>155</v>
      </c>
      <c r="E68" s="26">
        <v>195784</v>
      </c>
      <c r="F68" s="27">
        <v>355.68</v>
      </c>
      <c r="G68" s="28">
        <v>4.7999999999999996E-3</v>
      </c>
      <c r="H68" s="29"/>
      <c r="J68" s="3"/>
    </row>
    <row r="69" spans="2:14" ht="15.75" customHeight="1" x14ac:dyDescent="0.2">
      <c r="B69" s="25" t="s">
        <v>396</v>
      </c>
      <c r="C69" s="25" t="s">
        <v>397</v>
      </c>
      <c r="D69" s="25" t="s">
        <v>178</v>
      </c>
      <c r="E69" s="26">
        <v>4889</v>
      </c>
      <c r="F69" s="27">
        <v>348.73</v>
      </c>
      <c r="G69" s="28">
        <v>4.7000000000000002E-3</v>
      </c>
      <c r="H69" s="29"/>
    </row>
    <row r="70" spans="2:14" ht="15.75" customHeight="1" x14ac:dyDescent="0.2">
      <c r="B70" s="25" t="s">
        <v>205</v>
      </c>
      <c r="C70" s="25" t="s">
        <v>206</v>
      </c>
      <c r="D70" s="25" t="s">
        <v>207</v>
      </c>
      <c r="E70" s="26">
        <v>143473</v>
      </c>
      <c r="F70" s="27">
        <v>345.73</v>
      </c>
      <c r="G70" s="28">
        <v>4.5999999999999999E-3</v>
      </c>
      <c r="H70" s="29"/>
      <c r="J70" s="3"/>
    </row>
    <row r="71" spans="2:14" ht="15.75" customHeight="1" x14ac:dyDescent="0.2">
      <c r="B71" s="25" t="s">
        <v>926</v>
      </c>
      <c r="C71" s="25" t="s">
        <v>927</v>
      </c>
      <c r="D71" s="25" t="s">
        <v>928</v>
      </c>
      <c r="E71" s="26">
        <v>75116</v>
      </c>
      <c r="F71" s="27">
        <v>338.59</v>
      </c>
      <c r="G71" s="28">
        <v>4.4999999999999997E-3</v>
      </c>
      <c r="H71" s="29"/>
      <c r="J71" s="3"/>
    </row>
    <row r="72" spans="2:14" ht="15.75" customHeight="1" x14ac:dyDescent="0.2">
      <c r="B72" s="25" t="s">
        <v>588</v>
      </c>
      <c r="C72" s="25" t="s">
        <v>589</v>
      </c>
      <c r="D72" s="25" t="s">
        <v>172</v>
      </c>
      <c r="E72" s="26">
        <v>6780</v>
      </c>
      <c r="F72" s="27">
        <v>333.79</v>
      </c>
      <c r="G72" s="28">
        <v>4.4999999999999997E-3</v>
      </c>
      <c r="H72" s="29"/>
      <c r="J72" s="3"/>
    </row>
    <row r="73" spans="2:14" ht="15.75" customHeight="1" x14ac:dyDescent="0.2">
      <c r="B73" s="25" t="s">
        <v>646</v>
      </c>
      <c r="C73" s="25" t="s">
        <v>647</v>
      </c>
      <c r="D73" s="25" t="s">
        <v>212</v>
      </c>
      <c r="E73" s="26">
        <v>22931</v>
      </c>
      <c r="F73" s="27">
        <v>324.83999999999997</v>
      </c>
      <c r="G73" s="28">
        <v>4.4000000000000003E-3</v>
      </c>
      <c r="H73" s="29"/>
      <c r="J73" s="3"/>
    </row>
    <row r="74" spans="2:14" ht="15.75" customHeight="1" x14ac:dyDescent="0.2">
      <c r="B74" s="25" t="s">
        <v>330</v>
      </c>
      <c r="C74" s="25" t="s">
        <v>331</v>
      </c>
      <c r="D74" s="25" t="s">
        <v>145</v>
      </c>
      <c r="E74" s="26">
        <v>12572</v>
      </c>
      <c r="F74" s="27">
        <v>318.2</v>
      </c>
      <c r="G74" s="28">
        <v>4.3E-3</v>
      </c>
      <c r="H74" s="29"/>
      <c r="J74" s="3"/>
    </row>
    <row r="75" spans="2:14" ht="15.75" customHeight="1" x14ac:dyDescent="0.2">
      <c r="B75" s="25" t="s">
        <v>200</v>
      </c>
      <c r="C75" s="25" t="s">
        <v>201</v>
      </c>
      <c r="D75" s="25" t="s">
        <v>202</v>
      </c>
      <c r="E75" s="26">
        <v>34348</v>
      </c>
      <c r="F75" s="27">
        <v>305.41000000000003</v>
      </c>
      <c r="G75" s="28">
        <v>4.1000000000000003E-3</v>
      </c>
      <c r="H75" s="29"/>
      <c r="J75" s="5"/>
      <c r="K75" s="5"/>
      <c r="L75" s="6"/>
      <c r="M75" s="6"/>
      <c r="N75" s="5"/>
    </row>
    <row r="76" spans="2:14" ht="15.75" customHeight="1" x14ac:dyDescent="0.2">
      <c r="B76" s="25" t="s">
        <v>414</v>
      </c>
      <c r="C76" s="25" t="s">
        <v>415</v>
      </c>
      <c r="D76" s="25" t="s">
        <v>266</v>
      </c>
      <c r="E76" s="26">
        <v>151004</v>
      </c>
      <c r="F76" s="27">
        <v>296.83</v>
      </c>
      <c r="G76" s="28">
        <v>4.0000000000000001E-3</v>
      </c>
      <c r="H76" s="29"/>
    </row>
    <row r="77" spans="2:14" ht="15.75" customHeight="1" x14ac:dyDescent="0.2">
      <c r="B77" s="25" t="s">
        <v>614</v>
      </c>
      <c r="C77" s="25" t="s">
        <v>615</v>
      </c>
      <c r="D77" s="25" t="s">
        <v>220</v>
      </c>
      <c r="E77" s="26">
        <v>4162</v>
      </c>
      <c r="F77" s="27">
        <v>292.47000000000003</v>
      </c>
      <c r="G77" s="28">
        <v>3.8999999999999998E-3</v>
      </c>
      <c r="H77" s="29"/>
    </row>
    <row r="78" spans="2:14" ht="15.75" customHeight="1" x14ac:dyDescent="0.2">
      <c r="B78" s="25" t="s">
        <v>317</v>
      </c>
      <c r="C78" s="25" t="s">
        <v>318</v>
      </c>
      <c r="D78" s="25" t="s">
        <v>319</v>
      </c>
      <c r="E78" s="26">
        <v>20240</v>
      </c>
      <c r="F78" s="27">
        <v>291.61</v>
      </c>
      <c r="G78" s="28">
        <v>3.8999999999999998E-3</v>
      </c>
      <c r="H78" s="29"/>
      <c r="J78" s="7"/>
      <c r="K78" s="7"/>
      <c r="L78" s="7"/>
      <c r="M78" s="7"/>
      <c r="N78" s="7"/>
    </row>
    <row r="79" spans="2:14" ht="15.75" customHeight="1" x14ac:dyDescent="0.2">
      <c r="B79" s="25" t="s">
        <v>151</v>
      </c>
      <c r="C79" s="25" t="s">
        <v>152</v>
      </c>
      <c r="D79" s="25" t="s">
        <v>139</v>
      </c>
      <c r="E79" s="26">
        <v>4942</v>
      </c>
      <c r="F79" s="27">
        <v>279.63</v>
      </c>
      <c r="G79" s="28">
        <v>3.7000000000000002E-3</v>
      </c>
      <c r="H79" s="29"/>
      <c r="J79" s="7"/>
      <c r="K79" s="7"/>
      <c r="L79" s="7"/>
      <c r="M79" s="7"/>
      <c r="N79" s="7"/>
    </row>
    <row r="80" spans="2:14" ht="15.75" customHeight="1" x14ac:dyDescent="0.2">
      <c r="B80" s="25" t="s">
        <v>762</v>
      </c>
      <c r="C80" s="25" t="s">
        <v>763</v>
      </c>
      <c r="D80" s="25" t="s">
        <v>336</v>
      </c>
      <c r="E80" s="26">
        <v>13078</v>
      </c>
      <c r="F80" s="27">
        <v>262.58</v>
      </c>
      <c r="G80" s="28">
        <v>3.5000000000000001E-3</v>
      </c>
      <c r="H80" s="29"/>
      <c r="J80" s="7"/>
      <c r="K80" s="7"/>
      <c r="L80" s="7"/>
      <c r="M80" s="7"/>
      <c r="N80" s="7"/>
    </row>
    <row r="81" spans="2:14" ht="15.75" customHeight="1" x14ac:dyDescent="0.2">
      <c r="B81" s="25" t="s">
        <v>760</v>
      </c>
      <c r="C81" s="25" t="s">
        <v>761</v>
      </c>
      <c r="D81" s="25" t="s">
        <v>233</v>
      </c>
      <c r="E81" s="26">
        <v>8186</v>
      </c>
      <c r="F81" s="27">
        <v>260.83999999999997</v>
      </c>
      <c r="G81" s="28">
        <v>3.5000000000000001E-3</v>
      </c>
      <c r="H81" s="29"/>
      <c r="J81" s="7"/>
      <c r="K81" s="7"/>
      <c r="L81" s="7"/>
      <c r="M81" s="7"/>
      <c r="N81" s="7"/>
    </row>
    <row r="82" spans="2:14" ht="15.75" customHeight="1" x14ac:dyDescent="0.2">
      <c r="B82" s="25" t="s">
        <v>213</v>
      </c>
      <c r="C82" s="25" t="s">
        <v>214</v>
      </c>
      <c r="D82" s="25" t="s">
        <v>136</v>
      </c>
      <c r="E82" s="26">
        <v>101638</v>
      </c>
      <c r="F82" s="27">
        <v>257.8</v>
      </c>
      <c r="G82" s="28">
        <v>3.5000000000000001E-3</v>
      </c>
      <c r="H82" s="29"/>
      <c r="J82" s="7"/>
      <c r="K82" s="7"/>
      <c r="L82" s="7"/>
      <c r="M82" s="7"/>
      <c r="N82" s="7"/>
    </row>
    <row r="83" spans="2:14" ht="15.75" customHeight="1" x14ac:dyDescent="0.2">
      <c r="B83" s="25" t="s">
        <v>185</v>
      </c>
      <c r="C83" s="25" t="s">
        <v>186</v>
      </c>
      <c r="D83" s="25" t="s">
        <v>187</v>
      </c>
      <c r="E83" s="26">
        <v>13511</v>
      </c>
      <c r="F83" s="27">
        <v>249.93</v>
      </c>
      <c r="G83" s="28">
        <v>3.3E-3</v>
      </c>
      <c r="H83" s="29"/>
      <c r="J83" s="7"/>
      <c r="K83" s="7"/>
      <c r="L83" s="7"/>
      <c r="M83" s="7"/>
      <c r="N83" s="7"/>
    </row>
    <row r="84" spans="2:14" ht="15.75" customHeight="1" x14ac:dyDescent="0.2">
      <c r="B84" s="25" t="s">
        <v>931</v>
      </c>
      <c r="C84" s="25" t="s">
        <v>932</v>
      </c>
      <c r="D84" s="25" t="s">
        <v>319</v>
      </c>
      <c r="E84" s="26">
        <v>7197</v>
      </c>
      <c r="F84" s="27">
        <v>245.57</v>
      </c>
      <c r="G84" s="28">
        <v>3.3E-3</v>
      </c>
      <c r="H84" s="29"/>
      <c r="J84" s="7"/>
      <c r="K84" s="7"/>
      <c r="L84" s="7"/>
      <c r="M84" s="7"/>
      <c r="N84" s="7"/>
    </row>
    <row r="85" spans="2:14" ht="15.75" customHeight="1" x14ac:dyDescent="0.2">
      <c r="B85" s="25" t="s">
        <v>933</v>
      </c>
      <c r="C85" s="25" t="s">
        <v>934</v>
      </c>
      <c r="D85" s="25" t="s">
        <v>178</v>
      </c>
      <c r="E85" s="26">
        <v>2897</v>
      </c>
      <c r="F85" s="27">
        <v>228.77</v>
      </c>
      <c r="G85" s="28">
        <v>3.0999999999999999E-3</v>
      </c>
      <c r="H85" s="29"/>
    </row>
    <row r="86" spans="2:14" ht="15.75" customHeight="1" x14ac:dyDescent="0.2">
      <c r="B86" s="25" t="s">
        <v>961</v>
      </c>
      <c r="C86" s="25" t="s">
        <v>962</v>
      </c>
      <c r="D86" s="25" t="s">
        <v>212</v>
      </c>
      <c r="E86" s="26">
        <v>2308</v>
      </c>
      <c r="F86" s="27">
        <v>222.02</v>
      </c>
      <c r="G86" s="28">
        <v>3.0000000000000001E-3</v>
      </c>
      <c r="H86" s="29"/>
      <c r="J86" s="3"/>
    </row>
    <row r="87" spans="2:14" ht="15.75" customHeight="1" x14ac:dyDescent="0.2">
      <c r="B87" s="25" t="s">
        <v>935</v>
      </c>
      <c r="C87" s="25" t="s">
        <v>936</v>
      </c>
      <c r="D87" s="25" t="s">
        <v>339</v>
      </c>
      <c r="E87" s="26">
        <v>15698</v>
      </c>
      <c r="F87" s="27">
        <v>221.86</v>
      </c>
      <c r="G87" s="28">
        <v>3.0000000000000001E-3</v>
      </c>
      <c r="H87" s="29"/>
    </row>
    <row r="88" spans="2:14" ht="15.75" customHeight="1" x14ac:dyDescent="0.2">
      <c r="B88" s="25" t="s">
        <v>937</v>
      </c>
      <c r="C88" s="25" t="s">
        <v>938</v>
      </c>
      <c r="D88" s="25" t="s">
        <v>269</v>
      </c>
      <c r="E88" s="26">
        <v>31741</v>
      </c>
      <c r="F88" s="27">
        <v>215.82</v>
      </c>
      <c r="G88" s="28">
        <v>2.8999999999999998E-3</v>
      </c>
      <c r="H88" s="29"/>
    </row>
    <row r="89" spans="2:14" ht="15.75" customHeight="1" x14ac:dyDescent="0.2">
      <c r="B89" s="25" t="s">
        <v>322</v>
      </c>
      <c r="C89" s="25" t="s">
        <v>323</v>
      </c>
      <c r="D89" s="25" t="s">
        <v>233</v>
      </c>
      <c r="E89" s="26">
        <v>7927</v>
      </c>
      <c r="F89" s="27">
        <v>209.66</v>
      </c>
      <c r="G89" s="28">
        <v>2.8E-3</v>
      </c>
      <c r="H89" s="29"/>
    </row>
    <row r="90" spans="2:14" ht="15.75" customHeight="1" x14ac:dyDescent="0.2">
      <c r="B90" s="25" t="s">
        <v>939</v>
      </c>
      <c r="C90" s="25" t="s">
        <v>940</v>
      </c>
      <c r="D90" s="25" t="s">
        <v>136</v>
      </c>
      <c r="E90" s="26">
        <v>177191</v>
      </c>
      <c r="F90" s="27">
        <v>203.26</v>
      </c>
      <c r="G90" s="28">
        <v>2.7000000000000001E-3</v>
      </c>
      <c r="H90" s="29"/>
    </row>
    <row r="91" spans="2:14" ht="15.75" customHeight="1" x14ac:dyDescent="0.2">
      <c r="B91" s="25" t="s">
        <v>941</v>
      </c>
      <c r="C91" s="25" t="s">
        <v>942</v>
      </c>
      <c r="D91" s="25" t="s">
        <v>269</v>
      </c>
      <c r="E91" s="26">
        <v>721</v>
      </c>
      <c r="F91" s="27">
        <v>200.01</v>
      </c>
      <c r="G91" s="28">
        <v>2.7000000000000001E-3</v>
      </c>
      <c r="H91" s="29"/>
    </row>
    <row r="92" spans="2:14" ht="15.75" customHeight="1" x14ac:dyDescent="0.2">
      <c r="B92" s="25" t="s">
        <v>342</v>
      </c>
      <c r="C92" s="25" t="s">
        <v>343</v>
      </c>
      <c r="D92" s="25" t="s">
        <v>319</v>
      </c>
      <c r="E92" s="26">
        <v>31414</v>
      </c>
      <c r="F92" s="27">
        <v>199.7</v>
      </c>
      <c r="G92" s="28">
        <v>2.7000000000000001E-3</v>
      </c>
      <c r="H92" s="29"/>
    </row>
    <row r="93" spans="2:14" ht="15.75" customHeight="1" x14ac:dyDescent="0.2">
      <c r="B93" s="25" t="s">
        <v>193</v>
      </c>
      <c r="C93" s="25" t="s">
        <v>194</v>
      </c>
      <c r="D93" s="25" t="s">
        <v>136</v>
      </c>
      <c r="E93" s="26">
        <v>160573</v>
      </c>
      <c r="F93" s="27">
        <v>199.03</v>
      </c>
      <c r="G93" s="28">
        <v>2.7000000000000001E-3</v>
      </c>
      <c r="H93" s="29"/>
    </row>
    <row r="94" spans="2:14" ht="15.75" customHeight="1" x14ac:dyDescent="0.2">
      <c r="B94" s="25" t="s">
        <v>973</v>
      </c>
      <c r="C94" s="25" t="s">
        <v>974</v>
      </c>
      <c r="D94" s="25" t="s">
        <v>145</v>
      </c>
      <c r="E94" s="26">
        <v>24905</v>
      </c>
      <c r="F94" s="27">
        <v>197.5</v>
      </c>
      <c r="G94" s="28">
        <v>2.5999999999999999E-3</v>
      </c>
      <c r="H94" s="29"/>
    </row>
    <row r="95" spans="2:14" ht="15.75" customHeight="1" x14ac:dyDescent="0.2">
      <c r="B95" s="25" t="s">
        <v>943</v>
      </c>
      <c r="C95" s="25" t="s">
        <v>944</v>
      </c>
      <c r="D95" s="25" t="s">
        <v>181</v>
      </c>
      <c r="E95" s="26">
        <v>19813</v>
      </c>
      <c r="F95" s="27">
        <v>195.8</v>
      </c>
      <c r="G95" s="28">
        <v>2.5999999999999999E-3</v>
      </c>
      <c r="H95" s="29"/>
    </row>
    <row r="96" spans="2:14" ht="15.75" customHeight="1" x14ac:dyDescent="0.2">
      <c r="B96" s="25" t="s">
        <v>963</v>
      </c>
      <c r="C96" s="25" t="s">
        <v>964</v>
      </c>
      <c r="D96" s="25" t="s">
        <v>212</v>
      </c>
      <c r="E96" s="26">
        <v>98481</v>
      </c>
      <c r="F96" s="27">
        <v>190.71</v>
      </c>
      <c r="G96" s="28">
        <v>2.5999999999999999E-3</v>
      </c>
      <c r="H96" s="29"/>
    </row>
    <row r="97" spans="2:8" ht="15.75" customHeight="1" x14ac:dyDescent="0.2">
      <c r="B97" s="25" t="s">
        <v>947</v>
      </c>
      <c r="C97" s="25" t="s">
        <v>948</v>
      </c>
      <c r="D97" s="25" t="s">
        <v>554</v>
      </c>
      <c r="E97" s="26">
        <v>27864</v>
      </c>
      <c r="F97" s="27">
        <v>187.83</v>
      </c>
      <c r="G97" s="28">
        <v>2.5000000000000001E-3</v>
      </c>
      <c r="H97" s="29"/>
    </row>
    <row r="98" spans="2:8" ht="15.75" customHeight="1" x14ac:dyDescent="0.2">
      <c r="B98" s="25" t="s">
        <v>965</v>
      </c>
      <c r="C98" s="25" t="s">
        <v>966</v>
      </c>
      <c r="D98" s="25" t="s">
        <v>184</v>
      </c>
      <c r="E98" s="26">
        <v>16329</v>
      </c>
      <c r="F98" s="27">
        <v>185.83</v>
      </c>
      <c r="G98" s="28">
        <v>2.5000000000000001E-3</v>
      </c>
      <c r="H98" s="29"/>
    </row>
    <row r="99" spans="2:8" ht="15.75" customHeight="1" x14ac:dyDescent="0.2">
      <c r="B99" s="25" t="s">
        <v>170</v>
      </c>
      <c r="C99" s="25" t="s">
        <v>171</v>
      </c>
      <c r="D99" s="25" t="s">
        <v>172</v>
      </c>
      <c r="E99" s="26">
        <v>13391</v>
      </c>
      <c r="F99" s="27">
        <v>167.01</v>
      </c>
      <c r="G99" s="28">
        <v>2.2000000000000001E-3</v>
      </c>
      <c r="H99" s="29"/>
    </row>
    <row r="100" spans="2:8" ht="15.75" customHeight="1" x14ac:dyDescent="0.2">
      <c r="B100" s="25" t="s">
        <v>949</v>
      </c>
      <c r="C100" s="25" t="s">
        <v>950</v>
      </c>
      <c r="D100" s="25" t="s">
        <v>266</v>
      </c>
      <c r="E100" s="26">
        <v>468</v>
      </c>
      <c r="F100" s="27">
        <v>163.69999999999999</v>
      </c>
      <c r="G100" s="28">
        <v>2.2000000000000001E-3</v>
      </c>
      <c r="H100" s="29"/>
    </row>
    <row r="101" spans="2:8" ht="15.75" customHeight="1" x14ac:dyDescent="0.2">
      <c r="B101" s="25" t="s">
        <v>228</v>
      </c>
      <c r="C101" s="25" t="s">
        <v>229</v>
      </c>
      <c r="D101" s="25" t="s">
        <v>230</v>
      </c>
      <c r="E101" s="26">
        <v>16223</v>
      </c>
      <c r="F101" s="27">
        <v>160.22999999999999</v>
      </c>
      <c r="G101" s="28">
        <v>2.0999999999999999E-3</v>
      </c>
      <c r="H101" s="29"/>
    </row>
    <row r="102" spans="2:8" ht="15.75" customHeight="1" x14ac:dyDescent="0.2">
      <c r="B102" s="25" t="s">
        <v>328</v>
      </c>
      <c r="C102" s="25" t="s">
        <v>329</v>
      </c>
      <c r="D102" s="25" t="s">
        <v>172</v>
      </c>
      <c r="E102" s="26">
        <v>4880</v>
      </c>
      <c r="F102" s="27">
        <v>154.78</v>
      </c>
      <c r="G102" s="28">
        <v>2.0999999999999999E-3</v>
      </c>
      <c r="H102" s="29"/>
    </row>
    <row r="103" spans="2:8" ht="15.75" customHeight="1" x14ac:dyDescent="0.2">
      <c r="B103" s="25" t="s">
        <v>951</v>
      </c>
      <c r="C103" s="25" t="s">
        <v>952</v>
      </c>
      <c r="D103" s="25" t="s">
        <v>336</v>
      </c>
      <c r="E103" s="26">
        <v>20836</v>
      </c>
      <c r="F103" s="27">
        <v>153.34</v>
      </c>
      <c r="G103" s="28">
        <v>2.0999999999999999E-3</v>
      </c>
      <c r="H103" s="29"/>
    </row>
    <row r="104" spans="2:8" ht="15.75" customHeight="1" x14ac:dyDescent="0.2">
      <c r="B104" s="25" t="s">
        <v>967</v>
      </c>
      <c r="C104" s="25" t="s">
        <v>968</v>
      </c>
      <c r="D104" s="25" t="s">
        <v>207</v>
      </c>
      <c r="E104" s="26">
        <v>14939</v>
      </c>
      <c r="F104" s="27">
        <v>133.79</v>
      </c>
      <c r="G104" s="28">
        <v>1.8E-3</v>
      </c>
      <c r="H104" s="29"/>
    </row>
    <row r="105" spans="2:8" ht="15.75" customHeight="1" x14ac:dyDescent="0.2">
      <c r="B105" s="25" t="s">
        <v>969</v>
      </c>
      <c r="C105" s="25" t="s">
        <v>970</v>
      </c>
      <c r="D105" s="25" t="s">
        <v>336</v>
      </c>
      <c r="E105" s="26">
        <v>10157</v>
      </c>
      <c r="F105" s="27">
        <v>119.46</v>
      </c>
      <c r="G105" s="28">
        <v>1.6000000000000001E-3</v>
      </c>
      <c r="H105" s="29"/>
    </row>
    <row r="106" spans="2:8" ht="15.75" customHeight="1" x14ac:dyDescent="0.2">
      <c r="B106" s="25" t="s">
        <v>957</v>
      </c>
      <c r="C106" s="25" t="s">
        <v>958</v>
      </c>
      <c r="D106" s="25" t="s">
        <v>212</v>
      </c>
      <c r="E106" s="26">
        <v>15921</v>
      </c>
      <c r="F106" s="27">
        <v>115.72</v>
      </c>
      <c r="G106" s="28">
        <v>1.5E-3</v>
      </c>
      <c r="H106" s="29"/>
    </row>
    <row r="107" spans="2:8" ht="15.75" customHeight="1" x14ac:dyDescent="0.2">
      <c r="B107" s="25" t="s">
        <v>959</v>
      </c>
      <c r="C107" s="25" t="s">
        <v>960</v>
      </c>
      <c r="D107" s="25" t="s">
        <v>187</v>
      </c>
      <c r="E107" s="26">
        <v>15101</v>
      </c>
      <c r="F107" s="27">
        <v>83.8</v>
      </c>
      <c r="G107" s="28">
        <v>1.1000000000000001E-3</v>
      </c>
      <c r="H107" s="29"/>
    </row>
    <row r="108" spans="2:8" ht="15.75" customHeight="1" x14ac:dyDescent="0.2">
      <c r="B108" s="24" t="s">
        <v>104</v>
      </c>
      <c r="C108" s="24"/>
      <c r="D108" s="24"/>
      <c r="E108" s="30"/>
      <c r="F108" s="31">
        <f>SUM(F7:F107)</f>
        <v>74454.709999999977</v>
      </c>
      <c r="G108" s="32">
        <v>0.997</v>
      </c>
      <c r="H108" s="33"/>
    </row>
    <row r="109" spans="2:8" ht="15.75" customHeight="1" x14ac:dyDescent="0.2">
      <c r="B109" s="24" t="s">
        <v>156</v>
      </c>
      <c r="C109" s="25"/>
      <c r="D109" s="25"/>
      <c r="E109" s="26"/>
      <c r="F109" s="27"/>
      <c r="G109" s="28"/>
      <c r="H109" s="29"/>
    </row>
    <row r="110" spans="2:8" ht="15.75" customHeight="1" x14ac:dyDescent="0.2">
      <c r="B110" s="25" t="s">
        <v>674</v>
      </c>
      <c r="C110" s="25" t="s">
        <v>675</v>
      </c>
      <c r="D110" s="25" t="s">
        <v>554</v>
      </c>
      <c r="E110" s="26">
        <v>1299</v>
      </c>
      <c r="F110" s="27">
        <v>4.82</v>
      </c>
      <c r="G110" s="28">
        <v>1E-4</v>
      </c>
      <c r="H110" s="29"/>
    </row>
    <row r="111" spans="2:8" ht="15.75" customHeight="1" x14ac:dyDescent="0.2">
      <c r="B111" s="24" t="s">
        <v>104</v>
      </c>
      <c r="C111" s="25"/>
      <c r="D111" s="25"/>
      <c r="E111" s="26"/>
      <c r="F111" s="31">
        <f>SUM(F110)</f>
        <v>4.82</v>
      </c>
      <c r="G111" s="32">
        <f>SUM(G110)</f>
        <v>1E-4</v>
      </c>
      <c r="H111" s="29"/>
    </row>
    <row r="112" spans="2:8" ht="15.75" customHeight="1" x14ac:dyDescent="0.2">
      <c r="B112" s="25"/>
      <c r="C112" s="25"/>
      <c r="D112" s="25"/>
      <c r="E112" s="26"/>
      <c r="F112" s="31"/>
      <c r="G112" s="32"/>
      <c r="H112" s="29"/>
    </row>
    <row r="113" spans="2:8" ht="15.75" customHeight="1" x14ac:dyDescent="0.2">
      <c r="B113" s="36" t="s">
        <v>108</v>
      </c>
      <c r="C113" s="36"/>
      <c r="D113" s="36"/>
      <c r="E113" s="37"/>
      <c r="F113" s="31">
        <v>74459.53</v>
      </c>
      <c r="G113" s="32">
        <v>0.99709999999999999</v>
      </c>
      <c r="H113" s="33"/>
    </row>
    <row r="114" spans="2:8" ht="15.75" customHeight="1" x14ac:dyDescent="0.2">
      <c r="B114" s="25"/>
      <c r="C114" s="25"/>
      <c r="D114" s="25"/>
      <c r="E114" s="26"/>
      <c r="F114" s="27"/>
      <c r="G114" s="28"/>
      <c r="H114" s="29"/>
    </row>
    <row r="115" spans="2:8" ht="15.75" customHeight="1" x14ac:dyDescent="0.2">
      <c r="B115" s="25"/>
      <c r="C115" s="25"/>
      <c r="D115" s="25"/>
      <c r="E115" s="26"/>
      <c r="F115" s="27"/>
      <c r="G115" s="28"/>
      <c r="H115" s="29"/>
    </row>
    <row r="116" spans="2:8" ht="15.75" customHeight="1" x14ac:dyDescent="0.2">
      <c r="B116" s="24" t="s">
        <v>111</v>
      </c>
      <c r="C116" s="25"/>
      <c r="D116" s="25"/>
      <c r="E116" s="26"/>
      <c r="F116" s="27"/>
      <c r="G116" s="28"/>
      <c r="H116" s="29"/>
    </row>
    <row r="117" spans="2:8" ht="15.75" customHeight="1" x14ac:dyDescent="0.2">
      <c r="B117" s="25" t="s">
        <v>112</v>
      </c>
      <c r="C117" s="25"/>
      <c r="D117" s="25"/>
      <c r="E117" s="26"/>
      <c r="F117" s="27">
        <v>64.680000000000007</v>
      </c>
      <c r="G117" s="28">
        <v>8.9999999999999998E-4</v>
      </c>
      <c r="H117" s="29"/>
    </row>
    <row r="118" spans="2:8" ht="15.75" customHeight="1" x14ac:dyDescent="0.2">
      <c r="B118" s="24" t="s">
        <v>104</v>
      </c>
      <c r="C118" s="24"/>
      <c r="D118" s="24"/>
      <c r="E118" s="30"/>
      <c r="F118" s="31">
        <v>64.680000000000007</v>
      </c>
      <c r="G118" s="32">
        <v>8.9999999999999998E-4</v>
      </c>
      <c r="H118" s="33"/>
    </row>
    <row r="119" spans="2:8" ht="15.75" customHeight="1" x14ac:dyDescent="0.2">
      <c r="B119" s="25"/>
      <c r="C119" s="25"/>
      <c r="D119" s="25"/>
      <c r="E119" s="26"/>
      <c r="F119" s="27"/>
      <c r="G119" s="28"/>
      <c r="H119" s="29"/>
    </row>
    <row r="120" spans="2:8" ht="15.75" customHeight="1" x14ac:dyDescent="0.2">
      <c r="B120" s="36" t="s">
        <v>108</v>
      </c>
      <c r="C120" s="36"/>
      <c r="D120" s="36"/>
      <c r="E120" s="37"/>
      <c r="F120" s="31">
        <v>64.680000000000007</v>
      </c>
      <c r="G120" s="32">
        <v>8.9999999999999998E-4</v>
      </c>
      <c r="H120" s="33"/>
    </row>
    <row r="121" spans="2:8" ht="15.75" customHeight="1" x14ac:dyDescent="0.2">
      <c r="B121" s="25" t="s">
        <v>113</v>
      </c>
      <c r="C121" s="25"/>
      <c r="D121" s="25"/>
      <c r="E121" s="26"/>
      <c r="F121" s="27">
        <v>149.27000000000001</v>
      </c>
      <c r="G121" s="28">
        <v>2.0000000000000018E-3</v>
      </c>
      <c r="H121" s="29"/>
    </row>
    <row r="122" spans="2:8" ht="15.75" customHeight="1" x14ac:dyDescent="0.2">
      <c r="B122" s="40" t="s">
        <v>114</v>
      </c>
      <c r="C122" s="40"/>
      <c r="D122" s="40"/>
      <c r="E122" s="41"/>
      <c r="F122" s="42">
        <v>74673.48</v>
      </c>
      <c r="G122" s="43">
        <v>1</v>
      </c>
      <c r="H122" s="44"/>
    </row>
    <row r="123" spans="2:8" ht="15.75" customHeight="1" x14ac:dyDescent="0.2">
      <c r="B123" s="2"/>
    </row>
    <row r="124" spans="2:8" ht="15.75" customHeight="1" x14ac:dyDescent="0.2">
      <c r="B124" s="12" t="s">
        <v>131</v>
      </c>
    </row>
    <row r="125" spans="2:8" ht="15.75" customHeight="1" x14ac:dyDescent="0.2">
      <c r="B125" s="12" t="s">
        <v>115</v>
      </c>
    </row>
    <row r="126" spans="2:8" ht="15.75" customHeight="1" thickBot="1" x14ac:dyDescent="0.25"/>
    <row r="127" spans="2:8" ht="27" customHeight="1" thickBot="1" x14ac:dyDescent="0.25">
      <c r="B127" s="56" t="s">
        <v>1009</v>
      </c>
      <c r="C127" s="57" t="s">
        <v>1010</v>
      </c>
      <c r="D127" s="57" t="s">
        <v>1011</v>
      </c>
      <c r="E127" s="62" t="s">
        <v>1012</v>
      </c>
      <c r="G127" s="2"/>
      <c r="H127" s="2"/>
    </row>
    <row r="128" spans="2:8" ht="21.75" customHeight="1" x14ac:dyDescent="0.2">
      <c r="B128" s="69" t="s">
        <v>76</v>
      </c>
      <c r="C128" s="83"/>
      <c r="D128" s="86" t="s">
        <v>1061</v>
      </c>
      <c r="E128" s="88"/>
      <c r="G128" s="2"/>
      <c r="H128" s="2"/>
    </row>
    <row r="129" spans="2:8" ht="31.5" customHeight="1" x14ac:dyDescent="0.2">
      <c r="B129" s="65" t="s">
        <v>1085</v>
      </c>
      <c r="C129" s="84"/>
      <c r="D129" s="87"/>
      <c r="E129" s="84"/>
      <c r="G129" s="2"/>
      <c r="H129" s="2"/>
    </row>
    <row r="130" spans="2:8" ht="48.75" customHeight="1" x14ac:dyDescent="0.2">
      <c r="B130" s="65" t="s">
        <v>1086</v>
      </c>
      <c r="C130" s="84"/>
      <c r="D130" s="87"/>
      <c r="E130" s="84"/>
      <c r="G130" s="2"/>
      <c r="H130" s="2"/>
    </row>
    <row r="131" spans="2:8" ht="28.5" customHeight="1" thickBot="1" x14ac:dyDescent="0.25">
      <c r="B131" s="67" t="s">
        <v>1087</v>
      </c>
      <c r="C131" s="85"/>
      <c r="D131" s="70" t="s">
        <v>1087</v>
      </c>
      <c r="E131" s="89"/>
      <c r="G131" s="2"/>
      <c r="H131" s="2"/>
    </row>
    <row r="132" spans="2:8" ht="24.95" customHeight="1" x14ac:dyDescent="0.2">
      <c r="B132" s="58" t="s">
        <v>1014</v>
      </c>
      <c r="C132" s="59"/>
      <c r="D132" s="60"/>
      <c r="E132" s="61"/>
      <c r="G132" s="2"/>
      <c r="H132" s="2"/>
    </row>
    <row r="134" spans="2:8" ht="12" x14ac:dyDescent="0.2">
      <c r="B134" s="2" t="s">
        <v>1015</v>
      </c>
      <c r="C134" s="2"/>
      <c r="D134" s="2"/>
      <c r="G134" s="2"/>
      <c r="H134" s="2"/>
    </row>
    <row r="135" spans="2:8" ht="12" x14ac:dyDescent="0.2">
      <c r="B135" s="3" t="s">
        <v>1016</v>
      </c>
      <c r="C135" s="2"/>
      <c r="D135" s="2"/>
      <c r="G135" s="2"/>
      <c r="H135" s="2"/>
    </row>
  </sheetData>
  <mergeCells count="3">
    <mergeCell ref="C128:C131"/>
    <mergeCell ref="D128:D130"/>
    <mergeCell ref="E128:E131"/>
  </mergeCells>
  <hyperlinks>
    <hyperlink ref="G1" location="'Sheet1'!A1" display="Index" xr:uid="{A206BA05-67F1-447E-A691-162C25F134E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FB034-74A8-44E5-B5CB-C5E74E84C356}">
  <dimension ref="B1:N87"/>
  <sheetViews>
    <sheetView workbookViewId="0"/>
  </sheetViews>
  <sheetFormatPr defaultColWidth="9.140625" defaultRowHeight="15.75" customHeight="1" x14ac:dyDescent="0.2"/>
  <cols>
    <col min="1" max="1" width="3.5703125" style="2" customWidth="1"/>
    <col min="2" max="2" width="50.42578125" style="9" customWidth="1"/>
    <col min="3" max="3" width="25.42578125" style="9" customWidth="1"/>
    <col min="4" max="4" width="26.5703125" style="9" customWidth="1"/>
    <col min="5" max="5" width="29.8554687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1099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132</v>
      </c>
      <c r="C5" s="19"/>
      <c r="D5" s="19"/>
      <c r="E5" s="20"/>
      <c r="F5" s="21"/>
      <c r="G5" s="22"/>
      <c r="H5" s="23"/>
    </row>
    <row r="6" spans="2:8" ht="15.75" customHeight="1" x14ac:dyDescent="0.2">
      <c r="B6" s="24" t="s">
        <v>133</v>
      </c>
      <c r="C6" s="25"/>
      <c r="D6" s="25"/>
      <c r="E6" s="26"/>
      <c r="F6" s="27"/>
      <c r="G6" s="28"/>
      <c r="H6" s="29"/>
    </row>
    <row r="7" spans="2:8" ht="15.75" customHeight="1" x14ac:dyDescent="0.2">
      <c r="B7" s="25" t="s">
        <v>134</v>
      </c>
      <c r="C7" s="25" t="s">
        <v>135</v>
      </c>
      <c r="D7" s="25" t="s">
        <v>136</v>
      </c>
      <c r="E7" s="26">
        <v>680968</v>
      </c>
      <c r="F7" s="27">
        <v>8273.08</v>
      </c>
      <c r="G7" s="28">
        <v>6.9599999999999995E-2</v>
      </c>
      <c r="H7" s="29"/>
    </row>
    <row r="8" spans="2:8" ht="15.75" customHeight="1" x14ac:dyDescent="0.2">
      <c r="B8" s="25" t="s">
        <v>149</v>
      </c>
      <c r="C8" s="25" t="s">
        <v>150</v>
      </c>
      <c r="D8" s="25" t="s">
        <v>136</v>
      </c>
      <c r="E8" s="26">
        <v>458211</v>
      </c>
      <c r="F8" s="27">
        <v>7403.54</v>
      </c>
      <c r="G8" s="28">
        <v>6.2300000000000001E-2</v>
      </c>
      <c r="H8" s="29"/>
    </row>
    <row r="9" spans="2:8" ht="15.75" customHeight="1" x14ac:dyDescent="0.2">
      <c r="B9" s="25" t="s">
        <v>295</v>
      </c>
      <c r="C9" s="25" t="s">
        <v>296</v>
      </c>
      <c r="D9" s="25" t="s">
        <v>297</v>
      </c>
      <c r="E9" s="26">
        <v>148944</v>
      </c>
      <c r="F9" s="27">
        <v>6370.26</v>
      </c>
      <c r="G9" s="28">
        <v>5.3600000000000002E-2</v>
      </c>
      <c r="H9" s="29"/>
    </row>
    <row r="10" spans="2:8" ht="15.75" customHeight="1" x14ac:dyDescent="0.2">
      <c r="B10" s="25" t="s">
        <v>384</v>
      </c>
      <c r="C10" s="25" t="s">
        <v>385</v>
      </c>
      <c r="D10" s="25" t="s">
        <v>220</v>
      </c>
      <c r="E10" s="26">
        <v>72136</v>
      </c>
      <c r="F10" s="27">
        <v>4212.0200000000004</v>
      </c>
      <c r="G10" s="28">
        <v>3.5400000000000001E-2</v>
      </c>
      <c r="H10" s="29"/>
    </row>
    <row r="11" spans="2:8" ht="15.75" customHeight="1" x14ac:dyDescent="0.2">
      <c r="B11" s="25" t="s">
        <v>287</v>
      </c>
      <c r="C11" s="25" t="s">
        <v>288</v>
      </c>
      <c r="D11" s="25" t="s">
        <v>136</v>
      </c>
      <c r="E11" s="26">
        <v>460575</v>
      </c>
      <c r="F11" s="27">
        <v>4018.06</v>
      </c>
      <c r="G11" s="28">
        <v>3.3799999999999997E-2</v>
      </c>
      <c r="H11" s="29"/>
    </row>
    <row r="12" spans="2:8" ht="15.75" customHeight="1" x14ac:dyDescent="0.2">
      <c r="B12" s="25" t="s">
        <v>137</v>
      </c>
      <c r="C12" s="25" t="s">
        <v>138</v>
      </c>
      <c r="D12" s="25" t="s">
        <v>139</v>
      </c>
      <c r="E12" s="26">
        <v>205257</v>
      </c>
      <c r="F12" s="27">
        <v>3834.71</v>
      </c>
      <c r="G12" s="28">
        <v>3.2300000000000002E-2</v>
      </c>
      <c r="H12" s="29"/>
    </row>
    <row r="13" spans="2:8" ht="15.75" customHeight="1" x14ac:dyDescent="0.2">
      <c r="B13" s="25" t="s">
        <v>646</v>
      </c>
      <c r="C13" s="25" t="s">
        <v>647</v>
      </c>
      <c r="D13" s="25" t="s">
        <v>212</v>
      </c>
      <c r="E13" s="26">
        <v>210855</v>
      </c>
      <c r="F13" s="27">
        <v>2986.97</v>
      </c>
      <c r="G13" s="28">
        <v>2.5100000000000001E-2</v>
      </c>
      <c r="H13" s="29"/>
    </row>
    <row r="14" spans="2:8" ht="15.75" customHeight="1" x14ac:dyDescent="0.2">
      <c r="B14" s="25" t="s">
        <v>291</v>
      </c>
      <c r="C14" s="25" t="s">
        <v>292</v>
      </c>
      <c r="D14" s="25" t="s">
        <v>136</v>
      </c>
      <c r="E14" s="26">
        <v>250779</v>
      </c>
      <c r="F14" s="27">
        <v>2924.33</v>
      </c>
      <c r="G14" s="28">
        <v>2.46E-2</v>
      </c>
      <c r="H14" s="29"/>
    </row>
    <row r="15" spans="2:8" ht="15.75" customHeight="1" x14ac:dyDescent="0.2">
      <c r="B15" s="25" t="s">
        <v>350</v>
      </c>
      <c r="C15" s="25" t="s">
        <v>351</v>
      </c>
      <c r="D15" s="25" t="s">
        <v>352</v>
      </c>
      <c r="E15" s="26">
        <v>68942</v>
      </c>
      <c r="F15" s="27">
        <v>2630.14</v>
      </c>
      <c r="G15" s="28">
        <v>2.2100000000000002E-2</v>
      </c>
      <c r="H15" s="29"/>
    </row>
    <row r="16" spans="2:8" ht="15.75" customHeight="1" x14ac:dyDescent="0.2">
      <c r="B16" s="25" t="s">
        <v>612</v>
      </c>
      <c r="C16" s="25" t="s">
        <v>613</v>
      </c>
      <c r="D16" s="25" t="s">
        <v>254</v>
      </c>
      <c r="E16" s="26">
        <v>54004</v>
      </c>
      <c r="F16" s="27">
        <v>2392.7800000000002</v>
      </c>
      <c r="G16" s="28">
        <v>2.01E-2</v>
      </c>
      <c r="H16" s="29"/>
    </row>
    <row r="17" spans="2:8" ht="15.75" customHeight="1" x14ac:dyDescent="0.2">
      <c r="B17" s="25" t="s">
        <v>326</v>
      </c>
      <c r="C17" s="25" t="s">
        <v>327</v>
      </c>
      <c r="D17" s="25" t="s">
        <v>212</v>
      </c>
      <c r="E17" s="26">
        <v>429086</v>
      </c>
      <c r="F17" s="27">
        <v>2389.15</v>
      </c>
      <c r="G17" s="28">
        <v>2.01E-2</v>
      </c>
      <c r="H17" s="29"/>
    </row>
    <row r="18" spans="2:8" ht="15.75" customHeight="1" x14ac:dyDescent="0.2">
      <c r="B18" s="25" t="s">
        <v>153</v>
      </c>
      <c r="C18" s="25" t="s">
        <v>154</v>
      </c>
      <c r="D18" s="25" t="s">
        <v>155</v>
      </c>
      <c r="E18" s="26">
        <v>77182</v>
      </c>
      <c r="F18" s="27">
        <v>2323.83</v>
      </c>
      <c r="G18" s="28">
        <v>1.9599999999999999E-2</v>
      </c>
      <c r="H18" s="29"/>
    </row>
    <row r="19" spans="2:8" ht="15.75" customHeight="1" x14ac:dyDescent="0.2">
      <c r="B19" s="25" t="s">
        <v>404</v>
      </c>
      <c r="C19" s="25" t="s">
        <v>405</v>
      </c>
      <c r="D19" s="25" t="s">
        <v>266</v>
      </c>
      <c r="E19" s="26">
        <v>133341</v>
      </c>
      <c r="F19" s="27">
        <v>2311.4699999999998</v>
      </c>
      <c r="G19" s="28">
        <v>1.95E-2</v>
      </c>
      <c r="H19" s="29"/>
    </row>
    <row r="20" spans="2:8" ht="15.75" customHeight="1" x14ac:dyDescent="0.2">
      <c r="B20" s="25" t="s">
        <v>707</v>
      </c>
      <c r="C20" s="25" t="s">
        <v>708</v>
      </c>
      <c r="D20" s="25" t="s">
        <v>187</v>
      </c>
      <c r="E20" s="26">
        <v>131363</v>
      </c>
      <c r="F20" s="27">
        <v>2264.3000000000002</v>
      </c>
      <c r="G20" s="28">
        <v>1.9099999999999999E-2</v>
      </c>
      <c r="H20" s="29"/>
    </row>
    <row r="21" spans="2:8" ht="15.75" customHeight="1" x14ac:dyDescent="0.2">
      <c r="B21" s="25" t="s">
        <v>402</v>
      </c>
      <c r="C21" s="25" t="s">
        <v>403</v>
      </c>
      <c r="D21" s="25" t="s">
        <v>187</v>
      </c>
      <c r="E21" s="26">
        <v>64805</v>
      </c>
      <c r="F21" s="27">
        <v>2241.5700000000002</v>
      </c>
      <c r="G21" s="28">
        <v>1.89E-2</v>
      </c>
      <c r="H21" s="29"/>
    </row>
    <row r="22" spans="2:8" ht="15.75" customHeight="1" x14ac:dyDescent="0.2">
      <c r="B22" s="25" t="s">
        <v>300</v>
      </c>
      <c r="C22" s="25" t="s">
        <v>301</v>
      </c>
      <c r="D22" s="25" t="s">
        <v>269</v>
      </c>
      <c r="E22" s="26">
        <v>80412</v>
      </c>
      <c r="F22" s="27">
        <v>2232.84</v>
      </c>
      <c r="G22" s="28">
        <v>1.8800000000000001E-2</v>
      </c>
      <c r="H22" s="29"/>
    </row>
    <row r="23" spans="2:8" ht="15.75" customHeight="1" x14ac:dyDescent="0.2">
      <c r="B23" s="25" t="s">
        <v>648</v>
      </c>
      <c r="C23" s="25" t="s">
        <v>649</v>
      </c>
      <c r="D23" s="25" t="s">
        <v>297</v>
      </c>
      <c r="E23" s="26">
        <v>176098</v>
      </c>
      <c r="F23" s="27">
        <v>2173.4</v>
      </c>
      <c r="G23" s="28">
        <v>1.83E-2</v>
      </c>
      <c r="H23" s="29"/>
    </row>
    <row r="24" spans="2:8" ht="15.75" customHeight="1" x14ac:dyDescent="0.2">
      <c r="B24" s="25" t="s">
        <v>933</v>
      </c>
      <c r="C24" s="25" t="s">
        <v>934</v>
      </c>
      <c r="D24" s="25" t="s">
        <v>178</v>
      </c>
      <c r="E24" s="26">
        <v>27426</v>
      </c>
      <c r="F24" s="27">
        <v>2165.79</v>
      </c>
      <c r="G24" s="28">
        <v>1.8200000000000001E-2</v>
      </c>
      <c r="H24" s="29"/>
    </row>
    <row r="25" spans="2:8" ht="15.75" customHeight="1" x14ac:dyDescent="0.2">
      <c r="B25" s="25" t="s">
        <v>322</v>
      </c>
      <c r="C25" s="25" t="s">
        <v>323</v>
      </c>
      <c r="D25" s="25" t="s">
        <v>233</v>
      </c>
      <c r="E25" s="26">
        <v>78642</v>
      </c>
      <c r="F25" s="27">
        <v>2080</v>
      </c>
      <c r="G25" s="28">
        <v>1.7500000000000002E-2</v>
      </c>
      <c r="H25" s="29"/>
    </row>
    <row r="26" spans="2:8" ht="15.75" customHeight="1" x14ac:dyDescent="0.2">
      <c r="B26" s="25" t="s">
        <v>406</v>
      </c>
      <c r="C26" s="25" t="s">
        <v>407</v>
      </c>
      <c r="D26" s="25" t="s">
        <v>339</v>
      </c>
      <c r="E26" s="26">
        <v>129596</v>
      </c>
      <c r="F26" s="27">
        <v>2044.25</v>
      </c>
      <c r="G26" s="28">
        <v>1.72E-2</v>
      </c>
      <c r="H26" s="29"/>
    </row>
    <row r="27" spans="2:8" ht="15.75" customHeight="1" x14ac:dyDescent="0.2">
      <c r="B27" s="25" t="s">
        <v>285</v>
      </c>
      <c r="C27" s="25" t="s">
        <v>286</v>
      </c>
      <c r="D27" s="25" t="s">
        <v>142</v>
      </c>
      <c r="E27" s="26">
        <v>408976</v>
      </c>
      <c r="F27" s="27">
        <v>2025.86</v>
      </c>
      <c r="G27" s="28">
        <v>1.7000000000000001E-2</v>
      </c>
      <c r="H27" s="29"/>
    </row>
    <row r="28" spans="2:8" ht="15.75" customHeight="1" x14ac:dyDescent="0.2">
      <c r="B28" s="25" t="s">
        <v>143</v>
      </c>
      <c r="C28" s="25" t="s">
        <v>144</v>
      </c>
      <c r="D28" s="25" t="s">
        <v>145</v>
      </c>
      <c r="E28" s="26">
        <v>68341</v>
      </c>
      <c r="F28" s="27">
        <v>1987.22</v>
      </c>
      <c r="G28" s="28">
        <v>1.67E-2</v>
      </c>
      <c r="H28" s="29"/>
    </row>
    <row r="29" spans="2:8" ht="15.75" customHeight="1" x14ac:dyDescent="0.2">
      <c r="B29" s="25" t="s">
        <v>234</v>
      </c>
      <c r="C29" s="25" t="s">
        <v>235</v>
      </c>
      <c r="D29" s="25" t="s">
        <v>145</v>
      </c>
      <c r="E29" s="26">
        <v>15074</v>
      </c>
      <c r="F29" s="27">
        <v>1977.08</v>
      </c>
      <c r="G29" s="28">
        <v>1.66E-2</v>
      </c>
      <c r="H29" s="29"/>
    </row>
    <row r="30" spans="2:8" ht="15.75" customHeight="1" x14ac:dyDescent="0.2">
      <c r="B30" s="25" t="s">
        <v>394</v>
      </c>
      <c r="C30" s="25" t="s">
        <v>395</v>
      </c>
      <c r="D30" s="25" t="s">
        <v>220</v>
      </c>
      <c r="E30" s="26">
        <v>844965</v>
      </c>
      <c r="F30" s="27">
        <v>1938.77</v>
      </c>
      <c r="G30" s="28">
        <v>1.6299999999999999E-2</v>
      </c>
      <c r="H30" s="29"/>
    </row>
    <row r="31" spans="2:8" ht="15.75" customHeight="1" x14ac:dyDescent="0.2">
      <c r="B31" s="25" t="s">
        <v>854</v>
      </c>
      <c r="C31" s="25" t="s">
        <v>855</v>
      </c>
      <c r="D31" s="25" t="s">
        <v>139</v>
      </c>
      <c r="E31" s="26">
        <v>97983</v>
      </c>
      <c r="F31" s="27">
        <v>1805.43</v>
      </c>
      <c r="G31" s="28">
        <v>1.52E-2</v>
      </c>
      <c r="H31" s="29"/>
    </row>
    <row r="32" spans="2:8" ht="15.75" customHeight="1" x14ac:dyDescent="0.2">
      <c r="B32" s="25" t="s">
        <v>975</v>
      </c>
      <c r="C32" s="25" t="s">
        <v>976</v>
      </c>
      <c r="D32" s="25" t="s">
        <v>178</v>
      </c>
      <c r="E32" s="26">
        <v>33719</v>
      </c>
      <c r="F32" s="27">
        <v>1710.16</v>
      </c>
      <c r="G32" s="28">
        <v>1.44E-2</v>
      </c>
      <c r="H32" s="29"/>
    </row>
    <row r="33" spans="2:8" ht="15.75" customHeight="1" x14ac:dyDescent="0.2">
      <c r="B33" s="25" t="s">
        <v>786</v>
      </c>
      <c r="C33" s="25" t="s">
        <v>787</v>
      </c>
      <c r="D33" s="25" t="s">
        <v>263</v>
      </c>
      <c r="E33" s="26">
        <v>20551</v>
      </c>
      <c r="F33" s="27">
        <v>1680.16</v>
      </c>
      <c r="G33" s="28">
        <v>1.41E-2</v>
      </c>
      <c r="H33" s="29"/>
    </row>
    <row r="34" spans="2:8" ht="15.75" customHeight="1" x14ac:dyDescent="0.2">
      <c r="B34" s="25" t="s">
        <v>813</v>
      </c>
      <c r="C34" s="25" t="s">
        <v>814</v>
      </c>
      <c r="D34" s="25" t="s">
        <v>145</v>
      </c>
      <c r="E34" s="26">
        <v>33738</v>
      </c>
      <c r="F34" s="27">
        <v>1674.32</v>
      </c>
      <c r="G34" s="28">
        <v>1.41E-2</v>
      </c>
      <c r="H34" s="29"/>
    </row>
    <row r="35" spans="2:8" ht="15.75" customHeight="1" x14ac:dyDescent="0.2">
      <c r="B35" s="25" t="s">
        <v>140</v>
      </c>
      <c r="C35" s="25" t="s">
        <v>141</v>
      </c>
      <c r="D35" s="25" t="s">
        <v>142</v>
      </c>
      <c r="E35" s="26">
        <v>61576</v>
      </c>
      <c r="F35" s="27">
        <v>1666.03</v>
      </c>
      <c r="G35" s="28">
        <v>1.4E-2</v>
      </c>
      <c r="H35" s="29"/>
    </row>
    <row r="36" spans="2:8" ht="15.75" customHeight="1" x14ac:dyDescent="0.2">
      <c r="B36" s="25" t="s">
        <v>298</v>
      </c>
      <c r="C36" s="25" t="s">
        <v>299</v>
      </c>
      <c r="D36" s="25" t="s">
        <v>139</v>
      </c>
      <c r="E36" s="26">
        <v>100139</v>
      </c>
      <c r="F36" s="27">
        <v>1644.88</v>
      </c>
      <c r="G36" s="28">
        <v>1.38E-2</v>
      </c>
      <c r="H36" s="29"/>
    </row>
    <row r="37" spans="2:8" ht="15.75" customHeight="1" x14ac:dyDescent="0.2">
      <c r="B37" s="25" t="s">
        <v>804</v>
      </c>
      <c r="C37" s="25" t="s">
        <v>805</v>
      </c>
      <c r="D37" s="25" t="s">
        <v>212</v>
      </c>
      <c r="E37" s="26">
        <v>96321</v>
      </c>
      <c r="F37" s="27">
        <v>1590.89</v>
      </c>
      <c r="G37" s="28">
        <v>1.34E-2</v>
      </c>
      <c r="H37" s="29"/>
    </row>
    <row r="38" spans="2:8" ht="15.75" customHeight="1" x14ac:dyDescent="0.2">
      <c r="B38" s="25" t="s">
        <v>544</v>
      </c>
      <c r="C38" s="25" t="s">
        <v>545</v>
      </c>
      <c r="D38" s="25" t="s">
        <v>230</v>
      </c>
      <c r="E38" s="26">
        <v>324211</v>
      </c>
      <c r="F38" s="27">
        <v>1428.8</v>
      </c>
      <c r="G38" s="28">
        <v>1.2E-2</v>
      </c>
      <c r="H38" s="29"/>
    </row>
    <row r="39" spans="2:8" ht="15.75" customHeight="1" x14ac:dyDescent="0.2">
      <c r="B39" s="25" t="s">
        <v>630</v>
      </c>
      <c r="C39" s="25" t="s">
        <v>631</v>
      </c>
      <c r="D39" s="25" t="s">
        <v>187</v>
      </c>
      <c r="E39" s="26">
        <v>104713</v>
      </c>
      <c r="F39" s="27">
        <v>1415.56</v>
      </c>
      <c r="G39" s="28">
        <v>1.1900000000000001E-2</v>
      </c>
      <c r="H39" s="29"/>
    </row>
    <row r="40" spans="2:8" ht="15.75" customHeight="1" x14ac:dyDescent="0.2">
      <c r="B40" s="25" t="s">
        <v>610</v>
      </c>
      <c r="C40" s="25" t="s">
        <v>611</v>
      </c>
      <c r="D40" s="25" t="s">
        <v>266</v>
      </c>
      <c r="E40" s="26">
        <v>8659</v>
      </c>
      <c r="F40" s="27">
        <v>1370.93</v>
      </c>
      <c r="G40" s="28">
        <v>1.15E-2</v>
      </c>
      <c r="H40" s="29"/>
    </row>
    <row r="41" spans="2:8" ht="15.75" customHeight="1" x14ac:dyDescent="0.2">
      <c r="B41" s="25" t="s">
        <v>170</v>
      </c>
      <c r="C41" s="25" t="s">
        <v>171</v>
      </c>
      <c r="D41" s="25" t="s">
        <v>172</v>
      </c>
      <c r="E41" s="26">
        <v>107903</v>
      </c>
      <c r="F41" s="27">
        <v>1345.77</v>
      </c>
      <c r="G41" s="28">
        <v>1.1299999999999999E-2</v>
      </c>
      <c r="H41" s="29"/>
    </row>
    <row r="42" spans="2:8" ht="15.75" customHeight="1" x14ac:dyDescent="0.2">
      <c r="B42" s="25" t="s">
        <v>418</v>
      </c>
      <c r="C42" s="25" t="s">
        <v>419</v>
      </c>
      <c r="D42" s="25" t="s">
        <v>266</v>
      </c>
      <c r="E42" s="26">
        <v>22861</v>
      </c>
      <c r="F42" s="27">
        <v>1277.82</v>
      </c>
      <c r="G42" s="28">
        <v>1.0800000000000001E-2</v>
      </c>
      <c r="H42" s="29"/>
    </row>
    <row r="43" spans="2:8" ht="15.75" customHeight="1" x14ac:dyDescent="0.2">
      <c r="B43" s="25" t="s">
        <v>146</v>
      </c>
      <c r="C43" s="25" t="s">
        <v>147</v>
      </c>
      <c r="D43" s="25" t="s">
        <v>148</v>
      </c>
      <c r="E43" s="26">
        <v>51686</v>
      </c>
      <c r="F43" s="27">
        <v>1269.5899999999999</v>
      </c>
      <c r="G43" s="28">
        <v>1.0699999999999999E-2</v>
      </c>
      <c r="H43" s="29"/>
    </row>
    <row r="44" spans="2:8" ht="15.75" customHeight="1" x14ac:dyDescent="0.2">
      <c r="B44" s="25" t="s">
        <v>703</v>
      </c>
      <c r="C44" s="25" t="s">
        <v>704</v>
      </c>
      <c r="D44" s="25" t="s">
        <v>233</v>
      </c>
      <c r="E44" s="26">
        <v>33124</v>
      </c>
      <c r="F44" s="27">
        <v>1259.03</v>
      </c>
      <c r="G44" s="28">
        <v>1.06E-2</v>
      </c>
      <c r="H44" s="29"/>
    </row>
    <row r="45" spans="2:8" ht="15.75" customHeight="1" x14ac:dyDescent="0.2">
      <c r="B45" s="25" t="s">
        <v>559</v>
      </c>
      <c r="C45" s="25" t="s">
        <v>560</v>
      </c>
      <c r="D45" s="25" t="s">
        <v>148</v>
      </c>
      <c r="E45" s="26">
        <v>89151</v>
      </c>
      <c r="F45" s="27">
        <v>1250.21</v>
      </c>
      <c r="G45" s="28">
        <v>1.0500000000000001E-2</v>
      </c>
      <c r="H45" s="29"/>
    </row>
    <row r="46" spans="2:8" ht="15.75" customHeight="1" x14ac:dyDescent="0.2">
      <c r="B46" s="25" t="s">
        <v>552</v>
      </c>
      <c r="C46" s="25" t="s">
        <v>553</v>
      </c>
      <c r="D46" s="25" t="s">
        <v>554</v>
      </c>
      <c r="E46" s="26">
        <v>181585</v>
      </c>
      <c r="F46" s="27">
        <v>1225.7</v>
      </c>
      <c r="G46" s="28">
        <v>1.03E-2</v>
      </c>
      <c r="H46" s="29"/>
    </row>
    <row r="47" spans="2:8" ht="15.75" customHeight="1" x14ac:dyDescent="0.2">
      <c r="B47" s="25" t="s">
        <v>977</v>
      </c>
      <c r="C47" s="25" t="s">
        <v>978</v>
      </c>
      <c r="D47" s="25" t="s">
        <v>443</v>
      </c>
      <c r="E47" s="26">
        <v>79966</v>
      </c>
      <c r="F47" s="27">
        <v>1207.57</v>
      </c>
      <c r="G47" s="28">
        <v>1.0200000000000001E-2</v>
      </c>
      <c r="H47" s="29"/>
    </row>
    <row r="48" spans="2:8" ht="15.75" customHeight="1" x14ac:dyDescent="0.2">
      <c r="B48" s="25" t="s">
        <v>151</v>
      </c>
      <c r="C48" s="25" t="s">
        <v>152</v>
      </c>
      <c r="D48" s="25" t="s">
        <v>139</v>
      </c>
      <c r="E48" s="26">
        <v>20771</v>
      </c>
      <c r="F48" s="27">
        <v>1175.25</v>
      </c>
      <c r="G48" s="28">
        <v>9.9000000000000008E-3</v>
      </c>
      <c r="H48" s="29"/>
    </row>
    <row r="49" spans="2:8" ht="15.75" customHeight="1" x14ac:dyDescent="0.2">
      <c r="B49" s="25" t="s">
        <v>636</v>
      </c>
      <c r="C49" s="25" t="s">
        <v>637</v>
      </c>
      <c r="D49" s="25" t="s">
        <v>139</v>
      </c>
      <c r="E49" s="26">
        <v>18189</v>
      </c>
      <c r="F49" s="27">
        <v>1146.9100000000001</v>
      </c>
      <c r="G49" s="28">
        <v>9.7000000000000003E-3</v>
      </c>
      <c r="H49" s="29"/>
    </row>
    <row r="50" spans="2:8" ht="15.75" customHeight="1" x14ac:dyDescent="0.2">
      <c r="B50" s="25" t="s">
        <v>608</v>
      </c>
      <c r="C50" s="25" t="s">
        <v>609</v>
      </c>
      <c r="D50" s="25" t="s">
        <v>266</v>
      </c>
      <c r="E50" s="26">
        <v>26709</v>
      </c>
      <c r="F50" s="27">
        <v>1139.77</v>
      </c>
      <c r="G50" s="28">
        <v>9.5999999999999992E-3</v>
      </c>
      <c r="H50" s="29"/>
    </row>
    <row r="51" spans="2:8" ht="15.75" customHeight="1" x14ac:dyDescent="0.2">
      <c r="B51" s="25" t="s">
        <v>764</v>
      </c>
      <c r="C51" s="25" t="s">
        <v>765</v>
      </c>
      <c r="D51" s="25" t="s">
        <v>220</v>
      </c>
      <c r="E51" s="26">
        <v>23038</v>
      </c>
      <c r="F51" s="27">
        <v>1137.1400000000001</v>
      </c>
      <c r="G51" s="28">
        <v>9.5999999999999992E-3</v>
      </c>
      <c r="H51" s="29"/>
    </row>
    <row r="52" spans="2:8" ht="15.75" customHeight="1" x14ac:dyDescent="0.2">
      <c r="B52" s="25" t="s">
        <v>638</v>
      </c>
      <c r="C52" s="25" t="s">
        <v>639</v>
      </c>
      <c r="D52" s="25" t="s">
        <v>620</v>
      </c>
      <c r="E52" s="26">
        <v>147727</v>
      </c>
      <c r="F52" s="27">
        <v>1119.4000000000001</v>
      </c>
      <c r="G52" s="28">
        <v>9.4000000000000004E-3</v>
      </c>
      <c r="H52" s="29"/>
    </row>
    <row r="53" spans="2:8" ht="15.75" customHeight="1" x14ac:dyDescent="0.2">
      <c r="B53" s="25" t="s">
        <v>489</v>
      </c>
      <c r="C53" s="25" t="s">
        <v>490</v>
      </c>
      <c r="D53" s="25" t="s">
        <v>254</v>
      </c>
      <c r="E53" s="26">
        <v>66588</v>
      </c>
      <c r="F53" s="27">
        <v>1106.69</v>
      </c>
      <c r="G53" s="28">
        <v>9.2999999999999992E-3</v>
      </c>
      <c r="H53" s="29"/>
    </row>
    <row r="54" spans="2:8" ht="15.75" customHeight="1" x14ac:dyDescent="0.2">
      <c r="B54" s="25" t="s">
        <v>979</v>
      </c>
      <c r="C54" s="25" t="s">
        <v>980</v>
      </c>
      <c r="D54" s="25" t="s">
        <v>187</v>
      </c>
      <c r="E54" s="26">
        <v>51243</v>
      </c>
      <c r="F54" s="27">
        <v>1061.24</v>
      </c>
      <c r="G54" s="28">
        <v>8.8999999999999999E-3</v>
      </c>
      <c r="H54" s="29"/>
    </row>
    <row r="55" spans="2:8" ht="15.75" customHeight="1" x14ac:dyDescent="0.2">
      <c r="B55" s="25" t="s">
        <v>400</v>
      </c>
      <c r="C55" s="25" t="s">
        <v>401</v>
      </c>
      <c r="D55" s="25" t="s">
        <v>172</v>
      </c>
      <c r="E55" s="26">
        <v>48195</v>
      </c>
      <c r="F55" s="27">
        <v>977.44</v>
      </c>
      <c r="G55" s="28">
        <v>8.2000000000000007E-3</v>
      </c>
      <c r="H55" s="29"/>
    </row>
    <row r="56" spans="2:8" ht="15.75" customHeight="1" x14ac:dyDescent="0.2">
      <c r="B56" s="25" t="s">
        <v>491</v>
      </c>
      <c r="C56" s="25" t="s">
        <v>492</v>
      </c>
      <c r="D56" s="25" t="s">
        <v>269</v>
      </c>
      <c r="E56" s="26">
        <v>8145</v>
      </c>
      <c r="F56" s="27">
        <v>968.21</v>
      </c>
      <c r="G56" s="28">
        <v>8.0999999999999996E-3</v>
      </c>
      <c r="H56" s="29"/>
    </row>
    <row r="57" spans="2:8" ht="15.75" customHeight="1" x14ac:dyDescent="0.2">
      <c r="B57" s="25" t="s">
        <v>628</v>
      </c>
      <c r="C57" s="25" t="s">
        <v>629</v>
      </c>
      <c r="D57" s="25" t="s">
        <v>139</v>
      </c>
      <c r="E57" s="26">
        <v>12783</v>
      </c>
      <c r="F57" s="27">
        <v>892.83</v>
      </c>
      <c r="G57" s="28">
        <v>7.4999999999999997E-3</v>
      </c>
      <c r="H57" s="29"/>
    </row>
    <row r="58" spans="2:8" ht="15.75" customHeight="1" x14ac:dyDescent="0.2">
      <c r="B58" s="25" t="s">
        <v>346</v>
      </c>
      <c r="C58" s="25" t="s">
        <v>347</v>
      </c>
      <c r="D58" s="25" t="s">
        <v>266</v>
      </c>
      <c r="E58" s="26">
        <v>191104</v>
      </c>
      <c r="F58" s="27">
        <v>849.94</v>
      </c>
      <c r="G58" s="28">
        <v>7.1999999999999998E-3</v>
      </c>
      <c r="H58" s="29"/>
    </row>
    <row r="59" spans="2:8" ht="15.75" customHeight="1" x14ac:dyDescent="0.2">
      <c r="B59" s="25" t="s">
        <v>390</v>
      </c>
      <c r="C59" s="25" t="s">
        <v>391</v>
      </c>
      <c r="D59" s="25" t="s">
        <v>172</v>
      </c>
      <c r="E59" s="26">
        <v>481226</v>
      </c>
      <c r="F59" s="27">
        <v>847.2</v>
      </c>
      <c r="G59" s="28">
        <v>7.1000000000000004E-3</v>
      </c>
      <c r="H59" s="29"/>
    </row>
    <row r="60" spans="2:8" ht="15.75" customHeight="1" x14ac:dyDescent="0.2">
      <c r="B60" s="25" t="s">
        <v>368</v>
      </c>
      <c r="C60" s="25" t="s">
        <v>369</v>
      </c>
      <c r="D60" s="25" t="s">
        <v>172</v>
      </c>
      <c r="E60" s="26">
        <v>2974</v>
      </c>
      <c r="F60" s="27">
        <v>844.17</v>
      </c>
      <c r="G60" s="28">
        <v>7.1000000000000004E-3</v>
      </c>
      <c r="H60" s="29"/>
    </row>
    <row r="61" spans="2:8" ht="15.75" customHeight="1" x14ac:dyDescent="0.2">
      <c r="B61" s="25" t="s">
        <v>289</v>
      </c>
      <c r="C61" s="25" t="s">
        <v>290</v>
      </c>
      <c r="D61" s="25" t="s">
        <v>136</v>
      </c>
      <c r="E61" s="26">
        <v>43348</v>
      </c>
      <c r="F61" s="27">
        <v>783.69</v>
      </c>
      <c r="G61" s="28">
        <v>6.6E-3</v>
      </c>
      <c r="H61" s="29"/>
    </row>
    <row r="62" spans="2:8" ht="15.75" customHeight="1" x14ac:dyDescent="0.2">
      <c r="B62" s="25" t="s">
        <v>981</v>
      </c>
      <c r="C62" s="25" t="s">
        <v>982</v>
      </c>
      <c r="D62" s="25" t="s">
        <v>297</v>
      </c>
      <c r="E62" s="26">
        <v>28868</v>
      </c>
      <c r="F62" s="27">
        <v>747.26</v>
      </c>
      <c r="G62" s="28">
        <v>6.3E-3</v>
      </c>
      <c r="H62" s="29"/>
    </row>
    <row r="63" spans="2:8" ht="15.75" customHeight="1" x14ac:dyDescent="0.2">
      <c r="B63" s="25" t="s">
        <v>983</v>
      </c>
      <c r="C63" s="25" t="s">
        <v>984</v>
      </c>
      <c r="D63" s="25" t="s">
        <v>187</v>
      </c>
      <c r="E63" s="26">
        <v>117969</v>
      </c>
      <c r="F63" s="27">
        <v>597.04</v>
      </c>
      <c r="G63" s="28">
        <v>5.0000000000000001E-3</v>
      </c>
      <c r="H63" s="29"/>
    </row>
    <row r="64" spans="2:8" ht="15.75" customHeight="1" x14ac:dyDescent="0.2">
      <c r="B64" s="24" t="s">
        <v>104</v>
      </c>
      <c r="C64" s="24"/>
      <c r="D64" s="24"/>
      <c r="E64" s="30"/>
      <c r="F64" s="31">
        <v>115418.45</v>
      </c>
      <c r="G64" s="32">
        <v>0.97130000000000005</v>
      </c>
      <c r="H64" s="33"/>
    </row>
    <row r="65" spans="2:14" ht="15.75" customHeight="1" x14ac:dyDescent="0.2">
      <c r="B65" s="24" t="s">
        <v>156</v>
      </c>
      <c r="C65" s="25"/>
      <c r="D65" s="25"/>
      <c r="E65" s="26"/>
      <c r="F65" s="27"/>
      <c r="G65" s="28"/>
      <c r="H65" s="29"/>
    </row>
    <row r="66" spans="2:14" ht="15.75" customHeight="1" x14ac:dyDescent="0.2">
      <c r="B66" s="24" t="s">
        <v>104</v>
      </c>
      <c r="C66" s="25"/>
      <c r="D66" s="25"/>
      <c r="E66" s="26"/>
      <c r="F66" s="34" t="s">
        <v>106</v>
      </c>
      <c r="G66" s="35" t="s">
        <v>106</v>
      </c>
      <c r="H66" s="29"/>
    </row>
    <row r="67" spans="2:14" ht="15.75" customHeight="1" x14ac:dyDescent="0.2">
      <c r="B67" s="25"/>
      <c r="C67" s="25"/>
      <c r="D67" s="25"/>
      <c r="E67" s="26"/>
      <c r="F67" s="27"/>
      <c r="G67" s="28"/>
      <c r="H67" s="29"/>
    </row>
    <row r="68" spans="2:14" ht="15.75" customHeight="1" x14ac:dyDescent="0.2">
      <c r="B68" s="36" t="s">
        <v>108</v>
      </c>
      <c r="C68" s="36"/>
      <c r="D68" s="36"/>
      <c r="E68" s="37"/>
      <c r="F68" s="31">
        <v>115418.45</v>
      </c>
      <c r="G68" s="32">
        <v>0.97130000000000005</v>
      </c>
      <c r="H68" s="33"/>
      <c r="J68" s="3"/>
    </row>
    <row r="69" spans="2:14" ht="15.75" customHeight="1" x14ac:dyDescent="0.2">
      <c r="B69" s="25"/>
      <c r="C69" s="25"/>
      <c r="D69" s="25"/>
      <c r="E69" s="26"/>
      <c r="F69" s="27"/>
      <c r="G69" s="28"/>
      <c r="H69" s="29"/>
    </row>
    <row r="70" spans="2:14" ht="15.75" customHeight="1" x14ac:dyDescent="0.2">
      <c r="B70" s="25"/>
      <c r="C70" s="25"/>
      <c r="D70" s="25"/>
      <c r="E70" s="26"/>
      <c r="F70" s="27"/>
      <c r="G70" s="28"/>
      <c r="H70" s="29"/>
      <c r="J70" s="3"/>
    </row>
    <row r="71" spans="2:14" ht="15.75" customHeight="1" x14ac:dyDescent="0.2">
      <c r="B71" s="24" t="s">
        <v>111</v>
      </c>
      <c r="C71" s="25"/>
      <c r="D71" s="25"/>
      <c r="E71" s="26"/>
      <c r="F71" s="27"/>
      <c r="G71" s="28"/>
      <c r="H71" s="29"/>
      <c r="J71" s="3"/>
    </row>
    <row r="72" spans="2:14" ht="15.75" customHeight="1" x14ac:dyDescent="0.2">
      <c r="B72" s="25" t="s">
        <v>112</v>
      </c>
      <c r="C72" s="25"/>
      <c r="D72" s="25"/>
      <c r="E72" s="26"/>
      <c r="F72" s="27">
        <v>4169.4399999999996</v>
      </c>
      <c r="G72" s="28">
        <v>3.5099999999999999E-2</v>
      </c>
      <c r="H72" s="29"/>
      <c r="J72" s="3"/>
    </row>
    <row r="73" spans="2:14" ht="15.75" customHeight="1" x14ac:dyDescent="0.2">
      <c r="B73" s="24" t="s">
        <v>104</v>
      </c>
      <c r="C73" s="24"/>
      <c r="D73" s="24"/>
      <c r="E73" s="30"/>
      <c r="F73" s="31">
        <v>4169.4399999999996</v>
      </c>
      <c r="G73" s="32">
        <v>3.5099999999999999E-2</v>
      </c>
      <c r="H73" s="33"/>
      <c r="J73" s="3"/>
    </row>
    <row r="74" spans="2:14" ht="15.75" customHeight="1" x14ac:dyDescent="0.2">
      <c r="B74" s="25"/>
      <c r="C74" s="25"/>
      <c r="D74" s="25"/>
      <c r="E74" s="26"/>
      <c r="F74" s="27"/>
      <c r="G74" s="28"/>
      <c r="H74" s="29"/>
      <c r="J74" s="3"/>
    </row>
    <row r="75" spans="2:14" ht="15.75" customHeight="1" x14ac:dyDescent="0.2">
      <c r="B75" s="36" t="s">
        <v>108</v>
      </c>
      <c r="C75" s="36"/>
      <c r="D75" s="36"/>
      <c r="E75" s="37"/>
      <c r="F75" s="31">
        <v>4169.4399999999996</v>
      </c>
      <c r="G75" s="32">
        <v>3.5099999999999999E-2</v>
      </c>
      <c r="H75" s="33"/>
      <c r="J75" s="5"/>
      <c r="K75" s="5"/>
      <c r="L75" s="6"/>
      <c r="M75" s="6"/>
      <c r="N75" s="5"/>
    </row>
    <row r="76" spans="2:14" ht="15.75" customHeight="1" x14ac:dyDescent="0.2">
      <c r="B76" s="25" t="s">
        <v>113</v>
      </c>
      <c r="C76" s="25"/>
      <c r="D76" s="25"/>
      <c r="E76" s="26"/>
      <c r="F76" s="38">
        <v>-767.47</v>
      </c>
      <c r="G76" s="39">
        <v>-6.3999999999999613E-3</v>
      </c>
      <c r="H76" s="29"/>
    </row>
    <row r="77" spans="2:14" ht="15.75" customHeight="1" x14ac:dyDescent="0.2">
      <c r="B77" s="40" t="s">
        <v>114</v>
      </c>
      <c r="C77" s="40"/>
      <c r="D77" s="40"/>
      <c r="E77" s="41"/>
      <c r="F77" s="42">
        <v>118820.42</v>
      </c>
      <c r="G77" s="43">
        <v>1</v>
      </c>
      <c r="H77" s="44"/>
    </row>
    <row r="78" spans="2:14" ht="15.75" customHeight="1" thickBot="1" x14ac:dyDescent="0.25">
      <c r="B78" s="2"/>
      <c r="J78" s="7"/>
      <c r="K78" s="7"/>
      <c r="L78" s="7"/>
      <c r="M78" s="7"/>
      <c r="N78" s="7"/>
    </row>
    <row r="79" spans="2:14" ht="27" customHeight="1" thickBot="1" x14ac:dyDescent="0.25">
      <c r="B79" s="56" t="s">
        <v>1009</v>
      </c>
      <c r="C79" s="57" t="s">
        <v>1010</v>
      </c>
      <c r="D79" s="57" t="s">
        <v>1011</v>
      </c>
      <c r="E79" s="62" t="s">
        <v>1012</v>
      </c>
      <c r="G79" s="2"/>
      <c r="H79" s="2"/>
    </row>
    <row r="80" spans="2:14" ht="28.5" customHeight="1" x14ac:dyDescent="0.2">
      <c r="B80" s="69" t="s">
        <v>28</v>
      </c>
      <c r="C80" s="83"/>
      <c r="D80" s="86" t="s">
        <v>1050</v>
      </c>
      <c r="E80" s="88"/>
      <c r="G80" s="2"/>
      <c r="H80" s="2"/>
    </row>
    <row r="81" spans="2:8" ht="30" customHeight="1" x14ac:dyDescent="0.2">
      <c r="B81" s="65" t="s">
        <v>1068</v>
      </c>
      <c r="C81" s="84"/>
      <c r="D81" s="87"/>
      <c r="E81" s="84"/>
      <c r="G81" s="2"/>
      <c r="H81" s="2"/>
    </row>
    <row r="82" spans="2:8" ht="30.75" customHeight="1" x14ac:dyDescent="0.2">
      <c r="B82" s="65" t="s">
        <v>1088</v>
      </c>
      <c r="C82" s="84"/>
      <c r="D82" s="87"/>
      <c r="E82" s="84"/>
      <c r="G82" s="2"/>
      <c r="H82" s="2"/>
    </row>
    <row r="83" spans="2:8" ht="30" customHeight="1" thickBot="1" x14ac:dyDescent="0.25">
      <c r="B83" s="67" t="s">
        <v>1030</v>
      </c>
      <c r="C83" s="85"/>
      <c r="D83" s="70" t="s">
        <v>1030</v>
      </c>
      <c r="E83" s="89"/>
      <c r="G83" s="2"/>
      <c r="H83" s="2"/>
    </row>
    <row r="84" spans="2:8" ht="24.95" customHeight="1" x14ac:dyDescent="0.2">
      <c r="B84" s="58" t="s">
        <v>1014</v>
      </c>
      <c r="C84" s="59"/>
      <c r="D84" s="60"/>
      <c r="E84" s="61"/>
      <c r="G84" s="2"/>
      <c r="H84" s="2"/>
    </row>
    <row r="86" spans="2:8" ht="12" x14ac:dyDescent="0.2">
      <c r="B86" s="2" t="s">
        <v>1015</v>
      </c>
      <c r="C86" s="2"/>
      <c r="D86" s="2"/>
      <c r="G86" s="2"/>
      <c r="H86" s="2"/>
    </row>
    <row r="87" spans="2:8" ht="12" x14ac:dyDescent="0.2">
      <c r="B87" s="3" t="s">
        <v>1016</v>
      </c>
      <c r="C87" s="2"/>
      <c r="D87" s="2"/>
      <c r="G87" s="2"/>
      <c r="H87" s="2"/>
    </row>
  </sheetData>
  <mergeCells count="3">
    <mergeCell ref="C80:C83"/>
    <mergeCell ref="D80:D82"/>
    <mergeCell ref="E80:E83"/>
  </mergeCells>
  <hyperlinks>
    <hyperlink ref="G1" location="'Sheet1'!A1" display="Index" xr:uid="{1737E584-6852-421A-8F1A-8727CFD8092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AF2A1-179E-45D5-BD84-7A3F079CFDB2}">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7.28515625" style="9" customWidth="1"/>
    <col min="4" max="4" width="26.5703125" style="9" customWidth="1"/>
    <col min="5" max="5" width="26.8554687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29</v>
      </c>
      <c r="C1" s="4" t="s">
        <v>986</v>
      </c>
      <c r="D1" s="4" t="s">
        <v>985</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132</v>
      </c>
      <c r="C5" s="19"/>
      <c r="D5" s="19"/>
      <c r="E5" s="20"/>
      <c r="F5" s="21"/>
      <c r="G5" s="22"/>
      <c r="H5" s="23"/>
    </row>
    <row r="6" spans="2:8" ht="15.75" customHeight="1" x14ac:dyDescent="0.2">
      <c r="B6" s="24" t="s">
        <v>133</v>
      </c>
      <c r="C6" s="25"/>
      <c r="D6" s="25"/>
      <c r="E6" s="26"/>
      <c r="F6" s="27"/>
      <c r="G6" s="28"/>
      <c r="H6" s="29"/>
    </row>
    <row r="7" spans="2:8" ht="15.75" customHeight="1" x14ac:dyDescent="0.2">
      <c r="B7" s="25" t="s">
        <v>149</v>
      </c>
      <c r="C7" s="25" t="s">
        <v>150</v>
      </c>
      <c r="D7" s="25" t="s">
        <v>136</v>
      </c>
      <c r="E7" s="26">
        <v>579133</v>
      </c>
      <c r="F7" s="27">
        <v>9357.34</v>
      </c>
      <c r="G7" s="28">
        <v>0.11</v>
      </c>
      <c r="H7" s="29"/>
    </row>
    <row r="8" spans="2:8" ht="15.75" customHeight="1" x14ac:dyDescent="0.2">
      <c r="B8" s="25" t="s">
        <v>153</v>
      </c>
      <c r="C8" s="25" t="s">
        <v>154</v>
      </c>
      <c r="D8" s="25" t="s">
        <v>155</v>
      </c>
      <c r="E8" s="26">
        <v>260110</v>
      </c>
      <c r="F8" s="27">
        <v>7831.52</v>
      </c>
      <c r="G8" s="28">
        <v>9.2100000000000001E-2</v>
      </c>
      <c r="H8" s="29"/>
    </row>
    <row r="9" spans="2:8" ht="15.75" customHeight="1" x14ac:dyDescent="0.2">
      <c r="B9" s="25" t="s">
        <v>134</v>
      </c>
      <c r="C9" s="25" t="s">
        <v>135</v>
      </c>
      <c r="D9" s="25" t="s">
        <v>136</v>
      </c>
      <c r="E9" s="26">
        <v>540768</v>
      </c>
      <c r="F9" s="27">
        <v>6569.79</v>
      </c>
      <c r="G9" s="28">
        <v>7.7200000000000005E-2</v>
      </c>
      <c r="H9" s="29"/>
    </row>
    <row r="10" spans="2:8" ht="15.75" customHeight="1" x14ac:dyDescent="0.2">
      <c r="B10" s="25" t="s">
        <v>137</v>
      </c>
      <c r="C10" s="25" t="s">
        <v>138</v>
      </c>
      <c r="D10" s="25" t="s">
        <v>139</v>
      </c>
      <c r="E10" s="26">
        <v>277812</v>
      </c>
      <c r="F10" s="27">
        <v>5190.22</v>
      </c>
      <c r="G10" s="28">
        <v>6.0999999999999999E-2</v>
      </c>
      <c r="H10" s="29"/>
    </row>
    <row r="11" spans="2:8" ht="15.75" customHeight="1" x14ac:dyDescent="0.2">
      <c r="B11" s="25" t="s">
        <v>285</v>
      </c>
      <c r="C11" s="25" t="s">
        <v>286</v>
      </c>
      <c r="D11" s="25" t="s">
        <v>142</v>
      </c>
      <c r="E11" s="26">
        <v>712118</v>
      </c>
      <c r="F11" s="27">
        <v>3527.48</v>
      </c>
      <c r="G11" s="28">
        <v>4.1500000000000002E-2</v>
      </c>
      <c r="H11" s="29"/>
    </row>
    <row r="12" spans="2:8" ht="15.75" customHeight="1" x14ac:dyDescent="0.2">
      <c r="B12" s="25" t="s">
        <v>350</v>
      </c>
      <c r="C12" s="25" t="s">
        <v>351</v>
      </c>
      <c r="D12" s="25" t="s">
        <v>352</v>
      </c>
      <c r="E12" s="26">
        <v>90033</v>
      </c>
      <c r="F12" s="27">
        <v>3434.76</v>
      </c>
      <c r="G12" s="28">
        <v>4.0399999999999998E-2</v>
      </c>
      <c r="H12" s="29"/>
    </row>
    <row r="13" spans="2:8" ht="15.75" customHeight="1" x14ac:dyDescent="0.2">
      <c r="B13" s="25" t="s">
        <v>236</v>
      </c>
      <c r="C13" s="25" t="s">
        <v>237</v>
      </c>
      <c r="D13" s="25" t="s">
        <v>139</v>
      </c>
      <c r="E13" s="26">
        <v>77996</v>
      </c>
      <c r="F13" s="27">
        <v>3420.4</v>
      </c>
      <c r="G13" s="28">
        <v>4.02E-2</v>
      </c>
      <c r="H13" s="29"/>
    </row>
    <row r="14" spans="2:8" ht="15.75" customHeight="1" x14ac:dyDescent="0.2">
      <c r="B14" s="25" t="s">
        <v>215</v>
      </c>
      <c r="C14" s="25" t="s">
        <v>216</v>
      </c>
      <c r="D14" s="25" t="s">
        <v>217</v>
      </c>
      <c r="E14" s="26">
        <v>206280</v>
      </c>
      <c r="F14" s="27">
        <v>3076.77</v>
      </c>
      <c r="G14" s="28">
        <v>3.6200000000000003E-2</v>
      </c>
      <c r="H14" s="29"/>
    </row>
    <row r="15" spans="2:8" ht="15.75" customHeight="1" x14ac:dyDescent="0.2">
      <c r="B15" s="25" t="s">
        <v>287</v>
      </c>
      <c r="C15" s="25" t="s">
        <v>288</v>
      </c>
      <c r="D15" s="25" t="s">
        <v>136</v>
      </c>
      <c r="E15" s="26">
        <v>295802</v>
      </c>
      <c r="F15" s="27">
        <v>2580.58</v>
      </c>
      <c r="G15" s="28">
        <v>3.0300000000000001E-2</v>
      </c>
      <c r="H15" s="29"/>
    </row>
    <row r="16" spans="2:8" ht="15.75" customHeight="1" x14ac:dyDescent="0.2">
      <c r="B16" s="25" t="s">
        <v>291</v>
      </c>
      <c r="C16" s="25" t="s">
        <v>292</v>
      </c>
      <c r="D16" s="25" t="s">
        <v>136</v>
      </c>
      <c r="E16" s="26">
        <v>218191</v>
      </c>
      <c r="F16" s="27">
        <v>2544.33</v>
      </c>
      <c r="G16" s="28">
        <v>2.9899999999999999E-2</v>
      </c>
      <c r="H16" s="29"/>
    </row>
    <row r="17" spans="2:8" ht="15.75" customHeight="1" x14ac:dyDescent="0.2">
      <c r="B17" s="25" t="s">
        <v>143</v>
      </c>
      <c r="C17" s="25" t="s">
        <v>144</v>
      </c>
      <c r="D17" s="25" t="s">
        <v>145</v>
      </c>
      <c r="E17" s="26">
        <v>74582</v>
      </c>
      <c r="F17" s="27">
        <v>2168.6999999999998</v>
      </c>
      <c r="G17" s="28">
        <v>2.5499999999999998E-2</v>
      </c>
      <c r="H17" s="29"/>
    </row>
    <row r="18" spans="2:8" ht="15.75" customHeight="1" x14ac:dyDescent="0.2">
      <c r="B18" s="25" t="s">
        <v>289</v>
      </c>
      <c r="C18" s="25" t="s">
        <v>290</v>
      </c>
      <c r="D18" s="25" t="s">
        <v>136</v>
      </c>
      <c r="E18" s="26">
        <v>113100</v>
      </c>
      <c r="F18" s="27">
        <v>2044.73</v>
      </c>
      <c r="G18" s="28">
        <v>2.4E-2</v>
      </c>
      <c r="H18" s="29"/>
    </row>
    <row r="19" spans="2:8" ht="15.75" customHeight="1" x14ac:dyDescent="0.2">
      <c r="B19" s="25" t="s">
        <v>140</v>
      </c>
      <c r="C19" s="25" t="s">
        <v>141</v>
      </c>
      <c r="D19" s="25" t="s">
        <v>142</v>
      </c>
      <c r="E19" s="26">
        <v>68402</v>
      </c>
      <c r="F19" s="27">
        <v>1850.72</v>
      </c>
      <c r="G19" s="28">
        <v>2.18E-2</v>
      </c>
      <c r="H19" s="29"/>
    </row>
    <row r="20" spans="2:8" ht="15.75" customHeight="1" x14ac:dyDescent="0.2">
      <c r="B20" s="25" t="s">
        <v>487</v>
      </c>
      <c r="C20" s="25" t="s">
        <v>488</v>
      </c>
      <c r="D20" s="25" t="s">
        <v>145</v>
      </c>
      <c r="E20" s="26">
        <v>134927</v>
      </c>
      <c r="F20" s="27">
        <v>1560.63</v>
      </c>
      <c r="G20" s="28">
        <v>1.83E-2</v>
      </c>
      <c r="H20" s="29"/>
    </row>
    <row r="21" spans="2:8" ht="15.75" customHeight="1" x14ac:dyDescent="0.2">
      <c r="B21" s="25" t="s">
        <v>255</v>
      </c>
      <c r="C21" s="25" t="s">
        <v>256</v>
      </c>
      <c r="D21" s="25" t="s">
        <v>184</v>
      </c>
      <c r="E21" s="26">
        <v>364165</v>
      </c>
      <c r="F21" s="27">
        <v>1514.93</v>
      </c>
      <c r="G21" s="28">
        <v>1.78E-2</v>
      </c>
      <c r="H21" s="29"/>
    </row>
    <row r="22" spans="2:8" ht="15.75" customHeight="1" x14ac:dyDescent="0.2">
      <c r="B22" s="25" t="s">
        <v>293</v>
      </c>
      <c r="C22" s="25" t="s">
        <v>294</v>
      </c>
      <c r="D22" s="25" t="s">
        <v>212</v>
      </c>
      <c r="E22" s="26">
        <v>21425</v>
      </c>
      <c r="F22" s="27">
        <v>1458.39</v>
      </c>
      <c r="G22" s="28">
        <v>1.7100000000000001E-2</v>
      </c>
      <c r="H22" s="29"/>
    </row>
    <row r="23" spans="2:8" ht="15.75" customHeight="1" x14ac:dyDescent="0.2">
      <c r="B23" s="25" t="s">
        <v>507</v>
      </c>
      <c r="C23" s="25" t="s">
        <v>508</v>
      </c>
      <c r="D23" s="25" t="s">
        <v>172</v>
      </c>
      <c r="E23" s="26">
        <v>82811</v>
      </c>
      <c r="F23" s="27">
        <v>1423.81</v>
      </c>
      <c r="G23" s="28">
        <v>1.67E-2</v>
      </c>
      <c r="H23" s="29"/>
    </row>
    <row r="24" spans="2:8" ht="15.75" customHeight="1" x14ac:dyDescent="0.2">
      <c r="B24" s="25" t="s">
        <v>234</v>
      </c>
      <c r="C24" s="25" t="s">
        <v>235</v>
      </c>
      <c r="D24" s="25" t="s">
        <v>145</v>
      </c>
      <c r="E24" s="26">
        <v>10174</v>
      </c>
      <c r="F24" s="27">
        <v>1334.4</v>
      </c>
      <c r="G24" s="28">
        <v>1.5699999999999999E-2</v>
      </c>
      <c r="H24" s="29"/>
    </row>
    <row r="25" spans="2:8" ht="15.75" customHeight="1" x14ac:dyDescent="0.2">
      <c r="B25" s="25" t="s">
        <v>298</v>
      </c>
      <c r="C25" s="25" t="s">
        <v>299</v>
      </c>
      <c r="D25" s="25" t="s">
        <v>139</v>
      </c>
      <c r="E25" s="26">
        <v>80978</v>
      </c>
      <c r="F25" s="27">
        <v>1330.14</v>
      </c>
      <c r="G25" s="28">
        <v>1.5599999999999999E-2</v>
      </c>
      <c r="H25" s="29"/>
    </row>
    <row r="26" spans="2:8" ht="15.75" customHeight="1" x14ac:dyDescent="0.2">
      <c r="B26" s="25" t="s">
        <v>191</v>
      </c>
      <c r="C26" s="25" t="s">
        <v>192</v>
      </c>
      <c r="D26" s="25" t="s">
        <v>184</v>
      </c>
      <c r="E26" s="26">
        <v>349055</v>
      </c>
      <c r="F26" s="27">
        <v>1215.4100000000001</v>
      </c>
      <c r="G26" s="28">
        <v>1.43E-2</v>
      </c>
      <c r="H26" s="29"/>
    </row>
    <row r="27" spans="2:8" ht="15.75" customHeight="1" x14ac:dyDescent="0.2">
      <c r="B27" s="25" t="s">
        <v>402</v>
      </c>
      <c r="C27" s="25" t="s">
        <v>403</v>
      </c>
      <c r="D27" s="25" t="s">
        <v>187</v>
      </c>
      <c r="E27" s="26">
        <v>32044</v>
      </c>
      <c r="F27" s="27">
        <v>1108.3900000000001</v>
      </c>
      <c r="G27" s="28">
        <v>1.2999999999999999E-2</v>
      </c>
      <c r="H27" s="29"/>
    </row>
    <row r="28" spans="2:8" ht="15.75" customHeight="1" x14ac:dyDescent="0.2">
      <c r="B28" s="25" t="s">
        <v>485</v>
      </c>
      <c r="C28" s="25" t="s">
        <v>486</v>
      </c>
      <c r="D28" s="25" t="s">
        <v>187</v>
      </c>
      <c r="E28" s="26">
        <v>34635</v>
      </c>
      <c r="F28" s="27">
        <v>1068.3</v>
      </c>
      <c r="G28" s="28">
        <v>1.26E-2</v>
      </c>
      <c r="H28" s="29"/>
    </row>
    <row r="29" spans="2:8" ht="15.75" customHeight="1" x14ac:dyDescent="0.2">
      <c r="B29" s="25" t="s">
        <v>491</v>
      </c>
      <c r="C29" s="25" t="s">
        <v>492</v>
      </c>
      <c r="D29" s="25" t="s">
        <v>269</v>
      </c>
      <c r="E29" s="26">
        <v>8937</v>
      </c>
      <c r="F29" s="27">
        <v>1062.3599999999999</v>
      </c>
      <c r="G29" s="28">
        <v>1.2500000000000001E-2</v>
      </c>
      <c r="H29" s="29"/>
    </row>
    <row r="30" spans="2:8" ht="15.75" customHeight="1" x14ac:dyDescent="0.2">
      <c r="B30" s="25" t="s">
        <v>179</v>
      </c>
      <c r="C30" s="25" t="s">
        <v>180</v>
      </c>
      <c r="D30" s="25" t="s">
        <v>181</v>
      </c>
      <c r="E30" s="26">
        <v>630301</v>
      </c>
      <c r="F30" s="27">
        <v>1042.08</v>
      </c>
      <c r="G30" s="28">
        <v>1.23E-2</v>
      </c>
      <c r="H30" s="29"/>
    </row>
    <row r="31" spans="2:8" ht="15.75" customHeight="1" x14ac:dyDescent="0.2">
      <c r="B31" s="25" t="s">
        <v>530</v>
      </c>
      <c r="C31" s="25" t="s">
        <v>531</v>
      </c>
      <c r="D31" s="25" t="s">
        <v>436</v>
      </c>
      <c r="E31" s="26">
        <v>298605</v>
      </c>
      <c r="F31" s="27">
        <v>997.94</v>
      </c>
      <c r="G31" s="28">
        <v>1.17E-2</v>
      </c>
      <c r="H31" s="29"/>
    </row>
    <row r="32" spans="2:8" ht="15.75" customHeight="1" x14ac:dyDescent="0.2">
      <c r="B32" s="25" t="s">
        <v>225</v>
      </c>
      <c r="C32" s="25" t="s">
        <v>226</v>
      </c>
      <c r="D32" s="25" t="s">
        <v>227</v>
      </c>
      <c r="E32" s="26">
        <v>174775</v>
      </c>
      <c r="F32" s="27">
        <v>912.68</v>
      </c>
      <c r="G32" s="28">
        <v>1.0699999999999999E-2</v>
      </c>
      <c r="H32" s="29"/>
    </row>
    <row r="33" spans="2:8" ht="15.75" customHeight="1" x14ac:dyDescent="0.2">
      <c r="B33" s="25" t="s">
        <v>802</v>
      </c>
      <c r="C33" s="25" t="s">
        <v>803</v>
      </c>
      <c r="D33" s="25" t="s">
        <v>245</v>
      </c>
      <c r="E33" s="26">
        <v>56770</v>
      </c>
      <c r="F33" s="27">
        <v>891.23</v>
      </c>
      <c r="G33" s="28">
        <v>1.0500000000000001E-2</v>
      </c>
      <c r="H33" s="29"/>
    </row>
    <row r="34" spans="2:8" ht="15.75" customHeight="1" x14ac:dyDescent="0.2">
      <c r="B34" s="25" t="s">
        <v>550</v>
      </c>
      <c r="C34" s="25" t="s">
        <v>551</v>
      </c>
      <c r="D34" s="25" t="s">
        <v>145</v>
      </c>
      <c r="E34" s="26">
        <v>8580</v>
      </c>
      <c r="F34" s="27">
        <v>829.19</v>
      </c>
      <c r="G34" s="28">
        <v>9.7000000000000003E-3</v>
      </c>
      <c r="H34" s="29"/>
    </row>
    <row r="35" spans="2:8" ht="15.75" customHeight="1" x14ac:dyDescent="0.2">
      <c r="B35" s="25" t="s">
        <v>300</v>
      </c>
      <c r="C35" s="25" t="s">
        <v>301</v>
      </c>
      <c r="D35" s="25" t="s">
        <v>269</v>
      </c>
      <c r="E35" s="26">
        <v>28528</v>
      </c>
      <c r="F35" s="27">
        <v>792.15</v>
      </c>
      <c r="G35" s="28">
        <v>9.2999999999999992E-3</v>
      </c>
      <c r="H35" s="29"/>
    </row>
    <row r="36" spans="2:8" ht="15.75" customHeight="1" x14ac:dyDescent="0.2">
      <c r="B36" s="25" t="s">
        <v>203</v>
      </c>
      <c r="C36" s="25" t="s">
        <v>204</v>
      </c>
      <c r="D36" s="25" t="s">
        <v>139</v>
      </c>
      <c r="E36" s="26">
        <v>48914</v>
      </c>
      <c r="F36" s="27">
        <v>760.32</v>
      </c>
      <c r="G36" s="28">
        <v>8.8999999999999999E-3</v>
      </c>
      <c r="H36" s="29"/>
    </row>
    <row r="37" spans="2:8" ht="15.75" customHeight="1" x14ac:dyDescent="0.2">
      <c r="B37" s="25" t="s">
        <v>270</v>
      </c>
      <c r="C37" s="25" t="s">
        <v>271</v>
      </c>
      <c r="D37" s="25" t="s">
        <v>240</v>
      </c>
      <c r="E37" s="26">
        <v>111219</v>
      </c>
      <c r="F37" s="27">
        <v>744.72</v>
      </c>
      <c r="G37" s="28">
        <v>8.8000000000000005E-3</v>
      </c>
      <c r="H37" s="29"/>
    </row>
    <row r="38" spans="2:8" ht="15.75" customHeight="1" x14ac:dyDescent="0.2">
      <c r="B38" s="25" t="s">
        <v>324</v>
      </c>
      <c r="C38" s="25" t="s">
        <v>325</v>
      </c>
      <c r="D38" s="25" t="s">
        <v>136</v>
      </c>
      <c r="E38" s="26">
        <v>50919</v>
      </c>
      <c r="F38" s="27">
        <v>727.02</v>
      </c>
      <c r="G38" s="28">
        <v>8.5000000000000006E-3</v>
      </c>
      <c r="H38" s="29"/>
    </row>
    <row r="39" spans="2:8" ht="15.75" customHeight="1" x14ac:dyDescent="0.2">
      <c r="B39" s="25" t="s">
        <v>804</v>
      </c>
      <c r="C39" s="25" t="s">
        <v>805</v>
      </c>
      <c r="D39" s="25" t="s">
        <v>212</v>
      </c>
      <c r="E39" s="26">
        <v>41654</v>
      </c>
      <c r="F39" s="27">
        <v>687.98</v>
      </c>
      <c r="G39" s="28">
        <v>8.0999999999999996E-3</v>
      </c>
      <c r="H39" s="29"/>
    </row>
    <row r="40" spans="2:8" ht="15.75" customHeight="1" x14ac:dyDescent="0.2">
      <c r="B40" s="25" t="s">
        <v>241</v>
      </c>
      <c r="C40" s="25" t="s">
        <v>242</v>
      </c>
      <c r="D40" s="25" t="s">
        <v>181</v>
      </c>
      <c r="E40" s="26">
        <v>73658</v>
      </c>
      <c r="F40" s="27">
        <v>683.73</v>
      </c>
      <c r="G40" s="28">
        <v>8.0000000000000002E-3</v>
      </c>
      <c r="H40" s="29"/>
    </row>
    <row r="41" spans="2:8" ht="15.75" customHeight="1" x14ac:dyDescent="0.2">
      <c r="B41" s="25" t="s">
        <v>146</v>
      </c>
      <c r="C41" s="25" t="s">
        <v>147</v>
      </c>
      <c r="D41" s="25" t="s">
        <v>148</v>
      </c>
      <c r="E41" s="26">
        <v>27563</v>
      </c>
      <c r="F41" s="27">
        <v>677.04</v>
      </c>
      <c r="G41" s="28">
        <v>8.0000000000000002E-3</v>
      </c>
      <c r="H41" s="29"/>
    </row>
    <row r="42" spans="2:8" ht="15.75" customHeight="1" x14ac:dyDescent="0.2">
      <c r="B42" s="25" t="s">
        <v>806</v>
      </c>
      <c r="C42" s="25" t="s">
        <v>807</v>
      </c>
      <c r="D42" s="25" t="s">
        <v>808</v>
      </c>
      <c r="E42" s="26">
        <v>20142</v>
      </c>
      <c r="F42" s="27">
        <v>638.38</v>
      </c>
      <c r="G42" s="28">
        <v>7.4999999999999997E-3</v>
      </c>
      <c r="H42" s="29"/>
    </row>
    <row r="43" spans="2:8" ht="15.75" customHeight="1" x14ac:dyDescent="0.2">
      <c r="B43" s="25" t="s">
        <v>590</v>
      </c>
      <c r="C43" s="25" t="s">
        <v>591</v>
      </c>
      <c r="D43" s="25" t="s">
        <v>172</v>
      </c>
      <c r="E43" s="26">
        <v>9437</v>
      </c>
      <c r="F43" s="27">
        <v>637.04</v>
      </c>
      <c r="G43" s="28">
        <v>7.4999999999999997E-3</v>
      </c>
      <c r="H43" s="29"/>
    </row>
    <row r="44" spans="2:8" ht="15.75" customHeight="1" x14ac:dyDescent="0.2">
      <c r="B44" s="25" t="s">
        <v>479</v>
      </c>
      <c r="C44" s="25" t="s">
        <v>480</v>
      </c>
      <c r="D44" s="25" t="s">
        <v>212</v>
      </c>
      <c r="E44" s="26">
        <v>21509</v>
      </c>
      <c r="F44" s="27">
        <v>630.63</v>
      </c>
      <c r="G44" s="28">
        <v>7.4000000000000003E-3</v>
      </c>
      <c r="H44" s="29"/>
    </row>
    <row r="45" spans="2:8" ht="15.75" customHeight="1" x14ac:dyDescent="0.2">
      <c r="B45" s="25" t="s">
        <v>584</v>
      </c>
      <c r="C45" s="25" t="s">
        <v>585</v>
      </c>
      <c r="D45" s="25" t="s">
        <v>172</v>
      </c>
      <c r="E45" s="26">
        <v>40421</v>
      </c>
      <c r="F45" s="27">
        <v>624.22</v>
      </c>
      <c r="G45" s="28">
        <v>7.3000000000000001E-3</v>
      </c>
      <c r="H45" s="29"/>
    </row>
    <row r="46" spans="2:8" ht="15.75" customHeight="1" x14ac:dyDescent="0.2">
      <c r="B46" s="25" t="s">
        <v>334</v>
      </c>
      <c r="C46" s="25" t="s">
        <v>335</v>
      </c>
      <c r="D46" s="25" t="s">
        <v>336</v>
      </c>
      <c r="E46" s="26">
        <v>34210</v>
      </c>
      <c r="F46" s="27">
        <v>599.91999999999996</v>
      </c>
      <c r="G46" s="28">
        <v>7.1000000000000004E-3</v>
      </c>
      <c r="H46" s="29"/>
    </row>
    <row r="47" spans="2:8" ht="15.75" customHeight="1" x14ac:dyDescent="0.2">
      <c r="B47" s="25" t="s">
        <v>662</v>
      </c>
      <c r="C47" s="25" t="s">
        <v>663</v>
      </c>
      <c r="D47" s="25" t="s">
        <v>554</v>
      </c>
      <c r="E47" s="26">
        <v>49631</v>
      </c>
      <c r="F47" s="27">
        <v>590.09</v>
      </c>
      <c r="G47" s="28">
        <v>6.8999999999999999E-3</v>
      </c>
      <c r="H47" s="29"/>
    </row>
    <row r="48" spans="2:8" ht="15.75" customHeight="1" x14ac:dyDescent="0.2">
      <c r="B48" s="25" t="s">
        <v>809</v>
      </c>
      <c r="C48" s="25" t="s">
        <v>810</v>
      </c>
      <c r="D48" s="25" t="s">
        <v>336</v>
      </c>
      <c r="E48" s="26">
        <v>80662</v>
      </c>
      <c r="F48" s="27">
        <v>577.14</v>
      </c>
      <c r="G48" s="28">
        <v>6.7999999999999996E-3</v>
      </c>
      <c r="H48" s="29"/>
    </row>
    <row r="49" spans="2:8" ht="15.75" customHeight="1" x14ac:dyDescent="0.2">
      <c r="B49" s="25" t="s">
        <v>811</v>
      </c>
      <c r="C49" s="25" t="s">
        <v>812</v>
      </c>
      <c r="D49" s="25" t="s">
        <v>139</v>
      </c>
      <c r="E49" s="26">
        <v>109055</v>
      </c>
      <c r="F49" s="27">
        <v>569.27</v>
      </c>
      <c r="G49" s="28">
        <v>6.7000000000000002E-3</v>
      </c>
      <c r="H49" s="29"/>
    </row>
    <row r="50" spans="2:8" ht="15.75" customHeight="1" x14ac:dyDescent="0.2">
      <c r="B50" s="25" t="s">
        <v>305</v>
      </c>
      <c r="C50" s="25" t="s">
        <v>306</v>
      </c>
      <c r="D50" s="25" t="s">
        <v>145</v>
      </c>
      <c r="E50" s="26">
        <v>9874</v>
      </c>
      <c r="F50" s="27">
        <v>541.92999999999995</v>
      </c>
      <c r="G50" s="28">
        <v>6.4000000000000003E-3</v>
      </c>
      <c r="H50" s="29"/>
    </row>
    <row r="51" spans="2:8" ht="15.75" customHeight="1" x14ac:dyDescent="0.2">
      <c r="B51" s="25" t="s">
        <v>248</v>
      </c>
      <c r="C51" s="25" t="s">
        <v>249</v>
      </c>
      <c r="D51" s="25" t="s">
        <v>155</v>
      </c>
      <c r="E51" s="26">
        <v>150540</v>
      </c>
      <c r="F51" s="27">
        <v>526.97</v>
      </c>
      <c r="G51" s="28">
        <v>6.1999999999999998E-3</v>
      </c>
      <c r="H51" s="29"/>
    </row>
    <row r="52" spans="2:8" ht="15.75" customHeight="1" x14ac:dyDescent="0.2">
      <c r="B52" s="25" t="s">
        <v>813</v>
      </c>
      <c r="C52" s="25" t="s">
        <v>814</v>
      </c>
      <c r="D52" s="25" t="s">
        <v>145</v>
      </c>
      <c r="E52" s="26">
        <v>10608</v>
      </c>
      <c r="F52" s="27">
        <v>526.44000000000005</v>
      </c>
      <c r="G52" s="28">
        <v>6.1999999999999998E-3</v>
      </c>
      <c r="H52" s="29"/>
    </row>
    <row r="53" spans="2:8" ht="15.75" customHeight="1" x14ac:dyDescent="0.2">
      <c r="B53" s="25" t="s">
        <v>257</v>
      </c>
      <c r="C53" s="25" t="s">
        <v>258</v>
      </c>
      <c r="D53" s="25" t="s">
        <v>148</v>
      </c>
      <c r="E53" s="26">
        <v>9069</v>
      </c>
      <c r="F53" s="27">
        <v>524.59</v>
      </c>
      <c r="G53" s="28">
        <v>6.1999999999999998E-3</v>
      </c>
      <c r="H53" s="29"/>
    </row>
    <row r="54" spans="2:8" ht="15.75" customHeight="1" x14ac:dyDescent="0.2">
      <c r="B54" s="25" t="s">
        <v>563</v>
      </c>
      <c r="C54" s="25" t="s">
        <v>564</v>
      </c>
      <c r="D54" s="25" t="s">
        <v>314</v>
      </c>
      <c r="E54" s="26">
        <v>7729</v>
      </c>
      <c r="F54" s="27">
        <v>511.3</v>
      </c>
      <c r="G54" s="28">
        <v>6.0000000000000001E-3</v>
      </c>
      <c r="H54" s="29"/>
    </row>
    <row r="55" spans="2:8" ht="15.75" customHeight="1" x14ac:dyDescent="0.2">
      <c r="B55" s="25" t="s">
        <v>588</v>
      </c>
      <c r="C55" s="25" t="s">
        <v>589</v>
      </c>
      <c r="D55" s="25" t="s">
        <v>172</v>
      </c>
      <c r="E55" s="26">
        <v>9652</v>
      </c>
      <c r="F55" s="27">
        <v>475.19</v>
      </c>
      <c r="G55" s="28">
        <v>5.5999999999999999E-3</v>
      </c>
      <c r="H55" s="29"/>
    </row>
    <row r="56" spans="2:8" ht="15.75" customHeight="1" x14ac:dyDescent="0.2">
      <c r="B56" s="25" t="s">
        <v>151</v>
      </c>
      <c r="C56" s="25" t="s">
        <v>152</v>
      </c>
      <c r="D56" s="25" t="s">
        <v>139</v>
      </c>
      <c r="E56" s="26">
        <v>7059</v>
      </c>
      <c r="F56" s="27">
        <v>399.41</v>
      </c>
      <c r="G56" s="28">
        <v>4.7000000000000002E-3</v>
      </c>
      <c r="H56" s="29"/>
    </row>
    <row r="57" spans="2:8" ht="15.75" customHeight="1" x14ac:dyDescent="0.2">
      <c r="B57" s="24" t="s">
        <v>104</v>
      </c>
      <c r="C57" s="24"/>
      <c r="D57" s="24"/>
      <c r="E57" s="30"/>
      <c r="F57" s="31">
        <f>SUM(F7:F56)</f>
        <v>84792.7</v>
      </c>
      <c r="G57" s="32">
        <v>0.99680000000000002</v>
      </c>
      <c r="H57" s="33"/>
    </row>
    <row r="58" spans="2:8" ht="15.75" customHeight="1" x14ac:dyDescent="0.2">
      <c r="B58" s="24" t="s">
        <v>156</v>
      </c>
      <c r="C58" s="25"/>
      <c r="D58" s="25"/>
      <c r="E58" s="26"/>
      <c r="F58" s="27"/>
      <c r="G58" s="28"/>
      <c r="H58" s="29"/>
    </row>
    <row r="59" spans="2:8" ht="15.75" customHeight="1" x14ac:dyDescent="0.2">
      <c r="B59" s="25" t="s">
        <v>674</v>
      </c>
      <c r="C59" s="25" t="s">
        <v>675</v>
      </c>
      <c r="D59" s="25" t="s">
        <v>554</v>
      </c>
      <c r="E59" s="26">
        <v>1852</v>
      </c>
      <c r="F59" s="27">
        <v>6.87</v>
      </c>
      <c r="G59" s="28">
        <v>1E-4</v>
      </c>
      <c r="H59" s="29"/>
    </row>
    <row r="60" spans="2:8" ht="15.75" customHeight="1" x14ac:dyDescent="0.2">
      <c r="B60" s="24" t="s">
        <v>104</v>
      </c>
      <c r="C60" s="25"/>
      <c r="D60" s="25"/>
      <c r="E60" s="26"/>
      <c r="F60" s="31">
        <f>SUM(F59)</f>
        <v>6.87</v>
      </c>
      <c r="G60" s="32">
        <f>SUM(G59)</f>
        <v>1E-4</v>
      </c>
      <c r="H60" s="29"/>
    </row>
    <row r="61" spans="2:8" ht="15.75" customHeight="1" x14ac:dyDescent="0.2">
      <c r="B61" s="25"/>
      <c r="C61" s="25"/>
      <c r="D61" s="25"/>
      <c r="E61" s="26"/>
      <c r="F61" s="27"/>
      <c r="G61" s="28"/>
      <c r="H61" s="29"/>
    </row>
    <row r="62" spans="2:8" ht="15.75" customHeight="1" x14ac:dyDescent="0.2">
      <c r="B62" s="36" t="s">
        <v>108</v>
      </c>
      <c r="C62" s="36"/>
      <c r="D62" s="36"/>
      <c r="E62" s="37"/>
      <c r="F62" s="31">
        <v>84799.57</v>
      </c>
      <c r="G62" s="32">
        <v>0.99690000000000001</v>
      </c>
      <c r="H62" s="33"/>
    </row>
    <row r="63" spans="2:8" ht="15.75" customHeight="1" x14ac:dyDescent="0.2">
      <c r="B63" s="25"/>
      <c r="C63" s="25"/>
      <c r="D63" s="25"/>
      <c r="E63" s="26"/>
      <c r="F63" s="27"/>
      <c r="G63" s="28"/>
      <c r="H63" s="29"/>
    </row>
    <row r="64" spans="2:8" ht="15.75" customHeight="1" x14ac:dyDescent="0.2">
      <c r="B64" s="25"/>
      <c r="C64" s="25"/>
      <c r="D64" s="25"/>
      <c r="E64" s="26"/>
      <c r="F64" s="27"/>
      <c r="G64" s="28"/>
      <c r="H64" s="29"/>
    </row>
    <row r="65" spans="2:14" ht="15.75" customHeight="1" x14ac:dyDescent="0.2">
      <c r="B65" s="24" t="s">
        <v>111</v>
      </c>
      <c r="C65" s="25"/>
      <c r="D65" s="25"/>
      <c r="E65" s="26"/>
      <c r="F65" s="27"/>
      <c r="G65" s="28"/>
      <c r="H65" s="29"/>
    </row>
    <row r="66" spans="2:14" ht="15.75" customHeight="1" x14ac:dyDescent="0.2">
      <c r="B66" s="25" t="s">
        <v>112</v>
      </c>
      <c r="C66" s="25"/>
      <c r="D66" s="25"/>
      <c r="E66" s="26"/>
      <c r="F66" s="27">
        <v>66.069999999999993</v>
      </c>
      <c r="G66" s="28">
        <v>8.0000000000000004E-4</v>
      </c>
      <c r="H66" s="29"/>
    </row>
    <row r="67" spans="2:14" ht="15.75" customHeight="1" x14ac:dyDescent="0.2">
      <c r="B67" s="24" t="s">
        <v>104</v>
      </c>
      <c r="C67" s="24"/>
      <c r="D67" s="24"/>
      <c r="E67" s="30"/>
      <c r="F67" s="31">
        <v>66.069999999999993</v>
      </c>
      <c r="G67" s="32">
        <v>8.0000000000000004E-4</v>
      </c>
      <c r="H67" s="33"/>
    </row>
    <row r="68" spans="2:14" ht="15.75" customHeight="1" x14ac:dyDescent="0.2">
      <c r="B68" s="25"/>
      <c r="C68" s="25"/>
      <c r="D68" s="25"/>
      <c r="E68" s="26"/>
      <c r="F68" s="27"/>
      <c r="G68" s="28"/>
      <c r="H68" s="29"/>
      <c r="J68" s="3"/>
    </row>
    <row r="69" spans="2:14" ht="15.75" customHeight="1" x14ac:dyDescent="0.2">
      <c r="B69" s="36" t="s">
        <v>108</v>
      </c>
      <c r="C69" s="36"/>
      <c r="D69" s="36"/>
      <c r="E69" s="37"/>
      <c r="F69" s="31">
        <v>66.069999999999993</v>
      </c>
      <c r="G69" s="32">
        <v>8.0000000000000004E-4</v>
      </c>
      <c r="H69" s="33"/>
    </row>
    <row r="70" spans="2:14" ht="15.75" customHeight="1" x14ac:dyDescent="0.2">
      <c r="B70" s="25" t="s">
        <v>113</v>
      </c>
      <c r="C70" s="25"/>
      <c r="D70" s="25"/>
      <c r="E70" s="26"/>
      <c r="F70" s="27">
        <v>195.56</v>
      </c>
      <c r="G70" s="28">
        <v>2.2999999999999687E-3</v>
      </c>
      <c r="H70" s="29"/>
      <c r="J70" s="3"/>
    </row>
    <row r="71" spans="2:14" ht="15.75" customHeight="1" x14ac:dyDescent="0.2">
      <c r="B71" s="40" t="s">
        <v>114</v>
      </c>
      <c r="C71" s="40"/>
      <c r="D71" s="40"/>
      <c r="E71" s="41"/>
      <c r="F71" s="42">
        <v>85061.2</v>
      </c>
      <c r="G71" s="43">
        <v>1</v>
      </c>
      <c r="H71" s="44"/>
      <c r="J71" s="3"/>
    </row>
    <row r="72" spans="2:14" ht="15.75" customHeight="1" x14ac:dyDescent="0.2">
      <c r="B72" s="2"/>
      <c r="J72" s="3"/>
    </row>
    <row r="73" spans="2:14" ht="15.75" customHeight="1" x14ac:dyDescent="0.2">
      <c r="B73" s="12" t="s">
        <v>131</v>
      </c>
      <c r="J73" s="3"/>
    </row>
    <row r="74" spans="2:14" ht="15.75" customHeight="1" x14ac:dyDescent="0.2">
      <c r="B74" s="12" t="s">
        <v>115</v>
      </c>
      <c r="J74" s="3"/>
    </row>
    <row r="75" spans="2:14" ht="15.75" customHeight="1" thickBot="1" x14ac:dyDescent="0.25">
      <c r="J75" s="5"/>
      <c r="K75" s="5"/>
      <c r="L75" s="6"/>
      <c r="M75" s="6"/>
      <c r="N75" s="5"/>
    </row>
    <row r="76" spans="2:14" ht="27" customHeight="1" thickBot="1" x14ac:dyDescent="0.25">
      <c r="B76" s="56" t="s">
        <v>1009</v>
      </c>
      <c r="C76" s="57" t="s">
        <v>1010</v>
      </c>
      <c r="D76" s="57" t="s">
        <v>1011</v>
      </c>
      <c r="E76" s="62" t="s">
        <v>1012</v>
      </c>
      <c r="G76" s="2"/>
      <c r="H76" s="2"/>
    </row>
    <row r="77" spans="2:14" ht="30" customHeight="1" x14ac:dyDescent="0.2">
      <c r="B77" s="69" t="s">
        <v>80</v>
      </c>
      <c r="C77" s="83"/>
      <c r="D77" s="86" t="s">
        <v>1067</v>
      </c>
      <c r="E77" s="88"/>
      <c r="G77" s="2"/>
      <c r="H77" s="2"/>
    </row>
    <row r="78" spans="2:14" ht="28.5" customHeight="1" x14ac:dyDescent="0.2">
      <c r="B78" s="65" t="s">
        <v>1085</v>
      </c>
      <c r="C78" s="84"/>
      <c r="D78" s="87"/>
      <c r="E78" s="84"/>
      <c r="G78" s="2"/>
      <c r="H78" s="2"/>
    </row>
    <row r="79" spans="2:14" ht="39.950000000000003" customHeight="1" x14ac:dyDescent="0.2">
      <c r="B79" s="65" t="s">
        <v>1089</v>
      </c>
      <c r="C79" s="84"/>
      <c r="D79" s="87"/>
      <c r="E79" s="84"/>
      <c r="G79" s="2"/>
      <c r="H79" s="2"/>
    </row>
    <row r="80" spans="2:14" ht="30" customHeight="1" thickBot="1" x14ac:dyDescent="0.25">
      <c r="B80" s="67" t="s">
        <v>1090</v>
      </c>
      <c r="C80" s="85"/>
      <c r="D80" s="70" t="s">
        <v>1090</v>
      </c>
      <c r="E80" s="89"/>
      <c r="G80" s="2"/>
      <c r="H80" s="2"/>
    </row>
    <row r="81" spans="2:16" ht="24.95" customHeight="1" x14ac:dyDescent="0.2">
      <c r="B81" s="58" t="s">
        <v>1014</v>
      </c>
      <c r="C81" s="59"/>
      <c r="D81" s="60"/>
      <c r="E81" s="61"/>
      <c r="G81" s="2"/>
      <c r="H81" s="2"/>
    </row>
    <row r="82" spans="2:16" ht="15.75" customHeight="1" x14ac:dyDescent="0.2">
      <c r="L82" s="7"/>
      <c r="M82" s="7"/>
      <c r="N82" s="7"/>
      <c r="O82" s="7"/>
      <c r="P82" s="7"/>
    </row>
    <row r="83" spans="2:16" ht="12" x14ac:dyDescent="0.2">
      <c r="B83" s="2" t="s">
        <v>1015</v>
      </c>
      <c r="C83" s="2"/>
      <c r="D83" s="2"/>
      <c r="G83" s="2"/>
      <c r="H83" s="2"/>
    </row>
    <row r="84" spans="2:16" ht="12" x14ac:dyDescent="0.2">
      <c r="B84" s="3" t="s">
        <v>1016</v>
      </c>
      <c r="C84" s="2"/>
      <c r="D84" s="2"/>
      <c r="G84" s="2"/>
      <c r="H84" s="2"/>
    </row>
    <row r="86" spans="2:16" ht="15.75" customHeight="1" x14ac:dyDescent="0.2">
      <c r="J86" s="3"/>
    </row>
  </sheetData>
  <mergeCells count="3">
    <mergeCell ref="C77:C80"/>
    <mergeCell ref="D77:D79"/>
    <mergeCell ref="E77:E80"/>
  </mergeCells>
  <hyperlinks>
    <hyperlink ref="G1" location="'Sheet1'!A1" display="Index" xr:uid="{00978D2B-EC67-474D-9A24-CCD7EBD1EE9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A0273-E6ED-4E86-9BAD-182342EAF984}">
  <dimension ref="B1:N86"/>
  <sheetViews>
    <sheetView workbookViewId="0"/>
  </sheetViews>
  <sheetFormatPr defaultColWidth="9.140625" defaultRowHeight="15.75" customHeight="1" x14ac:dyDescent="0.2"/>
  <cols>
    <col min="1" max="1" width="3.5703125" style="2" customWidth="1"/>
    <col min="2" max="2" width="50.42578125" style="9" customWidth="1"/>
    <col min="3" max="3" width="26.28515625" style="9" customWidth="1"/>
    <col min="4" max="4" width="26.5703125" style="9" customWidth="1"/>
    <col min="5" max="5" width="24.42578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1100</v>
      </c>
      <c r="C1" s="4" t="s">
        <v>988</v>
      </c>
      <c r="D1" s="4" t="s">
        <v>987</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132</v>
      </c>
      <c r="C5" s="19"/>
      <c r="D5" s="19"/>
      <c r="E5" s="20"/>
      <c r="F5" s="21"/>
      <c r="G5" s="22"/>
      <c r="H5" s="23"/>
    </row>
    <row r="6" spans="2:8" ht="15.75" customHeight="1" x14ac:dyDescent="0.2">
      <c r="B6" s="24" t="s">
        <v>133</v>
      </c>
      <c r="C6" s="25"/>
      <c r="D6" s="25"/>
      <c r="E6" s="26"/>
      <c r="F6" s="27"/>
      <c r="G6" s="28"/>
      <c r="H6" s="29"/>
    </row>
    <row r="7" spans="2:8" ht="15.75" customHeight="1" x14ac:dyDescent="0.2">
      <c r="B7" s="25" t="s">
        <v>149</v>
      </c>
      <c r="C7" s="25" t="s">
        <v>150</v>
      </c>
      <c r="D7" s="25" t="s">
        <v>136</v>
      </c>
      <c r="E7" s="26">
        <v>681097</v>
      </c>
      <c r="F7" s="27">
        <v>11013.68</v>
      </c>
      <c r="G7" s="28">
        <v>0.13</v>
      </c>
      <c r="H7" s="29"/>
    </row>
    <row r="8" spans="2:8" ht="15.75" customHeight="1" x14ac:dyDescent="0.2">
      <c r="B8" s="25" t="s">
        <v>153</v>
      </c>
      <c r="C8" s="25" t="s">
        <v>154</v>
      </c>
      <c r="D8" s="25" t="s">
        <v>155</v>
      </c>
      <c r="E8" s="26">
        <v>305602</v>
      </c>
      <c r="F8" s="27">
        <v>9199.3799999999992</v>
      </c>
      <c r="G8" s="28">
        <v>0.1086</v>
      </c>
      <c r="H8" s="29"/>
    </row>
    <row r="9" spans="2:8" ht="15.75" customHeight="1" x14ac:dyDescent="0.2">
      <c r="B9" s="25" t="s">
        <v>134</v>
      </c>
      <c r="C9" s="25" t="s">
        <v>135</v>
      </c>
      <c r="D9" s="25" t="s">
        <v>136</v>
      </c>
      <c r="E9" s="26">
        <v>636472</v>
      </c>
      <c r="F9" s="27">
        <v>7731.86</v>
      </c>
      <c r="G9" s="28">
        <v>9.1300000000000006E-2</v>
      </c>
      <c r="H9" s="29"/>
    </row>
    <row r="10" spans="2:8" ht="15.75" customHeight="1" x14ac:dyDescent="0.2">
      <c r="B10" s="25" t="s">
        <v>137</v>
      </c>
      <c r="C10" s="25" t="s">
        <v>138</v>
      </c>
      <c r="D10" s="25" t="s">
        <v>139</v>
      </c>
      <c r="E10" s="26">
        <v>326583</v>
      </c>
      <c r="F10" s="27">
        <v>6100.73</v>
      </c>
      <c r="G10" s="28">
        <v>7.1999999999999995E-2</v>
      </c>
      <c r="H10" s="29"/>
    </row>
    <row r="11" spans="2:8" ht="15.75" customHeight="1" x14ac:dyDescent="0.2">
      <c r="B11" s="25" t="s">
        <v>285</v>
      </c>
      <c r="C11" s="25" t="s">
        <v>286</v>
      </c>
      <c r="D11" s="25" t="s">
        <v>142</v>
      </c>
      <c r="E11" s="26">
        <v>834518</v>
      </c>
      <c r="F11" s="27">
        <v>4131.28</v>
      </c>
      <c r="G11" s="28">
        <v>4.8800000000000003E-2</v>
      </c>
      <c r="H11" s="29"/>
    </row>
    <row r="12" spans="2:8" ht="15.75" customHeight="1" x14ac:dyDescent="0.2">
      <c r="B12" s="25" t="s">
        <v>350</v>
      </c>
      <c r="C12" s="25" t="s">
        <v>351</v>
      </c>
      <c r="D12" s="25" t="s">
        <v>352</v>
      </c>
      <c r="E12" s="26">
        <v>105711</v>
      </c>
      <c r="F12" s="27">
        <v>4030.28</v>
      </c>
      <c r="G12" s="28">
        <v>4.7600000000000003E-2</v>
      </c>
      <c r="H12" s="29"/>
    </row>
    <row r="13" spans="2:8" ht="15.75" customHeight="1" x14ac:dyDescent="0.2">
      <c r="B13" s="25" t="s">
        <v>236</v>
      </c>
      <c r="C13" s="25" t="s">
        <v>237</v>
      </c>
      <c r="D13" s="25" t="s">
        <v>139</v>
      </c>
      <c r="E13" s="26">
        <v>91653</v>
      </c>
      <c r="F13" s="27">
        <v>4018.66</v>
      </c>
      <c r="G13" s="28">
        <v>4.7399999999999998E-2</v>
      </c>
      <c r="H13" s="29"/>
    </row>
    <row r="14" spans="2:8" ht="15.75" customHeight="1" x14ac:dyDescent="0.2">
      <c r="B14" s="25" t="s">
        <v>215</v>
      </c>
      <c r="C14" s="25" t="s">
        <v>216</v>
      </c>
      <c r="D14" s="25" t="s">
        <v>217</v>
      </c>
      <c r="E14" s="26">
        <v>241049</v>
      </c>
      <c r="F14" s="27">
        <v>3598.62</v>
      </c>
      <c r="G14" s="28">
        <v>4.2500000000000003E-2</v>
      </c>
      <c r="H14" s="29"/>
    </row>
    <row r="15" spans="2:8" ht="15.75" customHeight="1" x14ac:dyDescent="0.2">
      <c r="B15" s="25" t="s">
        <v>287</v>
      </c>
      <c r="C15" s="25" t="s">
        <v>288</v>
      </c>
      <c r="D15" s="25" t="s">
        <v>136</v>
      </c>
      <c r="E15" s="26">
        <v>347472</v>
      </c>
      <c r="F15" s="27">
        <v>3032.56</v>
      </c>
      <c r="G15" s="28">
        <v>3.5799999999999998E-2</v>
      </c>
      <c r="H15" s="29"/>
    </row>
    <row r="16" spans="2:8" ht="15.75" customHeight="1" x14ac:dyDescent="0.2">
      <c r="B16" s="25" t="s">
        <v>291</v>
      </c>
      <c r="C16" s="25" t="s">
        <v>292</v>
      </c>
      <c r="D16" s="25" t="s">
        <v>136</v>
      </c>
      <c r="E16" s="26">
        <v>254382</v>
      </c>
      <c r="F16" s="27">
        <v>2966.6</v>
      </c>
      <c r="G16" s="28">
        <v>3.5000000000000003E-2</v>
      </c>
      <c r="H16" s="29"/>
    </row>
    <row r="17" spans="2:8" ht="15.75" customHeight="1" x14ac:dyDescent="0.2">
      <c r="B17" s="25" t="s">
        <v>289</v>
      </c>
      <c r="C17" s="25" t="s">
        <v>290</v>
      </c>
      <c r="D17" s="25" t="s">
        <v>136</v>
      </c>
      <c r="E17" s="26">
        <v>132960</v>
      </c>
      <c r="F17" s="27">
        <v>2402.12</v>
      </c>
      <c r="G17" s="28">
        <v>2.8400000000000002E-2</v>
      </c>
      <c r="H17" s="29"/>
    </row>
    <row r="18" spans="2:8" ht="15.75" customHeight="1" x14ac:dyDescent="0.2">
      <c r="B18" s="25" t="s">
        <v>143</v>
      </c>
      <c r="C18" s="25" t="s">
        <v>144</v>
      </c>
      <c r="D18" s="25" t="s">
        <v>145</v>
      </c>
      <c r="E18" s="26">
        <v>79948</v>
      </c>
      <c r="F18" s="27">
        <v>2324.25</v>
      </c>
      <c r="G18" s="28">
        <v>2.7400000000000001E-2</v>
      </c>
      <c r="H18" s="29"/>
    </row>
    <row r="19" spans="2:8" ht="15.75" customHeight="1" x14ac:dyDescent="0.2">
      <c r="B19" s="25" t="s">
        <v>140</v>
      </c>
      <c r="C19" s="25" t="s">
        <v>141</v>
      </c>
      <c r="D19" s="25" t="s">
        <v>142</v>
      </c>
      <c r="E19" s="26">
        <v>80748</v>
      </c>
      <c r="F19" s="27">
        <v>2185.08</v>
      </c>
      <c r="G19" s="28">
        <v>2.58E-2</v>
      </c>
      <c r="H19" s="29"/>
    </row>
    <row r="20" spans="2:8" ht="15.75" customHeight="1" x14ac:dyDescent="0.2">
      <c r="B20" s="25" t="s">
        <v>487</v>
      </c>
      <c r="C20" s="25" t="s">
        <v>488</v>
      </c>
      <c r="D20" s="25" t="s">
        <v>145</v>
      </c>
      <c r="E20" s="26">
        <v>159095</v>
      </c>
      <c r="F20" s="27">
        <v>1839.7</v>
      </c>
      <c r="G20" s="28">
        <v>2.1700000000000001E-2</v>
      </c>
      <c r="H20" s="29"/>
    </row>
    <row r="21" spans="2:8" ht="15.75" customHeight="1" x14ac:dyDescent="0.2">
      <c r="B21" s="25" t="s">
        <v>255</v>
      </c>
      <c r="C21" s="25" t="s">
        <v>256</v>
      </c>
      <c r="D21" s="25" t="s">
        <v>184</v>
      </c>
      <c r="E21" s="26">
        <v>429747</v>
      </c>
      <c r="F21" s="27">
        <v>1787.96</v>
      </c>
      <c r="G21" s="28">
        <v>2.1100000000000001E-2</v>
      </c>
      <c r="H21" s="29"/>
    </row>
    <row r="22" spans="2:8" ht="15.75" customHeight="1" x14ac:dyDescent="0.2">
      <c r="B22" s="25" t="s">
        <v>293</v>
      </c>
      <c r="C22" s="25" t="s">
        <v>294</v>
      </c>
      <c r="D22" s="25" t="s">
        <v>212</v>
      </c>
      <c r="E22" s="26">
        <v>25153</v>
      </c>
      <c r="F22" s="27">
        <v>1712.53</v>
      </c>
      <c r="G22" s="28">
        <v>2.0199999999999999E-2</v>
      </c>
      <c r="H22" s="29"/>
    </row>
    <row r="23" spans="2:8" ht="15.75" customHeight="1" x14ac:dyDescent="0.2">
      <c r="B23" s="25" t="s">
        <v>507</v>
      </c>
      <c r="C23" s="25" t="s">
        <v>508</v>
      </c>
      <c r="D23" s="25" t="s">
        <v>172</v>
      </c>
      <c r="E23" s="26">
        <v>97358</v>
      </c>
      <c r="F23" s="27">
        <v>1672.46</v>
      </c>
      <c r="G23" s="28">
        <v>1.9699999999999999E-2</v>
      </c>
      <c r="H23" s="29"/>
    </row>
    <row r="24" spans="2:8" ht="15.75" customHeight="1" x14ac:dyDescent="0.2">
      <c r="B24" s="25" t="s">
        <v>234</v>
      </c>
      <c r="C24" s="25" t="s">
        <v>235</v>
      </c>
      <c r="D24" s="25" t="s">
        <v>145</v>
      </c>
      <c r="E24" s="26">
        <v>11940</v>
      </c>
      <c r="F24" s="27">
        <v>1572.25</v>
      </c>
      <c r="G24" s="28">
        <v>1.8599999999999998E-2</v>
      </c>
      <c r="H24" s="29"/>
    </row>
    <row r="25" spans="2:8" ht="15.75" customHeight="1" x14ac:dyDescent="0.2">
      <c r="B25" s="25" t="s">
        <v>298</v>
      </c>
      <c r="C25" s="25" t="s">
        <v>299</v>
      </c>
      <c r="D25" s="25" t="s">
        <v>139</v>
      </c>
      <c r="E25" s="26">
        <v>95381</v>
      </c>
      <c r="F25" s="27">
        <v>1566.11</v>
      </c>
      <c r="G25" s="28">
        <v>1.8499999999999999E-2</v>
      </c>
      <c r="H25" s="29"/>
    </row>
    <row r="26" spans="2:8" ht="15.75" customHeight="1" x14ac:dyDescent="0.2">
      <c r="B26" s="25" t="s">
        <v>191</v>
      </c>
      <c r="C26" s="25" t="s">
        <v>192</v>
      </c>
      <c r="D26" s="25" t="s">
        <v>184</v>
      </c>
      <c r="E26" s="26">
        <v>411668</v>
      </c>
      <c r="F26" s="27">
        <v>1435.07</v>
      </c>
      <c r="G26" s="28">
        <v>1.6899999999999998E-2</v>
      </c>
      <c r="H26" s="29"/>
    </row>
    <row r="27" spans="2:8" ht="15.75" customHeight="1" x14ac:dyDescent="0.2">
      <c r="B27" s="25" t="s">
        <v>402</v>
      </c>
      <c r="C27" s="25" t="s">
        <v>403</v>
      </c>
      <c r="D27" s="25" t="s">
        <v>187</v>
      </c>
      <c r="E27" s="26">
        <v>37618</v>
      </c>
      <c r="F27" s="27">
        <v>1300.77</v>
      </c>
      <c r="G27" s="28">
        <v>1.54E-2</v>
      </c>
      <c r="H27" s="29"/>
    </row>
    <row r="28" spans="2:8" ht="15.75" customHeight="1" x14ac:dyDescent="0.2">
      <c r="B28" s="25" t="s">
        <v>485</v>
      </c>
      <c r="C28" s="25" t="s">
        <v>486</v>
      </c>
      <c r="D28" s="25" t="s">
        <v>187</v>
      </c>
      <c r="E28" s="26">
        <v>40840</v>
      </c>
      <c r="F28" s="27">
        <v>1258.81</v>
      </c>
      <c r="G28" s="28">
        <v>1.49E-2</v>
      </c>
      <c r="H28" s="29"/>
    </row>
    <row r="29" spans="2:8" ht="15.75" customHeight="1" x14ac:dyDescent="0.2">
      <c r="B29" s="25" t="s">
        <v>179</v>
      </c>
      <c r="C29" s="25" t="s">
        <v>180</v>
      </c>
      <c r="D29" s="25" t="s">
        <v>181</v>
      </c>
      <c r="E29" s="26">
        <v>747221</v>
      </c>
      <c r="F29" s="27">
        <v>1235.53</v>
      </c>
      <c r="G29" s="28">
        <v>1.46E-2</v>
      </c>
      <c r="H29" s="29"/>
    </row>
    <row r="30" spans="2:8" ht="15.75" customHeight="1" x14ac:dyDescent="0.2">
      <c r="B30" s="25" t="s">
        <v>491</v>
      </c>
      <c r="C30" s="25" t="s">
        <v>492</v>
      </c>
      <c r="D30" s="25" t="s">
        <v>269</v>
      </c>
      <c r="E30" s="26">
        <v>10392</v>
      </c>
      <c r="F30" s="27">
        <v>1234.8599999999999</v>
      </c>
      <c r="G30" s="28">
        <v>1.46E-2</v>
      </c>
      <c r="H30" s="29"/>
    </row>
    <row r="31" spans="2:8" ht="15.75" customHeight="1" x14ac:dyDescent="0.2">
      <c r="B31" s="25" t="s">
        <v>802</v>
      </c>
      <c r="C31" s="25" t="s">
        <v>803</v>
      </c>
      <c r="D31" s="25" t="s">
        <v>245</v>
      </c>
      <c r="E31" s="26">
        <v>66053</v>
      </c>
      <c r="F31" s="27">
        <v>1036.8</v>
      </c>
      <c r="G31" s="28">
        <v>1.2200000000000001E-2</v>
      </c>
      <c r="H31" s="29"/>
    </row>
    <row r="32" spans="2:8" ht="15.75" customHeight="1" x14ac:dyDescent="0.2">
      <c r="B32" s="25" t="s">
        <v>203</v>
      </c>
      <c r="C32" s="25" t="s">
        <v>204</v>
      </c>
      <c r="D32" s="25" t="s">
        <v>139</v>
      </c>
      <c r="E32" s="26">
        <v>57180</v>
      </c>
      <c r="F32" s="27">
        <v>888.52</v>
      </c>
      <c r="G32" s="28">
        <v>1.0500000000000001E-2</v>
      </c>
      <c r="H32" s="29"/>
    </row>
    <row r="33" spans="2:8" ht="15.75" customHeight="1" x14ac:dyDescent="0.2">
      <c r="B33" s="25" t="s">
        <v>324</v>
      </c>
      <c r="C33" s="25" t="s">
        <v>325</v>
      </c>
      <c r="D33" s="25" t="s">
        <v>136</v>
      </c>
      <c r="E33" s="26">
        <v>59780</v>
      </c>
      <c r="F33" s="27">
        <v>853.75</v>
      </c>
      <c r="G33" s="28">
        <v>1.01E-2</v>
      </c>
      <c r="H33" s="29"/>
    </row>
    <row r="34" spans="2:8" ht="15.75" customHeight="1" x14ac:dyDescent="0.2">
      <c r="B34" s="25" t="s">
        <v>241</v>
      </c>
      <c r="C34" s="25" t="s">
        <v>242</v>
      </c>
      <c r="D34" s="25" t="s">
        <v>181</v>
      </c>
      <c r="E34" s="26">
        <v>85982</v>
      </c>
      <c r="F34" s="27">
        <v>797.7</v>
      </c>
      <c r="G34" s="28">
        <v>9.4000000000000004E-3</v>
      </c>
      <c r="H34" s="29"/>
    </row>
    <row r="35" spans="2:8" ht="15.75" customHeight="1" x14ac:dyDescent="0.2">
      <c r="B35" s="25" t="s">
        <v>146</v>
      </c>
      <c r="C35" s="25" t="s">
        <v>147</v>
      </c>
      <c r="D35" s="25" t="s">
        <v>148</v>
      </c>
      <c r="E35" s="26">
        <v>32181</v>
      </c>
      <c r="F35" s="27">
        <v>790.41</v>
      </c>
      <c r="G35" s="28">
        <v>9.2999999999999992E-3</v>
      </c>
      <c r="H35" s="29"/>
    </row>
    <row r="36" spans="2:8" ht="15.75" customHeight="1" x14ac:dyDescent="0.2">
      <c r="B36" s="25" t="s">
        <v>804</v>
      </c>
      <c r="C36" s="25" t="s">
        <v>805</v>
      </c>
      <c r="D36" s="25" t="s">
        <v>212</v>
      </c>
      <c r="E36" s="26">
        <v>43108</v>
      </c>
      <c r="F36" s="27">
        <v>712.7</v>
      </c>
      <c r="G36" s="28">
        <v>8.3999999999999995E-3</v>
      </c>
      <c r="H36" s="29"/>
    </row>
    <row r="37" spans="2:8" ht="15.75" customHeight="1" x14ac:dyDescent="0.2">
      <c r="B37" s="24" t="s">
        <v>104</v>
      </c>
      <c r="C37" s="24"/>
      <c r="D37" s="24"/>
      <c r="E37" s="30"/>
      <c r="F37" s="31">
        <v>84431.03</v>
      </c>
      <c r="G37" s="32">
        <v>0.99650000000000005</v>
      </c>
      <c r="H37" s="33"/>
    </row>
    <row r="38" spans="2:8" ht="15.75" customHeight="1" x14ac:dyDescent="0.2">
      <c r="B38" s="24" t="s">
        <v>156</v>
      </c>
      <c r="C38" s="25"/>
      <c r="D38" s="25"/>
      <c r="E38" s="26"/>
      <c r="F38" s="27"/>
      <c r="G38" s="28"/>
      <c r="H38" s="29"/>
    </row>
    <row r="39" spans="2:8" ht="15.75" customHeight="1" x14ac:dyDescent="0.2">
      <c r="B39" s="24" t="s">
        <v>104</v>
      </c>
      <c r="C39" s="25"/>
      <c r="D39" s="25"/>
      <c r="E39" s="26"/>
      <c r="F39" s="34" t="s">
        <v>106</v>
      </c>
      <c r="G39" s="35" t="s">
        <v>106</v>
      </c>
      <c r="H39" s="29"/>
    </row>
    <row r="40" spans="2:8" ht="15.75" customHeight="1" x14ac:dyDescent="0.2">
      <c r="B40" s="25"/>
      <c r="C40" s="25"/>
      <c r="D40" s="25"/>
      <c r="E40" s="26"/>
      <c r="F40" s="27"/>
      <c r="G40" s="28"/>
      <c r="H40" s="29"/>
    </row>
    <row r="41" spans="2:8" ht="15.75" customHeight="1" x14ac:dyDescent="0.2">
      <c r="B41" s="36" t="s">
        <v>108</v>
      </c>
      <c r="C41" s="36"/>
      <c r="D41" s="36"/>
      <c r="E41" s="37"/>
      <c r="F41" s="31">
        <v>84431.03</v>
      </c>
      <c r="G41" s="32">
        <v>0.99650000000000005</v>
      </c>
      <c r="H41" s="33"/>
    </row>
    <row r="42" spans="2:8" ht="15.75" customHeight="1" x14ac:dyDescent="0.2">
      <c r="B42" s="25"/>
      <c r="C42" s="25"/>
      <c r="D42" s="25"/>
      <c r="E42" s="26"/>
      <c r="F42" s="27"/>
      <c r="G42" s="28"/>
      <c r="H42" s="29"/>
    </row>
    <row r="43" spans="2:8" ht="15.75" customHeight="1" x14ac:dyDescent="0.2">
      <c r="B43" s="25"/>
      <c r="C43" s="25"/>
      <c r="D43" s="25"/>
      <c r="E43" s="26"/>
      <c r="F43" s="27"/>
      <c r="G43" s="28"/>
      <c r="H43" s="29"/>
    </row>
    <row r="44" spans="2:8" ht="15.75" customHeight="1" x14ac:dyDescent="0.2">
      <c r="B44" s="24" t="s">
        <v>111</v>
      </c>
      <c r="C44" s="25"/>
      <c r="D44" s="25"/>
      <c r="E44" s="26"/>
      <c r="F44" s="27"/>
      <c r="G44" s="28"/>
      <c r="H44" s="29"/>
    </row>
    <row r="45" spans="2:8" ht="15.75" customHeight="1" x14ac:dyDescent="0.2">
      <c r="B45" s="25" t="s">
        <v>112</v>
      </c>
      <c r="C45" s="25"/>
      <c r="D45" s="25"/>
      <c r="E45" s="26"/>
      <c r="F45" s="27">
        <v>88.55</v>
      </c>
      <c r="G45" s="28">
        <v>1E-3</v>
      </c>
      <c r="H45" s="29"/>
    </row>
    <row r="46" spans="2:8" ht="15.75" customHeight="1" x14ac:dyDescent="0.2">
      <c r="B46" s="24" t="s">
        <v>104</v>
      </c>
      <c r="C46" s="24"/>
      <c r="D46" s="24"/>
      <c r="E46" s="30"/>
      <c r="F46" s="31">
        <v>88.55</v>
      </c>
      <c r="G46" s="32">
        <v>1E-3</v>
      </c>
      <c r="H46" s="33"/>
    </row>
    <row r="47" spans="2:8" ht="15.75" customHeight="1" x14ac:dyDescent="0.2">
      <c r="B47" s="25"/>
      <c r="C47" s="25"/>
      <c r="D47" s="25"/>
      <c r="E47" s="26"/>
      <c r="F47" s="27"/>
      <c r="G47" s="28"/>
      <c r="H47" s="29"/>
    </row>
    <row r="48" spans="2:8" ht="15.75" customHeight="1" x14ac:dyDescent="0.2">
      <c r="B48" s="36" t="s">
        <v>108</v>
      </c>
      <c r="C48" s="36"/>
      <c r="D48" s="36"/>
      <c r="E48" s="37"/>
      <c r="F48" s="31">
        <v>88.55</v>
      </c>
      <c r="G48" s="32">
        <v>1E-3</v>
      </c>
      <c r="H48" s="33"/>
    </row>
    <row r="49" spans="2:8" ht="15.75" customHeight="1" x14ac:dyDescent="0.2">
      <c r="B49" s="25" t="s">
        <v>113</v>
      </c>
      <c r="C49" s="25"/>
      <c r="D49" s="25"/>
      <c r="E49" s="26"/>
      <c r="F49" s="27">
        <v>206.3</v>
      </c>
      <c r="G49" s="28">
        <v>2.4999999999999467E-3</v>
      </c>
      <c r="H49" s="29"/>
    </row>
    <row r="50" spans="2:8" ht="15.75" customHeight="1" x14ac:dyDescent="0.2">
      <c r="B50" s="40" t="s">
        <v>114</v>
      </c>
      <c r="C50" s="40"/>
      <c r="D50" s="40"/>
      <c r="E50" s="41"/>
      <c r="F50" s="42">
        <v>84725.88</v>
      </c>
      <c r="G50" s="43">
        <v>1</v>
      </c>
      <c r="H50" s="44"/>
    </row>
    <row r="51" spans="2:8" ht="15.75" customHeight="1" thickBot="1" x14ac:dyDescent="0.25">
      <c r="B51" s="2"/>
    </row>
    <row r="52" spans="2:8" ht="27" customHeight="1" thickBot="1" x14ac:dyDescent="0.25">
      <c r="B52" s="56" t="s">
        <v>1009</v>
      </c>
      <c r="C52" s="57" t="s">
        <v>1010</v>
      </c>
      <c r="D52" s="57" t="s">
        <v>1011</v>
      </c>
      <c r="E52" s="62" t="s">
        <v>1012</v>
      </c>
      <c r="G52" s="2"/>
      <c r="H52" s="2"/>
    </row>
    <row r="53" spans="2:8" ht="30" customHeight="1" x14ac:dyDescent="0.2">
      <c r="B53" s="69" t="s">
        <v>82</v>
      </c>
      <c r="C53" s="83"/>
      <c r="D53" s="86" t="s">
        <v>1070</v>
      </c>
      <c r="E53" s="88"/>
      <c r="G53" s="2"/>
      <c r="H53" s="2"/>
    </row>
    <row r="54" spans="2:8" ht="34.5" customHeight="1" x14ac:dyDescent="0.2">
      <c r="B54" s="65" t="s">
        <v>1085</v>
      </c>
      <c r="C54" s="84"/>
      <c r="D54" s="87"/>
      <c r="E54" s="84"/>
      <c r="G54" s="2"/>
      <c r="H54" s="2"/>
    </row>
    <row r="55" spans="2:8" ht="39.950000000000003" customHeight="1" x14ac:dyDescent="0.2">
      <c r="B55" s="65" t="s">
        <v>1091</v>
      </c>
      <c r="C55" s="84"/>
      <c r="D55" s="87"/>
      <c r="E55" s="84"/>
      <c r="G55" s="2"/>
      <c r="H55" s="2"/>
    </row>
    <row r="56" spans="2:8" ht="29.25" customHeight="1" thickBot="1" x14ac:dyDescent="0.25">
      <c r="B56" s="67" t="s">
        <v>1090</v>
      </c>
      <c r="C56" s="85"/>
      <c r="D56" s="70" t="s">
        <v>1090</v>
      </c>
      <c r="E56" s="89"/>
      <c r="G56" s="2"/>
      <c r="H56" s="2"/>
    </row>
    <row r="57" spans="2:8" ht="24.95" customHeight="1" x14ac:dyDescent="0.2">
      <c r="B57" s="58" t="s">
        <v>1014</v>
      </c>
      <c r="C57" s="59"/>
      <c r="D57" s="60"/>
      <c r="E57" s="61"/>
      <c r="G57" s="2"/>
      <c r="H57" s="2"/>
    </row>
    <row r="59" spans="2:8" ht="12" x14ac:dyDescent="0.2">
      <c r="B59" s="2" t="s">
        <v>1015</v>
      </c>
      <c r="C59" s="2"/>
      <c r="D59" s="2"/>
      <c r="G59" s="2"/>
      <c r="H59" s="2"/>
    </row>
    <row r="60" spans="2:8" ht="12" x14ac:dyDescent="0.2">
      <c r="B60" s="3" t="s">
        <v>1016</v>
      </c>
      <c r="C60" s="2"/>
      <c r="D60" s="2"/>
      <c r="G60" s="2"/>
      <c r="H60" s="2"/>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3:C56"/>
    <mergeCell ref="D53:D55"/>
    <mergeCell ref="E53:E56"/>
  </mergeCells>
  <hyperlinks>
    <hyperlink ref="G1" location="'Sheet1'!A1" display="Index" xr:uid="{5B29365F-4772-402A-B384-41DB7355759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14CB3-6D02-4C3B-912D-5E9FD96BE3D2}">
  <dimension ref="B1:N98"/>
  <sheetViews>
    <sheetView workbookViewId="0"/>
  </sheetViews>
  <sheetFormatPr defaultColWidth="9.140625" defaultRowHeight="15.75" customHeight="1" x14ac:dyDescent="0.2"/>
  <cols>
    <col min="1" max="1" width="3.5703125" style="2" customWidth="1"/>
    <col min="2" max="2" width="50.42578125" style="9" customWidth="1"/>
    <col min="3" max="3" width="24.7109375" style="9" customWidth="1"/>
    <col min="4" max="4" width="26.5703125" style="9" customWidth="1"/>
    <col min="5" max="5" width="28.42578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4" t="s">
        <v>0</v>
      </c>
      <c r="C4" s="15" t="s">
        <v>1</v>
      </c>
      <c r="D4" s="15" t="s">
        <v>5</v>
      </c>
      <c r="E4" s="16" t="s">
        <v>2</v>
      </c>
      <c r="F4" s="17" t="s">
        <v>3</v>
      </c>
      <c r="G4" s="18" t="s">
        <v>4</v>
      </c>
      <c r="H4" s="18" t="s">
        <v>6</v>
      </c>
    </row>
    <row r="5" spans="2:8" ht="15.75" customHeight="1" x14ac:dyDescent="0.2">
      <c r="B5" s="45" t="s">
        <v>132</v>
      </c>
      <c r="C5" s="19"/>
      <c r="D5" s="19"/>
      <c r="E5" s="20"/>
      <c r="F5" s="21"/>
      <c r="G5" s="22"/>
      <c r="H5" s="23"/>
    </row>
    <row r="6" spans="2:8" ht="15.75" customHeight="1" x14ac:dyDescent="0.2">
      <c r="B6" s="24" t="s">
        <v>133</v>
      </c>
      <c r="C6" s="25"/>
      <c r="D6" s="25"/>
      <c r="E6" s="26"/>
      <c r="F6" s="27"/>
      <c r="G6" s="28"/>
      <c r="H6" s="29"/>
    </row>
    <row r="7" spans="2:8" ht="15.75" customHeight="1" x14ac:dyDescent="0.2">
      <c r="B7" s="25" t="s">
        <v>134</v>
      </c>
      <c r="C7" s="25" t="s">
        <v>135</v>
      </c>
      <c r="D7" s="25" t="s">
        <v>136</v>
      </c>
      <c r="E7" s="26">
        <v>300276</v>
      </c>
      <c r="F7" s="27">
        <v>3648.05</v>
      </c>
      <c r="G7" s="28">
        <v>6.93E-2</v>
      </c>
      <c r="H7" s="29"/>
    </row>
    <row r="8" spans="2:8" ht="15.75" customHeight="1" x14ac:dyDescent="0.2">
      <c r="B8" s="25" t="s">
        <v>137</v>
      </c>
      <c r="C8" s="25" t="s">
        <v>138</v>
      </c>
      <c r="D8" s="25" t="s">
        <v>139</v>
      </c>
      <c r="E8" s="26">
        <v>139304</v>
      </c>
      <c r="F8" s="27">
        <v>2602.5500000000002</v>
      </c>
      <c r="G8" s="28">
        <v>4.9399999999999999E-2</v>
      </c>
      <c r="H8" s="29"/>
    </row>
    <row r="9" spans="2:8" ht="15.75" customHeight="1" x14ac:dyDescent="0.2">
      <c r="B9" s="25" t="s">
        <v>384</v>
      </c>
      <c r="C9" s="25" t="s">
        <v>385</v>
      </c>
      <c r="D9" s="25" t="s">
        <v>220</v>
      </c>
      <c r="E9" s="26">
        <v>42358</v>
      </c>
      <c r="F9" s="27">
        <v>2473.2800000000002</v>
      </c>
      <c r="G9" s="28">
        <v>4.7E-2</v>
      </c>
      <c r="H9" s="29"/>
    </row>
    <row r="10" spans="2:8" ht="15.75" customHeight="1" x14ac:dyDescent="0.2">
      <c r="B10" s="25" t="s">
        <v>149</v>
      </c>
      <c r="C10" s="25" t="s">
        <v>150</v>
      </c>
      <c r="D10" s="25" t="s">
        <v>136</v>
      </c>
      <c r="E10" s="26">
        <v>134925</v>
      </c>
      <c r="F10" s="27">
        <v>2180.0500000000002</v>
      </c>
      <c r="G10" s="28">
        <v>4.1399999999999999E-2</v>
      </c>
      <c r="H10" s="29"/>
    </row>
    <row r="11" spans="2:8" ht="15.75" customHeight="1" x14ac:dyDescent="0.2">
      <c r="B11" s="25" t="s">
        <v>638</v>
      </c>
      <c r="C11" s="25" t="s">
        <v>639</v>
      </c>
      <c r="D11" s="25" t="s">
        <v>620</v>
      </c>
      <c r="E11" s="26">
        <v>272168</v>
      </c>
      <c r="F11" s="27">
        <v>2062.35</v>
      </c>
      <c r="G11" s="28">
        <v>3.9199999999999999E-2</v>
      </c>
      <c r="H11" s="29"/>
    </row>
    <row r="12" spans="2:8" ht="15.75" customHeight="1" x14ac:dyDescent="0.2">
      <c r="B12" s="25" t="s">
        <v>989</v>
      </c>
      <c r="C12" s="25" t="s">
        <v>990</v>
      </c>
      <c r="D12" s="25" t="s">
        <v>311</v>
      </c>
      <c r="E12" s="26">
        <v>140547</v>
      </c>
      <c r="F12" s="27">
        <v>1688.67</v>
      </c>
      <c r="G12" s="28">
        <v>3.2099999999999997E-2</v>
      </c>
      <c r="H12" s="29"/>
    </row>
    <row r="13" spans="2:8" ht="15.75" customHeight="1" x14ac:dyDescent="0.2">
      <c r="B13" s="25" t="s">
        <v>236</v>
      </c>
      <c r="C13" s="25" t="s">
        <v>237</v>
      </c>
      <c r="D13" s="25" t="s">
        <v>139</v>
      </c>
      <c r="E13" s="26">
        <v>35894</v>
      </c>
      <c r="F13" s="27">
        <v>1574.08</v>
      </c>
      <c r="G13" s="28">
        <v>2.9899999999999999E-2</v>
      </c>
      <c r="H13" s="29"/>
    </row>
    <row r="14" spans="2:8" ht="15.75" customHeight="1" x14ac:dyDescent="0.2">
      <c r="B14" s="25" t="s">
        <v>705</v>
      </c>
      <c r="C14" s="25" t="s">
        <v>706</v>
      </c>
      <c r="D14" s="25" t="s">
        <v>297</v>
      </c>
      <c r="E14" s="26">
        <v>154007</v>
      </c>
      <c r="F14" s="27">
        <v>1481.01</v>
      </c>
      <c r="G14" s="28">
        <v>2.81E-2</v>
      </c>
      <c r="H14" s="29"/>
    </row>
    <row r="15" spans="2:8" ht="15.75" customHeight="1" x14ac:dyDescent="0.2">
      <c r="B15" s="25" t="s">
        <v>764</v>
      </c>
      <c r="C15" s="25" t="s">
        <v>765</v>
      </c>
      <c r="D15" s="25" t="s">
        <v>220</v>
      </c>
      <c r="E15" s="26">
        <v>25263</v>
      </c>
      <c r="F15" s="27">
        <v>1246.97</v>
      </c>
      <c r="G15" s="28">
        <v>2.3699999999999999E-2</v>
      </c>
      <c r="H15" s="29"/>
    </row>
    <row r="16" spans="2:8" ht="15.75" customHeight="1" x14ac:dyDescent="0.2">
      <c r="B16" s="25" t="s">
        <v>402</v>
      </c>
      <c r="C16" s="25" t="s">
        <v>403</v>
      </c>
      <c r="D16" s="25" t="s">
        <v>187</v>
      </c>
      <c r="E16" s="26">
        <v>32194</v>
      </c>
      <c r="F16" s="27">
        <v>1113.57</v>
      </c>
      <c r="G16" s="28">
        <v>2.1100000000000001E-2</v>
      </c>
      <c r="H16" s="29"/>
    </row>
    <row r="17" spans="2:8" ht="15.75" customHeight="1" x14ac:dyDescent="0.2">
      <c r="B17" s="25" t="s">
        <v>291</v>
      </c>
      <c r="C17" s="25" t="s">
        <v>292</v>
      </c>
      <c r="D17" s="25" t="s">
        <v>136</v>
      </c>
      <c r="E17" s="26">
        <v>94082</v>
      </c>
      <c r="F17" s="27">
        <v>1097.0899999999999</v>
      </c>
      <c r="G17" s="28">
        <v>2.0799999999999999E-2</v>
      </c>
      <c r="H17" s="29"/>
    </row>
    <row r="18" spans="2:8" ht="15.75" customHeight="1" x14ac:dyDescent="0.2">
      <c r="B18" s="25" t="s">
        <v>173</v>
      </c>
      <c r="C18" s="25" t="s">
        <v>174</v>
      </c>
      <c r="D18" s="25" t="s">
        <v>175</v>
      </c>
      <c r="E18" s="26">
        <v>340222</v>
      </c>
      <c r="F18" s="27">
        <v>1075.27</v>
      </c>
      <c r="G18" s="28">
        <v>2.0400000000000001E-2</v>
      </c>
      <c r="H18" s="29"/>
    </row>
    <row r="19" spans="2:8" ht="15.75" customHeight="1" x14ac:dyDescent="0.2">
      <c r="B19" s="25" t="s">
        <v>991</v>
      </c>
      <c r="C19" s="25" t="s">
        <v>992</v>
      </c>
      <c r="D19" s="25" t="s">
        <v>297</v>
      </c>
      <c r="E19" s="26">
        <v>60887</v>
      </c>
      <c r="F19" s="27">
        <v>1046.53</v>
      </c>
      <c r="G19" s="28">
        <v>1.9900000000000001E-2</v>
      </c>
      <c r="H19" s="29"/>
    </row>
    <row r="20" spans="2:8" ht="15.75" customHeight="1" x14ac:dyDescent="0.2">
      <c r="B20" s="25" t="s">
        <v>322</v>
      </c>
      <c r="C20" s="25" t="s">
        <v>323</v>
      </c>
      <c r="D20" s="25" t="s">
        <v>233</v>
      </c>
      <c r="E20" s="26">
        <v>38602</v>
      </c>
      <c r="F20" s="27">
        <v>1020.98</v>
      </c>
      <c r="G20" s="28">
        <v>1.9400000000000001E-2</v>
      </c>
      <c r="H20" s="29"/>
    </row>
    <row r="21" spans="2:8" ht="15.75" customHeight="1" x14ac:dyDescent="0.2">
      <c r="B21" s="25" t="s">
        <v>588</v>
      </c>
      <c r="C21" s="25" t="s">
        <v>589</v>
      </c>
      <c r="D21" s="25" t="s">
        <v>172</v>
      </c>
      <c r="E21" s="26">
        <v>20312</v>
      </c>
      <c r="F21" s="27">
        <v>1000</v>
      </c>
      <c r="G21" s="28">
        <v>1.9E-2</v>
      </c>
      <c r="H21" s="29"/>
    </row>
    <row r="22" spans="2:8" ht="15.75" customHeight="1" x14ac:dyDescent="0.2">
      <c r="B22" s="25" t="s">
        <v>293</v>
      </c>
      <c r="C22" s="25" t="s">
        <v>294</v>
      </c>
      <c r="D22" s="25" t="s">
        <v>212</v>
      </c>
      <c r="E22" s="26">
        <v>13956</v>
      </c>
      <c r="F22" s="27">
        <v>949.98</v>
      </c>
      <c r="G22" s="28">
        <v>1.7999999999999999E-2</v>
      </c>
      <c r="H22" s="29"/>
    </row>
    <row r="23" spans="2:8" ht="15.75" customHeight="1" x14ac:dyDescent="0.2">
      <c r="B23" s="25" t="s">
        <v>215</v>
      </c>
      <c r="C23" s="25" t="s">
        <v>216</v>
      </c>
      <c r="D23" s="25" t="s">
        <v>217</v>
      </c>
      <c r="E23" s="26">
        <v>55183</v>
      </c>
      <c r="F23" s="27">
        <v>823.08</v>
      </c>
      <c r="G23" s="28">
        <v>1.5599999999999999E-2</v>
      </c>
      <c r="H23" s="29"/>
    </row>
    <row r="24" spans="2:8" ht="15.75" customHeight="1" x14ac:dyDescent="0.2">
      <c r="B24" s="25" t="s">
        <v>153</v>
      </c>
      <c r="C24" s="25" t="s">
        <v>154</v>
      </c>
      <c r="D24" s="25" t="s">
        <v>155</v>
      </c>
      <c r="E24" s="26">
        <v>26579</v>
      </c>
      <c r="F24" s="27">
        <v>800.25</v>
      </c>
      <c r="G24" s="28">
        <v>1.52E-2</v>
      </c>
      <c r="H24" s="29"/>
    </row>
    <row r="25" spans="2:8" ht="15.75" customHeight="1" x14ac:dyDescent="0.2">
      <c r="B25" s="25" t="s">
        <v>662</v>
      </c>
      <c r="C25" s="25" t="s">
        <v>663</v>
      </c>
      <c r="D25" s="25" t="s">
        <v>554</v>
      </c>
      <c r="E25" s="26">
        <v>59513</v>
      </c>
      <c r="F25" s="27">
        <v>707.58</v>
      </c>
      <c r="G25" s="28">
        <v>1.34E-2</v>
      </c>
      <c r="H25" s="29"/>
    </row>
    <row r="26" spans="2:8" ht="15.75" customHeight="1" x14ac:dyDescent="0.2">
      <c r="B26" s="25" t="s">
        <v>234</v>
      </c>
      <c r="C26" s="25" t="s">
        <v>235</v>
      </c>
      <c r="D26" s="25" t="s">
        <v>145</v>
      </c>
      <c r="E26" s="26">
        <v>5351</v>
      </c>
      <c r="F26" s="27">
        <v>701.83</v>
      </c>
      <c r="G26" s="28">
        <v>1.3299999999999999E-2</v>
      </c>
      <c r="H26" s="29"/>
    </row>
    <row r="27" spans="2:8" ht="15.75" customHeight="1" x14ac:dyDescent="0.2">
      <c r="B27" s="25" t="s">
        <v>680</v>
      </c>
      <c r="C27" s="25" t="s">
        <v>681</v>
      </c>
      <c r="D27" s="25" t="s">
        <v>233</v>
      </c>
      <c r="E27" s="26">
        <v>31140</v>
      </c>
      <c r="F27" s="27">
        <v>687.06</v>
      </c>
      <c r="G27" s="28">
        <v>1.2999999999999999E-2</v>
      </c>
      <c r="H27" s="29"/>
    </row>
    <row r="28" spans="2:8" ht="15.75" customHeight="1" x14ac:dyDescent="0.2">
      <c r="B28" s="25" t="s">
        <v>993</v>
      </c>
      <c r="C28" s="25" t="s">
        <v>994</v>
      </c>
      <c r="D28" s="25" t="s">
        <v>187</v>
      </c>
      <c r="E28" s="26">
        <v>7544</v>
      </c>
      <c r="F28" s="27">
        <v>673.92</v>
      </c>
      <c r="G28" s="28">
        <v>1.2800000000000001E-2</v>
      </c>
      <c r="H28" s="29"/>
    </row>
    <row r="29" spans="2:8" ht="15.75" customHeight="1" x14ac:dyDescent="0.2">
      <c r="B29" s="25" t="s">
        <v>140</v>
      </c>
      <c r="C29" s="25" t="s">
        <v>141</v>
      </c>
      <c r="D29" s="25" t="s">
        <v>142</v>
      </c>
      <c r="E29" s="26">
        <v>23060</v>
      </c>
      <c r="F29" s="27">
        <v>623.91999999999996</v>
      </c>
      <c r="G29" s="28">
        <v>1.18E-2</v>
      </c>
      <c r="H29" s="29"/>
    </row>
    <row r="30" spans="2:8" ht="15.75" customHeight="1" x14ac:dyDescent="0.2">
      <c r="B30" s="25" t="s">
        <v>289</v>
      </c>
      <c r="C30" s="25" t="s">
        <v>290</v>
      </c>
      <c r="D30" s="25" t="s">
        <v>136</v>
      </c>
      <c r="E30" s="26">
        <v>33667</v>
      </c>
      <c r="F30" s="27">
        <v>608.66999999999996</v>
      </c>
      <c r="G30" s="28">
        <v>1.1599999999999999E-2</v>
      </c>
      <c r="H30" s="29"/>
    </row>
    <row r="31" spans="2:8" ht="15.75" customHeight="1" x14ac:dyDescent="0.2">
      <c r="B31" s="25" t="s">
        <v>804</v>
      </c>
      <c r="C31" s="25" t="s">
        <v>805</v>
      </c>
      <c r="D31" s="25" t="s">
        <v>212</v>
      </c>
      <c r="E31" s="26">
        <v>36798</v>
      </c>
      <c r="F31" s="27">
        <v>607.77</v>
      </c>
      <c r="G31" s="28">
        <v>1.15E-2</v>
      </c>
      <c r="H31" s="29"/>
    </row>
    <row r="32" spans="2:8" ht="15.75" customHeight="1" x14ac:dyDescent="0.2">
      <c r="B32" s="25" t="s">
        <v>218</v>
      </c>
      <c r="C32" s="25" t="s">
        <v>219</v>
      </c>
      <c r="D32" s="25" t="s">
        <v>220</v>
      </c>
      <c r="E32" s="26">
        <v>174262</v>
      </c>
      <c r="F32" s="27">
        <v>598.94000000000005</v>
      </c>
      <c r="G32" s="28">
        <v>1.14E-2</v>
      </c>
      <c r="H32" s="29"/>
    </row>
    <row r="33" spans="2:8" ht="15.75" customHeight="1" x14ac:dyDescent="0.2">
      <c r="B33" s="25" t="s">
        <v>320</v>
      </c>
      <c r="C33" s="25" t="s">
        <v>321</v>
      </c>
      <c r="D33" s="25" t="s">
        <v>172</v>
      </c>
      <c r="E33" s="26">
        <v>11098</v>
      </c>
      <c r="F33" s="27">
        <v>589.25</v>
      </c>
      <c r="G33" s="28">
        <v>1.12E-2</v>
      </c>
      <c r="H33" s="29"/>
    </row>
    <row r="34" spans="2:8" ht="15.75" customHeight="1" x14ac:dyDescent="0.2">
      <c r="B34" s="25" t="s">
        <v>287</v>
      </c>
      <c r="C34" s="25" t="s">
        <v>288</v>
      </c>
      <c r="D34" s="25" t="s">
        <v>136</v>
      </c>
      <c r="E34" s="26">
        <v>66628</v>
      </c>
      <c r="F34" s="27">
        <v>581.26</v>
      </c>
      <c r="G34" s="28">
        <v>1.0999999999999999E-2</v>
      </c>
      <c r="H34" s="29"/>
    </row>
    <row r="35" spans="2:8" ht="15.75" customHeight="1" x14ac:dyDescent="0.2">
      <c r="B35" s="25" t="s">
        <v>995</v>
      </c>
      <c r="C35" s="25" t="s">
        <v>996</v>
      </c>
      <c r="D35" s="25" t="s">
        <v>187</v>
      </c>
      <c r="E35" s="26">
        <v>51280</v>
      </c>
      <c r="F35" s="27">
        <v>512.13</v>
      </c>
      <c r="G35" s="28">
        <v>9.7000000000000003E-3</v>
      </c>
      <c r="H35" s="29"/>
    </row>
    <row r="36" spans="2:8" ht="15.75" customHeight="1" x14ac:dyDescent="0.2">
      <c r="B36" s="25" t="s">
        <v>495</v>
      </c>
      <c r="C36" s="25" t="s">
        <v>496</v>
      </c>
      <c r="D36" s="25" t="s">
        <v>497</v>
      </c>
      <c r="E36" s="26">
        <v>52465</v>
      </c>
      <c r="F36" s="27">
        <v>504.95</v>
      </c>
      <c r="G36" s="28">
        <v>9.5999999999999992E-3</v>
      </c>
      <c r="H36" s="29"/>
    </row>
    <row r="37" spans="2:8" ht="15.75" customHeight="1" x14ac:dyDescent="0.2">
      <c r="B37" s="25" t="s">
        <v>250</v>
      </c>
      <c r="C37" s="25" t="s">
        <v>251</v>
      </c>
      <c r="D37" s="25" t="s">
        <v>212</v>
      </c>
      <c r="E37" s="26">
        <v>274047</v>
      </c>
      <c r="F37" s="27">
        <v>492.98</v>
      </c>
      <c r="G37" s="28">
        <v>9.4000000000000004E-3</v>
      </c>
      <c r="H37" s="29"/>
    </row>
    <row r="38" spans="2:8" ht="15.75" customHeight="1" x14ac:dyDescent="0.2">
      <c r="B38" s="25" t="s">
        <v>348</v>
      </c>
      <c r="C38" s="25" t="s">
        <v>349</v>
      </c>
      <c r="D38" s="25" t="s">
        <v>212</v>
      </c>
      <c r="E38" s="26">
        <v>34594</v>
      </c>
      <c r="F38" s="27">
        <v>459.29</v>
      </c>
      <c r="G38" s="28">
        <v>8.6999999999999994E-3</v>
      </c>
      <c r="H38" s="29"/>
    </row>
    <row r="39" spans="2:8" ht="15.75" customHeight="1" x14ac:dyDescent="0.2">
      <c r="B39" s="25" t="s">
        <v>760</v>
      </c>
      <c r="C39" s="25" t="s">
        <v>761</v>
      </c>
      <c r="D39" s="25" t="s">
        <v>233</v>
      </c>
      <c r="E39" s="26">
        <v>14094</v>
      </c>
      <c r="F39" s="27">
        <v>449.09</v>
      </c>
      <c r="G39" s="28">
        <v>8.5000000000000006E-3</v>
      </c>
      <c r="H39" s="29"/>
    </row>
    <row r="40" spans="2:8" ht="15.75" customHeight="1" x14ac:dyDescent="0.2">
      <c r="B40" s="25" t="s">
        <v>703</v>
      </c>
      <c r="C40" s="25" t="s">
        <v>704</v>
      </c>
      <c r="D40" s="25" t="s">
        <v>233</v>
      </c>
      <c r="E40" s="26">
        <v>11640</v>
      </c>
      <c r="F40" s="27">
        <v>442.43</v>
      </c>
      <c r="G40" s="28">
        <v>8.3999999999999995E-3</v>
      </c>
      <c r="H40" s="29"/>
    </row>
    <row r="41" spans="2:8" ht="15.75" customHeight="1" x14ac:dyDescent="0.2">
      <c r="B41" s="25" t="s">
        <v>778</v>
      </c>
      <c r="C41" s="25" t="s">
        <v>779</v>
      </c>
      <c r="D41" s="25" t="s">
        <v>297</v>
      </c>
      <c r="E41" s="26">
        <v>7750</v>
      </c>
      <c r="F41" s="27">
        <v>434.26</v>
      </c>
      <c r="G41" s="28">
        <v>8.2000000000000007E-3</v>
      </c>
      <c r="H41" s="29"/>
    </row>
    <row r="42" spans="2:8" ht="15.75" customHeight="1" x14ac:dyDescent="0.2">
      <c r="B42" s="25" t="s">
        <v>636</v>
      </c>
      <c r="C42" s="25" t="s">
        <v>637</v>
      </c>
      <c r="D42" s="25" t="s">
        <v>139</v>
      </c>
      <c r="E42" s="26">
        <v>6344</v>
      </c>
      <c r="F42" s="27">
        <v>400.02</v>
      </c>
      <c r="G42" s="28">
        <v>7.6E-3</v>
      </c>
      <c r="H42" s="29"/>
    </row>
    <row r="43" spans="2:8" ht="15.75" customHeight="1" x14ac:dyDescent="0.2">
      <c r="B43" s="25" t="s">
        <v>600</v>
      </c>
      <c r="C43" s="25" t="s">
        <v>601</v>
      </c>
      <c r="D43" s="25" t="s">
        <v>136</v>
      </c>
      <c r="E43" s="26">
        <v>184937</v>
      </c>
      <c r="F43" s="27">
        <v>372.44</v>
      </c>
      <c r="G43" s="28">
        <v>7.1000000000000004E-3</v>
      </c>
      <c r="H43" s="29"/>
    </row>
    <row r="44" spans="2:8" ht="15.75" customHeight="1" x14ac:dyDescent="0.2">
      <c r="B44" s="25" t="s">
        <v>918</v>
      </c>
      <c r="C44" s="25" t="s">
        <v>919</v>
      </c>
      <c r="D44" s="25" t="s">
        <v>336</v>
      </c>
      <c r="E44" s="26">
        <v>59430</v>
      </c>
      <c r="F44" s="27">
        <v>360.21</v>
      </c>
      <c r="G44" s="28">
        <v>6.7999999999999996E-3</v>
      </c>
      <c r="H44" s="29"/>
    </row>
    <row r="45" spans="2:8" ht="15.75" customHeight="1" x14ac:dyDescent="0.2">
      <c r="B45" s="25" t="s">
        <v>776</v>
      </c>
      <c r="C45" s="25" t="s">
        <v>777</v>
      </c>
      <c r="D45" s="25" t="s">
        <v>263</v>
      </c>
      <c r="E45" s="26">
        <v>30188</v>
      </c>
      <c r="F45" s="27">
        <v>306.33</v>
      </c>
      <c r="G45" s="28">
        <v>5.7999999999999996E-3</v>
      </c>
      <c r="H45" s="29"/>
    </row>
    <row r="46" spans="2:8" ht="15.75" customHeight="1" x14ac:dyDescent="0.2">
      <c r="B46" s="25" t="s">
        <v>957</v>
      </c>
      <c r="C46" s="25" t="s">
        <v>958</v>
      </c>
      <c r="D46" s="25" t="s">
        <v>212</v>
      </c>
      <c r="E46" s="26">
        <v>36064</v>
      </c>
      <c r="F46" s="27">
        <v>262.13</v>
      </c>
      <c r="G46" s="28">
        <v>5.0000000000000001E-3</v>
      </c>
      <c r="H46" s="29"/>
    </row>
    <row r="47" spans="2:8" ht="15.75" customHeight="1" x14ac:dyDescent="0.2">
      <c r="B47" s="25" t="s">
        <v>997</v>
      </c>
      <c r="C47" s="25" t="s">
        <v>998</v>
      </c>
      <c r="D47" s="25" t="s">
        <v>297</v>
      </c>
      <c r="E47" s="26">
        <v>39520</v>
      </c>
      <c r="F47" s="27">
        <v>237.55</v>
      </c>
      <c r="G47" s="28">
        <v>4.4999999999999997E-3</v>
      </c>
      <c r="H47" s="29"/>
    </row>
    <row r="48" spans="2:8" ht="15.75" customHeight="1" x14ac:dyDescent="0.2">
      <c r="B48" s="25" t="s">
        <v>428</v>
      </c>
      <c r="C48" s="25" t="s">
        <v>429</v>
      </c>
      <c r="D48" s="25" t="s">
        <v>212</v>
      </c>
      <c r="E48" s="26">
        <v>29827</v>
      </c>
      <c r="F48" s="27">
        <v>225.81</v>
      </c>
      <c r="G48" s="28">
        <v>4.3E-3</v>
      </c>
      <c r="H48" s="29"/>
    </row>
    <row r="49" spans="2:8" ht="15.75" customHeight="1" x14ac:dyDescent="0.2">
      <c r="B49" s="25" t="s">
        <v>999</v>
      </c>
      <c r="C49" s="25" t="s">
        <v>1000</v>
      </c>
      <c r="D49" s="25" t="s">
        <v>217</v>
      </c>
      <c r="E49" s="26">
        <v>4080</v>
      </c>
      <c r="F49" s="27">
        <v>44.26</v>
      </c>
      <c r="G49" s="28">
        <v>8.0000000000000004E-4</v>
      </c>
      <c r="H49" s="29"/>
    </row>
    <row r="50" spans="2:8" ht="15.75" customHeight="1" x14ac:dyDescent="0.2">
      <c r="B50" s="24" t="s">
        <v>104</v>
      </c>
      <c r="C50" s="24"/>
      <c r="D50" s="24"/>
      <c r="E50" s="30"/>
      <c r="F50" s="31">
        <f>SUM(F7:F49)</f>
        <v>39767.840000000004</v>
      </c>
      <c r="G50" s="32">
        <v>0.75509999999999999</v>
      </c>
      <c r="H50" s="33"/>
    </row>
    <row r="51" spans="2:8" ht="15.75" customHeight="1" x14ac:dyDescent="0.2">
      <c r="B51" s="24" t="s">
        <v>156</v>
      </c>
      <c r="C51" s="25"/>
      <c r="D51" s="25"/>
      <c r="E51" s="26"/>
      <c r="F51" s="27"/>
      <c r="G51" s="28"/>
      <c r="H51" s="29"/>
    </row>
    <row r="52" spans="2:8" ht="15.75" customHeight="1" x14ac:dyDescent="0.2">
      <c r="B52" s="25" t="s">
        <v>674</v>
      </c>
      <c r="C52" s="25" t="s">
        <v>675</v>
      </c>
      <c r="D52" s="25" t="s">
        <v>554</v>
      </c>
      <c r="E52" s="26">
        <v>2334</v>
      </c>
      <c r="F52" s="27">
        <v>8.66</v>
      </c>
      <c r="G52" s="28">
        <v>2.0000000000000001E-4</v>
      </c>
      <c r="H52" s="29"/>
    </row>
    <row r="53" spans="2:8" ht="15.75" customHeight="1" x14ac:dyDescent="0.2">
      <c r="B53" s="24" t="s">
        <v>104</v>
      </c>
      <c r="C53" s="25"/>
      <c r="D53" s="25"/>
      <c r="E53" s="26"/>
      <c r="F53" s="31">
        <f>SUM(F52)</f>
        <v>8.66</v>
      </c>
      <c r="G53" s="32">
        <f>SUM(G52)</f>
        <v>2.0000000000000001E-4</v>
      </c>
      <c r="H53" s="29"/>
    </row>
    <row r="54" spans="2:8" ht="15.75" customHeight="1" x14ac:dyDescent="0.2">
      <c r="B54" s="25"/>
      <c r="C54" s="25"/>
      <c r="D54" s="25"/>
      <c r="E54" s="26"/>
      <c r="F54" s="27"/>
      <c r="G54" s="28"/>
      <c r="H54" s="29"/>
    </row>
    <row r="55" spans="2:8" ht="15.75" customHeight="1" x14ac:dyDescent="0.2">
      <c r="B55" s="36" t="s">
        <v>108</v>
      </c>
      <c r="C55" s="36"/>
      <c r="D55" s="36"/>
      <c r="E55" s="37"/>
      <c r="F55" s="31">
        <v>39776.5</v>
      </c>
      <c r="G55" s="32">
        <v>0.75529999999999997</v>
      </c>
      <c r="H55" s="33"/>
    </row>
    <row r="56" spans="2:8" ht="15.75" customHeight="1" x14ac:dyDescent="0.2">
      <c r="B56" s="25"/>
      <c r="C56" s="25"/>
      <c r="D56" s="25"/>
      <c r="E56" s="26"/>
      <c r="F56" s="27"/>
      <c r="G56" s="28"/>
      <c r="H56" s="29"/>
    </row>
    <row r="57" spans="2:8" ht="15.75" customHeight="1" x14ac:dyDescent="0.2">
      <c r="B57" s="24" t="s">
        <v>93</v>
      </c>
      <c r="C57" s="25"/>
      <c r="D57" s="25"/>
      <c r="E57" s="26"/>
      <c r="F57" s="27"/>
      <c r="G57" s="28"/>
      <c r="H57" s="29"/>
    </row>
    <row r="58" spans="2:8" ht="15.75" customHeight="1" x14ac:dyDescent="0.2">
      <c r="B58" s="24" t="s">
        <v>94</v>
      </c>
      <c r="C58" s="25"/>
      <c r="D58" s="25"/>
      <c r="E58" s="26"/>
      <c r="F58" s="27"/>
      <c r="G58" s="28"/>
      <c r="H58" s="29"/>
    </row>
    <row r="59" spans="2:8" ht="15.75" customHeight="1" x14ac:dyDescent="0.2">
      <c r="B59" s="25" t="s">
        <v>448</v>
      </c>
      <c r="C59" s="25" t="s">
        <v>449</v>
      </c>
      <c r="D59" s="25" t="s">
        <v>96</v>
      </c>
      <c r="E59" s="26">
        <v>2500000</v>
      </c>
      <c r="F59" s="27">
        <v>2611.14</v>
      </c>
      <c r="G59" s="28">
        <v>4.9599999999999998E-2</v>
      </c>
      <c r="H59" s="29">
        <v>7.4290999999999996E-2</v>
      </c>
    </row>
    <row r="60" spans="2:8" ht="15.75" customHeight="1" x14ac:dyDescent="0.2">
      <c r="B60" s="25" t="s">
        <v>159</v>
      </c>
      <c r="C60" s="25" t="s">
        <v>160</v>
      </c>
      <c r="D60" s="25" t="s">
        <v>96</v>
      </c>
      <c r="E60" s="26">
        <v>2500000</v>
      </c>
      <c r="F60" s="27">
        <v>2582.94</v>
      </c>
      <c r="G60" s="28">
        <v>4.9000000000000002E-2</v>
      </c>
      <c r="H60" s="29">
        <v>7.0180999999999993E-2</v>
      </c>
    </row>
    <row r="61" spans="2:8" ht="15.75" customHeight="1" x14ac:dyDescent="0.2">
      <c r="B61" s="25" t="s">
        <v>452</v>
      </c>
      <c r="C61" s="25" t="s">
        <v>453</v>
      </c>
      <c r="D61" s="25" t="s">
        <v>96</v>
      </c>
      <c r="E61" s="26">
        <v>2500000</v>
      </c>
      <c r="F61" s="27">
        <v>2563.34</v>
      </c>
      <c r="G61" s="28">
        <v>4.87E-2</v>
      </c>
      <c r="H61" s="29">
        <v>7.4365000000000001E-2</v>
      </c>
    </row>
    <row r="62" spans="2:8" ht="15.75" customHeight="1" x14ac:dyDescent="0.2">
      <c r="B62" s="25" t="s">
        <v>97</v>
      </c>
      <c r="C62" s="25" t="s">
        <v>117</v>
      </c>
      <c r="D62" s="25" t="s">
        <v>96</v>
      </c>
      <c r="E62" s="26">
        <v>2500000</v>
      </c>
      <c r="F62" s="27">
        <v>2545.09</v>
      </c>
      <c r="G62" s="28">
        <v>4.8300000000000003E-2</v>
      </c>
      <c r="H62" s="29">
        <v>7.1045999999999998E-2</v>
      </c>
    </row>
    <row r="63" spans="2:8" ht="15.75" customHeight="1" x14ac:dyDescent="0.2">
      <c r="B63" s="25" t="s">
        <v>457</v>
      </c>
      <c r="C63" s="25" t="s">
        <v>458</v>
      </c>
      <c r="D63" s="25" t="s">
        <v>96</v>
      </c>
      <c r="E63" s="26">
        <v>500000</v>
      </c>
      <c r="F63" s="27">
        <v>521.71</v>
      </c>
      <c r="G63" s="28">
        <v>9.9000000000000008E-3</v>
      </c>
      <c r="H63" s="29">
        <v>7.1065000000000003E-2</v>
      </c>
    </row>
    <row r="64" spans="2:8" ht="15.75" customHeight="1" x14ac:dyDescent="0.2">
      <c r="B64" s="25" t="s">
        <v>1001</v>
      </c>
      <c r="C64" s="25" t="s">
        <v>1002</v>
      </c>
      <c r="D64" s="25" t="s">
        <v>96</v>
      </c>
      <c r="E64" s="26">
        <v>500000</v>
      </c>
      <c r="F64" s="27">
        <v>494.64</v>
      </c>
      <c r="G64" s="28">
        <v>9.4000000000000004E-3</v>
      </c>
      <c r="H64" s="29">
        <v>6.9452E-2</v>
      </c>
    </row>
    <row r="65" spans="2:14" ht="15.75" customHeight="1" x14ac:dyDescent="0.2">
      <c r="B65" s="25" t="s">
        <v>165</v>
      </c>
      <c r="C65" s="25" t="s">
        <v>166</v>
      </c>
      <c r="D65" s="25" t="s">
        <v>96</v>
      </c>
      <c r="E65" s="26">
        <v>350000</v>
      </c>
      <c r="F65" s="27">
        <v>353.85</v>
      </c>
      <c r="G65" s="28">
        <v>6.7000000000000002E-3</v>
      </c>
      <c r="H65" s="29">
        <v>7.3527999999999996E-2</v>
      </c>
    </row>
    <row r="66" spans="2:14" ht="15.75" customHeight="1" x14ac:dyDescent="0.2">
      <c r="B66" s="25" t="s">
        <v>128</v>
      </c>
      <c r="C66" s="25" t="s">
        <v>129</v>
      </c>
      <c r="D66" s="25" t="s">
        <v>96</v>
      </c>
      <c r="E66" s="26">
        <v>233500</v>
      </c>
      <c r="F66" s="27">
        <v>242.03</v>
      </c>
      <c r="G66" s="28">
        <v>4.5999999999999999E-3</v>
      </c>
      <c r="H66" s="29">
        <v>7.4047000000000002E-2</v>
      </c>
    </row>
    <row r="67" spans="2:14" ht="15.75" customHeight="1" x14ac:dyDescent="0.2">
      <c r="B67" s="25" t="s">
        <v>116</v>
      </c>
      <c r="C67" s="25" t="s">
        <v>162</v>
      </c>
      <c r="D67" s="25" t="s">
        <v>96</v>
      </c>
      <c r="E67" s="26">
        <v>50000</v>
      </c>
      <c r="F67" s="27">
        <v>51.51</v>
      </c>
      <c r="G67" s="28">
        <v>1E-3</v>
      </c>
      <c r="H67" s="29">
        <v>6.9637000000000004E-2</v>
      </c>
    </row>
    <row r="68" spans="2:14" ht="15.75" customHeight="1" x14ac:dyDescent="0.2">
      <c r="B68" s="24" t="s">
        <v>104</v>
      </c>
      <c r="C68" s="24"/>
      <c r="D68" s="24"/>
      <c r="E68" s="30"/>
      <c r="F68" s="31">
        <v>11966.25</v>
      </c>
      <c r="G68" s="32">
        <v>0.22720000000000001</v>
      </c>
      <c r="H68" s="33"/>
      <c r="J68" s="3"/>
    </row>
    <row r="69" spans="2:14" ht="15.75" customHeight="1" x14ac:dyDescent="0.2">
      <c r="B69" s="25"/>
      <c r="C69" s="25"/>
      <c r="D69" s="25"/>
      <c r="E69" s="26"/>
      <c r="F69" s="27"/>
      <c r="G69" s="28"/>
      <c r="H69" s="29"/>
    </row>
    <row r="70" spans="2:14" ht="15.75" customHeight="1" x14ac:dyDescent="0.2">
      <c r="B70" s="24" t="s">
        <v>105</v>
      </c>
      <c r="C70" s="25"/>
      <c r="D70" s="25"/>
      <c r="E70" s="26"/>
      <c r="F70" s="27"/>
      <c r="G70" s="28"/>
      <c r="H70" s="29"/>
      <c r="J70" s="3"/>
    </row>
    <row r="71" spans="2:14" ht="15.75" customHeight="1" x14ac:dyDescent="0.2">
      <c r="B71" s="24" t="s">
        <v>104</v>
      </c>
      <c r="C71" s="25"/>
      <c r="D71" s="25"/>
      <c r="E71" s="26"/>
      <c r="F71" s="34" t="s">
        <v>106</v>
      </c>
      <c r="G71" s="35" t="s">
        <v>106</v>
      </c>
      <c r="H71" s="29"/>
      <c r="J71" s="3"/>
    </row>
    <row r="72" spans="2:14" ht="15.75" customHeight="1" x14ac:dyDescent="0.2">
      <c r="B72" s="25"/>
      <c r="C72" s="25"/>
      <c r="D72" s="25"/>
      <c r="E72" s="26"/>
      <c r="F72" s="27"/>
      <c r="G72" s="28"/>
      <c r="H72" s="29"/>
      <c r="J72" s="3"/>
    </row>
    <row r="73" spans="2:14" ht="15.75" customHeight="1" x14ac:dyDescent="0.2">
      <c r="B73" s="24" t="s">
        <v>107</v>
      </c>
      <c r="C73" s="25"/>
      <c r="D73" s="25"/>
      <c r="E73" s="26"/>
      <c r="F73" s="27"/>
      <c r="G73" s="28"/>
      <c r="H73" s="29"/>
      <c r="J73" s="3"/>
    </row>
    <row r="74" spans="2:14" ht="15.75" customHeight="1" x14ac:dyDescent="0.2">
      <c r="B74" s="24" t="s">
        <v>104</v>
      </c>
      <c r="C74" s="25"/>
      <c r="D74" s="25"/>
      <c r="E74" s="26"/>
      <c r="F74" s="34" t="s">
        <v>106</v>
      </c>
      <c r="G74" s="35" t="s">
        <v>106</v>
      </c>
      <c r="H74" s="29"/>
      <c r="J74" s="3"/>
    </row>
    <row r="75" spans="2:14" ht="15.75" customHeight="1" x14ac:dyDescent="0.2">
      <c r="B75" s="25"/>
      <c r="C75" s="25"/>
      <c r="D75" s="25"/>
      <c r="E75" s="26"/>
      <c r="F75" s="27"/>
      <c r="G75" s="28"/>
      <c r="H75" s="29"/>
      <c r="J75" s="5"/>
      <c r="K75" s="5"/>
      <c r="L75" s="6"/>
      <c r="M75" s="6"/>
      <c r="N75" s="5"/>
    </row>
    <row r="76" spans="2:14" ht="15.75" customHeight="1" x14ac:dyDescent="0.2">
      <c r="B76" s="36" t="s">
        <v>108</v>
      </c>
      <c r="C76" s="36"/>
      <c r="D76" s="36"/>
      <c r="E76" s="37"/>
      <c r="F76" s="31">
        <v>11966.25</v>
      </c>
      <c r="G76" s="32">
        <v>0.22720000000000001</v>
      </c>
      <c r="H76" s="33"/>
    </row>
    <row r="77" spans="2:14" ht="15.75" customHeight="1" x14ac:dyDescent="0.2">
      <c r="B77" s="25"/>
      <c r="C77" s="25"/>
      <c r="D77" s="25"/>
      <c r="E77" s="26"/>
      <c r="F77" s="27"/>
      <c r="G77" s="28"/>
      <c r="H77" s="29"/>
    </row>
    <row r="78" spans="2:14" ht="15.75" customHeight="1" x14ac:dyDescent="0.2">
      <c r="B78" s="25"/>
      <c r="C78" s="25"/>
      <c r="D78" s="25"/>
      <c r="E78" s="26"/>
      <c r="F78" s="27"/>
      <c r="G78" s="28"/>
      <c r="H78" s="29"/>
      <c r="J78" s="7"/>
      <c r="K78" s="7"/>
      <c r="L78" s="7"/>
      <c r="M78" s="7"/>
      <c r="N78" s="7"/>
    </row>
    <row r="79" spans="2:14" ht="15.75" customHeight="1" x14ac:dyDescent="0.2">
      <c r="B79" s="24" t="s">
        <v>111</v>
      </c>
      <c r="C79" s="25"/>
      <c r="D79" s="25"/>
      <c r="E79" s="26"/>
      <c r="F79" s="27"/>
      <c r="G79" s="28"/>
      <c r="H79" s="29"/>
      <c r="J79" s="7"/>
      <c r="K79" s="7"/>
      <c r="L79" s="7"/>
      <c r="M79" s="7"/>
      <c r="N79" s="7"/>
    </row>
    <row r="80" spans="2:14" ht="15.75" customHeight="1" x14ac:dyDescent="0.2">
      <c r="B80" s="25" t="s">
        <v>112</v>
      </c>
      <c r="C80" s="25"/>
      <c r="D80" s="25"/>
      <c r="E80" s="26"/>
      <c r="F80" s="27">
        <v>462.64</v>
      </c>
      <c r="G80" s="28">
        <v>8.8000000000000005E-3</v>
      </c>
      <c r="H80" s="29"/>
      <c r="J80" s="7"/>
      <c r="K80" s="7"/>
      <c r="L80" s="7"/>
      <c r="M80" s="7"/>
      <c r="N80" s="7"/>
    </row>
    <row r="81" spans="2:14" ht="15.75" customHeight="1" x14ac:dyDescent="0.2">
      <c r="B81" s="24" t="s">
        <v>104</v>
      </c>
      <c r="C81" s="24"/>
      <c r="D81" s="24"/>
      <c r="E81" s="30"/>
      <c r="F81" s="31">
        <v>462.64</v>
      </c>
      <c r="G81" s="32">
        <v>8.8000000000000005E-3</v>
      </c>
      <c r="H81" s="33"/>
      <c r="J81" s="7"/>
      <c r="K81" s="7"/>
      <c r="L81" s="7"/>
      <c r="M81" s="7"/>
      <c r="N81" s="7"/>
    </row>
    <row r="82" spans="2:14" ht="15.75" customHeight="1" x14ac:dyDescent="0.2">
      <c r="B82" s="25"/>
      <c r="C82" s="25"/>
      <c r="D82" s="25"/>
      <c r="E82" s="26"/>
      <c r="F82" s="27"/>
      <c r="G82" s="28"/>
      <c r="H82" s="29"/>
      <c r="J82" s="7"/>
      <c r="K82" s="7"/>
      <c r="L82" s="7"/>
      <c r="M82" s="7"/>
      <c r="N82" s="7"/>
    </row>
    <row r="83" spans="2:14" ht="15.75" customHeight="1" x14ac:dyDescent="0.2">
      <c r="B83" s="36" t="s">
        <v>108</v>
      </c>
      <c r="C83" s="36"/>
      <c r="D83" s="36"/>
      <c r="E83" s="37"/>
      <c r="F83" s="31">
        <v>462.64</v>
      </c>
      <c r="G83" s="32">
        <v>8.8000000000000005E-3</v>
      </c>
      <c r="H83" s="33"/>
      <c r="J83" s="7"/>
      <c r="K83" s="7"/>
      <c r="L83" s="7"/>
      <c r="M83" s="7"/>
      <c r="N83" s="7"/>
    </row>
    <row r="84" spans="2:14" ht="15.75" customHeight="1" x14ac:dyDescent="0.2">
      <c r="B84" s="25" t="s">
        <v>113</v>
      </c>
      <c r="C84" s="25"/>
      <c r="D84" s="25"/>
      <c r="E84" s="26"/>
      <c r="F84" s="27">
        <v>456.13</v>
      </c>
      <c r="G84" s="28">
        <v>8.700000000000041E-3</v>
      </c>
      <c r="H84" s="29"/>
      <c r="J84" s="7"/>
      <c r="K84" s="7"/>
      <c r="L84" s="7"/>
      <c r="M84" s="7"/>
      <c r="N84" s="7"/>
    </row>
    <row r="85" spans="2:14" ht="15.75" customHeight="1" x14ac:dyDescent="0.2">
      <c r="B85" s="40" t="s">
        <v>114</v>
      </c>
      <c r="C85" s="40"/>
      <c r="D85" s="40"/>
      <c r="E85" s="41"/>
      <c r="F85" s="42">
        <v>52661.52</v>
      </c>
      <c r="G85" s="43">
        <v>1</v>
      </c>
      <c r="H85" s="44"/>
    </row>
    <row r="86" spans="2:14" ht="15.75" customHeight="1" x14ac:dyDescent="0.2">
      <c r="B86" s="2"/>
      <c r="J86" s="3"/>
    </row>
    <row r="87" spans="2:14" ht="15.75" customHeight="1" x14ac:dyDescent="0.2">
      <c r="B87" s="12" t="s">
        <v>131</v>
      </c>
    </row>
    <row r="88" spans="2:14" ht="15.75" customHeight="1" x14ac:dyDescent="0.2">
      <c r="B88" s="12" t="s">
        <v>115</v>
      </c>
    </row>
    <row r="89" spans="2:14" ht="15.75" customHeight="1" thickBot="1" x14ac:dyDescent="0.25"/>
    <row r="90" spans="2:14" ht="27" customHeight="1" thickBot="1" x14ac:dyDescent="0.25">
      <c r="B90" s="56" t="s">
        <v>1009</v>
      </c>
      <c r="C90" s="57" t="s">
        <v>1010</v>
      </c>
      <c r="D90" s="57" t="s">
        <v>1011</v>
      </c>
      <c r="E90" s="62" t="s">
        <v>1012</v>
      </c>
      <c r="G90" s="2"/>
      <c r="H90" s="2"/>
    </row>
    <row r="91" spans="2:14" ht="29.25" customHeight="1" x14ac:dyDescent="0.2">
      <c r="B91" s="69" t="s">
        <v>84</v>
      </c>
      <c r="C91" s="83"/>
      <c r="D91" s="86" t="s">
        <v>1027</v>
      </c>
      <c r="E91" s="88"/>
      <c r="G91" s="2"/>
      <c r="H91" s="2"/>
    </row>
    <row r="92" spans="2:14" ht="39.950000000000003" customHeight="1" x14ac:dyDescent="0.2">
      <c r="B92" s="65" t="s">
        <v>1092</v>
      </c>
      <c r="C92" s="84"/>
      <c r="D92" s="87"/>
      <c r="E92" s="84"/>
      <c r="G92" s="2"/>
      <c r="H92" s="2"/>
    </row>
    <row r="93" spans="2:14" ht="39.950000000000003" customHeight="1" x14ac:dyDescent="0.2">
      <c r="B93" s="65" t="s">
        <v>1093</v>
      </c>
      <c r="C93" s="84"/>
      <c r="D93" s="87"/>
      <c r="E93" s="84"/>
      <c r="G93" s="2"/>
      <c r="H93" s="2"/>
    </row>
    <row r="94" spans="2:14" ht="23.25" customHeight="1" thickBot="1" x14ac:dyDescent="0.25">
      <c r="B94" s="67" t="s">
        <v>1030</v>
      </c>
      <c r="C94" s="85"/>
      <c r="D94" s="70" t="s">
        <v>1030</v>
      </c>
      <c r="E94" s="89"/>
      <c r="G94" s="2"/>
      <c r="H94" s="2"/>
    </row>
    <row r="95" spans="2:14" ht="24.95" customHeight="1" x14ac:dyDescent="0.2">
      <c r="B95" s="58" t="s">
        <v>1014</v>
      </c>
      <c r="C95" s="59"/>
      <c r="D95" s="60"/>
      <c r="E95" s="61"/>
      <c r="G95" s="2"/>
      <c r="H95" s="2"/>
    </row>
    <row r="97" spans="2:8" ht="12" x14ac:dyDescent="0.2">
      <c r="B97" s="2" t="s">
        <v>1015</v>
      </c>
      <c r="C97" s="2"/>
      <c r="D97" s="2"/>
      <c r="G97" s="2"/>
      <c r="H97" s="2"/>
    </row>
    <row r="98" spans="2:8" ht="12" x14ac:dyDescent="0.2">
      <c r="B98" s="3" t="s">
        <v>1016</v>
      </c>
      <c r="C98" s="2"/>
      <c r="D98" s="2"/>
      <c r="G98" s="2"/>
      <c r="H98" s="2"/>
    </row>
  </sheetData>
  <mergeCells count="3">
    <mergeCell ref="C91:C94"/>
    <mergeCell ref="D91:D93"/>
    <mergeCell ref="E91:E94"/>
  </mergeCells>
  <hyperlinks>
    <hyperlink ref="G1" location="'Sheet1'!A1" display="Index" xr:uid="{4C5F84FD-DECF-4464-B3C2-9F5D28335DC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4B2D9-0C6A-44BC-B378-D3F4F3C2F694}">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6.42578125" style="9" customWidth="1"/>
    <col min="4" max="4" width="26.5703125" style="9" customWidth="1"/>
    <col min="5" max="5" width="28.42578125" style="2" customWidth="1"/>
    <col min="6" max="6" width="16.42578125" style="2" customWidth="1"/>
    <col min="7" max="7" width="15.28515625" style="8" customWidth="1"/>
    <col min="8" max="8" width="10.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1101</v>
      </c>
      <c r="C1" s="4" t="s">
        <v>1107</v>
      </c>
      <c r="D1" s="4" t="s">
        <v>1108</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92"/>
      <c r="C5" s="19"/>
      <c r="D5" s="19"/>
      <c r="E5" s="20"/>
      <c r="F5" s="21"/>
      <c r="G5" s="22"/>
      <c r="H5" s="93"/>
    </row>
    <row r="6" spans="2:9" ht="15.75" customHeight="1" x14ac:dyDescent="0.2">
      <c r="B6" s="94"/>
      <c r="C6" s="46"/>
      <c r="D6" s="46"/>
      <c r="E6" s="95"/>
      <c r="F6" s="96"/>
      <c r="G6" s="97"/>
      <c r="H6" s="98"/>
    </row>
    <row r="7" spans="2:9" ht="15.75" customHeight="1" x14ac:dyDescent="0.2">
      <c r="B7" s="99" t="s">
        <v>109</v>
      </c>
      <c r="C7" s="46"/>
      <c r="D7" s="46"/>
      <c r="E7" s="95"/>
      <c r="F7" s="96"/>
      <c r="G7" s="97"/>
      <c r="H7" s="98"/>
    </row>
    <row r="8" spans="2:9" ht="15.75" customHeight="1" x14ac:dyDescent="0.2">
      <c r="B8" s="99" t="s">
        <v>1102</v>
      </c>
      <c r="C8" s="46"/>
      <c r="D8" s="46"/>
      <c r="E8" s="95"/>
      <c r="F8" s="96"/>
      <c r="G8" s="97"/>
      <c r="H8" s="98"/>
    </row>
    <row r="9" spans="2:9" ht="15.75" customHeight="1" x14ac:dyDescent="0.2">
      <c r="B9" s="94" t="s">
        <v>1102</v>
      </c>
      <c r="C9" s="46"/>
      <c r="D9" s="46" t="s">
        <v>1102</v>
      </c>
      <c r="E9" s="95">
        <v>186</v>
      </c>
      <c r="F9" s="96">
        <v>12794.41</v>
      </c>
      <c r="G9" s="97">
        <v>1.0065999999999999</v>
      </c>
      <c r="H9" s="98"/>
    </row>
    <row r="10" spans="2:9" ht="15.75" customHeight="1" x14ac:dyDescent="0.2">
      <c r="B10" s="99" t="s">
        <v>104</v>
      </c>
      <c r="C10" s="100"/>
      <c r="D10" s="100"/>
      <c r="E10" s="101"/>
      <c r="F10" s="31">
        <f>SUM(F9)</f>
        <v>12794.41</v>
      </c>
      <c r="G10" s="102">
        <f>SUM(G9)</f>
        <v>1.0065999999999999</v>
      </c>
      <c r="H10" s="103"/>
    </row>
    <row r="11" spans="2:9" ht="15.75" customHeight="1" x14ac:dyDescent="0.2">
      <c r="B11" s="94"/>
      <c r="C11" s="46"/>
      <c r="D11" s="46"/>
      <c r="E11" s="95"/>
      <c r="F11" s="96"/>
      <c r="G11" s="97"/>
      <c r="H11" s="98"/>
    </row>
    <row r="12" spans="2:9" ht="15.75" customHeight="1" x14ac:dyDescent="0.2">
      <c r="B12" s="104" t="s">
        <v>108</v>
      </c>
      <c r="C12" s="36"/>
      <c r="D12" s="36"/>
      <c r="E12" s="37"/>
      <c r="F12" s="31">
        <f>+F10</f>
        <v>12794.41</v>
      </c>
      <c r="G12" s="102">
        <f>+G10</f>
        <v>1.0065999999999999</v>
      </c>
      <c r="H12" s="103"/>
    </row>
    <row r="13" spans="2:9" ht="15.75" customHeight="1" x14ac:dyDescent="0.2">
      <c r="B13" s="94"/>
      <c r="C13" s="46"/>
      <c r="D13" s="46"/>
      <c r="E13" s="95"/>
      <c r="F13" s="96"/>
      <c r="G13" s="97"/>
      <c r="H13" s="98"/>
    </row>
    <row r="14" spans="2:9" ht="15.75" customHeight="1" x14ac:dyDescent="0.2">
      <c r="B14" s="99" t="s">
        <v>111</v>
      </c>
      <c r="C14" s="46"/>
      <c r="D14" s="46"/>
      <c r="E14" s="95"/>
      <c r="F14" s="96"/>
      <c r="G14" s="97"/>
      <c r="H14" s="98"/>
    </row>
    <row r="15" spans="2:9" ht="15.75" customHeight="1" x14ac:dyDescent="0.2">
      <c r="B15" s="94" t="s">
        <v>112</v>
      </c>
      <c r="C15" s="46"/>
      <c r="D15" s="46"/>
      <c r="E15" s="95"/>
      <c r="F15" s="96">
        <v>18.809999999999999</v>
      </c>
      <c r="G15" s="97">
        <v>1.5E-3</v>
      </c>
      <c r="H15" s="98"/>
    </row>
    <row r="16" spans="2:9" ht="15.75" customHeight="1" x14ac:dyDescent="0.2">
      <c r="B16" s="99" t="s">
        <v>104</v>
      </c>
      <c r="C16" s="100"/>
      <c r="D16" s="100"/>
      <c r="E16" s="101"/>
      <c r="F16" s="31">
        <f>SUM(F15)</f>
        <v>18.809999999999999</v>
      </c>
      <c r="G16" s="32">
        <f>SUM(G15)</f>
        <v>1.5E-3</v>
      </c>
      <c r="H16" s="103"/>
    </row>
    <row r="17" spans="2:8" ht="15.75" customHeight="1" x14ac:dyDescent="0.2">
      <c r="B17" s="94"/>
      <c r="C17" s="46"/>
      <c r="D17" s="46"/>
      <c r="E17" s="95"/>
      <c r="F17" s="96"/>
      <c r="G17" s="97"/>
      <c r="H17" s="98"/>
    </row>
    <row r="18" spans="2:8" ht="15.75" customHeight="1" x14ac:dyDescent="0.2">
      <c r="B18" s="104" t="s">
        <v>108</v>
      </c>
      <c r="C18" s="36"/>
      <c r="D18" s="36"/>
      <c r="E18" s="37"/>
      <c r="F18" s="31">
        <f>+F16</f>
        <v>18.809999999999999</v>
      </c>
      <c r="G18" s="32">
        <f>+G16</f>
        <v>1.5E-3</v>
      </c>
      <c r="H18" s="103"/>
    </row>
    <row r="19" spans="2:8" ht="15.75" customHeight="1" x14ac:dyDescent="0.2">
      <c r="B19" s="94" t="s">
        <v>113</v>
      </c>
      <c r="C19" s="46"/>
      <c r="D19" s="46"/>
      <c r="E19" s="95"/>
      <c r="F19" s="105">
        <v>-102.88</v>
      </c>
      <c r="G19" s="106">
        <v>-8.0999999999999996E-3</v>
      </c>
      <c r="H19" s="98"/>
    </row>
    <row r="20" spans="2:8" ht="15.75" customHeight="1" thickBot="1" x14ac:dyDescent="0.25">
      <c r="B20" s="107" t="s">
        <v>114</v>
      </c>
      <c r="C20" s="108"/>
      <c r="D20" s="108"/>
      <c r="E20" s="109"/>
      <c r="F20" s="110">
        <f>+F19+F18+F12</f>
        <v>12710.34</v>
      </c>
      <c r="G20" s="111">
        <f>+G19+G18+G12</f>
        <v>0.99999999999999989</v>
      </c>
      <c r="H20" s="112"/>
    </row>
    <row r="21" spans="2:8" ht="15.75" customHeight="1" thickBot="1" x14ac:dyDescent="0.25">
      <c r="B21" s="2"/>
    </row>
    <row r="22" spans="2:8" ht="27" customHeight="1" thickBot="1" x14ac:dyDescent="0.25">
      <c r="B22" s="56" t="s">
        <v>1009</v>
      </c>
      <c r="C22" s="57" t="s">
        <v>1010</v>
      </c>
      <c r="D22" s="57" t="s">
        <v>1011</v>
      </c>
      <c r="E22" s="62" t="s">
        <v>1012</v>
      </c>
      <c r="G22" s="2"/>
      <c r="H22" s="2"/>
    </row>
    <row r="23" spans="2:8" ht="29.25" customHeight="1" x14ac:dyDescent="0.2">
      <c r="B23" s="63" t="s">
        <v>1103</v>
      </c>
      <c r="C23" s="83"/>
      <c r="D23" s="86" t="s">
        <v>1058</v>
      </c>
      <c r="E23" s="88"/>
      <c r="G23" s="2"/>
      <c r="H23" s="2"/>
    </row>
    <row r="24" spans="2:8" ht="39.950000000000003" customHeight="1" x14ac:dyDescent="0.2">
      <c r="B24" s="65" t="s">
        <v>1104</v>
      </c>
      <c r="C24" s="84"/>
      <c r="D24" s="87"/>
      <c r="E24" s="84"/>
      <c r="G24" s="2"/>
      <c r="H24" s="2"/>
    </row>
    <row r="25" spans="2:8" ht="39.950000000000003" customHeight="1" x14ac:dyDescent="0.2">
      <c r="B25" s="65" t="s">
        <v>1105</v>
      </c>
      <c r="C25" s="84"/>
      <c r="D25" s="87"/>
      <c r="E25" s="84"/>
      <c r="G25" s="2"/>
      <c r="H25" s="2"/>
    </row>
    <row r="26" spans="2:8" ht="23.25" customHeight="1" thickBot="1" x14ac:dyDescent="0.25">
      <c r="B26" s="67" t="s">
        <v>1026</v>
      </c>
      <c r="C26" s="85"/>
      <c r="D26" s="70" t="s">
        <v>1026</v>
      </c>
      <c r="E26" s="89"/>
      <c r="G26" s="2"/>
      <c r="H26" s="2"/>
    </row>
    <row r="28" spans="2:8" ht="12" x14ac:dyDescent="0.2">
      <c r="B28" s="2" t="s">
        <v>1015</v>
      </c>
      <c r="C28" s="2"/>
      <c r="D28" s="2"/>
      <c r="G28" s="2"/>
      <c r="H28" s="2"/>
    </row>
    <row r="29" spans="2:8" ht="12" x14ac:dyDescent="0.2">
      <c r="B29" s="3" t="s">
        <v>1016</v>
      </c>
      <c r="C29" s="2"/>
      <c r="D29" s="2"/>
      <c r="G29" s="2"/>
      <c r="H29"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23:C26"/>
    <mergeCell ref="D23:D25"/>
    <mergeCell ref="E23:E26"/>
  </mergeCells>
  <hyperlinks>
    <hyperlink ref="I1" location="Sheet1!A1" display="Index" xr:uid="{7ADF8A6D-F624-4B6D-9EDE-EEABEB4AC6F8}"/>
  </hyperlinks>
  <pageMargins left="0.7" right="0.7" top="0.75" bottom="0.75" header="0.3" footer="0.3"/>
  <pageSetup orientation="portrait" horizontalDpi="300" verticalDpi="300" r:id="rId1"/>
  <headerFooter>
    <oddHeader>&amp;L&amp;"Arial"&amp;9&amp;K317100PUBLIC&amp;1#</oddHeader>
  </headerFooter>
  <drawing r:id="rId2"/>
</worksheet>
</file>

<file path=docMetadata/LabelInfo.xml><?xml version="1.0" encoding="utf-8"?>
<clbl:labelList xmlns:clbl="http://schemas.microsoft.com/office/2020/mipLabelMetadata">
  <clbl:label id="{35420d87-ebf3-4eb6-a02e-a1364065b55e}" enabled="1" method="Privileged" siteId="{070340cc-c8c5-4e10-bedb-73d22991c7ba}" contentBits="0" removed="0"/>
  <clbl:label id="{ebbfc019-7f88-4fb6-96d6-94ffadd4b772}" enabled="1" method="Privileged" siteId="{b44900f1-2def-4c3b-9ec6-9020d604e19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84</vt:i4>
      </vt:variant>
    </vt:vector>
  </HeadingPairs>
  <TitlesOfParts>
    <vt:vector size="113" baseType="lpstr">
      <vt:lpstr>Sheet1</vt:lpstr>
      <vt:lpstr>LEARBF</vt:lpstr>
      <vt:lpstr>LEBADF</vt:lpstr>
      <vt:lpstr>LEBALF</vt:lpstr>
      <vt:lpstr>LEBFSF</vt:lpstr>
      <vt:lpstr>LECHID</vt:lpstr>
      <vt:lpstr>LEDDYF</vt:lpstr>
      <vt:lpstr>LEDHCF</vt:lpstr>
      <vt:lpstr>LEEMCF</vt:lpstr>
      <vt:lpstr>LEEQSF</vt:lpstr>
      <vt:lpstr>LEEQTF</vt:lpstr>
      <vt:lpstr>LEESCF</vt:lpstr>
      <vt:lpstr>LEFE30</vt:lpstr>
      <vt:lpstr>LEGFOF</vt:lpstr>
      <vt:lpstr>LEGROW</vt:lpstr>
      <vt:lpstr>LEINFA</vt:lpstr>
      <vt:lpstr>LEINNF</vt:lpstr>
      <vt:lpstr>LEINSX</vt:lpstr>
      <vt:lpstr>LELTVF</vt:lpstr>
      <vt:lpstr>LEMETF</vt:lpstr>
      <vt:lpstr>LEMIDF</vt:lpstr>
      <vt:lpstr>LEMUCF</vt:lpstr>
      <vt:lpstr>LENI50</vt:lpstr>
      <vt:lpstr>LET100</vt:lpstr>
      <vt:lpstr>LETAXP</vt:lpstr>
      <vt:lpstr>LETF50</vt:lpstr>
      <vt:lpstr>LETFSX</vt:lpstr>
      <vt:lpstr>LEULIS</vt:lpstr>
      <vt:lpstr>LICMFGOLDETF</vt:lpstr>
      <vt:lpstr>LEARBF!Hedging_Positions_through_Futures_AS_ON_MMMM_DD__YYYY___NIL</vt:lpstr>
      <vt:lpstr>LEBADF!Hedging_Positions_through_Futures_AS_ON_MMMM_DD__YYYY___NIL</vt:lpstr>
      <vt:lpstr>LEBALF!Hedging_Positions_through_Futures_AS_ON_MMMM_DD__YYYY___NIL</vt:lpstr>
      <vt:lpstr>LEBFSF!Hedging_Positions_through_Futures_AS_ON_MMMM_DD__YYYY___NIL</vt:lpstr>
      <vt:lpstr>LECHID!Hedging_Positions_through_Futures_AS_ON_MMMM_DD__YYYY___NIL</vt:lpstr>
      <vt:lpstr>LEDDYF!Hedging_Positions_through_Futures_AS_ON_MMMM_DD__YYYY___NIL</vt:lpstr>
      <vt:lpstr>LEDHCF!Hedging_Positions_through_Futures_AS_ON_MMMM_DD__YYYY___NIL</vt:lpstr>
      <vt:lpstr>LEEMCF!Hedging_Positions_through_Futures_AS_ON_MMMM_DD__YYYY___NIL</vt:lpstr>
      <vt:lpstr>LEEQSF!Hedging_Positions_through_Futures_AS_ON_MMMM_DD__YYYY___NIL</vt:lpstr>
      <vt:lpstr>LEEQTF!Hedging_Positions_through_Futures_AS_ON_MMMM_DD__YYYY___NIL</vt:lpstr>
      <vt:lpstr>LEESCF!Hedging_Positions_through_Futures_AS_ON_MMMM_DD__YYYY___NIL</vt:lpstr>
      <vt:lpstr>LEFE30!Hedging_Positions_through_Futures_AS_ON_MMMM_DD__YYYY___NIL</vt:lpstr>
      <vt:lpstr>LEGFOF!Hedging_Positions_through_Futures_AS_ON_MMMM_DD__YYYY___NIL</vt:lpstr>
      <vt:lpstr>LEGROW!Hedging_Positions_through_Futures_AS_ON_MMMM_DD__YYYY___NIL</vt:lpstr>
      <vt:lpstr>LEINFA!Hedging_Positions_through_Futures_AS_ON_MMMM_DD__YYYY___NIL</vt:lpstr>
      <vt:lpstr>LEINNF!Hedging_Positions_through_Futures_AS_ON_MMMM_DD__YYYY___NIL</vt:lpstr>
      <vt:lpstr>LEINSX!Hedging_Positions_through_Futures_AS_ON_MMMM_DD__YYYY___NIL</vt:lpstr>
      <vt:lpstr>LELTVF!Hedging_Positions_through_Futures_AS_ON_MMMM_DD__YYYY___NIL</vt:lpstr>
      <vt:lpstr>LEMETF!Hedging_Positions_through_Futures_AS_ON_MMMM_DD__YYYY___NIL</vt:lpstr>
      <vt:lpstr>LEMIDF!Hedging_Positions_through_Futures_AS_ON_MMMM_DD__YYYY___NIL</vt:lpstr>
      <vt:lpstr>LEMUCF!Hedging_Positions_through_Futures_AS_ON_MMMM_DD__YYYY___NIL</vt:lpstr>
      <vt:lpstr>LENI50!Hedging_Positions_through_Futures_AS_ON_MMMM_DD__YYYY___NIL</vt:lpstr>
      <vt:lpstr>'LET100'!Hedging_Positions_through_Futures_AS_ON_MMMM_DD__YYYY___NIL</vt:lpstr>
      <vt:lpstr>LETAXP!Hedging_Positions_through_Futures_AS_ON_MMMM_DD__YYYY___NIL</vt:lpstr>
      <vt:lpstr>LETF50!Hedging_Positions_through_Futures_AS_ON_MMMM_DD__YYYY___NIL</vt:lpstr>
      <vt:lpstr>LETFSX!Hedging_Positions_through_Futures_AS_ON_MMMM_DD__YYYY___NIL</vt:lpstr>
      <vt:lpstr>LEULIS!Hedging_Positions_through_Futures_AS_ON_MMMM_DD__YYYY___NIL</vt:lpstr>
      <vt:lpstr>LICMFGOLDETF!Hedging_Positions_through_Futures_AS_ON_MMMM_DD__YYYY___NIL</vt:lpstr>
      <vt:lpstr>LEARBF!JPM_Footer_disp</vt:lpstr>
      <vt:lpstr>LEBADF!JPM_Footer_disp</vt:lpstr>
      <vt:lpstr>LEBALF!JPM_Footer_disp</vt:lpstr>
      <vt:lpstr>LEBFSF!JPM_Footer_disp</vt:lpstr>
      <vt:lpstr>LECHID!JPM_Footer_disp</vt:lpstr>
      <vt:lpstr>LEDDYF!JPM_Footer_disp</vt:lpstr>
      <vt:lpstr>LEDHCF!JPM_Footer_disp</vt:lpstr>
      <vt:lpstr>LEEMCF!JPM_Footer_disp</vt:lpstr>
      <vt:lpstr>LEEQSF!JPM_Footer_disp</vt:lpstr>
      <vt:lpstr>LEEQTF!JPM_Footer_disp</vt:lpstr>
      <vt:lpstr>LEESCF!JPM_Footer_disp</vt:lpstr>
      <vt:lpstr>LEFE30!JPM_Footer_disp</vt:lpstr>
      <vt:lpstr>LEGFOF!JPM_Footer_disp</vt:lpstr>
      <vt:lpstr>LEGROW!JPM_Footer_disp</vt:lpstr>
      <vt:lpstr>LEINFA!JPM_Footer_disp</vt:lpstr>
      <vt:lpstr>LEINNF!JPM_Footer_disp</vt:lpstr>
      <vt:lpstr>LEINSX!JPM_Footer_disp</vt:lpstr>
      <vt:lpstr>LELTVF!JPM_Footer_disp</vt:lpstr>
      <vt:lpstr>LEMETF!JPM_Footer_disp</vt:lpstr>
      <vt:lpstr>LEMIDF!JPM_Footer_disp</vt:lpstr>
      <vt:lpstr>LEMUCF!JPM_Footer_disp</vt:lpstr>
      <vt:lpstr>LENI50!JPM_Footer_disp</vt:lpstr>
      <vt:lpstr>'LET100'!JPM_Footer_disp</vt:lpstr>
      <vt:lpstr>LETAXP!JPM_Footer_disp</vt:lpstr>
      <vt:lpstr>LETF50!JPM_Footer_disp</vt:lpstr>
      <vt:lpstr>LETFSX!JPM_Footer_disp</vt:lpstr>
      <vt:lpstr>LEULIS!JPM_Footer_disp</vt:lpstr>
      <vt:lpstr>LICMFGOLDETF!JPM_Footer_disp</vt:lpstr>
      <vt:lpstr>LEARBF!JPM_Footer_disp12</vt:lpstr>
      <vt:lpstr>LEBADF!JPM_Footer_disp12</vt:lpstr>
      <vt:lpstr>LEBALF!JPM_Footer_disp12</vt:lpstr>
      <vt:lpstr>LEBFSF!JPM_Footer_disp12</vt:lpstr>
      <vt:lpstr>LECHID!JPM_Footer_disp12</vt:lpstr>
      <vt:lpstr>LEDDYF!JPM_Footer_disp12</vt:lpstr>
      <vt:lpstr>LEDHCF!JPM_Footer_disp12</vt:lpstr>
      <vt:lpstr>LEEMCF!JPM_Footer_disp12</vt:lpstr>
      <vt:lpstr>LEEQSF!JPM_Footer_disp12</vt:lpstr>
      <vt:lpstr>LEEQTF!JPM_Footer_disp12</vt:lpstr>
      <vt:lpstr>LEESCF!JPM_Footer_disp12</vt:lpstr>
      <vt:lpstr>LEFE30!JPM_Footer_disp12</vt:lpstr>
      <vt:lpstr>LEGFOF!JPM_Footer_disp12</vt:lpstr>
      <vt:lpstr>LEGROW!JPM_Footer_disp12</vt:lpstr>
      <vt:lpstr>LEINFA!JPM_Footer_disp12</vt:lpstr>
      <vt:lpstr>LEINNF!JPM_Footer_disp12</vt:lpstr>
      <vt:lpstr>LEINSX!JPM_Footer_disp12</vt:lpstr>
      <vt:lpstr>LELTVF!JPM_Footer_disp12</vt:lpstr>
      <vt:lpstr>LEMETF!JPM_Footer_disp12</vt:lpstr>
      <vt:lpstr>LEMIDF!JPM_Footer_disp12</vt:lpstr>
      <vt:lpstr>LEMUCF!JPM_Footer_disp12</vt:lpstr>
      <vt:lpstr>LENI50!JPM_Footer_disp12</vt:lpstr>
      <vt:lpstr>'LET100'!JPM_Footer_disp12</vt:lpstr>
      <vt:lpstr>LETAXP!JPM_Footer_disp12</vt:lpstr>
      <vt:lpstr>LETF50!JPM_Footer_disp12</vt:lpstr>
      <vt:lpstr>LETFSX!JPM_Footer_disp12</vt:lpstr>
      <vt:lpstr>LEULIS!JPM_Footer_disp12</vt:lpstr>
      <vt:lpstr>LICMFGOLDETF!JPM_Footer_disp12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Jawale/MO-FA/CO</cp:lastModifiedBy>
  <dcterms:created xsi:type="dcterms:W3CDTF">2015-12-17T12:36:10Z</dcterms:created>
  <dcterms:modified xsi:type="dcterms:W3CDTF">2024-08-02T12:34:24Z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