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T:\INVESTMENTS_VALUATION\2 Regulatory Monthly-Half yearly ReportIng\1 Apr 2026\Portfolio Monthly\LIC MF Monhtly Portfolio_Apr-26\"/>
    </mc:Choice>
  </mc:AlternateContent>
  <xr:revisionPtr revIDLastSave="0" documentId="13_ncr:1_{4E4B394E-44E8-4203-B1E5-D9EC4A5FF227}" xr6:coauthVersionLast="47" xr6:coauthVersionMax="47" xr10:uidLastSave="{00000000-0000-0000-0000-000000000000}"/>
  <bookViews>
    <workbookView xWindow="-120" yWindow="-120" windowWidth="24240" windowHeight="13140" xr2:uid="{00000000-000D-0000-FFFF-FFFF00000000}"/>
  </bookViews>
  <sheets>
    <sheet name="Sheet1" sheetId="46" r:id="rId1"/>
    <sheet name="LEARBF" sheetId="11" r:id="rId2"/>
    <sheet name="LEBADF" sheetId="12" r:id="rId3"/>
    <sheet name="LEBALF" sheetId="13" r:id="rId4"/>
    <sheet name="LEBFSF" sheetId="14" r:id="rId5"/>
    <sheet name="LECHID" sheetId="15" r:id="rId6"/>
    <sheet name="LECOSF" sheetId="16" r:id="rId7"/>
    <sheet name="LEDDYF" sheetId="17" r:id="rId8"/>
    <sheet name="LEDHCF" sheetId="18" r:id="rId9"/>
    <sheet name="LEEMCF" sheetId="19" r:id="rId10"/>
    <sheet name="LEEQSF" sheetId="20" r:id="rId11"/>
    <sheet name="LEEQTF" sheetId="21" r:id="rId12"/>
    <sheet name="LEESCF" sheetId="22" r:id="rId13"/>
    <sheet name="LEFE30" sheetId="23" r:id="rId14"/>
    <sheet name="LEGFOF" sheetId="24" r:id="rId15"/>
    <sheet name="LEGOLD" sheetId="25" r:id="rId16"/>
    <sheet name="LEGROW" sheetId="26" r:id="rId17"/>
    <sheet name="LEINFA" sheetId="27" r:id="rId18"/>
    <sheet name="LEINNF" sheetId="28" r:id="rId19"/>
    <sheet name="LEINSX" sheetId="29" r:id="rId20"/>
    <sheet name="LELTVF" sheetId="30" r:id="rId21"/>
    <sheet name="LEMAAF" sheetId="31" r:id="rId22"/>
    <sheet name="LEMETF" sheetId="32" r:id="rId23"/>
    <sheet name="LEMFGF" sheetId="33" r:id="rId24"/>
    <sheet name="LEMIDF" sheetId="34" r:id="rId25"/>
    <sheet name="LEMUCF" sheetId="35" r:id="rId26"/>
    <sheet name="LENI50" sheetId="36" r:id="rId27"/>
    <sheet name="LET100" sheetId="37" r:id="rId28"/>
    <sheet name="LETAXP" sheetId="38" r:id="rId29"/>
    <sheet name="LETECF" sheetId="39" r:id="rId30"/>
    <sheet name="LETF50" sheetId="40" r:id="rId31"/>
    <sheet name="LETFSX" sheetId="41" r:id="rId32"/>
    <sheet name="LEULIS" sheetId="42" r:id="rId33"/>
  </sheets>
  <definedNames>
    <definedName name="_xlnm._FilterDatabase" localSheetId="1" hidden="1">LEARBF!$B$5:$N$82</definedName>
    <definedName name="_xlnm._FilterDatabase" localSheetId="2" hidden="1">LEBADF!$B$5:$N$116</definedName>
    <definedName name="_xlnm._FilterDatabase" localSheetId="3" hidden="1">LEBALF!$B$5:$N$104</definedName>
    <definedName name="_xlnm._FilterDatabase" localSheetId="4" hidden="1">LEBFSF!$B$5:$N$56</definedName>
    <definedName name="_xlnm._FilterDatabase" localSheetId="5" hidden="1">LECHID!$B$5:$N$91</definedName>
    <definedName name="_xlnm._FilterDatabase" localSheetId="6" hidden="1">LECOSF!$B$5:$N$74</definedName>
    <definedName name="_xlnm._FilterDatabase" localSheetId="7" hidden="1">LEDDYF!$B$5:$N$81</definedName>
    <definedName name="_xlnm._FilterDatabase" localSheetId="8" hidden="1">LEDHCF!$B$5:$N$46</definedName>
    <definedName name="_xlnm._FilterDatabase" localSheetId="9" hidden="1">LEEMCF!$B$5:$N$85</definedName>
    <definedName name="_xlnm._FilterDatabase" localSheetId="10" hidden="1">LEEQSF!$B$5:$N$84</definedName>
    <definedName name="_xlnm._FilterDatabase" localSheetId="11" hidden="1">LEEQTF!$B$5:$N$60</definedName>
    <definedName name="_xlnm._FilterDatabase" localSheetId="12" hidden="1">LEESCF!$B$5:$N$80</definedName>
    <definedName name="_xlnm._FilterDatabase" localSheetId="13" hidden="1">LEFE30!$B$5:$N$45</definedName>
    <definedName name="_xlnm._FilterDatabase" localSheetId="14" hidden="1">LEGFOF!$B$5:$N$20</definedName>
    <definedName name="_xlnm._FilterDatabase" localSheetId="15" hidden="1">LEGOLD!$B$5:$N$20</definedName>
    <definedName name="_xlnm._FilterDatabase" localSheetId="16" hidden="1">LEGROW!$B$5:$N$66</definedName>
    <definedName name="_xlnm._FilterDatabase" localSheetId="17" hidden="1">LEINFA!$B$5:$N$75</definedName>
    <definedName name="_xlnm._FilterDatabase" localSheetId="18" hidden="1">LEINNF!$B$5:$N$70</definedName>
    <definedName name="_xlnm._FilterDatabase" localSheetId="19" hidden="1">LEINSX!$B$5:$N$50</definedName>
    <definedName name="_xlnm._FilterDatabase" localSheetId="20" hidden="1">LELTVF!$B$5:$N$74</definedName>
    <definedName name="_xlnm._FilterDatabase" localSheetId="21" hidden="1">LEMAAF!$B$5:$N$112</definedName>
    <definedName name="_xlnm._FilterDatabase" localSheetId="22" hidden="1">LEMETF!$B$5:$N$120</definedName>
    <definedName name="_xlnm._FilterDatabase" localSheetId="23" hidden="1">LEMFGF!$B$5:$N$68</definedName>
    <definedName name="_xlnm._FilterDatabase" localSheetId="24" hidden="1">LEMIDF!$B$5:$N$68</definedName>
    <definedName name="_xlnm._FilterDatabase" localSheetId="25" hidden="1">LEMUCF!$B$5:$N$87</definedName>
    <definedName name="_xlnm._FilterDatabase" localSheetId="26" hidden="1">LENI50!$B$5:$N$74</definedName>
    <definedName name="_xlnm._FilterDatabase" localSheetId="27" hidden="1">'LET100'!$B$5:$N$124</definedName>
    <definedName name="_xlnm._FilterDatabase" localSheetId="28" hidden="1">LETAXP!$B$5:$N$73</definedName>
    <definedName name="_xlnm._FilterDatabase" localSheetId="29" hidden="1">LETECF!$B$5:$N$49</definedName>
    <definedName name="_xlnm._FilterDatabase" localSheetId="30" hidden="1">LETF50!$B$5:$N$70</definedName>
    <definedName name="_xlnm._FilterDatabase" localSheetId="31" hidden="1">LETFSX!$B$5:$N$50</definedName>
    <definedName name="_xlnm._FilterDatabase" localSheetId="32" hidden="1">LEULIS!$B$5:$N$94</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LEBFSF!$J$82:$N$98</definedName>
    <definedName name="Hedging_Positions_through_Futures_AS_ON_MMMM_DD__YYYY___NIL" localSheetId="5">LECHID!$J$68:$N$84</definedName>
    <definedName name="Hedging_Positions_through_Futures_AS_ON_MMMM_DD__YYYY___NIL" localSheetId="6">LECOSF!$J$68:$N$98</definedName>
    <definedName name="Hedging_Positions_through_Futures_AS_ON_MMMM_DD__YYYY___NIL" localSheetId="7">LEDDYF!$J$68:$N$99</definedName>
    <definedName name="Hedging_Positions_through_Futures_AS_ON_MMMM_DD__YYYY___NIL" localSheetId="8">LEDHCF!$J$82:$N$98</definedName>
    <definedName name="Hedging_Positions_through_Futures_AS_ON_MMMM_DD__YYYY___NIL" localSheetId="9">LEEMCF!$J$68:$N$84</definedName>
    <definedName name="Hedging_Positions_through_Futures_AS_ON_MMMM_DD__YYYY___NIL" localSheetId="10">LEEQSF!$J$68:$N$84</definedName>
    <definedName name="Hedging_Positions_through_Futures_AS_ON_MMMM_DD__YYYY___NIL" localSheetId="11">LEEQTF!$J$82:$N$98</definedName>
    <definedName name="Hedging_Positions_through_Futures_AS_ON_MMMM_DD__YYYY___NIL" localSheetId="12">LEESCF!$J$68:$N$98</definedName>
    <definedName name="Hedging_Positions_through_Futures_AS_ON_MMMM_DD__YYYY___NIL" localSheetId="13">LEFE30!$J$82:$N$98</definedName>
    <definedName name="Hedging_Positions_through_Futures_AS_ON_MMMM_DD__YYYY___NIL" localSheetId="14">LEGFOF!$J$79:$N$95</definedName>
    <definedName name="Hedging_Positions_through_Futures_AS_ON_MMMM_DD__YYYY___NIL" localSheetId="15">LEGOLD!$J$78:$N$94</definedName>
    <definedName name="Hedging_Positions_through_Futures_AS_ON_MMMM_DD__YYYY___NIL" localSheetId="16">LEGROW!$J$68:$N$108</definedName>
    <definedName name="Hedging_Positions_through_Futures_AS_ON_MMMM_DD__YYYY___NIL" localSheetId="17">LEINFA!$J$68:$N$98</definedName>
    <definedName name="Hedging_Positions_through_Futures_AS_ON_MMMM_DD__YYYY___NIL" localSheetId="18">LEINNF!$J$68:$N$98</definedName>
    <definedName name="Hedging_Positions_through_Futures_AS_ON_MMMM_DD__YYYY___NIL" localSheetId="19">LEINSX!$J$82:$N$98</definedName>
    <definedName name="Hedging_Positions_through_Futures_AS_ON_MMMM_DD__YYYY___NIL" localSheetId="20">LELTVF!$J$68:$N$98</definedName>
    <definedName name="Hedging_Positions_through_Futures_AS_ON_MMMM_DD__YYYY___NIL" localSheetId="21">LEMAAF!$J$68:$N$84</definedName>
    <definedName name="Hedging_Positions_through_Futures_AS_ON_MMMM_DD__YYYY___NIL" localSheetId="22">LEMETF!$J$68:$N$84</definedName>
    <definedName name="Hedging_Positions_through_Futures_AS_ON_MMMM_DD__YYYY___NIL" localSheetId="23">LEMFGF!$J$68:$N$98</definedName>
    <definedName name="Hedging_Positions_through_Futures_AS_ON_MMMM_DD__YYYY___NIL" localSheetId="24">LEMIDF!$J$68:$N$98</definedName>
    <definedName name="Hedging_Positions_through_Futures_AS_ON_MMMM_DD__YYYY___NIL" localSheetId="25">LEMUCF!$J$68:$N$84</definedName>
    <definedName name="Hedging_Positions_through_Futures_AS_ON_MMMM_DD__YYYY___NIL" localSheetId="26">LENI50!$J$68:$N$99</definedName>
    <definedName name="Hedging_Positions_through_Futures_AS_ON_MMMM_DD__YYYY___NIL" localSheetId="27">'LET100'!$J$68:$N$84</definedName>
    <definedName name="Hedging_Positions_through_Futures_AS_ON_MMMM_DD__YYYY___NIL" localSheetId="28">LETAXP!$J$68:$N$98</definedName>
    <definedName name="Hedging_Positions_through_Futures_AS_ON_MMMM_DD__YYYY___NIL" localSheetId="29">LETECF!$J$82:$N$98</definedName>
    <definedName name="Hedging_Positions_through_Futures_AS_ON_MMMM_DD__YYYY___NIL" localSheetId="30">LETF50!$J$68:$N$95</definedName>
    <definedName name="Hedging_Positions_through_Futures_AS_ON_MMMM_DD__YYYY___NIL" localSheetId="31">LETFSX!$J$79:$N$95</definedName>
    <definedName name="Hedging_Positions_through_Futures_AS_ON_MMMM_DD__YYYY___NIL" localSheetId="32">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LEBFSF!$J$88:$N$98</definedName>
    <definedName name="JPM_Footer_disp" localSheetId="5">LECHID!$J$74:$N$84</definedName>
    <definedName name="JPM_Footer_disp" localSheetId="6">LECOSF!$J$74:$N$98</definedName>
    <definedName name="JPM_Footer_disp" localSheetId="7">LEDDYF!$J$74:$N$99</definedName>
    <definedName name="JPM_Footer_disp" localSheetId="8">LEDHCF!$J$88:$N$98</definedName>
    <definedName name="JPM_Footer_disp" localSheetId="9">LEEMCF!$J$74:$N$84</definedName>
    <definedName name="JPM_Footer_disp" localSheetId="10">LEEQSF!$J$74:$N$84</definedName>
    <definedName name="JPM_Footer_disp" localSheetId="11">LEEQTF!$J$88:$N$98</definedName>
    <definedName name="JPM_Footer_disp" localSheetId="12">LEESCF!$J$74:$N$98</definedName>
    <definedName name="JPM_Footer_disp" localSheetId="13">LEFE30!$J$88:$N$98</definedName>
    <definedName name="JPM_Footer_disp" localSheetId="14">LEGFOF!$J$85:$N$95</definedName>
    <definedName name="JPM_Footer_disp" localSheetId="15">LEGOLD!$J$84:$N$94</definedName>
    <definedName name="JPM_Footer_disp" localSheetId="16">LEGROW!$J$98:$N$108</definedName>
    <definedName name="JPM_Footer_disp" localSheetId="17">LEINFA!$J$74:$N$98</definedName>
    <definedName name="JPM_Footer_disp" localSheetId="18">LEINNF!$J$89:$N$98</definedName>
    <definedName name="JPM_Footer_disp" localSheetId="19">LEINSX!$J$88:$N$98</definedName>
    <definedName name="JPM_Footer_disp" localSheetId="20">LELTVF!$J$74:$N$98</definedName>
    <definedName name="JPM_Footer_disp" localSheetId="21">LEMAAF!$J$74:$N$84</definedName>
    <definedName name="JPM_Footer_disp" localSheetId="22">LEMETF!$J$74:$N$84</definedName>
    <definedName name="JPM_Footer_disp" localSheetId="23">LEMFGF!$J$88:$N$98</definedName>
    <definedName name="JPM_Footer_disp" localSheetId="24">LEMIDF!$J$88:$N$98</definedName>
    <definedName name="JPM_Footer_disp" localSheetId="25">LEMUCF!$J$74:$N$84</definedName>
    <definedName name="JPM_Footer_disp" localSheetId="26">LENI50!$J$74:$N$99</definedName>
    <definedName name="JPM_Footer_disp" localSheetId="27">'LET100'!$J$74:$N$84</definedName>
    <definedName name="JPM_Footer_disp" localSheetId="28">LETAXP!$J$74:$N$98</definedName>
    <definedName name="JPM_Footer_disp" localSheetId="29">LETECF!$J$88:$N$98</definedName>
    <definedName name="JPM_Footer_disp" localSheetId="30">LETF50!$J$86:$N$95</definedName>
    <definedName name="JPM_Footer_disp" localSheetId="31">LETFSX!$J$85:$N$95</definedName>
    <definedName name="JPM_Footer_disp" localSheetId="32">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LEBFSF!$J$82:$N$100</definedName>
    <definedName name="JPM_Footer_disp12" localSheetId="5">LECHID!$J$68:$N$86</definedName>
    <definedName name="JPM_Footer_disp12" localSheetId="6">LECOSF!$J$68:$N$100</definedName>
    <definedName name="JPM_Footer_disp12" localSheetId="7">LEDDYF!$J$68:$N$100</definedName>
    <definedName name="JPM_Footer_disp12" localSheetId="8">LEDHCF!$J$82:$N$100</definedName>
    <definedName name="JPM_Footer_disp12" localSheetId="9">LEEMCF!$J$68:$N$86</definedName>
    <definedName name="JPM_Footer_disp12" localSheetId="10">LEEQSF!$J$68:$N$86</definedName>
    <definedName name="JPM_Footer_disp12" localSheetId="11">LEEQTF!$J$82:$N$100</definedName>
    <definedName name="JPM_Footer_disp12" localSheetId="12">LEESCF!$J$68:$N$100</definedName>
    <definedName name="JPM_Footer_disp12" localSheetId="13">LEFE30!$J$82:$N$100</definedName>
    <definedName name="JPM_Footer_disp12" localSheetId="14">LEGFOF!$J$79:$N$97</definedName>
    <definedName name="JPM_Footer_disp12" localSheetId="15">LEGOLD!$J$78:$N$96</definedName>
    <definedName name="JPM_Footer_disp12" localSheetId="16">LEGROW!$J$68:$N$110</definedName>
    <definedName name="JPM_Footer_disp12" localSheetId="17">LEINFA!$J$68:$N$100</definedName>
    <definedName name="JPM_Footer_disp12" localSheetId="18">LEINNF!$J$68:$N$100</definedName>
    <definedName name="JPM_Footer_disp12" localSheetId="19">LEINSX!$J$82:$N$100</definedName>
    <definedName name="JPM_Footer_disp12" localSheetId="20">LELTVF!$J$68:$N$100</definedName>
    <definedName name="JPM_Footer_disp12" localSheetId="21">LEMAAF!$J$68:$N$86</definedName>
    <definedName name="JPM_Footer_disp12" localSheetId="22">LEMETF!$J$68:$N$86</definedName>
    <definedName name="JPM_Footer_disp12" localSheetId="23">LEMFGF!$J$68:$N$100</definedName>
    <definedName name="JPM_Footer_disp12" localSheetId="24">LEMIDF!$J$68:$N$100</definedName>
    <definedName name="JPM_Footer_disp12" localSheetId="25">LEMUCF!$J$68:$N$86</definedName>
    <definedName name="JPM_Footer_disp12" localSheetId="26">LENI50!$J$68:$N$101</definedName>
    <definedName name="JPM_Footer_disp12" localSheetId="27">'LET100'!$J$68:$N$86</definedName>
    <definedName name="JPM_Footer_disp12" localSheetId="28">LETAXP!$J$68:$N$100</definedName>
    <definedName name="JPM_Footer_disp12" localSheetId="29">LETECF!$J$82:$N$100</definedName>
    <definedName name="JPM_Footer_disp12" localSheetId="30">LETF50!$J$68:$N$97</definedName>
    <definedName name="JPM_Footer_disp12" localSheetId="31">LETFSX!$J$79:$N$97</definedName>
    <definedName name="JPM_Footer_disp12" localSheetId="32">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26" l="1"/>
  <c r="G56" i="26"/>
</calcChain>
</file>

<file path=xl/sharedStrings.xml><?xml version="1.0" encoding="utf-8"?>
<sst xmlns="http://schemas.openxmlformats.org/spreadsheetml/2006/main" count="7019" uniqueCount="1189">
  <si>
    <t>Name of the Instrument</t>
  </si>
  <si>
    <t>ISIN</t>
  </si>
  <si>
    <t>Quantity</t>
  </si>
  <si>
    <t>Market/Fair Value (Rounded, Rs. In Lacs)</t>
  </si>
  <si>
    <t>Rounded, % to Net Assets</t>
  </si>
  <si>
    <t>Industry / Rating</t>
  </si>
  <si>
    <t>Yield</t>
  </si>
  <si>
    <t>Monthly Portfolio Statement as on April 30,2026</t>
  </si>
  <si>
    <t>Index</t>
  </si>
  <si>
    <t>LIC MF ARBITRAGE FUND</t>
  </si>
  <si>
    <t>LIC MF BALANCED ADVANTAGE FUND</t>
  </si>
  <si>
    <t>LIC MF AGGRESSIVE HYBRID FUND</t>
  </si>
  <si>
    <t>LIC MF BANKING AND FINANCIAL SERVICES FUND</t>
  </si>
  <si>
    <t>LIC MF CHILDREN’S FUND</t>
  </si>
  <si>
    <t>LIC MF CONSUMPTION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</si>
  <si>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</si>
  <si>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</si>
  <si>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</si>
  <si>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</si>
  <si>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</si>
  <si>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</si>
  <si>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</si>
  <si>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</si>
  <si>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</si>
  <si>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</si>
  <si>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</si>
  <si>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</si>
  <si>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</si>
  <si>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</si>
  <si>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</si>
  <si>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</si>
  <si>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</si>
  <si>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</si>
  <si>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</si>
  <si>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</si>
  <si>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</si>
  <si>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</si>
  <si>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TECHNOLOGY FUND</t>
  </si>
  <si>
    <t>LIC MF NIFTY 50 ETF</t>
  </si>
  <si>
    <t>LIC MF BSE SENSEX ETF</t>
  </si>
  <si>
    <t>LIC MF UNIT LINKED INSURANCE SCHEME</t>
  </si>
  <si>
    <t>Moderate</t>
  </si>
  <si>
    <t>Low</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</si>
  <si>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</si>
  <si>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</si>
  <si>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</si>
  <si>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</si>
  <si>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</si>
  <si>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</si>
  <si>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</si>
  <si>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</si>
  <si>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</si>
  <si>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</si>
  <si>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</si>
  <si>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LECOSF</t>
  </si>
  <si>
    <t>LIC MF Consumption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</si>
  <si>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</si>
  <si>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</si>
  <si>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</si>
  <si>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</si>
  <si>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</si>
  <si>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</si>
  <si>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</si>
  <si>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</si>
  <si>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</si>
  <si>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</si>
  <si>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</si>
  <si>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</si>
  <si>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</si>
  <si>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</si>
  <si>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</si>
  <si>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</si>
  <si>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</si>
  <si>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</si>
  <si>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</si>
  <si>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</si>
  <si>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</si>
  <si>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</si>
  <si>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</si>
  <si>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</si>
  <si>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</si>
  <si>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</si>
  <si>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</si>
  <si>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</si>
  <si>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</si>
  <si>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</si>
  <si>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</si>
  <si>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</si>
  <si>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</si>
  <si>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</si>
  <si>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</si>
  <si>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</si>
  <si>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</si>
  <si>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</si>
  <si>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</si>
  <si>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</si>
  <si>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</si>
  <si>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</si>
  <si>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</si>
  <si>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</si>
  <si>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</si>
  <si>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LETECF</t>
  </si>
  <si>
    <t>LIC MF Technology Fund</t>
  </si>
  <si>
    <t>LETF50</t>
  </si>
  <si>
    <t>LIC MF Nifty 50 ETF</t>
  </si>
  <si>
    <t>LETFSX</t>
  </si>
  <si>
    <t>LIC MF BSE Sensex ETF</t>
  </si>
  <si>
    <t>LEULIS</t>
  </si>
  <si>
    <t>LIC MF Unit Linked Insurance Scheme</t>
  </si>
  <si>
    <t>INDEX</t>
  </si>
  <si>
    <t>Monthly Portfolio Statement as on April 30, 2026</t>
  </si>
  <si>
    <t>Scheme</t>
  </si>
  <si>
    <t>Scheme Name</t>
  </si>
  <si>
    <t>Riskometer</t>
  </si>
  <si>
    <t>Debt Instruments</t>
  </si>
  <si>
    <t>(a)Listed / Awaiting listing on stock Exchanges</t>
  </si>
  <si>
    <t>SOVEREIGN</t>
  </si>
  <si>
    <t>6.9% Government of India</t>
  </si>
  <si>
    <t>IN0020250018</t>
  </si>
  <si>
    <t>7.3% Government of India</t>
  </si>
  <si>
    <t>IN0020230051</t>
  </si>
  <si>
    <t>CRISIL AAA</t>
  </si>
  <si>
    <t>7.43% Jamnagar Utilities &amp; Power Pvt. Ltd. **</t>
  </si>
  <si>
    <t>INE936D07190</t>
  </si>
  <si>
    <t>Indian Railway Finance Corporation Ltd. (ZCB) **</t>
  </si>
  <si>
    <t>INE053F08536</t>
  </si>
  <si>
    <t>7.63% State Government of Maharashtra</t>
  </si>
  <si>
    <t>7.1% Government of India</t>
  </si>
  <si>
    <t>IN0020240019</t>
  </si>
  <si>
    <t>Sub Total</t>
  </si>
  <si>
    <t>(b)Privately Placed/Unlisted</t>
  </si>
  <si>
    <t>NIL</t>
  </si>
  <si>
    <t>(c)Securitised Debt Instruments</t>
  </si>
  <si>
    <t>TOTAL</t>
  </si>
  <si>
    <t>Money Market Instruments</t>
  </si>
  <si>
    <t>Certificate of Deposit</t>
  </si>
  <si>
    <t>CRISIL A1+</t>
  </si>
  <si>
    <t>Others</t>
  </si>
  <si>
    <t>Investment in Mutual fund</t>
  </si>
  <si>
    <t>Treps / Reverse Repo</t>
  </si>
  <si>
    <t>Treps</t>
  </si>
  <si>
    <t>Net Receivables / (Payables)</t>
  </si>
  <si>
    <t>GRAND TOTAL</t>
  </si>
  <si>
    <t>#  Unlisted Security</t>
  </si>
  <si>
    <t>**  Non Traded Security</t>
  </si>
  <si>
    <t>ZCB - Zero Coupon Bond</t>
  </si>
  <si>
    <t>The product is suitable for investors who are seeking*</t>
  </si>
  <si>
    <t>Scheme Riskometer#</t>
  </si>
  <si>
    <t>Benchmark Riskometer (as 
applicable) #</t>
  </si>
  <si>
    <t>*Investors should consult their financial advisers if in doubt about whether the product is suitable for them.</t>
  </si>
  <si>
    <t xml:space="preserve">#The Scheme and Benchmark riskometer disclosed above is latest available riskometer, for any updates please visit the AMC’s website (https://www.licmf.com/downloads/risk-o-meter-disclosure). </t>
  </si>
  <si>
    <t>Mutual Fund investments are subject to market risks, read all scheme related documents carefully.</t>
  </si>
  <si>
    <t>6.79% Government of India</t>
  </si>
  <si>
    <t>IN0020240126</t>
  </si>
  <si>
    <t>6.68% Government of India</t>
  </si>
  <si>
    <t>IN0020250042</t>
  </si>
  <si>
    <t>7.34% Government of India</t>
  </si>
  <si>
    <t>IN0020240035</t>
  </si>
  <si>
    <t>8.09% NLC India Ltd. **</t>
  </si>
  <si>
    <t>INE589A07037</t>
  </si>
  <si>
    <t>ICRA AAA</t>
  </si>
  <si>
    <t>7.37% Indian Railway Finance Corporation Ltd. **</t>
  </si>
  <si>
    <t>INE053F08411</t>
  </si>
  <si>
    <t>7.41% Government of India</t>
  </si>
  <si>
    <t>IN0020220102</t>
  </si>
  <si>
    <t>8.13% Nuclear Power Corporation **</t>
  </si>
  <si>
    <t>INE206D08378</t>
  </si>
  <si>
    <t>HDFC Bank Ltd. #</t>
  </si>
  <si>
    <t>INE040A16HF0</t>
  </si>
  <si>
    <t>Equity &amp; Equity related</t>
  </si>
  <si>
    <t>(a)Listed / Awaiting listing on Stock Exchanges</t>
  </si>
  <si>
    <t>HDFC Bank Ltd.</t>
  </si>
  <si>
    <t>INE040A01034</t>
  </si>
  <si>
    <t>Banks</t>
  </si>
  <si>
    <t>Reliance Industries Ltd.</t>
  </si>
  <si>
    <t>INE002A01018</t>
  </si>
  <si>
    <t>Petroleum Products</t>
  </si>
  <si>
    <t>Bharat Forge Ltd.</t>
  </si>
  <si>
    <t>INE465A01025</t>
  </si>
  <si>
    <t>Auto Components</t>
  </si>
  <si>
    <t>Infosys Ltd.</t>
  </si>
  <si>
    <t>INE009A01021</t>
  </si>
  <si>
    <t>IT - Software</t>
  </si>
  <si>
    <t>Axis Bank Ltd.</t>
  </si>
  <si>
    <t>INE238A01034</t>
  </si>
  <si>
    <t>Hindustan Unilever Ltd.</t>
  </si>
  <si>
    <t>INE030A01027</t>
  </si>
  <si>
    <t>Diversified FMCG</t>
  </si>
  <si>
    <t>Shriram Finance Ltd.</t>
  </si>
  <si>
    <t>INE721A01047</t>
  </si>
  <si>
    <t>Finance</t>
  </si>
  <si>
    <t>ICICI Bank Ltd.</t>
  </si>
  <si>
    <t>INE090A01021</t>
  </si>
  <si>
    <t>Mahindra &amp; Mahindra Ltd.</t>
  </si>
  <si>
    <t>INE101A01026</t>
  </si>
  <si>
    <t>Automobiles</t>
  </si>
  <si>
    <t>Food Products</t>
  </si>
  <si>
    <t>(b) Unlisted</t>
  </si>
  <si>
    <t>7.38% Government of India</t>
  </si>
  <si>
    <t>IN0020220037</t>
  </si>
  <si>
    <t>7.19% State Government of Tamil Nadu</t>
  </si>
  <si>
    <t>IN3120190225</t>
  </si>
  <si>
    <t>Axis Bank Ltd. ** #</t>
  </si>
  <si>
    <t>Government of India</t>
  </si>
  <si>
    <t>7.58% National Bk for Agriculture &amp; Rural Dev.</t>
  </si>
  <si>
    <t>INE261F08DX0</t>
  </si>
  <si>
    <t>7.45% Bharti Telecom Ltd. **</t>
  </si>
  <si>
    <t>INE403D08280</t>
  </si>
  <si>
    <t>7.02% Government of India</t>
  </si>
  <si>
    <t>IN0020240076</t>
  </si>
  <si>
    <t>7.49% National Highways Authority of India **</t>
  </si>
  <si>
    <t>INE906B07HG7</t>
  </si>
  <si>
    <t>State Bank of India</t>
  </si>
  <si>
    <t>INE062A01020</t>
  </si>
  <si>
    <t>Bharti Airtel Ltd.</t>
  </si>
  <si>
    <t>INE397D01024</t>
  </si>
  <si>
    <t>Telecom - Services</t>
  </si>
  <si>
    <t>GMR Airports Ltd.</t>
  </si>
  <si>
    <t>INE776C01039</t>
  </si>
  <si>
    <t>Transport Infrastructure</t>
  </si>
  <si>
    <t>Kotak Mahindra Bank Ltd.</t>
  </si>
  <si>
    <t>INE237A01036</t>
  </si>
  <si>
    <t>Bharat Electronics Ltd.</t>
  </si>
  <si>
    <t>INE263A01024</t>
  </si>
  <si>
    <t>Aerospace &amp; Defense</t>
  </si>
  <si>
    <t>Bajaj Finance Ltd.</t>
  </si>
  <si>
    <t>INE296A01032</t>
  </si>
  <si>
    <t>Tata Steel Ltd.</t>
  </si>
  <si>
    <t>INE081A01020</t>
  </si>
  <si>
    <t>Ferrous Metals</t>
  </si>
  <si>
    <t>Jio Financial Services Ltd.</t>
  </si>
  <si>
    <t>INE758E01017</t>
  </si>
  <si>
    <t>Maruti Suzuki India Ltd.</t>
  </si>
  <si>
    <t>INE585B01010</t>
  </si>
  <si>
    <t>Punjab National Bank</t>
  </si>
  <si>
    <t>INE160A01022</t>
  </si>
  <si>
    <t>Sun Pharmaceutical Industries Ltd.</t>
  </si>
  <si>
    <t>INE044A01036</t>
  </si>
  <si>
    <t>Pharmaceuticals &amp; Biotechnology</t>
  </si>
  <si>
    <t>Bank of Baroda</t>
  </si>
  <si>
    <t>INE028A01039</t>
  </si>
  <si>
    <t>Eternal Ltd.</t>
  </si>
  <si>
    <t>INE758T01015</t>
  </si>
  <si>
    <t>Retailing</t>
  </si>
  <si>
    <t>Nestle India Ltd.</t>
  </si>
  <si>
    <t>INE239A01024</t>
  </si>
  <si>
    <t>DLF Ltd.</t>
  </si>
  <si>
    <t>INE271C01023</t>
  </si>
  <si>
    <t>Realty</t>
  </si>
  <si>
    <t>NTPC Ltd.</t>
  </si>
  <si>
    <t>INE733E01010</t>
  </si>
  <si>
    <t>Power</t>
  </si>
  <si>
    <t>Indus Towers Ltd.</t>
  </si>
  <si>
    <t>INE121J01017</t>
  </si>
  <si>
    <t>Lodha Developers Ltd.</t>
  </si>
  <si>
    <t>INE670K01029</t>
  </si>
  <si>
    <t>ITC Ltd.</t>
  </si>
  <si>
    <t>INE154A01025</t>
  </si>
  <si>
    <t>Eicher Motors Ltd.</t>
  </si>
  <si>
    <t>INE066A01021</t>
  </si>
  <si>
    <t>Tata Power Company Ltd.</t>
  </si>
  <si>
    <t>INE245A01021</t>
  </si>
  <si>
    <t>Trent Ltd.</t>
  </si>
  <si>
    <t>INE849A01020</t>
  </si>
  <si>
    <t>Exide Industries Ltd.</t>
  </si>
  <si>
    <t>INE302A01020</t>
  </si>
  <si>
    <t>Bharat Heavy Electricals Ltd.</t>
  </si>
  <si>
    <t>INE257A01026</t>
  </si>
  <si>
    <t>Electrical Equipment</t>
  </si>
  <si>
    <t>Crompton Greaves Cons Electrical Ltd.</t>
  </si>
  <si>
    <t>INE299U01018</t>
  </si>
  <si>
    <t>Consumer Durables</t>
  </si>
  <si>
    <t>GAIL (India) Ltd.</t>
  </si>
  <si>
    <t>INE129A01019</t>
  </si>
  <si>
    <t>Gas</t>
  </si>
  <si>
    <t>Max Financial Services Ltd.</t>
  </si>
  <si>
    <t>INE180A01020</t>
  </si>
  <si>
    <t>Insurance</t>
  </si>
  <si>
    <t>Power Finance Corporation Ltd.</t>
  </si>
  <si>
    <t>INE134E01011</t>
  </si>
  <si>
    <t>Oil &amp; Natural Gas Corporation Ltd.</t>
  </si>
  <si>
    <t>INE213A01029</t>
  </si>
  <si>
    <t>Oil</t>
  </si>
  <si>
    <t>HDFC Life Insurance Company Ltd.</t>
  </si>
  <si>
    <t>INE795G01014</t>
  </si>
  <si>
    <t>Container Corporation Of India Ltd.</t>
  </si>
  <si>
    <t>INE111A01025</t>
  </si>
  <si>
    <t>Transport Services</t>
  </si>
  <si>
    <t>Bajaj Finserv Ltd.</t>
  </si>
  <si>
    <t>INE918I01026</t>
  </si>
  <si>
    <t>Aurobindo Pharma Ltd.</t>
  </si>
  <si>
    <t>INE406A01037</t>
  </si>
  <si>
    <t>Tata Motors Passenger Vehicles Ltd.</t>
  </si>
  <si>
    <t>INE155A01022</t>
  </si>
  <si>
    <t>Asian Paints Ltd.</t>
  </si>
  <si>
    <t>INE021A01026</t>
  </si>
  <si>
    <t>Titan Company Ltd.</t>
  </si>
  <si>
    <t>INE280A01028</t>
  </si>
  <si>
    <t>IndusInd Bank Ltd.</t>
  </si>
  <si>
    <t>INE095A01012</t>
  </si>
  <si>
    <t>7.83% National Bk for Agriculture &amp; Rural Dev.</t>
  </si>
  <si>
    <t>INE261F08ED0</t>
  </si>
  <si>
    <t>LIC MF MONEY MARKET FUND-DIRECT PLAN-GR</t>
  </si>
  <si>
    <t>INF767K01RE0</t>
  </si>
  <si>
    <t>LIC MF LIQUID FUND-DR PLN-GR</t>
  </si>
  <si>
    <t>INF767K01DN1</t>
  </si>
  <si>
    <t>Disclosure in Derivatives</t>
  </si>
  <si>
    <t>Rounded,% TO Net Assets)</t>
  </si>
  <si>
    <t>Total</t>
  </si>
  <si>
    <t>Total outstanding position(as at 30 April 2026 ) in Derivative Instruments(Gross National) 16215.49 lacs.</t>
  </si>
  <si>
    <t>Total percentage of existing assets hedge through futures is 66.32%.</t>
  </si>
  <si>
    <t>•Income over a short term investment horizon</t>
  </si>
  <si>
    <t>As per AMFI Tier I Benchmark i.e. Nifty 50 
Arbitrage Index</t>
  </si>
  <si>
    <t>•Income through arbitrage opportunities between cash and derivative market and arbitrage opportunities within the derivative segment of the equity market</t>
  </si>
  <si>
    <t>Tata Consultancy Services Ltd.</t>
  </si>
  <si>
    <t>INE467B01029</t>
  </si>
  <si>
    <t>Larsen &amp; Toubro Ltd.</t>
  </si>
  <si>
    <t>INE018A01030</t>
  </si>
  <si>
    <t>Construction</t>
  </si>
  <si>
    <t>Garware Hi-Tech Films Ltd.</t>
  </si>
  <si>
    <t>INE291A01017</t>
  </si>
  <si>
    <t>Industrial Products</t>
  </si>
  <si>
    <t>Shakti Pumps (India) Ltd.</t>
  </si>
  <si>
    <t>INE908D01010</t>
  </si>
  <si>
    <t>Hindalco Industries Ltd.</t>
  </si>
  <si>
    <t>INE038A01020</t>
  </si>
  <si>
    <t>Non - Ferrous Metals</t>
  </si>
  <si>
    <t>ICICI Lombard General Insurance Co. Ltd.</t>
  </si>
  <si>
    <t>INE765G01017</t>
  </si>
  <si>
    <t>Ultratech Cement Ltd.</t>
  </si>
  <si>
    <t>INE481G01011</t>
  </si>
  <si>
    <t>Cement &amp; Cement Products</t>
  </si>
  <si>
    <t>MAS Financial Services Ltd.</t>
  </si>
  <si>
    <t>INE348L01012</t>
  </si>
  <si>
    <t>IPCA Laboratories Ltd.</t>
  </si>
  <si>
    <t>INE571A01038</t>
  </si>
  <si>
    <t>Tata Consumer Products Ltd.</t>
  </si>
  <si>
    <t>INE192A01025</t>
  </si>
  <si>
    <t>Agricultural Food &amp; other Products</t>
  </si>
  <si>
    <t>Orkla India Ltd.</t>
  </si>
  <si>
    <t>INE16NZ01023</t>
  </si>
  <si>
    <t>Manorama Industries Ltd.</t>
  </si>
  <si>
    <t>INE00VM01036</t>
  </si>
  <si>
    <t>SRF Ltd.</t>
  </si>
  <si>
    <t>INE647A01010</t>
  </si>
  <si>
    <t>Chemicals &amp; Petrochemicals</t>
  </si>
  <si>
    <t>Bharat Bijlee Ltd.</t>
  </si>
  <si>
    <t>INE464A01036</t>
  </si>
  <si>
    <t>Oracle Financial Services Software Ltd.</t>
  </si>
  <si>
    <t>INE881D01027</t>
  </si>
  <si>
    <t>Techno Electric &amp; Engineering Co. Ltd.</t>
  </si>
  <si>
    <t>INE285K01026</t>
  </si>
  <si>
    <t>Swaraj Engines Ltd.</t>
  </si>
  <si>
    <t>INE277A01016</t>
  </si>
  <si>
    <t>Bharti Hexacom Ltd.</t>
  </si>
  <si>
    <t>INE343G01021</t>
  </si>
  <si>
    <t>InterGlobe Aviation Ltd.</t>
  </si>
  <si>
    <t>INE646L01027</t>
  </si>
  <si>
    <t>SBI Cards &amp; Payment Services Ltd.</t>
  </si>
  <si>
    <t>INE018E01016</t>
  </si>
  <si>
    <t>Tata Communications Ltd.</t>
  </si>
  <si>
    <t>INE151A01013</t>
  </si>
  <si>
    <t>Mahanagar Gas Ltd.</t>
  </si>
  <si>
    <t>INE002S01010</t>
  </si>
  <si>
    <t>Abbott India Ltd.</t>
  </si>
  <si>
    <t>INE358A01014</t>
  </si>
  <si>
    <t>Creditaccess Grameen Ltd.</t>
  </si>
  <si>
    <t>INE741K01010</t>
  </si>
  <si>
    <t>Isgec Heavy Engineering Ltd.</t>
  </si>
  <si>
    <t>INE858B01029</t>
  </si>
  <si>
    <t>Birla Corporation Ltd.</t>
  </si>
  <si>
    <t>INE340A01012</t>
  </si>
  <si>
    <t>Aditya Birla Capital Ltd.</t>
  </si>
  <si>
    <t>INE674K01013</t>
  </si>
  <si>
    <t>Tech Mahindra Ltd.</t>
  </si>
  <si>
    <t>INE669C01036</t>
  </si>
  <si>
    <t>MOIL Ltd.</t>
  </si>
  <si>
    <t>INE490G01020</t>
  </si>
  <si>
    <t>Minerals &amp; Mining</t>
  </si>
  <si>
    <t>Grasim Industries Ltd.</t>
  </si>
  <si>
    <t>INE047A01021</t>
  </si>
  <si>
    <t>L&amp;T Technology Services Ltd.</t>
  </si>
  <si>
    <t>INE010V01017</t>
  </si>
  <si>
    <t>IT - Services</t>
  </si>
  <si>
    <t>Torrent Pharmaceuticals Ltd.</t>
  </si>
  <si>
    <t>INE685A01028</t>
  </si>
  <si>
    <t>Godfrey Phillips India Ltd.</t>
  </si>
  <si>
    <t>INE260B01028</t>
  </si>
  <si>
    <t>Cigarettes &amp; Tobacco Products</t>
  </si>
  <si>
    <t>Power Grid Corporation of India Ltd.</t>
  </si>
  <si>
    <t>INE752E01010</t>
  </si>
  <si>
    <t>Gabriel India Ltd.</t>
  </si>
  <si>
    <t>INE524A01029</t>
  </si>
  <si>
    <t>Apollo Hospitals Enterprise Ltd.</t>
  </si>
  <si>
    <t>INE437A01024</t>
  </si>
  <si>
    <t>Healthcare Services</t>
  </si>
  <si>
    <t>TVS Holdings Ltd.</t>
  </si>
  <si>
    <t>INE105A01035</t>
  </si>
  <si>
    <t>JK Cement Ltd.</t>
  </si>
  <si>
    <t>INE823G01014</t>
  </si>
  <si>
    <t>CRISIL Ltd.</t>
  </si>
  <si>
    <t>INE007A01025</t>
  </si>
  <si>
    <t>Cholamandalam Investment &amp; Fin Co Ltd.</t>
  </si>
  <si>
    <t>INE121A01024</t>
  </si>
  <si>
    <t>K.P.R. Mill Ltd.</t>
  </si>
  <si>
    <t>INE930H01031</t>
  </si>
  <si>
    <t>Textiles &amp; Apparels</t>
  </si>
  <si>
    <t>Sundram Fasteners Ltd.</t>
  </si>
  <si>
    <t>INE387A01021</t>
  </si>
  <si>
    <t>HCL Technologies Ltd.</t>
  </si>
  <si>
    <t>INE860A01027</t>
  </si>
  <si>
    <t>Endurance Technologies Ltd.</t>
  </si>
  <si>
    <t>INE913H01037</t>
  </si>
  <si>
    <t>Divi's Laboratories Ltd.</t>
  </si>
  <si>
    <t>INE361B01024</t>
  </si>
  <si>
    <t>Pfizer Ltd.</t>
  </si>
  <si>
    <t>INE182A01018</t>
  </si>
  <si>
    <t>Mphasis Ltd.</t>
  </si>
  <si>
    <t>INE356A01018</t>
  </si>
  <si>
    <t>Godrej Properties Ltd.</t>
  </si>
  <si>
    <t>INE484J01027</t>
  </si>
  <si>
    <t>Prestige Estates Projects Ltd.</t>
  </si>
  <si>
    <t>INE811K01011</t>
  </si>
  <si>
    <t>Karur Vysya Bank Ltd.</t>
  </si>
  <si>
    <t>INE036D01028</t>
  </si>
  <si>
    <t>DCB Bank Ltd.</t>
  </si>
  <si>
    <t>INE503A01015</t>
  </si>
  <si>
    <t>JK Lakshmi Cement Ltd.</t>
  </si>
  <si>
    <t>INE786A01032</t>
  </si>
  <si>
    <t>360 One Wam Ltd.</t>
  </si>
  <si>
    <t>INE466L01038</t>
  </si>
  <si>
    <t>Capital Markets</t>
  </si>
  <si>
    <t>Tata Motors Ltd.</t>
  </si>
  <si>
    <t>INE1TAE01010</t>
  </si>
  <si>
    <t>Agricultural, Commercial &amp; Construction Vehicles</t>
  </si>
  <si>
    <t>Hindustan Aeronautics Ltd.</t>
  </si>
  <si>
    <t>INE066F01020</t>
  </si>
  <si>
    <t>Jindal Stainless Ltd.</t>
  </si>
  <si>
    <t>INE220G01021</t>
  </si>
  <si>
    <t>$0.00%</t>
  </si>
  <si>
    <t>7.18% Government of India</t>
  </si>
  <si>
    <t>IN0020230077</t>
  </si>
  <si>
    <t>7.26% Government of India</t>
  </si>
  <si>
    <t>IN0020220060</t>
  </si>
  <si>
    <t>7.54% Government of India</t>
  </si>
  <si>
    <t>IN0020220029</t>
  </si>
  <si>
    <t>7.55% Indian Railway Finance Corporation Ltd. **</t>
  </si>
  <si>
    <t>INE053F07BX7</t>
  </si>
  <si>
    <t>$ Less Than 0.01% of Net Asset Value</t>
  </si>
  <si>
    <t>Total outstanding position(as at 30 April 2026 ) in Derivative Instruments(Gross National) 12398.63 lacs.</t>
  </si>
  <si>
    <t>Total percentage of existing assets hedge through futures is 18.21%.</t>
  </si>
  <si>
    <t>•Capital appreciation over a long period of time</t>
  </si>
  <si>
    <t>As per AMFI Tier I Benchmark i . e . Nifty 50
Hybrid Composite Debt 50:50 Index</t>
  </si>
  <si>
    <t>•Investments in a dynamically managed portfolio of equity and equity related instruments, debt and money market instruments</t>
  </si>
  <si>
    <t>Onesource Specialty Pharma Ltd.</t>
  </si>
  <si>
    <t>INE013P01021</t>
  </si>
  <si>
    <t>Azad Engineering Ltd.</t>
  </si>
  <si>
    <t>INE02IJ01035</t>
  </si>
  <si>
    <t>MRS Bectors Food Specialities Ltd.</t>
  </si>
  <si>
    <t>INE495P01020</t>
  </si>
  <si>
    <t>Eureka Forbes Ltd.</t>
  </si>
  <si>
    <t>INE0KCE01017</t>
  </si>
  <si>
    <t>Piramal Pharma Ltd.</t>
  </si>
  <si>
    <t>INE0DK501011</t>
  </si>
  <si>
    <t>TVS Motor Company Ltd.</t>
  </si>
  <si>
    <t>INE494B01023</t>
  </si>
  <si>
    <t>Fortis Healthcare Ltd.</t>
  </si>
  <si>
    <t>INE061F01013</t>
  </si>
  <si>
    <t>ITC Hotels Ltd.</t>
  </si>
  <si>
    <t>INE379A01028</t>
  </si>
  <si>
    <t>Leisure Services</t>
  </si>
  <si>
    <t>Sansera Engineering Ltd.</t>
  </si>
  <si>
    <t>INE953O01021</t>
  </si>
  <si>
    <t>Arvind Fashions Ltd.</t>
  </si>
  <si>
    <t>INE955V01021</t>
  </si>
  <si>
    <t>GE Vernova T&amp;D India Limited</t>
  </si>
  <si>
    <t>INE200A01026</t>
  </si>
  <si>
    <t>KEI Industries Ltd.</t>
  </si>
  <si>
    <t>INE878B01027</t>
  </si>
  <si>
    <t>Multi Commodity Exchange Of India Ltd.</t>
  </si>
  <si>
    <t>INE745G01043</t>
  </si>
  <si>
    <t>VARUN BEVERAGES LIMITED</t>
  </si>
  <si>
    <t>INE200M01039</t>
  </si>
  <si>
    <t>Beverages</t>
  </si>
  <si>
    <t>Avalon Technologies Ltd.</t>
  </si>
  <si>
    <t>INE0LCL01028</t>
  </si>
  <si>
    <t>Schaeffler India Ltd.</t>
  </si>
  <si>
    <t>INE513A01022</t>
  </si>
  <si>
    <t>One 97 Communications Ltd.</t>
  </si>
  <si>
    <t>INE982J01020</t>
  </si>
  <si>
    <t>Financial Technology (Fintech)</t>
  </si>
  <si>
    <t>LG Electronics India Ltd.</t>
  </si>
  <si>
    <t>INE324D01010</t>
  </si>
  <si>
    <t>KPIT Technologies Ltd.</t>
  </si>
  <si>
    <t>INE04I401011</t>
  </si>
  <si>
    <t>Muthoot Finance Ltd.</t>
  </si>
  <si>
    <t>INE414G01012</t>
  </si>
  <si>
    <t>Vishal Mega Mart Ltd</t>
  </si>
  <si>
    <t>INE01EA01019</t>
  </si>
  <si>
    <t>Afcons Infrastructure Ltd.</t>
  </si>
  <si>
    <t>INE101I01011</t>
  </si>
  <si>
    <t>Samvardhana Motherson International Ltd.</t>
  </si>
  <si>
    <t>INE775A01035</t>
  </si>
  <si>
    <t>7.7% State Government of Karnataka</t>
  </si>
  <si>
    <t>IN1920230068</t>
  </si>
  <si>
    <t>7.73% State Government of Karnataka</t>
  </si>
  <si>
    <t>IN1920230084</t>
  </si>
  <si>
    <t>IN000631C043</t>
  </si>
  <si>
    <t>7.9015% Aditya Birla Housing Finance Ltd. **</t>
  </si>
  <si>
    <t>INE831R07565</t>
  </si>
  <si>
    <t>IN2220230204</t>
  </si>
  <si>
    <t>7.725% Larsen &amp; Toubro Ltd. **</t>
  </si>
  <si>
    <t>INE018A08BE9</t>
  </si>
  <si>
    <t>• Long term capital appreciation with current income</t>
  </si>
  <si>
    <t>As per AMFI Tier I Benchmark i.e. CRISIL Hybrid 
35+65 Aggressive Index</t>
  </si>
  <si>
    <t>• A fund that invests both in stocks and fixed income instruments.</t>
  </si>
  <si>
    <t>IIFL Finance Ltd.</t>
  </si>
  <si>
    <t>INE530B01024</t>
  </si>
  <si>
    <t>Motilal Oswal Financial Services Ltd.</t>
  </si>
  <si>
    <t>INE338I01027</t>
  </si>
  <si>
    <t>Ujjivan Small Finance Bank Ltd.</t>
  </si>
  <si>
    <t>INE551W01018</t>
  </si>
  <si>
    <t>Aadhar Housing Finance Ltd.</t>
  </si>
  <si>
    <t>INE883F01010</t>
  </si>
  <si>
    <t>Computer Age Management Services Ltd.</t>
  </si>
  <si>
    <t>INE596I01020</t>
  </si>
  <si>
    <t>CSB Bank Ltd.</t>
  </si>
  <si>
    <t>INE679A01013</t>
  </si>
  <si>
    <t>Nippon Life India Asset Management Ltd.</t>
  </si>
  <si>
    <t>INE298J01013</t>
  </si>
  <si>
    <t>Five Star Business Finance Ltd.</t>
  </si>
  <si>
    <t>INE128S01021</t>
  </si>
  <si>
    <t>Bajaj Housing Finance Ltd.</t>
  </si>
  <si>
    <t>INE377Y01014</t>
  </si>
  <si>
    <t>HDB Financial Services Ltd.</t>
  </si>
  <si>
    <t>INE756I01012</t>
  </si>
  <si>
    <t>PB Fintech Ltd.</t>
  </si>
  <si>
    <t>INE417T01026</t>
  </si>
  <si>
    <t>SBI Life Insurance Company Ltd.</t>
  </si>
  <si>
    <t>INE123W01016</t>
  </si>
  <si>
    <t>AU Small Finance Bank Ltd.</t>
  </si>
  <si>
    <t>INE949L01017</t>
  </si>
  <si>
    <t>KFIN Technologies Ltd.</t>
  </si>
  <si>
    <t>INE138Y01010</t>
  </si>
  <si>
    <t>Aditya Birla Sun Life AMC Ltd.</t>
  </si>
  <si>
    <t>INE404A01024</t>
  </si>
  <si>
    <t>•Capital appreciation over long term.</t>
  </si>
  <si>
    <t>As per AMFI Tier I Benchmark i.e. Nifty Financial Services TRI</t>
  </si>
  <si>
    <t>•Investing predominantly in portfolio of equity and equity related securities of companies engaged in banking and financial services.</t>
  </si>
  <si>
    <t>Neuland Laboratories Ltd.</t>
  </si>
  <si>
    <t>INE794A01010</t>
  </si>
  <si>
    <t>Hitachi Energy India Ltd.</t>
  </si>
  <si>
    <t>INE07Y701011</t>
  </si>
  <si>
    <t>KSH International Ltd.</t>
  </si>
  <si>
    <t>INE987S01020</t>
  </si>
  <si>
    <t>Apar Industries Ltd.</t>
  </si>
  <si>
    <t>INE372A01015</t>
  </si>
  <si>
    <t>Siemens Energy India Ltd.</t>
  </si>
  <si>
    <t>INE1NPP01017</t>
  </si>
  <si>
    <t>Coromandel International Ltd.</t>
  </si>
  <si>
    <t>INE169A01031</t>
  </si>
  <si>
    <t>Fertilizers &amp; Agrochemicals</t>
  </si>
  <si>
    <t>VA Tech Wabag Ltd.</t>
  </si>
  <si>
    <t>INE956G01038</t>
  </si>
  <si>
    <t>Other Utilities</t>
  </si>
  <si>
    <t>Affle 3i Ltd.</t>
  </si>
  <si>
    <t>INE00WC01027</t>
  </si>
  <si>
    <t>Chalet Hotels Ltd.</t>
  </si>
  <si>
    <t>INE427F01016</t>
  </si>
  <si>
    <t>International Gemmological Inst Ind Ltd.</t>
  </si>
  <si>
    <t>INE0Q9301021</t>
  </si>
  <si>
    <t>Commercial Services &amp; Supplies</t>
  </si>
  <si>
    <t>BEML Ltd.</t>
  </si>
  <si>
    <t>INE258A01024</t>
  </si>
  <si>
    <t>Vinati Organics Ltd.</t>
  </si>
  <si>
    <t>INE410B01037</t>
  </si>
  <si>
    <t>Alkem Laboratories Ltd.</t>
  </si>
  <si>
    <t>INE540L01014</t>
  </si>
  <si>
    <t>Kirloskar Oil Engines Ltd.</t>
  </si>
  <si>
    <t>INE146L01010</t>
  </si>
  <si>
    <t>Radico Khaitan Ltd.</t>
  </si>
  <si>
    <t>INE944F01028</t>
  </si>
  <si>
    <t>The Federal Bank Ltd.</t>
  </si>
  <si>
    <t>INE171A01029</t>
  </si>
  <si>
    <t>Metro Brands Ltd.</t>
  </si>
  <si>
    <t>INE317I01021</t>
  </si>
  <si>
    <t>Bikaji Foods International Ltd.</t>
  </si>
  <si>
    <t>INE00E101023</t>
  </si>
  <si>
    <t>BSE Ltd.</t>
  </si>
  <si>
    <t>INE118H01025</t>
  </si>
  <si>
    <t>Linde India Ltd.</t>
  </si>
  <si>
    <t>INE473A01011</t>
  </si>
  <si>
    <t>Artemis Medicare Services Ltd.</t>
  </si>
  <si>
    <t>INE025R01021</t>
  </si>
  <si>
    <t>Wendt India Ltd.</t>
  </si>
  <si>
    <t>INE274C01019</t>
  </si>
  <si>
    <t>REC Ltd.</t>
  </si>
  <si>
    <t>INE020B01018</t>
  </si>
  <si>
    <t>•Long term capital appreciation and current income</t>
  </si>
  <si>
    <t>As per AMFI Tier I Benchmark i.e. CRISIL Hybrid 
35+65 - Aggressive Index</t>
  </si>
  <si>
    <t>•A fund that invests both in stocks and fixed income instruments.</t>
  </si>
  <si>
    <t>Allied Blenders And Distillers Ltd.</t>
  </si>
  <si>
    <t>INE552Z01027</t>
  </si>
  <si>
    <t>Pidilite Industries Ltd.</t>
  </si>
  <si>
    <t>INE318A01026</t>
  </si>
  <si>
    <t>The Indian Hotels Company Ltd.</t>
  </si>
  <si>
    <t>INE053A01029</t>
  </si>
  <si>
    <t>Marico Ltd.</t>
  </si>
  <si>
    <t>INE196A01026</t>
  </si>
  <si>
    <t>Metropolis Healthcare Ltd.</t>
  </si>
  <si>
    <t>INE112L01020</t>
  </si>
  <si>
    <t>Ethos Ltd.</t>
  </si>
  <si>
    <t>INE04TZ01018</t>
  </si>
  <si>
    <t>HDFC Asset Management Company Ltd.</t>
  </si>
  <si>
    <t>INE127D01025</t>
  </si>
  <si>
    <t>CCL Products (India) Ltd.</t>
  </si>
  <si>
    <t>INE421D01022</t>
  </si>
  <si>
    <t>Colgate Palmolive (India) Ltd.</t>
  </si>
  <si>
    <t>INE259A01022</t>
  </si>
  <si>
    <t>Personal Products</t>
  </si>
  <si>
    <t>Safari Industries India Ltd.</t>
  </si>
  <si>
    <t>INE429E01023</t>
  </si>
  <si>
    <t>Britannia Industries Ltd.</t>
  </si>
  <si>
    <t>INE216A01030</t>
  </si>
  <si>
    <t>Emami Ltd.</t>
  </si>
  <si>
    <t>INE548C01032</t>
  </si>
  <si>
    <t>Gillette India Ltd.</t>
  </si>
  <si>
    <t>INE322A01010</t>
  </si>
  <si>
    <t>Blue Star Ltd.</t>
  </si>
  <si>
    <t>INE472A01039</t>
  </si>
  <si>
    <t>Hero MotoCorp Ltd.</t>
  </si>
  <si>
    <t>INE158A01026</t>
  </si>
  <si>
    <t>V-Mart Retail Ltd.</t>
  </si>
  <si>
    <t>INE665J01013</t>
  </si>
  <si>
    <t>Hyundai Motor India Ltd.</t>
  </si>
  <si>
    <t>INE0V6F01027</t>
  </si>
  <si>
    <t xml:space="preserve">•Capital appreciation over Long term </t>
  </si>
  <si>
    <t>As per AMFI Tier 1 Benchmark Riskometer i.e.
Nifty India Consumption Total Return Index (TRI)</t>
  </si>
  <si>
    <t>•Investment predominantly in equity and equity related instruments of companies following comsumption theme</t>
  </si>
  <si>
    <t>Dee Development Engineers Ltd.</t>
  </si>
  <si>
    <t>INE841L01016</t>
  </si>
  <si>
    <t>Industrial Manufacturing</t>
  </si>
  <si>
    <t>Bajaj Auto Ltd.</t>
  </si>
  <si>
    <t>INE917I01010</t>
  </si>
  <si>
    <t>Oil India Ltd.</t>
  </si>
  <si>
    <t>INE274J01014</t>
  </si>
  <si>
    <t>EIH Ltd.</t>
  </si>
  <si>
    <t>INE230A01023</t>
  </si>
  <si>
    <t>Cholamandalam Financial Holdings Ltd.</t>
  </si>
  <si>
    <t>INE149A01033</t>
  </si>
  <si>
    <t>Gujarat Gas Ltd.</t>
  </si>
  <si>
    <t>INE844O01030</t>
  </si>
  <si>
    <t>Anthem Biosciences Ltd.</t>
  </si>
  <si>
    <t>INE0CZ201020</t>
  </si>
  <si>
    <t>TD Power Systems Ltd.</t>
  </si>
  <si>
    <t>INE419M01027</t>
  </si>
  <si>
    <t>Surya Roshni Ltd.</t>
  </si>
  <si>
    <t>INE335A01020</t>
  </si>
  <si>
    <t>Sundaram Finance Ltd.</t>
  </si>
  <si>
    <t>INE660A01013</t>
  </si>
  <si>
    <t>Saregama India Ltd.</t>
  </si>
  <si>
    <t>INE979A01025</t>
  </si>
  <si>
    <t>Entertainment</t>
  </si>
  <si>
    <t>Pricol Ltd.</t>
  </si>
  <si>
    <t>INE726V01018</t>
  </si>
  <si>
    <t>RHI Magnesita India Ltd.</t>
  </si>
  <si>
    <t>INE743M01012</t>
  </si>
  <si>
    <t>Ratnamani Metals &amp; Tubes Ltd.</t>
  </si>
  <si>
    <t>INE703B01027</t>
  </si>
  <si>
    <t>Maharashtra Seamless Ltd.</t>
  </si>
  <si>
    <t>INE271B01025</t>
  </si>
  <si>
    <t>Divgi Torqtransfer Systems Ltd.</t>
  </si>
  <si>
    <t>INE753U01022</t>
  </si>
  <si>
    <t>•Long term capital appreciation</t>
  </si>
  <si>
    <t>As per AMFI Tier I Benchmark i.e. NIFTY 500 TRI</t>
  </si>
  <si>
    <t>•Investment predominantly in dividend yielding equity and equity related instruments.</t>
  </si>
  <si>
    <t>Glenmark Pharmaceuticals Ltd.</t>
  </si>
  <si>
    <t>INE935A01035</t>
  </si>
  <si>
    <t>Navin Fluorine International Ltd.</t>
  </si>
  <si>
    <t>INE048G01026</t>
  </si>
  <si>
    <t>Cipla Ltd.</t>
  </si>
  <si>
    <t>INE059A01026</t>
  </si>
  <si>
    <t>Gland Pharma Ltd.</t>
  </si>
  <si>
    <t>INE068V01023</t>
  </si>
  <si>
    <t>Concord Biotech Ltd.</t>
  </si>
  <si>
    <t>INE338H01029</t>
  </si>
  <si>
    <t>Mankind Pharma Ltd.</t>
  </si>
  <si>
    <t>INE634S01028</t>
  </si>
  <si>
    <t>Dr Agarwal's Health Care Ltd.</t>
  </si>
  <si>
    <t>INE943P01029</t>
  </si>
  <si>
    <t>Global Health Ltd.</t>
  </si>
  <si>
    <t>INE474Q01031</t>
  </si>
  <si>
    <t>Max Healthcare Institute Ltd.</t>
  </si>
  <si>
    <t>INE027H01010</t>
  </si>
  <si>
    <t>Acutaas Chemicals Ltd.</t>
  </si>
  <si>
    <t>INE00FF01025</t>
  </si>
  <si>
    <t>As per AMFI Tier I Benchmark i.e. BSE Health Care TRI</t>
  </si>
  <si>
    <t>•Investment predominantly in equity and equity related instruments of companies engaged in Healthcare &amp; Allied Sectors</t>
  </si>
  <si>
    <t>UNO Minda Ltd.</t>
  </si>
  <si>
    <t>INE405E01023</t>
  </si>
  <si>
    <t>Torrent Power Ltd.</t>
  </si>
  <si>
    <t>INE813H01021</t>
  </si>
  <si>
    <t>PI Industries Ltd.</t>
  </si>
  <si>
    <t>INE603J01030</t>
  </si>
  <si>
    <t>APL Apollo Tubes Ltd.</t>
  </si>
  <si>
    <t>INE702C01027</t>
  </si>
  <si>
    <t>Persistent Systems Ltd.</t>
  </si>
  <si>
    <t>INE262H01021</t>
  </si>
  <si>
    <t>Mahindra &amp; Mahindra Financial Serv Ltd.</t>
  </si>
  <si>
    <t>INE774D01024</t>
  </si>
  <si>
    <t>Deepak Nitrite Ltd.</t>
  </si>
  <si>
    <t>INE288B01029</t>
  </si>
  <si>
    <t>Lenskart Solutions Ltd.</t>
  </si>
  <si>
    <t>INE956O01016</t>
  </si>
  <si>
    <t>Voltas Ltd.</t>
  </si>
  <si>
    <t>INE226A01021</t>
  </si>
  <si>
    <t>Suzlon Energy Ltd.</t>
  </si>
  <si>
    <t>INE040H01021</t>
  </si>
  <si>
    <t>Balkrishna Industries Ltd.</t>
  </si>
  <si>
    <t>INE787D01026</t>
  </si>
  <si>
    <t>Piramal Finance Ltd.</t>
  </si>
  <si>
    <t>INE202B01038</t>
  </si>
  <si>
    <t>Jubilant Foodworks Ltd.</t>
  </si>
  <si>
    <t>INE797F01020</t>
  </si>
  <si>
    <t>Dixon Technologies (India) Ltd.</t>
  </si>
  <si>
    <t>INE935N01020</t>
  </si>
  <si>
    <t>Bharat Dynamics Ltd.</t>
  </si>
  <si>
    <t>INE171Z01026</t>
  </si>
  <si>
    <t>Oberoi Realty Ltd.</t>
  </si>
  <si>
    <t>INE093I01010</t>
  </si>
  <si>
    <t>Honeywell Automation India Ltd.</t>
  </si>
  <si>
    <t>INE671A01010</t>
  </si>
  <si>
    <t>As per AMFI Tier I Benchmark i.e. Nifty Midcap 150 TRI</t>
  </si>
  <si>
    <t>•Investment predominantly in equity and equity related instruments of Midcap companies.</t>
  </si>
  <si>
    <t>National Aluminium Company Ltd.</t>
  </si>
  <si>
    <t>INE139A01034</t>
  </si>
  <si>
    <t>Ashok Leyland Ltd.</t>
  </si>
  <si>
    <t>INE208A01029</t>
  </si>
  <si>
    <t>ABB India Ltd.</t>
  </si>
  <si>
    <t>INE117A01022</t>
  </si>
  <si>
    <t>United Spirits Ltd.</t>
  </si>
  <si>
    <t>INE854D01024</t>
  </si>
  <si>
    <t>FSN E-Commerce Ventures Ltd.</t>
  </si>
  <si>
    <t>INE388Y01029</t>
  </si>
  <si>
    <t>Siemens Ltd.</t>
  </si>
  <si>
    <t>INE003A01024</t>
  </si>
  <si>
    <t>Tube Investments Of India Ltd.</t>
  </si>
  <si>
    <t>INE974X01010</t>
  </si>
  <si>
    <t>Carraro India Ltd.</t>
  </si>
  <si>
    <t>INE0V7W01012</t>
  </si>
  <si>
    <t>Total outstanding position(as at 30 April 2026 ) in Derivative Instruments(Gross National) 1286.65 lacs.</t>
  </si>
  <si>
    <t>Total percentage of existing assets hedge through futures is 37.94%.</t>
  </si>
  <si>
    <t>• Regular Income &amp; Capital appreciation over Medium to Long term.</t>
  </si>
  <si>
    <t>As per AMFI Tier IBenchmark i.e. Nifty Equity 
Savings Index</t>
  </si>
  <si>
    <t>• Investment in equity and equity related instruments including equity derivatives, 
arbitrage and debt and money market instruments.</t>
  </si>
  <si>
    <t>The Phoenix Mills Ltd.</t>
  </si>
  <si>
    <t>INE211B01039</t>
  </si>
  <si>
    <t>Syrma Sgs Technology Ltd.</t>
  </si>
  <si>
    <t>INE0DYJ01015</t>
  </si>
  <si>
    <t>Coforge Ltd.</t>
  </si>
  <si>
    <t>INE591G01025</t>
  </si>
  <si>
    <t>Navkar Corporation Ltd.</t>
  </si>
  <si>
    <t>INE278M01019</t>
  </si>
  <si>
    <t>As per AMFI Tier I Benchmark i.e. Nifty 500 TRI</t>
  </si>
  <si>
    <t>•Investing across Large, Mid &amp; Small Cap stocks.</t>
  </si>
  <si>
    <t>Schneider Electric Infrastructure Ltd.</t>
  </si>
  <si>
    <t>INE839M01018</t>
  </si>
  <si>
    <t>KSB Ltd.</t>
  </si>
  <si>
    <t>INE999A01023</t>
  </si>
  <si>
    <t>Motherson Sumi Wiring India Ltd.</t>
  </si>
  <si>
    <t>INE0FS801015</t>
  </si>
  <si>
    <t>Transport Corporation Of India Ltd.</t>
  </si>
  <si>
    <t>INE688A01022</t>
  </si>
  <si>
    <t>Aeroflex Industries Ltd.</t>
  </si>
  <si>
    <t>INE024001021</t>
  </si>
  <si>
    <t>Kennametal India Ltd.</t>
  </si>
  <si>
    <t>INE717A01029</t>
  </si>
  <si>
    <t>Hindustan Foods Ltd.</t>
  </si>
  <si>
    <t>INE254N01026</t>
  </si>
  <si>
    <t>Vidya Wires Ltd.</t>
  </si>
  <si>
    <t>INE14UN01029</t>
  </si>
  <si>
    <t>Ingersoll Rand (India) Ltd.</t>
  </si>
  <si>
    <t>INE177A01018</t>
  </si>
  <si>
    <t>Mahindra Lifespace Developers Ltd.</t>
  </si>
  <si>
    <t>INE813A01018</t>
  </si>
  <si>
    <t>ZF Commercial Vehicle Ctrl Sys Ind Ltd.</t>
  </si>
  <si>
    <t>INE342J01019</t>
  </si>
  <si>
    <t>Campus Activewear Ltd.</t>
  </si>
  <si>
    <t>INE278Y01022</t>
  </si>
  <si>
    <t>Gujarat State Petronet Ltd.</t>
  </si>
  <si>
    <t>INE246F01010</t>
  </si>
  <si>
    <t>SKF India (Industrial) Ltd.</t>
  </si>
  <si>
    <t>INE2J8701016</t>
  </si>
  <si>
    <t>SP Apparels Ltd.</t>
  </si>
  <si>
    <t>INE212I01016</t>
  </si>
  <si>
    <t>Galaxy Surfactants Ltd.</t>
  </si>
  <si>
    <t>INE600K01018</t>
  </si>
  <si>
    <t>EID Parry India Ltd.</t>
  </si>
  <si>
    <t>INE126A01031</t>
  </si>
  <si>
    <t>City Union Bank Ltd.</t>
  </si>
  <si>
    <t>INE491A01021</t>
  </si>
  <si>
    <t>Arvind Ltd.</t>
  </si>
  <si>
    <t>INE034A01011</t>
  </si>
  <si>
    <t>Greenpanel Industries Ltd.</t>
  </si>
  <si>
    <t>INE08ZM01014</t>
  </si>
  <si>
    <t>JSW Infrastructure Ltd.</t>
  </si>
  <si>
    <t>INE880J01026</t>
  </si>
  <si>
    <t>As per AMFI Tier I Benchmark i.e. Nifty Smallcap 
250 TRI</t>
  </si>
  <si>
    <t>•Investment predominantly in equity and equity related instruments of Smallcap companies.</t>
  </si>
  <si>
    <t>Suprajit Engineering Ltd.</t>
  </si>
  <si>
    <t>INE399C01030</t>
  </si>
  <si>
    <t>Foseco India Ltd.</t>
  </si>
  <si>
    <t>INE519A01011</t>
  </si>
  <si>
    <t>• Investment in equity &amp; equity related instruments of up to 30 companies across market capitalization</t>
  </si>
  <si>
    <t>LIC Mutual Fund</t>
  </si>
  <si>
    <t>INF767K01SM1</t>
  </si>
  <si>
    <t>•To replicate returns of LICMF Gold Exchange Traded Fund with at least medium term horizon</t>
  </si>
  <si>
    <t>Benchmark i . e . Domestic Price of Gold</t>
  </si>
  <si>
    <t>•Investments in units of LIC MF Gold ETF / Money Market Instruments/ LIC MF Liquid Fund Scheme</t>
  </si>
  <si>
    <t>Gold</t>
  </si>
  <si>
    <t>BSE Symbol:533719</t>
  </si>
  <si>
    <t>NSE Symbol:LICMFGOLD</t>
  </si>
  <si>
    <t>• To replicate the performance of gold in domestic prices with at least medium term horizon.</t>
  </si>
  <si>
    <t>• Investments in physical gold and gold related instruments / debt &amp; money market instruments.</t>
  </si>
  <si>
    <t>Central Mine Planning &amp; Design Inst Ltd.</t>
  </si>
  <si>
    <t>INE05HV01027</t>
  </si>
  <si>
    <t>Derivative</t>
  </si>
  <si>
    <t>Index / Stock Option</t>
  </si>
  <si>
    <t>PUT NIFTY 26-May-2026 23500</t>
  </si>
  <si>
    <t>•Long Term Capital Appreciation</t>
  </si>
  <si>
    <t>As per AMFI Tier I Benchmark i.e NIFTY 100 TRI</t>
  </si>
  <si>
    <t>•A Fund that primarily invest in large-cap stock.</t>
  </si>
  <si>
    <t>NLC India Ltd.</t>
  </si>
  <si>
    <t>INE589A01014</t>
  </si>
  <si>
    <t>Cummins India Ltd.</t>
  </si>
  <si>
    <t>INE298A01020</t>
  </si>
  <si>
    <t>Tenneco Clean Air India Ltd.</t>
  </si>
  <si>
    <t>INE19RI01016</t>
  </si>
  <si>
    <t>Kirloskar Ferrous Industries Ltd.</t>
  </si>
  <si>
    <t>INE884B01025</t>
  </si>
  <si>
    <t>Thermax Ltd.</t>
  </si>
  <si>
    <t>INE152A01029</t>
  </si>
  <si>
    <t>Blue Dart Express Ltd.</t>
  </si>
  <si>
    <t>INE233B01017</t>
  </si>
  <si>
    <t>Vesuvius India Ltd.</t>
  </si>
  <si>
    <t>INE386A01023</t>
  </si>
  <si>
    <t>•Long Term Capital Growth</t>
  </si>
  <si>
    <t>As per AMFI Tier I  Benchmark i.e. Nifty Infrastructure TRI</t>
  </si>
  <si>
    <t>•Investment in equity and equity related instruments of companies engaged either directly or indirectly in infrastructure sector.</t>
  </si>
  <si>
    <t>Adani Ports &amp; Special Economic Zone Ltd.</t>
  </si>
  <si>
    <t>INE742F01042</t>
  </si>
  <si>
    <t>JSW Steel Ltd.</t>
  </si>
  <si>
    <t>INE019A01038</t>
  </si>
  <si>
    <t>Coal India Ltd.</t>
  </si>
  <si>
    <t>INE522F01014</t>
  </si>
  <si>
    <t>Consumable Fuels</t>
  </si>
  <si>
    <t>Dr. Reddy's Laboratories Ltd.</t>
  </si>
  <si>
    <t>INE089A01031</t>
  </si>
  <si>
    <t>Adani Enterprises Ltd.</t>
  </si>
  <si>
    <t>INE423A01024</t>
  </si>
  <si>
    <t>Metals &amp; Minerals Trading</t>
  </si>
  <si>
    <t>Wipro Ltd.</t>
  </si>
  <si>
    <t>INE075A01022</t>
  </si>
  <si>
    <t>NIFTY 50 TRI</t>
  </si>
  <si>
    <t>•Investment in equity instrument of respective index stocks subject to tracking error.</t>
  </si>
  <si>
    <t>BSE Sensex Index</t>
  </si>
  <si>
    <t>•Investment in equity instrument of BSE Sensex index stocks subject to tracking error.</t>
  </si>
  <si>
    <t>Mastek Ltd.</t>
  </si>
  <si>
    <t>INE759A01021</t>
  </si>
  <si>
    <t>Gokaldas Exports Ltd.</t>
  </si>
  <si>
    <t>INE887G01027</t>
  </si>
  <si>
    <t>Triveni Engineering &amp; Industries Ltd.</t>
  </si>
  <si>
    <t>INE256C01024</t>
  </si>
  <si>
    <t>Ajanta Pharma Ltd.</t>
  </si>
  <si>
    <t>INE031B01049</t>
  </si>
  <si>
    <t>•Long term capital appreciation.</t>
  </si>
  <si>
    <t>•Investment in equity and equity related instruments by following value investment strategy.</t>
  </si>
  <si>
    <t>Shree Cement Ltd.</t>
  </si>
  <si>
    <t>INE070A01015</t>
  </si>
  <si>
    <t>7.7% National Highways Authority of India **</t>
  </si>
  <si>
    <t>INE906B07HH5</t>
  </si>
  <si>
    <t>INE206D08394</t>
  </si>
  <si>
    <t>INE238AD6BJ6</t>
  </si>
  <si>
    <t>Aditya Birla Sun Life Mutual Fund</t>
  </si>
  <si>
    <t>INF209KB19F6</t>
  </si>
  <si>
    <t>•Capital appreciation over long period of time.</t>
  </si>
  <si>
    <t>65% Nifty 500 TRI + 25% Nifty Composite Debt Index + 10% Price of Domestic Gold</t>
  </si>
  <si>
    <t>•Investments in a diversified portfolio of equity &amp; equity related instruments, Debt &amp; Money Market Instruments and Units of Gold ETFs as per asset allocatopn pattern</t>
  </si>
  <si>
    <t>BSE Symbol:544123</t>
  </si>
  <si>
    <t>NSE Symbol:LICNMID100</t>
  </si>
  <si>
    <t>Lupin Ltd.</t>
  </si>
  <si>
    <t>INE326A01037</t>
  </si>
  <si>
    <t>IDFC First Bank Ltd.</t>
  </si>
  <si>
    <t>INE092T01019</t>
  </si>
  <si>
    <t>Polycab India Ltd.</t>
  </si>
  <si>
    <t>INE455K01017</t>
  </si>
  <si>
    <t>Laurus Labs Ltd.</t>
  </si>
  <si>
    <t>INE947Q01028</t>
  </si>
  <si>
    <t>Info Edge (India) Ltd.</t>
  </si>
  <si>
    <t>INE663F01032</t>
  </si>
  <si>
    <t>Swiggy Ltd.</t>
  </si>
  <si>
    <t>INE00H001014</t>
  </si>
  <si>
    <t>Hindustan Petroleum Corporation Ltd.</t>
  </si>
  <si>
    <t>INE094A01015</t>
  </si>
  <si>
    <t>UPL Ltd.</t>
  </si>
  <si>
    <t>INE628A01036</t>
  </si>
  <si>
    <t>Yes Bank Ltd.</t>
  </si>
  <si>
    <t>INE528G01035</t>
  </si>
  <si>
    <t>NMDC Ltd.</t>
  </si>
  <si>
    <t>INE584A01023</t>
  </si>
  <si>
    <t>JSW Energy Ltd.</t>
  </si>
  <si>
    <t>INE121E01018</t>
  </si>
  <si>
    <t>Indian Bank</t>
  </si>
  <si>
    <t>INE562A01011</t>
  </si>
  <si>
    <t>Havells India Ltd.</t>
  </si>
  <si>
    <t>INE176B01034</t>
  </si>
  <si>
    <t>Waaree Energies Ltd.</t>
  </si>
  <si>
    <t>INE377N01017</t>
  </si>
  <si>
    <t>Vodafone Idea Ltd.</t>
  </si>
  <si>
    <t>INE669E01016</t>
  </si>
  <si>
    <t>Steel Authority of India Ltd.</t>
  </si>
  <si>
    <t>INE114A01011</t>
  </si>
  <si>
    <t>MRF Ltd.</t>
  </si>
  <si>
    <t>INE883A01011</t>
  </si>
  <si>
    <t>NHPC Ltd.</t>
  </si>
  <si>
    <t>INE848E01016</t>
  </si>
  <si>
    <t>Dabur India Ltd.</t>
  </si>
  <si>
    <t>INE016A01026</t>
  </si>
  <si>
    <t>Biocon Ltd.</t>
  </si>
  <si>
    <t>INE376G01013</t>
  </si>
  <si>
    <t>L&amp;T Finance Ltd.</t>
  </si>
  <si>
    <t>INE498L01015</t>
  </si>
  <si>
    <t>Supreme Industries Ltd.</t>
  </si>
  <si>
    <t>INE195A01028</t>
  </si>
  <si>
    <t>Page Industries Ltd.</t>
  </si>
  <si>
    <t>INE761H01022</t>
  </si>
  <si>
    <t>Astral Ltd.</t>
  </si>
  <si>
    <t>INE006I01046</t>
  </si>
  <si>
    <t>Adani Total Gas Ltd.</t>
  </si>
  <si>
    <t>INE399L01023</t>
  </si>
  <si>
    <t>Bank of India</t>
  </si>
  <si>
    <t>INE084A01016</t>
  </si>
  <si>
    <t>Rail Vikas Nigam Ltd.</t>
  </si>
  <si>
    <t>INE415G01027</t>
  </si>
  <si>
    <t>LIC Housing Finance Ltd.</t>
  </si>
  <si>
    <t>INE115A01026</t>
  </si>
  <si>
    <t>Indian Railway Catering &amp;Tou. Corp. Ltd.</t>
  </si>
  <si>
    <t>INE335Y01020</t>
  </si>
  <si>
    <t>Patanjali Foods Ltd.</t>
  </si>
  <si>
    <t>INE619A01035</t>
  </si>
  <si>
    <t>Kalyan Jewellers India Ltd.</t>
  </si>
  <si>
    <t>INE303R01014</t>
  </si>
  <si>
    <t>Cochin Shipyard Ltd.</t>
  </si>
  <si>
    <t>INE704P01025</t>
  </si>
  <si>
    <t>Tata Elxsi Ltd.</t>
  </si>
  <si>
    <t>INE670A01012</t>
  </si>
  <si>
    <t>Billionbrains Garage Ventures Ltd.</t>
  </si>
  <si>
    <t>INE0HOQ01053</t>
  </si>
  <si>
    <t>Premier Energies Ltd.</t>
  </si>
  <si>
    <t>INE0BS701011</t>
  </si>
  <si>
    <t>ICICI Prudential Asset Mgmt Co Ltd.</t>
  </si>
  <si>
    <t>INE346A01027</t>
  </si>
  <si>
    <t>Housing &amp; Urban Development Corp Ltd.</t>
  </si>
  <si>
    <t>INE031A01017</t>
  </si>
  <si>
    <t>Indian Renewable Energy Dev Agency Ltd.</t>
  </si>
  <si>
    <t>INE202E01016</t>
  </si>
  <si>
    <t>Tata Investment Corporation Ltd.</t>
  </si>
  <si>
    <t>INE672A01026</t>
  </si>
  <si>
    <t>•Long term investment.</t>
  </si>
  <si>
    <t>NIFTY MIDCAP 100 TRI</t>
  </si>
  <si>
    <t>•Investment in equity and equity related securities and portfolios replicating the composition of Nifty Midcap 100 Total Returns Index, subject to tracking errors.</t>
  </si>
  <si>
    <t>JB Chemicals &amp; Pharmaceuticals Ltd.</t>
  </si>
  <si>
    <t>INE572A01036</t>
  </si>
  <si>
    <t>•Capital appreciation over long term</t>
  </si>
  <si>
    <t>As per AMFI Tier 1 Benchmark Riskometer i.e.
Nifty India Manufacturing Index (TRI)</t>
  </si>
  <si>
    <t>•Investment predominantly in equity and equity related instruments of companies following manufacturing theme</t>
  </si>
  <si>
    <t>Avenue Supermarts Ltd.</t>
  </si>
  <si>
    <t>INE192R01011</t>
  </si>
  <si>
    <t>Leela Palaces Hotels &amp; Resorts Ltd.</t>
  </si>
  <si>
    <t>INE0AQ201015</t>
  </si>
  <si>
    <r>
      <t>•</t>
    </r>
    <r>
      <rPr>
        <sz val="9"/>
        <color rgb="FF000000"/>
        <rFont val="Arial"/>
        <family val="2"/>
      </rPr>
      <t>Long Term Capital Appreciation.</t>
    </r>
  </si>
  <si>
    <t>As per AMFI Tier I Benchmark i.e. Nifty Large Midcap 250 TRI</t>
  </si>
  <si>
    <r>
      <t>•</t>
    </r>
    <r>
      <rPr>
        <sz val="9"/>
        <color rgb="FF000000"/>
        <rFont val="Arial"/>
        <family val="2"/>
      </rPr>
      <t>A fund that primarily invests in Large and Mid-cap stocks</t>
    </r>
  </si>
  <si>
    <t>First Tier Benchmark Riskometer NIFTY 500 Multicap 50:25:25 TRI</t>
  </si>
  <si>
    <r>
      <t>•</t>
    </r>
    <r>
      <rPr>
        <sz val="9"/>
        <color rgb="FF000000"/>
        <rFont val="Arial"/>
        <family val="2"/>
      </rPr>
      <t>Investment in equity and equity related instruments across Large, Mid &amp; Small Cap stocks.</t>
    </r>
  </si>
  <si>
    <t>Adani Power Ltd.</t>
  </si>
  <si>
    <t>INE814H01029</t>
  </si>
  <si>
    <t>Bharat Petroleum Corporation Ltd.</t>
  </si>
  <si>
    <t>INE029A01011</t>
  </si>
  <si>
    <t>CG Power and Industrial Solutions Ltd.</t>
  </si>
  <si>
    <t>INE067A01029</t>
  </si>
  <si>
    <t>Indian Oil Corporation Ltd.</t>
  </si>
  <si>
    <t>INE242A01010</t>
  </si>
  <si>
    <t>Adani Energy Solutions Ltd.</t>
  </si>
  <si>
    <t>INE931S01010</t>
  </si>
  <si>
    <t>Vedanta Ltd.</t>
  </si>
  <si>
    <t>INE205A01025</t>
  </si>
  <si>
    <t>Diversified Metals</t>
  </si>
  <si>
    <t>Jindal Steel Ltd.</t>
  </si>
  <si>
    <t>INE749A01030</t>
  </si>
  <si>
    <t>Canara Bank</t>
  </si>
  <si>
    <t>INE476A01022</t>
  </si>
  <si>
    <t>Bajaj Holdings &amp; Investment Ltd.</t>
  </si>
  <si>
    <t>INE118A01012</t>
  </si>
  <si>
    <t>Godrej Consumer Products Ltd.</t>
  </si>
  <si>
    <t>INE102D01028</t>
  </si>
  <si>
    <t>Adani Green Energy Ltd.</t>
  </si>
  <si>
    <t>INE364U01010</t>
  </si>
  <si>
    <t>LTM Ltd.</t>
  </si>
  <si>
    <t>INE214T01019</t>
  </si>
  <si>
    <t>Solar Industries India Ltd.</t>
  </si>
  <si>
    <t>INE343H01029</t>
  </si>
  <si>
    <t>Union Bank of India</t>
  </si>
  <si>
    <t>INE692A01016</t>
  </si>
  <si>
    <t>Bosch Ltd.</t>
  </si>
  <si>
    <t>INE323A01026</t>
  </si>
  <si>
    <t>Ambuja Cements Ltd.</t>
  </si>
  <si>
    <t>INE079A01024</t>
  </si>
  <si>
    <t>Hindustan Zinc Ltd.</t>
  </si>
  <si>
    <t>INE267A01025</t>
  </si>
  <si>
    <t>Zydus Lifesciences Ltd.</t>
  </si>
  <si>
    <t>INE010B01027</t>
  </si>
  <si>
    <t>Indian Railway Finance Corporation Ltd.</t>
  </si>
  <si>
    <t>INE053F01010</t>
  </si>
  <si>
    <t>Mazagon Dock Shipbuilders Ltd.</t>
  </si>
  <si>
    <t>INE249Z01020</t>
  </si>
  <si>
    <t>INE1CLE01013</t>
  </si>
  <si>
    <t>INE1CDF01017</t>
  </si>
  <si>
    <t>INE694L01019</t>
  </si>
  <si>
    <t>Tata Capital Ltd.</t>
  </si>
  <si>
    <t>INE976I01016</t>
  </si>
  <si>
    <t>•Long Term growth in a passively managed scheme tracking  NIFTY  Next 50 Index (TRI)</t>
  </si>
  <si>
    <t>Nifty Next 50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</si>
  <si>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</si>
  <si>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</si>
  <si>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</si>
  <si>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</si>
  <si>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t>NIFTY 100 TRI</t>
  </si>
  <si>
    <r>
      <t>•</t>
    </r>
    <r>
      <rPr>
        <sz val="9"/>
        <color rgb="FF000000"/>
        <rFont val="Arial"/>
        <family val="2"/>
      </rPr>
      <t>Investment in equity and equity related securities and portfolios replicating the composition of Nifty 100 Index, subject to tracking errors.</t>
    </r>
  </si>
  <si>
    <t>JK Tyre &amp; Industries Ltd.</t>
  </si>
  <si>
    <t>INE573A01042</t>
  </si>
  <si>
    <t>Procter &amp; Gamble Hygiene&amp;HealthCare Ltd.</t>
  </si>
  <si>
    <t>INE179A01014</t>
  </si>
  <si>
    <r>
      <t>•</t>
    </r>
    <r>
      <rPr>
        <sz val="9"/>
        <color rgb="FF000000"/>
        <rFont val="Arial"/>
        <family val="2"/>
      </rPr>
      <t>Long Term Capital Growth</t>
    </r>
  </si>
  <si>
    <r>
      <t>•</t>
    </r>
    <r>
      <rPr>
        <sz val="9"/>
        <color rgb="FF000000"/>
        <rFont val="Arial"/>
        <family val="2"/>
      </rPr>
      <t>Investment in equity and equity related securities</t>
    </r>
  </si>
  <si>
    <t>Rategain Travel Technologies Ltd.</t>
  </si>
  <si>
    <t>INE0CLI01024</t>
  </si>
  <si>
    <t>As per AMFI Tier 1 Benchmark Riskometer i.e.                     BSE TECK (TRI)</t>
  </si>
  <si>
    <t>•Investment in equity and equity related instruments of technology and technology related companies.</t>
  </si>
  <si>
    <t>BSE Symbol:539480</t>
  </si>
  <si>
    <t>NSE Symbol:LICNETFN50</t>
  </si>
  <si>
    <r>
      <t>•</t>
    </r>
    <r>
      <rPr>
        <sz val="9"/>
        <color rgb="FF000000"/>
        <rFont val="Arial"/>
        <family val="2"/>
      </rPr>
      <t>Investment in securities covered by NIFTY 50 Index, subject to tracking errors.</t>
    </r>
  </si>
  <si>
    <t>BSE Symbol:539487</t>
  </si>
  <si>
    <t>NSE Symbol:LICNETFSEN</t>
  </si>
  <si>
    <t>BSE Sensex TRI</t>
  </si>
  <si>
    <r>
      <t>•</t>
    </r>
    <r>
      <rPr>
        <sz val="9"/>
        <color rgb="FF000000"/>
        <rFont val="Arial"/>
        <family val="2"/>
      </rPr>
      <t>Investment in securities covered by BSE SENSEX,  subject to tracking errors.</t>
    </r>
  </si>
  <si>
    <t>Carborundum Universal Ltd.</t>
  </si>
  <si>
    <t>INE120A01034</t>
  </si>
  <si>
    <t>SKF India Ltd.</t>
  </si>
  <si>
    <t>INE640A01023</t>
  </si>
  <si>
    <t>Bajaj Electricals Ltd.</t>
  </si>
  <si>
    <t>INE193E01025</t>
  </si>
  <si>
    <t>8.0% HDFC Bank Ltd. **</t>
  </si>
  <si>
    <t>INE040A08807</t>
  </si>
  <si>
    <r>
      <t>•</t>
    </r>
    <r>
      <rPr>
        <sz val="9"/>
        <color rgb="FF000000"/>
        <rFont val="Arial"/>
        <family val="2"/>
      </rPr>
      <t>Long term capital appreciation and current income</t>
    </r>
  </si>
  <si>
    <t>Benchmark i . e . CRISIL Hybrid 35+65 -Aggressive Index</t>
  </si>
  <si>
    <r>
      <t>•</t>
    </r>
    <r>
      <rPr>
        <sz val="9"/>
        <color rgb="FF000000"/>
        <rFont val="Arial"/>
        <family val="2"/>
      </rPr>
      <t>Investment in Equity and equity related securities, fixed income securities (debt and money market securities).</t>
    </r>
  </si>
  <si>
    <t>i) Securities in default beyond its maturity date: Nil</t>
  </si>
  <si>
    <t>iii)</t>
  </si>
  <si>
    <t>NAV</t>
  </si>
  <si>
    <t>Regular Plan - Growth Option</t>
  </si>
  <si>
    <t>Regular Plan - IDCW Option</t>
  </si>
  <si>
    <t>Regular Plan - Quarterly IDCW Option</t>
  </si>
  <si>
    <t>Direct Plan - Growth Option</t>
  </si>
  <si>
    <t>Direct Plan - IDCW Option</t>
  </si>
  <si>
    <t>Direct Plan - Quarterly IDCW Option</t>
  </si>
  <si>
    <t>x) The details of repo transactions of the scheme in corporate debt securities: Nil</t>
  </si>
  <si>
    <t>Regular Plan - Monthly IDCW Option</t>
  </si>
  <si>
    <t>Direct Plan - Weekly IDCW Option</t>
  </si>
  <si>
    <t>Direct Plan - Monthly IDCW Option</t>
  </si>
  <si>
    <t>Option</t>
  </si>
  <si>
    <t>Month</t>
  </si>
  <si>
    <t>Rate of dividend per unit</t>
  </si>
  <si>
    <t>Individual/ HUF</t>
  </si>
  <si>
    <t>Regular Plan - Weekly Divdend Option</t>
  </si>
  <si>
    <t>Regular Plan - Monthly Divdend Option</t>
  </si>
  <si>
    <t>Underlying</t>
  </si>
  <si>
    <t>Long/ short</t>
  </si>
  <si>
    <t>Futures price when purchased</t>
  </si>
  <si>
    <t>Current price of the contract</t>
  </si>
  <si>
    <t>Margin maintained in Rs. Lakhs</t>
  </si>
  <si>
    <t>Short</t>
  </si>
  <si>
    <t>Total number of contracts where futures were bought:</t>
  </si>
  <si>
    <t>Total number of contracts where futures were sold:</t>
  </si>
  <si>
    <t>Gross notional value of contracts where futures were bought:</t>
  </si>
  <si>
    <t>Gross notional value of contracts where futures were sold:</t>
  </si>
  <si>
    <t>Net profit / (loss) value on all contracts combined:</t>
  </si>
  <si>
    <t>viii) Portfolio turnover ratio: 0.82 times</t>
  </si>
  <si>
    <t>viii) Portfolio turnover ratio: 0.50 times</t>
  </si>
  <si>
    <t>ix) The details of repo transactions of the scheme in corporate debt securities: Nil</t>
  </si>
  <si>
    <t>viii) Portfolio turnover ratio: 0.08 times</t>
  </si>
  <si>
    <t>viii) Portfolio turnover ratio: 0.28 times</t>
  </si>
  <si>
    <t>viii) Portfolio turnover ratio: 0.26 times</t>
  </si>
  <si>
    <t>viii) Portfolio turnover ratio: 0.07 times</t>
  </si>
  <si>
    <t>viii) Portfolio turnover ratio: 0.05 times</t>
  </si>
  <si>
    <t>Regular Plan - IDCW Reinvestment Option</t>
  </si>
  <si>
    <t>Direct Plan - IDCW Reinvestment Option</t>
  </si>
  <si>
    <t>viii) Portfolio turnover ratio: 0.02 times</t>
  </si>
  <si>
    <t>ii) Total value and percentage of illiquid equity shares as on April 30, 2026: Nil</t>
  </si>
  <si>
    <t>v) No bonus declared during the period ended April 30, 2026.</t>
  </si>
  <si>
    <t>v) No bonus declared during the period ended April 30, 2026, 2022.</t>
  </si>
  <si>
    <t>vi) Total outstanding exposure in derivative instruments as on April 30, 2026 is Nil.</t>
  </si>
  <si>
    <t>vii) Total market value of investments in Foreign Securities/ American Depositary Receipts/ Global Depositary Receipts/ Overseas ETFs as at April 30, 2026 is Nil.</t>
  </si>
  <si>
    <t>ix) Funds parked in short term deposit as on April 30, 2026: Nil</t>
  </si>
  <si>
    <t>viii) Funds parked in short term deposit as on April 30, 2026: Nil</t>
  </si>
  <si>
    <t>iv) Dividend declared during the month April 30, 2026 under the IDCW Option of the Scheme is as follows:</t>
  </si>
  <si>
    <t>iv) Dividend declared during the month April 30, 2026 under the IDCW Option of the Scheme is Nil.</t>
  </si>
  <si>
    <t>viii) Portfolio turnover ratio: 0.44 times</t>
  </si>
  <si>
    <t>viii) Portfolio turnover ratio: 0.41 times</t>
  </si>
  <si>
    <t>viii) Portfolio turnover ratio: 0.66 times</t>
  </si>
  <si>
    <t>viii) Portfolio turnover ratio: 0.15 times</t>
  </si>
  <si>
    <t>viii) Portfolio turnover ratio: 0.58 times</t>
  </si>
  <si>
    <t>viii) Portfolio turnover ratio: 0.23 times</t>
  </si>
  <si>
    <t>viii) Portfolio turnover ratio: 0.59 times</t>
  </si>
  <si>
    <t>viii) Portfolio turnover ratio: 1.35 times</t>
  </si>
  <si>
    <t>viii) Portfolio turnover ratio: 0.53 times</t>
  </si>
  <si>
    <t>viii) Portfolio turnover ratio: 1.31 times</t>
  </si>
  <si>
    <t>viii) Portfolio turnover ratio: 1.49 times</t>
  </si>
  <si>
    <t>viii) Portfolio turnover ratio: 0.88 times</t>
  </si>
  <si>
    <t>viii) Portfolio turnover ratio: 1.92 times</t>
  </si>
  <si>
    <t>viii) Portfolio turnover ratio: 0.86 times</t>
  </si>
  <si>
    <t>viii) Portfolio turnover ratio: 0.94 times</t>
  </si>
  <si>
    <t>viii) Portfolio turnover ratio: 0.43 times</t>
  </si>
  <si>
    <t>viii) Portfolio turnover ratio: 0.12 times</t>
  </si>
  <si>
    <t>viii) Portfolio turnover ratio: 0.03 times</t>
  </si>
  <si>
    <t>iv) IDCW declared during the half year ended April 30, 2026 under the IDCW option of the Scheme is Nil.</t>
  </si>
  <si>
    <t>vi) Details of derivatives exposure and transaction for the half year ended April 30, 2026 is as follows:</t>
  </si>
  <si>
    <t>For the half year period ended April 30, 2026, following details specified for hedging transactions through futures which have been squared off/ expired:</t>
  </si>
  <si>
    <t>(b) Other than hedging position through futures as on April 30, 2026 is Nil.</t>
  </si>
  <si>
    <t>For the period ended April 30, 2026, there were Nil other than hedging transactions through futures which have been squared off/ expired.</t>
  </si>
  <si>
    <t>(c) Hedging position through options as on April 30, 2026 is Nil.</t>
  </si>
  <si>
    <t>For the period ended April 30, 2026, there were Nil hedging transactions through option which have already been exercised/ expired.</t>
  </si>
  <si>
    <t>(d) Other than hedging positions through options as on April 30, 2026 is Nil.</t>
  </si>
  <si>
    <t>For the period ended April 30, 2026, other than hedging transactions through options which have already been exercised/ expired is Nil.</t>
  </si>
  <si>
    <t>(e) Hedging positions through swaps as on April 30, 2026 is Nil.</t>
  </si>
  <si>
    <t>(a) Hedging position through futures as on April 30, 2026 is as follows:</t>
  </si>
  <si>
    <t>vi) Details of derivatives exposure and transaction for the month ended April 30, 2026 is as follows:</t>
  </si>
  <si>
    <t>For the period ended April 30, 2026, hedging transactions through option which have already been exercised/ expired is Nil.</t>
  </si>
  <si>
    <t>INDEX OPTIONS</t>
  </si>
  <si>
    <t>(a) Hedging position through futures as on April 30, 2026 is Nil.</t>
  </si>
  <si>
    <t>Total %age of existing assets hedged through futures: 37.94%</t>
  </si>
  <si>
    <t>For the month ended April 30, 2026, following details specified for hedging transactions through futures which have been squared off/ expired:</t>
  </si>
  <si>
    <t>Total %age of existing assets hedged through futures: 66.33%</t>
  </si>
  <si>
    <t>Total %age of existing assets hedged through futures: 18.21%</t>
  </si>
  <si>
    <t>B. Other than Hedging Positions through Futures as on March 31, 2026</t>
  </si>
  <si>
    <t>Long / Short</t>
  </si>
  <si>
    <t>Futures Price when purchased (Rs)</t>
  </si>
  <si>
    <t>Current price of the contract (Rs)</t>
  </si>
  <si>
    <t>Margin maintained (Rs. Lakhs)</t>
  </si>
  <si>
    <t>Total exposure due to futures (non hedging positions) as a %age of net assets : Nil</t>
  </si>
  <si>
    <t>For the for the period ended March 31, 2026 following details specified for non-hedging transactions through futures which have been squared off/expired:</t>
  </si>
  <si>
    <t>C. Hedging Positions through Put Options as on March 31, 2026</t>
  </si>
  <si>
    <t>Number of Contracts</t>
  </si>
  <si>
    <t>Option Price when purchased</t>
  </si>
  <si>
    <t>Current Option Price</t>
  </si>
  <si>
    <t>Total % age of existing assets hedged through put options - NIL</t>
  </si>
  <si>
    <t>D. Other than Hedging Positions through Options as on March 31, 2026</t>
  </si>
  <si>
    <t>Call / put</t>
  </si>
  <si>
    <t>Number of contracts</t>
  </si>
  <si>
    <t>Current Price</t>
  </si>
  <si>
    <t>Total Exposure through options as a %age of net assets : NIL</t>
  </si>
  <si>
    <t>E. Hedging Positions through swaps as on March 31, 2026 - NIL</t>
  </si>
  <si>
    <t>Total Number of contracts where futures were bought :</t>
  </si>
  <si>
    <t>Total Number of contracts where futures were sold :</t>
  </si>
  <si>
    <t>Gross Notional Value of contracts where futures were bought : Rs. Nil</t>
  </si>
  <si>
    <t>Gross Notional Value of contracts where futures were sold : Rs. Nil</t>
  </si>
  <si>
    <t>Net Profit/Loss value on all contracts combined : Rs. Nil</t>
  </si>
  <si>
    <t>Vedanta Iron And Steel Ltd.</t>
  </si>
  <si>
    <t>Vedanta Aluminium Metal Ltd.</t>
  </si>
  <si>
    <t>Talwandi Sabo Power Ltd.</t>
  </si>
  <si>
    <t>Malco Energy Ltd.</t>
  </si>
  <si>
    <t>INE335K01011</t>
  </si>
  <si>
    <t>Total Exposure through options as a %age of net assets : Nil</t>
  </si>
  <si>
    <t>For the for the period ended March 31, 2026 following details specified with regards to non-hedging transactions through options which have already been exercised/expired :
Total Number of contracts entered into : Nil
Gross Notional Value of contracts : Nil
Net Profit/Loss on all contracts (premium paid treated as loss) : Nil</t>
  </si>
  <si>
    <t>Total % age of existing assets hedged through put options - 0.15%</t>
  </si>
  <si>
    <t>Nil</t>
  </si>
  <si>
    <t>For the for the period ended March 31, 2026 following details specified for hedging transactions through options which have already been exercised/expired :
Total Number of contracts entered into : 1025
Gross Notional value of contracts : Rs. 15656.875 Lakhs
Net Profit/Loss on all contracts (premium paid treated as loss) : Rs.208.15 Lakhs</t>
  </si>
  <si>
    <t>For the for the period ended March 31, 2026 following details specified for hedging transactions through options which have already been exercised/expired :
Total Number of contracts entered into : 1425
Gross Notional value of contracts : Rs. 21766.88 Lakhs
Net Profit/Loss on all contracts (premium paid treated as loss) : Rs. 289.93 Lakhs</t>
  </si>
  <si>
    <t>viii) Portfolio turnover ratio: 0.34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</si>
</sst>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00"/>
    <numFmt numFmtId="165" formatCode="#,##0.00_);\(##,##0\)"/>
    <numFmt numFmtId="166" formatCode="#,##0.00_);\(##,##0.00\)"/>
    <numFmt numFmtId="167" formatCode="0.00%_);\(0.00%\)"/>
    <numFmt numFmtId="168" formatCode="#,###_);\(#,###\)"/>
    <numFmt numFmtId="169" formatCode="[$-1009]mmmm\ d\,\ yyyy;@"/>
    <numFmt numFmtId="170" formatCode="#,##0.0000"/>
    <numFmt numFmtId="171" formatCode="[$-409]mmm/yy;@"/>
    <numFmt numFmtId="172" formatCode="0.0000"/>
    <numFmt numFmtId="173" formatCode="_(* #,##0_);_(* \(#,##0\);_(* &quot;-&quot;??_);_(@_)"/>
    <numFmt numFmtId="174" formatCode="_([$₹-4009]\ #,##0.00_);_([$₹-4009]\ \(#,##0.00\);_(* &quot;-&quot;??_);_(@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sz val="9"/>
      <name val="Arial"/>
      <family val="2"/>
    </font>
    <font>
      <sz val="9"/>
      <color rgb="FF000000"/>
      <name val="Arial"/>
      <family val="2"/>
    </font>
    <font>
      <sz val="10"/>
      <name val="Times New Roman"/>
      <family val="1"/>
    </font>
    <font>
      <sz val="10"/>
      <name val="MS Sans Serif"/>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rgb="FF000000"/>
      </left>
      <right style="medium">
        <color indexed="64"/>
      </right>
      <top/>
      <bottom style="medium">
        <color rgb="FF000000"/>
      </bottom>
      <diagonal/>
    </border>
    <border>
      <left style="medium">
        <color indexed="64"/>
      </left>
      <right style="medium">
        <color indexed="64"/>
      </right>
      <top/>
      <bottom style="medium">
        <color indexed="64"/>
      </bottom>
      <diagonal/>
    </border>
    <border>
      <left style="medium">
        <color rgb="FF000000"/>
      </left>
      <right style="medium">
        <color rgb="FF000000"/>
      </right>
      <top/>
      <bottom/>
      <diagonal/>
    </border>
    <border>
      <left style="medium">
        <color indexed="64"/>
      </left>
      <right style="medium">
        <color rgb="FF000000"/>
      </right>
      <top/>
      <bottom/>
      <diagonal/>
    </border>
    <border>
      <left style="medium">
        <color indexed="64"/>
      </left>
      <right style="medium">
        <color rgb="FF000000"/>
      </right>
      <top/>
      <bottom style="medium">
        <color rgb="FF000000"/>
      </bottom>
      <diagonal/>
    </border>
    <border>
      <left style="medium">
        <color indexed="64"/>
      </left>
      <right style="medium">
        <color rgb="FF000000"/>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6">
    <xf numFmtId="0" fontId="0" fillId="0" borderId="0"/>
    <xf numFmtId="9" fontId="4" fillId="0" borderId="0" applyFont="0" applyFill="0" applyBorder="0" applyAlignment="0" applyProtection="0"/>
    <xf numFmtId="0" fontId="5" fillId="0" borderId="0" applyNumberFormat="0" applyFill="0" applyBorder="0" applyAlignment="0" applyProtection="0"/>
    <xf numFmtId="0" fontId="11" fillId="0" borderId="0"/>
    <xf numFmtId="39" fontId="12" fillId="0" borderId="0"/>
    <xf numFmtId="43" fontId="4" fillId="0" borderId="0" applyFont="0" applyFill="0" applyBorder="0" applyAlignment="0" applyProtection="0"/>
  </cellStyleXfs>
  <cellXfs count="125">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3" fillId="0" borderId="7" xfId="0" applyFont="1" applyBorder="1" applyAlignment="1">
      <alignment horizontal="left"/>
    </xf>
    <xf numFmtId="166" fontId="2" fillId="0" borderId="8" xfId="0" applyNumberFormat="1" applyFont="1" applyBorder="1"/>
    <xf numFmtId="167" fontId="2" fillId="0" borderId="8" xfId="0" applyNumberFormat="1" applyFont="1" applyBorder="1" applyAlignment="1">
      <alignment horizontal="right"/>
    </xf>
    <xf numFmtId="0" fontId="9" fillId="0" borderId="18"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4" fontId="3" fillId="0" borderId="8" xfId="0" applyNumberFormat="1" applyFont="1" applyBorder="1"/>
    <xf numFmtId="10" fontId="3" fillId="0" borderId="8" xfId="0" applyNumberFormat="1" applyFont="1" applyBorder="1" applyAlignment="1">
      <alignment horizontal="right"/>
    </xf>
    <xf numFmtId="0" fontId="9" fillId="0" borderId="22" xfId="0" applyFont="1" applyBorder="1" applyAlignment="1">
      <alignment vertical="top"/>
    </xf>
    <xf numFmtId="0" fontId="2" fillId="0" borderId="23" xfId="0" applyFont="1" applyBorder="1" applyAlignment="1">
      <alignment vertical="top"/>
    </xf>
    <xf numFmtId="169" fontId="9" fillId="0" borderId="9" xfId="0" quotePrefix="1" applyNumberFormat="1" applyFont="1" applyBorder="1" applyAlignment="1">
      <alignment horizontal="center" vertical="top"/>
    </xf>
    <xf numFmtId="0" fontId="9" fillId="0" borderId="9" xfId="0" applyFont="1" applyBorder="1" applyAlignment="1">
      <alignment horizontal="center" vertical="top"/>
    </xf>
    <xf numFmtId="170" fontId="9" fillId="0" borderId="9" xfId="0" applyNumberFormat="1" applyFont="1" applyBorder="1" applyAlignment="1">
      <alignment horizontal="center" vertical="top"/>
    </xf>
    <xf numFmtId="0" fontId="9" fillId="0" borderId="24" xfId="0" applyFont="1" applyBorder="1" applyAlignment="1">
      <alignment vertical="top"/>
    </xf>
    <xf numFmtId="0" fontId="2" fillId="0" borderId="25" xfId="0" applyFont="1" applyBorder="1" applyAlignment="1">
      <alignment vertical="top"/>
    </xf>
    <xf numFmtId="0" fontId="9" fillId="0" borderId="0" xfId="0" applyFont="1" applyAlignment="1">
      <alignment vertical="top"/>
    </xf>
    <xf numFmtId="0" fontId="9" fillId="0" borderId="9" xfId="0" applyFont="1" applyBorder="1" applyAlignment="1">
      <alignment vertical="top"/>
    </xf>
    <xf numFmtId="0" fontId="9" fillId="0" borderId="1" xfId="0" applyFont="1" applyBorder="1" applyAlignment="1">
      <alignment vertical="top"/>
    </xf>
    <xf numFmtId="171" fontId="9" fillId="0" borderId="9" xfId="0" applyNumberFormat="1" applyFont="1" applyBorder="1" applyAlignment="1">
      <alignment horizontal="center" vertical="top"/>
    </xf>
    <xf numFmtId="172" fontId="9" fillId="0" borderId="9" xfId="0" applyNumberFormat="1" applyFont="1" applyBorder="1" applyAlignment="1">
      <alignment horizontal="center" vertical="top"/>
    </xf>
    <xf numFmtId="0" fontId="9" fillId="0" borderId="22" xfId="3" applyFont="1" applyBorder="1" applyAlignment="1">
      <alignment vertical="top"/>
    </xf>
    <xf numFmtId="39" fontId="9" fillId="0" borderId="0" xfId="4" applyFont="1" applyAlignment="1">
      <alignment vertical="top"/>
    </xf>
    <xf numFmtId="0" fontId="9" fillId="0" borderId="0" xfId="3" applyFont="1" applyAlignment="1">
      <alignment vertical="top"/>
    </xf>
    <xf numFmtId="0" fontId="9" fillId="0" borderId="9" xfId="3" quotePrefix="1" applyFont="1" applyBorder="1" applyAlignment="1">
      <alignment vertical="top"/>
    </xf>
    <xf numFmtId="0" fontId="9" fillId="0" borderId="9" xfId="3" applyFont="1" applyBorder="1" applyAlignment="1">
      <alignment vertical="top"/>
    </xf>
    <xf numFmtId="0" fontId="9" fillId="0" borderId="9" xfId="3" applyFont="1" applyBorder="1" applyAlignment="1">
      <alignment horizontal="right" vertical="top" wrapText="1"/>
    </xf>
    <xf numFmtId="4" fontId="9" fillId="0" borderId="9" xfId="0" applyNumberFormat="1" applyFont="1" applyBorder="1" applyAlignment="1">
      <alignment vertical="top"/>
    </xf>
    <xf numFmtId="43" fontId="9" fillId="0" borderId="9" xfId="0" applyNumberFormat="1" applyFont="1" applyBorder="1" applyAlignment="1">
      <alignment vertical="top"/>
    </xf>
    <xf numFmtId="4" fontId="9" fillId="0" borderId="0" xfId="3" applyNumberFormat="1" applyFont="1" applyAlignment="1">
      <alignment vertical="top"/>
    </xf>
    <xf numFmtId="173" fontId="9" fillId="0" borderId="9" xfId="0" applyNumberFormat="1" applyFont="1" applyBorder="1" applyAlignment="1">
      <alignment vertical="top"/>
    </xf>
    <xf numFmtId="174" fontId="9" fillId="0" borderId="9" xfId="0" applyNumberFormat="1" applyFont="1" applyBorder="1" applyAlignment="1">
      <alignment vertical="top"/>
    </xf>
    <xf numFmtId="0" fontId="13" fillId="0" borderId="0" xfId="0" applyFont="1"/>
    <xf numFmtId="0" fontId="10" fillId="0" borderId="0" xfId="0" applyFont="1"/>
    <xf numFmtId="0" fontId="10" fillId="0" borderId="26" xfId="0" applyFont="1" applyBorder="1"/>
    <xf numFmtId="4" fontId="10" fillId="0" borderId="26" xfId="0" applyNumberFormat="1" applyFont="1" applyBorder="1"/>
    <xf numFmtId="0" fontId="10" fillId="0" borderId="27" xfId="0" applyFont="1" applyBorder="1"/>
    <xf numFmtId="0" fontId="10" fillId="0" borderId="28" xfId="0" applyFont="1" applyBorder="1"/>
    <xf numFmtId="4" fontId="10" fillId="0" borderId="28" xfId="0" applyNumberFormat="1" applyFont="1" applyBorder="1"/>
    <xf numFmtId="4" fontId="10" fillId="0" borderId="29" xfId="0" applyNumberFormat="1" applyFont="1" applyBorder="1"/>
    <xf numFmtId="0" fontId="10" fillId="0" borderId="29" xfId="0" applyFont="1" applyBorder="1"/>
    <xf numFmtId="0" fontId="10" fillId="0" borderId="33" xfId="0" applyFont="1" applyBorder="1"/>
    <xf numFmtId="0" fontId="10" fillId="0" borderId="34" xfId="0" applyFont="1" applyBorder="1"/>
    <xf numFmtId="173" fontId="10" fillId="0" borderId="0" xfId="0" applyNumberFormat="1" applyFont="1"/>
    <xf numFmtId="0" fontId="10" fillId="0" borderId="35" xfId="0" applyFont="1" applyBorder="1"/>
    <xf numFmtId="0" fontId="10" fillId="0" borderId="36" xfId="0" applyFont="1" applyBorder="1"/>
    <xf numFmtId="173" fontId="10" fillId="0" borderId="36" xfId="0" applyNumberFormat="1" applyFont="1" applyBorder="1"/>
    <xf numFmtId="173" fontId="10" fillId="0" borderId="37" xfId="0" applyNumberFormat="1" applyFont="1" applyBorder="1"/>
    <xf numFmtId="0" fontId="10" fillId="0" borderId="31" xfId="0" applyFont="1" applyBorder="1"/>
    <xf numFmtId="0" fontId="10" fillId="0" borderId="0" xfId="0" applyFont="1" applyAlignment="1">
      <alignment horizontal="left" vertical="top"/>
    </xf>
    <xf numFmtId="0" fontId="10" fillId="0" borderId="9" xfId="0" applyFont="1" applyBorder="1" applyAlignment="1">
      <alignment horizontal="center" vertical="center"/>
    </xf>
    <xf numFmtId="0" fontId="10" fillId="0" borderId="9" xfId="0" applyFont="1" applyBorder="1"/>
    <xf numFmtId="43" fontId="2" fillId="0" borderId="0" xfId="5" applyFont="1"/>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9" fillId="0" borderId="14" xfId="0" applyFont="1" applyBorder="1" applyAlignment="1">
      <alignment horizontal="left" vertical="top" wrapText="1" indent="3" readingOrder="1"/>
    </xf>
    <xf numFmtId="0" fontId="9" fillId="0" borderId="16" xfId="0" applyFont="1" applyBorder="1" applyAlignment="1">
      <alignment horizontal="left" vertical="top" wrapText="1" indent="3" readingOrder="1"/>
    </xf>
    <xf numFmtId="0" fontId="9" fillId="0" borderId="19" xfId="0" applyFont="1" applyBorder="1" applyAlignment="1">
      <alignment horizontal="left" vertical="center" wrapText="1" indent="3" readingOrder="1"/>
    </xf>
    <xf numFmtId="0" fontId="9" fillId="0" borderId="20" xfId="0" applyFont="1" applyBorder="1" applyAlignment="1">
      <alignment horizontal="left" vertical="center" wrapText="1" indent="3" readingOrder="1"/>
    </xf>
    <xf numFmtId="0" fontId="9" fillId="0" borderId="9" xfId="0" applyFont="1" applyBorder="1" applyAlignment="1">
      <alignment horizontal="center" vertical="top"/>
    </xf>
    <xf numFmtId="0" fontId="9" fillId="0" borderId="21" xfId="0" applyFont="1" applyBorder="1" applyAlignment="1">
      <alignment horizontal="left" vertical="center" wrapText="1" indent="3" readingOrder="1"/>
    </xf>
    <xf numFmtId="0" fontId="9" fillId="0" borderId="15"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9" xfId="0" applyFont="1" applyBorder="1" applyAlignment="1">
      <alignment horizontal="left" vertical="top" wrapText="1"/>
    </xf>
    <xf numFmtId="0" fontId="10" fillId="0" borderId="9" xfId="0" applyFont="1" applyBorder="1"/>
    <xf numFmtId="0" fontId="10" fillId="0" borderId="30" xfId="0" applyFont="1" applyBorder="1" applyAlignment="1">
      <alignment horizontal="left"/>
    </xf>
    <xf numFmtId="0" fontId="10" fillId="0" borderId="31" xfId="0" applyFont="1" applyBorder="1" applyAlignment="1">
      <alignment horizontal="left"/>
    </xf>
    <xf numFmtId="0" fontId="10" fillId="0" borderId="32" xfId="0" applyFont="1" applyBorder="1" applyAlignment="1">
      <alignment horizontal="left"/>
    </xf>
  </cellXfs>
  <cellStyles count="6">
    <cellStyle name="Comma" xfId="5" builtinId="3"/>
    <cellStyle name="Hyperlink" xfId="2" builtinId="8"/>
    <cellStyle name="Normal" xfId="0" builtinId="0"/>
    <cellStyle name="Normal 3" xfId="3" xr:uid="{4BD8E39A-93CB-4264-B10C-2EA065053FC4}"/>
    <cellStyle name="Normal_Unaudited Half Yrly - MSIM Copy" xfId="4" xr:uid="{B944A6AF-4975-4C1C-A76E-8B8A6545F8A4}"/>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44822</xdr:colOff>
      <xdr:row>214</xdr:row>
      <xdr:rowOff>22412</xdr:rowOff>
    </xdr:from>
    <xdr:to>
      <xdr:col>2</xdr:col>
      <xdr:colOff>2652059</xdr:colOff>
      <xdr:row>217</xdr:row>
      <xdr:rowOff>459814</xdr:rowOff>
    </xdr:to>
    <xdr:pic>
      <xdr:nvPicPr>
        <xdr:cNvPr id="2" name="Picture 1">
          <a:extLst>
            <a:ext uri="{FF2B5EF4-FFF2-40B4-BE49-F238E27FC236}">
              <a16:creationId xmlns:a16="http://schemas.microsoft.com/office/drawing/2014/main" id="{447B1699-197E-4FA3-BD23-20A54012A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2" y="29041912"/>
          <a:ext cx="2607237"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313764</xdr:colOff>
      <xdr:row>214</xdr:row>
      <xdr:rowOff>149412</xdr:rowOff>
    </xdr:from>
    <xdr:to>
      <xdr:col>3</xdr:col>
      <xdr:colOff>2937774</xdr:colOff>
      <xdr:row>217</xdr:row>
      <xdr:rowOff>452344</xdr:rowOff>
    </xdr:to>
    <xdr:pic>
      <xdr:nvPicPr>
        <xdr:cNvPr id="3" name="Picture 2">
          <a:extLst>
            <a:ext uri="{FF2B5EF4-FFF2-40B4-BE49-F238E27FC236}">
              <a16:creationId xmlns:a16="http://schemas.microsoft.com/office/drawing/2014/main" id="{842C708D-83A4-4DA7-AADA-ADA8CEE951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24664" y="29168912"/>
          <a:ext cx="2624010" cy="1807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44826</xdr:colOff>
      <xdr:row>212</xdr:row>
      <xdr:rowOff>70974</xdr:rowOff>
    </xdr:from>
    <xdr:to>
      <xdr:col>2</xdr:col>
      <xdr:colOff>2629648</xdr:colOff>
      <xdr:row>215</xdr:row>
      <xdr:rowOff>465791</xdr:rowOff>
    </xdr:to>
    <xdr:pic>
      <xdr:nvPicPr>
        <xdr:cNvPr id="2" name="Picture 1">
          <a:extLst>
            <a:ext uri="{FF2B5EF4-FFF2-40B4-BE49-F238E27FC236}">
              <a16:creationId xmlns:a16="http://schemas.microsoft.com/office/drawing/2014/main" id="{8111B123-D810-4744-86FA-80CD56D70C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6" y="31630474"/>
          <a:ext cx="2584822" cy="189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351117</xdr:colOff>
      <xdr:row>212</xdr:row>
      <xdr:rowOff>59765</xdr:rowOff>
    </xdr:from>
    <xdr:to>
      <xdr:col>3</xdr:col>
      <xdr:colOff>2963610</xdr:colOff>
      <xdr:row>215</xdr:row>
      <xdr:rowOff>480732</xdr:rowOff>
    </xdr:to>
    <xdr:pic>
      <xdr:nvPicPr>
        <xdr:cNvPr id="3" name="Picture 2">
          <a:extLst>
            <a:ext uri="{FF2B5EF4-FFF2-40B4-BE49-F238E27FC236}">
              <a16:creationId xmlns:a16="http://schemas.microsoft.com/office/drawing/2014/main" id="{78F59730-9963-42C0-9C84-35ECCDA88B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62017" y="31619265"/>
          <a:ext cx="2612493" cy="1925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7470</xdr:colOff>
      <xdr:row>131</xdr:row>
      <xdr:rowOff>74705</xdr:rowOff>
    </xdr:from>
    <xdr:to>
      <xdr:col>2</xdr:col>
      <xdr:colOff>2592292</xdr:colOff>
      <xdr:row>134</xdr:row>
      <xdr:rowOff>467284</xdr:rowOff>
    </xdr:to>
    <xdr:pic>
      <xdr:nvPicPr>
        <xdr:cNvPr id="2" name="Picture 1">
          <a:extLst>
            <a:ext uri="{FF2B5EF4-FFF2-40B4-BE49-F238E27FC236}">
              <a16:creationId xmlns:a16="http://schemas.microsoft.com/office/drawing/2014/main" id="{C65A8EF9-DF1A-42FE-AA23-4A9B1A9C1F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25970" y="34225005"/>
          <a:ext cx="2584822" cy="189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358587</xdr:colOff>
      <xdr:row>131</xdr:row>
      <xdr:rowOff>52294</xdr:rowOff>
    </xdr:from>
    <xdr:to>
      <xdr:col>3</xdr:col>
      <xdr:colOff>2890874</xdr:colOff>
      <xdr:row>134</xdr:row>
      <xdr:rowOff>459816</xdr:rowOff>
    </xdr:to>
    <xdr:pic>
      <xdr:nvPicPr>
        <xdr:cNvPr id="3" name="Picture 2">
          <a:extLst>
            <a:ext uri="{FF2B5EF4-FFF2-40B4-BE49-F238E27FC236}">
              <a16:creationId xmlns:a16="http://schemas.microsoft.com/office/drawing/2014/main" id="{815D237F-50C4-4801-AB47-3520C56E9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69487" y="34202594"/>
          <a:ext cx="2532287" cy="19124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59764</xdr:colOff>
      <xdr:row>76</xdr:row>
      <xdr:rowOff>7471</xdr:rowOff>
    </xdr:from>
    <xdr:to>
      <xdr:col>2</xdr:col>
      <xdr:colOff>2644586</xdr:colOff>
      <xdr:row>79</xdr:row>
      <xdr:rowOff>441137</xdr:rowOff>
    </xdr:to>
    <xdr:pic>
      <xdr:nvPicPr>
        <xdr:cNvPr id="2" name="Picture 1">
          <a:extLst>
            <a:ext uri="{FF2B5EF4-FFF2-40B4-BE49-F238E27FC236}">
              <a16:creationId xmlns:a16="http://schemas.microsoft.com/office/drawing/2014/main" id="{18D4458D-A78A-4292-B1D1-94FDABE04F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36697771"/>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336178</xdr:colOff>
      <xdr:row>76</xdr:row>
      <xdr:rowOff>22413</xdr:rowOff>
    </xdr:from>
    <xdr:to>
      <xdr:col>3</xdr:col>
      <xdr:colOff>2943414</xdr:colOff>
      <xdr:row>79</xdr:row>
      <xdr:rowOff>449020</xdr:rowOff>
    </xdr:to>
    <xdr:pic>
      <xdr:nvPicPr>
        <xdr:cNvPr id="3" name="Picture 2">
          <a:extLst>
            <a:ext uri="{FF2B5EF4-FFF2-40B4-BE49-F238E27FC236}">
              <a16:creationId xmlns:a16="http://schemas.microsoft.com/office/drawing/2014/main" id="{CC9B5669-4CE7-44C0-A825-AAE09FEC1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47078" y="3671271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37353</xdr:colOff>
      <xdr:row>109</xdr:row>
      <xdr:rowOff>22411</xdr:rowOff>
    </xdr:from>
    <xdr:to>
      <xdr:col>2</xdr:col>
      <xdr:colOff>2622175</xdr:colOff>
      <xdr:row>112</xdr:row>
      <xdr:rowOff>456077</xdr:rowOff>
    </xdr:to>
    <xdr:pic>
      <xdr:nvPicPr>
        <xdr:cNvPr id="2" name="Picture 1">
          <a:extLst>
            <a:ext uri="{FF2B5EF4-FFF2-40B4-BE49-F238E27FC236}">
              <a16:creationId xmlns:a16="http://schemas.microsoft.com/office/drawing/2014/main" id="{E0DA072E-D1B5-45EB-863B-DCBCF97CF3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39252711"/>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395942</xdr:colOff>
      <xdr:row>109</xdr:row>
      <xdr:rowOff>67234</xdr:rowOff>
    </xdr:from>
    <xdr:to>
      <xdr:col>3</xdr:col>
      <xdr:colOff>2920999</xdr:colOff>
      <xdr:row>112</xdr:row>
      <xdr:rowOff>469295</xdr:rowOff>
    </xdr:to>
    <xdr:pic>
      <xdr:nvPicPr>
        <xdr:cNvPr id="3" name="Picture 2">
          <a:extLst>
            <a:ext uri="{FF2B5EF4-FFF2-40B4-BE49-F238E27FC236}">
              <a16:creationId xmlns:a16="http://schemas.microsoft.com/office/drawing/2014/main" id="{3C9E80C4-7C41-40BF-9795-7B27F71ECB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06842" y="39297534"/>
          <a:ext cx="2525057" cy="1907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254000</xdr:colOff>
      <xdr:row>94</xdr:row>
      <xdr:rowOff>37353</xdr:rowOff>
    </xdr:from>
    <xdr:to>
      <xdr:col>3</xdr:col>
      <xdr:colOff>2861236</xdr:colOff>
      <xdr:row>97</xdr:row>
      <xdr:rowOff>463960</xdr:rowOff>
    </xdr:to>
    <xdr:pic>
      <xdr:nvPicPr>
        <xdr:cNvPr id="2" name="Picture 1">
          <a:extLst>
            <a:ext uri="{FF2B5EF4-FFF2-40B4-BE49-F238E27FC236}">
              <a16:creationId xmlns:a16="http://schemas.microsoft.com/office/drawing/2014/main" id="{587912B1-565A-4094-AB0E-52F7AD6417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64900" y="418076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52296</xdr:colOff>
      <xdr:row>94</xdr:row>
      <xdr:rowOff>37354</xdr:rowOff>
    </xdr:from>
    <xdr:to>
      <xdr:col>2</xdr:col>
      <xdr:colOff>2637118</xdr:colOff>
      <xdr:row>97</xdr:row>
      <xdr:rowOff>422461</xdr:rowOff>
    </xdr:to>
    <xdr:pic>
      <xdr:nvPicPr>
        <xdr:cNvPr id="3" name="Picture 2">
          <a:extLst>
            <a:ext uri="{FF2B5EF4-FFF2-40B4-BE49-F238E27FC236}">
              <a16:creationId xmlns:a16="http://schemas.microsoft.com/office/drawing/2014/main" id="{F10B4165-3132-4DA4-B20E-9E8B6FC690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0796" y="41807654"/>
          <a:ext cx="2584822" cy="1890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67234</xdr:colOff>
      <xdr:row>101</xdr:row>
      <xdr:rowOff>89649</xdr:rowOff>
    </xdr:from>
    <xdr:to>
      <xdr:col>2</xdr:col>
      <xdr:colOff>2652056</xdr:colOff>
      <xdr:row>104</xdr:row>
      <xdr:rowOff>475130</xdr:rowOff>
    </xdr:to>
    <xdr:pic>
      <xdr:nvPicPr>
        <xdr:cNvPr id="2" name="Picture 1">
          <a:extLst>
            <a:ext uri="{FF2B5EF4-FFF2-40B4-BE49-F238E27FC236}">
              <a16:creationId xmlns:a16="http://schemas.microsoft.com/office/drawing/2014/main" id="{7570FF7B-09F9-4CD9-9039-847A54426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4" y="46939949"/>
          <a:ext cx="2584822" cy="1890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321236</xdr:colOff>
      <xdr:row>101</xdr:row>
      <xdr:rowOff>112059</xdr:rowOff>
    </xdr:from>
    <xdr:to>
      <xdr:col>3</xdr:col>
      <xdr:colOff>2928472</xdr:colOff>
      <xdr:row>104</xdr:row>
      <xdr:rowOff>482600</xdr:rowOff>
    </xdr:to>
    <xdr:pic>
      <xdr:nvPicPr>
        <xdr:cNvPr id="3" name="Picture 2">
          <a:extLst>
            <a:ext uri="{FF2B5EF4-FFF2-40B4-BE49-F238E27FC236}">
              <a16:creationId xmlns:a16="http://schemas.microsoft.com/office/drawing/2014/main" id="{C763B282-670F-4D21-95BF-E22149EE7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32136" y="46962359"/>
          <a:ext cx="2607236" cy="1875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59765</xdr:colOff>
      <xdr:row>66</xdr:row>
      <xdr:rowOff>14941</xdr:rowOff>
    </xdr:from>
    <xdr:to>
      <xdr:col>2</xdr:col>
      <xdr:colOff>2644587</xdr:colOff>
      <xdr:row>69</xdr:row>
      <xdr:rowOff>448607</xdr:rowOff>
    </xdr:to>
    <xdr:pic>
      <xdr:nvPicPr>
        <xdr:cNvPr id="2" name="Picture 1">
          <a:extLst>
            <a:ext uri="{FF2B5EF4-FFF2-40B4-BE49-F238E27FC236}">
              <a16:creationId xmlns:a16="http://schemas.microsoft.com/office/drawing/2014/main" id="{568FC512-7B38-4FD1-A4FA-9FAEF530DB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49487791"/>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313765</xdr:colOff>
      <xdr:row>66</xdr:row>
      <xdr:rowOff>37353</xdr:rowOff>
    </xdr:from>
    <xdr:to>
      <xdr:col>3</xdr:col>
      <xdr:colOff>2921001</xdr:colOff>
      <xdr:row>69</xdr:row>
      <xdr:rowOff>463960</xdr:rowOff>
    </xdr:to>
    <xdr:pic>
      <xdr:nvPicPr>
        <xdr:cNvPr id="3" name="Picture 2">
          <a:extLst>
            <a:ext uri="{FF2B5EF4-FFF2-40B4-BE49-F238E27FC236}">
              <a16:creationId xmlns:a16="http://schemas.microsoft.com/office/drawing/2014/main" id="{062693F6-209D-4881-B4C4-D9946A4BB6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24665" y="4951020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44824</xdr:colOff>
      <xdr:row>106</xdr:row>
      <xdr:rowOff>52294</xdr:rowOff>
    </xdr:from>
    <xdr:to>
      <xdr:col>2</xdr:col>
      <xdr:colOff>2629646</xdr:colOff>
      <xdr:row>109</xdr:row>
      <xdr:rowOff>485960</xdr:rowOff>
    </xdr:to>
    <xdr:pic>
      <xdr:nvPicPr>
        <xdr:cNvPr id="2" name="Picture 1">
          <a:extLst>
            <a:ext uri="{FF2B5EF4-FFF2-40B4-BE49-F238E27FC236}">
              <a16:creationId xmlns:a16="http://schemas.microsoft.com/office/drawing/2014/main" id="{B7D819EB-0208-48E5-A736-1D1AA226B2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5206514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336177</xdr:colOff>
      <xdr:row>106</xdr:row>
      <xdr:rowOff>22411</xdr:rowOff>
    </xdr:from>
    <xdr:to>
      <xdr:col>3</xdr:col>
      <xdr:colOff>2943413</xdr:colOff>
      <xdr:row>109</xdr:row>
      <xdr:rowOff>449018</xdr:rowOff>
    </xdr:to>
    <xdr:pic>
      <xdr:nvPicPr>
        <xdr:cNvPr id="3" name="Picture 2">
          <a:extLst>
            <a:ext uri="{FF2B5EF4-FFF2-40B4-BE49-F238E27FC236}">
              <a16:creationId xmlns:a16="http://schemas.microsoft.com/office/drawing/2014/main" id="{EBEF5F53-CA45-4A1A-8805-AA03F80F3A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47077" y="52035261"/>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373528</xdr:colOff>
      <xdr:row>184</xdr:row>
      <xdr:rowOff>19507</xdr:rowOff>
    </xdr:from>
    <xdr:to>
      <xdr:col>3</xdr:col>
      <xdr:colOff>3040529</xdr:colOff>
      <xdr:row>187</xdr:row>
      <xdr:rowOff>407521</xdr:rowOff>
    </xdr:to>
    <xdr:pic>
      <xdr:nvPicPr>
        <xdr:cNvPr id="2" name="Picture 1">
          <a:extLst>
            <a:ext uri="{FF2B5EF4-FFF2-40B4-BE49-F238E27FC236}">
              <a16:creationId xmlns:a16="http://schemas.microsoft.com/office/drawing/2014/main" id="{00BA107F-5DF5-4196-A61E-B678755F09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84428" y="54572357"/>
          <a:ext cx="2667001" cy="1892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52293</xdr:colOff>
      <xdr:row>183</xdr:row>
      <xdr:rowOff>478118</xdr:rowOff>
    </xdr:from>
    <xdr:to>
      <xdr:col>2</xdr:col>
      <xdr:colOff>2659529</xdr:colOff>
      <xdr:row>187</xdr:row>
      <xdr:rowOff>436283</xdr:rowOff>
    </xdr:to>
    <xdr:pic>
      <xdr:nvPicPr>
        <xdr:cNvPr id="3" name="Picture 2">
          <a:extLst>
            <a:ext uri="{FF2B5EF4-FFF2-40B4-BE49-F238E27FC236}">
              <a16:creationId xmlns:a16="http://schemas.microsoft.com/office/drawing/2014/main" id="{A1B8FBCE-502C-44A3-B205-430DE73439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0793" y="54522968"/>
          <a:ext cx="2607236" cy="1964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59764</xdr:colOff>
      <xdr:row>80</xdr:row>
      <xdr:rowOff>141941</xdr:rowOff>
    </xdr:from>
    <xdr:to>
      <xdr:col>2</xdr:col>
      <xdr:colOff>2644586</xdr:colOff>
      <xdr:row>84</xdr:row>
      <xdr:rowOff>13820</xdr:rowOff>
    </xdr:to>
    <xdr:pic>
      <xdr:nvPicPr>
        <xdr:cNvPr id="2" name="Picture 1">
          <a:extLst>
            <a:ext uri="{FF2B5EF4-FFF2-40B4-BE49-F238E27FC236}">
              <a16:creationId xmlns:a16="http://schemas.microsoft.com/office/drawing/2014/main" id="{8723650B-19AD-44D6-B4F5-56FFD7A598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57234791"/>
          <a:ext cx="2584822" cy="187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291355</xdr:colOff>
      <xdr:row>79</xdr:row>
      <xdr:rowOff>507981</xdr:rowOff>
    </xdr:from>
    <xdr:to>
      <xdr:col>3</xdr:col>
      <xdr:colOff>3100295</xdr:colOff>
      <xdr:row>83</xdr:row>
      <xdr:rowOff>463176</xdr:rowOff>
    </xdr:to>
    <xdr:pic>
      <xdr:nvPicPr>
        <xdr:cNvPr id="3" name="Picture 2">
          <a:extLst>
            <a:ext uri="{FF2B5EF4-FFF2-40B4-BE49-F238E27FC236}">
              <a16:creationId xmlns:a16="http://schemas.microsoft.com/office/drawing/2014/main" id="{D111D4AA-026F-4813-BECC-21BF26608C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02255" y="57092831"/>
          <a:ext cx="2808940" cy="1968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52295</xdr:colOff>
      <xdr:row>100</xdr:row>
      <xdr:rowOff>14942</xdr:rowOff>
    </xdr:from>
    <xdr:to>
      <xdr:col>2</xdr:col>
      <xdr:colOff>2637117</xdr:colOff>
      <xdr:row>103</xdr:row>
      <xdr:rowOff>448608</xdr:rowOff>
    </xdr:to>
    <xdr:pic>
      <xdr:nvPicPr>
        <xdr:cNvPr id="2" name="Picture 1">
          <a:extLst>
            <a:ext uri="{FF2B5EF4-FFF2-40B4-BE49-F238E27FC236}">
              <a16:creationId xmlns:a16="http://schemas.microsoft.com/office/drawing/2014/main" id="{0A8F8BD0-5AB5-4D67-977B-AE4AD7DB4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5" y="5975574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276412</xdr:colOff>
      <xdr:row>99</xdr:row>
      <xdr:rowOff>460401</xdr:rowOff>
    </xdr:from>
    <xdr:to>
      <xdr:col>3</xdr:col>
      <xdr:colOff>2988236</xdr:colOff>
      <xdr:row>103</xdr:row>
      <xdr:rowOff>462841</xdr:rowOff>
    </xdr:to>
    <xdr:pic>
      <xdr:nvPicPr>
        <xdr:cNvPr id="3" name="Picture 2">
          <a:extLst>
            <a:ext uri="{FF2B5EF4-FFF2-40B4-BE49-F238E27FC236}">
              <a16:creationId xmlns:a16="http://schemas.microsoft.com/office/drawing/2014/main" id="{532601F4-E359-47E4-98F0-5BE8CFB992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87312" y="59693201"/>
          <a:ext cx="2711824" cy="2009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59766</xdr:colOff>
      <xdr:row>65</xdr:row>
      <xdr:rowOff>29881</xdr:rowOff>
    </xdr:from>
    <xdr:to>
      <xdr:col>2</xdr:col>
      <xdr:colOff>2644588</xdr:colOff>
      <xdr:row>68</xdr:row>
      <xdr:rowOff>463547</xdr:rowOff>
    </xdr:to>
    <xdr:pic>
      <xdr:nvPicPr>
        <xdr:cNvPr id="2" name="Picture 1">
          <a:extLst>
            <a:ext uri="{FF2B5EF4-FFF2-40B4-BE49-F238E27FC236}">
              <a16:creationId xmlns:a16="http://schemas.microsoft.com/office/drawing/2014/main" id="{3E5F0D9F-77DC-4AA1-A4D8-E9F64AD717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6" y="62310681"/>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380999</xdr:colOff>
      <xdr:row>64</xdr:row>
      <xdr:rowOff>440763</xdr:rowOff>
    </xdr:from>
    <xdr:to>
      <xdr:col>3</xdr:col>
      <xdr:colOff>2948842</xdr:colOff>
      <xdr:row>68</xdr:row>
      <xdr:rowOff>451222</xdr:rowOff>
    </xdr:to>
    <xdr:pic>
      <xdr:nvPicPr>
        <xdr:cNvPr id="3" name="Picture 2">
          <a:extLst>
            <a:ext uri="{FF2B5EF4-FFF2-40B4-BE49-F238E27FC236}">
              <a16:creationId xmlns:a16="http://schemas.microsoft.com/office/drawing/2014/main" id="{31944F3E-4232-434C-AD06-79EDE74BB5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391899" y="62213563"/>
          <a:ext cx="2567843" cy="2017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44822</xdr:colOff>
      <xdr:row>37</xdr:row>
      <xdr:rowOff>119531</xdr:rowOff>
    </xdr:from>
    <xdr:to>
      <xdr:col>2</xdr:col>
      <xdr:colOff>2592294</xdr:colOff>
      <xdr:row>40</xdr:row>
      <xdr:rowOff>467287</xdr:rowOff>
    </xdr:to>
    <xdr:pic>
      <xdr:nvPicPr>
        <xdr:cNvPr id="2" name="Picture 1">
          <a:extLst>
            <a:ext uri="{FF2B5EF4-FFF2-40B4-BE49-F238E27FC236}">
              <a16:creationId xmlns:a16="http://schemas.microsoft.com/office/drawing/2014/main" id="{E53BF488-A386-4698-A25B-3ECD730FF0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2" y="64940331"/>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276411</xdr:colOff>
      <xdr:row>37</xdr:row>
      <xdr:rowOff>67236</xdr:rowOff>
    </xdr:from>
    <xdr:to>
      <xdr:col>3</xdr:col>
      <xdr:colOff>3004285</xdr:colOff>
      <xdr:row>40</xdr:row>
      <xdr:rowOff>470262</xdr:rowOff>
    </xdr:to>
    <xdr:pic>
      <xdr:nvPicPr>
        <xdr:cNvPr id="3" name="Picture 2">
          <a:extLst>
            <a:ext uri="{FF2B5EF4-FFF2-40B4-BE49-F238E27FC236}">
              <a16:creationId xmlns:a16="http://schemas.microsoft.com/office/drawing/2014/main" id="{50EA6835-ADEE-4AAA-9922-CEC6A886EF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87311" y="64888036"/>
          <a:ext cx="2727874" cy="1907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89647</xdr:colOff>
      <xdr:row>36</xdr:row>
      <xdr:rowOff>112058</xdr:rowOff>
    </xdr:from>
    <xdr:to>
      <xdr:col>2</xdr:col>
      <xdr:colOff>2637119</xdr:colOff>
      <xdr:row>39</xdr:row>
      <xdr:rowOff>459814</xdr:rowOff>
    </xdr:to>
    <xdr:pic>
      <xdr:nvPicPr>
        <xdr:cNvPr id="2" name="Picture 1">
          <a:extLst>
            <a:ext uri="{FF2B5EF4-FFF2-40B4-BE49-F238E27FC236}">
              <a16:creationId xmlns:a16="http://schemas.microsoft.com/office/drawing/2014/main" id="{3C0DAB87-A389-424A-BF04-11FD33607F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8147" y="108112858"/>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36</xdr:row>
      <xdr:rowOff>24088</xdr:rowOff>
    </xdr:from>
    <xdr:to>
      <xdr:col>3</xdr:col>
      <xdr:colOff>2995705</xdr:colOff>
      <xdr:row>39</xdr:row>
      <xdr:rowOff>468698</xdr:rowOff>
    </xdr:to>
    <xdr:pic>
      <xdr:nvPicPr>
        <xdr:cNvPr id="3" name="Picture 2">
          <a:extLst>
            <a:ext uri="{FF2B5EF4-FFF2-40B4-BE49-F238E27FC236}">
              <a16:creationId xmlns:a16="http://schemas.microsoft.com/office/drawing/2014/main" id="{264C6AB0-FBDF-4AA5-9235-A8978DD7D8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6958" y="108024888"/>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97</xdr:row>
      <xdr:rowOff>44822</xdr:rowOff>
    </xdr:from>
    <xdr:to>
      <xdr:col>2</xdr:col>
      <xdr:colOff>2629646</xdr:colOff>
      <xdr:row>100</xdr:row>
      <xdr:rowOff>478488</xdr:rowOff>
    </xdr:to>
    <xdr:pic>
      <xdr:nvPicPr>
        <xdr:cNvPr id="2" name="Picture 1">
          <a:extLst>
            <a:ext uri="{FF2B5EF4-FFF2-40B4-BE49-F238E27FC236}">
              <a16:creationId xmlns:a16="http://schemas.microsoft.com/office/drawing/2014/main" id="{2C750DD8-300D-40F0-BE6A-A5FEB7FE87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6740562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231589</xdr:colOff>
      <xdr:row>96</xdr:row>
      <xdr:rowOff>432727</xdr:rowOff>
    </xdr:from>
    <xdr:to>
      <xdr:col>3</xdr:col>
      <xdr:colOff>2980765</xdr:colOff>
      <xdr:row>100</xdr:row>
      <xdr:rowOff>462839</xdr:rowOff>
    </xdr:to>
    <xdr:pic>
      <xdr:nvPicPr>
        <xdr:cNvPr id="3" name="Picture 2">
          <a:extLst>
            <a:ext uri="{FF2B5EF4-FFF2-40B4-BE49-F238E27FC236}">
              <a16:creationId xmlns:a16="http://schemas.microsoft.com/office/drawing/2014/main" id="{A27E4A37-CD72-46FC-BBC6-0536ECAB49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42489" y="67285527"/>
          <a:ext cx="2749176" cy="2036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74707</xdr:colOff>
      <xdr:row>95</xdr:row>
      <xdr:rowOff>14942</xdr:rowOff>
    </xdr:from>
    <xdr:to>
      <xdr:col>2</xdr:col>
      <xdr:colOff>2659529</xdr:colOff>
      <xdr:row>98</xdr:row>
      <xdr:rowOff>448608</xdr:rowOff>
    </xdr:to>
    <xdr:pic>
      <xdr:nvPicPr>
        <xdr:cNvPr id="2" name="Picture 1">
          <a:extLst>
            <a:ext uri="{FF2B5EF4-FFF2-40B4-BE49-F238E27FC236}">
              <a16:creationId xmlns:a16="http://schemas.microsoft.com/office/drawing/2014/main" id="{C89AFD74-64E6-4DB7-A55C-950DE1EC2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3207" y="6991574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440764</xdr:colOff>
      <xdr:row>95</xdr:row>
      <xdr:rowOff>-1</xdr:rowOff>
    </xdr:from>
    <xdr:to>
      <xdr:col>3</xdr:col>
      <xdr:colOff>2951784</xdr:colOff>
      <xdr:row>98</xdr:row>
      <xdr:rowOff>456488</xdr:rowOff>
    </xdr:to>
    <xdr:pic>
      <xdr:nvPicPr>
        <xdr:cNvPr id="3" name="Picture 2">
          <a:extLst>
            <a:ext uri="{FF2B5EF4-FFF2-40B4-BE49-F238E27FC236}">
              <a16:creationId xmlns:a16="http://schemas.microsoft.com/office/drawing/2014/main" id="{4A054D63-12C2-4B51-B49F-5247E47E94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51664" y="69900799"/>
          <a:ext cx="2511020" cy="1961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52294</xdr:colOff>
      <xdr:row>90</xdr:row>
      <xdr:rowOff>37353</xdr:rowOff>
    </xdr:from>
    <xdr:to>
      <xdr:col>2</xdr:col>
      <xdr:colOff>2637116</xdr:colOff>
      <xdr:row>93</xdr:row>
      <xdr:rowOff>471019</xdr:rowOff>
    </xdr:to>
    <xdr:pic>
      <xdr:nvPicPr>
        <xdr:cNvPr id="2" name="Picture 1">
          <a:extLst>
            <a:ext uri="{FF2B5EF4-FFF2-40B4-BE49-F238E27FC236}">
              <a16:creationId xmlns:a16="http://schemas.microsoft.com/office/drawing/2014/main" id="{AEDE9C8A-0D62-495C-8341-C90FBD3A54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7247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328704</xdr:colOff>
      <xdr:row>89</xdr:row>
      <xdr:rowOff>447392</xdr:rowOff>
    </xdr:from>
    <xdr:to>
      <xdr:col>3</xdr:col>
      <xdr:colOff>3048000</xdr:colOff>
      <xdr:row>93</xdr:row>
      <xdr:rowOff>455368</xdr:rowOff>
    </xdr:to>
    <xdr:pic>
      <xdr:nvPicPr>
        <xdr:cNvPr id="3" name="Picture 2">
          <a:extLst>
            <a:ext uri="{FF2B5EF4-FFF2-40B4-BE49-F238E27FC236}">
              <a16:creationId xmlns:a16="http://schemas.microsoft.com/office/drawing/2014/main" id="{0F50DB35-3BF4-4E28-97DD-FA1194E803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39604" y="72380192"/>
          <a:ext cx="2719296" cy="20145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29882</xdr:colOff>
      <xdr:row>70</xdr:row>
      <xdr:rowOff>37354</xdr:rowOff>
    </xdr:from>
    <xdr:to>
      <xdr:col>2</xdr:col>
      <xdr:colOff>2614704</xdr:colOff>
      <xdr:row>73</xdr:row>
      <xdr:rowOff>471020</xdr:rowOff>
    </xdr:to>
    <xdr:pic>
      <xdr:nvPicPr>
        <xdr:cNvPr id="2" name="Picture 1">
          <a:extLst>
            <a:ext uri="{FF2B5EF4-FFF2-40B4-BE49-F238E27FC236}">
              <a16:creationId xmlns:a16="http://schemas.microsoft.com/office/drawing/2014/main" id="{FE50B13E-4074-4C87-A601-166E325C37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8382" y="7501815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410882</xdr:colOff>
      <xdr:row>69</xdr:row>
      <xdr:rowOff>462064</xdr:rowOff>
    </xdr:from>
    <xdr:to>
      <xdr:col>3</xdr:col>
      <xdr:colOff>3100293</xdr:colOff>
      <xdr:row>73</xdr:row>
      <xdr:rowOff>447900</xdr:rowOff>
    </xdr:to>
    <xdr:pic>
      <xdr:nvPicPr>
        <xdr:cNvPr id="3" name="Picture 2">
          <a:extLst>
            <a:ext uri="{FF2B5EF4-FFF2-40B4-BE49-F238E27FC236}">
              <a16:creationId xmlns:a16="http://schemas.microsoft.com/office/drawing/2014/main" id="{0D61AD69-239F-4C49-8AAB-E3A9E49D2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21782" y="74934864"/>
          <a:ext cx="2689411" cy="19924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37353</xdr:colOff>
      <xdr:row>94</xdr:row>
      <xdr:rowOff>29882</xdr:rowOff>
    </xdr:from>
    <xdr:to>
      <xdr:col>2</xdr:col>
      <xdr:colOff>2622175</xdr:colOff>
      <xdr:row>97</xdr:row>
      <xdr:rowOff>463548</xdr:rowOff>
    </xdr:to>
    <xdr:pic>
      <xdr:nvPicPr>
        <xdr:cNvPr id="2" name="Picture 1">
          <a:extLst>
            <a:ext uri="{FF2B5EF4-FFF2-40B4-BE49-F238E27FC236}">
              <a16:creationId xmlns:a16="http://schemas.microsoft.com/office/drawing/2014/main" id="{614CC1B6-ED4E-4717-9B1A-D31917033D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77550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330709</xdr:colOff>
      <xdr:row>94</xdr:row>
      <xdr:rowOff>23392</xdr:rowOff>
    </xdr:from>
    <xdr:to>
      <xdr:col>3</xdr:col>
      <xdr:colOff>2973294</xdr:colOff>
      <xdr:row>97</xdr:row>
      <xdr:rowOff>471431</xdr:rowOff>
    </xdr:to>
    <xdr:pic>
      <xdr:nvPicPr>
        <xdr:cNvPr id="3" name="Picture 2">
          <a:extLst>
            <a:ext uri="{FF2B5EF4-FFF2-40B4-BE49-F238E27FC236}">
              <a16:creationId xmlns:a16="http://schemas.microsoft.com/office/drawing/2014/main" id="{363774CF-FCF3-4C47-9CD5-804DE88B6B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41609" y="77544192"/>
          <a:ext cx="2642585" cy="1952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3</xdr:col>
      <xdr:colOff>410881</xdr:colOff>
      <xdr:row>145</xdr:row>
      <xdr:rowOff>44825</xdr:rowOff>
    </xdr:from>
    <xdr:ext cx="2607236" cy="1931557"/>
    <xdr:pic>
      <xdr:nvPicPr>
        <xdr:cNvPr id="2" name="Picture 1">
          <a:extLst>
            <a:ext uri="{FF2B5EF4-FFF2-40B4-BE49-F238E27FC236}">
              <a16:creationId xmlns:a16="http://schemas.microsoft.com/office/drawing/2014/main" id="{9537D356-8CC5-4B02-B8A8-76F5D1D24A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21781" y="851856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52295</xdr:colOff>
      <xdr:row>145</xdr:row>
      <xdr:rowOff>2</xdr:rowOff>
    </xdr:from>
    <xdr:to>
      <xdr:col>2</xdr:col>
      <xdr:colOff>2637117</xdr:colOff>
      <xdr:row>148</xdr:row>
      <xdr:rowOff>433668</xdr:rowOff>
    </xdr:to>
    <xdr:pic>
      <xdr:nvPicPr>
        <xdr:cNvPr id="3" name="Picture 2">
          <a:extLst>
            <a:ext uri="{FF2B5EF4-FFF2-40B4-BE49-F238E27FC236}">
              <a16:creationId xmlns:a16="http://schemas.microsoft.com/office/drawing/2014/main" id="{19D68F56-111C-4C5A-A393-6BE476EE1D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0795" y="8514080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59764</xdr:colOff>
      <xdr:row>137</xdr:row>
      <xdr:rowOff>29883</xdr:rowOff>
    </xdr:from>
    <xdr:to>
      <xdr:col>2</xdr:col>
      <xdr:colOff>2644586</xdr:colOff>
      <xdr:row>140</xdr:row>
      <xdr:rowOff>463549</xdr:rowOff>
    </xdr:to>
    <xdr:pic>
      <xdr:nvPicPr>
        <xdr:cNvPr id="2" name="Picture 1">
          <a:extLst>
            <a:ext uri="{FF2B5EF4-FFF2-40B4-BE49-F238E27FC236}">
              <a16:creationId xmlns:a16="http://schemas.microsoft.com/office/drawing/2014/main" id="{D3AE7B08-9DCD-4262-BFCA-3AF53E6FC3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80090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136</xdr:row>
      <xdr:rowOff>431066</xdr:rowOff>
    </xdr:from>
    <xdr:to>
      <xdr:col>3</xdr:col>
      <xdr:colOff>3070412</xdr:colOff>
      <xdr:row>140</xdr:row>
      <xdr:rowOff>477784</xdr:rowOff>
    </xdr:to>
    <xdr:pic>
      <xdr:nvPicPr>
        <xdr:cNvPr id="3" name="Picture 2">
          <a:extLst>
            <a:ext uri="{FF2B5EF4-FFF2-40B4-BE49-F238E27FC236}">
              <a16:creationId xmlns:a16="http://schemas.microsoft.com/office/drawing/2014/main" id="{A33BD4A4-14EE-4850-B329-E77AED3081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09722" y="79983866"/>
          <a:ext cx="2771590" cy="2053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52295</xdr:colOff>
      <xdr:row>88</xdr:row>
      <xdr:rowOff>14940</xdr:rowOff>
    </xdr:from>
    <xdr:to>
      <xdr:col>2</xdr:col>
      <xdr:colOff>2637117</xdr:colOff>
      <xdr:row>91</xdr:row>
      <xdr:rowOff>448606</xdr:rowOff>
    </xdr:to>
    <xdr:pic>
      <xdr:nvPicPr>
        <xdr:cNvPr id="2" name="Picture 1">
          <a:extLst>
            <a:ext uri="{FF2B5EF4-FFF2-40B4-BE49-F238E27FC236}">
              <a16:creationId xmlns:a16="http://schemas.microsoft.com/office/drawing/2014/main" id="{9B4394D1-D0FF-4E96-B44A-9C0C6C443BA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5" y="82615740"/>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388470</xdr:colOff>
      <xdr:row>88</xdr:row>
      <xdr:rowOff>22413</xdr:rowOff>
    </xdr:from>
    <xdr:to>
      <xdr:col>3</xdr:col>
      <xdr:colOff>2995706</xdr:colOff>
      <xdr:row>91</xdr:row>
      <xdr:rowOff>449020</xdr:rowOff>
    </xdr:to>
    <xdr:pic>
      <xdr:nvPicPr>
        <xdr:cNvPr id="3" name="Picture 2">
          <a:extLst>
            <a:ext uri="{FF2B5EF4-FFF2-40B4-BE49-F238E27FC236}">
              <a16:creationId xmlns:a16="http://schemas.microsoft.com/office/drawing/2014/main" id="{23F9F8D8-7A26-46BE-BEEC-F61BAC9643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99370" y="8262321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44824</xdr:colOff>
      <xdr:row>88</xdr:row>
      <xdr:rowOff>22413</xdr:rowOff>
    </xdr:from>
    <xdr:to>
      <xdr:col>2</xdr:col>
      <xdr:colOff>2629646</xdr:colOff>
      <xdr:row>91</xdr:row>
      <xdr:rowOff>456079</xdr:rowOff>
    </xdr:to>
    <xdr:pic>
      <xdr:nvPicPr>
        <xdr:cNvPr id="2" name="Picture 1">
          <a:extLst>
            <a:ext uri="{FF2B5EF4-FFF2-40B4-BE49-F238E27FC236}">
              <a16:creationId xmlns:a16="http://schemas.microsoft.com/office/drawing/2014/main" id="{72CAFF75-6A0C-4E4C-A801-07B6FE36D7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8770321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366058</xdr:colOff>
      <xdr:row>88</xdr:row>
      <xdr:rowOff>7470</xdr:rowOff>
    </xdr:from>
    <xdr:to>
      <xdr:col>3</xdr:col>
      <xdr:colOff>2973294</xdr:colOff>
      <xdr:row>91</xdr:row>
      <xdr:rowOff>434077</xdr:rowOff>
    </xdr:to>
    <xdr:pic>
      <xdr:nvPicPr>
        <xdr:cNvPr id="3" name="Picture 2">
          <a:extLst>
            <a:ext uri="{FF2B5EF4-FFF2-40B4-BE49-F238E27FC236}">
              <a16:creationId xmlns:a16="http://schemas.microsoft.com/office/drawing/2014/main" id="{B24FB4DB-400A-4812-8F6C-6F36D665A1D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6958" y="87688270"/>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44823</xdr:colOff>
      <xdr:row>107</xdr:row>
      <xdr:rowOff>22411</xdr:rowOff>
    </xdr:from>
    <xdr:to>
      <xdr:col>2</xdr:col>
      <xdr:colOff>2629645</xdr:colOff>
      <xdr:row>110</xdr:row>
      <xdr:rowOff>456077</xdr:rowOff>
    </xdr:to>
    <xdr:pic>
      <xdr:nvPicPr>
        <xdr:cNvPr id="2" name="Picture 1">
          <a:extLst>
            <a:ext uri="{FF2B5EF4-FFF2-40B4-BE49-F238E27FC236}">
              <a16:creationId xmlns:a16="http://schemas.microsoft.com/office/drawing/2014/main" id="{D566E57F-2B48-4F9C-A21C-D1AC90EDC7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90243211"/>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336174</xdr:colOff>
      <xdr:row>107</xdr:row>
      <xdr:rowOff>29883</xdr:rowOff>
    </xdr:from>
    <xdr:to>
      <xdr:col>3</xdr:col>
      <xdr:colOff>2943410</xdr:colOff>
      <xdr:row>110</xdr:row>
      <xdr:rowOff>456490</xdr:rowOff>
    </xdr:to>
    <xdr:pic>
      <xdr:nvPicPr>
        <xdr:cNvPr id="3" name="Picture 2">
          <a:extLst>
            <a:ext uri="{FF2B5EF4-FFF2-40B4-BE49-F238E27FC236}">
              <a16:creationId xmlns:a16="http://schemas.microsoft.com/office/drawing/2014/main" id="{E53ADDB9-8DAD-4BEA-8D63-AFACDB4FB9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47074" y="90250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22412</xdr:colOff>
      <xdr:row>96</xdr:row>
      <xdr:rowOff>14940</xdr:rowOff>
    </xdr:from>
    <xdr:to>
      <xdr:col>2</xdr:col>
      <xdr:colOff>2607234</xdr:colOff>
      <xdr:row>99</xdr:row>
      <xdr:rowOff>448606</xdr:rowOff>
    </xdr:to>
    <xdr:pic>
      <xdr:nvPicPr>
        <xdr:cNvPr id="2" name="Picture 1">
          <a:extLst>
            <a:ext uri="{FF2B5EF4-FFF2-40B4-BE49-F238E27FC236}">
              <a16:creationId xmlns:a16="http://schemas.microsoft.com/office/drawing/2014/main" id="{94C01F4C-ABC9-4369-976C-F933B85D04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0912" y="92775740"/>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298822</xdr:colOff>
      <xdr:row>96</xdr:row>
      <xdr:rowOff>149627</xdr:rowOff>
    </xdr:from>
    <xdr:to>
      <xdr:col>3</xdr:col>
      <xdr:colOff>3018117</xdr:colOff>
      <xdr:row>99</xdr:row>
      <xdr:rowOff>452344</xdr:rowOff>
    </xdr:to>
    <xdr:pic>
      <xdr:nvPicPr>
        <xdr:cNvPr id="3" name="Picture 2">
          <a:extLst>
            <a:ext uri="{FF2B5EF4-FFF2-40B4-BE49-F238E27FC236}">
              <a16:creationId xmlns:a16="http://schemas.microsoft.com/office/drawing/2014/main" id="{6D9561AB-F681-4C6C-B822-60700B51E1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09722" y="92910427"/>
          <a:ext cx="2719295" cy="1807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44824</xdr:colOff>
      <xdr:row>143</xdr:row>
      <xdr:rowOff>22412</xdr:rowOff>
    </xdr:from>
    <xdr:to>
      <xdr:col>2</xdr:col>
      <xdr:colOff>2629646</xdr:colOff>
      <xdr:row>146</xdr:row>
      <xdr:rowOff>355226</xdr:rowOff>
    </xdr:to>
    <xdr:pic>
      <xdr:nvPicPr>
        <xdr:cNvPr id="2" name="Picture 1">
          <a:extLst>
            <a:ext uri="{FF2B5EF4-FFF2-40B4-BE49-F238E27FC236}">
              <a16:creationId xmlns:a16="http://schemas.microsoft.com/office/drawing/2014/main" id="{8D18FAC1-F3F1-4346-815C-061B15F5C3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95323212"/>
          <a:ext cx="2584822" cy="18377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268940</xdr:colOff>
      <xdr:row>142</xdr:row>
      <xdr:rowOff>467598</xdr:rowOff>
    </xdr:from>
    <xdr:to>
      <xdr:col>3</xdr:col>
      <xdr:colOff>2950882</xdr:colOff>
      <xdr:row>146</xdr:row>
      <xdr:rowOff>398930</xdr:rowOff>
    </xdr:to>
    <xdr:pic>
      <xdr:nvPicPr>
        <xdr:cNvPr id="3" name="Picture 2">
          <a:extLst>
            <a:ext uri="{FF2B5EF4-FFF2-40B4-BE49-F238E27FC236}">
              <a16:creationId xmlns:a16="http://schemas.microsoft.com/office/drawing/2014/main" id="{2AD13C5B-5831-495D-BB66-2A55B9BF6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79840" y="95260398"/>
          <a:ext cx="2681942" cy="1937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161177</xdr:colOff>
      <xdr:row>92</xdr:row>
      <xdr:rowOff>465979</xdr:rowOff>
    </xdr:from>
    <xdr:to>
      <xdr:col>2</xdr:col>
      <xdr:colOff>2745999</xdr:colOff>
      <xdr:row>96</xdr:row>
      <xdr:rowOff>394820</xdr:rowOff>
    </xdr:to>
    <xdr:pic>
      <xdr:nvPicPr>
        <xdr:cNvPr id="2" name="Picture 1">
          <a:extLst>
            <a:ext uri="{FF2B5EF4-FFF2-40B4-BE49-F238E27FC236}">
              <a16:creationId xmlns:a16="http://schemas.microsoft.com/office/drawing/2014/main" id="{6F99A051-9E39-4E72-B19E-C968E0C647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1277" y="19287379"/>
          <a:ext cx="2584822" cy="194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381001</xdr:colOff>
      <xdr:row>93</xdr:row>
      <xdr:rowOff>52294</xdr:rowOff>
    </xdr:from>
    <xdr:to>
      <xdr:col>3</xdr:col>
      <xdr:colOff>2988237</xdr:colOff>
      <xdr:row>96</xdr:row>
      <xdr:rowOff>478901</xdr:rowOff>
    </xdr:to>
    <xdr:pic>
      <xdr:nvPicPr>
        <xdr:cNvPr id="3" name="Picture 2">
          <a:extLst>
            <a:ext uri="{FF2B5EF4-FFF2-40B4-BE49-F238E27FC236}">
              <a16:creationId xmlns:a16="http://schemas.microsoft.com/office/drawing/2014/main" id="{5487AB7C-4A03-41CB-A1F4-89CA93FEFB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91901" y="97893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oneCellAnchor>
    <xdr:from>
      <xdr:col>3</xdr:col>
      <xdr:colOff>254000</xdr:colOff>
      <xdr:row>69</xdr:row>
      <xdr:rowOff>37353</xdr:rowOff>
    </xdr:from>
    <xdr:ext cx="2607236" cy="1931557"/>
    <xdr:pic>
      <xdr:nvPicPr>
        <xdr:cNvPr id="2" name="Picture 1">
          <a:extLst>
            <a:ext uri="{FF2B5EF4-FFF2-40B4-BE49-F238E27FC236}">
              <a16:creationId xmlns:a16="http://schemas.microsoft.com/office/drawing/2014/main" id="{3348B418-1B5A-448B-95CC-1F45F6E7DD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64900" y="443476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200025</xdr:colOff>
      <xdr:row>68</xdr:row>
      <xdr:rowOff>314325</xdr:rowOff>
    </xdr:from>
    <xdr:to>
      <xdr:col>2</xdr:col>
      <xdr:colOff>2784847</xdr:colOff>
      <xdr:row>72</xdr:row>
      <xdr:rowOff>243166</xdr:rowOff>
    </xdr:to>
    <xdr:pic>
      <xdr:nvPicPr>
        <xdr:cNvPr id="4" name="Picture 3">
          <a:extLst>
            <a:ext uri="{FF2B5EF4-FFF2-40B4-BE49-F238E27FC236}">
              <a16:creationId xmlns:a16="http://schemas.microsoft.com/office/drawing/2014/main" id="{6FB49DA4-7FC9-4DF8-9494-A74BF514DA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0125" y="14335125"/>
          <a:ext cx="2584822" cy="194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52294</xdr:colOff>
      <xdr:row>87</xdr:row>
      <xdr:rowOff>29882</xdr:rowOff>
    </xdr:from>
    <xdr:to>
      <xdr:col>2</xdr:col>
      <xdr:colOff>2637116</xdr:colOff>
      <xdr:row>90</xdr:row>
      <xdr:rowOff>463548</xdr:rowOff>
    </xdr:to>
    <xdr:pic>
      <xdr:nvPicPr>
        <xdr:cNvPr id="2" name="Picture 1">
          <a:extLst>
            <a:ext uri="{FF2B5EF4-FFF2-40B4-BE49-F238E27FC236}">
              <a16:creationId xmlns:a16="http://schemas.microsoft.com/office/drawing/2014/main" id="{A15CFAC6-7C43-4769-A430-1B18BFD835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100410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321233</xdr:colOff>
      <xdr:row>86</xdr:row>
      <xdr:rowOff>460674</xdr:rowOff>
    </xdr:from>
    <xdr:to>
      <xdr:col>3</xdr:col>
      <xdr:colOff>3062940</xdr:colOff>
      <xdr:row>90</xdr:row>
      <xdr:rowOff>485253</xdr:rowOff>
    </xdr:to>
    <xdr:pic>
      <xdr:nvPicPr>
        <xdr:cNvPr id="3" name="Picture 2">
          <a:extLst>
            <a:ext uri="{FF2B5EF4-FFF2-40B4-BE49-F238E27FC236}">
              <a16:creationId xmlns:a16="http://schemas.microsoft.com/office/drawing/2014/main" id="{9AD81A28-FA96-4DD4-97FF-0AEEB8ED28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32133" y="100333474"/>
          <a:ext cx="2741707" cy="20311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52295</xdr:colOff>
      <xdr:row>67</xdr:row>
      <xdr:rowOff>22412</xdr:rowOff>
    </xdr:from>
    <xdr:to>
      <xdr:col>2</xdr:col>
      <xdr:colOff>2637117</xdr:colOff>
      <xdr:row>70</xdr:row>
      <xdr:rowOff>456078</xdr:rowOff>
    </xdr:to>
    <xdr:pic>
      <xdr:nvPicPr>
        <xdr:cNvPr id="2" name="Picture 1">
          <a:extLst>
            <a:ext uri="{FF2B5EF4-FFF2-40B4-BE49-F238E27FC236}">
              <a16:creationId xmlns:a16="http://schemas.microsoft.com/office/drawing/2014/main" id="{0E7F64FE-DDC2-4247-9138-31669AFB37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5" y="10294321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321235</xdr:colOff>
      <xdr:row>66</xdr:row>
      <xdr:rowOff>436598</xdr:rowOff>
    </xdr:from>
    <xdr:to>
      <xdr:col>3</xdr:col>
      <xdr:colOff>3085352</xdr:colOff>
      <xdr:row>70</xdr:row>
      <xdr:rowOff>477779</xdr:rowOff>
    </xdr:to>
    <xdr:pic>
      <xdr:nvPicPr>
        <xdr:cNvPr id="3" name="Picture 2">
          <a:extLst>
            <a:ext uri="{FF2B5EF4-FFF2-40B4-BE49-F238E27FC236}">
              <a16:creationId xmlns:a16="http://schemas.microsoft.com/office/drawing/2014/main" id="{E00BFBDB-E1A0-474B-B201-312DFE62B3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32135" y="102849398"/>
          <a:ext cx="2764117" cy="20477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44824</xdr:colOff>
      <xdr:row>115</xdr:row>
      <xdr:rowOff>44824</xdr:rowOff>
    </xdr:from>
    <xdr:to>
      <xdr:col>2</xdr:col>
      <xdr:colOff>2629646</xdr:colOff>
      <xdr:row>118</xdr:row>
      <xdr:rowOff>478490</xdr:rowOff>
    </xdr:to>
    <xdr:pic>
      <xdr:nvPicPr>
        <xdr:cNvPr id="2" name="Picture 1">
          <a:extLst>
            <a:ext uri="{FF2B5EF4-FFF2-40B4-BE49-F238E27FC236}">
              <a16:creationId xmlns:a16="http://schemas.microsoft.com/office/drawing/2014/main" id="{9B072A03-FCBD-4962-B2A8-251893B03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10550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336176</xdr:colOff>
      <xdr:row>115</xdr:row>
      <xdr:rowOff>14942</xdr:rowOff>
    </xdr:from>
    <xdr:to>
      <xdr:col>3</xdr:col>
      <xdr:colOff>2965823</xdr:colOff>
      <xdr:row>118</xdr:row>
      <xdr:rowOff>459552</xdr:rowOff>
    </xdr:to>
    <xdr:pic>
      <xdr:nvPicPr>
        <xdr:cNvPr id="3" name="Picture 2">
          <a:extLst>
            <a:ext uri="{FF2B5EF4-FFF2-40B4-BE49-F238E27FC236}">
              <a16:creationId xmlns:a16="http://schemas.microsoft.com/office/drawing/2014/main" id="{804690B3-6A8C-4281-BCA4-BE25F21FB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47076" y="105475742"/>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71BE-45DE-4A4E-BD6F-93B5BB81644E}">
  <dimension ref="A1:C35"/>
  <sheetViews>
    <sheetView tabSelected="1" workbookViewId="0">
      <selection sqref="A1:B1"/>
    </sheetView>
  </sheetViews>
  <sheetFormatPr defaultRowHeight="15" x14ac:dyDescent="0.25"/>
  <cols>
    <col min="1" max="1" width="8.5703125" bestFit="1" customWidth="1"/>
    <col min="2" max="2" width="39.7109375" bestFit="1" customWidth="1"/>
    <col min="3" max="3" width="11.140625" bestFit="1" customWidth="1"/>
  </cols>
  <sheetData>
    <row r="1" spans="1:3" x14ac:dyDescent="0.25">
      <c r="A1" s="107" t="s">
        <v>109</v>
      </c>
      <c r="B1" s="107"/>
    </row>
    <row r="2" spans="1:3" x14ac:dyDescent="0.25">
      <c r="A2" s="108" t="s">
        <v>110</v>
      </c>
      <c r="B2" s="108"/>
    </row>
    <row r="3" spans="1:3" x14ac:dyDescent="0.25">
      <c r="A3" s="14" t="s">
        <v>111</v>
      </c>
      <c r="B3" s="14" t="s">
        <v>112</v>
      </c>
      <c r="C3" s="14" t="s">
        <v>113</v>
      </c>
    </row>
    <row r="4" spans="1:3" x14ac:dyDescent="0.25">
      <c r="A4" s="13" t="s">
        <v>43</v>
      </c>
      <c r="B4" s="12" t="s">
        <v>44</v>
      </c>
      <c r="C4" s="12" t="s">
        <v>42</v>
      </c>
    </row>
    <row r="5" spans="1:3" x14ac:dyDescent="0.25">
      <c r="A5" s="13" t="s">
        <v>45</v>
      </c>
      <c r="B5" s="12" t="s">
        <v>46</v>
      </c>
      <c r="C5" s="12" t="s">
        <v>47</v>
      </c>
    </row>
    <row r="6" spans="1:3" x14ac:dyDescent="0.25">
      <c r="A6" s="13" t="s">
        <v>48</v>
      </c>
      <c r="B6" s="12" t="s">
        <v>49</v>
      </c>
      <c r="C6" s="12" t="s">
        <v>47</v>
      </c>
    </row>
    <row r="7" spans="1:3" x14ac:dyDescent="0.25">
      <c r="A7" s="13" t="s">
        <v>50</v>
      </c>
      <c r="B7" s="12" t="s">
        <v>51</v>
      </c>
      <c r="C7" s="12" t="s">
        <v>47</v>
      </c>
    </row>
    <row r="8" spans="1:3" x14ac:dyDescent="0.25">
      <c r="A8" s="13" t="s">
        <v>52</v>
      </c>
      <c r="B8" s="12" t="s">
        <v>53</v>
      </c>
      <c r="C8" s="12" t="s">
        <v>47</v>
      </c>
    </row>
    <row r="9" spans="1:3" x14ac:dyDescent="0.25">
      <c r="A9" s="13" t="s">
        <v>54</v>
      </c>
      <c r="B9" s="12" t="s">
        <v>55</v>
      </c>
      <c r="C9" s="12" t="s">
        <v>47</v>
      </c>
    </row>
    <row r="10" spans="1:3" x14ac:dyDescent="0.25">
      <c r="A10" s="13" t="s">
        <v>56</v>
      </c>
      <c r="B10" s="12" t="s">
        <v>57</v>
      </c>
      <c r="C10" s="12" t="s">
        <v>47</v>
      </c>
    </row>
    <row r="11" spans="1:3" x14ac:dyDescent="0.25">
      <c r="A11" s="13" t="s">
        <v>58</v>
      </c>
      <c r="B11" s="12" t="s">
        <v>59</v>
      </c>
      <c r="C11" s="12" t="s">
        <v>47</v>
      </c>
    </row>
    <row r="12" spans="1:3" x14ac:dyDescent="0.25">
      <c r="A12" s="13" t="s">
        <v>60</v>
      </c>
      <c r="B12" s="12" t="s">
        <v>61</v>
      </c>
      <c r="C12" s="12" t="s">
        <v>47</v>
      </c>
    </row>
    <row r="13" spans="1:3" x14ac:dyDescent="0.25">
      <c r="A13" s="13" t="s">
        <v>62</v>
      </c>
      <c r="B13" s="12" t="s">
        <v>63</v>
      </c>
      <c r="C13" s="12" t="s">
        <v>41</v>
      </c>
    </row>
    <row r="14" spans="1:3" x14ac:dyDescent="0.25">
      <c r="A14" s="13" t="s">
        <v>64</v>
      </c>
      <c r="B14" s="12" t="s">
        <v>65</v>
      </c>
      <c r="C14" s="12" t="s">
        <v>47</v>
      </c>
    </row>
    <row r="15" spans="1:3" x14ac:dyDescent="0.25">
      <c r="A15" s="13" t="s">
        <v>66</v>
      </c>
      <c r="B15" s="12" t="s">
        <v>67</v>
      </c>
      <c r="C15" s="12" t="s">
        <v>47</v>
      </c>
    </row>
    <row r="16" spans="1:3" x14ac:dyDescent="0.25">
      <c r="A16" s="13" t="s">
        <v>68</v>
      </c>
      <c r="B16" s="12" t="s">
        <v>69</v>
      </c>
      <c r="C16" s="12" t="s">
        <v>47</v>
      </c>
    </row>
    <row r="17" spans="1:3" x14ac:dyDescent="0.25">
      <c r="A17" s="13" t="s">
        <v>70</v>
      </c>
      <c r="B17" s="12" t="s">
        <v>71</v>
      </c>
      <c r="C17" s="12" t="s">
        <v>72</v>
      </c>
    </row>
    <row r="18" spans="1:3" x14ac:dyDescent="0.25">
      <c r="A18" s="13" t="s">
        <v>73</v>
      </c>
      <c r="B18" s="12" t="s">
        <v>74</v>
      </c>
      <c r="C18" s="12" t="s">
        <v>72</v>
      </c>
    </row>
    <row r="19" spans="1:3" x14ac:dyDescent="0.25">
      <c r="A19" s="13" t="s">
        <v>75</v>
      </c>
      <c r="B19" s="12" t="s">
        <v>76</v>
      </c>
      <c r="C19" s="12" t="s">
        <v>47</v>
      </c>
    </row>
    <row r="20" spans="1:3" x14ac:dyDescent="0.25">
      <c r="A20" s="13" t="s">
        <v>77</v>
      </c>
      <c r="B20" s="12" t="s">
        <v>78</v>
      </c>
      <c r="C20" s="12" t="s">
        <v>47</v>
      </c>
    </row>
    <row r="21" spans="1:3" x14ac:dyDescent="0.25">
      <c r="A21" s="13" t="s">
        <v>79</v>
      </c>
      <c r="B21" s="12" t="s">
        <v>80</v>
      </c>
      <c r="C21" s="12" t="s">
        <v>47</v>
      </c>
    </row>
    <row r="22" spans="1:3" x14ac:dyDescent="0.25">
      <c r="A22" s="13" t="s">
        <v>81</v>
      </c>
      <c r="B22" s="12" t="s">
        <v>82</v>
      </c>
      <c r="C22" s="12" t="s">
        <v>47</v>
      </c>
    </row>
    <row r="23" spans="1:3" x14ac:dyDescent="0.25">
      <c r="A23" s="13" t="s">
        <v>83</v>
      </c>
      <c r="B23" s="12" t="s">
        <v>84</v>
      </c>
      <c r="C23" s="12" t="s">
        <v>47</v>
      </c>
    </row>
    <row r="24" spans="1:3" x14ac:dyDescent="0.25">
      <c r="A24" s="13" t="s">
        <v>85</v>
      </c>
      <c r="B24" s="12" t="s">
        <v>86</v>
      </c>
      <c r="C24" s="12" t="s">
        <v>47</v>
      </c>
    </row>
    <row r="25" spans="1:3" x14ac:dyDescent="0.25">
      <c r="A25" s="13" t="s">
        <v>87</v>
      </c>
      <c r="B25" s="12" t="s">
        <v>88</v>
      </c>
      <c r="C25" s="12" t="s">
        <v>47</v>
      </c>
    </row>
    <row r="26" spans="1:3" x14ac:dyDescent="0.25">
      <c r="A26" s="13" t="s">
        <v>89</v>
      </c>
      <c r="B26" s="12" t="s">
        <v>90</v>
      </c>
      <c r="C26" s="12" t="s">
        <v>47</v>
      </c>
    </row>
    <row r="27" spans="1:3" x14ac:dyDescent="0.25">
      <c r="A27" s="13" t="s">
        <v>91</v>
      </c>
      <c r="B27" s="12" t="s">
        <v>92</v>
      </c>
      <c r="C27" s="12" t="s">
        <v>47</v>
      </c>
    </row>
    <row r="28" spans="1:3" x14ac:dyDescent="0.25">
      <c r="A28" s="13" t="s">
        <v>93</v>
      </c>
      <c r="B28" s="12" t="s">
        <v>94</v>
      </c>
      <c r="C28" s="12" t="s">
        <v>47</v>
      </c>
    </row>
    <row r="29" spans="1:3" x14ac:dyDescent="0.25">
      <c r="A29" s="13" t="s">
        <v>95</v>
      </c>
      <c r="B29" s="12" t="s">
        <v>96</v>
      </c>
      <c r="C29" s="12" t="s">
        <v>47</v>
      </c>
    </row>
    <row r="30" spans="1:3" x14ac:dyDescent="0.25">
      <c r="A30" s="13" t="s">
        <v>97</v>
      </c>
      <c r="B30" s="12" t="s">
        <v>98</v>
      </c>
      <c r="C30" s="12" t="s">
        <v>47</v>
      </c>
    </row>
    <row r="31" spans="1:3" x14ac:dyDescent="0.25">
      <c r="A31" s="13" t="s">
        <v>99</v>
      </c>
      <c r="B31" s="12" t="s">
        <v>100</v>
      </c>
      <c r="C31" s="12" t="s">
        <v>47</v>
      </c>
    </row>
    <row r="32" spans="1:3" x14ac:dyDescent="0.25">
      <c r="A32" s="13" t="s">
        <v>101</v>
      </c>
      <c r="B32" s="12" t="s">
        <v>102</v>
      </c>
      <c r="C32" s="12" t="s">
        <v>47</v>
      </c>
    </row>
    <row r="33" spans="1:3" x14ac:dyDescent="0.25">
      <c r="A33" s="13" t="s">
        <v>103</v>
      </c>
      <c r="B33" s="12" t="s">
        <v>104</v>
      </c>
      <c r="C33" s="12" t="s">
        <v>47</v>
      </c>
    </row>
    <row r="34" spans="1:3" x14ac:dyDescent="0.25">
      <c r="A34" s="13" t="s">
        <v>105</v>
      </c>
      <c r="B34" s="12" t="s">
        <v>106</v>
      </c>
      <c r="C34" s="12" t="s">
        <v>47</v>
      </c>
    </row>
    <row r="35" spans="1:3" x14ac:dyDescent="0.25">
      <c r="A35" s="13" t="s">
        <v>107</v>
      </c>
      <c r="B35" s="12" t="s">
        <v>108</v>
      </c>
      <c r="C35" s="12" t="s">
        <v>47</v>
      </c>
    </row>
  </sheetData>
  <mergeCells count="2">
    <mergeCell ref="A1:B1"/>
    <mergeCell ref="A2:B2"/>
  </mergeCells>
  <hyperlinks>
    <hyperlink ref="A4" location="'LEARBF'!A1" display="LEARBF" xr:uid="{0925649B-B756-401A-8CA2-C23D28827D54}"/>
    <hyperlink ref="A5" location="'LEBADF'!A1" display="LEBADF" xr:uid="{545B0996-28F2-44C8-917B-C331E68B75EF}"/>
    <hyperlink ref="A6" location="'LEBALF'!A1" display="LEBALF" xr:uid="{C555EED6-A8C6-410E-8315-A6691B97AF25}"/>
    <hyperlink ref="A7" location="'LEBFSF'!A1" display="LEBFSF" xr:uid="{086C8A01-8A1D-4073-8E4B-F2FB999C1F61}"/>
    <hyperlink ref="A8" location="'LECHID'!A1" display="LECHID" xr:uid="{F5989DB6-13D4-440F-81B5-90C886E3380D}"/>
    <hyperlink ref="A9" location="'LECOSF'!A1" display="LECOSF" xr:uid="{F78A6EB6-F8FB-4141-BA15-FF43254C9009}"/>
    <hyperlink ref="A10" location="'LEDDYF'!A1" display="LEDDYF" xr:uid="{B24C588E-3DDB-4A04-B470-1265F32198C7}"/>
    <hyperlink ref="A11" location="'LEDHCF'!A1" display="LEDHCF" xr:uid="{BCCFD834-8684-421A-8F9C-B72EC90FAE8E}"/>
    <hyperlink ref="A12" location="'LEEMCF'!A1" display="LEEMCF" xr:uid="{53E14619-765D-4A03-98B6-A7D6C767D025}"/>
    <hyperlink ref="A13" location="'LEEQSF'!A1" display="LEEQSF" xr:uid="{92FDC69B-3C49-4F50-98B5-6F0DB16B145D}"/>
    <hyperlink ref="A14" location="'LEEQTF'!A1" display="LEEQTF" xr:uid="{CABF4818-6B12-402E-AD03-C602FEE74435}"/>
    <hyperlink ref="A15" location="'LEESCF'!A1" display="LEESCF" xr:uid="{F579F79E-595B-42AD-A29F-73FA60FB6596}"/>
    <hyperlink ref="A16" location="'LEFE30'!A1" display="LEFE30" xr:uid="{52E9D7B4-5CA2-48E5-B54D-33C7072AD9EF}"/>
    <hyperlink ref="A17" location="'LEGFOF'!A1" display="LEGFOF" xr:uid="{413D27A5-C7CA-40EC-ABB6-F7786042BEC9}"/>
    <hyperlink ref="A18" location="'LEGOLD'!A1" display="LEGOLD" xr:uid="{FF4AFE5E-2722-475C-84E8-57FEFAA94F4F}"/>
    <hyperlink ref="A19" location="'LEGROW'!A1" display="LEGROW" xr:uid="{4B02C295-3573-4723-80A5-AC0478E3EEF6}"/>
    <hyperlink ref="A20" location="'LEINFA'!A1" display="LEINFA" xr:uid="{713F85E7-BCB6-4CF5-BF76-56994AAEB2F2}"/>
    <hyperlink ref="A21" location="'LEINNF'!A1" display="LEINNF" xr:uid="{FA2613E9-36CC-447F-93E5-CD6A05A6B0E2}"/>
    <hyperlink ref="A22" location="'LEINSX'!A1" display="LEINSX" xr:uid="{A94D912C-AD45-4991-9BF3-37E3C83941E5}"/>
    <hyperlink ref="A23" location="'LELTVF'!A1" display="LELTVF" xr:uid="{9842FBB7-0FA9-44D6-8CC8-EFF0CBB384CF}"/>
    <hyperlink ref="A24" location="'LEMAAF'!A1" display="LEMAAF" xr:uid="{28699226-ABC4-436B-AE82-34F7A016846A}"/>
    <hyperlink ref="A25" location="'LEMETF'!A1" display="LEMETF" xr:uid="{B770104E-135A-4736-B2E6-0F462FA7BC4B}"/>
    <hyperlink ref="A26" location="'LEMFGF'!A1" display="LEMFGF" xr:uid="{55757219-1C95-4CF3-AF13-9B75C9B36CBD}"/>
    <hyperlink ref="A27" location="'LEMIDF'!A1" display="LEMIDF" xr:uid="{CD5F8497-309C-4A25-B12D-00218BD38C32}"/>
    <hyperlink ref="A28" location="'LEMUCF'!A1" display="LEMUCF" xr:uid="{4BDDB241-1A2F-43DD-A964-9015BA7EB245}"/>
    <hyperlink ref="A29" location="'LENI50'!A1" display="LENI50" xr:uid="{FF1AD72D-561C-4614-8E35-A48932CA8BF3}"/>
    <hyperlink ref="A30" location="'LET100'!A1" display="LET100" xr:uid="{65FACEDF-0F41-4C00-9EE8-45AE5876AF6E}"/>
    <hyperlink ref="A31" location="'LETAXP'!A1" display="LETAXP" xr:uid="{AEA073E4-CB08-40F3-AA74-0D8DF21015A9}"/>
    <hyperlink ref="A32" location="'LETECF'!A1" display="LETECF" xr:uid="{250A7FA3-76E8-48B7-A410-0A5E99245A3B}"/>
    <hyperlink ref="A33" location="'LETF50'!A1" display="LETF50" xr:uid="{C1C2EA4B-D28E-4659-AB4A-E7B839BECFB5}"/>
    <hyperlink ref="A34" location="'LETFSX'!A1" display="LETFSX" xr:uid="{9F045D0F-74F9-4622-A216-B952263E80EC}"/>
    <hyperlink ref="A35" location="'LEULIS'!A1" display="LEULIS" xr:uid="{13DC9527-FE4C-4708-ABB4-CEE728E7A2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3197F-C417-409D-9C15-5900DFB8F8B3}">
  <dimension ref="B1:N221"/>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207900</v>
      </c>
      <c r="F7" s="30">
        <v>1604.36</v>
      </c>
      <c r="G7" s="31">
        <v>6.5600000000000006E-2</v>
      </c>
      <c r="H7" s="32"/>
    </row>
    <row r="8" spans="2:8" ht="15.75" customHeight="1" x14ac:dyDescent="0.2">
      <c r="B8" s="28" t="s">
        <v>212</v>
      </c>
      <c r="C8" s="28" t="s">
        <v>213</v>
      </c>
      <c r="D8" s="28" t="s">
        <v>173</v>
      </c>
      <c r="E8" s="29">
        <v>112500</v>
      </c>
      <c r="F8" s="30">
        <v>1202.01</v>
      </c>
      <c r="G8" s="31">
        <v>4.9200000000000001E-2</v>
      </c>
      <c r="H8" s="32"/>
    </row>
    <row r="9" spans="2:8" ht="15.75" customHeight="1" x14ac:dyDescent="0.2">
      <c r="B9" s="28" t="s">
        <v>214</v>
      </c>
      <c r="C9" s="28" t="s">
        <v>215</v>
      </c>
      <c r="D9" s="28" t="s">
        <v>216</v>
      </c>
      <c r="E9" s="29">
        <v>63175</v>
      </c>
      <c r="F9" s="30">
        <v>1191.99</v>
      </c>
      <c r="G9" s="31">
        <v>4.8800000000000003E-2</v>
      </c>
      <c r="H9" s="32"/>
    </row>
    <row r="10" spans="2:8" ht="15.75" customHeight="1" x14ac:dyDescent="0.2">
      <c r="B10" s="28" t="s">
        <v>217</v>
      </c>
      <c r="C10" s="28" t="s">
        <v>218</v>
      </c>
      <c r="D10" s="28" t="s">
        <v>219</v>
      </c>
      <c r="E10" s="29">
        <v>1213650</v>
      </c>
      <c r="F10" s="30">
        <v>1170.32</v>
      </c>
      <c r="G10" s="31">
        <v>4.7899999999999998E-2</v>
      </c>
      <c r="H10" s="32"/>
    </row>
    <row r="11" spans="2:8" ht="15.75" customHeight="1" x14ac:dyDescent="0.2">
      <c r="B11" s="28" t="s">
        <v>174</v>
      </c>
      <c r="C11" s="28" t="s">
        <v>175</v>
      </c>
      <c r="D11" s="28" t="s">
        <v>176</v>
      </c>
      <c r="E11" s="29">
        <v>80000</v>
      </c>
      <c r="F11" s="30">
        <v>1144.6400000000001</v>
      </c>
      <c r="G11" s="31">
        <v>4.6800000000000001E-2</v>
      </c>
      <c r="H11" s="32"/>
    </row>
    <row r="12" spans="2:8" ht="15.75" customHeight="1" x14ac:dyDescent="0.2">
      <c r="B12" s="28" t="s">
        <v>193</v>
      </c>
      <c r="C12" s="28" t="s">
        <v>194</v>
      </c>
      <c r="D12" s="28" t="s">
        <v>195</v>
      </c>
      <c r="E12" s="29">
        <v>36200</v>
      </c>
      <c r="F12" s="30">
        <v>1121.3</v>
      </c>
      <c r="G12" s="31">
        <v>4.5900000000000003E-2</v>
      </c>
      <c r="H12" s="32"/>
    </row>
    <row r="13" spans="2:8" ht="15.75" customHeight="1" x14ac:dyDescent="0.2">
      <c r="B13" s="28" t="s">
        <v>220</v>
      </c>
      <c r="C13" s="28" t="s">
        <v>221</v>
      </c>
      <c r="D13" s="28" t="s">
        <v>173</v>
      </c>
      <c r="E13" s="29">
        <v>284000</v>
      </c>
      <c r="F13" s="30">
        <v>1088.57</v>
      </c>
      <c r="G13" s="31">
        <v>4.4499999999999998E-2</v>
      </c>
      <c r="H13" s="32"/>
    </row>
    <row r="14" spans="2:8" ht="15.75" customHeight="1" x14ac:dyDescent="0.2">
      <c r="B14" s="28" t="s">
        <v>191</v>
      </c>
      <c r="C14" s="28" t="s">
        <v>192</v>
      </c>
      <c r="D14" s="28" t="s">
        <v>173</v>
      </c>
      <c r="E14" s="29">
        <v>77700</v>
      </c>
      <c r="F14" s="30">
        <v>981.66</v>
      </c>
      <c r="G14" s="31">
        <v>4.02E-2</v>
      </c>
      <c r="H14" s="32"/>
    </row>
    <row r="15" spans="2:8" ht="15.75" customHeight="1" x14ac:dyDescent="0.2">
      <c r="B15" s="28" t="s">
        <v>222</v>
      </c>
      <c r="C15" s="28" t="s">
        <v>223</v>
      </c>
      <c r="D15" s="28" t="s">
        <v>224</v>
      </c>
      <c r="E15" s="29">
        <v>225150</v>
      </c>
      <c r="F15" s="30">
        <v>971.07</v>
      </c>
      <c r="G15" s="31">
        <v>3.9699999999999999E-2</v>
      </c>
      <c r="H15" s="32"/>
    </row>
    <row r="16" spans="2:8" ht="15.75" customHeight="1" x14ac:dyDescent="0.2">
      <c r="B16" s="28" t="s">
        <v>225</v>
      </c>
      <c r="C16" s="28" t="s">
        <v>226</v>
      </c>
      <c r="D16" s="28" t="s">
        <v>190</v>
      </c>
      <c r="E16" s="29">
        <v>96000</v>
      </c>
      <c r="F16" s="30">
        <v>899.52</v>
      </c>
      <c r="G16" s="31">
        <v>3.6799999999999999E-2</v>
      </c>
      <c r="H16" s="32"/>
    </row>
    <row r="17" spans="2:8" ht="15.75" customHeight="1" x14ac:dyDescent="0.2">
      <c r="B17" s="28" t="s">
        <v>227</v>
      </c>
      <c r="C17" s="28" t="s">
        <v>228</v>
      </c>
      <c r="D17" s="28" t="s">
        <v>229</v>
      </c>
      <c r="E17" s="29">
        <v>418000</v>
      </c>
      <c r="F17" s="30">
        <v>883.48</v>
      </c>
      <c r="G17" s="31">
        <v>3.61E-2</v>
      </c>
      <c r="H17" s="32"/>
    </row>
    <row r="18" spans="2:8" ht="15.75" customHeight="1" x14ac:dyDescent="0.2">
      <c r="B18" s="28" t="s">
        <v>183</v>
      </c>
      <c r="C18" s="28" t="s">
        <v>184</v>
      </c>
      <c r="D18" s="28" t="s">
        <v>173</v>
      </c>
      <c r="E18" s="29">
        <v>46250</v>
      </c>
      <c r="F18" s="30">
        <v>586.59</v>
      </c>
      <c r="G18" s="31">
        <v>2.4E-2</v>
      </c>
      <c r="H18" s="32"/>
    </row>
    <row r="19" spans="2:8" ht="15.75" customHeight="1" x14ac:dyDescent="0.2">
      <c r="B19" s="28" t="s">
        <v>230</v>
      </c>
      <c r="C19" s="28" t="s">
        <v>231</v>
      </c>
      <c r="D19" s="28" t="s">
        <v>190</v>
      </c>
      <c r="E19" s="29">
        <v>220900</v>
      </c>
      <c r="F19" s="30">
        <v>544.23</v>
      </c>
      <c r="G19" s="31">
        <v>2.23E-2</v>
      </c>
      <c r="H19" s="32"/>
    </row>
    <row r="20" spans="2:8" ht="15.75" customHeight="1" x14ac:dyDescent="0.2">
      <c r="B20" s="28" t="s">
        <v>232</v>
      </c>
      <c r="C20" s="28" t="s">
        <v>233</v>
      </c>
      <c r="D20" s="28" t="s">
        <v>195</v>
      </c>
      <c r="E20" s="29">
        <v>3050</v>
      </c>
      <c r="F20" s="30">
        <v>406.08</v>
      </c>
      <c r="G20" s="31">
        <v>1.66E-2</v>
      </c>
      <c r="H20" s="32"/>
    </row>
    <row r="21" spans="2:8" ht="15.75" customHeight="1" x14ac:dyDescent="0.2">
      <c r="B21" s="28" t="s">
        <v>234</v>
      </c>
      <c r="C21" s="28" t="s">
        <v>235</v>
      </c>
      <c r="D21" s="28" t="s">
        <v>173</v>
      </c>
      <c r="E21" s="29">
        <v>216000</v>
      </c>
      <c r="F21" s="30">
        <v>236.22</v>
      </c>
      <c r="G21" s="31">
        <v>9.7000000000000003E-3</v>
      </c>
      <c r="H21" s="32"/>
    </row>
    <row r="22" spans="2:8" ht="15.75" customHeight="1" x14ac:dyDescent="0.2">
      <c r="B22" s="28" t="s">
        <v>236</v>
      </c>
      <c r="C22" s="28" t="s">
        <v>237</v>
      </c>
      <c r="D22" s="28" t="s">
        <v>238</v>
      </c>
      <c r="E22" s="29">
        <v>12950</v>
      </c>
      <c r="F22" s="30">
        <v>234.17</v>
      </c>
      <c r="G22" s="31">
        <v>9.5999999999999992E-3</v>
      </c>
      <c r="H22" s="32"/>
    </row>
    <row r="23" spans="2:8" ht="15.75" customHeight="1" x14ac:dyDescent="0.2">
      <c r="B23" s="28" t="s">
        <v>239</v>
      </c>
      <c r="C23" s="28" t="s">
        <v>240</v>
      </c>
      <c r="D23" s="28" t="s">
        <v>173</v>
      </c>
      <c r="E23" s="29">
        <v>78975</v>
      </c>
      <c r="F23" s="30">
        <v>208.07</v>
      </c>
      <c r="G23" s="31">
        <v>8.5000000000000006E-3</v>
      </c>
      <c r="H23" s="32"/>
    </row>
    <row r="24" spans="2:8" ht="15.75" customHeight="1" x14ac:dyDescent="0.2">
      <c r="B24" s="28" t="s">
        <v>241</v>
      </c>
      <c r="C24" s="28" t="s">
        <v>242</v>
      </c>
      <c r="D24" s="28" t="s">
        <v>243</v>
      </c>
      <c r="E24" s="29">
        <v>72750</v>
      </c>
      <c r="F24" s="30">
        <v>179.71</v>
      </c>
      <c r="G24" s="31">
        <v>7.4000000000000003E-3</v>
      </c>
      <c r="H24" s="32"/>
    </row>
    <row r="25" spans="2:8" ht="15.75" customHeight="1" x14ac:dyDescent="0.2">
      <c r="B25" s="28" t="s">
        <v>244</v>
      </c>
      <c r="C25" s="28" t="s">
        <v>245</v>
      </c>
      <c r="D25" s="28" t="s">
        <v>196</v>
      </c>
      <c r="E25" s="29">
        <v>12000</v>
      </c>
      <c r="F25" s="30">
        <v>175.03</v>
      </c>
      <c r="G25" s="31">
        <v>7.1999999999999998E-3</v>
      </c>
      <c r="H25" s="32"/>
    </row>
    <row r="26" spans="2:8" ht="15.75" customHeight="1" x14ac:dyDescent="0.2">
      <c r="B26" s="28" t="s">
        <v>246</v>
      </c>
      <c r="C26" s="28" t="s">
        <v>247</v>
      </c>
      <c r="D26" s="28" t="s">
        <v>248</v>
      </c>
      <c r="E26" s="29">
        <v>29700</v>
      </c>
      <c r="F26" s="30">
        <v>174.34</v>
      </c>
      <c r="G26" s="31">
        <v>7.1000000000000004E-3</v>
      </c>
      <c r="H26" s="32"/>
    </row>
    <row r="27" spans="2:8" ht="15.75" customHeight="1" x14ac:dyDescent="0.2">
      <c r="B27" s="28" t="s">
        <v>249</v>
      </c>
      <c r="C27" s="28" t="s">
        <v>250</v>
      </c>
      <c r="D27" s="28" t="s">
        <v>251</v>
      </c>
      <c r="E27" s="29">
        <v>37500</v>
      </c>
      <c r="F27" s="30">
        <v>149.68</v>
      </c>
      <c r="G27" s="31">
        <v>6.1000000000000004E-3</v>
      </c>
      <c r="H27" s="32"/>
    </row>
    <row r="28" spans="2:8" ht="15.75" customHeight="1" x14ac:dyDescent="0.2">
      <c r="B28" s="28" t="s">
        <v>252</v>
      </c>
      <c r="C28" s="28" t="s">
        <v>253</v>
      </c>
      <c r="D28" s="28" t="s">
        <v>216</v>
      </c>
      <c r="E28" s="29">
        <v>32300</v>
      </c>
      <c r="F28" s="30">
        <v>132.41</v>
      </c>
      <c r="G28" s="31">
        <v>5.4000000000000003E-3</v>
      </c>
      <c r="H28" s="32"/>
    </row>
    <row r="29" spans="2:8" ht="15.75" customHeight="1" x14ac:dyDescent="0.2">
      <c r="B29" s="28" t="s">
        <v>254</v>
      </c>
      <c r="C29" s="28" t="s">
        <v>255</v>
      </c>
      <c r="D29" s="28" t="s">
        <v>248</v>
      </c>
      <c r="E29" s="29">
        <v>14400</v>
      </c>
      <c r="F29" s="30">
        <v>129.30000000000001</v>
      </c>
      <c r="G29" s="31">
        <v>5.3E-3</v>
      </c>
      <c r="H29" s="32"/>
    </row>
    <row r="30" spans="2:8" ht="15.75" customHeight="1" x14ac:dyDescent="0.2">
      <c r="B30" s="28" t="s">
        <v>256</v>
      </c>
      <c r="C30" s="28" t="s">
        <v>257</v>
      </c>
      <c r="D30" s="28" t="s">
        <v>187</v>
      </c>
      <c r="E30" s="29">
        <v>30400</v>
      </c>
      <c r="F30" s="30">
        <v>95.73</v>
      </c>
      <c r="G30" s="31">
        <v>3.8999999999999998E-3</v>
      </c>
      <c r="H30" s="32"/>
    </row>
    <row r="31" spans="2:8" ht="15.75" customHeight="1" x14ac:dyDescent="0.2">
      <c r="B31" s="28" t="s">
        <v>258</v>
      </c>
      <c r="C31" s="28" t="s">
        <v>259</v>
      </c>
      <c r="D31" s="28" t="s">
        <v>195</v>
      </c>
      <c r="E31" s="29">
        <v>1300</v>
      </c>
      <c r="F31" s="30">
        <v>92.42</v>
      </c>
      <c r="G31" s="31">
        <v>3.8E-3</v>
      </c>
      <c r="H31" s="32"/>
    </row>
    <row r="32" spans="2:8" ht="15.75" customHeight="1" x14ac:dyDescent="0.2">
      <c r="B32" s="28" t="s">
        <v>260</v>
      </c>
      <c r="C32" s="28" t="s">
        <v>261</v>
      </c>
      <c r="D32" s="28" t="s">
        <v>251</v>
      </c>
      <c r="E32" s="29">
        <v>18850</v>
      </c>
      <c r="F32" s="30">
        <v>83.8</v>
      </c>
      <c r="G32" s="31">
        <v>3.3999999999999998E-3</v>
      </c>
      <c r="H32" s="32"/>
    </row>
    <row r="33" spans="2:8" ht="15.75" customHeight="1" x14ac:dyDescent="0.2">
      <c r="B33" s="28" t="s">
        <v>262</v>
      </c>
      <c r="C33" s="28" t="s">
        <v>263</v>
      </c>
      <c r="D33" s="28" t="s">
        <v>243</v>
      </c>
      <c r="E33" s="29">
        <v>1900</v>
      </c>
      <c r="F33" s="30">
        <v>78.75</v>
      </c>
      <c r="G33" s="31">
        <v>3.2000000000000002E-3</v>
      </c>
      <c r="H33" s="32"/>
    </row>
    <row r="34" spans="2:8" ht="15.75" customHeight="1" x14ac:dyDescent="0.2">
      <c r="B34" s="28" t="s">
        <v>264</v>
      </c>
      <c r="C34" s="28" t="s">
        <v>265</v>
      </c>
      <c r="D34" s="28" t="s">
        <v>179</v>
      </c>
      <c r="E34" s="29">
        <v>21600</v>
      </c>
      <c r="F34" s="30">
        <v>77.88</v>
      </c>
      <c r="G34" s="31">
        <v>3.2000000000000002E-3</v>
      </c>
      <c r="H34" s="32"/>
    </row>
    <row r="35" spans="2:8" ht="15.75" customHeight="1" x14ac:dyDescent="0.2">
      <c r="B35" s="28" t="s">
        <v>266</v>
      </c>
      <c r="C35" s="28" t="s">
        <v>267</v>
      </c>
      <c r="D35" s="28" t="s">
        <v>268</v>
      </c>
      <c r="E35" s="29">
        <v>15750</v>
      </c>
      <c r="F35" s="30">
        <v>55.5</v>
      </c>
      <c r="G35" s="31">
        <v>2.3E-3</v>
      </c>
      <c r="H35" s="32"/>
    </row>
    <row r="36" spans="2:8" ht="15.75" customHeight="1" x14ac:dyDescent="0.2">
      <c r="B36" s="28" t="s">
        <v>269</v>
      </c>
      <c r="C36" s="28" t="s">
        <v>270</v>
      </c>
      <c r="D36" s="28" t="s">
        <v>271</v>
      </c>
      <c r="E36" s="29">
        <v>14400</v>
      </c>
      <c r="F36" s="30">
        <v>39.22</v>
      </c>
      <c r="G36" s="31">
        <v>1.6000000000000001E-3</v>
      </c>
      <c r="H36" s="32"/>
    </row>
    <row r="37" spans="2:8" ht="15.75" customHeight="1" x14ac:dyDescent="0.2">
      <c r="B37" s="28" t="s">
        <v>272</v>
      </c>
      <c r="C37" s="28" t="s">
        <v>273</v>
      </c>
      <c r="D37" s="28" t="s">
        <v>274</v>
      </c>
      <c r="E37" s="29">
        <v>15750</v>
      </c>
      <c r="F37" s="30">
        <v>25.71</v>
      </c>
      <c r="G37" s="31">
        <v>1.1000000000000001E-3</v>
      </c>
      <c r="H37" s="32"/>
    </row>
    <row r="38" spans="2:8" ht="15.75" customHeight="1" x14ac:dyDescent="0.2">
      <c r="B38" s="28" t="s">
        <v>275</v>
      </c>
      <c r="C38" s="28" t="s">
        <v>276</v>
      </c>
      <c r="D38" s="28" t="s">
        <v>277</v>
      </c>
      <c r="E38" s="29">
        <v>1600</v>
      </c>
      <c r="F38" s="30">
        <v>25.37</v>
      </c>
      <c r="G38" s="31">
        <v>1E-3</v>
      </c>
      <c r="H38" s="32"/>
    </row>
    <row r="39" spans="2:8" ht="15.75" customHeight="1" x14ac:dyDescent="0.2">
      <c r="B39" s="28" t="s">
        <v>278</v>
      </c>
      <c r="C39" s="28" t="s">
        <v>279</v>
      </c>
      <c r="D39" s="28" t="s">
        <v>190</v>
      </c>
      <c r="E39" s="29">
        <v>5200</v>
      </c>
      <c r="F39" s="30">
        <v>23.32</v>
      </c>
      <c r="G39" s="31">
        <v>1E-3</v>
      </c>
      <c r="H39" s="32"/>
    </row>
    <row r="40" spans="2:8" ht="15.75" customHeight="1" x14ac:dyDescent="0.2">
      <c r="B40" s="28" t="s">
        <v>280</v>
      </c>
      <c r="C40" s="28" t="s">
        <v>281</v>
      </c>
      <c r="D40" s="28" t="s">
        <v>282</v>
      </c>
      <c r="E40" s="29">
        <v>6750</v>
      </c>
      <c r="F40" s="30">
        <v>20.22</v>
      </c>
      <c r="G40" s="31">
        <v>8.0000000000000004E-4</v>
      </c>
      <c r="H40" s="32"/>
    </row>
    <row r="41" spans="2:8" ht="15.75" customHeight="1" x14ac:dyDescent="0.2">
      <c r="B41" s="28" t="s">
        <v>283</v>
      </c>
      <c r="C41" s="28" t="s">
        <v>284</v>
      </c>
      <c r="D41" s="28" t="s">
        <v>277</v>
      </c>
      <c r="E41" s="29">
        <v>3300</v>
      </c>
      <c r="F41" s="30">
        <v>19.37</v>
      </c>
      <c r="G41" s="31">
        <v>8.0000000000000004E-4</v>
      </c>
      <c r="H41" s="32"/>
    </row>
    <row r="42" spans="2:8" ht="15.75" customHeight="1" x14ac:dyDescent="0.2">
      <c r="B42" s="28" t="s">
        <v>285</v>
      </c>
      <c r="C42" s="28" t="s">
        <v>286</v>
      </c>
      <c r="D42" s="28" t="s">
        <v>287</v>
      </c>
      <c r="E42" s="29">
        <v>3750</v>
      </c>
      <c r="F42" s="30">
        <v>19.079999999999998</v>
      </c>
      <c r="G42" s="31">
        <v>8.0000000000000004E-4</v>
      </c>
      <c r="H42" s="32"/>
    </row>
    <row r="43" spans="2:8" ht="15.75" customHeight="1" x14ac:dyDescent="0.2">
      <c r="B43" s="28" t="s">
        <v>288</v>
      </c>
      <c r="C43" s="28" t="s">
        <v>289</v>
      </c>
      <c r="D43" s="28" t="s">
        <v>190</v>
      </c>
      <c r="E43" s="29">
        <v>1000</v>
      </c>
      <c r="F43" s="30">
        <v>17.47</v>
      </c>
      <c r="G43" s="31">
        <v>6.9999999999999999E-4</v>
      </c>
      <c r="H43" s="32"/>
    </row>
    <row r="44" spans="2:8" ht="15.75" customHeight="1" x14ac:dyDescent="0.2">
      <c r="B44" s="28" t="s">
        <v>290</v>
      </c>
      <c r="C44" s="28" t="s">
        <v>291</v>
      </c>
      <c r="D44" s="28" t="s">
        <v>238</v>
      </c>
      <c r="E44" s="29">
        <v>1100</v>
      </c>
      <c r="F44" s="30">
        <v>15.28</v>
      </c>
      <c r="G44" s="31">
        <v>5.9999999999999995E-4</v>
      </c>
      <c r="H44" s="32"/>
    </row>
    <row r="45" spans="2:8" ht="15.75" customHeight="1" x14ac:dyDescent="0.2">
      <c r="B45" s="28" t="s">
        <v>292</v>
      </c>
      <c r="C45" s="28" t="s">
        <v>293</v>
      </c>
      <c r="D45" s="28" t="s">
        <v>195</v>
      </c>
      <c r="E45" s="29">
        <v>4000</v>
      </c>
      <c r="F45" s="30">
        <v>13.66</v>
      </c>
      <c r="G45" s="31">
        <v>5.9999999999999995E-4</v>
      </c>
      <c r="H45" s="32"/>
    </row>
    <row r="46" spans="2:8" ht="15.75" customHeight="1" x14ac:dyDescent="0.2">
      <c r="B46" s="28" t="s">
        <v>294</v>
      </c>
      <c r="C46" s="28" t="s">
        <v>295</v>
      </c>
      <c r="D46" s="28" t="s">
        <v>271</v>
      </c>
      <c r="E46" s="29">
        <v>500</v>
      </c>
      <c r="F46" s="30">
        <v>12.22</v>
      </c>
      <c r="G46" s="31">
        <v>5.0000000000000001E-4</v>
      </c>
      <c r="H46" s="32"/>
    </row>
    <row r="47" spans="2:8" ht="15.75" customHeight="1" x14ac:dyDescent="0.2">
      <c r="B47" s="28" t="s">
        <v>296</v>
      </c>
      <c r="C47" s="28" t="s">
        <v>297</v>
      </c>
      <c r="D47" s="28" t="s">
        <v>271</v>
      </c>
      <c r="E47" s="29">
        <v>175</v>
      </c>
      <c r="F47" s="30">
        <v>7.67</v>
      </c>
      <c r="G47" s="31">
        <v>2.9999999999999997E-4</v>
      </c>
      <c r="H47" s="32"/>
    </row>
    <row r="48" spans="2:8" ht="15.75" customHeight="1" x14ac:dyDescent="0.2">
      <c r="B48" s="28" t="s">
        <v>298</v>
      </c>
      <c r="C48" s="28" t="s">
        <v>299</v>
      </c>
      <c r="D48" s="28" t="s">
        <v>173</v>
      </c>
      <c r="E48" s="29">
        <v>700</v>
      </c>
      <c r="F48" s="30">
        <v>6.41</v>
      </c>
      <c r="G48" s="31">
        <v>2.9999999999999997E-4</v>
      </c>
      <c r="H48" s="32"/>
    </row>
    <row r="49" spans="2:8" ht="15.75" customHeight="1" x14ac:dyDescent="0.2">
      <c r="B49" s="27" t="s">
        <v>129</v>
      </c>
      <c r="C49" s="27"/>
      <c r="D49" s="27"/>
      <c r="E49" s="33"/>
      <c r="F49" s="34">
        <v>16143.83</v>
      </c>
      <c r="G49" s="35">
        <v>0.66039999999999999</v>
      </c>
      <c r="H49" s="36"/>
    </row>
    <row r="50" spans="2:8" ht="15.75" customHeight="1" x14ac:dyDescent="0.2">
      <c r="B50" s="27" t="s">
        <v>197</v>
      </c>
      <c r="C50" s="28"/>
      <c r="D50" s="28"/>
      <c r="E50" s="29"/>
      <c r="F50" s="30"/>
      <c r="G50" s="31"/>
      <c r="H50" s="32"/>
    </row>
    <row r="51" spans="2:8" ht="15.75" customHeight="1" x14ac:dyDescent="0.2">
      <c r="B51" s="27" t="s">
        <v>129</v>
      </c>
      <c r="C51" s="28"/>
      <c r="D51" s="28"/>
      <c r="E51" s="29"/>
      <c r="F51" s="37" t="s">
        <v>131</v>
      </c>
      <c r="G51" s="38" t="s">
        <v>131</v>
      </c>
      <c r="H51" s="32"/>
    </row>
    <row r="52" spans="2:8" ht="15.75" customHeight="1" x14ac:dyDescent="0.2">
      <c r="B52" s="28"/>
      <c r="C52" s="28"/>
      <c r="D52" s="28"/>
      <c r="E52" s="29"/>
      <c r="F52" s="30"/>
      <c r="G52" s="31"/>
      <c r="H52" s="32"/>
    </row>
    <row r="53" spans="2:8" ht="15.75" customHeight="1" x14ac:dyDescent="0.2">
      <c r="B53" s="39" t="s">
        <v>133</v>
      </c>
      <c r="C53" s="39"/>
      <c r="D53" s="39"/>
      <c r="E53" s="40"/>
      <c r="F53" s="34">
        <v>16143.83</v>
      </c>
      <c r="G53" s="35">
        <v>0.66039999999999999</v>
      </c>
      <c r="H53" s="36"/>
    </row>
    <row r="54" spans="2:8" ht="15.75" customHeight="1" x14ac:dyDescent="0.2">
      <c r="B54" s="28"/>
      <c r="C54" s="28"/>
      <c r="D54" s="28"/>
      <c r="E54" s="29"/>
      <c r="F54" s="30"/>
      <c r="G54" s="31"/>
      <c r="H54" s="32"/>
    </row>
    <row r="55" spans="2:8" ht="15.75" customHeight="1" x14ac:dyDescent="0.2">
      <c r="B55" s="27" t="s">
        <v>114</v>
      </c>
      <c r="C55" s="28"/>
      <c r="D55" s="28"/>
      <c r="E55" s="29"/>
      <c r="F55" s="30"/>
      <c r="G55" s="31"/>
      <c r="H55" s="32"/>
    </row>
    <row r="56" spans="2:8" ht="15.75" customHeight="1" x14ac:dyDescent="0.2">
      <c r="B56" s="27" t="s">
        <v>115</v>
      </c>
      <c r="C56" s="28"/>
      <c r="D56" s="28"/>
      <c r="E56" s="29"/>
      <c r="F56" s="30"/>
      <c r="G56" s="31"/>
      <c r="H56" s="32"/>
    </row>
    <row r="57" spans="2:8" ht="15.75" customHeight="1" x14ac:dyDescent="0.2">
      <c r="B57" s="28" t="s">
        <v>300</v>
      </c>
      <c r="C57" s="28" t="s">
        <v>301</v>
      </c>
      <c r="D57" s="28" t="s">
        <v>121</v>
      </c>
      <c r="E57" s="29">
        <v>2000</v>
      </c>
      <c r="F57" s="30">
        <v>2058.61</v>
      </c>
      <c r="G57" s="31">
        <v>8.4199999999999997E-2</v>
      </c>
      <c r="H57" s="32">
        <v>7.1499999999999994E-2</v>
      </c>
    </row>
    <row r="58" spans="2:8" ht="15.75" customHeight="1" x14ac:dyDescent="0.2">
      <c r="B58" s="27" t="s">
        <v>129</v>
      </c>
      <c r="C58" s="27"/>
      <c r="D58" s="27"/>
      <c r="E58" s="33"/>
      <c r="F58" s="34">
        <v>2058.61</v>
      </c>
      <c r="G58" s="35">
        <v>8.4199999999999997E-2</v>
      </c>
      <c r="H58" s="36"/>
    </row>
    <row r="59" spans="2:8" ht="15.75" customHeight="1" x14ac:dyDescent="0.2">
      <c r="B59" s="28"/>
      <c r="C59" s="28"/>
      <c r="D59" s="28"/>
      <c r="E59" s="29"/>
      <c r="F59" s="30"/>
      <c r="G59" s="31"/>
      <c r="H59" s="32"/>
    </row>
    <row r="60" spans="2:8" ht="15.75" customHeight="1" x14ac:dyDescent="0.2">
      <c r="B60" s="27" t="s">
        <v>130</v>
      </c>
      <c r="C60" s="28"/>
      <c r="D60" s="28"/>
      <c r="E60" s="29"/>
      <c r="F60" s="30"/>
      <c r="G60" s="31"/>
      <c r="H60" s="32"/>
    </row>
    <row r="61" spans="2:8" ht="15.75" customHeight="1" x14ac:dyDescent="0.2">
      <c r="B61" s="27" t="s">
        <v>129</v>
      </c>
      <c r="C61" s="28"/>
      <c r="D61" s="28"/>
      <c r="E61" s="29"/>
      <c r="F61" s="37" t="s">
        <v>131</v>
      </c>
      <c r="G61" s="38" t="s">
        <v>131</v>
      </c>
      <c r="H61" s="32"/>
    </row>
    <row r="62" spans="2:8" ht="15.75" customHeight="1" x14ac:dyDescent="0.2">
      <c r="B62" s="28"/>
      <c r="C62" s="28"/>
      <c r="D62" s="28"/>
      <c r="E62" s="29"/>
      <c r="F62" s="30"/>
      <c r="G62" s="31"/>
      <c r="H62" s="32"/>
    </row>
    <row r="63" spans="2:8" ht="15.75" customHeight="1" x14ac:dyDescent="0.2">
      <c r="B63" s="27" t="s">
        <v>132</v>
      </c>
      <c r="C63" s="28"/>
      <c r="D63" s="28"/>
      <c r="E63" s="29"/>
      <c r="F63" s="30"/>
      <c r="G63" s="31"/>
      <c r="H63" s="32"/>
    </row>
    <row r="64" spans="2:8" ht="15.75" customHeight="1" x14ac:dyDescent="0.2">
      <c r="B64" s="27" t="s">
        <v>129</v>
      </c>
      <c r="C64" s="28"/>
      <c r="D64" s="28"/>
      <c r="E64" s="29"/>
      <c r="F64" s="37" t="s">
        <v>131</v>
      </c>
      <c r="G64" s="38" t="s">
        <v>131</v>
      </c>
      <c r="H64" s="32"/>
    </row>
    <row r="65" spans="2:14" ht="15.75" customHeight="1" x14ac:dyDescent="0.2">
      <c r="B65" s="28"/>
      <c r="C65" s="28"/>
      <c r="D65" s="28"/>
      <c r="E65" s="29"/>
      <c r="F65" s="30"/>
      <c r="G65" s="31"/>
      <c r="H65" s="32"/>
    </row>
    <row r="66" spans="2:14" ht="15.75" customHeight="1" x14ac:dyDescent="0.2">
      <c r="B66" s="39" t="s">
        <v>133</v>
      </c>
      <c r="C66" s="39"/>
      <c r="D66" s="39"/>
      <c r="E66" s="40"/>
      <c r="F66" s="34">
        <v>2058.61</v>
      </c>
      <c r="G66" s="35">
        <v>8.4199999999999997E-2</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137</v>
      </c>
      <c r="C69" s="28"/>
      <c r="D69" s="28"/>
      <c r="E69" s="29"/>
      <c r="F69" s="30"/>
      <c r="G69" s="31"/>
      <c r="H69" s="32"/>
    </row>
    <row r="70" spans="2:14" ht="15.75" customHeight="1" x14ac:dyDescent="0.2">
      <c r="B70" s="27" t="s">
        <v>138</v>
      </c>
      <c r="C70" s="28"/>
      <c r="D70" s="28"/>
      <c r="E70" s="29"/>
      <c r="F70" s="30"/>
      <c r="G70" s="31"/>
      <c r="H70" s="32"/>
      <c r="J70" s="3"/>
    </row>
    <row r="71" spans="2:14" ht="15.75" customHeight="1" x14ac:dyDescent="0.2">
      <c r="B71" s="28" t="s">
        <v>302</v>
      </c>
      <c r="C71" s="28" t="s">
        <v>303</v>
      </c>
      <c r="D71" s="28"/>
      <c r="E71" s="29">
        <v>340235.14299999998</v>
      </c>
      <c r="F71" s="30">
        <v>4314.3999999999996</v>
      </c>
      <c r="G71" s="31">
        <v>0.17649999999999999</v>
      </c>
      <c r="H71" s="32"/>
      <c r="J71" s="3"/>
    </row>
    <row r="72" spans="2:14" ht="15.75" customHeight="1" x14ac:dyDescent="0.2">
      <c r="B72" s="28" t="s">
        <v>304</v>
      </c>
      <c r="C72" s="28" t="s">
        <v>305</v>
      </c>
      <c r="D72" s="28"/>
      <c r="E72" s="29">
        <v>11673.721</v>
      </c>
      <c r="F72" s="30">
        <v>587.78</v>
      </c>
      <c r="G72" s="31">
        <v>2.4E-2</v>
      </c>
      <c r="H72" s="32"/>
      <c r="J72" s="3"/>
    </row>
    <row r="73" spans="2:14" ht="15.75" customHeight="1" x14ac:dyDescent="0.2">
      <c r="B73" s="28"/>
      <c r="C73" s="28"/>
      <c r="D73" s="28"/>
      <c r="E73" s="29"/>
      <c r="F73" s="30"/>
      <c r="G73" s="31"/>
      <c r="H73" s="32"/>
      <c r="J73" s="3"/>
    </row>
    <row r="74" spans="2:14" ht="15.75" customHeight="1" x14ac:dyDescent="0.2">
      <c r="B74" s="39" t="s">
        <v>133</v>
      </c>
      <c r="C74" s="39"/>
      <c r="D74" s="39"/>
      <c r="E74" s="40"/>
      <c r="F74" s="34">
        <v>4902.18</v>
      </c>
      <c r="G74" s="35">
        <v>0.20050000000000001</v>
      </c>
      <c r="H74" s="36"/>
      <c r="J74" s="3"/>
    </row>
    <row r="75" spans="2:14" ht="15.75" customHeight="1" x14ac:dyDescent="0.2">
      <c r="B75" s="28"/>
      <c r="C75" s="28"/>
      <c r="D75" s="28"/>
      <c r="E75" s="29"/>
      <c r="F75" s="30"/>
      <c r="G75" s="31"/>
      <c r="H75" s="32"/>
      <c r="J75" s="5"/>
      <c r="K75" s="5"/>
      <c r="L75" s="6"/>
      <c r="M75" s="6"/>
      <c r="N75" s="5"/>
    </row>
    <row r="76" spans="2:14" ht="15.75" customHeight="1" x14ac:dyDescent="0.2">
      <c r="B76" s="27" t="s">
        <v>139</v>
      </c>
      <c r="C76" s="28"/>
      <c r="D76" s="28"/>
      <c r="E76" s="29"/>
      <c r="F76" s="30"/>
      <c r="G76" s="31"/>
      <c r="H76" s="32"/>
    </row>
    <row r="77" spans="2:14" ht="15.75" customHeight="1" x14ac:dyDescent="0.2">
      <c r="B77" s="28" t="s">
        <v>140</v>
      </c>
      <c r="C77" s="28"/>
      <c r="D77" s="28"/>
      <c r="E77" s="29"/>
      <c r="F77" s="30">
        <v>1200.53</v>
      </c>
      <c r="G77" s="31">
        <v>4.9099999999999998E-2</v>
      </c>
      <c r="H77" s="32"/>
    </row>
    <row r="78" spans="2:14" ht="15.75" customHeight="1" x14ac:dyDescent="0.2">
      <c r="B78" s="27" t="s">
        <v>129</v>
      </c>
      <c r="C78" s="27"/>
      <c r="D78" s="27"/>
      <c r="E78" s="33"/>
      <c r="F78" s="34">
        <v>1200.53</v>
      </c>
      <c r="G78" s="35">
        <v>4.9099999999999998E-2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133</v>
      </c>
      <c r="C80" s="39"/>
      <c r="D80" s="39"/>
      <c r="E80" s="40"/>
      <c r="F80" s="34">
        <v>1200.53</v>
      </c>
      <c r="G80" s="35">
        <v>4.9099999999999998E-2</v>
      </c>
      <c r="H80" s="36"/>
      <c r="J80" s="7"/>
      <c r="K80" s="7"/>
      <c r="L80" s="7"/>
      <c r="M80" s="7"/>
      <c r="N80" s="7"/>
    </row>
    <row r="81" spans="2:14" ht="15.75" customHeight="1" x14ac:dyDescent="0.2">
      <c r="B81" s="28" t="s">
        <v>141</v>
      </c>
      <c r="C81" s="28"/>
      <c r="D81" s="28"/>
      <c r="E81" s="29"/>
      <c r="F81" s="30">
        <v>140.80000000000001</v>
      </c>
      <c r="G81" s="31">
        <v>5.7999999999999163E-3</v>
      </c>
      <c r="H81" s="32"/>
      <c r="J81" s="7"/>
      <c r="K81" s="7"/>
      <c r="L81" s="7"/>
      <c r="M81" s="7"/>
      <c r="N81" s="7"/>
    </row>
    <row r="82" spans="2:14" ht="15.75" customHeight="1" x14ac:dyDescent="0.2">
      <c r="B82" s="41" t="s">
        <v>142</v>
      </c>
      <c r="C82" s="41"/>
      <c r="D82" s="41"/>
      <c r="E82" s="42"/>
      <c r="F82" s="43">
        <v>24445.95</v>
      </c>
      <c r="G82" s="44">
        <v>1</v>
      </c>
      <c r="H82" s="45"/>
      <c r="J82" s="7"/>
      <c r="K82" s="7"/>
      <c r="L82" s="7"/>
      <c r="M82" s="7"/>
      <c r="N82" s="7"/>
    </row>
    <row r="83" spans="2:14" ht="15.75" customHeight="1" x14ac:dyDescent="0.2">
      <c r="B83" s="2"/>
      <c r="J83" s="7"/>
      <c r="K83" s="7"/>
      <c r="L83" s="7"/>
      <c r="M83" s="7"/>
      <c r="N83" s="7"/>
    </row>
    <row r="84" spans="2:14" ht="15.75" customHeight="1" x14ac:dyDescent="0.2">
      <c r="B84" s="60"/>
      <c r="J84" s="7"/>
      <c r="K84" s="7"/>
      <c r="L84" s="7"/>
      <c r="M84" s="7"/>
      <c r="N84" s="7"/>
    </row>
    <row r="85" spans="2:14" ht="15.75" customHeight="1" x14ac:dyDescent="0.2">
      <c r="B85" s="9" t="s">
        <v>309</v>
      </c>
    </row>
    <row r="86" spans="2:14" ht="15.75" customHeight="1" x14ac:dyDescent="0.2">
      <c r="B86" s="9" t="s">
        <v>310</v>
      </c>
      <c r="J86" s="3"/>
    </row>
    <row r="87" spans="2:14" ht="15.75" customHeight="1" x14ac:dyDescent="0.2">
      <c r="B87" s="16" t="s">
        <v>306</v>
      </c>
      <c r="C87" s="57" t="s">
        <v>2</v>
      </c>
      <c r="D87" s="58" t="s">
        <v>3</v>
      </c>
      <c r="E87" s="59" t="s">
        <v>307</v>
      </c>
    </row>
    <row r="88" spans="2:14" ht="15.75" customHeight="1" x14ac:dyDescent="0.2">
      <c r="B88" s="53" t="s">
        <v>285</v>
      </c>
      <c r="C88" s="54">
        <v>-3750</v>
      </c>
      <c r="D88" s="55">
        <v>-19.170000000000002</v>
      </c>
      <c r="E88" s="56">
        <v>-8.0000000000000004E-4</v>
      </c>
    </row>
    <row r="89" spans="2:14" ht="15.75" customHeight="1" x14ac:dyDescent="0.2">
      <c r="B89" s="53" t="s">
        <v>258</v>
      </c>
      <c r="C89" s="54">
        <v>-1300</v>
      </c>
      <c r="D89" s="55">
        <v>-92.94</v>
      </c>
      <c r="E89" s="56">
        <v>-3.8E-3</v>
      </c>
    </row>
    <row r="90" spans="2:14" ht="15.75" customHeight="1" x14ac:dyDescent="0.2">
      <c r="B90" s="53" t="s">
        <v>283</v>
      </c>
      <c r="C90" s="54">
        <v>-3300</v>
      </c>
      <c r="D90" s="55">
        <v>-19.47</v>
      </c>
      <c r="E90" s="56">
        <v>-8.0000000000000004E-4</v>
      </c>
    </row>
    <row r="91" spans="2:14" ht="15.75" customHeight="1" x14ac:dyDescent="0.2">
      <c r="B91" s="53" t="s">
        <v>225</v>
      </c>
      <c r="C91" s="54">
        <v>-12750</v>
      </c>
      <c r="D91" s="55">
        <v>-120.15</v>
      </c>
      <c r="E91" s="56">
        <v>-4.8999999999999998E-3</v>
      </c>
    </row>
    <row r="92" spans="2:14" ht="15.75" customHeight="1" x14ac:dyDescent="0.2">
      <c r="B92" s="53" t="s">
        <v>256</v>
      </c>
      <c r="C92" s="54">
        <v>-30400</v>
      </c>
      <c r="D92" s="55">
        <v>-95.99</v>
      </c>
      <c r="E92" s="56">
        <v>-3.8999999999999998E-3</v>
      </c>
    </row>
    <row r="93" spans="2:14" ht="15.75" customHeight="1" x14ac:dyDescent="0.2">
      <c r="B93" s="53" t="s">
        <v>174</v>
      </c>
      <c r="C93" s="54">
        <v>-80000</v>
      </c>
      <c r="D93" s="55">
        <v>-1148.1600000000001</v>
      </c>
      <c r="E93" s="56">
        <v>-4.7E-2</v>
      </c>
    </row>
    <row r="94" spans="2:14" ht="15.75" customHeight="1" x14ac:dyDescent="0.2">
      <c r="B94" s="53" t="s">
        <v>262</v>
      </c>
      <c r="C94" s="54">
        <v>-1900</v>
      </c>
      <c r="D94" s="55">
        <v>-79.16</v>
      </c>
      <c r="E94" s="56">
        <v>-3.2000000000000002E-3</v>
      </c>
    </row>
    <row r="95" spans="2:14" ht="15.75" customHeight="1" x14ac:dyDescent="0.2">
      <c r="B95" s="53" t="s">
        <v>290</v>
      </c>
      <c r="C95" s="54">
        <v>-1100</v>
      </c>
      <c r="D95" s="55">
        <v>-15.36</v>
      </c>
      <c r="E95" s="56">
        <v>-5.9999999999999995E-4</v>
      </c>
    </row>
    <row r="96" spans="2:14" ht="15.75" customHeight="1" x14ac:dyDescent="0.2">
      <c r="B96" s="53" t="s">
        <v>214</v>
      </c>
      <c r="C96" s="54">
        <v>-63175</v>
      </c>
      <c r="D96" s="55">
        <v>-1198.05</v>
      </c>
      <c r="E96" s="56">
        <v>-4.9000000000000002E-2</v>
      </c>
    </row>
    <row r="97" spans="2:5" ht="15.75" customHeight="1" x14ac:dyDescent="0.2">
      <c r="B97" s="53" t="s">
        <v>264</v>
      </c>
      <c r="C97" s="54">
        <v>-21600</v>
      </c>
      <c r="D97" s="55">
        <v>-78.17</v>
      </c>
      <c r="E97" s="56">
        <v>-3.2000000000000002E-3</v>
      </c>
    </row>
    <row r="98" spans="2:5" ht="15.75" customHeight="1" x14ac:dyDescent="0.2">
      <c r="B98" s="53" t="s">
        <v>217</v>
      </c>
      <c r="C98" s="54">
        <v>-1213650</v>
      </c>
      <c r="D98" s="55">
        <v>-1176.76</v>
      </c>
      <c r="E98" s="56">
        <v>-4.8099999999999997E-2</v>
      </c>
    </row>
    <row r="99" spans="2:5" ht="15.75" customHeight="1" x14ac:dyDescent="0.2">
      <c r="B99" s="53" t="s">
        <v>266</v>
      </c>
      <c r="C99" s="54">
        <v>-15750</v>
      </c>
      <c r="D99" s="55">
        <v>-55.84</v>
      </c>
      <c r="E99" s="56">
        <v>-2.3E-3</v>
      </c>
    </row>
    <row r="100" spans="2:5" ht="15.75" customHeight="1" x14ac:dyDescent="0.2">
      <c r="B100" s="53" t="s">
        <v>212</v>
      </c>
      <c r="C100" s="54">
        <v>-112500</v>
      </c>
      <c r="D100" s="55">
        <v>-1197.1099999999999</v>
      </c>
      <c r="E100" s="56">
        <v>-4.9000000000000002E-2</v>
      </c>
    </row>
    <row r="101" spans="2:5" ht="15.75" customHeight="1" x14ac:dyDescent="0.2">
      <c r="B101" s="53" t="s">
        <v>294</v>
      </c>
      <c r="C101" s="54">
        <v>-500</v>
      </c>
      <c r="D101" s="55">
        <v>-12.29</v>
      </c>
      <c r="E101" s="56">
        <v>-5.0000000000000001E-4</v>
      </c>
    </row>
    <row r="102" spans="2:5" ht="15.75" customHeight="1" x14ac:dyDescent="0.2">
      <c r="B102" s="53" t="s">
        <v>288</v>
      </c>
      <c r="C102" s="54">
        <v>-1000</v>
      </c>
      <c r="D102" s="55">
        <v>-17.52</v>
      </c>
      <c r="E102" s="56">
        <v>-6.9999999999999999E-4</v>
      </c>
    </row>
    <row r="103" spans="2:5" ht="15.75" customHeight="1" x14ac:dyDescent="0.2">
      <c r="B103" s="53" t="s">
        <v>222</v>
      </c>
      <c r="C103" s="54">
        <v>-225150</v>
      </c>
      <c r="D103" s="55">
        <v>-977.04</v>
      </c>
      <c r="E103" s="56">
        <v>-0.04</v>
      </c>
    </row>
    <row r="104" spans="2:5" ht="15.75" customHeight="1" x14ac:dyDescent="0.2">
      <c r="B104" s="53" t="s">
        <v>269</v>
      </c>
      <c r="C104" s="54">
        <v>-14400</v>
      </c>
      <c r="D104" s="55">
        <v>-39.340000000000003</v>
      </c>
      <c r="E104" s="56">
        <v>-1.6000000000000001E-3</v>
      </c>
    </row>
    <row r="105" spans="2:5" ht="15.75" customHeight="1" x14ac:dyDescent="0.2">
      <c r="B105" s="53" t="s">
        <v>298</v>
      </c>
      <c r="C105" s="54">
        <v>-700</v>
      </c>
      <c r="D105" s="55">
        <v>-6.45</v>
      </c>
      <c r="E105" s="56">
        <v>-2.9999999999999997E-4</v>
      </c>
    </row>
    <row r="106" spans="2:5" ht="15.75" customHeight="1" x14ac:dyDescent="0.2">
      <c r="B106" s="53" t="s">
        <v>246</v>
      </c>
      <c r="C106" s="54">
        <v>-29700</v>
      </c>
      <c r="D106" s="55">
        <v>-175.33</v>
      </c>
      <c r="E106" s="56">
        <v>-7.1999999999999998E-3</v>
      </c>
    </row>
    <row r="107" spans="2:5" ht="15.75" customHeight="1" x14ac:dyDescent="0.2">
      <c r="B107" s="53" t="s">
        <v>249</v>
      </c>
      <c r="C107" s="54">
        <v>-37500</v>
      </c>
      <c r="D107" s="55">
        <v>-150.19</v>
      </c>
      <c r="E107" s="56">
        <v>-6.1000000000000004E-3</v>
      </c>
    </row>
    <row r="108" spans="2:5" ht="15.75" customHeight="1" x14ac:dyDescent="0.2">
      <c r="B108" s="53" t="s">
        <v>241</v>
      </c>
      <c r="C108" s="54">
        <v>-72750</v>
      </c>
      <c r="D108" s="55">
        <v>-180.75</v>
      </c>
      <c r="E108" s="56">
        <v>-7.4000000000000003E-3</v>
      </c>
    </row>
    <row r="109" spans="2:5" ht="15.75" customHeight="1" x14ac:dyDescent="0.2">
      <c r="B109" s="53" t="s">
        <v>260</v>
      </c>
      <c r="C109" s="54">
        <v>-18850</v>
      </c>
      <c r="D109" s="55">
        <v>-84.27</v>
      </c>
      <c r="E109" s="56">
        <v>-3.3999999999999998E-3</v>
      </c>
    </row>
    <row r="110" spans="2:5" ht="15.75" customHeight="1" x14ac:dyDescent="0.2">
      <c r="B110" s="53" t="s">
        <v>254</v>
      </c>
      <c r="C110" s="54">
        <v>-14400</v>
      </c>
      <c r="D110" s="55">
        <v>-129.94999999999999</v>
      </c>
      <c r="E110" s="56">
        <v>-5.3E-3</v>
      </c>
    </row>
    <row r="111" spans="2:5" ht="15.75" customHeight="1" x14ac:dyDescent="0.2">
      <c r="B111" s="53" t="s">
        <v>171</v>
      </c>
      <c r="C111" s="54">
        <v>-207900</v>
      </c>
      <c r="D111" s="55">
        <v>-1613.51</v>
      </c>
      <c r="E111" s="56">
        <v>-6.6000000000000003E-2</v>
      </c>
    </row>
    <row r="112" spans="2:5" ht="15.75" customHeight="1" x14ac:dyDescent="0.2">
      <c r="B112" s="53" t="s">
        <v>220</v>
      </c>
      <c r="C112" s="54">
        <v>-284000</v>
      </c>
      <c r="D112" s="55">
        <v>-1095.96</v>
      </c>
      <c r="E112" s="56">
        <v>-4.48E-2</v>
      </c>
    </row>
    <row r="113" spans="2:5" ht="15.75" customHeight="1" x14ac:dyDescent="0.2">
      <c r="B113" s="53" t="s">
        <v>193</v>
      </c>
      <c r="C113" s="54">
        <v>-36200</v>
      </c>
      <c r="D113" s="55">
        <v>-1127.6300000000001</v>
      </c>
      <c r="E113" s="56">
        <v>-4.6100000000000002E-2</v>
      </c>
    </row>
    <row r="114" spans="2:5" ht="15.75" customHeight="1" x14ac:dyDescent="0.2">
      <c r="B114" s="53" t="s">
        <v>225</v>
      </c>
      <c r="C114" s="54">
        <v>-83250</v>
      </c>
      <c r="D114" s="55">
        <v>-784.38</v>
      </c>
      <c r="E114" s="56">
        <v>-3.2099999999999997E-2</v>
      </c>
    </row>
    <row r="115" spans="2:5" ht="15.75" customHeight="1" x14ac:dyDescent="0.2">
      <c r="B115" s="53" t="s">
        <v>296</v>
      </c>
      <c r="C115" s="54">
        <v>-175</v>
      </c>
      <c r="D115" s="55">
        <v>-7.7</v>
      </c>
      <c r="E115" s="56">
        <v>-2.9999999999999997E-4</v>
      </c>
    </row>
    <row r="116" spans="2:5" ht="15.75" customHeight="1" x14ac:dyDescent="0.2">
      <c r="B116" s="53" t="s">
        <v>234</v>
      </c>
      <c r="C116" s="54">
        <v>-216000</v>
      </c>
      <c r="D116" s="55">
        <v>-237.02</v>
      </c>
      <c r="E116" s="56">
        <v>-9.7000000000000003E-3</v>
      </c>
    </row>
    <row r="117" spans="2:5" ht="15.75" customHeight="1" x14ac:dyDescent="0.2">
      <c r="B117" s="53" t="s">
        <v>227</v>
      </c>
      <c r="C117" s="54">
        <v>-418000</v>
      </c>
      <c r="D117" s="55">
        <v>-886.41</v>
      </c>
      <c r="E117" s="56">
        <v>-3.6299999999999999E-2</v>
      </c>
    </row>
    <row r="118" spans="2:5" ht="15.75" customHeight="1" x14ac:dyDescent="0.2">
      <c r="B118" s="53" t="s">
        <v>183</v>
      </c>
      <c r="C118" s="54">
        <v>-46250</v>
      </c>
      <c r="D118" s="55">
        <v>-590.1</v>
      </c>
      <c r="E118" s="56">
        <v>-2.41E-2</v>
      </c>
    </row>
    <row r="119" spans="2:5" ht="15.75" customHeight="1" x14ac:dyDescent="0.2">
      <c r="B119" s="53" t="s">
        <v>239</v>
      </c>
      <c r="C119" s="54">
        <v>-78975</v>
      </c>
      <c r="D119" s="55">
        <v>-209.36</v>
      </c>
      <c r="E119" s="56">
        <v>-8.6E-3</v>
      </c>
    </row>
    <row r="120" spans="2:5" ht="15.75" customHeight="1" x14ac:dyDescent="0.2">
      <c r="B120" s="53" t="s">
        <v>272</v>
      </c>
      <c r="C120" s="54">
        <v>-15750</v>
      </c>
      <c r="D120" s="55">
        <v>-25.8</v>
      </c>
      <c r="E120" s="56">
        <v>-1.1000000000000001E-3</v>
      </c>
    </row>
    <row r="121" spans="2:5" ht="15.75" customHeight="1" x14ac:dyDescent="0.2">
      <c r="B121" s="53" t="s">
        <v>252</v>
      </c>
      <c r="C121" s="54">
        <v>-32300</v>
      </c>
      <c r="D121" s="55">
        <v>-133.13999999999999</v>
      </c>
      <c r="E121" s="56">
        <v>-5.4000000000000003E-3</v>
      </c>
    </row>
    <row r="122" spans="2:5" ht="15.75" customHeight="1" x14ac:dyDescent="0.2">
      <c r="B122" s="53" t="s">
        <v>232</v>
      </c>
      <c r="C122" s="54">
        <v>-3050</v>
      </c>
      <c r="D122" s="55">
        <v>-408.27</v>
      </c>
      <c r="E122" s="56">
        <v>-1.67E-2</v>
      </c>
    </row>
    <row r="123" spans="2:5" ht="15.75" customHeight="1" x14ac:dyDescent="0.2">
      <c r="B123" s="53" t="s">
        <v>275</v>
      </c>
      <c r="C123" s="54">
        <v>-1600</v>
      </c>
      <c r="D123" s="55">
        <v>-25.52</v>
      </c>
      <c r="E123" s="56">
        <v>-1E-3</v>
      </c>
    </row>
    <row r="124" spans="2:5" ht="15.75" customHeight="1" x14ac:dyDescent="0.2">
      <c r="B124" s="53" t="s">
        <v>244</v>
      </c>
      <c r="C124" s="54">
        <v>-12000</v>
      </c>
      <c r="D124" s="55">
        <v>-175.45</v>
      </c>
      <c r="E124" s="56">
        <v>-7.1999999999999998E-3</v>
      </c>
    </row>
    <row r="125" spans="2:5" ht="15.75" customHeight="1" x14ac:dyDescent="0.2">
      <c r="B125" s="53" t="s">
        <v>280</v>
      </c>
      <c r="C125" s="54">
        <v>-6750</v>
      </c>
      <c r="D125" s="55">
        <v>-20.32</v>
      </c>
      <c r="E125" s="56">
        <v>-8.0000000000000004E-4</v>
      </c>
    </row>
    <row r="126" spans="2:5" ht="15.75" customHeight="1" x14ac:dyDescent="0.2">
      <c r="B126" s="53" t="s">
        <v>236</v>
      </c>
      <c r="C126" s="54">
        <v>-12950</v>
      </c>
      <c r="D126" s="55">
        <v>-235.04</v>
      </c>
      <c r="E126" s="56">
        <v>-9.5999999999999992E-3</v>
      </c>
    </row>
    <row r="127" spans="2:5" ht="15.75" customHeight="1" x14ac:dyDescent="0.2">
      <c r="B127" s="53" t="s">
        <v>191</v>
      </c>
      <c r="C127" s="54">
        <v>-77700</v>
      </c>
      <c r="D127" s="55">
        <v>-987.33</v>
      </c>
      <c r="E127" s="56">
        <v>-4.0399999999999998E-2</v>
      </c>
    </row>
    <row r="128" spans="2:5" ht="15.75" customHeight="1" x14ac:dyDescent="0.2">
      <c r="B128" s="53" t="s">
        <v>278</v>
      </c>
      <c r="C128" s="54">
        <v>-5200</v>
      </c>
      <c r="D128" s="55">
        <v>-23.47</v>
      </c>
      <c r="E128" s="56">
        <v>-1E-3</v>
      </c>
    </row>
    <row r="129" spans="2:8" ht="15.75" customHeight="1" x14ac:dyDescent="0.2">
      <c r="B129" s="53" t="s">
        <v>292</v>
      </c>
      <c r="C129" s="54">
        <v>-4000</v>
      </c>
      <c r="D129" s="55">
        <v>-13.73</v>
      </c>
      <c r="E129" s="56">
        <v>-5.9999999999999995E-4</v>
      </c>
    </row>
    <row r="130" spans="2:8" ht="15.75" customHeight="1" x14ac:dyDescent="0.2">
      <c r="B130" s="53" t="s">
        <v>230</v>
      </c>
      <c r="C130" s="54">
        <v>-220900</v>
      </c>
      <c r="D130" s="55">
        <v>-545.89</v>
      </c>
      <c r="E130" s="56">
        <v>-2.23E-2</v>
      </c>
    </row>
    <row r="131" spans="2:8" ht="15.75" customHeight="1" x14ac:dyDescent="0.2">
      <c r="B131" s="16" t="s">
        <v>308</v>
      </c>
      <c r="C131" s="57">
        <v>-3739075</v>
      </c>
      <c r="D131" s="58">
        <v>-16215.49</v>
      </c>
      <c r="E131" s="59">
        <v>-0.66320000000000001</v>
      </c>
    </row>
    <row r="133" spans="2:8" s="7" customFormat="1" ht="15.6" customHeight="1" x14ac:dyDescent="0.25">
      <c r="B133" s="63" t="s">
        <v>1067</v>
      </c>
      <c r="C133" s="70"/>
      <c r="D133" s="70"/>
      <c r="E133" s="70"/>
      <c r="F133" s="70"/>
      <c r="G133" s="70"/>
      <c r="H133" s="64"/>
    </row>
    <row r="134" spans="2:8" s="7" customFormat="1" ht="15.6" customHeight="1" x14ac:dyDescent="0.25">
      <c r="B134" s="63" t="s">
        <v>1108</v>
      </c>
      <c r="C134" s="70"/>
      <c r="D134" s="70"/>
      <c r="E134" s="70"/>
      <c r="F134" s="70"/>
      <c r="G134" s="70"/>
      <c r="H134" s="64"/>
    </row>
    <row r="135" spans="2:8" s="7" customFormat="1" ht="15.6" customHeight="1" x14ac:dyDescent="0.25">
      <c r="B135" s="68" t="s">
        <v>1068</v>
      </c>
      <c r="C135" s="70"/>
      <c r="D135" s="70"/>
      <c r="E135" s="70"/>
      <c r="F135" s="70"/>
      <c r="G135" s="70"/>
      <c r="H135" s="64"/>
    </row>
    <row r="136" spans="2:8" s="7" customFormat="1" ht="15.6" customHeight="1" x14ac:dyDescent="0.25">
      <c r="B136" s="71"/>
      <c r="C136" s="65">
        <v>46142</v>
      </c>
      <c r="D136" s="65">
        <v>46112</v>
      </c>
      <c r="E136" s="70"/>
      <c r="F136" s="70"/>
      <c r="G136" s="70"/>
      <c r="H136" s="64"/>
    </row>
    <row r="137" spans="2:8" s="7" customFormat="1" ht="15.6" customHeight="1" x14ac:dyDescent="0.25">
      <c r="B137" s="71" t="s">
        <v>1069</v>
      </c>
      <c r="C137" s="66"/>
      <c r="D137" s="66"/>
      <c r="E137" s="70"/>
      <c r="F137" s="70"/>
      <c r="G137" s="70"/>
      <c r="H137" s="64"/>
    </row>
    <row r="138" spans="2:8" s="7" customFormat="1" ht="15.6" customHeight="1" x14ac:dyDescent="0.25">
      <c r="B138" s="71" t="s">
        <v>1070</v>
      </c>
      <c r="C138" s="67">
        <v>14.464</v>
      </c>
      <c r="D138" s="67">
        <v>14.4068</v>
      </c>
      <c r="E138" s="70"/>
      <c r="F138" s="70"/>
      <c r="G138" s="70"/>
      <c r="H138" s="64"/>
    </row>
    <row r="139" spans="2:8" s="7" customFormat="1" ht="15.6" customHeight="1" x14ac:dyDescent="0.25">
      <c r="B139" s="71" t="s">
        <v>1084</v>
      </c>
      <c r="C139" s="67">
        <v>14.041400000000001</v>
      </c>
      <c r="D139" s="67">
        <v>13.985900000000001</v>
      </c>
      <c r="E139" s="70"/>
      <c r="F139" s="70"/>
      <c r="G139" s="70"/>
      <c r="H139" s="64"/>
    </row>
    <row r="140" spans="2:8" s="7" customFormat="1" ht="15.6" customHeight="1" x14ac:dyDescent="0.25">
      <c r="B140" s="71" t="s">
        <v>1085</v>
      </c>
      <c r="C140" s="67">
        <v>14.131400000000001</v>
      </c>
      <c r="D140" s="67">
        <v>14.0755</v>
      </c>
      <c r="E140" s="70"/>
      <c r="F140" s="70"/>
      <c r="G140" s="70"/>
      <c r="H140" s="64"/>
    </row>
    <row r="141" spans="2:8" s="7" customFormat="1" ht="15.6" customHeight="1" x14ac:dyDescent="0.25">
      <c r="B141" s="71" t="s">
        <v>1073</v>
      </c>
      <c r="C141" s="67">
        <v>15.205900000000002</v>
      </c>
      <c r="D141" s="67">
        <v>15.1386</v>
      </c>
      <c r="E141" s="70"/>
      <c r="F141" s="70"/>
      <c r="G141" s="70"/>
      <c r="H141" s="64"/>
    </row>
    <row r="142" spans="2:8" s="7" customFormat="1" ht="15.6" customHeight="1" x14ac:dyDescent="0.25">
      <c r="B142" s="71" t="s">
        <v>1078</v>
      </c>
      <c r="C142" s="67">
        <v>14.288900000000002</v>
      </c>
      <c r="D142" s="67">
        <v>14.2257</v>
      </c>
      <c r="E142" s="70"/>
      <c r="F142" s="70"/>
      <c r="G142" s="70"/>
      <c r="H142" s="64"/>
    </row>
    <row r="143" spans="2:8" s="7" customFormat="1" ht="15.6" customHeight="1" x14ac:dyDescent="0.25">
      <c r="B143" s="71" t="s">
        <v>1079</v>
      </c>
      <c r="C143" s="67">
        <v>13.8245</v>
      </c>
      <c r="D143" s="67">
        <v>13.763299999999999</v>
      </c>
      <c r="E143" s="70"/>
      <c r="F143" s="70"/>
      <c r="G143" s="70"/>
      <c r="H143" s="64"/>
    </row>
    <row r="144" spans="2:8" s="7" customFormat="1" ht="15.6" customHeight="1" x14ac:dyDescent="0.25">
      <c r="B144" s="63" t="s">
        <v>1116</v>
      </c>
      <c r="C144" s="70"/>
      <c r="D144" s="70"/>
      <c r="E144" s="70"/>
      <c r="F144" s="70"/>
      <c r="G144" s="70"/>
      <c r="H144" s="64"/>
    </row>
    <row r="145" spans="2:8" s="7" customFormat="1" ht="15.6" customHeight="1" x14ac:dyDescent="0.25">
      <c r="B145" s="63" t="s">
        <v>1109</v>
      </c>
      <c r="C145" s="70"/>
      <c r="D145" s="70"/>
      <c r="E145" s="70"/>
      <c r="F145" s="70"/>
      <c r="G145" s="70"/>
      <c r="H145" s="64"/>
    </row>
    <row r="146" spans="2:8" s="7" customFormat="1" ht="15.6" customHeight="1" x14ac:dyDescent="0.25">
      <c r="B146" s="75" t="s">
        <v>1136</v>
      </c>
      <c r="C146" s="76"/>
      <c r="D146" s="76"/>
      <c r="E146" s="76"/>
      <c r="F146" s="76"/>
      <c r="G146" s="70"/>
      <c r="H146" s="64"/>
    </row>
    <row r="147" spans="2:8" s="7" customFormat="1" ht="15.6" customHeight="1" x14ac:dyDescent="0.25">
      <c r="B147" s="75" t="s">
        <v>1145</v>
      </c>
      <c r="C147" s="77"/>
      <c r="D147" s="77"/>
      <c r="E147" s="77"/>
      <c r="F147" s="77"/>
      <c r="G147" s="70"/>
      <c r="H147" s="64"/>
    </row>
    <row r="148" spans="2:8" s="7" customFormat="1" ht="30" customHeight="1" x14ac:dyDescent="0.25">
      <c r="B148" s="78" t="s">
        <v>1086</v>
      </c>
      <c r="C148" s="79" t="s">
        <v>1087</v>
      </c>
      <c r="D148" s="80" t="s">
        <v>1088</v>
      </c>
      <c r="E148" s="80" t="s">
        <v>1089</v>
      </c>
      <c r="F148" s="80" t="s">
        <v>1090</v>
      </c>
      <c r="G148" s="70"/>
      <c r="H148" s="64"/>
    </row>
    <row r="149" spans="2:8" s="7" customFormat="1" ht="15.6" customHeight="1" x14ac:dyDescent="0.25">
      <c r="B149" s="81" t="s">
        <v>294</v>
      </c>
      <c r="C149" s="79" t="s">
        <v>1091</v>
      </c>
      <c r="D149" s="82">
        <v>2546.6999999999998</v>
      </c>
      <c r="E149" s="82">
        <v>2457.1999999999998</v>
      </c>
      <c r="F149" s="82">
        <v>2.168479</v>
      </c>
      <c r="G149" s="70"/>
      <c r="H149" s="64"/>
    </row>
    <row r="150" spans="2:8" s="7" customFormat="1" ht="15.6" customHeight="1" x14ac:dyDescent="0.25">
      <c r="B150" s="81" t="s">
        <v>290</v>
      </c>
      <c r="C150" s="79" t="s">
        <v>1091</v>
      </c>
      <c r="D150" s="82">
        <v>1398.5</v>
      </c>
      <c r="E150" s="82">
        <v>1396.4</v>
      </c>
      <c r="F150" s="82">
        <v>5.088900520000001</v>
      </c>
      <c r="G150" s="70"/>
      <c r="H150" s="64"/>
    </row>
    <row r="151" spans="2:8" s="7" customFormat="1" ht="15.6" customHeight="1" x14ac:dyDescent="0.25">
      <c r="B151" s="81" t="s">
        <v>183</v>
      </c>
      <c r="C151" s="79" t="s">
        <v>1091</v>
      </c>
      <c r="D151" s="82">
        <v>1378.77026</v>
      </c>
      <c r="E151" s="82">
        <v>1275.9000000000001</v>
      </c>
      <c r="F151" s="82">
        <v>104.09430150000003</v>
      </c>
      <c r="G151" s="70"/>
      <c r="H151" s="64"/>
    </row>
    <row r="152" spans="2:8" s="7" customFormat="1" ht="15.6" customHeight="1" x14ac:dyDescent="0.25">
      <c r="B152" s="81" t="s">
        <v>288</v>
      </c>
      <c r="C152" s="79" t="s">
        <v>1091</v>
      </c>
      <c r="D152" s="82">
        <v>1802.9</v>
      </c>
      <c r="E152" s="82">
        <v>1752.4</v>
      </c>
      <c r="F152" s="82">
        <v>3.0982431999999993</v>
      </c>
      <c r="G152" s="70"/>
      <c r="H152" s="64"/>
    </row>
    <row r="153" spans="2:8" s="7" customFormat="1" ht="15.6" customHeight="1" x14ac:dyDescent="0.25">
      <c r="B153" s="81" t="s">
        <v>225</v>
      </c>
      <c r="C153" s="79" t="s">
        <v>1091</v>
      </c>
      <c r="D153" s="82">
        <v>930.94120599999997</v>
      </c>
      <c r="E153" s="82">
        <v>942.35</v>
      </c>
      <c r="F153" s="82">
        <v>23.068728000000004</v>
      </c>
      <c r="G153" s="70"/>
      <c r="H153" s="64"/>
    </row>
    <row r="154" spans="2:8" s="7" customFormat="1" ht="15.6" customHeight="1" x14ac:dyDescent="0.25">
      <c r="B154" s="81" t="s">
        <v>239</v>
      </c>
      <c r="C154" s="79" t="s">
        <v>1091</v>
      </c>
      <c r="D154" s="82">
        <v>300.26479999999998</v>
      </c>
      <c r="E154" s="82">
        <v>265.10000000000002</v>
      </c>
      <c r="F154" s="82">
        <v>41.202584279999996</v>
      </c>
      <c r="G154" s="70"/>
      <c r="H154" s="64"/>
    </row>
    <row r="155" spans="2:8" s="7" customFormat="1" ht="15.6" customHeight="1" x14ac:dyDescent="0.25">
      <c r="B155" s="81" t="s">
        <v>222</v>
      </c>
      <c r="C155" s="79" t="s">
        <v>1091</v>
      </c>
      <c r="D155" s="82">
        <v>463.902851</v>
      </c>
      <c r="E155" s="82">
        <v>433.95</v>
      </c>
      <c r="F155" s="82">
        <v>192.76968125249999</v>
      </c>
      <c r="G155" s="70"/>
      <c r="H155" s="64"/>
    </row>
    <row r="156" spans="2:8" s="7" customFormat="1" ht="15.6" customHeight="1" x14ac:dyDescent="0.25">
      <c r="B156" s="81" t="s">
        <v>214</v>
      </c>
      <c r="C156" s="79" t="s">
        <v>1091</v>
      </c>
      <c r="D156" s="82">
        <v>1844.563132</v>
      </c>
      <c r="E156" s="82">
        <v>1896.4</v>
      </c>
      <c r="F156" s="82">
        <v>211.45594855000002</v>
      </c>
      <c r="G156" s="70"/>
      <c r="H156" s="64"/>
    </row>
    <row r="157" spans="2:8" s="7" customFormat="1" ht="15.6" customHeight="1" x14ac:dyDescent="0.25">
      <c r="B157" s="81" t="s">
        <v>266</v>
      </c>
      <c r="C157" s="79" t="s">
        <v>1091</v>
      </c>
      <c r="D157" s="82">
        <v>339.64</v>
      </c>
      <c r="E157" s="82">
        <v>354.52</v>
      </c>
      <c r="F157" s="82">
        <v>13.59070146</v>
      </c>
      <c r="G157" s="70"/>
      <c r="H157" s="64"/>
    </row>
    <row r="158" spans="2:8" s="7" customFormat="1" ht="15.6" customHeight="1" x14ac:dyDescent="0.25">
      <c r="B158" s="81" t="s">
        <v>285</v>
      </c>
      <c r="C158" s="79" t="s">
        <v>1091</v>
      </c>
      <c r="D158" s="82">
        <v>506.183333</v>
      </c>
      <c r="E158" s="82">
        <v>511.3</v>
      </c>
      <c r="F158" s="82">
        <v>6.4922317500000002</v>
      </c>
      <c r="G158" s="70"/>
      <c r="H158" s="64"/>
    </row>
    <row r="159" spans="2:8" s="7" customFormat="1" ht="15.6" customHeight="1" x14ac:dyDescent="0.25">
      <c r="B159" s="81" t="s">
        <v>269</v>
      </c>
      <c r="C159" s="79" t="s">
        <v>1091</v>
      </c>
      <c r="D159" s="82">
        <v>257.24746299999998</v>
      </c>
      <c r="E159" s="82">
        <v>273.17</v>
      </c>
      <c r="F159" s="82">
        <v>13.539616415999999</v>
      </c>
      <c r="G159" s="70"/>
      <c r="H159" s="64"/>
    </row>
    <row r="160" spans="2:8" s="7" customFormat="1" ht="15.6" customHeight="1" x14ac:dyDescent="0.25">
      <c r="B160" s="81" t="s">
        <v>246</v>
      </c>
      <c r="C160" s="79" t="s">
        <v>1091</v>
      </c>
      <c r="D160" s="82">
        <v>591.85274200000003</v>
      </c>
      <c r="E160" s="82">
        <v>590.35</v>
      </c>
      <c r="F160" s="82">
        <v>61.664950214999998</v>
      </c>
      <c r="G160" s="70"/>
      <c r="H160" s="64"/>
    </row>
    <row r="161" spans="2:8" s="7" customFormat="1" ht="15.6" customHeight="1" x14ac:dyDescent="0.25">
      <c r="B161" s="81" t="s">
        <v>258</v>
      </c>
      <c r="C161" s="79" t="s">
        <v>1091</v>
      </c>
      <c r="D161" s="82">
        <v>7117.7691999999997</v>
      </c>
      <c r="E161" s="82">
        <v>7149</v>
      </c>
      <c r="F161" s="82">
        <v>16.988883600000001</v>
      </c>
      <c r="G161" s="70"/>
      <c r="H161" s="64"/>
    </row>
    <row r="162" spans="2:8" s="7" customFormat="1" ht="15.6" customHeight="1" x14ac:dyDescent="0.25">
      <c r="B162" s="81" t="s">
        <v>264</v>
      </c>
      <c r="C162" s="79" t="s">
        <v>1091</v>
      </c>
      <c r="D162" s="82">
        <v>326.59165000000002</v>
      </c>
      <c r="E162" s="82">
        <v>361.9</v>
      </c>
      <c r="F162" s="82">
        <v>15.266679119999997</v>
      </c>
      <c r="G162" s="70"/>
      <c r="H162" s="64"/>
    </row>
    <row r="163" spans="2:8" s="7" customFormat="1" ht="15.6" customHeight="1" x14ac:dyDescent="0.25">
      <c r="B163" s="81" t="s">
        <v>272</v>
      </c>
      <c r="C163" s="79" t="s">
        <v>1091</v>
      </c>
      <c r="D163" s="82">
        <v>157.66</v>
      </c>
      <c r="E163" s="82">
        <v>163.84</v>
      </c>
      <c r="F163" s="82">
        <v>4.9441996799999997</v>
      </c>
      <c r="G163" s="70"/>
      <c r="H163" s="64"/>
    </row>
    <row r="164" spans="2:8" s="7" customFormat="1" ht="15.6" customHeight="1" x14ac:dyDescent="0.25">
      <c r="B164" s="81" t="s">
        <v>234</v>
      </c>
      <c r="C164" s="79" t="s">
        <v>1091</v>
      </c>
      <c r="D164" s="82">
        <v>122.3781</v>
      </c>
      <c r="E164" s="82">
        <v>109.73</v>
      </c>
      <c r="F164" s="82">
        <v>47.68778016000001</v>
      </c>
      <c r="G164" s="70"/>
      <c r="H164" s="64"/>
    </row>
    <row r="165" spans="2:8" s="7" customFormat="1" ht="15.6" customHeight="1" x14ac:dyDescent="0.25">
      <c r="B165" s="81" t="s">
        <v>174</v>
      </c>
      <c r="C165" s="79" t="s">
        <v>1091</v>
      </c>
      <c r="D165" s="82">
        <v>1398.4693850000001</v>
      </c>
      <c r="E165" s="82">
        <v>1435.2</v>
      </c>
      <c r="F165" s="82">
        <v>202.99468799999997</v>
      </c>
      <c r="G165" s="70"/>
      <c r="H165" s="64"/>
    </row>
    <row r="166" spans="2:8" s="7" customFormat="1" ht="15.6" customHeight="1" x14ac:dyDescent="0.25">
      <c r="B166" s="81" t="s">
        <v>212</v>
      </c>
      <c r="C166" s="79" t="s">
        <v>1091</v>
      </c>
      <c r="D166" s="82">
        <v>1090.9960000000001</v>
      </c>
      <c r="E166" s="82">
        <v>1064.0999999999999</v>
      </c>
      <c r="F166" s="82">
        <v>212.84660249999999</v>
      </c>
      <c r="G166" s="70"/>
      <c r="H166" s="64"/>
    </row>
    <row r="167" spans="2:8" s="7" customFormat="1" ht="15.6" customHeight="1" x14ac:dyDescent="0.25">
      <c r="B167" s="81" t="s">
        <v>236</v>
      </c>
      <c r="C167" s="79" t="s">
        <v>1091</v>
      </c>
      <c r="D167" s="82">
        <v>1729.7945999999999</v>
      </c>
      <c r="E167" s="82">
        <v>1815</v>
      </c>
      <c r="F167" s="82">
        <v>41.532009750000007</v>
      </c>
      <c r="G167" s="70"/>
      <c r="H167" s="64"/>
    </row>
    <row r="168" spans="2:8" s="7" customFormat="1" ht="15.6" customHeight="1" x14ac:dyDescent="0.25">
      <c r="B168" s="81" t="s">
        <v>292</v>
      </c>
      <c r="C168" s="79" t="s">
        <v>1091</v>
      </c>
      <c r="D168" s="82">
        <v>357.93</v>
      </c>
      <c r="E168" s="82">
        <v>343.15</v>
      </c>
      <c r="F168" s="82">
        <v>2.7973587999999996</v>
      </c>
      <c r="G168" s="70"/>
      <c r="H168" s="64"/>
    </row>
    <row r="169" spans="2:8" s="7" customFormat="1" ht="15.6" customHeight="1" x14ac:dyDescent="0.25">
      <c r="B169" s="81" t="s">
        <v>241</v>
      </c>
      <c r="C169" s="79" t="s">
        <v>1091</v>
      </c>
      <c r="D169" s="82">
        <v>241.17237299999999</v>
      </c>
      <c r="E169" s="82">
        <v>248.46</v>
      </c>
      <c r="F169" s="82">
        <v>42.784625655000006</v>
      </c>
      <c r="G169" s="70"/>
      <c r="H169" s="64"/>
    </row>
    <row r="170" spans="2:8" s="7" customFormat="1" ht="15.6" customHeight="1" x14ac:dyDescent="0.25">
      <c r="B170" s="81" t="s">
        <v>230</v>
      </c>
      <c r="C170" s="79" t="s">
        <v>1091</v>
      </c>
      <c r="D170" s="82">
        <v>238.496072</v>
      </c>
      <c r="E170" s="82">
        <v>247.12</v>
      </c>
      <c r="F170" s="82">
        <v>192.42554820000001</v>
      </c>
      <c r="G170" s="70"/>
      <c r="H170" s="64"/>
    </row>
    <row r="171" spans="2:8" s="7" customFormat="1" ht="15.6" customHeight="1" x14ac:dyDescent="0.25">
      <c r="B171" s="81" t="s">
        <v>225</v>
      </c>
      <c r="C171" s="79" t="s">
        <v>1091</v>
      </c>
      <c r="D171" s="82">
        <v>922.92520000000002</v>
      </c>
      <c r="E171" s="82">
        <v>942.2</v>
      </c>
      <c r="F171" s="82">
        <v>151.38562950000002</v>
      </c>
      <c r="G171" s="70"/>
      <c r="H171" s="64"/>
    </row>
    <row r="172" spans="2:8" s="7" customFormat="1" ht="15.6" customHeight="1" x14ac:dyDescent="0.25">
      <c r="B172" s="81" t="s">
        <v>260</v>
      </c>
      <c r="C172" s="79" t="s">
        <v>1091</v>
      </c>
      <c r="D172" s="82">
        <v>432.45</v>
      </c>
      <c r="E172" s="82">
        <v>447.05</v>
      </c>
      <c r="F172" s="82">
        <v>14.865038370000001</v>
      </c>
      <c r="G172" s="70"/>
      <c r="H172" s="64"/>
    </row>
    <row r="173" spans="2:8" s="7" customFormat="1" ht="15.6" customHeight="1" x14ac:dyDescent="0.25">
      <c r="B173" s="81" t="s">
        <v>227</v>
      </c>
      <c r="C173" s="79" t="s">
        <v>1091</v>
      </c>
      <c r="D173" s="82">
        <v>212.654617</v>
      </c>
      <c r="E173" s="82">
        <v>212.06</v>
      </c>
      <c r="F173" s="82">
        <v>171.34320763999997</v>
      </c>
      <c r="G173" s="70"/>
      <c r="H173" s="64"/>
    </row>
    <row r="174" spans="2:8" s="7" customFormat="1" ht="15.6" customHeight="1" x14ac:dyDescent="0.25">
      <c r="B174" s="81" t="s">
        <v>296</v>
      </c>
      <c r="C174" s="79" t="s">
        <v>1091</v>
      </c>
      <c r="D174" s="82">
        <v>4474</v>
      </c>
      <c r="E174" s="82">
        <v>4402.2</v>
      </c>
      <c r="F174" s="82">
        <v>1.361270295</v>
      </c>
      <c r="G174" s="70"/>
      <c r="H174" s="64"/>
    </row>
    <row r="175" spans="2:8" s="7" customFormat="1" ht="15.6" customHeight="1" x14ac:dyDescent="0.25">
      <c r="B175" s="81" t="s">
        <v>262</v>
      </c>
      <c r="C175" s="79" t="s">
        <v>1091</v>
      </c>
      <c r="D175" s="82">
        <v>3795.0947000000001</v>
      </c>
      <c r="E175" s="82">
        <v>4166.3999999999996</v>
      </c>
      <c r="F175" s="82">
        <v>18.26258112</v>
      </c>
      <c r="G175" s="70"/>
      <c r="H175" s="64"/>
    </row>
    <row r="176" spans="2:8" s="7" customFormat="1" ht="15.6" customHeight="1" x14ac:dyDescent="0.25">
      <c r="B176" s="81" t="s">
        <v>254</v>
      </c>
      <c r="C176" s="79" t="s">
        <v>1091</v>
      </c>
      <c r="D176" s="82">
        <v>865.17186300000003</v>
      </c>
      <c r="E176" s="82">
        <v>902.4</v>
      </c>
      <c r="F176" s="82">
        <v>32.083568640000003</v>
      </c>
      <c r="G176" s="70"/>
      <c r="H176" s="64"/>
    </row>
    <row r="177" spans="2:8" s="7" customFormat="1" ht="15.6" customHeight="1" x14ac:dyDescent="0.25">
      <c r="B177" s="81" t="s">
        <v>252</v>
      </c>
      <c r="C177" s="79" t="s">
        <v>1091</v>
      </c>
      <c r="D177" s="82">
        <v>421.66579999999999</v>
      </c>
      <c r="E177" s="82">
        <v>412.2</v>
      </c>
      <c r="F177" s="82">
        <v>26.708004360000004</v>
      </c>
      <c r="G177" s="70"/>
      <c r="H177" s="64"/>
    </row>
    <row r="178" spans="2:8" s="7" customFormat="1" ht="15.6" customHeight="1" x14ac:dyDescent="0.25">
      <c r="B178" s="81" t="s">
        <v>256</v>
      </c>
      <c r="C178" s="79" t="s">
        <v>1091</v>
      </c>
      <c r="D178" s="82">
        <v>304.64999999999998</v>
      </c>
      <c r="E178" s="82">
        <v>315.75</v>
      </c>
      <c r="F178" s="82">
        <v>16.9802772</v>
      </c>
      <c r="G178" s="70"/>
      <c r="H178" s="64"/>
    </row>
    <row r="179" spans="2:8" s="7" customFormat="1" ht="15.6" customHeight="1" x14ac:dyDescent="0.25">
      <c r="B179" s="81" t="s">
        <v>220</v>
      </c>
      <c r="C179" s="79" t="s">
        <v>1091</v>
      </c>
      <c r="D179" s="82">
        <v>383.36618399999998</v>
      </c>
      <c r="E179" s="82">
        <v>385.9</v>
      </c>
      <c r="F179" s="82">
        <v>193.21704279999997</v>
      </c>
      <c r="G179" s="70"/>
      <c r="H179" s="64"/>
    </row>
    <row r="180" spans="2:8" s="7" customFormat="1" ht="15.6" customHeight="1" x14ac:dyDescent="0.25">
      <c r="B180" s="81" t="s">
        <v>193</v>
      </c>
      <c r="C180" s="79" t="s">
        <v>1091</v>
      </c>
      <c r="D180" s="82">
        <v>3152.2198779999999</v>
      </c>
      <c r="E180" s="82">
        <v>3115</v>
      </c>
      <c r="F180" s="82">
        <v>217.51982699999999</v>
      </c>
      <c r="G180" s="70"/>
      <c r="H180" s="64"/>
    </row>
    <row r="181" spans="2:8" s="7" customFormat="1" ht="15.6" customHeight="1" x14ac:dyDescent="0.25">
      <c r="B181" s="81" t="s">
        <v>232</v>
      </c>
      <c r="C181" s="79" t="s">
        <v>1091</v>
      </c>
      <c r="D181" s="82">
        <v>13634.967239</v>
      </c>
      <c r="E181" s="82">
        <v>13386</v>
      </c>
      <c r="F181" s="82">
        <v>72.060184499999991</v>
      </c>
      <c r="G181" s="70"/>
      <c r="H181" s="64"/>
    </row>
    <row r="182" spans="2:8" s="7" customFormat="1" ht="15.6" customHeight="1" x14ac:dyDescent="0.25">
      <c r="B182" s="81" t="s">
        <v>217</v>
      </c>
      <c r="C182" s="79" t="s">
        <v>1091</v>
      </c>
      <c r="D182" s="82">
        <v>96.154888</v>
      </c>
      <c r="E182" s="82">
        <v>96.96</v>
      </c>
      <c r="F182" s="82">
        <v>254.06141313599997</v>
      </c>
      <c r="G182" s="70"/>
      <c r="H182" s="64"/>
    </row>
    <row r="183" spans="2:8" s="7" customFormat="1" ht="15.6" customHeight="1" x14ac:dyDescent="0.25">
      <c r="B183" s="81" t="s">
        <v>171</v>
      </c>
      <c r="C183" s="79" t="s">
        <v>1091</v>
      </c>
      <c r="D183" s="82">
        <v>796.78691000000003</v>
      </c>
      <c r="E183" s="82">
        <v>776.1</v>
      </c>
      <c r="F183" s="82">
        <v>284.62349915999999</v>
      </c>
      <c r="G183" s="70"/>
      <c r="H183" s="64"/>
    </row>
    <row r="184" spans="2:8" s="7" customFormat="1" ht="15.6" customHeight="1" x14ac:dyDescent="0.25">
      <c r="B184" s="81" t="s">
        <v>283</v>
      </c>
      <c r="C184" s="79" t="s">
        <v>1091</v>
      </c>
      <c r="D184" s="82">
        <v>619.45000000000005</v>
      </c>
      <c r="E184" s="82">
        <v>590</v>
      </c>
      <c r="F184" s="82">
        <v>3.436455</v>
      </c>
      <c r="G184" s="70"/>
      <c r="H184" s="64"/>
    </row>
    <row r="185" spans="2:8" s="7" customFormat="1" ht="15.6" customHeight="1" x14ac:dyDescent="0.25">
      <c r="B185" s="81" t="s">
        <v>191</v>
      </c>
      <c r="C185" s="79" t="s">
        <v>1091</v>
      </c>
      <c r="D185" s="82">
        <v>1351.608988</v>
      </c>
      <c r="E185" s="82">
        <v>1270.7</v>
      </c>
      <c r="F185" s="82">
        <v>174.16569995999998</v>
      </c>
      <c r="G185" s="70"/>
      <c r="H185" s="64"/>
    </row>
    <row r="186" spans="2:8" s="7" customFormat="1" ht="15.6" customHeight="1" x14ac:dyDescent="0.25">
      <c r="B186" s="81" t="s">
        <v>298</v>
      </c>
      <c r="C186" s="79" t="s">
        <v>1091</v>
      </c>
      <c r="D186" s="82">
        <v>866.95</v>
      </c>
      <c r="E186" s="82">
        <v>921.35</v>
      </c>
      <c r="F186" s="82">
        <v>1.4691847099999999</v>
      </c>
      <c r="G186" s="70"/>
      <c r="H186" s="64"/>
    </row>
    <row r="187" spans="2:8" s="7" customFormat="1" ht="15.6" customHeight="1" x14ac:dyDescent="0.25">
      <c r="B187" s="81" t="s">
        <v>275</v>
      </c>
      <c r="C187" s="79" t="s">
        <v>1091</v>
      </c>
      <c r="D187" s="82">
        <v>1607.15</v>
      </c>
      <c r="E187" s="82">
        <v>1595.1</v>
      </c>
      <c r="F187" s="82">
        <v>4.5020102399999997</v>
      </c>
      <c r="G187" s="70"/>
      <c r="H187" s="64"/>
    </row>
    <row r="188" spans="2:8" s="7" customFormat="1" ht="15.6" customHeight="1" x14ac:dyDescent="0.25">
      <c r="B188" s="81" t="s">
        <v>244</v>
      </c>
      <c r="C188" s="79" t="s">
        <v>1091</v>
      </c>
      <c r="D188" s="82">
        <v>1402.9208000000001</v>
      </c>
      <c r="E188" s="82">
        <v>1462.1</v>
      </c>
      <c r="F188" s="82">
        <v>31.0374588</v>
      </c>
      <c r="G188" s="70"/>
      <c r="H188" s="64"/>
    </row>
    <row r="189" spans="2:8" s="7" customFormat="1" ht="15.6" customHeight="1" x14ac:dyDescent="0.25">
      <c r="B189" s="81" t="s">
        <v>249</v>
      </c>
      <c r="C189" s="79" t="s">
        <v>1091</v>
      </c>
      <c r="D189" s="82">
        <v>376.60599999999999</v>
      </c>
      <c r="E189" s="82">
        <v>400.5</v>
      </c>
      <c r="F189" s="82">
        <v>26.553149999999999</v>
      </c>
      <c r="G189" s="70"/>
      <c r="H189" s="64"/>
    </row>
    <row r="190" spans="2:8" s="7" customFormat="1" ht="15.6" customHeight="1" x14ac:dyDescent="0.25">
      <c r="B190" s="81" t="s">
        <v>280</v>
      </c>
      <c r="C190" s="79" t="s">
        <v>1091</v>
      </c>
      <c r="D190" s="82">
        <v>286</v>
      </c>
      <c r="E190" s="82">
        <v>301.05</v>
      </c>
      <c r="F190" s="82">
        <v>3.5866344374999999</v>
      </c>
      <c r="G190" s="70"/>
      <c r="H190" s="64"/>
    </row>
    <row r="191" spans="2:8" s="7" customFormat="1" ht="15.6" customHeight="1" x14ac:dyDescent="0.25">
      <c r="B191" s="81" t="s">
        <v>278</v>
      </c>
      <c r="C191" s="79" t="s">
        <v>1091</v>
      </c>
      <c r="D191" s="82">
        <v>416.4</v>
      </c>
      <c r="E191" s="82">
        <v>451.25</v>
      </c>
      <c r="F191" s="82">
        <v>5.1740325</v>
      </c>
      <c r="G191" s="70"/>
      <c r="H191" s="64"/>
    </row>
    <row r="192" spans="2:8" s="7" customFormat="1" ht="15.6" customHeight="1" x14ac:dyDescent="0.25">
      <c r="B192" s="75" t="s">
        <v>1152</v>
      </c>
      <c r="C192" s="77"/>
      <c r="D192" s="77"/>
      <c r="E192" s="77"/>
      <c r="F192" s="83"/>
      <c r="G192" s="83"/>
      <c r="H192" s="64"/>
    </row>
    <row r="193" spans="2:8" s="7" customFormat="1" ht="15.6" customHeight="1" x14ac:dyDescent="0.25">
      <c r="B193" s="75" t="s">
        <v>1151</v>
      </c>
      <c r="C193" s="77"/>
      <c r="D193" s="77"/>
      <c r="E193" s="83"/>
      <c r="F193" s="77"/>
      <c r="G193" s="70"/>
      <c r="H193" s="64"/>
    </row>
    <row r="194" spans="2:8" s="7" customFormat="1" ht="15.6" customHeight="1" x14ac:dyDescent="0.25">
      <c r="B194" s="79" t="s">
        <v>1092</v>
      </c>
      <c r="C194" s="84">
        <v>66</v>
      </c>
      <c r="D194" s="77"/>
      <c r="E194" s="83"/>
      <c r="F194" s="77"/>
      <c r="G194" s="70"/>
      <c r="H194" s="64"/>
    </row>
    <row r="195" spans="2:8" s="7" customFormat="1" ht="15.6" customHeight="1" x14ac:dyDescent="0.25">
      <c r="B195" s="79" t="s">
        <v>1093</v>
      </c>
      <c r="C195" s="84">
        <v>61</v>
      </c>
      <c r="D195" s="77"/>
      <c r="E195" s="83"/>
      <c r="F195" s="77"/>
      <c r="G195" s="70"/>
      <c r="H195" s="64"/>
    </row>
    <row r="196" spans="2:8" s="7" customFormat="1" ht="15.6" customHeight="1" x14ac:dyDescent="0.25">
      <c r="B196" s="79" t="s">
        <v>1094</v>
      </c>
      <c r="C196" s="85">
        <v>12014.0730902</v>
      </c>
      <c r="D196" s="83"/>
      <c r="E196" s="77"/>
      <c r="F196" s="83"/>
      <c r="G196" s="70"/>
      <c r="H196" s="64"/>
    </row>
    <row r="197" spans="2:8" s="7" customFormat="1" ht="15.6" customHeight="1" x14ac:dyDescent="0.25">
      <c r="B197" s="79" t="s">
        <v>1095</v>
      </c>
      <c r="C197" s="85">
        <v>11175.518413799999</v>
      </c>
      <c r="D197" s="83"/>
      <c r="E197" s="77"/>
      <c r="F197" s="83"/>
      <c r="G197" s="70"/>
      <c r="H197" s="64"/>
    </row>
    <row r="198" spans="2:8" s="7" customFormat="1" ht="15.6" customHeight="1" x14ac:dyDescent="0.25">
      <c r="B198" s="79" t="s">
        <v>1096</v>
      </c>
      <c r="C198" s="85">
        <v>-305.58797819999995</v>
      </c>
      <c r="D198" s="83"/>
      <c r="E198" s="83"/>
      <c r="F198" s="83"/>
      <c r="G198" s="70"/>
      <c r="H198" s="64"/>
    </row>
    <row r="199" spans="2:8" s="7" customFormat="1" ht="15.6" customHeight="1" x14ac:dyDescent="0.25">
      <c r="B199" s="75" t="s">
        <v>1138</v>
      </c>
      <c r="C199" s="77"/>
      <c r="D199" s="77"/>
      <c r="E199" s="77"/>
      <c r="F199" s="77"/>
      <c r="G199" s="70"/>
      <c r="H199" s="64"/>
    </row>
    <row r="200" spans="2:8" s="7" customFormat="1" ht="15.6" customHeight="1" x14ac:dyDescent="0.25">
      <c r="B200" s="75" t="s">
        <v>1139</v>
      </c>
      <c r="C200" s="77"/>
      <c r="D200" s="77"/>
      <c r="E200" s="77"/>
      <c r="F200" s="77"/>
      <c r="G200" s="70"/>
      <c r="H200" s="64"/>
    </row>
    <row r="201" spans="2:8" s="7" customFormat="1" ht="15.6" customHeight="1" x14ac:dyDescent="0.25">
      <c r="B201" s="75" t="s">
        <v>1140</v>
      </c>
      <c r="C201" s="77"/>
      <c r="D201" s="77"/>
      <c r="E201" s="77"/>
      <c r="F201" s="77"/>
      <c r="G201" s="70"/>
      <c r="H201" s="64"/>
    </row>
    <row r="202" spans="2:8" s="7" customFormat="1" ht="15.6" customHeight="1" x14ac:dyDescent="0.25">
      <c r="B202" s="75" t="s">
        <v>1141</v>
      </c>
      <c r="C202" s="77"/>
      <c r="D202" s="77"/>
      <c r="E202" s="77"/>
      <c r="F202" s="77"/>
      <c r="G202" s="70"/>
      <c r="H202" s="64"/>
    </row>
    <row r="203" spans="2:8" s="7" customFormat="1" ht="15.6" customHeight="1" x14ac:dyDescent="0.25">
      <c r="B203" s="75" t="s">
        <v>1142</v>
      </c>
      <c r="C203" s="77"/>
      <c r="D203" s="77"/>
      <c r="E203" s="77"/>
      <c r="F203" s="77"/>
      <c r="G203" s="70"/>
      <c r="H203" s="64"/>
    </row>
    <row r="204" spans="2:8" s="7" customFormat="1" ht="15.6" customHeight="1" x14ac:dyDescent="0.25">
      <c r="B204" s="75" t="s">
        <v>1143</v>
      </c>
      <c r="C204" s="77"/>
      <c r="D204" s="77"/>
      <c r="E204" s="77"/>
      <c r="F204" s="77"/>
      <c r="G204" s="70"/>
      <c r="H204" s="64"/>
    </row>
    <row r="205" spans="2:8" s="7" customFormat="1" ht="15.6" customHeight="1" x14ac:dyDescent="0.25">
      <c r="B205" s="75" t="s">
        <v>1144</v>
      </c>
      <c r="C205" s="70"/>
      <c r="D205" s="70"/>
      <c r="E205" s="70"/>
      <c r="F205" s="70"/>
      <c r="G205" s="70"/>
      <c r="H205" s="64"/>
    </row>
    <row r="206" spans="2:8" s="7" customFormat="1" ht="15.6" customHeight="1" x14ac:dyDescent="0.25">
      <c r="B206" s="63" t="s">
        <v>1112</v>
      </c>
      <c r="C206" s="70"/>
      <c r="D206" s="70"/>
      <c r="E206" s="70"/>
      <c r="F206" s="70"/>
      <c r="G206" s="70"/>
      <c r="H206" s="64"/>
    </row>
    <row r="207" spans="2:8" s="7" customFormat="1" ht="15.6" customHeight="1" x14ac:dyDescent="0.25">
      <c r="B207" s="63" t="s">
        <v>1124</v>
      </c>
      <c r="C207" s="70"/>
      <c r="D207" s="70"/>
      <c r="E207" s="70"/>
      <c r="F207" s="70"/>
      <c r="G207" s="70"/>
      <c r="H207" s="64"/>
    </row>
    <row r="208" spans="2:8" s="7" customFormat="1" ht="15.6" customHeight="1" x14ac:dyDescent="0.25">
      <c r="B208" s="63" t="s">
        <v>1113</v>
      </c>
      <c r="C208" s="70"/>
      <c r="D208" s="70"/>
      <c r="E208" s="70"/>
      <c r="F208" s="70"/>
      <c r="G208" s="70"/>
      <c r="H208" s="64"/>
    </row>
    <row r="209" spans="2:8" s="7" customFormat="1" ht="15.6" customHeight="1" x14ac:dyDescent="0.25">
      <c r="B209" s="68" t="s">
        <v>1076</v>
      </c>
      <c r="C209" s="72"/>
      <c r="D209" s="72"/>
      <c r="E209" s="72"/>
      <c r="F209" s="72"/>
      <c r="G209" s="72"/>
      <c r="H209" s="69"/>
    </row>
    <row r="212" spans="2:8" ht="15.75" customHeight="1" thickBot="1" x14ac:dyDescent="0.25"/>
    <row r="213" spans="2:8" ht="39.75" customHeight="1" thickBot="1" x14ac:dyDescent="0.3">
      <c r="B213" s="46" t="s">
        <v>146</v>
      </c>
      <c r="C213" s="47" t="s">
        <v>147</v>
      </c>
      <c r="D213" s="47" t="s">
        <v>148</v>
      </c>
      <c r="E213"/>
    </row>
    <row r="214" spans="2:8" ht="39.75" customHeight="1" x14ac:dyDescent="0.25">
      <c r="B214" s="52" t="s">
        <v>311</v>
      </c>
      <c r="C214" s="109"/>
      <c r="D214" s="52" t="s">
        <v>312</v>
      </c>
      <c r="E214"/>
    </row>
    <row r="215" spans="2:8" ht="39.75" customHeight="1" x14ac:dyDescent="0.25">
      <c r="B215" s="112" t="s">
        <v>313</v>
      </c>
      <c r="C215" s="110"/>
      <c r="D215" s="114"/>
      <c r="E215"/>
    </row>
    <row r="216" spans="2:8" ht="39.75" customHeight="1" x14ac:dyDescent="0.25">
      <c r="B216" s="112"/>
      <c r="C216" s="110"/>
      <c r="D216" s="114"/>
      <c r="E216"/>
    </row>
    <row r="217" spans="2:8" ht="39.75" customHeight="1" x14ac:dyDescent="0.25">
      <c r="B217" s="112"/>
      <c r="C217" s="110"/>
      <c r="D217" s="114"/>
      <c r="E217"/>
    </row>
    <row r="218" spans="2:8" ht="39.75" customHeight="1" thickBot="1" x14ac:dyDescent="0.3">
      <c r="B218" s="113"/>
      <c r="C218" s="111"/>
      <c r="D218" s="115"/>
      <c r="E218"/>
    </row>
    <row r="219" spans="2:8" ht="15.75" customHeight="1" x14ac:dyDescent="0.2">
      <c r="B219" s="9" t="s">
        <v>149</v>
      </c>
    </row>
    <row r="220" spans="2:8" ht="15.75" customHeight="1" x14ac:dyDescent="0.2">
      <c r="B220" s="9" t="s">
        <v>150</v>
      </c>
    </row>
    <row r="221" spans="2:8" ht="15.75" customHeight="1" x14ac:dyDescent="0.2">
      <c r="B221" s="9" t="s">
        <v>151</v>
      </c>
    </row>
  </sheetData>
  <mergeCells count="3">
    <mergeCell ref="C214:C218"/>
    <mergeCell ref="B215:B218"/>
    <mergeCell ref="D215:D218"/>
  </mergeCells>
  <hyperlinks>
    <hyperlink ref="G1" location="'Sheet1'!A1" display="Index" xr:uid="{F598B7B7-4FE1-40FD-975F-34F734B2E63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F582-62EF-49B9-8C05-E71BF36CE1C3}">
  <dimension ref="B1:N219"/>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677863</v>
      </c>
      <c r="F7" s="30">
        <v>5231.07</v>
      </c>
      <c r="G7" s="31">
        <v>7.6799999999999993E-2</v>
      </c>
      <c r="H7" s="32"/>
    </row>
    <row r="8" spans="2:8" ht="15.75" customHeight="1" x14ac:dyDescent="0.2">
      <c r="B8" s="28" t="s">
        <v>174</v>
      </c>
      <c r="C8" s="28" t="s">
        <v>175</v>
      </c>
      <c r="D8" s="28" t="s">
        <v>176</v>
      </c>
      <c r="E8" s="29">
        <v>224839</v>
      </c>
      <c r="F8" s="30">
        <v>3217</v>
      </c>
      <c r="G8" s="31">
        <v>4.7199999999999999E-2</v>
      </c>
      <c r="H8" s="32"/>
    </row>
    <row r="9" spans="2:8" ht="15.75" customHeight="1" x14ac:dyDescent="0.2">
      <c r="B9" s="28" t="s">
        <v>191</v>
      </c>
      <c r="C9" s="28" t="s">
        <v>192</v>
      </c>
      <c r="D9" s="28" t="s">
        <v>173</v>
      </c>
      <c r="E9" s="29">
        <v>244373</v>
      </c>
      <c r="F9" s="30">
        <v>3087.41</v>
      </c>
      <c r="G9" s="31">
        <v>4.53E-2</v>
      </c>
      <c r="H9" s="32"/>
    </row>
    <row r="10" spans="2:8" ht="15.75" customHeight="1" x14ac:dyDescent="0.2">
      <c r="B10" s="28" t="s">
        <v>212</v>
      </c>
      <c r="C10" s="28" t="s">
        <v>213</v>
      </c>
      <c r="D10" s="28" t="s">
        <v>173</v>
      </c>
      <c r="E10" s="29">
        <v>274883</v>
      </c>
      <c r="F10" s="30">
        <v>2936.99</v>
      </c>
      <c r="G10" s="31">
        <v>4.3099999999999999E-2</v>
      </c>
      <c r="H10" s="32"/>
    </row>
    <row r="11" spans="2:8" ht="15.75" customHeight="1" x14ac:dyDescent="0.2">
      <c r="B11" s="28" t="s">
        <v>314</v>
      </c>
      <c r="C11" s="28" t="s">
        <v>315</v>
      </c>
      <c r="D11" s="28" t="s">
        <v>182</v>
      </c>
      <c r="E11" s="29">
        <v>96196</v>
      </c>
      <c r="F11" s="30">
        <v>2379.79</v>
      </c>
      <c r="G11" s="31">
        <v>3.49E-2</v>
      </c>
      <c r="H11" s="32"/>
    </row>
    <row r="12" spans="2:8" ht="15.75" customHeight="1" x14ac:dyDescent="0.2">
      <c r="B12" s="28" t="s">
        <v>316</v>
      </c>
      <c r="C12" s="28" t="s">
        <v>317</v>
      </c>
      <c r="D12" s="28" t="s">
        <v>318</v>
      </c>
      <c r="E12" s="29">
        <v>42798</v>
      </c>
      <c r="F12" s="30">
        <v>1717.91</v>
      </c>
      <c r="G12" s="31">
        <v>2.52E-2</v>
      </c>
      <c r="H12" s="32"/>
    </row>
    <row r="13" spans="2:8" ht="15.75" customHeight="1" x14ac:dyDescent="0.2">
      <c r="B13" s="28" t="s">
        <v>180</v>
      </c>
      <c r="C13" s="28" t="s">
        <v>181</v>
      </c>
      <c r="D13" s="28" t="s">
        <v>182</v>
      </c>
      <c r="E13" s="29">
        <v>117703</v>
      </c>
      <c r="F13" s="30">
        <v>1391.01</v>
      </c>
      <c r="G13" s="31">
        <v>2.0400000000000001E-2</v>
      </c>
      <c r="H13" s="32"/>
    </row>
    <row r="14" spans="2:8" ht="15.75" customHeight="1" x14ac:dyDescent="0.2">
      <c r="B14" s="28" t="s">
        <v>278</v>
      </c>
      <c r="C14" s="28" t="s">
        <v>279</v>
      </c>
      <c r="D14" s="28" t="s">
        <v>190</v>
      </c>
      <c r="E14" s="29">
        <v>257295</v>
      </c>
      <c r="F14" s="30">
        <v>1153.71</v>
      </c>
      <c r="G14" s="31">
        <v>1.6899999999999998E-2</v>
      </c>
      <c r="H14" s="32"/>
    </row>
    <row r="15" spans="2:8" ht="15.75" customHeight="1" x14ac:dyDescent="0.2">
      <c r="B15" s="28" t="s">
        <v>220</v>
      </c>
      <c r="C15" s="28" t="s">
        <v>221</v>
      </c>
      <c r="D15" s="28" t="s">
        <v>173</v>
      </c>
      <c r="E15" s="29">
        <v>288913</v>
      </c>
      <c r="F15" s="30">
        <v>1107.4000000000001</v>
      </c>
      <c r="G15" s="31">
        <v>1.6299999999999999E-2</v>
      </c>
      <c r="H15" s="32"/>
    </row>
    <row r="16" spans="2:8" ht="15.75" customHeight="1" x14ac:dyDescent="0.2">
      <c r="B16" s="28" t="s">
        <v>236</v>
      </c>
      <c r="C16" s="28" t="s">
        <v>237</v>
      </c>
      <c r="D16" s="28" t="s">
        <v>238</v>
      </c>
      <c r="E16" s="29">
        <v>58807</v>
      </c>
      <c r="F16" s="30">
        <v>1063.4100000000001</v>
      </c>
      <c r="G16" s="31">
        <v>1.5599999999999999E-2</v>
      </c>
      <c r="H16" s="32"/>
    </row>
    <row r="17" spans="2:8" ht="15.75" customHeight="1" x14ac:dyDescent="0.2">
      <c r="B17" s="28" t="s">
        <v>227</v>
      </c>
      <c r="C17" s="28" t="s">
        <v>228</v>
      </c>
      <c r="D17" s="28" t="s">
        <v>229</v>
      </c>
      <c r="E17" s="29">
        <v>502222</v>
      </c>
      <c r="F17" s="30">
        <v>1061.5</v>
      </c>
      <c r="G17" s="31">
        <v>1.5599999999999999E-2</v>
      </c>
      <c r="H17" s="32"/>
    </row>
    <row r="18" spans="2:8" ht="15.75" customHeight="1" x14ac:dyDescent="0.2">
      <c r="B18" s="28" t="s">
        <v>183</v>
      </c>
      <c r="C18" s="28" t="s">
        <v>184</v>
      </c>
      <c r="D18" s="28" t="s">
        <v>173</v>
      </c>
      <c r="E18" s="29">
        <v>81345</v>
      </c>
      <c r="F18" s="30">
        <v>1031.7</v>
      </c>
      <c r="G18" s="31">
        <v>1.5100000000000001E-2</v>
      </c>
      <c r="H18" s="32"/>
    </row>
    <row r="19" spans="2:8" ht="15.75" customHeight="1" x14ac:dyDescent="0.2">
      <c r="B19" s="28" t="s">
        <v>319</v>
      </c>
      <c r="C19" s="28" t="s">
        <v>320</v>
      </c>
      <c r="D19" s="28" t="s">
        <v>321</v>
      </c>
      <c r="E19" s="29">
        <v>25632</v>
      </c>
      <c r="F19" s="30">
        <v>1025.02</v>
      </c>
      <c r="G19" s="31">
        <v>1.5100000000000001E-2</v>
      </c>
      <c r="H19" s="32"/>
    </row>
    <row r="20" spans="2:8" ht="15.75" customHeight="1" x14ac:dyDescent="0.2">
      <c r="B20" s="28" t="s">
        <v>260</v>
      </c>
      <c r="C20" s="28" t="s">
        <v>261</v>
      </c>
      <c r="D20" s="28" t="s">
        <v>251</v>
      </c>
      <c r="E20" s="29">
        <v>224387</v>
      </c>
      <c r="F20" s="30">
        <v>997.51</v>
      </c>
      <c r="G20" s="31">
        <v>1.46E-2</v>
      </c>
      <c r="H20" s="32"/>
    </row>
    <row r="21" spans="2:8" ht="15.75" customHeight="1" x14ac:dyDescent="0.2">
      <c r="B21" s="28" t="s">
        <v>322</v>
      </c>
      <c r="C21" s="28" t="s">
        <v>323</v>
      </c>
      <c r="D21" s="28" t="s">
        <v>321</v>
      </c>
      <c r="E21" s="29">
        <v>167706</v>
      </c>
      <c r="F21" s="30">
        <v>946.36</v>
      </c>
      <c r="G21" s="31">
        <v>1.3899999999999999E-2</v>
      </c>
      <c r="H21" s="32"/>
    </row>
    <row r="22" spans="2:8" ht="15.75" customHeight="1" x14ac:dyDescent="0.2">
      <c r="B22" s="28" t="s">
        <v>249</v>
      </c>
      <c r="C22" s="28" t="s">
        <v>250</v>
      </c>
      <c r="D22" s="28" t="s">
        <v>251</v>
      </c>
      <c r="E22" s="29">
        <v>226781</v>
      </c>
      <c r="F22" s="30">
        <v>905.2</v>
      </c>
      <c r="G22" s="31">
        <v>1.3299999999999999E-2</v>
      </c>
      <c r="H22" s="32"/>
    </row>
    <row r="23" spans="2:8" ht="15.75" customHeight="1" x14ac:dyDescent="0.2">
      <c r="B23" s="28" t="s">
        <v>324</v>
      </c>
      <c r="C23" s="28" t="s">
        <v>325</v>
      </c>
      <c r="D23" s="28" t="s">
        <v>326</v>
      </c>
      <c r="E23" s="29">
        <v>82600</v>
      </c>
      <c r="F23" s="30">
        <v>857.39</v>
      </c>
      <c r="G23" s="31">
        <v>1.26E-2</v>
      </c>
      <c r="H23" s="32"/>
    </row>
    <row r="24" spans="2:8" ht="15.75" customHeight="1" x14ac:dyDescent="0.2">
      <c r="B24" s="28" t="s">
        <v>327</v>
      </c>
      <c r="C24" s="28" t="s">
        <v>328</v>
      </c>
      <c r="D24" s="28" t="s">
        <v>277</v>
      </c>
      <c r="E24" s="29">
        <v>48519</v>
      </c>
      <c r="F24" s="30">
        <v>855.49</v>
      </c>
      <c r="G24" s="31">
        <v>1.26E-2</v>
      </c>
      <c r="H24" s="32"/>
    </row>
    <row r="25" spans="2:8" ht="15.75" customHeight="1" x14ac:dyDescent="0.2">
      <c r="B25" s="28" t="s">
        <v>214</v>
      </c>
      <c r="C25" s="28" t="s">
        <v>215</v>
      </c>
      <c r="D25" s="28" t="s">
        <v>216</v>
      </c>
      <c r="E25" s="29">
        <v>44865</v>
      </c>
      <c r="F25" s="30">
        <v>846.51</v>
      </c>
      <c r="G25" s="31">
        <v>1.24E-2</v>
      </c>
      <c r="H25" s="32"/>
    </row>
    <row r="26" spans="2:8" ht="15.75" customHeight="1" x14ac:dyDescent="0.2">
      <c r="B26" s="28" t="s">
        <v>329</v>
      </c>
      <c r="C26" s="28" t="s">
        <v>330</v>
      </c>
      <c r="D26" s="28" t="s">
        <v>331</v>
      </c>
      <c r="E26" s="29">
        <v>7004</v>
      </c>
      <c r="F26" s="30">
        <v>811.48</v>
      </c>
      <c r="G26" s="31">
        <v>1.1900000000000001E-2</v>
      </c>
      <c r="H26" s="32"/>
    </row>
    <row r="27" spans="2:8" ht="15.75" customHeight="1" x14ac:dyDescent="0.2">
      <c r="B27" s="28" t="s">
        <v>332</v>
      </c>
      <c r="C27" s="28" t="s">
        <v>333</v>
      </c>
      <c r="D27" s="28" t="s">
        <v>190</v>
      </c>
      <c r="E27" s="29">
        <v>235400</v>
      </c>
      <c r="F27" s="30">
        <v>800.12</v>
      </c>
      <c r="G27" s="31">
        <v>1.17E-2</v>
      </c>
      <c r="H27" s="32"/>
    </row>
    <row r="28" spans="2:8" ht="15.75" customHeight="1" x14ac:dyDescent="0.2">
      <c r="B28" s="28" t="s">
        <v>334</v>
      </c>
      <c r="C28" s="28" t="s">
        <v>335</v>
      </c>
      <c r="D28" s="28" t="s">
        <v>238</v>
      </c>
      <c r="E28" s="29">
        <v>51972</v>
      </c>
      <c r="F28" s="30">
        <v>795.64</v>
      </c>
      <c r="G28" s="31">
        <v>1.17E-2</v>
      </c>
      <c r="H28" s="32"/>
    </row>
    <row r="29" spans="2:8" ht="15.75" customHeight="1" x14ac:dyDescent="0.2">
      <c r="B29" s="28" t="s">
        <v>336</v>
      </c>
      <c r="C29" s="28" t="s">
        <v>337</v>
      </c>
      <c r="D29" s="28" t="s">
        <v>338</v>
      </c>
      <c r="E29" s="29">
        <v>68953</v>
      </c>
      <c r="F29" s="30">
        <v>789.24</v>
      </c>
      <c r="G29" s="31">
        <v>1.1599999999999999E-2</v>
      </c>
      <c r="H29" s="32"/>
    </row>
    <row r="30" spans="2:8" ht="15.75" customHeight="1" x14ac:dyDescent="0.2">
      <c r="B30" s="28" t="s">
        <v>339</v>
      </c>
      <c r="C30" s="28" t="s">
        <v>340</v>
      </c>
      <c r="D30" s="28" t="s">
        <v>196</v>
      </c>
      <c r="E30" s="29">
        <v>122000</v>
      </c>
      <c r="F30" s="30">
        <v>778.73</v>
      </c>
      <c r="G30" s="31">
        <v>1.14E-2</v>
      </c>
      <c r="H30" s="32"/>
    </row>
    <row r="31" spans="2:8" ht="15.75" customHeight="1" x14ac:dyDescent="0.2">
      <c r="B31" s="28" t="s">
        <v>341</v>
      </c>
      <c r="C31" s="28" t="s">
        <v>342</v>
      </c>
      <c r="D31" s="28" t="s">
        <v>196</v>
      </c>
      <c r="E31" s="29">
        <v>50957</v>
      </c>
      <c r="F31" s="30">
        <v>768.94</v>
      </c>
      <c r="G31" s="31">
        <v>1.1299999999999999E-2</v>
      </c>
      <c r="H31" s="32"/>
    </row>
    <row r="32" spans="2:8" ht="15.75" customHeight="1" x14ac:dyDescent="0.2">
      <c r="B32" s="28" t="s">
        <v>193</v>
      </c>
      <c r="C32" s="28" t="s">
        <v>194</v>
      </c>
      <c r="D32" s="28" t="s">
        <v>195</v>
      </c>
      <c r="E32" s="29">
        <v>21734</v>
      </c>
      <c r="F32" s="30">
        <v>673.21</v>
      </c>
      <c r="G32" s="31">
        <v>9.9000000000000008E-3</v>
      </c>
      <c r="H32" s="32"/>
    </row>
    <row r="33" spans="2:8" ht="15.75" customHeight="1" x14ac:dyDescent="0.2">
      <c r="B33" s="28" t="s">
        <v>343</v>
      </c>
      <c r="C33" s="28" t="s">
        <v>344</v>
      </c>
      <c r="D33" s="28" t="s">
        <v>345</v>
      </c>
      <c r="E33" s="29">
        <v>24548</v>
      </c>
      <c r="F33" s="30">
        <v>618.27</v>
      </c>
      <c r="G33" s="31">
        <v>9.1000000000000004E-3</v>
      </c>
      <c r="H33" s="32"/>
    </row>
    <row r="34" spans="2:8" ht="15.75" customHeight="1" x14ac:dyDescent="0.2">
      <c r="B34" s="28" t="s">
        <v>346</v>
      </c>
      <c r="C34" s="28" t="s">
        <v>347</v>
      </c>
      <c r="D34" s="28" t="s">
        <v>268</v>
      </c>
      <c r="E34" s="29">
        <v>19414</v>
      </c>
      <c r="F34" s="30">
        <v>601.21</v>
      </c>
      <c r="G34" s="31">
        <v>8.8000000000000005E-3</v>
      </c>
      <c r="H34" s="32"/>
    </row>
    <row r="35" spans="2:8" ht="15.75" customHeight="1" x14ac:dyDescent="0.2">
      <c r="B35" s="28" t="s">
        <v>348</v>
      </c>
      <c r="C35" s="28" t="s">
        <v>349</v>
      </c>
      <c r="D35" s="28" t="s">
        <v>182</v>
      </c>
      <c r="E35" s="29">
        <v>6094</v>
      </c>
      <c r="F35" s="30">
        <v>592.73</v>
      </c>
      <c r="G35" s="31">
        <v>8.6999999999999994E-3</v>
      </c>
      <c r="H35" s="32"/>
    </row>
    <row r="36" spans="2:8" ht="15.75" customHeight="1" x14ac:dyDescent="0.2">
      <c r="B36" s="28" t="s">
        <v>256</v>
      </c>
      <c r="C36" s="28" t="s">
        <v>257</v>
      </c>
      <c r="D36" s="28" t="s">
        <v>187</v>
      </c>
      <c r="E36" s="29">
        <v>185048</v>
      </c>
      <c r="F36" s="30">
        <v>582.72</v>
      </c>
      <c r="G36" s="31">
        <v>8.6E-3</v>
      </c>
      <c r="H36" s="32"/>
    </row>
    <row r="37" spans="2:8" ht="15.75" customHeight="1" x14ac:dyDescent="0.2">
      <c r="B37" s="28" t="s">
        <v>350</v>
      </c>
      <c r="C37" s="28" t="s">
        <v>351</v>
      </c>
      <c r="D37" s="28" t="s">
        <v>318</v>
      </c>
      <c r="E37" s="29">
        <v>42754</v>
      </c>
      <c r="F37" s="30">
        <v>548.64</v>
      </c>
      <c r="G37" s="31">
        <v>8.0999999999999996E-3</v>
      </c>
      <c r="H37" s="32"/>
    </row>
    <row r="38" spans="2:8" ht="15.75" customHeight="1" x14ac:dyDescent="0.2">
      <c r="B38" s="28" t="s">
        <v>352</v>
      </c>
      <c r="C38" s="28" t="s">
        <v>353</v>
      </c>
      <c r="D38" s="28" t="s">
        <v>321</v>
      </c>
      <c r="E38" s="29">
        <v>12786</v>
      </c>
      <c r="F38" s="30">
        <v>505.94</v>
      </c>
      <c r="G38" s="31">
        <v>7.4000000000000003E-3</v>
      </c>
      <c r="H38" s="32"/>
    </row>
    <row r="39" spans="2:8" ht="15.75" customHeight="1" x14ac:dyDescent="0.2">
      <c r="B39" s="28" t="s">
        <v>354</v>
      </c>
      <c r="C39" s="28" t="s">
        <v>355</v>
      </c>
      <c r="D39" s="28" t="s">
        <v>216</v>
      </c>
      <c r="E39" s="29">
        <v>32600</v>
      </c>
      <c r="F39" s="30">
        <v>494.67</v>
      </c>
      <c r="G39" s="31">
        <v>7.3000000000000001E-3</v>
      </c>
      <c r="H39" s="32"/>
    </row>
    <row r="40" spans="2:8" ht="15.75" customHeight="1" x14ac:dyDescent="0.2">
      <c r="B40" s="28" t="s">
        <v>254</v>
      </c>
      <c r="C40" s="28" t="s">
        <v>255</v>
      </c>
      <c r="D40" s="28" t="s">
        <v>248</v>
      </c>
      <c r="E40" s="29">
        <v>52403</v>
      </c>
      <c r="F40" s="30">
        <v>470.53</v>
      </c>
      <c r="G40" s="31">
        <v>6.8999999999999999E-3</v>
      </c>
      <c r="H40" s="32"/>
    </row>
    <row r="41" spans="2:8" ht="15.75" customHeight="1" x14ac:dyDescent="0.2">
      <c r="B41" s="28" t="s">
        <v>356</v>
      </c>
      <c r="C41" s="28" t="s">
        <v>357</v>
      </c>
      <c r="D41" s="28" t="s">
        <v>287</v>
      </c>
      <c r="E41" s="29">
        <v>10691</v>
      </c>
      <c r="F41" s="30">
        <v>459.21</v>
      </c>
      <c r="G41" s="31">
        <v>6.7000000000000002E-3</v>
      </c>
      <c r="H41" s="32"/>
    </row>
    <row r="42" spans="2:8" ht="15.75" customHeight="1" x14ac:dyDescent="0.2">
      <c r="B42" s="28" t="s">
        <v>358</v>
      </c>
      <c r="C42" s="28" t="s">
        <v>359</v>
      </c>
      <c r="D42" s="28" t="s">
        <v>190</v>
      </c>
      <c r="E42" s="29">
        <v>68324</v>
      </c>
      <c r="F42" s="30">
        <v>439.94</v>
      </c>
      <c r="G42" s="31">
        <v>6.4999999999999997E-3</v>
      </c>
      <c r="H42" s="32"/>
    </row>
    <row r="43" spans="2:8" ht="15.75" customHeight="1" x14ac:dyDescent="0.2">
      <c r="B43" s="28" t="s">
        <v>360</v>
      </c>
      <c r="C43" s="28" t="s">
        <v>361</v>
      </c>
      <c r="D43" s="28" t="s">
        <v>216</v>
      </c>
      <c r="E43" s="29">
        <v>26785</v>
      </c>
      <c r="F43" s="30">
        <v>423.34</v>
      </c>
      <c r="G43" s="31">
        <v>6.1999999999999998E-3</v>
      </c>
      <c r="H43" s="32"/>
    </row>
    <row r="44" spans="2:8" ht="15.75" customHeight="1" x14ac:dyDescent="0.2">
      <c r="B44" s="28" t="s">
        <v>362</v>
      </c>
      <c r="C44" s="28" t="s">
        <v>363</v>
      </c>
      <c r="D44" s="28" t="s">
        <v>274</v>
      </c>
      <c r="E44" s="29">
        <v>35809</v>
      </c>
      <c r="F44" s="30">
        <v>406.66</v>
      </c>
      <c r="G44" s="31">
        <v>6.0000000000000001E-3</v>
      </c>
      <c r="H44" s="32"/>
    </row>
    <row r="45" spans="2:8" ht="15.75" customHeight="1" x14ac:dyDescent="0.2">
      <c r="B45" s="28" t="s">
        <v>364</v>
      </c>
      <c r="C45" s="28" t="s">
        <v>365</v>
      </c>
      <c r="D45" s="28" t="s">
        <v>238</v>
      </c>
      <c r="E45" s="29">
        <v>1457</v>
      </c>
      <c r="F45" s="30">
        <v>370.59</v>
      </c>
      <c r="G45" s="31">
        <v>5.4000000000000003E-3</v>
      </c>
      <c r="H45" s="32"/>
    </row>
    <row r="46" spans="2:8" ht="15.75" customHeight="1" x14ac:dyDescent="0.2">
      <c r="B46" s="28" t="s">
        <v>366</v>
      </c>
      <c r="C46" s="28" t="s">
        <v>367</v>
      </c>
      <c r="D46" s="28" t="s">
        <v>190</v>
      </c>
      <c r="E46" s="29">
        <v>27950</v>
      </c>
      <c r="F46" s="30">
        <v>363.38</v>
      </c>
      <c r="G46" s="31">
        <v>5.3E-3</v>
      </c>
      <c r="H46" s="32"/>
    </row>
    <row r="47" spans="2:8" ht="15.75" customHeight="1" x14ac:dyDescent="0.2">
      <c r="B47" s="28" t="s">
        <v>368</v>
      </c>
      <c r="C47" s="28" t="s">
        <v>369</v>
      </c>
      <c r="D47" s="28" t="s">
        <v>318</v>
      </c>
      <c r="E47" s="29">
        <v>33249</v>
      </c>
      <c r="F47" s="30">
        <v>362.06</v>
      </c>
      <c r="G47" s="31">
        <v>5.3E-3</v>
      </c>
      <c r="H47" s="32"/>
    </row>
    <row r="48" spans="2:8" ht="15.75" customHeight="1" x14ac:dyDescent="0.2">
      <c r="B48" s="28" t="s">
        <v>370</v>
      </c>
      <c r="C48" s="28" t="s">
        <v>371</v>
      </c>
      <c r="D48" s="28" t="s">
        <v>331</v>
      </c>
      <c r="E48" s="29">
        <v>39570</v>
      </c>
      <c r="F48" s="30">
        <v>359.89</v>
      </c>
      <c r="G48" s="31">
        <v>5.3E-3</v>
      </c>
      <c r="H48" s="32"/>
    </row>
    <row r="49" spans="2:8" ht="15.75" customHeight="1" x14ac:dyDescent="0.2">
      <c r="B49" s="28" t="s">
        <v>372</v>
      </c>
      <c r="C49" s="28" t="s">
        <v>373</v>
      </c>
      <c r="D49" s="28" t="s">
        <v>190</v>
      </c>
      <c r="E49" s="29">
        <v>99682</v>
      </c>
      <c r="F49" s="30">
        <v>344.4</v>
      </c>
      <c r="G49" s="31">
        <v>5.1000000000000004E-3</v>
      </c>
      <c r="H49" s="32"/>
    </row>
    <row r="50" spans="2:8" ht="15.75" customHeight="1" x14ac:dyDescent="0.2">
      <c r="B50" s="28" t="s">
        <v>374</v>
      </c>
      <c r="C50" s="28" t="s">
        <v>375</v>
      </c>
      <c r="D50" s="28" t="s">
        <v>182</v>
      </c>
      <c r="E50" s="29">
        <v>22714</v>
      </c>
      <c r="F50" s="30">
        <v>334.69</v>
      </c>
      <c r="G50" s="31">
        <v>4.8999999999999998E-3</v>
      </c>
      <c r="H50" s="32"/>
    </row>
    <row r="51" spans="2:8" ht="15.75" customHeight="1" x14ac:dyDescent="0.2">
      <c r="B51" s="28" t="s">
        <v>292</v>
      </c>
      <c r="C51" s="28" t="s">
        <v>293</v>
      </c>
      <c r="D51" s="28" t="s">
        <v>195</v>
      </c>
      <c r="E51" s="29">
        <v>90734</v>
      </c>
      <c r="F51" s="30">
        <v>309.89999999999998</v>
      </c>
      <c r="G51" s="31">
        <v>4.5999999999999999E-3</v>
      </c>
      <c r="H51" s="32"/>
    </row>
    <row r="52" spans="2:8" ht="15.75" customHeight="1" x14ac:dyDescent="0.2">
      <c r="B52" s="28" t="s">
        <v>376</v>
      </c>
      <c r="C52" s="28" t="s">
        <v>377</v>
      </c>
      <c r="D52" s="28" t="s">
        <v>378</v>
      </c>
      <c r="E52" s="29">
        <v>98644</v>
      </c>
      <c r="F52" s="30">
        <v>306.68</v>
      </c>
      <c r="G52" s="31">
        <v>4.4999999999999997E-3</v>
      </c>
      <c r="H52" s="32"/>
    </row>
    <row r="53" spans="2:8" ht="15.75" customHeight="1" x14ac:dyDescent="0.2">
      <c r="B53" s="28" t="s">
        <v>379</v>
      </c>
      <c r="C53" s="28" t="s">
        <v>380</v>
      </c>
      <c r="D53" s="28" t="s">
        <v>331</v>
      </c>
      <c r="E53" s="29">
        <v>10954</v>
      </c>
      <c r="F53" s="30">
        <v>306.11</v>
      </c>
      <c r="G53" s="31">
        <v>4.4999999999999997E-3</v>
      </c>
      <c r="H53" s="32"/>
    </row>
    <row r="54" spans="2:8" ht="15.75" customHeight="1" x14ac:dyDescent="0.2">
      <c r="B54" s="28" t="s">
        <v>381</v>
      </c>
      <c r="C54" s="28" t="s">
        <v>382</v>
      </c>
      <c r="D54" s="28" t="s">
        <v>383</v>
      </c>
      <c r="E54" s="29">
        <v>7903</v>
      </c>
      <c r="F54" s="30">
        <v>286.58999999999997</v>
      </c>
      <c r="G54" s="31">
        <v>4.1999999999999997E-3</v>
      </c>
      <c r="H54" s="32"/>
    </row>
    <row r="55" spans="2:8" ht="15.75" customHeight="1" x14ac:dyDescent="0.2">
      <c r="B55" s="28" t="s">
        <v>296</v>
      </c>
      <c r="C55" s="28" t="s">
        <v>297</v>
      </c>
      <c r="D55" s="28" t="s">
        <v>271</v>
      </c>
      <c r="E55" s="29">
        <v>6300</v>
      </c>
      <c r="F55" s="30">
        <v>276.27</v>
      </c>
      <c r="G55" s="31">
        <v>4.1000000000000003E-3</v>
      </c>
      <c r="H55" s="32"/>
    </row>
    <row r="56" spans="2:8" ht="15.75" customHeight="1" x14ac:dyDescent="0.2">
      <c r="B56" s="28" t="s">
        <v>384</v>
      </c>
      <c r="C56" s="28" t="s">
        <v>385</v>
      </c>
      <c r="D56" s="28" t="s">
        <v>238</v>
      </c>
      <c r="E56" s="29">
        <v>6500</v>
      </c>
      <c r="F56" s="30">
        <v>272.02999999999997</v>
      </c>
      <c r="G56" s="31">
        <v>4.0000000000000001E-3</v>
      </c>
      <c r="H56" s="32"/>
    </row>
    <row r="57" spans="2:8" ht="15.75" customHeight="1" x14ac:dyDescent="0.2">
      <c r="B57" s="28" t="s">
        <v>386</v>
      </c>
      <c r="C57" s="28" t="s">
        <v>387</v>
      </c>
      <c r="D57" s="28" t="s">
        <v>388</v>
      </c>
      <c r="E57" s="29">
        <v>12065</v>
      </c>
      <c r="F57" s="30">
        <v>271.58</v>
      </c>
      <c r="G57" s="31">
        <v>4.0000000000000001E-3</v>
      </c>
      <c r="H57" s="32"/>
    </row>
    <row r="58" spans="2:8" ht="15.75" customHeight="1" x14ac:dyDescent="0.2">
      <c r="B58" s="28" t="s">
        <v>389</v>
      </c>
      <c r="C58" s="28" t="s">
        <v>390</v>
      </c>
      <c r="D58" s="28" t="s">
        <v>251</v>
      </c>
      <c r="E58" s="29">
        <v>77947</v>
      </c>
      <c r="F58" s="30">
        <v>248.14</v>
      </c>
      <c r="G58" s="31">
        <v>3.5999999999999999E-3</v>
      </c>
      <c r="H58" s="32"/>
    </row>
    <row r="59" spans="2:8" ht="15.75" customHeight="1" x14ac:dyDescent="0.2">
      <c r="B59" s="28" t="s">
        <v>391</v>
      </c>
      <c r="C59" s="28" t="s">
        <v>392</v>
      </c>
      <c r="D59" s="28" t="s">
        <v>179</v>
      </c>
      <c r="E59" s="29">
        <v>23072</v>
      </c>
      <c r="F59" s="30">
        <v>236.63</v>
      </c>
      <c r="G59" s="31">
        <v>3.5000000000000001E-3</v>
      </c>
      <c r="H59" s="32"/>
    </row>
    <row r="60" spans="2:8" ht="15.75" customHeight="1" x14ac:dyDescent="0.2">
      <c r="B60" s="28" t="s">
        <v>393</v>
      </c>
      <c r="C60" s="28" t="s">
        <v>394</v>
      </c>
      <c r="D60" s="28" t="s">
        <v>395</v>
      </c>
      <c r="E60" s="29">
        <v>3037</v>
      </c>
      <c r="F60" s="30">
        <v>231.92</v>
      </c>
      <c r="G60" s="31">
        <v>3.3999999999999998E-3</v>
      </c>
      <c r="H60" s="32"/>
    </row>
    <row r="61" spans="2:8" ht="15.75" customHeight="1" x14ac:dyDescent="0.2">
      <c r="B61" s="28" t="s">
        <v>283</v>
      </c>
      <c r="C61" s="28" t="s">
        <v>284</v>
      </c>
      <c r="D61" s="28" t="s">
        <v>277</v>
      </c>
      <c r="E61" s="29">
        <v>39483</v>
      </c>
      <c r="F61" s="30">
        <v>231.73</v>
      </c>
      <c r="G61" s="31">
        <v>3.3999999999999998E-3</v>
      </c>
      <c r="H61" s="32"/>
    </row>
    <row r="62" spans="2:8" ht="15.75" customHeight="1" x14ac:dyDescent="0.2">
      <c r="B62" s="28" t="s">
        <v>396</v>
      </c>
      <c r="C62" s="28" t="s">
        <v>397</v>
      </c>
      <c r="D62" s="28" t="s">
        <v>190</v>
      </c>
      <c r="E62" s="29">
        <v>1604</v>
      </c>
      <c r="F62" s="30">
        <v>228.7</v>
      </c>
      <c r="G62" s="31">
        <v>3.3999999999999998E-3</v>
      </c>
      <c r="H62" s="32"/>
    </row>
    <row r="63" spans="2:8" ht="15.75" customHeight="1" x14ac:dyDescent="0.2">
      <c r="B63" s="28" t="s">
        <v>398</v>
      </c>
      <c r="C63" s="28" t="s">
        <v>399</v>
      </c>
      <c r="D63" s="28" t="s">
        <v>331</v>
      </c>
      <c r="E63" s="29">
        <v>4289</v>
      </c>
      <c r="F63" s="30">
        <v>226.76</v>
      </c>
      <c r="G63" s="31">
        <v>3.3E-3</v>
      </c>
      <c r="H63" s="32"/>
    </row>
    <row r="64" spans="2:8" ht="15.75" customHeight="1" x14ac:dyDescent="0.2">
      <c r="B64" s="28" t="s">
        <v>400</v>
      </c>
      <c r="C64" s="28" t="s">
        <v>401</v>
      </c>
      <c r="D64" s="28" t="s">
        <v>190</v>
      </c>
      <c r="E64" s="29">
        <v>4872</v>
      </c>
      <c r="F64" s="30">
        <v>208.95</v>
      </c>
      <c r="G64" s="31">
        <v>3.0999999999999999E-3</v>
      </c>
      <c r="H64" s="32"/>
    </row>
    <row r="65" spans="2:14" ht="15.75" customHeight="1" x14ac:dyDescent="0.2">
      <c r="B65" s="28" t="s">
        <v>402</v>
      </c>
      <c r="C65" s="28" t="s">
        <v>403</v>
      </c>
      <c r="D65" s="28" t="s">
        <v>190</v>
      </c>
      <c r="E65" s="29">
        <v>12688</v>
      </c>
      <c r="F65" s="30">
        <v>198.3</v>
      </c>
      <c r="G65" s="31">
        <v>2.8999999999999998E-3</v>
      </c>
      <c r="H65" s="32"/>
    </row>
    <row r="66" spans="2:14" ht="15.75" customHeight="1" x14ac:dyDescent="0.2">
      <c r="B66" s="28" t="s">
        <v>404</v>
      </c>
      <c r="C66" s="28" t="s">
        <v>405</v>
      </c>
      <c r="D66" s="28" t="s">
        <v>406</v>
      </c>
      <c r="E66" s="29">
        <v>20412</v>
      </c>
      <c r="F66" s="30">
        <v>191.18</v>
      </c>
      <c r="G66" s="31">
        <v>2.8E-3</v>
      </c>
      <c r="H66" s="32"/>
    </row>
    <row r="67" spans="2:14" ht="15.75" customHeight="1" x14ac:dyDescent="0.2">
      <c r="B67" s="28" t="s">
        <v>232</v>
      </c>
      <c r="C67" s="28" t="s">
        <v>233</v>
      </c>
      <c r="D67" s="28" t="s">
        <v>195</v>
      </c>
      <c r="E67" s="29">
        <v>1392</v>
      </c>
      <c r="F67" s="30">
        <v>185.33</v>
      </c>
      <c r="G67" s="31">
        <v>2.7000000000000001E-3</v>
      </c>
      <c r="H67" s="32"/>
    </row>
    <row r="68" spans="2:14" ht="15.75" customHeight="1" x14ac:dyDescent="0.2">
      <c r="B68" s="28" t="s">
        <v>407</v>
      </c>
      <c r="C68" s="28" t="s">
        <v>408</v>
      </c>
      <c r="D68" s="28" t="s">
        <v>179</v>
      </c>
      <c r="E68" s="29">
        <v>21751</v>
      </c>
      <c r="F68" s="30">
        <v>184.06</v>
      </c>
      <c r="G68" s="31">
        <v>2.7000000000000001E-3</v>
      </c>
      <c r="H68" s="32"/>
      <c r="J68" s="3"/>
    </row>
    <row r="69" spans="2:14" ht="15.75" customHeight="1" x14ac:dyDescent="0.2">
      <c r="B69" s="28" t="s">
        <v>258</v>
      </c>
      <c r="C69" s="28" t="s">
        <v>259</v>
      </c>
      <c r="D69" s="28" t="s">
        <v>195</v>
      </c>
      <c r="E69" s="29">
        <v>2451</v>
      </c>
      <c r="F69" s="30">
        <v>174.24</v>
      </c>
      <c r="G69" s="31">
        <v>2.5999999999999999E-3</v>
      </c>
      <c r="H69" s="32"/>
    </row>
    <row r="70" spans="2:14" ht="15.75" customHeight="1" x14ac:dyDescent="0.2">
      <c r="B70" s="28" t="s">
        <v>409</v>
      </c>
      <c r="C70" s="28" t="s">
        <v>410</v>
      </c>
      <c r="D70" s="28" t="s">
        <v>182</v>
      </c>
      <c r="E70" s="29">
        <v>14015</v>
      </c>
      <c r="F70" s="30">
        <v>168.05</v>
      </c>
      <c r="G70" s="31">
        <v>2.5000000000000001E-3</v>
      </c>
      <c r="H70" s="32"/>
      <c r="J70" s="3"/>
    </row>
    <row r="71" spans="2:14" ht="15.75" customHeight="1" x14ac:dyDescent="0.2">
      <c r="B71" s="28" t="s">
        <v>411</v>
      </c>
      <c r="C71" s="28" t="s">
        <v>412</v>
      </c>
      <c r="D71" s="28" t="s">
        <v>179</v>
      </c>
      <c r="E71" s="29">
        <v>6595</v>
      </c>
      <c r="F71" s="30">
        <v>153.69999999999999</v>
      </c>
      <c r="G71" s="31">
        <v>2.3E-3</v>
      </c>
      <c r="H71" s="32"/>
      <c r="J71" s="3"/>
    </row>
    <row r="72" spans="2:14" ht="15.75" customHeight="1" x14ac:dyDescent="0.2">
      <c r="B72" s="28" t="s">
        <v>225</v>
      </c>
      <c r="C72" s="28" t="s">
        <v>226</v>
      </c>
      <c r="D72" s="28" t="s">
        <v>190</v>
      </c>
      <c r="E72" s="29">
        <v>15151</v>
      </c>
      <c r="F72" s="30">
        <v>141.96</v>
      </c>
      <c r="G72" s="31">
        <v>2.0999999999999999E-3</v>
      </c>
      <c r="H72" s="32"/>
      <c r="J72" s="3"/>
    </row>
    <row r="73" spans="2:14" ht="15.75" customHeight="1" x14ac:dyDescent="0.2">
      <c r="B73" s="28" t="s">
        <v>413</v>
      </c>
      <c r="C73" s="28" t="s">
        <v>414</v>
      </c>
      <c r="D73" s="28" t="s">
        <v>238</v>
      </c>
      <c r="E73" s="29">
        <v>2110</v>
      </c>
      <c r="F73" s="30">
        <v>137.19999999999999</v>
      </c>
      <c r="G73" s="31">
        <v>2E-3</v>
      </c>
      <c r="H73" s="32"/>
      <c r="J73" s="3"/>
    </row>
    <row r="74" spans="2:14" ht="15.75" customHeight="1" x14ac:dyDescent="0.2">
      <c r="B74" s="28" t="s">
        <v>415</v>
      </c>
      <c r="C74" s="28" t="s">
        <v>416</v>
      </c>
      <c r="D74" s="28" t="s">
        <v>238</v>
      </c>
      <c r="E74" s="29">
        <v>2833</v>
      </c>
      <c r="F74" s="30">
        <v>133.44999999999999</v>
      </c>
      <c r="G74" s="31">
        <v>2E-3</v>
      </c>
      <c r="H74" s="32"/>
      <c r="J74" s="3"/>
    </row>
    <row r="75" spans="2:14" ht="15.75" customHeight="1" x14ac:dyDescent="0.2">
      <c r="B75" s="28" t="s">
        <v>417</v>
      </c>
      <c r="C75" s="28" t="s">
        <v>418</v>
      </c>
      <c r="D75" s="28" t="s">
        <v>182</v>
      </c>
      <c r="E75" s="29">
        <v>5718</v>
      </c>
      <c r="F75" s="30">
        <v>130.18</v>
      </c>
      <c r="G75" s="31">
        <v>1.9E-3</v>
      </c>
      <c r="H75" s="32"/>
      <c r="J75" s="5"/>
      <c r="K75" s="5"/>
      <c r="L75" s="6"/>
      <c r="M75" s="6"/>
      <c r="N75" s="5"/>
    </row>
    <row r="76" spans="2:14" ht="15.75" customHeight="1" x14ac:dyDescent="0.2">
      <c r="B76" s="28" t="s">
        <v>419</v>
      </c>
      <c r="C76" s="28" t="s">
        <v>420</v>
      </c>
      <c r="D76" s="28" t="s">
        <v>248</v>
      </c>
      <c r="E76" s="29">
        <v>5165</v>
      </c>
      <c r="F76" s="30">
        <v>94.79</v>
      </c>
      <c r="G76" s="31">
        <v>1.4E-3</v>
      </c>
      <c r="H76" s="32"/>
    </row>
    <row r="77" spans="2:14" ht="15.75" customHeight="1" x14ac:dyDescent="0.2">
      <c r="B77" s="28" t="s">
        <v>421</v>
      </c>
      <c r="C77" s="28" t="s">
        <v>422</v>
      </c>
      <c r="D77" s="28" t="s">
        <v>248</v>
      </c>
      <c r="E77" s="29">
        <v>6396</v>
      </c>
      <c r="F77" s="30">
        <v>90.47</v>
      </c>
      <c r="G77" s="31">
        <v>1.2999999999999999E-3</v>
      </c>
      <c r="H77" s="32"/>
    </row>
    <row r="78" spans="2:14" ht="15.75" customHeight="1" x14ac:dyDescent="0.2">
      <c r="B78" s="28" t="s">
        <v>423</v>
      </c>
      <c r="C78" s="28" t="s">
        <v>424</v>
      </c>
      <c r="D78" s="28" t="s">
        <v>173</v>
      </c>
      <c r="E78" s="29">
        <v>29592</v>
      </c>
      <c r="F78" s="30">
        <v>86.85</v>
      </c>
      <c r="G78" s="31">
        <v>1.2999999999999999E-3</v>
      </c>
      <c r="H78" s="32"/>
      <c r="J78" s="7"/>
      <c r="K78" s="7"/>
      <c r="L78" s="7"/>
      <c r="M78" s="7"/>
      <c r="N78" s="7"/>
    </row>
    <row r="79" spans="2:14" ht="15.75" customHeight="1" x14ac:dyDescent="0.2">
      <c r="B79" s="28" t="s">
        <v>425</v>
      </c>
      <c r="C79" s="28" t="s">
        <v>426</v>
      </c>
      <c r="D79" s="28" t="s">
        <v>173</v>
      </c>
      <c r="E79" s="29">
        <v>43915</v>
      </c>
      <c r="F79" s="30">
        <v>82.02</v>
      </c>
      <c r="G79" s="31">
        <v>1.1999999999999999E-3</v>
      </c>
      <c r="H79" s="32"/>
      <c r="J79" s="7"/>
      <c r="K79" s="7"/>
      <c r="L79" s="7"/>
      <c r="M79" s="7"/>
      <c r="N79" s="7"/>
    </row>
    <row r="80" spans="2:14" ht="15.75" customHeight="1" x14ac:dyDescent="0.2">
      <c r="B80" s="28" t="s">
        <v>427</v>
      </c>
      <c r="C80" s="28" t="s">
        <v>428</v>
      </c>
      <c r="D80" s="28" t="s">
        <v>331</v>
      </c>
      <c r="E80" s="29">
        <v>11551</v>
      </c>
      <c r="F80" s="30">
        <v>74.52</v>
      </c>
      <c r="G80" s="31">
        <v>1.1000000000000001E-3</v>
      </c>
      <c r="H80" s="32"/>
      <c r="J80" s="7"/>
      <c r="K80" s="7"/>
      <c r="L80" s="7"/>
      <c r="M80" s="7"/>
      <c r="N80" s="7"/>
    </row>
    <row r="81" spans="2:14" ht="15.75" customHeight="1" x14ac:dyDescent="0.2">
      <c r="B81" s="28" t="s">
        <v>429</v>
      </c>
      <c r="C81" s="28" t="s">
        <v>430</v>
      </c>
      <c r="D81" s="28" t="s">
        <v>431</v>
      </c>
      <c r="E81" s="29">
        <v>6546</v>
      </c>
      <c r="F81" s="30">
        <v>67.73</v>
      </c>
      <c r="G81" s="31">
        <v>1E-3</v>
      </c>
      <c r="H81" s="32"/>
      <c r="J81" s="7"/>
      <c r="K81" s="7"/>
      <c r="L81" s="7"/>
      <c r="M81" s="7"/>
      <c r="N81" s="7"/>
    </row>
    <row r="82" spans="2:14" ht="15.75" customHeight="1" x14ac:dyDescent="0.2">
      <c r="B82" s="28" t="s">
        <v>432</v>
      </c>
      <c r="C82" s="28" t="s">
        <v>433</v>
      </c>
      <c r="D82" s="28" t="s">
        <v>434</v>
      </c>
      <c r="E82" s="29">
        <v>12926</v>
      </c>
      <c r="F82" s="30">
        <v>52.98</v>
      </c>
      <c r="G82" s="31">
        <v>8.0000000000000004E-4</v>
      </c>
      <c r="H82" s="32"/>
      <c r="J82" s="7"/>
      <c r="K82" s="7"/>
      <c r="L82" s="7"/>
      <c r="M82" s="7"/>
      <c r="N82" s="7"/>
    </row>
    <row r="83" spans="2:14" ht="15.75" customHeight="1" x14ac:dyDescent="0.2">
      <c r="B83" s="28" t="s">
        <v>435</v>
      </c>
      <c r="C83" s="28" t="s">
        <v>436</v>
      </c>
      <c r="D83" s="28" t="s">
        <v>224</v>
      </c>
      <c r="E83" s="29">
        <v>208</v>
      </c>
      <c r="F83" s="30">
        <v>9.02</v>
      </c>
      <c r="G83" s="31">
        <v>1E-4</v>
      </c>
      <c r="H83" s="32"/>
      <c r="J83" s="7"/>
      <c r="K83" s="7"/>
      <c r="L83" s="7"/>
      <c r="M83" s="7"/>
      <c r="N83" s="7"/>
    </row>
    <row r="84" spans="2:14" ht="15.75" customHeight="1" x14ac:dyDescent="0.2">
      <c r="B84" s="28" t="s">
        <v>437</v>
      </c>
      <c r="C84" s="28" t="s">
        <v>438</v>
      </c>
      <c r="D84" s="28" t="s">
        <v>229</v>
      </c>
      <c r="E84" s="29">
        <v>1</v>
      </c>
      <c r="F84" s="30">
        <v>0.01</v>
      </c>
      <c r="G84" s="31" t="s">
        <v>439</v>
      </c>
      <c r="H84" s="32"/>
      <c r="J84" s="7"/>
      <c r="K84" s="7"/>
      <c r="L84" s="7"/>
      <c r="M84" s="7"/>
      <c r="N84" s="7"/>
    </row>
    <row r="85" spans="2:14" ht="15.75" customHeight="1" x14ac:dyDescent="0.2">
      <c r="B85" s="27" t="s">
        <v>129</v>
      </c>
      <c r="C85" s="27"/>
      <c r="D85" s="27"/>
      <c r="E85" s="33"/>
      <c r="F85" s="34">
        <v>51506.64</v>
      </c>
      <c r="G85" s="35">
        <v>0.75629999999999997</v>
      </c>
      <c r="H85" s="36"/>
    </row>
    <row r="86" spans="2:14" ht="15.75" customHeight="1" x14ac:dyDescent="0.2">
      <c r="B86" s="27" t="s">
        <v>197</v>
      </c>
      <c r="C86" s="28"/>
      <c r="D86" s="28"/>
      <c r="E86" s="29"/>
      <c r="F86" s="30"/>
      <c r="G86" s="31"/>
      <c r="H86" s="32"/>
      <c r="J86" s="3"/>
    </row>
    <row r="87" spans="2:14" ht="15.75" customHeight="1" x14ac:dyDescent="0.2">
      <c r="B87" s="27" t="s">
        <v>129</v>
      </c>
      <c r="C87" s="28"/>
      <c r="D87" s="28"/>
      <c r="E87" s="29"/>
      <c r="F87" s="37" t="s">
        <v>131</v>
      </c>
      <c r="G87" s="38" t="s">
        <v>131</v>
      </c>
      <c r="H87" s="32"/>
    </row>
    <row r="88" spans="2:14" ht="15.75" customHeight="1" x14ac:dyDescent="0.2">
      <c r="B88" s="28"/>
      <c r="C88" s="28"/>
      <c r="D88" s="28"/>
      <c r="E88" s="29"/>
      <c r="F88" s="30"/>
      <c r="G88" s="31"/>
      <c r="H88" s="32"/>
    </row>
    <row r="89" spans="2:14" ht="15.75" customHeight="1" x14ac:dyDescent="0.2">
      <c r="B89" s="39" t="s">
        <v>133</v>
      </c>
      <c r="C89" s="39"/>
      <c r="D89" s="39"/>
      <c r="E89" s="40"/>
      <c r="F89" s="34">
        <v>51506.64</v>
      </c>
      <c r="G89" s="35">
        <v>0.75629999999999997</v>
      </c>
      <c r="H89" s="36"/>
    </row>
    <row r="90" spans="2:14" ht="15.75" customHeight="1" x14ac:dyDescent="0.2">
      <c r="B90" s="28"/>
      <c r="C90" s="28"/>
      <c r="D90" s="28"/>
      <c r="E90" s="29"/>
      <c r="F90" s="30"/>
      <c r="G90" s="31"/>
      <c r="H90" s="32"/>
    </row>
    <row r="91" spans="2:14" ht="15.75" customHeight="1" x14ac:dyDescent="0.2">
      <c r="B91" s="27" t="s">
        <v>114</v>
      </c>
      <c r="C91" s="28"/>
      <c r="D91" s="28"/>
      <c r="E91" s="29"/>
      <c r="F91" s="30"/>
      <c r="G91" s="31"/>
      <c r="H91" s="32"/>
    </row>
    <row r="92" spans="2:14" ht="15.75" customHeight="1" x14ac:dyDescent="0.2">
      <c r="B92" s="27" t="s">
        <v>115</v>
      </c>
      <c r="C92" s="28"/>
      <c r="D92" s="28"/>
      <c r="E92" s="29"/>
      <c r="F92" s="30"/>
      <c r="G92" s="31"/>
      <c r="H92" s="32"/>
    </row>
    <row r="93" spans="2:14" ht="15.75" customHeight="1" x14ac:dyDescent="0.2">
      <c r="B93" s="28" t="s">
        <v>122</v>
      </c>
      <c r="C93" s="28" t="s">
        <v>123</v>
      </c>
      <c r="D93" s="28" t="s">
        <v>121</v>
      </c>
      <c r="E93" s="29">
        <v>5000</v>
      </c>
      <c r="F93" s="30">
        <v>5057.82</v>
      </c>
      <c r="G93" s="31">
        <v>7.4300000000000005E-2</v>
      </c>
      <c r="H93" s="32">
        <v>7.8649999999999998E-2</v>
      </c>
    </row>
    <row r="94" spans="2:14" ht="15.75" customHeight="1" x14ac:dyDescent="0.2">
      <c r="B94" s="28" t="s">
        <v>440</v>
      </c>
      <c r="C94" s="28" t="s">
        <v>441</v>
      </c>
      <c r="D94" s="28" t="s">
        <v>116</v>
      </c>
      <c r="E94" s="29">
        <v>2500000</v>
      </c>
      <c r="F94" s="30">
        <v>2556.52</v>
      </c>
      <c r="G94" s="31">
        <v>3.7499999999999999E-2</v>
      </c>
      <c r="H94" s="32">
        <v>7.2625999999999996E-2</v>
      </c>
    </row>
    <row r="95" spans="2:14" ht="15.75" customHeight="1" x14ac:dyDescent="0.2">
      <c r="B95" s="28" t="s">
        <v>442</v>
      </c>
      <c r="C95" s="28" t="s">
        <v>443</v>
      </c>
      <c r="D95" s="28" t="s">
        <v>116</v>
      </c>
      <c r="E95" s="29">
        <v>1500000</v>
      </c>
      <c r="F95" s="30">
        <v>1541.96</v>
      </c>
      <c r="G95" s="31">
        <v>2.2599999999999999E-2</v>
      </c>
      <c r="H95" s="32">
        <v>7.0996000000000004E-2</v>
      </c>
    </row>
    <row r="96" spans="2:14" ht="15.75" customHeight="1" x14ac:dyDescent="0.2">
      <c r="B96" s="28" t="s">
        <v>444</v>
      </c>
      <c r="C96" s="28" t="s">
        <v>445</v>
      </c>
      <c r="D96" s="28" t="s">
        <v>116</v>
      </c>
      <c r="E96" s="29">
        <v>1000000</v>
      </c>
      <c r="F96" s="30">
        <v>1065.19</v>
      </c>
      <c r="G96" s="31">
        <v>1.5599999999999999E-2</v>
      </c>
      <c r="H96" s="32">
        <v>7.213E-2</v>
      </c>
    </row>
    <row r="97" spans="2:8" ht="15.75" customHeight="1" x14ac:dyDescent="0.2">
      <c r="B97" s="28" t="s">
        <v>206</v>
      </c>
      <c r="C97" s="28" t="s">
        <v>207</v>
      </c>
      <c r="D97" s="28" t="s">
        <v>121</v>
      </c>
      <c r="E97" s="29">
        <v>1000</v>
      </c>
      <c r="F97" s="30">
        <v>1015.97</v>
      </c>
      <c r="G97" s="31">
        <v>1.49E-2</v>
      </c>
      <c r="H97" s="32">
        <v>7.9450000000000007E-2</v>
      </c>
    </row>
    <row r="98" spans="2:8" ht="15.75" customHeight="1" x14ac:dyDescent="0.2">
      <c r="B98" s="28" t="s">
        <v>446</v>
      </c>
      <c r="C98" s="28" t="s">
        <v>447</v>
      </c>
      <c r="D98" s="28" t="s">
        <v>121</v>
      </c>
      <c r="E98" s="29">
        <v>50</v>
      </c>
      <c r="F98" s="30">
        <v>520.5</v>
      </c>
      <c r="G98" s="31">
        <v>7.6E-3</v>
      </c>
      <c r="H98" s="32">
        <v>7.5300000000000006E-2</v>
      </c>
    </row>
    <row r="99" spans="2:8" ht="15.75" customHeight="1" x14ac:dyDescent="0.2">
      <c r="B99" s="27" t="s">
        <v>129</v>
      </c>
      <c r="C99" s="27"/>
      <c r="D99" s="27"/>
      <c r="E99" s="33"/>
      <c r="F99" s="34">
        <v>11757.96</v>
      </c>
      <c r="G99" s="35">
        <v>0.17249999999999999</v>
      </c>
      <c r="H99" s="36"/>
    </row>
    <row r="100" spans="2:8" ht="15.75" customHeight="1" x14ac:dyDescent="0.2">
      <c r="B100" s="28"/>
      <c r="C100" s="28"/>
      <c r="D100" s="28"/>
      <c r="E100" s="29"/>
      <c r="F100" s="30"/>
      <c r="G100" s="31"/>
      <c r="H100" s="32"/>
    </row>
    <row r="101" spans="2:8" ht="15.75" customHeight="1" x14ac:dyDescent="0.2">
      <c r="B101" s="27" t="s">
        <v>130</v>
      </c>
      <c r="C101" s="28"/>
      <c r="D101" s="28"/>
      <c r="E101" s="29"/>
      <c r="F101" s="30"/>
      <c r="G101" s="31"/>
      <c r="H101" s="32"/>
    </row>
    <row r="102" spans="2:8" ht="15.75" customHeight="1" x14ac:dyDescent="0.2">
      <c r="B102" s="27" t="s">
        <v>129</v>
      </c>
      <c r="C102" s="28"/>
      <c r="D102" s="28"/>
      <c r="E102" s="29"/>
      <c r="F102" s="37" t="s">
        <v>131</v>
      </c>
      <c r="G102" s="38" t="s">
        <v>131</v>
      </c>
      <c r="H102" s="32"/>
    </row>
    <row r="103" spans="2:8" ht="15.75" customHeight="1" x14ac:dyDescent="0.2">
      <c r="B103" s="28"/>
      <c r="C103" s="28"/>
      <c r="D103" s="28"/>
      <c r="E103" s="29"/>
      <c r="F103" s="30"/>
      <c r="G103" s="31"/>
      <c r="H103" s="32"/>
    </row>
    <row r="104" spans="2:8" ht="15.75" customHeight="1" x14ac:dyDescent="0.2">
      <c r="B104" s="27" t="s">
        <v>132</v>
      </c>
      <c r="C104" s="28"/>
      <c r="D104" s="28"/>
      <c r="E104" s="29"/>
      <c r="F104" s="30"/>
      <c r="G104" s="31"/>
      <c r="H104" s="32"/>
    </row>
    <row r="105" spans="2:8" ht="15.75" customHeight="1" x14ac:dyDescent="0.2">
      <c r="B105" s="27" t="s">
        <v>129</v>
      </c>
      <c r="C105" s="28"/>
      <c r="D105" s="28"/>
      <c r="E105" s="29"/>
      <c r="F105" s="37" t="s">
        <v>131</v>
      </c>
      <c r="G105" s="38" t="s">
        <v>131</v>
      </c>
      <c r="H105" s="32"/>
    </row>
    <row r="106" spans="2:8" ht="15.75" customHeight="1" x14ac:dyDescent="0.2">
      <c r="B106" s="28"/>
      <c r="C106" s="28"/>
      <c r="D106" s="28"/>
      <c r="E106" s="29"/>
      <c r="F106" s="30"/>
      <c r="G106" s="31"/>
      <c r="H106" s="32"/>
    </row>
    <row r="107" spans="2:8" ht="15.75" customHeight="1" x14ac:dyDescent="0.2">
      <c r="B107" s="39" t="s">
        <v>133</v>
      </c>
      <c r="C107" s="39"/>
      <c r="D107" s="39"/>
      <c r="E107" s="40"/>
      <c r="F107" s="34">
        <v>11757.96</v>
      </c>
      <c r="G107" s="35">
        <v>0.1726</v>
      </c>
      <c r="H107" s="36"/>
    </row>
    <row r="108" spans="2:8" ht="15.75" customHeight="1" x14ac:dyDescent="0.2">
      <c r="B108" s="28"/>
      <c r="C108" s="28"/>
      <c r="D108" s="28"/>
      <c r="E108" s="29"/>
      <c r="F108" s="30"/>
      <c r="G108" s="31"/>
      <c r="H108" s="32"/>
    </row>
    <row r="109" spans="2:8" ht="15.75" customHeight="1" x14ac:dyDescent="0.2">
      <c r="B109" s="28"/>
      <c r="C109" s="28"/>
      <c r="D109" s="28"/>
      <c r="E109" s="29"/>
      <c r="F109" s="30"/>
      <c r="G109" s="31"/>
      <c r="H109" s="32"/>
    </row>
    <row r="110" spans="2:8" ht="15.75" customHeight="1" x14ac:dyDescent="0.2">
      <c r="B110" s="27" t="s">
        <v>139</v>
      </c>
      <c r="C110" s="28"/>
      <c r="D110" s="28"/>
      <c r="E110" s="29"/>
      <c r="F110" s="30"/>
      <c r="G110" s="31"/>
      <c r="H110" s="32"/>
    </row>
    <row r="111" spans="2:8" ht="15.75" customHeight="1" x14ac:dyDescent="0.2">
      <c r="B111" s="28" t="s">
        <v>140</v>
      </c>
      <c r="C111" s="28"/>
      <c r="D111" s="28"/>
      <c r="E111" s="29"/>
      <c r="F111" s="30">
        <v>4698.4399999999996</v>
      </c>
      <c r="G111" s="31">
        <v>6.9000000000000006E-2</v>
      </c>
      <c r="H111" s="32"/>
    </row>
    <row r="112" spans="2:8" ht="15.75" customHeight="1" x14ac:dyDescent="0.2">
      <c r="B112" s="27" t="s">
        <v>129</v>
      </c>
      <c r="C112" s="27"/>
      <c r="D112" s="27"/>
      <c r="E112" s="33"/>
      <c r="F112" s="34">
        <v>4698.4399999999996</v>
      </c>
      <c r="G112" s="35">
        <v>6.9000000000000006E-2</v>
      </c>
      <c r="H112" s="36"/>
    </row>
    <row r="113" spans="2:8" ht="15.75" customHeight="1" x14ac:dyDescent="0.2">
      <c r="B113" s="28"/>
      <c r="C113" s="28"/>
      <c r="D113" s="28"/>
      <c r="E113" s="29"/>
      <c r="F113" s="30"/>
      <c r="G113" s="31"/>
      <c r="H113" s="32"/>
    </row>
    <row r="114" spans="2:8" ht="15.75" customHeight="1" x14ac:dyDescent="0.2">
      <c r="B114" s="39" t="s">
        <v>133</v>
      </c>
      <c r="C114" s="39"/>
      <c r="D114" s="39"/>
      <c r="E114" s="40"/>
      <c r="F114" s="34">
        <v>4698.4399999999996</v>
      </c>
      <c r="G114" s="35">
        <v>6.9000000000000006E-2</v>
      </c>
      <c r="H114" s="36"/>
    </row>
    <row r="115" spans="2:8" ht="15.75" customHeight="1" x14ac:dyDescent="0.2">
      <c r="B115" s="28" t="s">
        <v>141</v>
      </c>
      <c r="C115" s="28"/>
      <c r="D115" s="28"/>
      <c r="E115" s="29"/>
      <c r="F115" s="30">
        <v>140.22999999999999</v>
      </c>
      <c r="G115" s="31">
        <v>2.0999999999999908E-3</v>
      </c>
      <c r="H115" s="32"/>
    </row>
    <row r="116" spans="2:8" ht="15.75" customHeight="1" x14ac:dyDescent="0.2">
      <c r="B116" s="41" t="s">
        <v>142</v>
      </c>
      <c r="C116" s="41"/>
      <c r="D116" s="41"/>
      <c r="E116" s="42"/>
      <c r="F116" s="43">
        <v>68103.27</v>
      </c>
      <c r="G116" s="44">
        <v>1</v>
      </c>
      <c r="H116" s="45"/>
    </row>
    <row r="117" spans="2:8" ht="15.75" customHeight="1" x14ac:dyDescent="0.2">
      <c r="B117" s="2"/>
    </row>
    <row r="118" spans="2:8" ht="15.75" customHeight="1" x14ac:dyDescent="0.2">
      <c r="B118" s="15" t="s">
        <v>448</v>
      </c>
    </row>
    <row r="119" spans="2:8" ht="15.75" customHeight="1" x14ac:dyDescent="0.2">
      <c r="B119" s="15" t="s">
        <v>144</v>
      </c>
    </row>
    <row r="120" spans="2:8" ht="15.75" customHeight="1" x14ac:dyDescent="0.2">
      <c r="B120" s="60"/>
    </row>
    <row r="121" spans="2:8" ht="15.75" customHeight="1" x14ac:dyDescent="0.2">
      <c r="B121" s="9" t="s">
        <v>449</v>
      </c>
    </row>
    <row r="122" spans="2:8" ht="15.75" customHeight="1" x14ac:dyDescent="0.2">
      <c r="B122" s="9" t="s">
        <v>450</v>
      </c>
    </row>
    <row r="123" spans="2:8" ht="15.75" customHeight="1" x14ac:dyDescent="0.2">
      <c r="B123" s="16" t="s">
        <v>306</v>
      </c>
      <c r="C123" s="57" t="s">
        <v>2</v>
      </c>
      <c r="D123" s="58" t="s">
        <v>3</v>
      </c>
      <c r="E123" s="59" t="s">
        <v>307</v>
      </c>
    </row>
    <row r="124" spans="2:8" ht="15.75" customHeight="1" x14ac:dyDescent="0.2">
      <c r="B124" s="53" t="s">
        <v>393</v>
      </c>
      <c r="C124" s="54">
        <v>-2875</v>
      </c>
      <c r="D124" s="55">
        <v>-220.79</v>
      </c>
      <c r="E124" s="56">
        <v>-3.2000000000000002E-3</v>
      </c>
    </row>
    <row r="125" spans="2:8" ht="15.75" customHeight="1" x14ac:dyDescent="0.2">
      <c r="B125" s="53" t="s">
        <v>417</v>
      </c>
      <c r="C125" s="54">
        <v>-5500</v>
      </c>
      <c r="D125" s="55">
        <v>-125.88</v>
      </c>
      <c r="E125" s="56">
        <v>-1.8E-3</v>
      </c>
    </row>
    <row r="126" spans="2:8" ht="15.75" customHeight="1" x14ac:dyDescent="0.2">
      <c r="B126" s="53" t="s">
        <v>249</v>
      </c>
      <c r="C126" s="54">
        <v>-109500</v>
      </c>
      <c r="D126" s="55">
        <v>-438.55</v>
      </c>
      <c r="E126" s="56">
        <v>-6.4000000000000003E-3</v>
      </c>
    </row>
    <row r="127" spans="2:8" ht="15.75" customHeight="1" x14ac:dyDescent="0.2">
      <c r="B127" s="53" t="s">
        <v>227</v>
      </c>
      <c r="C127" s="54">
        <v>-275000</v>
      </c>
      <c r="D127" s="55">
        <v>-583.16999999999996</v>
      </c>
      <c r="E127" s="56">
        <v>-8.6E-3</v>
      </c>
    </row>
    <row r="128" spans="2:8" ht="15.75" customHeight="1" x14ac:dyDescent="0.2">
      <c r="B128" s="53" t="s">
        <v>258</v>
      </c>
      <c r="C128" s="54">
        <v>-500</v>
      </c>
      <c r="D128" s="55">
        <v>-35.75</v>
      </c>
      <c r="E128" s="56">
        <v>-5.0000000000000001E-4</v>
      </c>
    </row>
    <row r="129" spans="2:5" ht="15.75" customHeight="1" x14ac:dyDescent="0.2">
      <c r="B129" s="53" t="s">
        <v>236</v>
      </c>
      <c r="C129" s="54">
        <v>-30800</v>
      </c>
      <c r="D129" s="55">
        <v>-559.02</v>
      </c>
      <c r="E129" s="56">
        <v>-8.2000000000000007E-3</v>
      </c>
    </row>
    <row r="130" spans="2:5" ht="15.75" customHeight="1" x14ac:dyDescent="0.2">
      <c r="B130" s="53" t="s">
        <v>329</v>
      </c>
      <c r="C130" s="54">
        <v>-2900</v>
      </c>
      <c r="D130" s="55">
        <v>-338</v>
      </c>
      <c r="E130" s="56">
        <v>-5.0000000000000001E-3</v>
      </c>
    </row>
    <row r="131" spans="2:5" ht="15.75" customHeight="1" x14ac:dyDescent="0.2">
      <c r="B131" s="53" t="s">
        <v>316</v>
      </c>
      <c r="C131" s="54">
        <v>-8750</v>
      </c>
      <c r="D131" s="55">
        <v>-353.3</v>
      </c>
      <c r="E131" s="56">
        <v>-5.1999999999999998E-3</v>
      </c>
    </row>
    <row r="132" spans="2:5" ht="15.75" customHeight="1" x14ac:dyDescent="0.2">
      <c r="B132" s="53" t="s">
        <v>374</v>
      </c>
      <c r="C132" s="54">
        <v>-4200</v>
      </c>
      <c r="D132" s="55">
        <v>-61.94</v>
      </c>
      <c r="E132" s="56">
        <v>-8.9999999999999998E-4</v>
      </c>
    </row>
    <row r="133" spans="2:5" ht="15.75" customHeight="1" x14ac:dyDescent="0.2">
      <c r="B133" s="53" t="s">
        <v>384</v>
      </c>
      <c r="C133" s="54">
        <v>-6500</v>
      </c>
      <c r="D133" s="55">
        <v>-273.23</v>
      </c>
      <c r="E133" s="56">
        <v>-4.0000000000000001E-3</v>
      </c>
    </row>
    <row r="134" spans="2:5" ht="15.75" customHeight="1" x14ac:dyDescent="0.2">
      <c r="B134" s="53" t="s">
        <v>343</v>
      </c>
      <c r="C134" s="54">
        <v>-16000</v>
      </c>
      <c r="D134" s="55">
        <v>-405.41</v>
      </c>
      <c r="E134" s="56">
        <v>-6.0000000000000001E-3</v>
      </c>
    </row>
    <row r="135" spans="2:5" ht="15.75" customHeight="1" x14ac:dyDescent="0.2">
      <c r="B135" s="53" t="s">
        <v>183</v>
      </c>
      <c r="C135" s="54">
        <v>-5625</v>
      </c>
      <c r="D135" s="55">
        <v>-71.77</v>
      </c>
      <c r="E135" s="56">
        <v>-1.1000000000000001E-3</v>
      </c>
    </row>
    <row r="136" spans="2:5" ht="15.75" customHeight="1" x14ac:dyDescent="0.2">
      <c r="B136" s="53" t="s">
        <v>409</v>
      </c>
      <c r="C136" s="54">
        <v>-4200</v>
      </c>
      <c r="D136" s="55">
        <v>-50.47</v>
      </c>
      <c r="E136" s="56">
        <v>-6.9999999999999999E-4</v>
      </c>
    </row>
    <row r="137" spans="2:5" ht="15.75" customHeight="1" x14ac:dyDescent="0.2">
      <c r="B137" s="53" t="s">
        <v>327</v>
      </c>
      <c r="C137" s="54">
        <v>-32500</v>
      </c>
      <c r="D137" s="55">
        <v>-574.63</v>
      </c>
      <c r="E137" s="56">
        <v>-8.3999999999999995E-3</v>
      </c>
    </row>
    <row r="138" spans="2:5" ht="15.75" customHeight="1" x14ac:dyDescent="0.2">
      <c r="B138" s="53" t="s">
        <v>256</v>
      </c>
      <c r="C138" s="54">
        <v>-100800</v>
      </c>
      <c r="D138" s="55">
        <v>-318.27999999999997</v>
      </c>
      <c r="E138" s="56">
        <v>-4.7000000000000002E-3</v>
      </c>
    </row>
    <row r="139" spans="2:5" ht="15.75" customHeight="1" x14ac:dyDescent="0.2">
      <c r="B139" s="53" t="s">
        <v>278</v>
      </c>
      <c r="C139" s="54">
        <v>-117000</v>
      </c>
      <c r="D139" s="55">
        <v>-527.96</v>
      </c>
      <c r="E139" s="56">
        <v>-7.7999999999999996E-3</v>
      </c>
    </row>
    <row r="140" spans="2:5" ht="15.75" customHeight="1" x14ac:dyDescent="0.2">
      <c r="B140" s="53" t="s">
        <v>260</v>
      </c>
      <c r="C140" s="54">
        <v>-223300</v>
      </c>
      <c r="D140" s="55">
        <v>-998.26</v>
      </c>
      <c r="E140" s="56">
        <v>-1.47E-2</v>
      </c>
    </row>
    <row r="141" spans="2:5" ht="15.75" customHeight="1" x14ac:dyDescent="0.2">
      <c r="B141" s="53" t="s">
        <v>296</v>
      </c>
      <c r="C141" s="54">
        <v>-6300</v>
      </c>
      <c r="D141" s="55">
        <v>-277.33999999999997</v>
      </c>
      <c r="E141" s="56">
        <v>-4.1000000000000003E-3</v>
      </c>
    </row>
    <row r="142" spans="2:5" ht="15.75" customHeight="1" x14ac:dyDescent="0.2">
      <c r="B142" s="53" t="s">
        <v>171</v>
      </c>
      <c r="C142" s="54">
        <v>-96250</v>
      </c>
      <c r="D142" s="55">
        <v>-747</v>
      </c>
      <c r="E142" s="56">
        <v>-1.0999999999999999E-2</v>
      </c>
    </row>
    <row r="143" spans="2:5" ht="15.75" customHeight="1" x14ac:dyDescent="0.2">
      <c r="B143" s="53" t="s">
        <v>180</v>
      </c>
      <c r="C143" s="54">
        <v>-20400</v>
      </c>
      <c r="D143" s="55">
        <v>-242.23</v>
      </c>
      <c r="E143" s="56">
        <v>-3.5999999999999999E-3</v>
      </c>
    </row>
    <row r="144" spans="2:5" ht="15.75" customHeight="1" x14ac:dyDescent="0.2">
      <c r="B144" s="53" t="s">
        <v>220</v>
      </c>
      <c r="C144" s="54">
        <v>-142000</v>
      </c>
      <c r="D144" s="55">
        <v>-547.98</v>
      </c>
      <c r="E144" s="56">
        <v>-8.0000000000000002E-3</v>
      </c>
    </row>
    <row r="145" spans="2:8" ht="15.75" customHeight="1" x14ac:dyDescent="0.2">
      <c r="B145" s="53" t="s">
        <v>324</v>
      </c>
      <c r="C145" s="54">
        <v>-82600</v>
      </c>
      <c r="D145" s="55">
        <v>-860.94</v>
      </c>
      <c r="E145" s="56">
        <v>-1.26E-2</v>
      </c>
    </row>
    <row r="146" spans="2:8" ht="15.75" customHeight="1" x14ac:dyDescent="0.2">
      <c r="B146" s="53" t="s">
        <v>174</v>
      </c>
      <c r="C146" s="54">
        <v>-116500</v>
      </c>
      <c r="D146" s="55">
        <v>-1672.01</v>
      </c>
      <c r="E146" s="56">
        <v>-2.46E-2</v>
      </c>
    </row>
    <row r="147" spans="2:8" ht="15.75" customHeight="1" x14ac:dyDescent="0.2">
      <c r="B147" s="53" t="s">
        <v>336</v>
      </c>
      <c r="C147" s="54">
        <v>-68750</v>
      </c>
      <c r="D147" s="55">
        <v>-790.69</v>
      </c>
      <c r="E147" s="56">
        <v>-1.1599999999999999E-2</v>
      </c>
    </row>
    <row r="148" spans="2:8" ht="15.75" customHeight="1" x14ac:dyDescent="0.2">
      <c r="B148" s="53" t="s">
        <v>314</v>
      </c>
      <c r="C148" s="54">
        <v>-54250</v>
      </c>
      <c r="D148" s="55">
        <v>-1324.03</v>
      </c>
      <c r="E148" s="56">
        <v>-1.9400000000000001E-2</v>
      </c>
    </row>
    <row r="149" spans="2:8" ht="15.75" customHeight="1" x14ac:dyDescent="0.2">
      <c r="B149" s="16" t="s">
        <v>308</v>
      </c>
      <c r="C149" s="57">
        <v>-1533000</v>
      </c>
      <c r="D149" s="58">
        <v>-12398.63</v>
      </c>
      <c r="E149" s="59">
        <v>-0.18210000000000001</v>
      </c>
    </row>
    <row r="151" spans="2:8" s="7" customFormat="1" ht="15.6" customHeight="1" x14ac:dyDescent="0.25">
      <c r="B151" s="63" t="s">
        <v>1067</v>
      </c>
      <c r="C151" s="70"/>
      <c r="D151" s="70"/>
      <c r="E151" s="70"/>
      <c r="F151" s="70"/>
      <c r="G151" s="70"/>
      <c r="H151" s="64"/>
    </row>
    <row r="152" spans="2:8" s="7" customFormat="1" ht="15.6" customHeight="1" x14ac:dyDescent="0.25">
      <c r="B152" s="63" t="s">
        <v>1108</v>
      </c>
      <c r="C152" s="70"/>
      <c r="D152" s="70"/>
      <c r="E152" s="70"/>
      <c r="F152" s="70"/>
      <c r="G152" s="70"/>
      <c r="H152" s="64"/>
    </row>
    <row r="153" spans="2:8" s="7" customFormat="1" ht="15.6" customHeight="1" x14ac:dyDescent="0.25">
      <c r="B153" s="68" t="s">
        <v>1068</v>
      </c>
      <c r="C153" s="70"/>
      <c r="D153" s="70"/>
      <c r="E153" s="70"/>
      <c r="F153" s="70"/>
      <c r="G153" s="70"/>
      <c r="H153" s="64"/>
    </row>
    <row r="154" spans="2:8" s="7" customFormat="1" ht="15.6" customHeight="1" x14ac:dyDescent="0.25">
      <c r="B154" s="71"/>
      <c r="C154" s="65">
        <v>46142</v>
      </c>
      <c r="D154" s="65">
        <v>46112</v>
      </c>
      <c r="E154" s="70"/>
      <c r="F154" s="70"/>
      <c r="G154" s="70"/>
      <c r="H154" s="64"/>
    </row>
    <row r="155" spans="2:8" s="7" customFormat="1" ht="15.6" customHeight="1" x14ac:dyDescent="0.25">
      <c r="B155" s="71" t="s">
        <v>1069</v>
      </c>
      <c r="C155" s="66"/>
      <c r="D155" s="66"/>
      <c r="E155" s="70"/>
      <c r="F155" s="70"/>
      <c r="G155" s="70"/>
      <c r="H155" s="64"/>
    </row>
    <row r="156" spans="2:8" s="7" customFormat="1" ht="15.6" customHeight="1" x14ac:dyDescent="0.25">
      <c r="B156" s="71" t="s">
        <v>1070</v>
      </c>
      <c r="C156" s="67">
        <v>13.1927</v>
      </c>
      <c r="D156" s="67">
        <v>12.545400000000001</v>
      </c>
      <c r="E156" s="70"/>
      <c r="F156" s="70"/>
      <c r="G156" s="70"/>
      <c r="H156" s="64"/>
    </row>
    <row r="157" spans="2:8" s="7" customFormat="1" ht="15.6" customHeight="1" x14ac:dyDescent="0.25">
      <c r="B157" s="71" t="s">
        <v>1071</v>
      </c>
      <c r="C157" s="67">
        <v>11.445500000000003</v>
      </c>
      <c r="D157" s="67">
        <v>10.884</v>
      </c>
      <c r="E157" s="70"/>
      <c r="F157" s="70"/>
      <c r="G157" s="70"/>
      <c r="H157" s="64"/>
    </row>
    <row r="158" spans="2:8" s="7" customFormat="1" ht="15.6" customHeight="1" x14ac:dyDescent="0.25">
      <c r="B158" s="71" t="s">
        <v>1073</v>
      </c>
      <c r="C158" s="67">
        <v>14.196100000000001</v>
      </c>
      <c r="D158" s="67">
        <v>13.483700000000001</v>
      </c>
      <c r="E158" s="70"/>
      <c r="F158" s="70"/>
      <c r="G158" s="70"/>
      <c r="H158" s="64"/>
    </row>
    <row r="159" spans="2:8" s="7" customFormat="1" ht="15.6" customHeight="1" x14ac:dyDescent="0.25">
      <c r="B159" s="71" t="s">
        <v>1074</v>
      </c>
      <c r="C159" s="67">
        <v>12.1873</v>
      </c>
      <c r="D159" s="67">
        <v>11.575799999999999</v>
      </c>
      <c r="E159" s="70"/>
      <c r="F159" s="70"/>
      <c r="G159" s="70"/>
      <c r="H159" s="64"/>
    </row>
    <row r="160" spans="2:8" s="7" customFormat="1" ht="15.6" customHeight="1" x14ac:dyDescent="0.25">
      <c r="B160" s="63" t="s">
        <v>1116</v>
      </c>
      <c r="C160" s="70"/>
      <c r="D160" s="70"/>
      <c r="E160" s="70"/>
      <c r="F160" s="70"/>
      <c r="G160" s="70"/>
      <c r="H160" s="64"/>
    </row>
    <row r="161" spans="2:8" s="7" customFormat="1" ht="15.6" customHeight="1" x14ac:dyDescent="0.25">
      <c r="B161" s="63" t="s">
        <v>1109</v>
      </c>
      <c r="C161" s="70"/>
      <c r="D161" s="70"/>
      <c r="E161" s="70"/>
      <c r="F161" s="70"/>
      <c r="G161" s="70"/>
      <c r="H161" s="64"/>
    </row>
    <row r="162" spans="2:8" s="7" customFormat="1" ht="15.6" customHeight="1" x14ac:dyDescent="0.25">
      <c r="B162" s="75" t="s">
        <v>1146</v>
      </c>
      <c r="C162" s="76"/>
      <c r="D162" s="76"/>
      <c r="E162" s="76"/>
      <c r="F162" s="76"/>
      <c r="G162" s="70"/>
      <c r="H162" s="64"/>
    </row>
    <row r="163" spans="2:8" s="7" customFormat="1" ht="15.6" customHeight="1" x14ac:dyDescent="0.25">
      <c r="B163" s="75" t="s">
        <v>1145</v>
      </c>
      <c r="C163" s="77"/>
      <c r="D163" s="77"/>
      <c r="E163" s="77"/>
      <c r="F163" s="77"/>
      <c r="G163" s="70"/>
      <c r="H163" s="64"/>
    </row>
    <row r="164" spans="2:8" s="7" customFormat="1" ht="30" customHeight="1" x14ac:dyDescent="0.25">
      <c r="B164" s="78" t="s">
        <v>1086</v>
      </c>
      <c r="C164" s="79" t="s">
        <v>1087</v>
      </c>
      <c r="D164" s="80" t="s">
        <v>1088</v>
      </c>
      <c r="E164" s="80" t="s">
        <v>1089</v>
      </c>
      <c r="F164" s="80" t="s">
        <v>1090</v>
      </c>
      <c r="G164" s="70"/>
      <c r="H164" s="64"/>
    </row>
    <row r="165" spans="2:8" s="7" customFormat="1" ht="15.6" customHeight="1" x14ac:dyDescent="0.25">
      <c r="B165" s="81" t="s">
        <v>227</v>
      </c>
      <c r="C165" s="79" t="s">
        <v>1091</v>
      </c>
      <c r="D165" s="82">
        <v>211.53120000000001</v>
      </c>
      <c r="E165" s="82">
        <v>212.06</v>
      </c>
      <c r="F165" s="82">
        <v>112.72579449999999</v>
      </c>
      <c r="G165" s="70"/>
      <c r="H165" s="64"/>
    </row>
    <row r="166" spans="2:8" s="7" customFormat="1" ht="15.6" customHeight="1" x14ac:dyDescent="0.25">
      <c r="B166" s="81" t="s">
        <v>314</v>
      </c>
      <c r="C166" s="79" t="s">
        <v>1091</v>
      </c>
      <c r="D166" s="82">
        <v>2381.4009999999998</v>
      </c>
      <c r="E166" s="82">
        <v>2440.6</v>
      </c>
      <c r="F166" s="82">
        <v>237.26536960000004</v>
      </c>
      <c r="G166" s="70"/>
      <c r="H166" s="64"/>
    </row>
    <row r="167" spans="2:8" s="7" customFormat="1" ht="15.6" customHeight="1" x14ac:dyDescent="0.25">
      <c r="B167" s="81" t="s">
        <v>374</v>
      </c>
      <c r="C167" s="79" t="s">
        <v>1091</v>
      </c>
      <c r="D167" s="82">
        <v>1358.5428999999999</v>
      </c>
      <c r="E167" s="82">
        <v>1474.8</v>
      </c>
      <c r="F167" s="82">
        <v>11.044187279999999</v>
      </c>
      <c r="G167" s="70"/>
      <c r="H167" s="64"/>
    </row>
    <row r="168" spans="2:8" s="7" customFormat="1" ht="15.6" customHeight="1" x14ac:dyDescent="0.25">
      <c r="B168" s="81" t="s">
        <v>296</v>
      </c>
      <c r="C168" s="79" t="s">
        <v>1091</v>
      </c>
      <c r="D168" s="82">
        <v>4426.9722000000002</v>
      </c>
      <c r="E168" s="82">
        <v>4402.2</v>
      </c>
      <c r="F168" s="82">
        <v>49.005730620000008</v>
      </c>
      <c r="G168" s="70"/>
      <c r="H168" s="64"/>
    </row>
    <row r="169" spans="2:8" s="7" customFormat="1" ht="15.6" customHeight="1" x14ac:dyDescent="0.25">
      <c r="B169" s="81" t="s">
        <v>384</v>
      </c>
      <c r="C169" s="79" t="s">
        <v>1091</v>
      </c>
      <c r="D169" s="82">
        <v>4153.9231</v>
      </c>
      <c r="E169" s="82">
        <v>4203.5</v>
      </c>
      <c r="F169" s="82">
        <v>48.251976500000005</v>
      </c>
      <c r="G169" s="70"/>
      <c r="H169" s="64"/>
    </row>
    <row r="170" spans="2:8" s="7" customFormat="1" ht="15.6" customHeight="1" x14ac:dyDescent="0.25">
      <c r="B170" s="81" t="s">
        <v>329</v>
      </c>
      <c r="C170" s="79" t="s">
        <v>1091</v>
      </c>
      <c r="D170" s="82">
        <v>12115.672399999999</v>
      </c>
      <c r="E170" s="82">
        <v>11655</v>
      </c>
      <c r="F170" s="82">
        <v>59.622318</v>
      </c>
      <c r="G170" s="70"/>
      <c r="H170" s="64"/>
    </row>
    <row r="171" spans="2:8" s="7" customFormat="1" ht="15.6" customHeight="1" x14ac:dyDescent="0.25">
      <c r="B171" s="81" t="s">
        <v>220</v>
      </c>
      <c r="C171" s="79" t="s">
        <v>1091</v>
      </c>
      <c r="D171" s="82">
        <v>372.29079999999999</v>
      </c>
      <c r="E171" s="82">
        <v>385.9</v>
      </c>
      <c r="F171" s="82">
        <v>96.608521399999987</v>
      </c>
      <c r="G171" s="70"/>
      <c r="H171" s="64"/>
    </row>
    <row r="172" spans="2:8" s="7" customFormat="1" ht="15.6" customHeight="1" x14ac:dyDescent="0.25">
      <c r="B172" s="81" t="s">
        <v>316</v>
      </c>
      <c r="C172" s="79" t="s">
        <v>1091</v>
      </c>
      <c r="D172" s="82">
        <v>4034.1840000000002</v>
      </c>
      <c r="E172" s="82">
        <v>4037.7</v>
      </c>
      <c r="F172" s="82">
        <v>64.865650500000001</v>
      </c>
      <c r="G172" s="70"/>
      <c r="H172" s="64"/>
    </row>
    <row r="173" spans="2:8" s="7" customFormat="1" ht="15.6" customHeight="1" x14ac:dyDescent="0.25">
      <c r="B173" s="81" t="s">
        <v>417</v>
      </c>
      <c r="C173" s="79" t="s">
        <v>1091</v>
      </c>
      <c r="D173" s="82">
        <v>2154.4749999999999</v>
      </c>
      <c r="E173" s="82">
        <v>2288.8000000000002</v>
      </c>
      <c r="F173" s="82">
        <v>25.101269600000006</v>
      </c>
      <c r="G173" s="70"/>
      <c r="H173" s="64"/>
    </row>
    <row r="174" spans="2:8" s="7" customFormat="1" ht="15.6" customHeight="1" x14ac:dyDescent="0.25">
      <c r="B174" s="81" t="s">
        <v>249</v>
      </c>
      <c r="C174" s="79" t="s">
        <v>1091</v>
      </c>
      <c r="D174" s="82">
        <v>402.45209999999997</v>
      </c>
      <c r="E174" s="82">
        <v>400.5</v>
      </c>
      <c r="F174" s="82">
        <v>77.535197999999994</v>
      </c>
      <c r="G174" s="70"/>
      <c r="H174" s="64"/>
    </row>
    <row r="175" spans="2:8" s="7" customFormat="1" ht="15.6" customHeight="1" x14ac:dyDescent="0.25">
      <c r="B175" s="81" t="s">
        <v>278</v>
      </c>
      <c r="C175" s="79" t="s">
        <v>1091</v>
      </c>
      <c r="D175" s="82">
        <v>468.62169999999998</v>
      </c>
      <c r="E175" s="82">
        <v>451.25</v>
      </c>
      <c r="F175" s="82">
        <v>116.41573124999999</v>
      </c>
      <c r="G175" s="70"/>
      <c r="H175" s="64"/>
    </row>
    <row r="176" spans="2:8" s="7" customFormat="1" ht="15.6" customHeight="1" x14ac:dyDescent="0.25">
      <c r="B176" s="81" t="s">
        <v>393</v>
      </c>
      <c r="C176" s="79" t="s">
        <v>1091</v>
      </c>
      <c r="D176" s="82">
        <v>7760.3042990000004</v>
      </c>
      <c r="E176" s="82">
        <v>7679.5</v>
      </c>
      <c r="F176" s="82">
        <v>38.946584250000001</v>
      </c>
      <c r="G176" s="70"/>
      <c r="H176" s="64"/>
    </row>
    <row r="177" spans="2:8" s="7" customFormat="1" ht="15.6" customHeight="1" x14ac:dyDescent="0.25">
      <c r="B177" s="81" t="s">
        <v>183</v>
      </c>
      <c r="C177" s="79" t="s">
        <v>1091</v>
      </c>
      <c r="D177" s="82">
        <v>1369.7889</v>
      </c>
      <c r="E177" s="82">
        <v>1275.9000000000001</v>
      </c>
      <c r="F177" s="82">
        <v>12.660117750000001</v>
      </c>
      <c r="G177" s="70"/>
      <c r="H177" s="64"/>
    </row>
    <row r="178" spans="2:8" s="7" customFormat="1" ht="15.6" customHeight="1" x14ac:dyDescent="0.25">
      <c r="B178" s="81" t="s">
        <v>258</v>
      </c>
      <c r="C178" s="79" t="s">
        <v>1091</v>
      </c>
      <c r="D178" s="82">
        <v>7154.6</v>
      </c>
      <c r="E178" s="82">
        <v>7149</v>
      </c>
      <c r="F178" s="82">
        <v>6.5341860000000009</v>
      </c>
      <c r="G178" s="70"/>
      <c r="H178" s="64"/>
    </row>
    <row r="179" spans="2:8" s="7" customFormat="1" ht="15.6" customHeight="1" x14ac:dyDescent="0.25">
      <c r="B179" s="81" t="s">
        <v>409</v>
      </c>
      <c r="C179" s="79" t="s">
        <v>1091</v>
      </c>
      <c r="D179" s="82">
        <v>1180.1416999999999</v>
      </c>
      <c r="E179" s="82">
        <v>1201.7</v>
      </c>
      <c r="F179" s="82">
        <v>9.231219059999999</v>
      </c>
      <c r="G179" s="70"/>
      <c r="H179" s="64"/>
    </row>
    <row r="180" spans="2:8" s="7" customFormat="1" ht="15.6" customHeight="1" x14ac:dyDescent="0.25">
      <c r="B180" s="81" t="s">
        <v>171</v>
      </c>
      <c r="C180" s="79" t="s">
        <v>1091</v>
      </c>
      <c r="D180" s="82">
        <v>788.08259999999996</v>
      </c>
      <c r="E180" s="82">
        <v>776.1</v>
      </c>
      <c r="F180" s="82">
        <v>131.7701385</v>
      </c>
      <c r="G180" s="70"/>
      <c r="H180" s="64"/>
    </row>
    <row r="181" spans="2:8" s="7" customFormat="1" ht="15.6" customHeight="1" x14ac:dyDescent="0.25">
      <c r="B181" s="81" t="s">
        <v>324</v>
      </c>
      <c r="C181" s="79" t="s">
        <v>1091</v>
      </c>
      <c r="D181" s="82">
        <v>1051.4064000000001</v>
      </c>
      <c r="E181" s="82">
        <v>1042.3</v>
      </c>
      <c r="F181" s="82">
        <v>168.57201283999999</v>
      </c>
      <c r="G181" s="70"/>
      <c r="H181" s="64"/>
    </row>
    <row r="182" spans="2:8" s="7" customFormat="1" ht="15.6" customHeight="1" x14ac:dyDescent="0.25">
      <c r="B182" s="81" t="s">
        <v>327</v>
      </c>
      <c r="C182" s="79" t="s">
        <v>1091</v>
      </c>
      <c r="D182" s="82">
        <v>1786.1079999999999</v>
      </c>
      <c r="E182" s="82">
        <v>1768.1</v>
      </c>
      <c r="F182" s="82">
        <v>101.59502599999999</v>
      </c>
      <c r="G182" s="70"/>
      <c r="H182" s="64"/>
    </row>
    <row r="183" spans="2:8" s="7" customFormat="1" ht="15.6" customHeight="1" x14ac:dyDescent="0.25">
      <c r="B183" s="81" t="s">
        <v>180</v>
      </c>
      <c r="C183" s="79" t="s">
        <v>1091</v>
      </c>
      <c r="D183" s="82">
        <v>1149.3686</v>
      </c>
      <c r="E183" s="82">
        <v>1187.4000000000001</v>
      </c>
      <c r="F183" s="82">
        <v>43.310652479999995</v>
      </c>
      <c r="G183" s="70"/>
      <c r="H183" s="64"/>
    </row>
    <row r="184" spans="2:8" s="7" customFormat="1" ht="15.6" customHeight="1" x14ac:dyDescent="0.25">
      <c r="B184" s="81" t="s">
        <v>256</v>
      </c>
      <c r="C184" s="79" t="s">
        <v>1091</v>
      </c>
      <c r="D184" s="82">
        <v>304.34210000000002</v>
      </c>
      <c r="E184" s="82">
        <v>315.75</v>
      </c>
      <c r="F184" s="82">
        <v>56.303024400000005</v>
      </c>
      <c r="G184" s="70"/>
      <c r="H184" s="64"/>
    </row>
    <row r="185" spans="2:8" s="7" customFormat="1" ht="15.6" customHeight="1" x14ac:dyDescent="0.25">
      <c r="B185" s="81" t="s">
        <v>174</v>
      </c>
      <c r="C185" s="79" t="s">
        <v>1091</v>
      </c>
      <c r="D185" s="82">
        <v>1337.212</v>
      </c>
      <c r="E185" s="82">
        <v>1435.2</v>
      </c>
      <c r="F185" s="82">
        <v>295.61101439999999</v>
      </c>
      <c r="G185" s="70"/>
      <c r="H185" s="64"/>
    </row>
    <row r="186" spans="2:8" s="7" customFormat="1" ht="15.6" customHeight="1" x14ac:dyDescent="0.25">
      <c r="B186" s="81" t="s">
        <v>343</v>
      </c>
      <c r="C186" s="79" t="s">
        <v>1091</v>
      </c>
      <c r="D186" s="82">
        <v>2502.125</v>
      </c>
      <c r="E186" s="82">
        <v>2533.8000000000002</v>
      </c>
      <c r="F186" s="82">
        <v>78.932937600000002</v>
      </c>
      <c r="G186" s="70"/>
      <c r="H186" s="64"/>
    </row>
    <row r="187" spans="2:8" s="7" customFormat="1" ht="15.6" customHeight="1" x14ac:dyDescent="0.25">
      <c r="B187" s="81" t="s">
        <v>236</v>
      </c>
      <c r="C187" s="79" t="s">
        <v>1091</v>
      </c>
      <c r="D187" s="82">
        <v>1630.8557000000001</v>
      </c>
      <c r="E187" s="82">
        <v>1815</v>
      </c>
      <c r="F187" s="82">
        <v>98.778834000000018</v>
      </c>
      <c r="G187" s="70"/>
      <c r="H187" s="64"/>
    </row>
    <row r="188" spans="2:8" s="7" customFormat="1" ht="15.6" customHeight="1" x14ac:dyDescent="0.25">
      <c r="B188" s="81" t="s">
        <v>336</v>
      </c>
      <c r="C188" s="79" t="s">
        <v>1091</v>
      </c>
      <c r="D188" s="82">
        <v>1170.3904</v>
      </c>
      <c r="E188" s="82">
        <v>1150.0999999999999</v>
      </c>
      <c r="F188" s="82">
        <v>139.63651625</v>
      </c>
      <c r="G188" s="70"/>
      <c r="H188" s="64"/>
    </row>
    <row r="189" spans="2:8" s="7" customFormat="1" ht="15.6" customHeight="1" x14ac:dyDescent="0.25">
      <c r="B189" s="81" t="s">
        <v>260</v>
      </c>
      <c r="C189" s="79" t="s">
        <v>1091</v>
      </c>
      <c r="D189" s="82">
        <v>434.34059999999999</v>
      </c>
      <c r="E189" s="82">
        <v>447.05</v>
      </c>
      <c r="F189" s="82">
        <v>176.09353146000001</v>
      </c>
      <c r="G189" s="70"/>
      <c r="H189" s="64"/>
    </row>
    <row r="190" spans="2:8" s="7" customFormat="1" ht="15.6" customHeight="1" x14ac:dyDescent="0.25">
      <c r="B190" s="75" t="s">
        <v>1153</v>
      </c>
      <c r="C190" s="77"/>
      <c r="D190" s="77"/>
      <c r="E190" s="77"/>
      <c r="F190" s="83"/>
      <c r="G190" s="83"/>
      <c r="H190" s="64"/>
    </row>
    <row r="191" spans="2:8" s="7" customFormat="1" ht="15.6" customHeight="1" x14ac:dyDescent="0.25">
      <c r="B191" s="75" t="s">
        <v>1137</v>
      </c>
      <c r="C191" s="77"/>
      <c r="D191" s="77"/>
      <c r="E191" s="83"/>
      <c r="F191" s="77"/>
      <c r="G191" s="70"/>
      <c r="H191" s="64"/>
    </row>
    <row r="192" spans="2:8" s="7" customFormat="1" ht="15.6" customHeight="1" x14ac:dyDescent="0.25">
      <c r="B192" s="79" t="s">
        <v>1092</v>
      </c>
      <c r="C192" s="84">
        <v>25</v>
      </c>
      <c r="D192" s="77"/>
      <c r="E192" s="83"/>
      <c r="F192" s="77"/>
      <c r="G192" s="70"/>
      <c r="H192" s="64"/>
    </row>
    <row r="193" spans="2:8" s="7" customFormat="1" ht="15.6" customHeight="1" x14ac:dyDescent="0.25">
      <c r="B193" s="79" t="s">
        <v>1093</v>
      </c>
      <c r="C193" s="84">
        <v>27</v>
      </c>
      <c r="D193" s="77"/>
      <c r="E193" s="83"/>
      <c r="F193" s="77"/>
      <c r="G193" s="70"/>
      <c r="H193" s="64"/>
    </row>
    <row r="194" spans="2:8" s="7" customFormat="1" ht="15.6" customHeight="1" x14ac:dyDescent="0.25">
      <c r="B194" s="79" t="s">
        <v>1094</v>
      </c>
      <c r="C194" s="85">
        <v>12189.295134600001</v>
      </c>
      <c r="D194" s="83"/>
      <c r="E194" s="77"/>
      <c r="F194" s="83"/>
      <c r="G194" s="70"/>
      <c r="H194" s="64"/>
    </row>
    <row r="195" spans="2:8" s="7" customFormat="1" ht="15.6" customHeight="1" x14ac:dyDescent="0.25">
      <c r="B195" s="79" t="s">
        <v>1095</v>
      </c>
      <c r="C195" s="85">
        <v>14611.708472800003</v>
      </c>
      <c r="D195" s="83"/>
      <c r="E195" s="77"/>
      <c r="F195" s="83"/>
      <c r="G195" s="70"/>
      <c r="H195" s="64"/>
    </row>
    <row r="196" spans="2:8" s="7" customFormat="1" ht="15.6" customHeight="1" x14ac:dyDescent="0.25">
      <c r="B196" s="79" t="s">
        <v>1096</v>
      </c>
      <c r="C196" s="85">
        <v>-609.77381719999994</v>
      </c>
      <c r="D196" s="83"/>
      <c r="E196" s="83"/>
      <c r="F196" s="83"/>
      <c r="G196" s="70"/>
      <c r="H196" s="64"/>
    </row>
    <row r="197" spans="2:8" s="7" customFormat="1" ht="15.6" customHeight="1" x14ac:dyDescent="0.25">
      <c r="B197" s="75" t="s">
        <v>1138</v>
      </c>
      <c r="C197" s="77"/>
      <c r="D197" s="77"/>
      <c r="E197" s="77"/>
      <c r="F197" s="77"/>
      <c r="G197" s="70"/>
      <c r="H197" s="64"/>
    </row>
    <row r="198" spans="2:8" s="7" customFormat="1" ht="15.6" customHeight="1" x14ac:dyDescent="0.25">
      <c r="B198" s="75" t="s">
        <v>1139</v>
      </c>
      <c r="C198" s="77"/>
      <c r="D198" s="77"/>
      <c r="E198" s="77"/>
      <c r="F198" s="77"/>
      <c r="G198" s="70"/>
      <c r="H198" s="64"/>
    </row>
    <row r="199" spans="2:8" s="7" customFormat="1" ht="15.6" customHeight="1" x14ac:dyDescent="0.25">
      <c r="B199" s="75" t="s">
        <v>1140</v>
      </c>
      <c r="C199" s="77"/>
      <c r="D199" s="77"/>
      <c r="E199" s="77"/>
      <c r="F199" s="77"/>
      <c r="G199" s="70"/>
      <c r="H199" s="64"/>
    </row>
    <row r="200" spans="2:8" s="7" customFormat="1" ht="15.6" customHeight="1" x14ac:dyDescent="0.25">
      <c r="B200" s="75" t="s">
        <v>1147</v>
      </c>
      <c r="C200" s="77"/>
      <c r="D200" s="77"/>
      <c r="E200" s="77"/>
      <c r="F200" s="77"/>
      <c r="G200" s="70"/>
      <c r="H200" s="64"/>
    </row>
    <row r="201" spans="2:8" s="7" customFormat="1" ht="15.6" customHeight="1" x14ac:dyDescent="0.25">
      <c r="B201" s="75" t="s">
        <v>1142</v>
      </c>
      <c r="C201" s="77"/>
      <c r="D201" s="77"/>
      <c r="E201" s="77"/>
      <c r="F201" s="77"/>
      <c r="G201" s="70"/>
      <c r="H201" s="64"/>
    </row>
    <row r="202" spans="2:8" s="7" customFormat="1" ht="15.6" customHeight="1" x14ac:dyDescent="0.25">
      <c r="B202" s="75" t="s">
        <v>1143</v>
      </c>
      <c r="C202" s="77"/>
      <c r="D202" s="77"/>
      <c r="E202" s="77"/>
      <c r="F202" s="77"/>
      <c r="G202" s="70"/>
      <c r="H202" s="64"/>
    </row>
    <row r="203" spans="2:8" s="7" customFormat="1" ht="15.6" customHeight="1" x14ac:dyDescent="0.25">
      <c r="B203" s="75" t="s">
        <v>1144</v>
      </c>
      <c r="C203" s="70"/>
      <c r="D203" s="70"/>
      <c r="E203" s="70"/>
      <c r="F203" s="70"/>
      <c r="G203" s="70"/>
      <c r="H203" s="64"/>
    </row>
    <row r="204" spans="2:8" s="7" customFormat="1" ht="15.6" customHeight="1" x14ac:dyDescent="0.25">
      <c r="B204" s="63" t="s">
        <v>1112</v>
      </c>
      <c r="C204" s="70"/>
      <c r="D204" s="70"/>
      <c r="E204" s="70"/>
      <c r="F204" s="70"/>
      <c r="G204" s="70"/>
      <c r="H204" s="64"/>
    </row>
    <row r="205" spans="2:8" s="7" customFormat="1" ht="15.6" customHeight="1" x14ac:dyDescent="0.25">
      <c r="B205" s="63" t="s">
        <v>1125</v>
      </c>
      <c r="C205" s="70"/>
      <c r="D205" s="70"/>
      <c r="E205" s="70"/>
      <c r="F205" s="70"/>
      <c r="G205" s="70"/>
      <c r="H205" s="64"/>
    </row>
    <row r="206" spans="2:8" s="7" customFormat="1" ht="15.6" customHeight="1" x14ac:dyDescent="0.25">
      <c r="B206" s="63" t="s">
        <v>1113</v>
      </c>
      <c r="C206" s="70"/>
      <c r="D206" s="70"/>
      <c r="E206" s="70"/>
      <c r="F206" s="70"/>
      <c r="G206" s="70"/>
      <c r="H206" s="64"/>
    </row>
    <row r="207" spans="2:8" s="7" customFormat="1" ht="15.6" customHeight="1" x14ac:dyDescent="0.25">
      <c r="B207" s="68" t="s">
        <v>1076</v>
      </c>
      <c r="C207" s="72"/>
      <c r="D207" s="72"/>
      <c r="E207" s="72"/>
      <c r="F207" s="72"/>
      <c r="G207" s="72"/>
      <c r="H207" s="69"/>
    </row>
    <row r="210" spans="2:5" ht="15.75" customHeight="1" thickBot="1" x14ac:dyDescent="0.25"/>
    <row r="211" spans="2:5" ht="39.75" customHeight="1" thickBot="1" x14ac:dyDescent="0.3">
      <c r="B211" s="46" t="s">
        <v>146</v>
      </c>
      <c r="C211" s="47" t="s">
        <v>147</v>
      </c>
      <c r="D211" s="47" t="s">
        <v>148</v>
      </c>
      <c r="E211"/>
    </row>
    <row r="212" spans="2:5" ht="39.75" customHeight="1" x14ac:dyDescent="0.25">
      <c r="B212" s="52" t="s">
        <v>451</v>
      </c>
      <c r="C212" s="109"/>
      <c r="D212" s="52" t="s">
        <v>452</v>
      </c>
      <c r="E212"/>
    </row>
    <row r="213" spans="2:5" ht="39.75" customHeight="1" x14ac:dyDescent="0.25">
      <c r="B213" s="112" t="s">
        <v>453</v>
      </c>
      <c r="C213" s="110"/>
      <c r="D213" s="114"/>
      <c r="E213"/>
    </row>
    <row r="214" spans="2:5" ht="39.75" customHeight="1" x14ac:dyDescent="0.25">
      <c r="B214" s="112"/>
      <c r="C214" s="110"/>
      <c r="D214" s="114"/>
      <c r="E214"/>
    </row>
    <row r="215" spans="2:5" ht="39.75" customHeight="1" x14ac:dyDescent="0.25">
      <c r="B215" s="112"/>
      <c r="C215" s="110"/>
      <c r="D215" s="114"/>
      <c r="E215"/>
    </row>
    <row r="216" spans="2:5" ht="39.75" customHeight="1" thickBot="1" x14ac:dyDescent="0.3">
      <c r="B216" s="113"/>
      <c r="C216" s="111"/>
      <c r="D216" s="115"/>
      <c r="E216"/>
    </row>
    <row r="217" spans="2:5" ht="15.75" customHeight="1" x14ac:dyDescent="0.2">
      <c r="B217" s="9" t="s">
        <v>149</v>
      </c>
    </row>
    <row r="218" spans="2:5" ht="15.75" customHeight="1" x14ac:dyDescent="0.2">
      <c r="B218" s="9" t="s">
        <v>150</v>
      </c>
    </row>
    <row r="219" spans="2:5" ht="15.75" customHeight="1" x14ac:dyDescent="0.2">
      <c r="B219" s="9" t="s">
        <v>151</v>
      </c>
    </row>
  </sheetData>
  <mergeCells count="3">
    <mergeCell ref="C212:C216"/>
    <mergeCell ref="B213:B216"/>
    <mergeCell ref="D213:D216"/>
  </mergeCells>
  <hyperlinks>
    <hyperlink ref="G1" location="'Sheet1'!A1" display="Index" xr:uid="{9B9C9BAC-D6A0-4119-929A-112D17B70EC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4DBE9-7598-46C7-ADF1-4BB72D906793}">
  <dimension ref="B1:N138"/>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310470</v>
      </c>
      <c r="F7" s="30">
        <v>2395.9</v>
      </c>
      <c r="G7" s="31">
        <v>4.7100000000000003E-2</v>
      </c>
      <c r="H7" s="32"/>
    </row>
    <row r="8" spans="2:8" ht="15.75" customHeight="1" x14ac:dyDescent="0.2">
      <c r="B8" s="28" t="s">
        <v>191</v>
      </c>
      <c r="C8" s="28" t="s">
        <v>192</v>
      </c>
      <c r="D8" s="28" t="s">
        <v>173</v>
      </c>
      <c r="E8" s="29">
        <v>172801</v>
      </c>
      <c r="F8" s="30">
        <v>2183.17</v>
      </c>
      <c r="G8" s="31">
        <v>4.2900000000000001E-2</v>
      </c>
      <c r="H8" s="32"/>
    </row>
    <row r="9" spans="2:8" ht="15.75" customHeight="1" x14ac:dyDescent="0.2">
      <c r="B9" s="28" t="s">
        <v>314</v>
      </c>
      <c r="C9" s="28" t="s">
        <v>315</v>
      </c>
      <c r="D9" s="28" t="s">
        <v>182</v>
      </c>
      <c r="E9" s="29">
        <v>51153</v>
      </c>
      <c r="F9" s="30">
        <v>1265.47</v>
      </c>
      <c r="G9" s="31">
        <v>2.4899999999999999E-2</v>
      </c>
      <c r="H9" s="32"/>
    </row>
    <row r="10" spans="2:8" ht="15.75" customHeight="1" x14ac:dyDescent="0.2">
      <c r="B10" s="28" t="s">
        <v>214</v>
      </c>
      <c r="C10" s="28" t="s">
        <v>215</v>
      </c>
      <c r="D10" s="28" t="s">
        <v>216</v>
      </c>
      <c r="E10" s="29">
        <v>57420</v>
      </c>
      <c r="F10" s="30">
        <v>1083.4000000000001</v>
      </c>
      <c r="G10" s="31">
        <v>2.1299999999999999E-2</v>
      </c>
      <c r="H10" s="32"/>
    </row>
    <row r="11" spans="2:8" ht="15.75" customHeight="1" x14ac:dyDescent="0.2">
      <c r="B11" s="28" t="s">
        <v>174</v>
      </c>
      <c r="C11" s="28" t="s">
        <v>175</v>
      </c>
      <c r="D11" s="28" t="s">
        <v>176</v>
      </c>
      <c r="E11" s="29">
        <v>74686</v>
      </c>
      <c r="F11" s="30">
        <v>1068.6099999999999</v>
      </c>
      <c r="G11" s="31">
        <v>2.1000000000000001E-2</v>
      </c>
      <c r="H11" s="32"/>
    </row>
    <row r="12" spans="2:8" ht="15.75" customHeight="1" x14ac:dyDescent="0.2">
      <c r="B12" s="28" t="s">
        <v>193</v>
      </c>
      <c r="C12" s="28" t="s">
        <v>194</v>
      </c>
      <c r="D12" s="28" t="s">
        <v>195</v>
      </c>
      <c r="E12" s="29">
        <v>32660</v>
      </c>
      <c r="F12" s="30">
        <v>1011.64</v>
      </c>
      <c r="G12" s="31">
        <v>1.9900000000000001E-2</v>
      </c>
      <c r="H12" s="32"/>
    </row>
    <row r="13" spans="2:8" ht="15.75" customHeight="1" x14ac:dyDescent="0.2">
      <c r="B13" s="28" t="s">
        <v>183</v>
      </c>
      <c r="C13" s="28" t="s">
        <v>184</v>
      </c>
      <c r="D13" s="28" t="s">
        <v>173</v>
      </c>
      <c r="E13" s="29">
        <v>78930</v>
      </c>
      <c r="F13" s="30">
        <v>1001.07</v>
      </c>
      <c r="G13" s="31">
        <v>1.9699999999999999E-2</v>
      </c>
      <c r="H13" s="32"/>
    </row>
    <row r="14" spans="2:8" ht="15.75" customHeight="1" x14ac:dyDescent="0.2">
      <c r="B14" s="28" t="s">
        <v>393</v>
      </c>
      <c r="C14" s="28" t="s">
        <v>394</v>
      </c>
      <c r="D14" s="28" t="s">
        <v>395</v>
      </c>
      <c r="E14" s="29">
        <v>12701</v>
      </c>
      <c r="F14" s="30">
        <v>969.91</v>
      </c>
      <c r="G14" s="31">
        <v>1.9099999999999999E-2</v>
      </c>
      <c r="H14" s="32"/>
    </row>
    <row r="15" spans="2:8" ht="15.75" customHeight="1" x14ac:dyDescent="0.2">
      <c r="B15" s="28" t="s">
        <v>454</v>
      </c>
      <c r="C15" s="28" t="s">
        <v>455</v>
      </c>
      <c r="D15" s="28" t="s">
        <v>238</v>
      </c>
      <c r="E15" s="29">
        <v>50905</v>
      </c>
      <c r="F15" s="30">
        <v>884.78</v>
      </c>
      <c r="G15" s="31">
        <v>1.7399999999999999E-2</v>
      </c>
      <c r="H15" s="32"/>
    </row>
    <row r="16" spans="2:8" ht="15.75" customHeight="1" x14ac:dyDescent="0.2">
      <c r="B16" s="28" t="s">
        <v>456</v>
      </c>
      <c r="C16" s="28" t="s">
        <v>457</v>
      </c>
      <c r="D16" s="28" t="s">
        <v>268</v>
      </c>
      <c r="E16" s="29">
        <v>38649</v>
      </c>
      <c r="F16" s="30">
        <v>836.71</v>
      </c>
      <c r="G16" s="31">
        <v>1.6400000000000001E-2</v>
      </c>
      <c r="H16" s="32"/>
    </row>
    <row r="17" spans="2:8" ht="15.75" customHeight="1" x14ac:dyDescent="0.2">
      <c r="B17" s="28" t="s">
        <v>220</v>
      </c>
      <c r="C17" s="28" t="s">
        <v>221</v>
      </c>
      <c r="D17" s="28" t="s">
        <v>173</v>
      </c>
      <c r="E17" s="29">
        <v>208149</v>
      </c>
      <c r="F17" s="30">
        <v>797.84</v>
      </c>
      <c r="G17" s="31">
        <v>1.5699999999999999E-2</v>
      </c>
      <c r="H17" s="32"/>
    </row>
    <row r="18" spans="2:8" ht="15.75" customHeight="1" x14ac:dyDescent="0.2">
      <c r="B18" s="28" t="s">
        <v>458</v>
      </c>
      <c r="C18" s="28" t="s">
        <v>459</v>
      </c>
      <c r="D18" s="28" t="s">
        <v>196</v>
      </c>
      <c r="E18" s="29">
        <v>405253</v>
      </c>
      <c r="F18" s="30">
        <v>795.15</v>
      </c>
      <c r="G18" s="31">
        <v>1.5599999999999999E-2</v>
      </c>
      <c r="H18" s="32"/>
    </row>
    <row r="19" spans="2:8" ht="15.75" customHeight="1" x14ac:dyDescent="0.2">
      <c r="B19" s="28" t="s">
        <v>460</v>
      </c>
      <c r="C19" s="28" t="s">
        <v>461</v>
      </c>
      <c r="D19" s="28" t="s">
        <v>271</v>
      </c>
      <c r="E19" s="29">
        <v>154825</v>
      </c>
      <c r="F19" s="30">
        <v>772.03</v>
      </c>
      <c r="G19" s="31">
        <v>1.52E-2</v>
      </c>
      <c r="H19" s="32"/>
    </row>
    <row r="20" spans="2:8" ht="15.75" customHeight="1" x14ac:dyDescent="0.2">
      <c r="B20" s="28" t="s">
        <v>462</v>
      </c>
      <c r="C20" s="28" t="s">
        <v>463</v>
      </c>
      <c r="D20" s="28" t="s">
        <v>238</v>
      </c>
      <c r="E20" s="29">
        <v>459534</v>
      </c>
      <c r="F20" s="30">
        <v>743.85</v>
      </c>
      <c r="G20" s="31">
        <v>1.46E-2</v>
      </c>
      <c r="H20" s="32"/>
    </row>
    <row r="21" spans="2:8" ht="15.75" customHeight="1" x14ac:dyDescent="0.2">
      <c r="B21" s="28" t="s">
        <v>185</v>
      </c>
      <c r="C21" s="28" t="s">
        <v>186</v>
      </c>
      <c r="D21" s="28" t="s">
        <v>187</v>
      </c>
      <c r="E21" s="29">
        <v>33025</v>
      </c>
      <c r="F21" s="30">
        <v>743.36</v>
      </c>
      <c r="G21" s="31">
        <v>1.46E-2</v>
      </c>
      <c r="H21" s="32"/>
    </row>
    <row r="22" spans="2:8" ht="15.75" customHeight="1" x14ac:dyDescent="0.2">
      <c r="B22" s="28" t="s">
        <v>316</v>
      </c>
      <c r="C22" s="28" t="s">
        <v>317</v>
      </c>
      <c r="D22" s="28" t="s">
        <v>318</v>
      </c>
      <c r="E22" s="29">
        <v>18240</v>
      </c>
      <c r="F22" s="30">
        <v>732.15</v>
      </c>
      <c r="G22" s="31">
        <v>1.44E-2</v>
      </c>
      <c r="H22" s="32"/>
    </row>
    <row r="23" spans="2:8" ht="15.75" customHeight="1" x14ac:dyDescent="0.2">
      <c r="B23" s="28" t="s">
        <v>398</v>
      </c>
      <c r="C23" s="28" t="s">
        <v>399</v>
      </c>
      <c r="D23" s="28" t="s">
        <v>331</v>
      </c>
      <c r="E23" s="29">
        <v>13518</v>
      </c>
      <c r="F23" s="30">
        <v>714.7</v>
      </c>
      <c r="G23" s="31">
        <v>1.4E-2</v>
      </c>
      <c r="H23" s="32"/>
    </row>
    <row r="24" spans="2:8" ht="15.75" customHeight="1" x14ac:dyDescent="0.2">
      <c r="B24" s="28" t="s">
        <v>464</v>
      </c>
      <c r="C24" s="28" t="s">
        <v>465</v>
      </c>
      <c r="D24" s="28" t="s">
        <v>195</v>
      </c>
      <c r="E24" s="29">
        <v>20377</v>
      </c>
      <c r="F24" s="30">
        <v>711.75</v>
      </c>
      <c r="G24" s="31">
        <v>1.4E-2</v>
      </c>
      <c r="H24" s="32"/>
    </row>
    <row r="25" spans="2:8" ht="15.75" customHeight="1" x14ac:dyDescent="0.2">
      <c r="B25" s="28" t="s">
        <v>222</v>
      </c>
      <c r="C25" s="28" t="s">
        <v>223</v>
      </c>
      <c r="D25" s="28" t="s">
        <v>224</v>
      </c>
      <c r="E25" s="29">
        <v>163284</v>
      </c>
      <c r="F25" s="30">
        <v>704.24</v>
      </c>
      <c r="G25" s="31">
        <v>1.38E-2</v>
      </c>
      <c r="H25" s="32"/>
    </row>
    <row r="26" spans="2:8" ht="15.75" customHeight="1" x14ac:dyDescent="0.2">
      <c r="B26" s="28" t="s">
        <v>432</v>
      </c>
      <c r="C26" s="28" t="s">
        <v>433</v>
      </c>
      <c r="D26" s="28" t="s">
        <v>434</v>
      </c>
      <c r="E26" s="29">
        <v>165872</v>
      </c>
      <c r="F26" s="30">
        <v>679.91</v>
      </c>
      <c r="G26" s="31">
        <v>1.34E-2</v>
      </c>
      <c r="H26" s="32"/>
    </row>
    <row r="27" spans="2:8" ht="15.75" customHeight="1" x14ac:dyDescent="0.2">
      <c r="B27" s="28" t="s">
        <v>278</v>
      </c>
      <c r="C27" s="28" t="s">
        <v>279</v>
      </c>
      <c r="D27" s="28" t="s">
        <v>190</v>
      </c>
      <c r="E27" s="29">
        <v>146496</v>
      </c>
      <c r="F27" s="30">
        <v>656.89</v>
      </c>
      <c r="G27" s="31">
        <v>1.29E-2</v>
      </c>
      <c r="H27" s="32"/>
    </row>
    <row r="28" spans="2:8" ht="15.75" customHeight="1" x14ac:dyDescent="0.2">
      <c r="B28" s="28" t="s">
        <v>180</v>
      </c>
      <c r="C28" s="28" t="s">
        <v>181</v>
      </c>
      <c r="D28" s="28" t="s">
        <v>182</v>
      </c>
      <c r="E28" s="29">
        <v>54941</v>
      </c>
      <c r="F28" s="30">
        <v>649.29</v>
      </c>
      <c r="G28" s="31">
        <v>1.2800000000000001E-2</v>
      </c>
      <c r="H28" s="32"/>
    </row>
    <row r="29" spans="2:8" ht="15.75" customHeight="1" x14ac:dyDescent="0.2">
      <c r="B29" s="28" t="s">
        <v>417</v>
      </c>
      <c r="C29" s="28" t="s">
        <v>418</v>
      </c>
      <c r="D29" s="28" t="s">
        <v>182</v>
      </c>
      <c r="E29" s="29">
        <v>27685</v>
      </c>
      <c r="F29" s="30">
        <v>630.29999999999995</v>
      </c>
      <c r="G29" s="31">
        <v>1.24E-2</v>
      </c>
      <c r="H29" s="32"/>
    </row>
    <row r="30" spans="2:8" ht="15.75" customHeight="1" x14ac:dyDescent="0.2">
      <c r="B30" s="28" t="s">
        <v>466</v>
      </c>
      <c r="C30" s="28" t="s">
        <v>467</v>
      </c>
      <c r="D30" s="28" t="s">
        <v>395</v>
      </c>
      <c r="E30" s="29">
        <v>67096</v>
      </c>
      <c r="F30" s="30">
        <v>619.26</v>
      </c>
      <c r="G30" s="31">
        <v>1.2200000000000001E-2</v>
      </c>
      <c r="H30" s="32"/>
    </row>
    <row r="31" spans="2:8" ht="15.75" customHeight="1" x14ac:dyDescent="0.2">
      <c r="B31" s="28" t="s">
        <v>468</v>
      </c>
      <c r="C31" s="28" t="s">
        <v>469</v>
      </c>
      <c r="D31" s="28" t="s">
        <v>470</v>
      </c>
      <c r="E31" s="29">
        <v>371559</v>
      </c>
      <c r="F31" s="30">
        <v>596.61</v>
      </c>
      <c r="G31" s="31">
        <v>1.17E-2</v>
      </c>
      <c r="H31" s="32"/>
    </row>
    <row r="32" spans="2:8" ht="15.75" customHeight="1" x14ac:dyDescent="0.2">
      <c r="B32" s="28" t="s">
        <v>471</v>
      </c>
      <c r="C32" s="28" t="s">
        <v>472</v>
      </c>
      <c r="D32" s="28" t="s">
        <v>179</v>
      </c>
      <c r="E32" s="29">
        <v>23670</v>
      </c>
      <c r="F32" s="30">
        <v>594.97</v>
      </c>
      <c r="G32" s="31">
        <v>1.17E-2</v>
      </c>
      <c r="H32" s="32"/>
    </row>
    <row r="33" spans="2:8" ht="15.75" customHeight="1" x14ac:dyDescent="0.2">
      <c r="B33" s="28" t="s">
        <v>473</v>
      </c>
      <c r="C33" s="28" t="s">
        <v>474</v>
      </c>
      <c r="D33" s="28" t="s">
        <v>243</v>
      </c>
      <c r="E33" s="29">
        <v>132905</v>
      </c>
      <c r="F33" s="30">
        <v>588.97</v>
      </c>
      <c r="G33" s="31">
        <v>1.1599999999999999E-2</v>
      </c>
      <c r="H33" s="32"/>
    </row>
    <row r="34" spans="2:8" ht="15.75" customHeight="1" x14ac:dyDescent="0.2">
      <c r="B34" s="28" t="s">
        <v>475</v>
      </c>
      <c r="C34" s="28" t="s">
        <v>476</v>
      </c>
      <c r="D34" s="28" t="s">
        <v>268</v>
      </c>
      <c r="E34" s="29">
        <v>12874</v>
      </c>
      <c r="F34" s="30">
        <v>574.98</v>
      </c>
      <c r="G34" s="31">
        <v>1.1299999999999999E-2</v>
      </c>
      <c r="H34" s="32"/>
    </row>
    <row r="35" spans="2:8" ht="15.75" customHeight="1" x14ac:dyDescent="0.2">
      <c r="B35" s="28" t="s">
        <v>477</v>
      </c>
      <c r="C35" s="28" t="s">
        <v>478</v>
      </c>
      <c r="D35" s="28" t="s">
        <v>321</v>
      </c>
      <c r="E35" s="29">
        <v>11817</v>
      </c>
      <c r="F35" s="30">
        <v>574.01</v>
      </c>
      <c r="G35" s="31">
        <v>1.1299999999999999E-2</v>
      </c>
      <c r="H35" s="32"/>
    </row>
    <row r="36" spans="2:8" ht="15.75" customHeight="1" x14ac:dyDescent="0.2">
      <c r="B36" s="28" t="s">
        <v>329</v>
      </c>
      <c r="C36" s="28" t="s">
        <v>330</v>
      </c>
      <c r="D36" s="28" t="s">
        <v>331</v>
      </c>
      <c r="E36" s="29">
        <v>4911</v>
      </c>
      <c r="F36" s="30">
        <v>568.99</v>
      </c>
      <c r="G36" s="31">
        <v>1.12E-2</v>
      </c>
      <c r="H36" s="32"/>
    </row>
    <row r="37" spans="2:8" ht="15.75" customHeight="1" x14ac:dyDescent="0.2">
      <c r="B37" s="28" t="s">
        <v>479</v>
      </c>
      <c r="C37" s="28" t="s">
        <v>480</v>
      </c>
      <c r="D37" s="28" t="s">
        <v>431</v>
      </c>
      <c r="E37" s="29">
        <v>19087</v>
      </c>
      <c r="F37" s="30">
        <v>567.16999999999996</v>
      </c>
      <c r="G37" s="31">
        <v>1.11E-2</v>
      </c>
      <c r="H37" s="32"/>
    </row>
    <row r="38" spans="2:8" ht="15.75" customHeight="1" x14ac:dyDescent="0.2">
      <c r="B38" s="28" t="s">
        <v>290</v>
      </c>
      <c r="C38" s="28" t="s">
        <v>291</v>
      </c>
      <c r="D38" s="28" t="s">
        <v>238</v>
      </c>
      <c r="E38" s="29">
        <v>40174</v>
      </c>
      <c r="F38" s="30">
        <v>558.22</v>
      </c>
      <c r="G38" s="31">
        <v>1.0999999999999999E-2</v>
      </c>
      <c r="H38" s="32"/>
    </row>
    <row r="39" spans="2:8" ht="15.75" customHeight="1" x14ac:dyDescent="0.2">
      <c r="B39" s="28" t="s">
        <v>481</v>
      </c>
      <c r="C39" s="28" t="s">
        <v>482</v>
      </c>
      <c r="D39" s="28" t="s">
        <v>483</v>
      </c>
      <c r="E39" s="29">
        <v>108063</v>
      </c>
      <c r="F39" s="30">
        <v>555.12</v>
      </c>
      <c r="G39" s="31">
        <v>1.09E-2</v>
      </c>
      <c r="H39" s="32"/>
    </row>
    <row r="40" spans="2:8" ht="15.75" customHeight="1" x14ac:dyDescent="0.2">
      <c r="B40" s="28" t="s">
        <v>484</v>
      </c>
      <c r="C40" s="28" t="s">
        <v>485</v>
      </c>
      <c r="D40" s="28" t="s">
        <v>268</v>
      </c>
      <c r="E40" s="29">
        <v>51025</v>
      </c>
      <c r="F40" s="30">
        <v>539.46</v>
      </c>
      <c r="G40" s="31">
        <v>1.06E-2</v>
      </c>
      <c r="H40" s="32"/>
    </row>
    <row r="41" spans="2:8" ht="15.75" customHeight="1" x14ac:dyDescent="0.2">
      <c r="B41" s="28" t="s">
        <v>486</v>
      </c>
      <c r="C41" s="28" t="s">
        <v>487</v>
      </c>
      <c r="D41" s="28" t="s">
        <v>179</v>
      </c>
      <c r="E41" s="29">
        <v>12655</v>
      </c>
      <c r="F41" s="30">
        <v>521.99</v>
      </c>
      <c r="G41" s="31">
        <v>1.03E-2</v>
      </c>
      <c r="H41" s="32"/>
    </row>
    <row r="42" spans="2:8" ht="15.75" customHeight="1" x14ac:dyDescent="0.2">
      <c r="B42" s="28" t="s">
        <v>379</v>
      </c>
      <c r="C42" s="28" t="s">
        <v>380</v>
      </c>
      <c r="D42" s="28" t="s">
        <v>331</v>
      </c>
      <c r="E42" s="29">
        <v>18189</v>
      </c>
      <c r="F42" s="30">
        <v>508.29</v>
      </c>
      <c r="G42" s="31">
        <v>0.01</v>
      </c>
      <c r="H42" s="32"/>
    </row>
    <row r="43" spans="2:8" ht="15.75" customHeight="1" x14ac:dyDescent="0.2">
      <c r="B43" s="28" t="s">
        <v>488</v>
      </c>
      <c r="C43" s="28" t="s">
        <v>489</v>
      </c>
      <c r="D43" s="28" t="s">
        <v>490</v>
      </c>
      <c r="E43" s="29">
        <v>44864</v>
      </c>
      <c r="F43" s="30">
        <v>491.62</v>
      </c>
      <c r="G43" s="31">
        <v>9.7000000000000003E-3</v>
      </c>
      <c r="H43" s="32"/>
    </row>
    <row r="44" spans="2:8" ht="15.75" customHeight="1" x14ac:dyDescent="0.2">
      <c r="B44" s="28" t="s">
        <v>343</v>
      </c>
      <c r="C44" s="28" t="s">
        <v>344</v>
      </c>
      <c r="D44" s="28" t="s">
        <v>345</v>
      </c>
      <c r="E44" s="29">
        <v>19026</v>
      </c>
      <c r="F44" s="30">
        <v>479.19</v>
      </c>
      <c r="G44" s="31">
        <v>9.4000000000000004E-3</v>
      </c>
      <c r="H44" s="32"/>
    </row>
    <row r="45" spans="2:8" ht="15.75" customHeight="1" x14ac:dyDescent="0.2">
      <c r="B45" s="28" t="s">
        <v>262</v>
      </c>
      <c r="C45" s="28" t="s">
        <v>263</v>
      </c>
      <c r="D45" s="28" t="s">
        <v>243</v>
      </c>
      <c r="E45" s="29">
        <v>11432</v>
      </c>
      <c r="F45" s="30">
        <v>473.81</v>
      </c>
      <c r="G45" s="31">
        <v>9.2999999999999992E-3</v>
      </c>
      <c r="H45" s="32"/>
    </row>
    <row r="46" spans="2:8" ht="15.75" customHeight="1" x14ac:dyDescent="0.2">
      <c r="B46" s="28" t="s">
        <v>491</v>
      </c>
      <c r="C46" s="28" t="s">
        <v>492</v>
      </c>
      <c r="D46" s="28" t="s">
        <v>271</v>
      </c>
      <c r="E46" s="29">
        <v>29233</v>
      </c>
      <c r="F46" s="30">
        <v>465.68</v>
      </c>
      <c r="G46" s="31">
        <v>9.1999999999999998E-3</v>
      </c>
      <c r="H46" s="32"/>
    </row>
    <row r="47" spans="2:8" ht="15.75" customHeight="1" x14ac:dyDescent="0.2">
      <c r="B47" s="28" t="s">
        <v>493</v>
      </c>
      <c r="C47" s="28" t="s">
        <v>494</v>
      </c>
      <c r="D47" s="28" t="s">
        <v>182</v>
      </c>
      <c r="E47" s="29">
        <v>58905</v>
      </c>
      <c r="F47" s="30">
        <v>447.12</v>
      </c>
      <c r="G47" s="31">
        <v>8.8000000000000005E-3</v>
      </c>
      <c r="H47" s="32"/>
    </row>
    <row r="48" spans="2:8" ht="15.75" customHeight="1" x14ac:dyDescent="0.2">
      <c r="B48" s="28" t="s">
        <v>188</v>
      </c>
      <c r="C48" s="28" t="s">
        <v>189</v>
      </c>
      <c r="D48" s="28" t="s">
        <v>190</v>
      </c>
      <c r="E48" s="29">
        <v>44609</v>
      </c>
      <c r="F48" s="30">
        <v>418.14</v>
      </c>
      <c r="G48" s="31">
        <v>8.2000000000000007E-3</v>
      </c>
      <c r="H48" s="32"/>
    </row>
    <row r="49" spans="2:8" ht="15.75" customHeight="1" x14ac:dyDescent="0.2">
      <c r="B49" s="28" t="s">
        <v>495</v>
      </c>
      <c r="C49" s="28" t="s">
        <v>496</v>
      </c>
      <c r="D49" s="28" t="s">
        <v>190</v>
      </c>
      <c r="E49" s="29">
        <v>10562</v>
      </c>
      <c r="F49" s="30">
        <v>361.66</v>
      </c>
      <c r="G49" s="31">
        <v>7.1000000000000004E-3</v>
      </c>
      <c r="H49" s="32"/>
    </row>
    <row r="50" spans="2:8" ht="15.75" customHeight="1" x14ac:dyDescent="0.2">
      <c r="B50" s="28" t="s">
        <v>227</v>
      </c>
      <c r="C50" s="28" t="s">
        <v>228</v>
      </c>
      <c r="D50" s="28" t="s">
        <v>229</v>
      </c>
      <c r="E50" s="29">
        <v>170815</v>
      </c>
      <c r="F50" s="30">
        <v>361.03</v>
      </c>
      <c r="G50" s="31">
        <v>7.1000000000000004E-3</v>
      </c>
      <c r="H50" s="32"/>
    </row>
    <row r="51" spans="2:8" ht="15.75" customHeight="1" x14ac:dyDescent="0.2">
      <c r="B51" s="28" t="s">
        <v>341</v>
      </c>
      <c r="C51" s="28" t="s">
        <v>342</v>
      </c>
      <c r="D51" s="28" t="s">
        <v>196</v>
      </c>
      <c r="E51" s="29">
        <v>22224</v>
      </c>
      <c r="F51" s="30">
        <v>335.36</v>
      </c>
      <c r="G51" s="31">
        <v>6.6E-3</v>
      </c>
      <c r="H51" s="32"/>
    </row>
    <row r="52" spans="2:8" ht="15.75" customHeight="1" x14ac:dyDescent="0.2">
      <c r="B52" s="28" t="s">
        <v>497</v>
      </c>
      <c r="C52" s="28" t="s">
        <v>498</v>
      </c>
      <c r="D52" s="28" t="s">
        <v>243</v>
      </c>
      <c r="E52" s="29">
        <v>253549</v>
      </c>
      <c r="F52" s="30">
        <v>310.07</v>
      </c>
      <c r="G52" s="31">
        <v>6.1000000000000004E-3</v>
      </c>
      <c r="H52" s="32"/>
    </row>
    <row r="53" spans="2:8" ht="15.75" customHeight="1" x14ac:dyDescent="0.2">
      <c r="B53" s="28" t="s">
        <v>499</v>
      </c>
      <c r="C53" s="28" t="s">
        <v>500</v>
      </c>
      <c r="D53" s="28" t="s">
        <v>318</v>
      </c>
      <c r="E53" s="29">
        <v>79542</v>
      </c>
      <c r="F53" s="30">
        <v>270.2</v>
      </c>
      <c r="G53" s="31">
        <v>5.3E-3</v>
      </c>
      <c r="H53" s="32"/>
    </row>
    <row r="54" spans="2:8" ht="15.75" customHeight="1" x14ac:dyDescent="0.2">
      <c r="B54" s="28" t="s">
        <v>501</v>
      </c>
      <c r="C54" s="28" t="s">
        <v>502</v>
      </c>
      <c r="D54" s="28" t="s">
        <v>179</v>
      </c>
      <c r="E54" s="29">
        <v>207289</v>
      </c>
      <c r="F54" s="30">
        <v>251.25</v>
      </c>
      <c r="G54" s="31">
        <v>4.8999999999999998E-3</v>
      </c>
      <c r="H54" s="32"/>
    </row>
    <row r="55" spans="2:8" ht="15.75" customHeight="1" x14ac:dyDescent="0.2">
      <c r="B55" s="27" t="s">
        <v>129</v>
      </c>
      <c r="C55" s="27"/>
      <c r="D55" s="27"/>
      <c r="E55" s="33"/>
      <c r="F55" s="34">
        <v>34065.29</v>
      </c>
      <c r="G55" s="35">
        <v>0.66959999999999997</v>
      </c>
      <c r="H55" s="36"/>
    </row>
    <row r="56" spans="2:8" ht="15.75" customHeight="1" x14ac:dyDescent="0.2">
      <c r="B56" s="27" t="s">
        <v>197</v>
      </c>
      <c r="C56" s="28"/>
      <c r="D56" s="28"/>
      <c r="E56" s="29"/>
      <c r="F56" s="30"/>
      <c r="G56" s="31"/>
      <c r="H56" s="32"/>
    </row>
    <row r="57" spans="2:8" ht="15.75" customHeight="1" x14ac:dyDescent="0.2">
      <c r="B57" s="27" t="s">
        <v>129</v>
      </c>
      <c r="C57" s="28"/>
      <c r="D57" s="28"/>
      <c r="E57" s="29"/>
      <c r="F57" s="37" t="s">
        <v>131</v>
      </c>
      <c r="G57" s="38" t="s">
        <v>131</v>
      </c>
      <c r="H57" s="32"/>
    </row>
    <row r="58" spans="2:8" ht="15.75" customHeight="1" x14ac:dyDescent="0.2">
      <c r="B58" s="28"/>
      <c r="C58" s="28"/>
      <c r="D58" s="28"/>
      <c r="E58" s="29"/>
      <c r="F58" s="30"/>
      <c r="G58" s="31"/>
      <c r="H58" s="32"/>
    </row>
    <row r="59" spans="2:8" ht="15.75" customHeight="1" x14ac:dyDescent="0.2">
      <c r="B59" s="39" t="s">
        <v>133</v>
      </c>
      <c r="C59" s="39"/>
      <c r="D59" s="39"/>
      <c r="E59" s="40"/>
      <c r="F59" s="34">
        <v>34065.29</v>
      </c>
      <c r="G59" s="35">
        <v>0.66959999999999997</v>
      </c>
      <c r="H59" s="36"/>
    </row>
    <row r="60" spans="2:8" ht="15.75" customHeight="1" x14ac:dyDescent="0.2">
      <c r="B60" s="28"/>
      <c r="C60" s="28"/>
      <c r="D60" s="28"/>
      <c r="E60" s="29"/>
      <c r="F60" s="30"/>
      <c r="G60" s="31"/>
      <c r="H60" s="32"/>
    </row>
    <row r="61" spans="2:8" ht="15.75" customHeight="1" x14ac:dyDescent="0.2">
      <c r="B61" s="27" t="s">
        <v>114</v>
      </c>
      <c r="C61" s="28"/>
      <c r="D61" s="28"/>
      <c r="E61" s="29"/>
      <c r="F61" s="30"/>
      <c r="G61" s="31"/>
      <c r="H61" s="32"/>
    </row>
    <row r="62" spans="2:8" ht="15.75" customHeight="1" x14ac:dyDescent="0.2">
      <c r="B62" s="27" t="s">
        <v>115</v>
      </c>
      <c r="C62" s="28"/>
      <c r="D62" s="28"/>
      <c r="E62" s="29"/>
      <c r="F62" s="30"/>
      <c r="G62" s="31"/>
      <c r="H62" s="32"/>
    </row>
    <row r="63" spans="2:8" ht="15.75" customHeight="1" x14ac:dyDescent="0.2">
      <c r="B63" s="28" t="s">
        <v>158</v>
      </c>
      <c r="C63" s="28" t="s">
        <v>159</v>
      </c>
      <c r="D63" s="28" t="s">
        <v>160</v>
      </c>
      <c r="E63" s="29">
        <v>100</v>
      </c>
      <c r="F63" s="30">
        <v>1087.76</v>
      </c>
      <c r="G63" s="31">
        <v>2.1399999999999999E-2</v>
      </c>
      <c r="H63" s="32">
        <v>7.5899999999999995E-2</v>
      </c>
    </row>
    <row r="64" spans="2:8" ht="15.75" customHeight="1" x14ac:dyDescent="0.2">
      <c r="B64" s="28" t="s">
        <v>156</v>
      </c>
      <c r="C64" s="28" t="s">
        <v>157</v>
      </c>
      <c r="D64" s="28" t="s">
        <v>116</v>
      </c>
      <c r="E64" s="29">
        <v>1098400</v>
      </c>
      <c r="F64" s="30">
        <v>1054.71</v>
      </c>
      <c r="G64" s="31">
        <v>2.07E-2</v>
      </c>
      <c r="H64" s="32">
        <v>7.8259999999999996E-2</v>
      </c>
    </row>
    <row r="65" spans="2:14" ht="15.75" customHeight="1" x14ac:dyDescent="0.2">
      <c r="B65" s="28" t="s">
        <v>503</v>
      </c>
      <c r="C65" s="28" t="s">
        <v>504</v>
      </c>
      <c r="D65" s="28" t="s">
        <v>116</v>
      </c>
      <c r="E65" s="29">
        <v>1000000</v>
      </c>
      <c r="F65" s="30">
        <v>1042.3399999999999</v>
      </c>
      <c r="G65" s="31">
        <v>2.0500000000000001E-2</v>
      </c>
      <c r="H65" s="32">
        <v>7.7495999999999995E-2</v>
      </c>
    </row>
    <row r="66" spans="2:14" ht="15.75" customHeight="1" x14ac:dyDescent="0.2">
      <c r="B66" s="28" t="s">
        <v>505</v>
      </c>
      <c r="C66" s="28" t="s">
        <v>506</v>
      </c>
      <c r="D66" s="28" t="s">
        <v>116</v>
      </c>
      <c r="E66" s="29">
        <v>1000000</v>
      </c>
      <c r="F66" s="30">
        <v>1038.8699999999999</v>
      </c>
      <c r="G66" s="31">
        <v>2.0400000000000001E-2</v>
      </c>
      <c r="H66" s="32">
        <v>7.7737000000000001E-2</v>
      </c>
    </row>
    <row r="67" spans="2:14" ht="15.75" customHeight="1" x14ac:dyDescent="0.2">
      <c r="B67" s="28" t="s">
        <v>117</v>
      </c>
      <c r="C67" s="28" t="s">
        <v>118</v>
      </c>
      <c r="D67" s="28" t="s">
        <v>116</v>
      </c>
      <c r="E67" s="29">
        <v>1000000</v>
      </c>
      <c r="F67" s="30">
        <v>909.63</v>
      </c>
      <c r="G67" s="31">
        <v>1.7899999999999999E-2</v>
      </c>
      <c r="H67" s="32">
        <v>7.8019000000000005E-2</v>
      </c>
    </row>
    <row r="68" spans="2:14" ht="15.75" customHeight="1" x14ac:dyDescent="0.2">
      <c r="B68" s="28" t="s">
        <v>203</v>
      </c>
      <c r="C68" s="28" t="s">
        <v>507</v>
      </c>
      <c r="D68" s="28" t="s">
        <v>116</v>
      </c>
      <c r="E68" s="29">
        <v>1000000</v>
      </c>
      <c r="F68" s="30">
        <v>700.61</v>
      </c>
      <c r="G68" s="31">
        <v>1.38E-2</v>
      </c>
      <c r="H68" s="32">
        <v>7.3351E-2</v>
      </c>
      <c r="J68" s="3"/>
    </row>
    <row r="69" spans="2:14" ht="15.75" customHeight="1" x14ac:dyDescent="0.2">
      <c r="B69" s="28" t="s">
        <v>508</v>
      </c>
      <c r="C69" s="28" t="s">
        <v>509</v>
      </c>
      <c r="D69" s="28" t="s">
        <v>121</v>
      </c>
      <c r="E69" s="29">
        <v>500</v>
      </c>
      <c r="F69" s="30">
        <v>528.58000000000004</v>
      </c>
      <c r="G69" s="31">
        <v>1.04E-2</v>
      </c>
      <c r="H69" s="32">
        <v>7.8600000000000003E-2</v>
      </c>
    </row>
    <row r="70" spans="2:14" ht="15.75" customHeight="1" x14ac:dyDescent="0.2">
      <c r="B70" s="28" t="s">
        <v>210</v>
      </c>
      <c r="C70" s="28" t="s">
        <v>211</v>
      </c>
      <c r="D70" s="28" t="s">
        <v>121</v>
      </c>
      <c r="E70" s="29">
        <v>50</v>
      </c>
      <c r="F70" s="30">
        <v>528.46</v>
      </c>
      <c r="G70" s="31">
        <v>1.04E-2</v>
      </c>
      <c r="H70" s="32">
        <v>7.4399999999999994E-2</v>
      </c>
      <c r="J70" s="3"/>
    </row>
    <row r="71" spans="2:14" ht="15.75" customHeight="1" x14ac:dyDescent="0.2">
      <c r="B71" s="28" t="s">
        <v>163</v>
      </c>
      <c r="C71" s="28" t="s">
        <v>164</v>
      </c>
      <c r="D71" s="28" t="s">
        <v>116</v>
      </c>
      <c r="E71" s="29">
        <v>500000</v>
      </c>
      <c r="F71" s="30">
        <v>525.37</v>
      </c>
      <c r="G71" s="31">
        <v>1.03E-2</v>
      </c>
      <c r="H71" s="32">
        <v>7.2147000000000003E-2</v>
      </c>
      <c r="J71" s="3"/>
    </row>
    <row r="72" spans="2:14" ht="15.75" customHeight="1" x14ac:dyDescent="0.2">
      <c r="B72" s="28" t="s">
        <v>440</v>
      </c>
      <c r="C72" s="28" t="s">
        <v>441</v>
      </c>
      <c r="D72" s="28" t="s">
        <v>116</v>
      </c>
      <c r="E72" s="29">
        <v>500000</v>
      </c>
      <c r="F72" s="30">
        <v>511.3</v>
      </c>
      <c r="G72" s="31">
        <v>1.01E-2</v>
      </c>
      <c r="H72" s="32">
        <v>7.2625999999999996E-2</v>
      </c>
      <c r="J72" s="3"/>
    </row>
    <row r="73" spans="2:14" ht="15.75" customHeight="1" x14ac:dyDescent="0.2">
      <c r="B73" s="28" t="s">
        <v>126</v>
      </c>
      <c r="C73" s="28" t="s">
        <v>510</v>
      </c>
      <c r="D73" s="28" t="s">
        <v>116</v>
      </c>
      <c r="E73" s="29">
        <v>500000</v>
      </c>
      <c r="F73" s="30">
        <v>509.3</v>
      </c>
      <c r="G73" s="31">
        <v>0.01</v>
      </c>
      <c r="H73" s="32">
        <v>7.7832999999999999E-2</v>
      </c>
      <c r="J73" s="3"/>
    </row>
    <row r="74" spans="2:14" ht="15.75" customHeight="1" x14ac:dyDescent="0.2">
      <c r="B74" s="28" t="s">
        <v>122</v>
      </c>
      <c r="C74" s="28" t="s">
        <v>123</v>
      </c>
      <c r="D74" s="28" t="s">
        <v>121</v>
      </c>
      <c r="E74" s="29">
        <v>500</v>
      </c>
      <c r="F74" s="30">
        <v>505.78</v>
      </c>
      <c r="G74" s="31">
        <v>9.9000000000000008E-3</v>
      </c>
      <c r="H74" s="32">
        <v>7.8649999999999998E-2</v>
      </c>
      <c r="J74" s="3"/>
    </row>
    <row r="75" spans="2:14" ht="15.75" customHeight="1" x14ac:dyDescent="0.2">
      <c r="B75" s="28" t="s">
        <v>511</v>
      </c>
      <c r="C75" s="28" t="s">
        <v>512</v>
      </c>
      <c r="D75" s="28" t="s">
        <v>121</v>
      </c>
      <c r="E75" s="29">
        <v>500</v>
      </c>
      <c r="F75" s="30">
        <v>503.17</v>
      </c>
      <c r="G75" s="31">
        <v>9.9000000000000008E-3</v>
      </c>
      <c r="H75" s="32">
        <v>7.4050000000000005E-2</v>
      </c>
      <c r="J75" s="5"/>
      <c r="K75" s="5"/>
      <c r="L75" s="6"/>
      <c r="M75" s="6"/>
      <c r="N75" s="5"/>
    </row>
    <row r="76" spans="2:14" ht="15.75" customHeight="1" x14ac:dyDescent="0.2">
      <c r="B76" s="28" t="s">
        <v>119</v>
      </c>
      <c r="C76" s="28" t="s">
        <v>120</v>
      </c>
      <c r="D76" s="28" t="s">
        <v>116</v>
      </c>
      <c r="E76" s="29">
        <v>500000</v>
      </c>
      <c r="F76" s="30">
        <v>497.06</v>
      </c>
      <c r="G76" s="31">
        <v>9.7999999999999997E-3</v>
      </c>
      <c r="H76" s="32">
        <v>7.7281000000000002E-2</v>
      </c>
    </row>
    <row r="77" spans="2:14" ht="15.75" customHeight="1" x14ac:dyDescent="0.2">
      <c r="B77" s="28" t="s">
        <v>198</v>
      </c>
      <c r="C77" s="28" t="s">
        <v>199</v>
      </c>
      <c r="D77" s="28" t="s">
        <v>116</v>
      </c>
      <c r="E77" s="29">
        <v>150000</v>
      </c>
      <c r="F77" s="30">
        <v>156.29</v>
      </c>
      <c r="G77" s="31">
        <v>3.0999999999999999E-3</v>
      </c>
      <c r="H77" s="32">
        <v>6.0644999999999998E-2</v>
      </c>
    </row>
    <row r="78" spans="2:14" ht="15.75" customHeight="1" x14ac:dyDescent="0.2">
      <c r="B78" s="28" t="s">
        <v>127</v>
      </c>
      <c r="C78" s="28" t="s">
        <v>128</v>
      </c>
      <c r="D78" s="28" t="s">
        <v>116</v>
      </c>
      <c r="E78" s="29">
        <v>100000</v>
      </c>
      <c r="F78" s="30">
        <v>100.85</v>
      </c>
      <c r="G78" s="31">
        <v>2E-3</v>
      </c>
      <c r="H78" s="32">
        <v>7.1556999999999996E-2</v>
      </c>
      <c r="J78" s="7"/>
      <c r="K78" s="7"/>
      <c r="L78" s="7"/>
      <c r="M78" s="7"/>
      <c r="N78" s="7"/>
    </row>
    <row r="79" spans="2:14" ht="15.75" customHeight="1" x14ac:dyDescent="0.2">
      <c r="B79" s="27" t="s">
        <v>129</v>
      </c>
      <c r="C79" s="27"/>
      <c r="D79" s="27"/>
      <c r="E79" s="33"/>
      <c r="F79" s="34">
        <v>10200.08</v>
      </c>
      <c r="G79" s="35">
        <v>0.2006</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130</v>
      </c>
      <c r="C81" s="28"/>
      <c r="D81" s="28"/>
      <c r="E81" s="29"/>
      <c r="F81" s="30"/>
      <c r="G81" s="31"/>
      <c r="H81" s="32"/>
      <c r="J81" s="7"/>
      <c r="K81" s="7"/>
      <c r="L81" s="7"/>
      <c r="M81" s="7"/>
      <c r="N81" s="7"/>
    </row>
    <row r="82" spans="2:14" ht="15.75" customHeight="1" x14ac:dyDescent="0.2">
      <c r="B82" s="27" t="s">
        <v>129</v>
      </c>
      <c r="C82" s="28"/>
      <c r="D82" s="28"/>
      <c r="E82" s="29"/>
      <c r="F82" s="37" t="s">
        <v>131</v>
      </c>
      <c r="G82" s="38" t="s">
        <v>131</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132</v>
      </c>
      <c r="C84" s="28"/>
      <c r="D84" s="28"/>
      <c r="E84" s="29"/>
      <c r="F84" s="30"/>
      <c r="G84" s="31"/>
      <c r="H84" s="32"/>
      <c r="J84" s="7"/>
      <c r="K84" s="7"/>
      <c r="L84" s="7"/>
      <c r="M84" s="7"/>
      <c r="N84" s="7"/>
    </row>
    <row r="85" spans="2:14" ht="15.75" customHeight="1" x14ac:dyDescent="0.2">
      <c r="B85" s="27" t="s">
        <v>129</v>
      </c>
      <c r="C85" s="28"/>
      <c r="D85" s="28"/>
      <c r="E85" s="29"/>
      <c r="F85" s="37" t="s">
        <v>131</v>
      </c>
      <c r="G85" s="38" t="s">
        <v>131</v>
      </c>
      <c r="H85" s="32"/>
    </row>
    <row r="86" spans="2:14" ht="15.75" customHeight="1" x14ac:dyDescent="0.2">
      <c r="B86" s="28"/>
      <c r="C86" s="28"/>
      <c r="D86" s="28"/>
      <c r="E86" s="29"/>
      <c r="F86" s="30"/>
      <c r="G86" s="31"/>
      <c r="H86" s="32"/>
      <c r="J86" s="3"/>
    </row>
    <row r="87" spans="2:14" ht="15.75" customHeight="1" x14ac:dyDescent="0.2">
      <c r="B87" s="39" t="s">
        <v>133</v>
      </c>
      <c r="C87" s="39"/>
      <c r="D87" s="39"/>
      <c r="E87" s="40"/>
      <c r="F87" s="34">
        <v>10200.08</v>
      </c>
      <c r="G87" s="35">
        <v>0.20050000000000001</v>
      </c>
      <c r="H87" s="36"/>
    </row>
    <row r="88" spans="2:14" ht="15.75" customHeight="1" x14ac:dyDescent="0.2">
      <c r="B88" s="28"/>
      <c r="C88" s="28"/>
      <c r="D88" s="28"/>
      <c r="E88" s="29"/>
      <c r="F88" s="30"/>
      <c r="G88" s="31"/>
      <c r="H88" s="32"/>
    </row>
    <row r="89" spans="2:14" ht="15.75" customHeight="1" x14ac:dyDescent="0.2">
      <c r="B89" s="27" t="s">
        <v>134</v>
      </c>
      <c r="C89" s="28"/>
      <c r="D89" s="28"/>
      <c r="E89" s="29"/>
      <c r="F89" s="30"/>
      <c r="G89" s="31"/>
      <c r="H89" s="32"/>
    </row>
    <row r="90" spans="2:14" ht="15.75" customHeight="1" x14ac:dyDescent="0.2">
      <c r="B90" s="28"/>
      <c r="C90" s="28"/>
      <c r="D90" s="28"/>
      <c r="E90" s="29"/>
      <c r="F90" s="30"/>
      <c r="G90" s="31"/>
      <c r="H90" s="32"/>
    </row>
    <row r="91" spans="2:14" ht="15.75" customHeight="1" x14ac:dyDescent="0.2">
      <c r="B91" s="27" t="s">
        <v>135</v>
      </c>
      <c r="C91" s="28"/>
      <c r="D91" s="28"/>
      <c r="E91" s="29"/>
      <c r="F91" s="30"/>
      <c r="G91" s="31"/>
      <c r="H91" s="32"/>
    </row>
    <row r="92" spans="2:14" ht="15.75" customHeight="1" x14ac:dyDescent="0.2">
      <c r="B92" s="28" t="s">
        <v>167</v>
      </c>
      <c r="C92" s="28" t="s">
        <v>168</v>
      </c>
      <c r="D92" s="28" t="s">
        <v>136</v>
      </c>
      <c r="E92" s="29">
        <v>320</v>
      </c>
      <c r="F92" s="30">
        <v>1572.29</v>
      </c>
      <c r="G92" s="31">
        <v>3.09E-2</v>
      </c>
      <c r="H92" s="32">
        <v>6.7001000000000005E-2</v>
      </c>
    </row>
    <row r="93" spans="2:14" ht="15.75" customHeight="1" x14ac:dyDescent="0.2">
      <c r="B93" s="27" t="s">
        <v>129</v>
      </c>
      <c r="C93" s="27"/>
      <c r="D93" s="27"/>
      <c r="E93" s="33"/>
      <c r="F93" s="34">
        <v>1572.29</v>
      </c>
      <c r="G93" s="35">
        <v>3.09E-2</v>
      </c>
      <c r="H93" s="36"/>
    </row>
    <row r="94" spans="2:14" ht="15.75" customHeight="1" x14ac:dyDescent="0.2">
      <c r="B94" s="28"/>
      <c r="C94" s="28"/>
      <c r="D94" s="28"/>
      <c r="E94" s="29"/>
      <c r="F94" s="30"/>
      <c r="G94" s="31"/>
      <c r="H94" s="32"/>
    </row>
    <row r="95" spans="2:14" ht="15.75" customHeight="1" x14ac:dyDescent="0.2">
      <c r="B95" s="39" t="s">
        <v>133</v>
      </c>
      <c r="C95" s="39"/>
      <c r="D95" s="39"/>
      <c r="E95" s="40"/>
      <c r="F95" s="34">
        <v>1572.29</v>
      </c>
      <c r="G95" s="35">
        <v>3.09E-2</v>
      </c>
      <c r="H95" s="36"/>
    </row>
    <row r="96" spans="2:14" ht="15.75" customHeight="1" x14ac:dyDescent="0.2">
      <c r="B96" s="28"/>
      <c r="C96" s="28"/>
      <c r="D96" s="28"/>
      <c r="E96" s="29"/>
      <c r="F96" s="30"/>
      <c r="G96" s="31"/>
      <c r="H96" s="32"/>
    </row>
    <row r="97" spans="2:8" ht="15.75" customHeight="1" x14ac:dyDescent="0.2">
      <c r="B97" s="28"/>
      <c r="C97" s="28"/>
      <c r="D97" s="28"/>
      <c r="E97" s="29"/>
      <c r="F97" s="30"/>
      <c r="G97" s="31"/>
      <c r="H97" s="32"/>
    </row>
    <row r="98" spans="2:8" ht="15.75" customHeight="1" x14ac:dyDescent="0.2">
      <c r="B98" s="27" t="s">
        <v>139</v>
      </c>
      <c r="C98" s="28"/>
      <c r="D98" s="28"/>
      <c r="E98" s="29"/>
      <c r="F98" s="30"/>
      <c r="G98" s="31"/>
      <c r="H98" s="32"/>
    </row>
    <row r="99" spans="2:8" ht="15.75" customHeight="1" x14ac:dyDescent="0.2">
      <c r="B99" s="28" t="s">
        <v>140</v>
      </c>
      <c r="C99" s="28"/>
      <c r="D99" s="28"/>
      <c r="E99" s="29"/>
      <c r="F99" s="30">
        <v>5114.72</v>
      </c>
      <c r="G99" s="31">
        <v>0.10050000000000001</v>
      </c>
      <c r="H99" s="32"/>
    </row>
    <row r="100" spans="2:8" ht="15.75" customHeight="1" x14ac:dyDescent="0.2">
      <c r="B100" s="27" t="s">
        <v>129</v>
      </c>
      <c r="C100" s="27"/>
      <c r="D100" s="27"/>
      <c r="E100" s="33"/>
      <c r="F100" s="34">
        <v>5114.72</v>
      </c>
      <c r="G100" s="35">
        <v>0.10050000000000001</v>
      </c>
      <c r="H100" s="36"/>
    </row>
    <row r="101" spans="2:8" ht="15.75" customHeight="1" x14ac:dyDescent="0.2">
      <c r="B101" s="28"/>
      <c r="C101" s="28"/>
      <c r="D101" s="28"/>
      <c r="E101" s="29"/>
      <c r="F101" s="30"/>
      <c r="G101" s="31"/>
      <c r="H101" s="32"/>
    </row>
    <row r="102" spans="2:8" ht="15.75" customHeight="1" x14ac:dyDescent="0.2">
      <c r="B102" s="39" t="s">
        <v>133</v>
      </c>
      <c r="C102" s="39"/>
      <c r="D102" s="39"/>
      <c r="E102" s="40"/>
      <c r="F102" s="34">
        <v>5114.72</v>
      </c>
      <c r="G102" s="35">
        <v>0.10050000000000001</v>
      </c>
      <c r="H102" s="36"/>
    </row>
    <row r="103" spans="2:8" ht="15.75" customHeight="1" x14ac:dyDescent="0.2">
      <c r="B103" s="28" t="s">
        <v>141</v>
      </c>
      <c r="C103" s="28"/>
      <c r="D103" s="28"/>
      <c r="E103" s="29"/>
      <c r="F103" s="50">
        <v>-77.180000000000007</v>
      </c>
      <c r="G103" s="51">
        <v>-1.5000000000000568E-3</v>
      </c>
      <c r="H103" s="32"/>
    </row>
    <row r="104" spans="2:8" ht="15.75" customHeight="1" x14ac:dyDescent="0.2">
      <c r="B104" s="41" t="s">
        <v>142</v>
      </c>
      <c r="C104" s="41"/>
      <c r="D104" s="41"/>
      <c r="E104" s="42"/>
      <c r="F104" s="43">
        <v>50875.199999999997</v>
      </c>
      <c r="G104" s="44">
        <v>1</v>
      </c>
      <c r="H104" s="45"/>
    </row>
    <row r="105" spans="2:8" ht="15.75" customHeight="1" x14ac:dyDescent="0.2">
      <c r="B105" s="2"/>
    </row>
    <row r="106" spans="2:8" ht="15.75" customHeight="1" x14ac:dyDescent="0.2">
      <c r="B106" s="15" t="s">
        <v>143</v>
      </c>
    </row>
    <row r="107" spans="2:8" ht="15.75" customHeight="1" x14ac:dyDescent="0.2">
      <c r="B107" s="15" t="s">
        <v>144</v>
      </c>
    </row>
    <row r="109" spans="2:8" s="7" customFormat="1" ht="15.6" customHeight="1" x14ac:dyDescent="0.25">
      <c r="B109" s="63" t="s">
        <v>1067</v>
      </c>
      <c r="C109" s="70"/>
      <c r="D109" s="70"/>
      <c r="E109" s="70"/>
      <c r="F109" s="70"/>
      <c r="G109" s="70"/>
      <c r="H109" s="64"/>
    </row>
    <row r="110" spans="2:8" s="7" customFormat="1" ht="15.6" customHeight="1" x14ac:dyDescent="0.25">
      <c r="B110" s="63" t="s">
        <v>1108</v>
      </c>
      <c r="C110" s="70"/>
      <c r="D110" s="70"/>
      <c r="E110" s="70"/>
      <c r="F110" s="70"/>
      <c r="G110" s="70"/>
      <c r="H110" s="64"/>
    </row>
    <row r="111" spans="2:8" s="7" customFormat="1" ht="15.6" customHeight="1" x14ac:dyDescent="0.25">
      <c r="B111" s="63" t="s">
        <v>1068</v>
      </c>
      <c r="C111" s="70"/>
      <c r="D111" s="70"/>
      <c r="E111" s="70"/>
      <c r="F111" s="70"/>
      <c r="G111" s="70"/>
      <c r="H111" s="64"/>
    </row>
    <row r="112" spans="2:8" s="7" customFormat="1" ht="15.6" customHeight="1" x14ac:dyDescent="0.25">
      <c r="B112" s="71"/>
      <c r="C112" s="65">
        <v>46142</v>
      </c>
      <c r="D112" s="65">
        <v>46112</v>
      </c>
      <c r="E112" s="70"/>
      <c r="F112" s="70"/>
      <c r="G112" s="70"/>
      <c r="H112" s="64"/>
    </row>
    <row r="113" spans="2:8" s="7" customFormat="1" ht="15.6" customHeight="1" x14ac:dyDescent="0.25">
      <c r="B113" s="71" t="s">
        <v>1069</v>
      </c>
      <c r="C113" s="66"/>
      <c r="D113" s="66"/>
      <c r="E113" s="70"/>
      <c r="F113" s="70"/>
      <c r="G113" s="70"/>
      <c r="H113" s="64"/>
    </row>
    <row r="114" spans="2:8" s="7" customFormat="1" ht="15.6" customHeight="1" x14ac:dyDescent="0.25">
      <c r="B114" s="71" t="s">
        <v>1070</v>
      </c>
      <c r="C114" s="67">
        <v>192.11710000000002</v>
      </c>
      <c r="D114" s="67">
        <v>177.4461</v>
      </c>
      <c r="E114" s="70"/>
      <c r="F114" s="70"/>
      <c r="G114" s="70"/>
      <c r="H114" s="64"/>
    </row>
    <row r="115" spans="2:8" s="7" customFormat="1" ht="15.6" customHeight="1" x14ac:dyDescent="0.25">
      <c r="B115" s="71" t="s">
        <v>1071</v>
      </c>
      <c r="C115" s="67">
        <v>14.775400000000001</v>
      </c>
      <c r="D115" s="67">
        <v>13.757400000000001</v>
      </c>
      <c r="E115" s="70"/>
      <c r="F115" s="70"/>
      <c r="G115" s="70"/>
      <c r="H115" s="64"/>
    </row>
    <row r="116" spans="2:8" s="7" customFormat="1" ht="15.6" customHeight="1" x14ac:dyDescent="0.25">
      <c r="B116" s="71" t="s">
        <v>1073</v>
      </c>
      <c r="C116" s="67">
        <v>219.96370000000002</v>
      </c>
      <c r="D116" s="67">
        <v>202.98339999999999</v>
      </c>
      <c r="E116" s="70"/>
      <c r="F116" s="70"/>
      <c r="G116" s="70"/>
      <c r="H116" s="64"/>
    </row>
    <row r="117" spans="2:8" s="7" customFormat="1" ht="15.6" customHeight="1" x14ac:dyDescent="0.25">
      <c r="B117" s="71" t="s">
        <v>1074</v>
      </c>
      <c r="C117" s="67">
        <v>21.420500000000001</v>
      </c>
      <c r="D117" s="67">
        <v>19.767399999999999</v>
      </c>
      <c r="E117" s="70"/>
      <c r="F117" s="70"/>
      <c r="G117" s="70"/>
      <c r="H117" s="64"/>
    </row>
    <row r="118" spans="2:8" s="7" customFormat="1" ht="15.6" customHeight="1" x14ac:dyDescent="0.25">
      <c r="B118" s="63" t="s">
        <v>1115</v>
      </c>
      <c r="C118" s="70"/>
      <c r="D118" s="70"/>
      <c r="E118" s="70"/>
      <c r="F118" s="70"/>
      <c r="G118" s="70"/>
      <c r="H118" s="64"/>
    </row>
    <row r="119" spans="2:8" s="7" customFormat="1" ht="15.6" customHeight="1" x14ac:dyDescent="0.25">
      <c r="B119" s="71" t="s">
        <v>1080</v>
      </c>
      <c r="C119" s="66" t="s">
        <v>1081</v>
      </c>
      <c r="D119" s="116" t="s">
        <v>1082</v>
      </c>
      <c r="E119" s="116"/>
      <c r="F119" s="70"/>
      <c r="G119" s="70"/>
      <c r="H119" s="64"/>
    </row>
    <row r="120" spans="2:8" s="7" customFormat="1" ht="15.6" customHeight="1" x14ac:dyDescent="0.25">
      <c r="B120" s="71"/>
      <c r="C120" s="66"/>
      <c r="D120" s="66" t="s">
        <v>1083</v>
      </c>
      <c r="E120" s="66" t="s">
        <v>137</v>
      </c>
      <c r="F120" s="70"/>
      <c r="G120" s="70"/>
      <c r="H120" s="64"/>
    </row>
    <row r="121" spans="2:8" s="7" customFormat="1" ht="15.6" customHeight="1" x14ac:dyDescent="0.25">
      <c r="B121" s="71" t="s">
        <v>1071</v>
      </c>
      <c r="C121" s="73">
        <v>46113</v>
      </c>
      <c r="D121" s="74">
        <v>0.12</v>
      </c>
      <c r="E121" s="74">
        <v>0.12</v>
      </c>
      <c r="F121" s="70"/>
      <c r="G121" s="70"/>
      <c r="H121" s="64"/>
    </row>
    <row r="122" spans="2:8" s="7" customFormat="1" ht="15.6" customHeight="1" x14ac:dyDescent="0.25">
      <c r="B122" s="63" t="s">
        <v>1109</v>
      </c>
      <c r="C122" s="70"/>
      <c r="D122" s="70"/>
      <c r="E122" s="70"/>
      <c r="F122" s="70"/>
      <c r="G122" s="70"/>
      <c r="H122" s="64"/>
    </row>
    <row r="123" spans="2:8" s="7" customFormat="1" ht="15.6" customHeight="1" x14ac:dyDescent="0.25">
      <c r="B123" s="63" t="s">
        <v>1111</v>
      </c>
      <c r="C123" s="70"/>
      <c r="D123" s="70"/>
      <c r="E123" s="70"/>
      <c r="F123" s="70"/>
      <c r="G123" s="70"/>
      <c r="H123" s="64"/>
    </row>
    <row r="124" spans="2:8" s="7" customFormat="1" ht="15.6" customHeight="1" x14ac:dyDescent="0.25">
      <c r="B124" s="63" t="s">
        <v>1112</v>
      </c>
      <c r="C124" s="70"/>
      <c r="D124" s="70"/>
      <c r="E124" s="70"/>
      <c r="F124" s="70"/>
      <c r="G124" s="70"/>
      <c r="H124" s="64"/>
    </row>
    <row r="125" spans="2:8" s="7" customFormat="1" ht="15.6" customHeight="1" x14ac:dyDescent="0.25">
      <c r="B125" s="63" t="s">
        <v>1117</v>
      </c>
      <c r="C125" s="70"/>
      <c r="D125" s="70"/>
      <c r="E125" s="70"/>
      <c r="F125" s="70"/>
      <c r="G125" s="70"/>
      <c r="H125" s="64"/>
    </row>
    <row r="126" spans="2:8" s="7" customFormat="1" ht="15.6" customHeight="1" x14ac:dyDescent="0.25">
      <c r="B126" s="63" t="s">
        <v>1113</v>
      </c>
      <c r="C126" s="70"/>
      <c r="D126" s="70"/>
      <c r="E126" s="70"/>
      <c r="F126" s="70"/>
      <c r="G126" s="70"/>
      <c r="H126" s="64"/>
    </row>
    <row r="127" spans="2:8" s="7" customFormat="1" ht="15.6" customHeight="1" x14ac:dyDescent="0.25">
      <c r="B127" s="68" t="s">
        <v>1076</v>
      </c>
      <c r="C127" s="72"/>
      <c r="D127" s="72"/>
      <c r="E127" s="72"/>
      <c r="F127" s="72"/>
      <c r="G127" s="72"/>
      <c r="H127" s="69"/>
    </row>
    <row r="129" spans="2:5" ht="15.75" customHeight="1" thickBot="1" x14ac:dyDescent="0.25"/>
    <row r="130" spans="2:5" ht="39.75" customHeight="1" thickBot="1" x14ac:dyDescent="0.3">
      <c r="B130" s="46" t="s">
        <v>146</v>
      </c>
      <c r="C130" s="47" t="s">
        <v>147</v>
      </c>
      <c r="D130" s="47" t="s">
        <v>148</v>
      </c>
      <c r="E130"/>
    </row>
    <row r="131" spans="2:5" ht="39.75" customHeight="1" x14ac:dyDescent="0.25">
      <c r="B131" s="52" t="s">
        <v>513</v>
      </c>
      <c r="C131" s="109"/>
      <c r="D131" s="52" t="s">
        <v>514</v>
      </c>
      <c r="E131"/>
    </row>
    <row r="132" spans="2:5" ht="39.75" customHeight="1" x14ac:dyDescent="0.25">
      <c r="B132" s="112" t="s">
        <v>515</v>
      </c>
      <c r="C132" s="110"/>
      <c r="D132" s="114"/>
      <c r="E132"/>
    </row>
    <row r="133" spans="2:5" ht="39.75" customHeight="1" x14ac:dyDescent="0.25">
      <c r="B133" s="112"/>
      <c r="C133" s="110"/>
      <c r="D133" s="114"/>
      <c r="E133"/>
    </row>
    <row r="134" spans="2:5" ht="39.75" customHeight="1" x14ac:dyDescent="0.25">
      <c r="B134" s="112"/>
      <c r="C134" s="110"/>
      <c r="D134" s="114"/>
      <c r="E134"/>
    </row>
    <row r="135" spans="2:5" ht="39.75" customHeight="1" thickBot="1" x14ac:dyDescent="0.3">
      <c r="B135" s="113"/>
      <c r="C135" s="111"/>
      <c r="D135" s="115"/>
      <c r="E135"/>
    </row>
    <row r="136" spans="2:5" ht="15.75" customHeight="1" x14ac:dyDescent="0.2">
      <c r="B136" s="9" t="s">
        <v>149</v>
      </c>
    </row>
    <row r="137" spans="2:5" ht="15.75" customHeight="1" x14ac:dyDescent="0.2">
      <c r="B137" s="9" t="s">
        <v>150</v>
      </c>
    </row>
    <row r="138" spans="2:5" ht="15.75" customHeight="1" x14ac:dyDescent="0.2">
      <c r="B138" s="9" t="s">
        <v>151</v>
      </c>
    </row>
  </sheetData>
  <mergeCells count="4">
    <mergeCell ref="C131:C135"/>
    <mergeCell ref="B132:B135"/>
    <mergeCell ref="D132:D135"/>
    <mergeCell ref="D119:E119"/>
  </mergeCells>
  <hyperlinks>
    <hyperlink ref="G1" location="'Sheet1'!A1" display="Index" xr:uid="{4AA39980-974D-40CE-8ADD-B93904674E4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A11C7-2BA2-4121-86E1-1FF4302C8D12}">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517386</v>
      </c>
      <c r="F7" s="30">
        <v>3992.67</v>
      </c>
      <c r="G7" s="31">
        <v>0.15240000000000001</v>
      </c>
      <c r="H7" s="32"/>
    </row>
    <row r="8" spans="2:8" ht="15.75" customHeight="1" x14ac:dyDescent="0.2">
      <c r="B8" s="28" t="s">
        <v>191</v>
      </c>
      <c r="C8" s="28" t="s">
        <v>192</v>
      </c>
      <c r="D8" s="28" t="s">
        <v>173</v>
      </c>
      <c r="E8" s="29">
        <v>253994</v>
      </c>
      <c r="F8" s="30">
        <v>3208.96</v>
      </c>
      <c r="G8" s="31">
        <v>0.1225</v>
      </c>
      <c r="H8" s="32"/>
    </row>
    <row r="9" spans="2:8" ht="15.75" customHeight="1" x14ac:dyDescent="0.2">
      <c r="B9" s="28" t="s">
        <v>183</v>
      </c>
      <c r="C9" s="28" t="s">
        <v>184</v>
      </c>
      <c r="D9" s="28" t="s">
        <v>173</v>
      </c>
      <c r="E9" s="29">
        <v>169239</v>
      </c>
      <c r="F9" s="30">
        <v>2146.46</v>
      </c>
      <c r="G9" s="31">
        <v>8.1900000000000001E-2</v>
      </c>
      <c r="H9" s="32"/>
    </row>
    <row r="10" spans="2:8" ht="15.75" customHeight="1" x14ac:dyDescent="0.2">
      <c r="B10" s="28" t="s">
        <v>220</v>
      </c>
      <c r="C10" s="28" t="s">
        <v>221</v>
      </c>
      <c r="D10" s="28" t="s">
        <v>173</v>
      </c>
      <c r="E10" s="29">
        <v>519375</v>
      </c>
      <c r="F10" s="30">
        <v>1990.76</v>
      </c>
      <c r="G10" s="31">
        <v>7.5999999999999998E-2</v>
      </c>
      <c r="H10" s="32"/>
    </row>
    <row r="11" spans="2:8" ht="15.75" customHeight="1" x14ac:dyDescent="0.2">
      <c r="B11" s="28" t="s">
        <v>212</v>
      </c>
      <c r="C11" s="28" t="s">
        <v>213</v>
      </c>
      <c r="D11" s="28" t="s">
        <v>173</v>
      </c>
      <c r="E11" s="29">
        <v>139494</v>
      </c>
      <c r="F11" s="30">
        <v>1490.42</v>
      </c>
      <c r="G11" s="31">
        <v>5.6899999999999999E-2</v>
      </c>
      <c r="H11" s="32"/>
    </row>
    <row r="12" spans="2:8" ht="15.75" customHeight="1" x14ac:dyDescent="0.2">
      <c r="B12" s="28" t="s">
        <v>332</v>
      </c>
      <c r="C12" s="28" t="s">
        <v>333</v>
      </c>
      <c r="D12" s="28" t="s">
        <v>190</v>
      </c>
      <c r="E12" s="29">
        <v>392463</v>
      </c>
      <c r="F12" s="30">
        <v>1333.98</v>
      </c>
      <c r="G12" s="31">
        <v>5.0900000000000001E-2</v>
      </c>
      <c r="H12" s="32"/>
    </row>
    <row r="13" spans="2:8" ht="15.75" customHeight="1" x14ac:dyDescent="0.2">
      <c r="B13" s="28" t="s">
        <v>358</v>
      </c>
      <c r="C13" s="28" t="s">
        <v>359</v>
      </c>
      <c r="D13" s="28" t="s">
        <v>190</v>
      </c>
      <c r="E13" s="29">
        <v>115064</v>
      </c>
      <c r="F13" s="30">
        <v>740.9</v>
      </c>
      <c r="G13" s="31">
        <v>2.8299999999999999E-2</v>
      </c>
      <c r="H13" s="32"/>
    </row>
    <row r="14" spans="2:8" ht="15.75" customHeight="1" x14ac:dyDescent="0.2">
      <c r="B14" s="28" t="s">
        <v>366</v>
      </c>
      <c r="C14" s="28" t="s">
        <v>367</v>
      </c>
      <c r="D14" s="28" t="s">
        <v>190</v>
      </c>
      <c r="E14" s="29">
        <v>54394</v>
      </c>
      <c r="F14" s="30">
        <v>707.18</v>
      </c>
      <c r="G14" s="31">
        <v>2.7E-2</v>
      </c>
      <c r="H14" s="32"/>
    </row>
    <row r="15" spans="2:8" ht="15.75" customHeight="1" x14ac:dyDescent="0.2">
      <c r="B15" s="28" t="s">
        <v>225</v>
      </c>
      <c r="C15" s="28" t="s">
        <v>226</v>
      </c>
      <c r="D15" s="28" t="s">
        <v>190</v>
      </c>
      <c r="E15" s="29">
        <v>68264</v>
      </c>
      <c r="F15" s="30">
        <v>639.63</v>
      </c>
      <c r="G15" s="31">
        <v>2.4400000000000002E-2</v>
      </c>
      <c r="H15" s="32"/>
    </row>
    <row r="16" spans="2:8" ht="15.75" customHeight="1" x14ac:dyDescent="0.2">
      <c r="B16" s="28" t="s">
        <v>396</v>
      </c>
      <c r="C16" s="28" t="s">
        <v>397</v>
      </c>
      <c r="D16" s="28" t="s">
        <v>190</v>
      </c>
      <c r="E16" s="29">
        <v>4022</v>
      </c>
      <c r="F16" s="30">
        <v>573.46</v>
      </c>
      <c r="G16" s="31">
        <v>2.1899999999999999E-2</v>
      </c>
      <c r="H16" s="32"/>
    </row>
    <row r="17" spans="2:8" ht="15.75" customHeight="1" x14ac:dyDescent="0.2">
      <c r="B17" s="28" t="s">
        <v>516</v>
      </c>
      <c r="C17" s="28" t="s">
        <v>517</v>
      </c>
      <c r="D17" s="28" t="s">
        <v>190</v>
      </c>
      <c r="E17" s="29">
        <v>124707</v>
      </c>
      <c r="F17" s="30">
        <v>572.34</v>
      </c>
      <c r="G17" s="31">
        <v>2.18E-2</v>
      </c>
      <c r="H17" s="32"/>
    </row>
    <row r="18" spans="2:8" ht="15.75" customHeight="1" x14ac:dyDescent="0.2">
      <c r="B18" s="28" t="s">
        <v>518</v>
      </c>
      <c r="C18" s="28" t="s">
        <v>519</v>
      </c>
      <c r="D18" s="28" t="s">
        <v>431</v>
      </c>
      <c r="E18" s="29">
        <v>69241</v>
      </c>
      <c r="F18" s="30">
        <v>554.1</v>
      </c>
      <c r="G18" s="31">
        <v>2.1100000000000001E-2</v>
      </c>
      <c r="H18" s="32"/>
    </row>
    <row r="19" spans="2:8" ht="15.75" customHeight="1" x14ac:dyDescent="0.2">
      <c r="B19" s="28" t="s">
        <v>520</v>
      </c>
      <c r="C19" s="28" t="s">
        <v>521</v>
      </c>
      <c r="D19" s="28" t="s">
        <v>173</v>
      </c>
      <c r="E19" s="29">
        <v>899542</v>
      </c>
      <c r="F19" s="30">
        <v>511.66</v>
      </c>
      <c r="G19" s="31">
        <v>1.95E-2</v>
      </c>
      <c r="H19" s="32"/>
    </row>
    <row r="20" spans="2:8" ht="15.75" customHeight="1" x14ac:dyDescent="0.2">
      <c r="B20" s="28" t="s">
        <v>425</v>
      </c>
      <c r="C20" s="28" t="s">
        <v>426</v>
      </c>
      <c r="D20" s="28" t="s">
        <v>173</v>
      </c>
      <c r="E20" s="29">
        <v>265883</v>
      </c>
      <c r="F20" s="30">
        <v>496.56</v>
      </c>
      <c r="G20" s="31">
        <v>1.89E-2</v>
      </c>
      <c r="H20" s="32"/>
    </row>
    <row r="21" spans="2:8" ht="15.75" customHeight="1" x14ac:dyDescent="0.2">
      <c r="B21" s="28" t="s">
        <v>278</v>
      </c>
      <c r="C21" s="28" t="s">
        <v>279</v>
      </c>
      <c r="D21" s="28" t="s">
        <v>190</v>
      </c>
      <c r="E21" s="29">
        <v>104515</v>
      </c>
      <c r="F21" s="30">
        <v>468.65</v>
      </c>
      <c r="G21" s="31">
        <v>1.7899999999999999E-2</v>
      </c>
      <c r="H21" s="32"/>
    </row>
    <row r="22" spans="2:8" ht="15.75" customHeight="1" x14ac:dyDescent="0.2">
      <c r="B22" s="28" t="s">
        <v>188</v>
      </c>
      <c r="C22" s="28" t="s">
        <v>189</v>
      </c>
      <c r="D22" s="28" t="s">
        <v>190</v>
      </c>
      <c r="E22" s="29">
        <v>47714</v>
      </c>
      <c r="F22" s="30">
        <v>447.25</v>
      </c>
      <c r="G22" s="31">
        <v>1.7100000000000001E-2</v>
      </c>
      <c r="H22" s="32"/>
    </row>
    <row r="23" spans="2:8" ht="15.75" customHeight="1" x14ac:dyDescent="0.2">
      <c r="B23" s="28" t="s">
        <v>522</v>
      </c>
      <c r="C23" s="28" t="s">
        <v>523</v>
      </c>
      <c r="D23" s="28" t="s">
        <v>190</v>
      </c>
      <c r="E23" s="29">
        <v>90936</v>
      </c>
      <c r="F23" s="30">
        <v>444.31</v>
      </c>
      <c r="G23" s="31">
        <v>1.7000000000000001E-2</v>
      </c>
      <c r="H23" s="32"/>
    </row>
    <row r="24" spans="2:8" ht="15.75" customHeight="1" x14ac:dyDescent="0.2">
      <c r="B24" s="28" t="s">
        <v>429</v>
      </c>
      <c r="C24" s="28" t="s">
        <v>430</v>
      </c>
      <c r="D24" s="28" t="s">
        <v>431</v>
      </c>
      <c r="E24" s="29">
        <v>41302</v>
      </c>
      <c r="F24" s="30">
        <v>427.33</v>
      </c>
      <c r="G24" s="31">
        <v>1.6299999999999999E-2</v>
      </c>
      <c r="H24" s="32"/>
    </row>
    <row r="25" spans="2:8" ht="15.75" customHeight="1" x14ac:dyDescent="0.2">
      <c r="B25" s="28" t="s">
        <v>400</v>
      </c>
      <c r="C25" s="28" t="s">
        <v>401</v>
      </c>
      <c r="D25" s="28" t="s">
        <v>190</v>
      </c>
      <c r="E25" s="29">
        <v>9198</v>
      </c>
      <c r="F25" s="30">
        <v>394.47</v>
      </c>
      <c r="G25" s="31">
        <v>1.5100000000000001E-2</v>
      </c>
      <c r="H25" s="32"/>
    </row>
    <row r="26" spans="2:8" ht="15.75" customHeight="1" x14ac:dyDescent="0.2">
      <c r="B26" s="28" t="s">
        <v>524</v>
      </c>
      <c r="C26" s="28" t="s">
        <v>525</v>
      </c>
      <c r="D26" s="28" t="s">
        <v>431</v>
      </c>
      <c r="E26" s="29">
        <v>53005</v>
      </c>
      <c r="F26" s="30">
        <v>391.49</v>
      </c>
      <c r="G26" s="31">
        <v>1.49E-2</v>
      </c>
      <c r="H26" s="32"/>
    </row>
    <row r="27" spans="2:8" ht="15.75" customHeight="1" x14ac:dyDescent="0.2">
      <c r="B27" s="28" t="s">
        <v>479</v>
      </c>
      <c r="C27" s="28" t="s">
        <v>480</v>
      </c>
      <c r="D27" s="28" t="s">
        <v>431</v>
      </c>
      <c r="E27" s="29">
        <v>12158</v>
      </c>
      <c r="F27" s="30">
        <v>361.27</v>
      </c>
      <c r="G27" s="31">
        <v>1.38E-2</v>
      </c>
      <c r="H27" s="32"/>
    </row>
    <row r="28" spans="2:8" ht="15.75" customHeight="1" x14ac:dyDescent="0.2">
      <c r="B28" s="28" t="s">
        <v>488</v>
      </c>
      <c r="C28" s="28" t="s">
        <v>489</v>
      </c>
      <c r="D28" s="28" t="s">
        <v>490</v>
      </c>
      <c r="E28" s="29">
        <v>29552</v>
      </c>
      <c r="F28" s="30">
        <v>323.83</v>
      </c>
      <c r="G28" s="31">
        <v>1.24E-2</v>
      </c>
      <c r="H28" s="32"/>
    </row>
    <row r="29" spans="2:8" ht="15.75" customHeight="1" x14ac:dyDescent="0.2">
      <c r="B29" s="28" t="s">
        <v>526</v>
      </c>
      <c r="C29" s="28" t="s">
        <v>527</v>
      </c>
      <c r="D29" s="28" t="s">
        <v>173</v>
      </c>
      <c r="E29" s="29">
        <v>76652</v>
      </c>
      <c r="F29" s="30">
        <v>292.77</v>
      </c>
      <c r="G29" s="31">
        <v>1.12E-2</v>
      </c>
      <c r="H29" s="32"/>
    </row>
    <row r="30" spans="2:8" ht="15.75" customHeight="1" x14ac:dyDescent="0.2">
      <c r="B30" s="28" t="s">
        <v>528</v>
      </c>
      <c r="C30" s="28" t="s">
        <v>529</v>
      </c>
      <c r="D30" s="28" t="s">
        <v>431</v>
      </c>
      <c r="E30" s="29">
        <v>28642</v>
      </c>
      <c r="F30" s="30">
        <v>289.27</v>
      </c>
      <c r="G30" s="31">
        <v>1.0999999999999999E-2</v>
      </c>
      <c r="H30" s="32"/>
    </row>
    <row r="31" spans="2:8" ht="15.75" customHeight="1" x14ac:dyDescent="0.2">
      <c r="B31" s="28" t="s">
        <v>423</v>
      </c>
      <c r="C31" s="28" t="s">
        <v>424</v>
      </c>
      <c r="D31" s="28" t="s">
        <v>173</v>
      </c>
      <c r="E31" s="29">
        <v>93681</v>
      </c>
      <c r="F31" s="30">
        <v>274.95</v>
      </c>
      <c r="G31" s="31">
        <v>1.0500000000000001E-2</v>
      </c>
      <c r="H31" s="32"/>
    </row>
    <row r="32" spans="2:8" ht="15.75" customHeight="1" x14ac:dyDescent="0.2">
      <c r="B32" s="28" t="s">
        <v>530</v>
      </c>
      <c r="C32" s="28" t="s">
        <v>531</v>
      </c>
      <c r="D32" s="28" t="s">
        <v>190</v>
      </c>
      <c r="E32" s="29">
        <v>52430</v>
      </c>
      <c r="F32" s="30">
        <v>251.43</v>
      </c>
      <c r="G32" s="31">
        <v>9.5999999999999992E-3</v>
      </c>
      <c r="H32" s="32"/>
    </row>
    <row r="33" spans="2:8" ht="15.75" customHeight="1" x14ac:dyDescent="0.2">
      <c r="B33" s="28" t="s">
        <v>372</v>
      </c>
      <c r="C33" s="28" t="s">
        <v>373</v>
      </c>
      <c r="D33" s="28" t="s">
        <v>190</v>
      </c>
      <c r="E33" s="29">
        <v>71846</v>
      </c>
      <c r="F33" s="30">
        <v>248.23</v>
      </c>
      <c r="G33" s="31">
        <v>9.4999999999999998E-3</v>
      </c>
      <c r="H33" s="32"/>
    </row>
    <row r="34" spans="2:8" ht="15.75" customHeight="1" x14ac:dyDescent="0.2">
      <c r="B34" s="28" t="s">
        <v>532</v>
      </c>
      <c r="C34" s="28" t="s">
        <v>533</v>
      </c>
      <c r="D34" s="28" t="s">
        <v>190</v>
      </c>
      <c r="E34" s="29">
        <v>269527</v>
      </c>
      <c r="F34" s="30">
        <v>234.97</v>
      </c>
      <c r="G34" s="31">
        <v>8.9999999999999993E-3</v>
      </c>
      <c r="H34" s="32"/>
    </row>
    <row r="35" spans="2:8" ht="15.75" customHeight="1" x14ac:dyDescent="0.2">
      <c r="B35" s="28" t="s">
        <v>534</v>
      </c>
      <c r="C35" s="28" t="s">
        <v>535</v>
      </c>
      <c r="D35" s="28" t="s">
        <v>190</v>
      </c>
      <c r="E35" s="29">
        <v>33187</v>
      </c>
      <c r="F35" s="30">
        <v>217.91</v>
      </c>
      <c r="G35" s="31">
        <v>8.3000000000000001E-3</v>
      </c>
      <c r="H35" s="32"/>
    </row>
    <row r="36" spans="2:8" ht="15.75" customHeight="1" x14ac:dyDescent="0.2">
      <c r="B36" s="28" t="s">
        <v>536</v>
      </c>
      <c r="C36" s="28" t="s">
        <v>537</v>
      </c>
      <c r="D36" s="28" t="s">
        <v>490</v>
      </c>
      <c r="E36" s="29">
        <v>9070</v>
      </c>
      <c r="F36" s="30">
        <v>151.12</v>
      </c>
      <c r="G36" s="31">
        <v>5.7999999999999996E-3</v>
      </c>
      <c r="H36" s="32"/>
    </row>
    <row r="37" spans="2:8" ht="15.75" customHeight="1" x14ac:dyDescent="0.2">
      <c r="B37" s="28" t="s">
        <v>275</v>
      </c>
      <c r="C37" s="28" t="s">
        <v>276</v>
      </c>
      <c r="D37" s="28" t="s">
        <v>277</v>
      </c>
      <c r="E37" s="29">
        <v>8090</v>
      </c>
      <c r="F37" s="30">
        <v>128.28</v>
      </c>
      <c r="G37" s="31">
        <v>4.8999999999999998E-3</v>
      </c>
      <c r="H37" s="32"/>
    </row>
    <row r="38" spans="2:8" ht="15.75" customHeight="1" x14ac:dyDescent="0.2">
      <c r="B38" s="28" t="s">
        <v>283</v>
      </c>
      <c r="C38" s="28" t="s">
        <v>284</v>
      </c>
      <c r="D38" s="28" t="s">
        <v>277</v>
      </c>
      <c r="E38" s="29">
        <v>21614</v>
      </c>
      <c r="F38" s="30">
        <v>126.85</v>
      </c>
      <c r="G38" s="31">
        <v>4.7999999999999996E-3</v>
      </c>
      <c r="H38" s="32"/>
    </row>
    <row r="39" spans="2:8" ht="15.75" customHeight="1" x14ac:dyDescent="0.2">
      <c r="B39" s="28" t="s">
        <v>538</v>
      </c>
      <c r="C39" s="28" t="s">
        <v>539</v>
      </c>
      <c r="D39" s="28" t="s">
        <v>277</v>
      </c>
      <c r="E39" s="29">
        <v>6567</v>
      </c>
      <c r="F39" s="30">
        <v>119.45</v>
      </c>
      <c r="G39" s="31">
        <v>4.5999999999999999E-3</v>
      </c>
      <c r="H39" s="32"/>
    </row>
    <row r="40" spans="2:8" ht="15.75" customHeight="1" x14ac:dyDescent="0.2">
      <c r="B40" s="28" t="s">
        <v>540</v>
      </c>
      <c r="C40" s="28" t="s">
        <v>541</v>
      </c>
      <c r="D40" s="28" t="s">
        <v>173</v>
      </c>
      <c r="E40" s="29">
        <v>7404</v>
      </c>
      <c r="F40" s="30">
        <v>75.22</v>
      </c>
      <c r="G40" s="31">
        <v>2.8999999999999998E-3</v>
      </c>
      <c r="H40" s="32"/>
    </row>
    <row r="41" spans="2:8" ht="15.75" customHeight="1" x14ac:dyDescent="0.2">
      <c r="B41" s="28" t="s">
        <v>542</v>
      </c>
      <c r="C41" s="28" t="s">
        <v>543</v>
      </c>
      <c r="D41" s="28" t="s">
        <v>431</v>
      </c>
      <c r="E41" s="29">
        <v>7380</v>
      </c>
      <c r="F41" s="30">
        <v>66.099999999999994</v>
      </c>
      <c r="G41" s="31">
        <v>2.5000000000000001E-3</v>
      </c>
      <c r="H41" s="32"/>
    </row>
    <row r="42" spans="2:8" ht="15.75" customHeight="1" x14ac:dyDescent="0.2">
      <c r="B42" s="28" t="s">
        <v>544</v>
      </c>
      <c r="C42" s="28" t="s">
        <v>545</v>
      </c>
      <c r="D42" s="28" t="s">
        <v>431</v>
      </c>
      <c r="E42" s="29">
        <v>5826</v>
      </c>
      <c r="F42" s="30">
        <v>59.15</v>
      </c>
      <c r="G42" s="31">
        <v>2.3E-3</v>
      </c>
      <c r="H42" s="32"/>
    </row>
    <row r="43" spans="2:8" ht="15.75" customHeight="1" x14ac:dyDescent="0.2">
      <c r="B43" s="27" t="s">
        <v>129</v>
      </c>
      <c r="C43" s="27"/>
      <c r="D43" s="27"/>
      <c r="E43" s="33"/>
      <c r="F43" s="34">
        <v>24753.38</v>
      </c>
      <c r="G43" s="35">
        <v>0.9446</v>
      </c>
      <c r="H43" s="36"/>
    </row>
    <row r="44" spans="2:8" ht="15.75" customHeight="1" x14ac:dyDescent="0.2">
      <c r="B44" s="27" t="s">
        <v>197</v>
      </c>
      <c r="C44" s="28"/>
      <c r="D44" s="28"/>
      <c r="E44" s="29"/>
      <c r="F44" s="30"/>
      <c r="G44" s="31"/>
      <c r="H44" s="32"/>
    </row>
    <row r="45" spans="2:8" ht="15.75" customHeight="1" x14ac:dyDescent="0.2">
      <c r="B45" s="27" t="s">
        <v>129</v>
      </c>
      <c r="C45" s="28"/>
      <c r="D45" s="28"/>
      <c r="E45" s="29"/>
      <c r="F45" s="37" t="s">
        <v>131</v>
      </c>
      <c r="G45" s="38" t="s">
        <v>131</v>
      </c>
      <c r="H45" s="32"/>
    </row>
    <row r="46" spans="2:8" ht="15.75" customHeight="1" x14ac:dyDescent="0.2">
      <c r="B46" s="28"/>
      <c r="C46" s="28"/>
      <c r="D46" s="28"/>
      <c r="E46" s="29"/>
      <c r="F46" s="30"/>
      <c r="G46" s="31"/>
      <c r="H46" s="32"/>
    </row>
    <row r="47" spans="2:8" ht="15.75" customHeight="1" x14ac:dyDescent="0.2">
      <c r="B47" s="39" t="s">
        <v>133</v>
      </c>
      <c r="C47" s="39"/>
      <c r="D47" s="39"/>
      <c r="E47" s="40"/>
      <c r="F47" s="34">
        <v>24753.38</v>
      </c>
      <c r="G47" s="35">
        <v>0.9446</v>
      </c>
      <c r="H47" s="36"/>
    </row>
    <row r="48" spans="2:8" ht="15.75" customHeight="1" x14ac:dyDescent="0.2">
      <c r="B48" s="28"/>
      <c r="C48" s="28"/>
      <c r="D48" s="28"/>
      <c r="E48" s="29"/>
      <c r="F48" s="30"/>
      <c r="G48" s="31"/>
      <c r="H48" s="32"/>
    </row>
    <row r="49" spans="2:8" ht="15.75" customHeight="1" x14ac:dyDescent="0.2">
      <c r="B49" s="28"/>
      <c r="C49" s="28"/>
      <c r="D49" s="28"/>
      <c r="E49" s="29"/>
      <c r="F49" s="30"/>
      <c r="G49" s="31"/>
      <c r="H49" s="32"/>
    </row>
    <row r="50" spans="2:8" ht="15.75" customHeight="1" x14ac:dyDescent="0.2">
      <c r="B50" s="27" t="s">
        <v>139</v>
      </c>
      <c r="C50" s="28"/>
      <c r="D50" s="28"/>
      <c r="E50" s="29"/>
      <c r="F50" s="30"/>
      <c r="G50" s="31"/>
      <c r="H50" s="32"/>
    </row>
    <row r="51" spans="2:8" ht="15.75" customHeight="1" x14ac:dyDescent="0.2">
      <c r="B51" s="28" t="s">
        <v>140</v>
      </c>
      <c r="C51" s="28"/>
      <c r="D51" s="28"/>
      <c r="E51" s="29"/>
      <c r="F51" s="30">
        <v>1492.41</v>
      </c>
      <c r="G51" s="31">
        <v>5.7000000000000002E-2</v>
      </c>
      <c r="H51" s="32"/>
    </row>
    <row r="52" spans="2:8" ht="15.75" customHeight="1" x14ac:dyDescent="0.2">
      <c r="B52" s="27" t="s">
        <v>129</v>
      </c>
      <c r="C52" s="27"/>
      <c r="D52" s="27"/>
      <c r="E52" s="33"/>
      <c r="F52" s="34">
        <v>1492.41</v>
      </c>
      <c r="G52" s="35">
        <v>5.7000000000000002E-2</v>
      </c>
      <c r="H52" s="36"/>
    </row>
    <row r="53" spans="2:8" ht="15.75" customHeight="1" x14ac:dyDescent="0.2">
      <c r="B53" s="28"/>
      <c r="C53" s="28"/>
      <c r="D53" s="28"/>
      <c r="E53" s="29"/>
      <c r="F53" s="30"/>
      <c r="G53" s="31"/>
      <c r="H53" s="32"/>
    </row>
    <row r="54" spans="2:8" ht="15.75" customHeight="1" x14ac:dyDescent="0.2">
      <c r="B54" s="39" t="s">
        <v>133</v>
      </c>
      <c r="C54" s="39"/>
      <c r="D54" s="39"/>
      <c r="E54" s="40"/>
      <c r="F54" s="34">
        <v>1492.41</v>
      </c>
      <c r="G54" s="35">
        <v>5.7000000000000002E-2</v>
      </c>
      <c r="H54" s="36"/>
    </row>
    <row r="55" spans="2:8" ht="15.75" customHeight="1" x14ac:dyDescent="0.2">
      <c r="B55" s="28" t="s">
        <v>141</v>
      </c>
      <c r="C55" s="28"/>
      <c r="D55" s="28"/>
      <c r="E55" s="29"/>
      <c r="F55" s="50">
        <v>-40.46</v>
      </c>
      <c r="G55" s="51">
        <v>-1.6000000000000458E-3</v>
      </c>
      <c r="H55" s="32"/>
    </row>
    <row r="56" spans="2:8" ht="15.75" customHeight="1" x14ac:dyDescent="0.2">
      <c r="B56" s="41" t="s">
        <v>142</v>
      </c>
      <c r="C56" s="41"/>
      <c r="D56" s="41"/>
      <c r="E56" s="42"/>
      <c r="F56" s="43">
        <v>26205.33</v>
      </c>
      <c r="G56" s="44">
        <v>1</v>
      </c>
      <c r="H56" s="45"/>
    </row>
    <row r="57" spans="2:8" ht="15.75" customHeight="1" x14ac:dyDescent="0.2">
      <c r="B57" s="2"/>
    </row>
    <row r="58" spans="2:8" s="7" customFormat="1" ht="15.6" customHeight="1" x14ac:dyDescent="0.25">
      <c r="B58" s="63" t="s">
        <v>1067</v>
      </c>
      <c r="C58" s="70"/>
      <c r="D58" s="70"/>
      <c r="E58" s="70"/>
      <c r="F58" s="70"/>
      <c r="G58" s="70"/>
      <c r="H58" s="64"/>
    </row>
    <row r="59" spans="2:8" s="7" customFormat="1" ht="15.6" customHeight="1" x14ac:dyDescent="0.25">
      <c r="B59" s="63" t="s">
        <v>1108</v>
      </c>
      <c r="C59" s="70"/>
      <c r="D59" s="70"/>
      <c r="E59" s="70"/>
      <c r="F59" s="70"/>
      <c r="G59" s="70"/>
      <c r="H59" s="64"/>
    </row>
    <row r="60" spans="2:8" s="7" customFormat="1" ht="15.6" customHeight="1" x14ac:dyDescent="0.25">
      <c r="B60" s="63" t="s">
        <v>1068</v>
      </c>
      <c r="C60" s="70"/>
      <c r="D60" s="70"/>
      <c r="E60" s="70"/>
      <c r="F60" s="70"/>
      <c r="G60" s="70"/>
      <c r="H60" s="64"/>
    </row>
    <row r="61" spans="2:8" s="7" customFormat="1" ht="15.6" customHeight="1" x14ac:dyDescent="0.25">
      <c r="B61" s="71"/>
      <c r="C61" s="65">
        <v>46142</v>
      </c>
      <c r="D61" s="65">
        <v>46112</v>
      </c>
      <c r="E61" s="70"/>
      <c r="F61" s="70"/>
      <c r="G61" s="70"/>
      <c r="H61" s="64"/>
    </row>
    <row r="62" spans="2:8" s="7" customFormat="1" ht="15.6" customHeight="1" x14ac:dyDescent="0.25">
      <c r="B62" s="71" t="s">
        <v>1069</v>
      </c>
      <c r="C62" s="66"/>
      <c r="D62" s="66"/>
      <c r="E62" s="70"/>
      <c r="F62" s="70"/>
      <c r="G62" s="70"/>
      <c r="H62" s="64"/>
    </row>
    <row r="63" spans="2:8" s="7" customFormat="1" ht="15.6" customHeight="1" x14ac:dyDescent="0.25">
      <c r="B63" s="71" t="s">
        <v>1070</v>
      </c>
      <c r="C63" s="67">
        <v>20.797399999999996</v>
      </c>
      <c r="D63" s="67">
        <v>19.040400000000002</v>
      </c>
      <c r="E63" s="70"/>
      <c r="F63" s="70"/>
      <c r="G63" s="70"/>
      <c r="H63" s="64"/>
    </row>
    <row r="64" spans="2:8" s="7" customFormat="1" ht="15.6" customHeight="1" x14ac:dyDescent="0.25">
      <c r="B64" s="71" t="s">
        <v>1071</v>
      </c>
      <c r="C64" s="67">
        <v>20.793699999999998</v>
      </c>
      <c r="D64" s="67">
        <v>19.036999999999999</v>
      </c>
      <c r="E64" s="70"/>
      <c r="F64" s="70"/>
      <c r="G64" s="70"/>
      <c r="H64" s="64"/>
    </row>
    <row r="65" spans="2:8" s="7" customFormat="1" ht="15.6" customHeight="1" x14ac:dyDescent="0.25">
      <c r="B65" s="71" t="s">
        <v>1073</v>
      </c>
      <c r="C65" s="67">
        <v>23.7089</v>
      </c>
      <c r="D65" s="67">
        <v>21.683700000000002</v>
      </c>
      <c r="E65" s="70"/>
      <c r="F65" s="70"/>
      <c r="G65" s="70"/>
      <c r="H65" s="64"/>
    </row>
    <row r="66" spans="2:8" s="7" customFormat="1" ht="15.6" customHeight="1" x14ac:dyDescent="0.25">
      <c r="B66" s="71" t="s">
        <v>1074</v>
      </c>
      <c r="C66" s="67">
        <v>23.545000000000002</v>
      </c>
      <c r="D66" s="67">
        <v>21.534500000000001</v>
      </c>
      <c r="E66" s="70"/>
      <c r="F66" s="70"/>
      <c r="G66" s="70"/>
      <c r="H66" s="64"/>
    </row>
    <row r="67" spans="2:8" s="7" customFormat="1" ht="15.6" customHeight="1" x14ac:dyDescent="0.25">
      <c r="B67" s="63" t="s">
        <v>1116</v>
      </c>
      <c r="C67" s="70"/>
      <c r="D67" s="70"/>
      <c r="E67" s="70"/>
      <c r="F67" s="70"/>
      <c r="G67" s="70"/>
      <c r="H67" s="64"/>
    </row>
    <row r="68" spans="2:8" s="7" customFormat="1" ht="15.6" customHeight="1" x14ac:dyDescent="0.25">
      <c r="B68" s="63" t="s">
        <v>1109</v>
      </c>
      <c r="C68" s="70"/>
      <c r="D68" s="70"/>
      <c r="E68" s="70"/>
      <c r="F68" s="70"/>
      <c r="G68" s="70"/>
      <c r="H68" s="64"/>
    </row>
    <row r="69" spans="2:8" s="7" customFormat="1" ht="15.6" customHeight="1" x14ac:dyDescent="0.25">
      <c r="B69" s="63" t="s">
        <v>1111</v>
      </c>
      <c r="C69" s="70"/>
      <c r="D69" s="70"/>
      <c r="E69" s="70"/>
      <c r="F69" s="70"/>
      <c r="G69" s="70"/>
      <c r="H69" s="64"/>
    </row>
    <row r="70" spans="2:8" s="7" customFormat="1" ht="15.6" customHeight="1" x14ac:dyDescent="0.25">
      <c r="B70" s="63" t="s">
        <v>1112</v>
      </c>
      <c r="C70" s="70"/>
      <c r="D70" s="70"/>
      <c r="E70" s="70"/>
      <c r="F70" s="70"/>
      <c r="G70" s="70"/>
      <c r="H70" s="64"/>
    </row>
    <row r="71" spans="2:8" s="7" customFormat="1" ht="15.6" customHeight="1" x14ac:dyDescent="0.25">
      <c r="B71" s="63" t="s">
        <v>1118</v>
      </c>
      <c r="C71" s="70"/>
      <c r="D71" s="70"/>
      <c r="E71" s="70"/>
      <c r="F71" s="70"/>
      <c r="G71" s="70"/>
      <c r="H71" s="64"/>
    </row>
    <row r="72" spans="2:8" s="7" customFormat="1" ht="15.6" customHeight="1" x14ac:dyDescent="0.25">
      <c r="B72" s="63" t="s">
        <v>1113</v>
      </c>
      <c r="C72" s="70"/>
      <c r="D72" s="70"/>
      <c r="E72" s="70"/>
      <c r="F72" s="70"/>
      <c r="G72" s="70"/>
      <c r="H72" s="64"/>
    </row>
    <row r="73" spans="2:8" s="7" customFormat="1" ht="15.6" customHeight="1" x14ac:dyDescent="0.25">
      <c r="B73" s="68" t="s">
        <v>1076</v>
      </c>
      <c r="C73" s="72"/>
      <c r="D73" s="72"/>
      <c r="E73" s="72"/>
      <c r="F73" s="72"/>
      <c r="G73" s="72"/>
      <c r="H73" s="69"/>
    </row>
    <row r="74" spans="2:8" ht="15.75" customHeight="1" thickBot="1" x14ac:dyDescent="0.25"/>
    <row r="75" spans="2:8" ht="39.75" customHeight="1" thickBot="1" x14ac:dyDescent="0.3">
      <c r="B75" s="46" t="s">
        <v>146</v>
      </c>
      <c r="C75" s="47" t="s">
        <v>147</v>
      </c>
      <c r="D75" s="47" t="s">
        <v>148</v>
      </c>
      <c r="E75"/>
    </row>
    <row r="76" spans="2:8" ht="39.75" customHeight="1" x14ac:dyDescent="0.25">
      <c r="B76" s="52" t="s">
        <v>546</v>
      </c>
      <c r="C76" s="109"/>
      <c r="D76" s="52" t="s">
        <v>547</v>
      </c>
      <c r="E76"/>
    </row>
    <row r="77" spans="2:8" ht="39.75" customHeight="1" x14ac:dyDescent="0.25">
      <c r="B77" s="112" t="s">
        <v>548</v>
      </c>
      <c r="C77" s="110"/>
      <c r="D77" s="114"/>
      <c r="E77"/>
    </row>
    <row r="78" spans="2:8" ht="39.75" customHeight="1" x14ac:dyDescent="0.25">
      <c r="B78" s="112"/>
      <c r="C78" s="110"/>
      <c r="D78" s="114"/>
      <c r="E78"/>
    </row>
    <row r="79" spans="2:8" ht="39.75" customHeight="1" x14ac:dyDescent="0.25">
      <c r="B79" s="112"/>
      <c r="C79" s="110"/>
      <c r="D79" s="114"/>
      <c r="E79"/>
    </row>
    <row r="80" spans="2:8" ht="39.75" customHeight="1" thickBot="1" x14ac:dyDescent="0.3">
      <c r="B80" s="113"/>
      <c r="C80" s="111"/>
      <c r="D80" s="117"/>
      <c r="E80"/>
    </row>
    <row r="81" spans="2:14" ht="15.75" customHeight="1" x14ac:dyDescent="0.2">
      <c r="B81" s="9" t="s">
        <v>149</v>
      </c>
    </row>
    <row r="82" spans="2:14" ht="15.75" customHeight="1" x14ac:dyDescent="0.2">
      <c r="B82" s="9" t="s">
        <v>150</v>
      </c>
      <c r="J82" s="3"/>
    </row>
    <row r="83" spans="2:14" ht="15.75" customHeight="1" x14ac:dyDescent="0.2">
      <c r="B83" s="9" t="s">
        <v>151</v>
      </c>
    </row>
    <row r="84" spans="2:14" ht="15.75" customHeight="1" x14ac:dyDescent="0.2">
      <c r="J84" s="3"/>
    </row>
    <row r="85" spans="2:14" ht="15.75" customHeight="1" x14ac:dyDescent="0.2">
      <c r="J85" s="3"/>
    </row>
    <row r="86" spans="2:14" ht="15.75" customHeight="1" x14ac:dyDescent="0.2">
      <c r="J86" s="3"/>
    </row>
    <row r="87" spans="2:14" ht="15.75" customHeight="1" x14ac:dyDescent="0.2">
      <c r="J87" s="3"/>
    </row>
    <row r="88" spans="2:14" ht="15.75" customHeight="1" x14ac:dyDescent="0.2">
      <c r="J88" s="3"/>
    </row>
    <row r="89" spans="2:14" ht="15.75" customHeight="1" x14ac:dyDescent="0.2">
      <c r="J89" s="5"/>
      <c r="K89" s="5"/>
      <c r="L89" s="6"/>
      <c r="M89" s="6"/>
      <c r="N89" s="5"/>
    </row>
    <row r="92" spans="2:14" ht="15.75" customHeight="1" x14ac:dyDescent="0.2">
      <c r="J92" s="7"/>
      <c r="K92" s="7"/>
      <c r="L92" s="7"/>
      <c r="M92" s="7"/>
      <c r="N92" s="7"/>
    </row>
    <row r="93" spans="2:14" ht="15.75" customHeight="1" x14ac:dyDescent="0.2">
      <c r="J93" s="7"/>
      <c r="K93" s="7"/>
      <c r="L93" s="7"/>
      <c r="M93" s="7"/>
      <c r="N93" s="7"/>
    </row>
    <row r="94" spans="2:14" ht="15.75" customHeight="1" x14ac:dyDescent="0.2">
      <c r="J94" s="7"/>
      <c r="K94" s="7"/>
      <c r="L94" s="7"/>
      <c r="M94" s="7"/>
      <c r="N94" s="7"/>
    </row>
    <row r="95" spans="2:14" ht="15.75" customHeight="1" x14ac:dyDescent="0.2">
      <c r="J95" s="7"/>
      <c r="K95" s="7"/>
      <c r="L95" s="7"/>
      <c r="M95" s="7"/>
      <c r="N95" s="7"/>
    </row>
    <row r="96" spans="2: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76:C80"/>
    <mergeCell ref="B77:B80"/>
    <mergeCell ref="D77:D80"/>
  </mergeCells>
  <hyperlinks>
    <hyperlink ref="G1" location="'Sheet1'!A1" display="Index" xr:uid="{613A2D4F-6DC8-4952-B86F-1D0B4BA43CB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DBD79-3DD1-4847-B7CF-F45403B58F62}">
  <dimension ref="B1:N116"/>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183</v>
      </c>
      <c r="C7" s="28" t="s">
        <v>184</v>
      </c>
      <c r="D7" s="28" t="s">
        <v>173</v>
      </c>
      <c r="E7" s="29">
        <v>4219</v>
      </c>
      <c r="F7" s="30">
        <v>53.51</v>
      </c>
      <c r="G7" s="31">
        <v>3.5999999999999997E-2</v>
      </c>
      <c r="H7" s="32"/>
    </row>
    <row r="8" spans="2:8" ht="15.75" customHeight="1" x14ac:dyDescent="0.2">
      <c r="B8" s="28" t="s">
        <v>171</v>
      </c>
      <c r="C8" s="28" t="s">
        <v>172</v>
      </c>
      <c r="D8" s="28" t="s">
        <v>173</v>
      </c>
      <c r="E8" s="29">
        <v>6043</v>
      </c>
      <c r="F8" s="30">
        <v>46.63</v>
      </c>
      <c r="G8" s="31">
        <v>3.1399999999999997E-2</v>
      </c>
      <c r="H8" s="32"/>
    </row>
    <row r="9" spans="2:8" ht="15.75" customHeight="1" x14ac:dyDescent="0.2">
      <c r="B9" s="28" t="s">
        <v>316</v>
      </c>
      <c r="C9" s="28" t="s">
        <v>317</v>
      </c>
      <c r="D9" s="28" t="s">
        <v>318</v>
      </c>
      <c r="E9" s="29">
        <v>1019</v>
      </c>
      <c r="F9" s="30">
        <v>40.9</v>
      </c>
      <c r="G9" s="31">
        <v>2.76E-2</v>
      </c>
      <c r="H9" s="32"/>
    </row>
    <row r="10" spans="2:8" ht="15.75" customHeight="1" x14ac:dyDescent="0.2">
      <c r="B10" s="28" t="s">
        <v>212</v>
      </c>
      <c r="C10" s="28" t="s">
        <v>213</v>
      </c>
      <c r="D10" s="28" t="s">
        <v>173</v>
      </c>
      <c r="E10" s="29">
        <v>3746</v>
      </c>
      <c r="F10" s="30">
        <v>40.020000000000003</v>
      </c>
      <c r="G10" s="31">
        <v>2.7E-2</v>
      </c>
      <c r="H10" s="32"/>
    </row>
    <row r="11" spans="2:8" ht="15.75" customHeight="1" x14ac:dyDescent="0.2">
      <c r="B11" s="28" t="s">
        <v>191</v>
      </c>
      <c r="C11" s="28" t="s">
        <v>192</v>
      </c>
      <c r="D11" s="28" t="s">
        <v>173</v>
      </c>
      <c r="E11" s="29">
        <v>2784</v>
      </c>
      <c r="F11" s="30">
        <v>35.17</v>
      </c>
      <c r="G11" s="31">
        <v>2.3699999999999999E-2</v>
      </c>
      <c r="H11" s="32"/>
    </row>
    <row r="12" spans="2:8" ht="15.75" customHeight="1" x14ac:dyDescent="0.2">
      <c r="B12" s="28" t="s">
        <v>454</v>
      </c>
      <c r="C12" s="28" t="s">
        <v>455</v>
      </c>
      <c r="D12" s="28" t="s">
        <v>238</v>
      </c>
      <c r="E12" s="29">
        <v>2005</v>
      </c>
      <c r="F12" s="30">
        <v>34.85</v>
      </c>
      <c r="G12" s="31">
        <v>2.35E-2</v>
      </c>
      <c r="H12" s="32"/>
    </row>
    <row r="13" spans="2:8" ht="15.75" customHeight="1" x14ac:dyDescent="0.2">
      <c r="B13" s="28" t="s">
        <v>220</v>
      </c>
      <c r="C13" s="28" t="s">
        <v>221</v>
      </c>
      <c r="D13" s="28" t="s">
        <v>173</v>
      </c>
      <c r="E13" s="29">
        <v>8891</v>
      </c>
      <c r="F13" s="30">
        <v>34.08</v>
      </c>
      <c r="G13" s="31">
        <v>2.3E-2</v>
      </c>
      <c r="H13" s="32"/>
    </row>
    <row r="14" spans="2:8" ht="15.75" customHeight="1" x14ac:dyDescent="0.2">
      <c r="B14" s="28" t="s">
        <v>473</v>
      </c>
      <c r="C14" s="28" t="s">
        <v>474</v>
      </c>
      <c r="D14" s="28" t="s">
        <v>243</v>
      </c>
      <c r="E14" s="29">
        <v>6954</v>
      </c>
      <c r="F14" s="30">
        <v>30.82</v>
      </c>
      <c r="G14" s="31">
        <v>2.0799999999999999E-2</v>
      </c>
      <c r="H14" s="32"/>
    </row>
    <row r="15" spans="2:8" ht="15.75" customHeight="1" x14ac:dyDescent="0.2">
      <c r="B15" s="28" t="s">
        <v>549</v>
      </c>
      <c r="C15" s="28" t="s">
        <v>550</v>
      </c>
      <c r="D15" s="28" t="s">
        <v>238</v>
      </c>
      <c r="E15" s="29">
        <v>189</v>
      </c>
      <c r="F15" s="30">
        <v>28.36</v>
      </c>
      <c r="G15" s="31">
        <v>1.9099999999999999E-2</v>
      </c>
      <c r="H15" s="32"/>
    </row>
    <row r="16" spans="2:8" ht="15.75" customHeight="1" x14ac:dyDescent="0.2">
      <c r="B16" s="28" t="s">
        <v>462</v>
      </c>
      <c r="C16" s="28" t="s">
        <v>463</v>
      </c>
      <c r="D16" s="28" t="s">
        <v>238</v>
      </c>
      <c r="E16" s="29">
        <v>17180</v>
      </c>
      <c r="F16" s="30">
        <v>27.81</v>
      </c>
      <c r="G16" s="31">
        <v>1.8700000000000001E-2</v>
      </c>
      <c r="H16" s="32"/>
    </row>
    <row r="17" spans="2:8" ht="15.75" customHeight="1" x14ac:dyDescent="0.2">
      <c r="B17" s="28" t="s">
        <v>193</v>
      </c>
      <c r="C17" s="28" t="s">
        <v>194</v>
      </c>
      <c r="D17" s="28" t="s">
        <v>195</v>
      </c>
      <c r="E17" s="29">
        <v>880</v>
      </c>
      <c r="F17" s="30">
        <v>27.26</v>
      </c>
      <c r="G17" s="31">
        <v>1.84E-2</v>
      </c>
      <c r="H17" s="32"/>
    </row>
    <row r="18" spans="2:8" ht="15.75" customHeight="1" x14ac:dyDescent="0.2">
      <c r="B18" s="28" t="s">
        <v>551</v>
      </c>
      <c r="C18" s="28" t="s">
        <v>552</v>
      </c>
      <c r="D18" s="28" t="s">
        <v>268</v>
      </c>
      <c r="E18" s="29">
        <v>81</v>
      </c>
      <c r="F18" s="30">
        <v>27.18</v>
      </c>
      <c r="G18" s="31">
        <v>1.83E-2</v>
      </c>
      <c r="H18" s="32"/>
    </row>
    <row r="19" spans="2:8" ht="15.75" customHeight="1" x14ac:dyDescent="0.2">
      <c r="B19" s="28" t="s">
        <v>232</v>
      </c>
      <c r="C19" s="28" t="s">
        <v>233</v>
      </c>
      <c r="D19" s="28" t="s">
        <v>195</v>
      </c>
      <c r="E19" s="29">
        <v>188</v>
      </c>
      <c r="F19" s="30">
        <v>25.03</v>
      </c>
      <c r="G19" s="31">
        <v>1.6899999999999998E-2</v>
      </c>
      <c r="H19" s="32"/>
    </row>
    <row r="20" spans="2:8" ht="15.75" customHeight="1" x14ac:dyDescent="0.2">
      <c r="B20" s="28" t="s">
        <v>553</v>
      </c>
      <c r="C20" s="28" t="s">
        <v>554</v>
      </c>
      <c r="D20" s="28" t="s">
        <v>321</v>
      </c>
      <c r="E20" s="29">
        <v>3776</v>
      </c>
      <c r="F20" s="30">
        <v>25.01</v>
      </c>
      <c r="G20" s="31">
        <v>1.6799999999999999E-2</v>
      </c>
      <c r="H20" s="32"/>
    </row>
    <row r="21" spans="2:8" ht="15.75" customHeight="1" x14ac:dyDescent="0.2">
      <c r="B21" s="28" t="s">
        <v>236</v>
      </c>
      <c r="C21" s="28" t="s">
        <v>237</v>
      </c>
      <c r="D21" s="28" t="s">
        <v>238</v>
      </c>
      <c r="E21" s="29">
        <v>1369</v>
      </c>
      <c r="F21" s="30">
        <v>24.76</v>
      </c>
      <c r="G21" s="31">
        <v>1.67E-2</v>
      </c>
      <c r="H21" s="32"/>
    </row>
    <row r="22" spans="2:8" ht="15.75" customHeight="1" x14ac:dyDescent="0.2">
      <c r="B22" s="28" t="s">
        <v>329</v>
      </c>
      <c r="C22" s="28" t="s">
        <v>330</v>
      </c>
      <c r="D22" s="28" t="s">
        <v>331</v>
      </c>
      <c r="E22" s="29">
        <v>212</v>
      </c>
      <c r="F22" s="30">
        <v>24.56</v>
      </c>
      <c r="G22" s="31">
        <v>1.6500000000000001E-2</v>
      </c>
      <c r="H22" s="32"/>
    </row>
    <row r="23" spans="2:8" ht="15.75" customHeight="1" x14ac:dyDescent="0.2">
      <c r="B23" s="28" t="s">
        <v>555</v>
      </c>
      <c r="C23" s="28" t="s">
        <v>556</v>
      </c>
      <c r="D23" s="28" t="s">
        <v>268</v>
      </c>
      <c r="E23" s="29">
        <v>191</v>
      </c>
      <c r="F23" s="30">
        <v>23.55</v>
      </c>
      <c r="G23" s="31">
        <v>1.5900000000000001E-2</v>
      </c>
      <c r="H23" s="32"/>
    </row>
    <row r="24" spans="2:8" ht="15.75" customHeight="1" x14ac:dyDescent="0.2">
      <c r="B24" s="28" t="s">
        <v>557</v>
      </c>
      <c r="C24" s="28" t="s">
        <v>558</v>
      </c>
      <c r="D24" s="28" t="s">
        <v>268</v>
      </c>
      <c r="E24" s="29">
        <v>718</v>
      </c>
      <c r="F24" s="30">
        <v>23.54</v>
      </c>
      <c r="G24" s="31">
        <v>1.5900000000000001E-2</v>
      </c>
      <c r="H24" s="32"/>
    </row>
    <row r="25" spans="2:8" ht="15.75" customHeight="1" x14ac:dyDescent="0.2">
      <c r="B25" s="28" t="s">
        <v>479</v>
      </c>
      <c r="C25" s="28" t="s">
        <v>480</v>
      </c>
      <c r="D25" s="28" t="s">
        <v>431</v>
      </c>
      <c r="E25" s="29">
        <v>792</v>
      </c>
      <c r="F25" s="30">
        <v>23.53</v>
      </c>
      <c r="G25" s="31">
        <v>1.5900000000000001E-2</v>
      </c>
      <c r="H25" s="32"/>
    </row>
    <row r="26" spans="2:8" ht="15.75" customHeight="1" x14ac:dyDescent="0.2">
      <c r="B26" s="28" t="s">
        <v>559</v>
      </c>
      <c r="C26" s="28" t="s">
        <v>560</v>
      </c>
      <c r="D26" s="28" t="s">
        <v>561</v>
      </c>
      <c r="E26" s="29">
        <v>1165</v>
      </c>
      <c r="F26" s="30">
        <v>23.09</v>
      </c>
      <c r="G26" s="31">
        <v>1.5599999999999999E-2</v>
      </c>
      <c r="H26" s="32"/>
    </row>
    <row r="27" spans="2:8" ht="15.75" customHeight="1" x14ac:dyDescent="0.2">
      <c r="B27" s="28" t="s">
        <v>432</v>
      </c>
      <c r="C27" s="28" t="s">
        <v>433</v>
      </c>
      <c r="D27" s="28" t="s">
        <v>434</v>
      </c>
      <c r="E27" s="29">
        <v>5537</v>
      </c>
      <c r="F27" s="30">
        <v>22.7</v>
      </c>
      <c r="G27" s="31">
        <v>1.5299999999999999E-2</v>
      </c>
      <c r="H27" s="32"/>
    </row>
    <row r="28" spans="2:8" ht="15.75" customHeight="1" x14ac:dyDescent="0.2">
      <c r="B28" s="28" t="s">
        <v>562</v>
      </c>
      <c r="C28" s="28" t="s">
        <v>563</v>
      </c>
      <c r="D28" s="28" t="s">
        <v>564</v>
      </c>
      <c r="E28" s="29">
        <v>1445</v>
      </c>
      <c r="F28" s="30">
        <v>21.81</v>
      </c>
      <c r="G28" s="31">
        <v>1.47E-2</v>
      </c>
      <c r="H28" s="32"/>
    </row>
    <row r="29" spans="2:8" ht="15.75" customHeight="1" x14ac:dyDescent="0.2">
      <c r="B29" s="28" t="s">
        <v>493</v>
      </c>
      <c r="C29" s="28" t="s">
        <v>494</v>
      </c>
      <c r="D29" s="28" t="s">
        <v>182</v>
      </c>
      <c r="E29" s="29">
        <v>2741</v>
      </c>
      <c r="F29" s="30">
        <v>20.81</v>
      </c>
      <c r="G29" s="31">
        <v>1.4E-2</v>
      </c>
      <c r="H29" s="32"/>
    </row>
    <row r="30" spans="2:8" ht="15.75" customHeight="1" x14ac:dyDescent="0.2">
      <c r="B30" s="28" t="s">
        <v>417</v>
      </c>
      <c r="C30" s="28" t="s">
        <v>418</v>
      </c>
      <c r="D30" s="28" t="s">
        <v>182</v>
      </c>
      <c r="E30" s="29">
        <v>895</v>
      </c>
      <c r="F30" s="30">
        <v>20.38</v>
      </c>
      <c r="G30" s="31">
        <v>1.37E-2</v>
      </c>
      <c r="H30" s="32"/>
    </row>
    <row r="31" spans="2:8" ht="15.75" customHeight="1" x14ac:dyDescent="0.2">
      <c r="B31" s="28" t="s">
        <v>565</v>
      </c>
      <c r="C31" s="28" t="s">
        <v>566</v>
      </c>
      <c r="D31" s="28" t="s">
        <v>383</v>
      </c>
      <c r="E31" s="29">
        <v>1382</v>
      </c>
      <c r="F31" s="30">
        <v>19.649999999999999</v>
      </c>
      <c r="G31" s="31">
        <v>1.32E-2</v>
      </c>
      <c r="H31" s="32"/>
    </row>
    <row r="32" spans="2:8" ht="15.75" customHeight="1" x14ac:dyDescent="0.2">
      <c r="B32" s="28" t="s">
        <v>567</v>
      </c>
      <c r="C32" s="28" t="s">
        <v>568</v>
      </c>
      <c r="D32" s="28" t="s">
        <v>470</v>
      </c>
      <c r="E32" s="29">
        <v>2590</v>
      </c>
      <c r="F32" s="30">
        <v>19.62</v>
      </c>
      <c r="G32" s="31">
        <v>1.32E-2</v>
      </c>
      <c r="H32" s="32"/>
    </row>
    <row r="33" spans="2:8" ht="15.75" customHeight="1" x14ac:dyDescent="0.2">
      <c r="B33" s="28" t="s">
        <v>569</v>
      </c>
      <c r="C33" s="28" t="s">
        <v>570</v>
      </c>
      <c r="D33" s="28" t="s">
        <v>571</v>
      </c>
      <c r="E33" s="29">
        <v>5655</v>
      </c>
      <c r="F33" s="30">
        <v>19.559999999999999</v>
      </c>
      <c r="G33" s="31">
        <v>1.32E-2</v>
      </c>
      <c r="H33" s="32"/>
    </row>
    <row r="34" spans="2:8" ht="15.75" customHeight="1" x14ac:dyDescent="0.2">
      <c r="B34" s="28" t="s">
        <v>296</v>
      </c>
      <c r="C34" s="28" t="s">
        <v>297</v>
      </c>
      <c r="D34" s="28" t="s">
        <v>271</v>
      </c>
      <c r="E34" s="29">
        <v>434</v>
      </c>
      <c r="F34" s="30">
        <v>19.03</v>
      </c>
      <c r="G34" s="31">
        <v>1.2800000000000001E-2</v>
      </c>
      <c r="H34" s="32"/>
    </row>
    <row r="35" spans="2:8" ht="15.75" customHeight="1" x14ac:dyDescent="0.2">
      <c r="B35" s="28" t="s">
        <v>464</v>
      </c>
      <c r="C35" s="28" t="s">
        <v>465</v>
      </c>
      <c r="D35" s="28" t="s">
        <v>195</v>
      </c>
      <c r="E35" s="29">
        <v>540</v>
      </c>
      <c r="F35" s="30">
        <v>18.86</v>
      </c>
      <c r="G35" s="31">
        <v>1.2699999999999999E-2</v>
      </c>
      <c r="H35" s="32"/>
    </row>
    <row r="36" spans="2:8" ht="15.75" customHeight="1" x14ac:dyDescent="0.2">
      <c r="B36" s="28" t="s">
        <v>572</v>
      </c>
      <c r="C36" s="28" t="s">
        <v>573</v>
      </c>
      <c r="D36" s="28" t="s">
        <v>434</v>
      </c>
      <c r="E36" s="29">
        <v>1020</v>
      </c>
      <c r="F36" s="30">
        <v>18.420000000000002</v>
      </c>
      <c r="G36" s="31">
        <v>1.24E-2</v>
      </c>
      <c r="H36" s="32"/>
    </row>
    <row r="37" spans="2:8" ht="15.75" customHeight="1" x14ac:dyDescent="0.2">
      <c r="B37" s="28" t="s">
        <v>574</v>
      </c>
      <c r="C37" s="28" t="s">
        <v>575</v>
      </c>
      <c r="D37" s="28" t="s">
        <v>345</v>
      </c>
      <c r="E37" s="29">
        <v>1364</v>
      </c>
      <c r="F37" s="30">
        <v>18.04</v>
      </c>
      <c r="G37" s="31">
        <v>1.21E-2</v>
      </c>
      <c r="H37" s="32"/>
    </row>
    <row r="38" spans="2:8" ht="15.75" customHeight="1" x14ac:dyDescent="0.2">
      <c r="B38" s="28" t="s">
        <v>576</v>
      </c>
      <c r="C38" s="28" t="s">
        <v>577</v>
      </c>
      <c r="D38" s="28" t="s">
        <v>238</v>
      </c>
      <c r="E38" s="29">
        <v>327</v>
      </c>
      <c r="F38" s="30">
        <v>17.66</v>
      </c>
      <c r="G38" s="31">
        <v>1.1900000000000001E-2</v>
      </c>
      <c r="H38" s="32"/>
    </row>
    <row r="39" spans="2:8" ht="15.75" customHeight="1" x14ac:dyDescent="0.2">
      <c r="B39" s="28" t="s">
        <v>384</v>
      </c>
      <c r="C39" s="28" t="s">
        <v>385</v>
      </c>
      <c r="D39" s="28" t="s">
        <v>238</v>
      </c>
      <c r="E39" s="29">
        <v>421</v>
      </c>
      <c r="F39" s="30">
        <v>17.62</v>
      </c>
      <c r="G39" s="31">
        <v>1.1900000000000001E-2</v>
      </c>
      <c r="H39" s="32"/>
    </row>
    <row r="40" spans="2:8" ht="15.75" customHeight="1" x14ac:dyDescent="0.2">
      <c r="B40" s="28" t="s">
        <v>578</v>
      </c>
      <c r="C40" s="28" t="s">
        <v>579</v>
      </c>
      <c r="D40" s="28" t="s">
        <v>321</v>
      </c>
      <c r="E40" s="29">
        <v>1005</v>
      </c>
      <c r="F40" s="30">
        <v>17.07</v>
      </c>
      <c r="G40" s="31">
        <v>1.15E-2</v>
      </c>
      <c r="H40" s="32"/>
    </row>
    <row r="41" spans="2:8" ht="15.75" customHeight="1" x14ac:dyDescent="0.2">
      <c r="B41" s="28" t="s">
        <v>356</v>
      </c>
      <c r="C41" s="28" t="s">
        <v>357</v>
      </c>
      <c r="D41" s="28" t="s">
        <v>287</v>
      </c>
      <c r="E41" s="29">
        <v>397</v>
      </c>
      <c r="F41" s="30">
        <v>17.05</v>
      </c>
      <c r="G41" s="31">
        <v>1.15E-2</v>
      </c>
      <c r="H41" s="32"/>
    </row>
    <row r="42" spans="2:8" ht="15.75" customHeight="1" x14ac:dyDescent="0.2">
      <c r="B42" s="28" t="s">
        <v>374</v>
      </c>
      <c r="C42" s="28" t="s">
        <v>375</v>
      </c>
      <c r="D42" s="28" t="s">
        <v>182</v>
      </c>
      <c r="E42" s="29">
        <v>1146</v>
      </c>
      <c r="F42" s="30">
        <v>16.89</v>
      </c>
      <c r="G42" s="31">
        <v>1.14E-2</v>
      </c>
      <c r="H42" s="32"/>
    </row>
    <row r="43" spans="2:8" ht="15.75" customHeight="1" x14ac:dyDescent="0.2">
      <c r="B43" s="28" t="s">
        <v>354</v>
      </c>
      <c r="C43" s="28" t="s">
        <v>355</v>
      </c>
      <c r="D43" s="28" t="s">
        <v>216</v>
      </c>
      <c r="E43" s="29">
        <v>1113</v>
      </c>
      <c r="F43" s="30">
        <v>16.89</v>
      </c>
      <c r="G43" s="31">
        <v>1.14E-2</v>
      </c>
      <c r="H43" s="32"/>
    </row>
    <row r="44" spans="2:8" ht="15.75" customHeight="1" x14ac:dyDescent="0.2">
      <c r="B44" s="28" t="s">
        <v>580</v>
      </c>
      <c r="C44" s="28" t="s">
        <v>581</v>
      </c>
      <c r="D44" s="28" t="s">
        <v>483</v>
      </c>
      <c r="E44" s="29">
        <v>483</v>
      </c>
      <c r="F44" s="30">
        <v>16.53</v>
      </c>
      <c r="G44" s="31">
        <v>1.11E-2</v>
      </c>
      <c r="H44" s="32"/>
    </row>
    <row r="45" spans="2:8" ht="15.75" customHeight="1" x14ac:dyDescent="0.2">
      <c r="B45" s="28" t="s">
        <v>582</v>
      </c>
      <c r="C45" s="28" t="s">
        <v>583</v>
      </c>
      <c r="D45" s="28" t="s">
        <v>173</v>
      </c>
      <c r="E45" s="29">
        <v>5723</v>
      </c>
      <c r="F45" s="30">
        <v>16.420000000000002</v>
      </c>
      <c r="G45" s="31">
        <v>1.11E-2</v>
      </c>
      <c r="H45" s="32"/>
    </row>
    <row r="46" spans="2:8" ht="15.75" customHeight="1" x14ac:dyDescent="0.2">
      <c r="B46" s="28" t="s">
        <v>381</v>
      </c>
      <c r="C46" s="28" t="s">
        <v>382</v>
      </c>
      <c r="D46" s="28" t="s">
        <v>383</v>
      </c>
      <c r="E46" s="29">
        <v>445</v>
      </c>
      <c r="F46" s="30">
        <v>16.14</v>
      </c>
      <c r="G46" s="31">
        <v>1.09E-2</v>
      </c>
      <c r="H46" s="32"/>
    </row>
    <row r="47" spans="2:8" ht="15.75" customHeight="1" x14ac:dyDescent="0.2">
      <c r="B47" s="28" t="s">
        <v>491</v>
      </c>
      <c r="C47" s="28" t="s">
        <v>492</v>
      </c>
      <c r="D47" s="28" t="s">
        <v>271</v>
      </c>
      <c r="E47" s="29">
        <v>985</v>
      </c>
      <c r="F47" s="30">
        <v>15.69</v>
      </c>
      <c r="G47" s="31">
        <v>1.06E-2</v>
      </c>
      <c r="H47" s="32"/>
    </row>
    <row r="48" spans="2:8" ht="15.75" customHeight="1" x14ac:dyDescent="0.2">
      <c r="B48" s="28" t="s">
        <v>404</v>
      </c>
      <c r="C48" s="28" t="s">
        <v>405</v>
      </c>
      <c r="D48" s="28" t="s">
        <v>406</v>
      </c>
      <c r="E48" s="29">
        <v>1625</v>
      </c>
      <c r="F48" s="30">
        <v>15.22</v>
      </c>
      <c r="G48" s="31">
        <v>1.03E-2</v>
      </c>
      <c r="H48" s="32"/>
    </row>
    <row r="49" spans="2:8" ht="15.75" customHeight="1" x14ac:dyDescent="0.2">
      <c r="B49" s="28" t="s">
        <v>584</v>
      </c>
      <c r="C49" s="28" t="s">
        <v>585</v>
      </c>
      <c r="D49" s="28" t="s">
        <v>271</v>
      </c>
      <c r="E49" s="29">
        <v>1481</v>
      </c>
      <c r="F49" s="30">
        <v>15.15</v>
      </c>
      <c r="G49" s="31">
        <v>1.0200000000000001E-2</v>
      </c>
      <c r="H49" s="32"/>
    </row>
    <row r="50" spans="2:8" ht="15.75" customHeight="1" x14ac:dyDescent="0.2">
      <c r="B50" s="28" t="s">
        <v>586</v>
      </c>
      <c r="C50" s="28" t="s">
        <v>587</v>
      </c>
      <c r="D50" s="28" t="s">
        <v>196</v>
      </c>
      <c r="E50" s="29">
        <v>2239</v>
      </c>
      <c r="F50" s="30">
        <v>15.15</v>
      </c>
      <c r="G50" s="31">
        <v>1.0200000000000001E-2</v>
      </c>
      <c r="H50" s="32"/>
    </row>
    <row r="51" spans="2:8" ht="15.75" customHeight="1" x14ac:dyDescent="0.2">
      <c r="B51" s="28" t="s">
        <v>588</v>
      </c>
      <c r="C51" s="28" t="s">
        <v>589</v>
      </c>
      <c r="D51" s="28" t="s">
        <v>431</v>
      </c>
      <c r="E51" s="29">
        <v>389</v>
      </c>
      <c r="F51" s="30">
        <v>14.16</v>
      </c>
      <c r="G51" s="31">
        <v>9.4999999999999998E-3</v>
      </c>
      <c r="H51" s="32"/>
    </row>
    <row r="52" spans="2:8" ht="15.75" customHeight="1" x14ac:dyDescent="0.2">
      <c r="B52" s="28" t="s">
        <v>484</v>
      </c>
      <c r="C52" s="28" t="s">
        <v>485</v>
      </c>
      <c r="D52" s="28" t="s">
        <v>268</v>
      </c>
      <c r="E52" s="29">
        <v>1333</v>
      </c>
      <c r="F52" s="30">
        <v>14.09</v>
      </c>
      <c r="G52" s="31">
        <v>9.4999999999999998E-3</v>
      </c>
      <c r="H52" s="32"/>
    </row>
    <row r="53" spans="2:8" ht="15.75" customHeight="1" x14ac:dyDescent="0.2">
      <c r="B53" s="28" t="s">
        <v>590</v>
      </c>
      <c r="C53" s="28" t="s">
        <v>591</v>
      </c>
      <c r="D53" s="28" t="s">
        <v>345</v>
      </c>
      <c r="E53" s="29">
        <v>185</v>
      </c>
      <c r="F53" s="30">
        <v>13.54</v>
      </c>
      <c r="G53" s="31">
        <v>9.1000000000000004E-3</v>
      </c>
      <c r="H53" s="32"/>
    </row>
    <row r="54" spans="2:8" ht="15.75" customHeight="1" x14ac:dyDescent="0.2">
      <c r="B54" s="28" t="s">
        <v>592</v>
      </c>
      <c r="C54" s="28" t="s">
        <v>593</v>
      </c>
      <c r="D54" s="28" t="s">
        <v>395</v>
      </c>
      <c r="E54" s="29">
        <v>5545</v>
      </c>
      <c r="F54" s="30">
        <v>13.54</v>
      </c>
      <c r="G54" s="31">
        <v>9.1000000000000004E-3</v>
      </c>
      <c r="H54" s="32"/>
    </row>
    <row r="55" spans="2:8" ht="15.75" customHeight="1" x14ac:dyDescent="0.2">
      <c r="B55" s="28" t="s">
        <v>488</v>
      </c>
      <c r="C55" s="28" t="s">
        <v>489</v>
      </c>
      <c r="D55" s="28" t="s">
        <v>490</v>
      </c>
      <c r="E55" s="29">
        <v>1204</v>
      </c>
      <c r="F55" s="30">
        <v>13.19</v>
      </c>
      <c r="G55" s="31">
        <v>8.8999999999999999E-3</v>
      </c>
      <c r="H55" s="32"/>
    </row>
    <row r="56" spans="2:8" ht="15.75" customHeight="1" x14ac:dyDescent="0.2">
      <c r="B56" s="28" t="s">
        <v>594</v>
      </c>
      <c r="C56" s="28" t="s">
        <v>595</v>
      </c>
      <c r="D56" s="28" t="s">
        <v>321</v>
      </c>
      <c r="E56" s="29">
        <v>190</v>
      </c>
      <c r="F56" s="30">
        <v>13.18</v>
      </c>
      <c r="G56" s="31">
        <v>8.8999999999999999E-3</v>
      </c>
      <c r="H56" s="32"/>
    </row>
    <row r="57" spans="2:8" ht="15.75" customHeight="1" x14ac:dyDescent="0.2">
      <c r="B57" s="28" t="s">
        <v>341</v>
      </c>
      <c r="C57" s="28" t="s">
        <v>342</v>
      </c>
      <c r="D57" s="28" t="s">
        <v>196</v>
      </c>
      <c r="E57" s="29">
        <v>872</v>
      </c>
      <c r="F57" s="30">
        <v>13.16</v>
      </c>
      <c r="G57" s="31">
        <v>8.8999999999999999E-3</v>
      </c>
      <c r="H57" s="32"/>
    </row>
    <row r="58" spans="2:8" ht="15.75" customHeight="1" x14ac:dyDescent="0.2">
      <c r="B58" s="28" t="s">
        <v>596</v>
      </c>
      <c r="C58" s="28" t="s">
        <v>597</v>
      </c>
      <c r="D58" s="28" t="s">
        <v>190</v>
      </c>
      <c r="E58" s="29">
        <v>3675</v>
      </c>
      <c r="F58" s="30">
        <v>13.02</v>
      </c>
      <c r="G58" s="31">
        <v>8.8000000000000005E-3</v>
      </c>
      <c r="H58" s="32"/>
    </row>
    <row r="59" spans="2:8" ht="15.75" customHeight="1" x14ac:dyDescent="0.2">
      <c r="B59" s="28" t="s">
        <v>227</v>
      </c>
      <c r="C59" s="28" t="s">
        <v>228</v>
      </c>
      <c r="D59" s="28" t="s">
        <v>229</v>
      </c>
      <c r="E59" s="29">
        <v>6155</v>
      </c>
      <c r="F59" s="30">
        <v>13.01</v>
      </c>
      <c r="G59" s="31">
        <v>8.8000000000000005E-3</v>
      </c>
      <c r="H59" s="32"/>
    </row>
    <row r="60" spans="2:8" ht="15.75" customHeight="1" x14ac:dyDescent="0.2">
      <c r="B60" s="28" t="s">
        <v>460</v>
      </c>
      <c r="C60" s="28" t="s">
        <v>461</v>
      </c>
      <c r="D60" s="28" t="s">
        <v>271</v>
      </c>
      <c r="E60" s="29">
        <v>2569</v>
      </c>
      <c r="F60" s="30">
        <v>12.81</v>
      </c>
      <c r="G60" s="31">
        <v>8.6E-3</v>
      </c>
      <c r="H60" s="32"/>
    </row>
    <row r="61" spans="2:8" ht="15.75" customHeight="1" x14ac:dyDescent="0.2">
      <c r="B61" s="28" t="s">
        <v>188</v>
      </c>
      <c r="C61" s="28" t="s">
        <v>189</v>
      </c>
      <c r="D61" s="28" t="s">
        <v>190</v>
      </c>
      <c r="E61" s="29">
        <v>1271</v>
      </c>
      <c r="F61" s="30">
        <v>11.91</v>
      </c>
      <c r="G61" s="31">
        <v>8.0000000000000002E-3</v>
      </c>
      <c r="H61" s="32"/>
    </row>
    <row r="62" spans="2:8" ht="15.75" customHeight="1" x14ac:dyDescent="0.2">
      <c r="B62" s="28" t="s">
        <v>425</v>
      </c>
      <c r="C62" s="28" t="s">
        <v>426</v>
      </c>
      <c r="D62" s="28" t="s">
        <v>173</v>
      </c>
      <c r="E62" s="29">
        <v>5465</v>
      </c>
      <c r="F62" s="30">
        <v>10.210000000000001</v>
      </c>
      <c r="G62" s="31">
        <v>6.8999999999999999E-3</v>
      </c>
      <c r="H62" s="32"/>
    </row>
    <row r="63" spans="2:8" ht="15.75" customHeight="1" x14ac:dyDescent="0.2">
      <c r="B63" s="28" t="s">
        <v>386</v>
      </c>
      <c r="C63" s="28" t="s">
        <v>387</v>
      </c>
      <c r="D63" s="28" t="s">
        <v>388</v>
      </c>
      <c r="E63" s="29">
        <v>314</v>
      </c>
      <c r="F63" s="30">
        <v>7.07</v>
      </c>
      <c r="G63" s="31">
        <v>4.7999999999999996E-3</v>
      </c>
      <c r="H63" s="32"/>
    </row>
    <row r="64" spans="2:8" ht="15.75" customHeight="1" x14ac:dyDescent="0.2">
      <c r="B64" s="28" t="s">
        <v>241</v>
      </c>
      <c r="C64" s="28" t="s">
        <v>242</v>
      </c>
      <c r="D64" s="28" t="s">
        <v>243</v>
      </c>
      <c r="E64" s="29">
        <v>2412</v>
      </c>
      <c r="F64" s="30">
        <v>5.96</v>
      </c>
      <c r="G64" s="31">
        <v>4.0000000000000001E-3</v>
      </c>
      <c r="H64" s="32"/>
    </row>
    <row r="65" spans="2:14" ht="15.75" customHeight="1" x14ac:dyDescent="0.2">
      <c r="B65" s="27" t="s">
        <v>129</v>
      </c>
      <c r="C65" s="27"/>
      <c r="D65" s="27"/>
      <c r="E65" s="33"/>
      <c r="F65" s="34">
        <v>1220.8699999999999</v>
      </c>
      <c r="G65" s="35">
        <v>0.82230000000000003</v>
      </c>
      <c r="H65" s="36"/>
    </row>
    <row r="66" spans="2:14" ht="15.75" customHeight="1" x14ac:dyDescent="0.2">
      <c r="B66" s="27" t="s">
        <v>197</v>
      </c>
      <c r="C66" s="28"/>
      <c r="D66" s="28"/>
      <c r="E66" s="29"/>
      <c r="F66" s="30"/>
      <c r="G66" s="31"/>
      <c r="H66" s="32"/>
    </row>
    <row r="67" spans="2:14" ht="15.75" customHeight="1" x14ac:dyDescent="0.2">
      <c r="B67" s="27" t="s">
        <v>129</v>
      </c>
      <c r="C67" s="28"/>
      <c r="D67" s="28"/>
      <c r="E67" s="29"/>
      <c r="F67" s="37" t="s">
        <v>131</v>
      </c>
      <c r="G67" s="38" t="s">
        <v>131</v>
      </c>
      <c r="H67" s="32"/>
    </row>
    <row r="68" spans="2:14" ht="15.75" customHeight="1" x14ac:dyDescent="0.2">
      <c r="B68" s="28"/>
      <c r="C68" s="28"/>
      <c r="D68" s="28"/>
      <c r="E68" s="29"/>
      <c r="F68" s="30"/>
      <c r="G68" s="31"/>
      <c r="H68" s="32"/>
      <c r="J68" s="3"/>
    </row>
    <row r="69" spans="2:14" ht="15.75" customHeight="1" x14ac:dyDescent="0.2">
      <c r="B69" s="39" t="s">
        <v>133</v>
      </c>
      <c r="C69" s="39"/>
      <c r="D69" s="39"/>
      <c r="E69" s="40"/>
      <c r="F69" s="34">
        <v>1220.8699999999999</v>
      </c>
      <c r="G69" s="35">
        <v>0.82230000000000003</v>
      </c>
      <c r="H69" s="36"/>
    </row>
    <row r="70" spans="2:14" ht="15.75" customHeight="1" x14ac:dyDescent="0.2">
      <c r="B70" s="28"/>
      <c r="C70" s="28"/>
      <c r="D70" s="28"/>
      <c r="E70" s="29"/>
      <c r="F70" s="30"/>
      <c r="G70" s="31"/>
      <c r="H70" s="32"/>
      <c r="J70" s="3"/>
    </row>
    <row r="71" spans="2:14" ht="15.75" customHeight="1" x14ac:dyDescent="0.2">
      <c r="B71" s="27" t="s">
        <v>114</v>
      </c>
      <c r="C71" s="28"/>
      <c r="D71" s="28"/>
      <c r="E71" s="29"/>
      <c r="F71" s="30"/>
      <c r="G71" s="31"/>
      <c r="H71" s="32"/>
      <c r="J71" s="3"/>
    </row>
    <row r="72" spans="2:14" ht="15.75" customHeight="1" x14ac:dyDescent="0.2">
      <c r="B72" s="27" t="s">
        <v>115</v>
      </c>
      <c r="C72" s="28"/>
      <c r="D72" s="28"/>
      <c r="E72" s="29"/>
      <c r="F72" s="30"/>
      <c r="G72" s="31"/>
      <c r="H72" s="32"/>
      <c r="J72" s="3"/>
    </row>
    <row r="73" spans="2:14" ht="15.75" customHeight="1" x14ac:dyDescent="0.2">
      <c r="B73" s="28" t="s">
        <v>198</v>
      </c>
      <c r="C73" s="28" t="s">
        <v>199</v>
      </c>
      <c r="D73" s="28" t="s">
        <v>116</v>
      </c>
      <c r="E73" s="29">
        <v>150000</v>
      </c>
      <c r="F73" s="30">
        <v>156.29</v>
      </c>
      <c r="G73" s="31">
        <v>0.1053</v>
      </c>
      <c r="H73" s="32">
        <v>6.0644999999999998E-2</v>
      </c>
      <c r="J73" s="3"/>
    </row>
    <row r="74" spans="2:14" ht="15.75" customHeight="1" x14ac:dyDescent="0.2">
      <c r="B74" s="27" t="s">
        <v>129</v>
      </c>
      <c r="C74" s="27"/>
      <c r="D74" s="27"/>
      <c r="E74" s="33"/>
      <c r="F74" s="34">
        <v>156.29</v>
      </c>
      <c r="G74" s="35">
        <v>0.1053</v>
      </c>
      <c r="H74" s="36"/>
      <c r="J74" s="3"/>
    </row>
    <row r="75" spans="2:14" ht="15.75" customHeight="1" x14ac:dyDescent="0.2">
      <c r="B75" s="28"/>
      <c r="C75" s="28"/>
      <c r="D75" s="28"/>
      <c r="E75" s="29"/>
      <c r="F75" s="30"/>
      <c r="G75" s="31"/>
      <c r="H75" s="32"/>
      <c r="J75" s="5"/>
      <c r="K75" s="5"/>
      <c r="L75" s="6"/>
      <c r="M75" s="6"/>
      <c r="N75" s="5"/>
    </row>
    <row r="76" spans="2:14" ht="15.75" customHeight="1" x14ac:dyDescent="0.2">
      <c r="B76" s="27" t="s">
        <v>130</v>
      </c>
      <c r="C76" s="28"/>
      <c r="D76" s="28"/>
      <c r="E76" s="29"/>
      <c r="F76" s="30"/>
      <c r="G76" s="31"/>
      <c r="H76" s="32"/>
    </row>
    <row r="77" spans="2:14" ht="15.75" customHeight="1" x14ac:dyDescent="0.2">
      <c r="B77" s="27" t="s">
        <v>129</v>
      </c>
      <c r="C77" s="28"/>
      <c r="D77" s="28"/>
      <c r="E77" s="29"/>
      <c r="F77" s="37" t="s">
        <v>131</v>
      </c>
      <c r="G77" s="38" t="s">
        <v>131</v>
      </c>
      <c r="H77" s="32"/>
    </row>
    <row r="78" spans="2:14" ht="15.75" customHeight="1" x14ac:dyDescent="0.2">
      <c r="B78" s="28"/>
      <c r="C78" s="28"/>
      <c r="D78" s="28"/>
      <c r="E78" s="29"/>
      <c r="F78" s="30"/>
      <c r="G78" s="31"/>
      <c r="H78" s="32"/>
      <c r="J78" s="7"/>
      <c r="K78" s="7"/>
      <c r="L78" s="7"/>
      <c r="M78" s="7"/>
      <c r="N78" s="7"/>
    </row>
    <row r="79" spans="2:14" ht="15.75" customHeight="1" x14ac:dyDescent="0.2">
      <c r="B79" s="27" t="s">
        <v>132</v>
      </c>
      <c r="C79" s="28"/>
      <c r="D79" s="28"/>
      <c r="E79" s="29"/>
      <c r="F79" s="30"/>
      <c r="G79" s="31"/>
      <c r="H79" s="32"/>
      <c r="J79" s="7"/>
      <c r="K79" s="7"/>
      <c r="L79" s="7"/>
      <c r="M79" s="7"/>
      <c r="N79" s="7"/>
    </row>
    <row r="80" spans="2:14" ht="15.75" customHeight="1" x14ac:dyDescent="0.2">
      <c r="B80" s="27" t="s">
        <v>129</v>
      </c>
      <c r="C80" s="28"/>
      <c r="D80" s="28"/>
      <c r="E80" s="29"/>
      <c r="F80" s="37" t="s">
        <v>131</v>
      </c>
      <c r="G80" s="38" t="s">
        <v>131</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133</v>
      </c>
      <c r="C82" s="39"/>
      <c r="D82" s="39"/>
      <c r="E82" s="40"/>
      <c r="F82" s="34">
        <v>156.29</v>
      </c>
      <c r="G82" s="35">
        <v>0.1053</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139</v>
      </c>
      <c r="C85" s="28"/>
      <c r="D85" s="28"/>
      <c r="E85" s="29"/>
      <c r="F85" s="30"/>
      <c r="G85" s="31"/>
      <c r="H85" s="32"/>
    </row>
    <row r="86" spans="2:14" ht="15.75" customHeight="1" x14ac:dyDescent="0.2">
      <c r="B86" s="28" t="s">
        <v>140</v>
      </c>
      <c r="C86" s="28"/>
      <c r="D86" s="28"/>
      <c r="E86" s="29"/>
      <c r="F86" s="30">
        <v>110.35</v>
      </c>
      <c r="G86" s="31">
        <v>7.4300000000000005E-2</v>
      </c>
      <c r="H86" s="32"/>
      <c r="J86" s="3"/>
    </row>
    <row r="87" spans="2:14" ht="15.75" customHeight="1" x14ac:dyDescent="0.2">
      <c r="B87" s="27" t="s">
        <v>129</v>
      </c>
      <c r="C87" s="27"/>
      <c r="D87" s="27"/>
      <c r="E87" s="33"/>
      <c r="F87" s="34">
        <v>110.35</v>
      </c>
      <c r="G87" s="35">
        <v>7.4300000000000005E-2</v>
      </c>
      <c r="H87" s="36"/>
    </row>
    <row r="88" spans="2:14" ht="15.75" customHeight="1" x14ac:dyDescent="0.2">
      <c r="B88" s="28"/>
      <c r="C88" s="28"/>
      <c r="D88" s="28"/>
      <c r="E88" s="29"/>
      <c r="F88" s="30"/>
      <c r="G88" s="31"/>
      <c r="H88" s="32"/>
    </row>
    <row r="89" spans="2:14" ht="15.75" customHeight="1" x14ac:dyDescent="0.2">
      <c r="B89" s="39" t="s">
        <v>133</v>
      </c>
      <c r="C89" s="39"/>
      <c r="D89" s="39"/>
      <c r="E89" s="40"/>
      <c r="F89" s="34">
        <v>110.35</v>
      </c>
      <c r="G89" s="35">
        <v>7.4300000000000005E-2</v>
      </c>
      <c r="H89" s="36"/>
    </row>
    <row r="90" spans="2:14" ht="15.75" customHeight="1" x14ac:dyDescent="0.2">
      <c r="B90" s="28" t="s">
        <v>141</v>
      </c>
      <c r="C90" s="28"/>
      <c r="D90" s="28"/>
      <c r="E90" s="29"/>
      <c r="F90" s="50">
        <v>-2.91</v>
      </c>
      <c r="G90" s="51">
        <v>-1.9000000000000128E-3</v>
      </c>
      <c r="H90" s="32"/>
    </row>
    <row r="91" spans="2:14" ht="15.75" customHeight="1" x14ac:dyDescent="0.2">
      <c r="B91" s="41" t="s">
        <v>142</v>
      </c>
      <c r="C91" s="41"/>
      <c r="D91" s="41"/>
      <c r="E91" s="42"/>
      <c r="F91" s="43">
        <v>1484.6</v>
      </c>
      <c r="G91" s="44">
        <v>1</v>
      </c>
      <c r="H91" s="45"/>
    </row>
    <row r="92" spans="2:14" ht="15.75" customHeight="1" x14ac:dyDescent="0.2">
      <c r="B92" s="2"/>
    </row>
    <row r="93" spans="2:14" s="7" customFormat="1" ht="15.6" customHeight="1" x14ac:dyDescent="0.25">
      <c r="B93" s="63" t="s">
        <v>1067</v>
      </c>
      <c r="C93" s="70"/>
      <c r="D93" s="70"/>
      <c r="E93" s="70"/>
      <c r="F93" s="70"/>
      <c r="G93" s="70"/>
      <c r="H93" s="64"/>
    </row>
    <row r="94" spans="2:14" s="7" customFormat="1" ht="15.6" customHeight="1" x14ac:dyDescent="0.25">
      <c r="B94" s="63" t="s">
        <v>1108</v>
      </c>
      <c r="C94" s="70"/>
      <c r="D94" s="70"/>
      <c r="E94" s="70"/>
      <c r="F94" s="70"/>
      <c r="G94" s="70"/>
      <c r="H94" s="64"/>
    </row>
    <row r="95" spans="2:14" s="7" customFormat="1" ht="15.6" customHeight="1" x14ac:dyDescent="0.25">
      <c r="B95" s="63" t="s">
        <v>1068</v>
      </c>
      <c r="C95" s="70"/>
      <c r="D95" s="70"/>
      <c r="E95" s="70"/>
      <c r="F95" s="70"/>
      <c r="G95" s="70"/>
      <c r="H95" s="64"/>
    </row>
    <row r="96" spans="2:14" s="7" customFormat="1" ht="15.6" customHeight="1" x14ac:dyDescent="0.25">
      <c r="B96" s="71"/>
      <c r="C96" s="65">
        <v>46142</v>
      </c>
      <c r="D96" s="65">
        <v>46112</v>
      </c>
      <c r="E96" s="70"/>
      <c r="F96" s="70"/>
      <c r="G96" s="70"/>
      <c r="H96" s="64"/>
    </row>
    <row r="97" spans="2:8" s="7" customFormat="1" ht="15.6" customHeight="1" x14ac:dyDescent="0.25">
      <c r="B97" s="71" t="s">
        <v>1069</v>
      </c>
      <c r="C97" s="66"/>
      <c r="D97" s="66"/>
      <c r="E97" s="70"/>
      <c r="F97" s="70"/>
      <c r="G97" s="70"/>
      <c r="H97" s="64"/>
    </row>
    <row r="98" spans="2:8" s="7" customFormat="1" ht="15.6" customHeight="1" x14ac:dyDescent="0.25">
      <c r="B98" s="71" t="s">
        <v>1070</v>
      </c>
      <c r="C98" s="67">
        <v>31.677800000000001</v>
      </c>
      <c r="D98" s="67">
        <v>28.755600000000001</v>
      </c>
      <c r="E98" s="70"/>
      <c r="F98" s="70"/>
      <c r="G98" s="70"/>
      <c r="H98" s="64"/>
    </row>
    <row r="99" spans="2:8" s="7" customFormat="1" ht="15.6" customHeight="1" x14ac:dyDescent="0.25">
      <c r="B99" s="71" t="s">
        <v>1073</v>
      </c>
      <c r="C99" s="67">
        <v>35.540900000000001</v>
      </c>
      <c r="D99" s="67">
        <v>32.238900000000001</v>
      </c>
      <c r="E99" s="70"/>
      <c r="F99" s="70"/>
      <c r="G99" s="70"/>
      <c r="H99" s="64"/>
    </row>
    <row r="100" spans="2:8" s="7" customFormat="1" ht="15.6" customHeight="1" x14ac:dyDescent="0.25">
      <c r="B100" s="63" t="s">
        <v>1116</v>
      </c>
      <c r="C100" s="70"/>
      <c r="D100" s="70"/>
      <c r="E100" s="70"/>
      <c r="F100" s="70"/>
      <c r="G100" s="70"/>
      <c r="H100" s="64"/>
    </row>
    <row r="101" spans="2:8" s="7" customFormat="1" ht="15.6" customHeight="1" x14ac:dyDescent="0.25">
      <c r="B101" s="63" t="s">
        <v>1109</v>
      </c>
      <c r="C101" s="70"/>
      <c r="D101" s="70"/>
      <c r="E101" s="70"/>
      <c r="F101" s="70"/>
      <c r="G101" s="70"/>
      <c r="H101" s="64"/>
    </row>
    <row r="102" spans="2:8" s="7" customFormat="1" ht="15.6" customHeight="1" x14ac:dyDescent="0.25">
      <c r="B102" s="63" t="s">
        <v>1111</v>
      </c>
      <c r="C102" s="70"/>
      <c r="D102" s="70"/>
      <c r="E102" s="70"/>
      <c r="F102" s="70"/>
      <c r="G102" s="70"/>
      <c r="H102" s="64"/>
    </row>
    <row r="103" spans="2:8" s="7" customFormat="1" ht="15.6" customHeight="1" x14ac:dyDescent="0.25">
      <c r="B103" s="63" t="s">
        <v>1112</v>
      </c>
      <c r="C103" s="70"/>
      <c r="D103" s="70"/>
      <c r="E103" s="70"/>
      <c r="F103" s="70"/>
      <c r="G103" s="70"/>
      <c r="H103" s="64"/>
    </row>
    <row r="104" spans="2:8" s="7" customFormat="1" ht="15.6" customHeight="1" x14ac:dyDescent="0.25">
      <c r="B104" s="63" t="s">
        <v>1119</v>
      </c>
      <c r="C104" s="70"/>
      <c r="D104" s="70"/>
      <c r="E104" s="70"/>
      <c r="F104" s="70"/>
      <c r="G104" s="70"/>
      <c r="H104" s="64"/>
    </row>
    <row r="105" spans="2:8" s="7" customFormat="1" ht="15.6" customHeight="1" x14ac:dyDescent="0.25">
      <c r="B105" s="63" t="s">
        <v>1113</v>
      </c>
      <c r="C105" s="70"/>
      <c r="D105" s="70"/>
      <c r="E105" s="70"/>
      <c r="F105" s="70"/>
      <c r="G105" s="70"/>
      <c r="H105" s="64"/>
    </row>
    <row r="106" spans="2:8" s="7" customFormat="1" ht="15.6" customHeight="1" x14ac:dyDescent="0.25">
      <c r="B106" s="68" t="s">
        <v>1076</v>
      </c>
      <c r="C106" s="72"/>
      <c r="D106" s="72"/>
      <c r="E106" s="72"/>
      <c r="F106" s="72"/>
      <c r="G106" s="72"/>
      <c r="H106" s="69"/>
    </row>
    <row r="107" spans="2:8" ht="15.75" customHeight="1" thickBot="1" x14ac:dyDescent="0.25"/>
    <row r="108" spans="2:8" ht="39.75" customHeight="1" thickBot="1" x14ac:dyDescent="0.3">
      <c r="B108" s="46" t="s">
        <v>146</v>
      </c>
      <c r="C108" s="47" t="s">
        <v>147</v>
      </c>
      <c r="D108" s="47" t="s">
        <v>148</v>
      </c>
      <c r="E108"/>
    </row>
    <row r="109" spans="2:8" ht="39.75" customHeight="1" x14ac:dyDescent="0.25">
      <c r="B109" s="52" t="s">
        <v>598</v>
      </c>
      <c r="C109" s="109"/>
      <c r="D109" s="48" t="s">
        <v>599</v>
      </c>
      <c r="E109"/>
    </row>
    <row r="110" spans="2:8" ht="39.75" customHeight="1" x14ac:dyDescent="0.25">
      <c r="B110" s="112" t="s">
        <v>600</v>
      </c>
      <c r="C110" s="110"/>
      <c r="D110" s="118"/>
      <c r="E110"/>
    </row>
    <row r="111" spans="2:8" ht="39.75" customHeight="1" x14ac:dyDescent="0.25">
      <c r="B111" s="112"/>
      <c r="C111" s="110"/>
      <c r="D111" s="118"/>
      <c r="E111"/>
    </row>
    <row r="112" spans="2:8" ht="39.75" customHeight="1" x14ac:dyDescent="0.25">
      <c r="B112" s="112"/>
      <c r="C112" s="110"/>
      <c r="D112" s="118"/>
      <c r="E112"/>
    </row>
    <row r="113" spans="2:5" ht="39.75" customHeight="1" thickBot="1" x14ac:dyDescent="0.3">
      <c r="B113" s="113"/>
      <c r="C113" s="111"/>
      <c r="D113" s="119"/>
      <c r="E113"/>
    </row>
    <row r="114" spans="2:5" ht="15.75" customHeight="1" x14ac:dyDescent="0.2">
      <c r="B114" s="9" t="s">
        <v>149</v>
      </c>
    </row>
    <row r="115" spans="2:5" ht="15.75" customHeight="1" x14ac:dyDescent="0.2">
      <c r="B115" s="9" t="s">
        <v>150</v>
      </c>
    </row>
    <row r="116" spans="2:5" ht="15.75" customHeight="1" x14ac:dyDescent="0.2">
      <c r="B116" s="9" t="s">
        <v>151</v>
      </c>
    </row>
  </sheetData>
  <mergeCells count="3">
    <mergeCell ref="C109:C113"/>
    <mergeCell ref="B110:B113"/>
    <mergeCell ref="D110:D113"/>
  </mergeCells>
  <hyperlinks>
    <hyperlink ref="G1" location="'Sheet1'!A1" display="Index" xr:uid="{AA116491-91EC-4415-9D60-ED1BD21CE08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FFFA-AB59-4473-9C8D-87D987BBE7F5}">
  <dimension ref="B1:N101"/>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214</v>
      </c>
      <c r="C7" s="28" t="s">
        <v>215</v>
      </c>
      <c r="D7" s="28" t="s">
        <v>216</v>
      </c>
      <c r="E7" s="29">
        <v>83286</v>
      </c>
      <c r="F7" s="30">
        <v>1571.44</v>
      </c>
      <c r="G7" s="31">
        <v>3.3300000000000003E-2</v>
      </c>
      <c r="H7" s="32"/>
    </row>
    <row r="8" spans="2:8" ht="15.75" customHeight="1" x14ac:dyDescent="0.2">
      <c r="B8" s="28" t="s">
        <v>386</v>
      </c>
      <c r="C8" s="28" t="s">
        <v>387</v>
      </c>
      <c r="D8" s="28" t="s">
        <v>388</v>
      </c>
      <c r="E8" s="29">
        <v>59583</v>
      </c>
      <c r="F8" s="30">
        <v>1341.21</v>
      </c>
      <c r="G8" s="31">
        <v>2.8400000000000002E-2</v>
      </c>
      <c r="H8" s="32"/>
    </row>
    <row r="9" spans="2:8" ht="15.75" customHeight="1" x14ac:dyDescent="0.2">
      <c r="B9" s="28" t="s">
        <v>193</v>
      </c>
      <c r="C9" s="28" t="s">
        <v>194</v>
      </c>
      <c r="D9" s="28" t="s">
        <v>195</v>
      </c>
      <c r="E9" s="29">
        <v>42807</v>
      </c>
      <c r="F9" s="30">
        <v>1325.95</v>
      </c>
      <c r="G9" s="31">
        <v>2.81E-2</v>
      </c>
      <c r="H9" s="32"/>
    </row>
    <row r="10" spans="2:8" ht="15.75" customHeight="1" x14ac:dyDescent="0.2">
      <c r="B10" s="28" t="s">
        <v>393</v>
      </c>
      <c r="C10" s="28" t="s">
        <v>394</v>
      </c>
      <c r="D10" s="28" t="s">
        <v>395</v>
      </c>
      <c r="E10" s="29">
        <v>16733</v>
      </c>
      <c r="F10" s="30">
        <v>1277.82</v>
      </c>
      <c r="G10" s="31">
        <v>2.7099999999999999E-2</v>
      </c>
      <c r="H10" s="32"/>
    </row>
    <row r="11" spans="2:8" ht="15.75" customHeight="1" x14ac:dyDescent="0.2">
      <c r="B11" s="28" t="s">
        <v>580</v>
      </c>
      <c r="C11" s="28" t="s">
        <v>581</v>
      </c>
      <c r="D11" s="28" t="s">
        <v>483</v>
      </c>
      <c r="E11" s="29">
        <v>33825</v>
      </c>
      <c r="F11" s="30">
        <v>1157.8599999999999</v>
      </c>
      <c r="G11" s="31">
        <v>2.4500000000000001E-2</v>
      </c>
      <c r="H11" s="32"/>
    </row>
    <row r="12" spans="2:8" ht="15.75" customHeight="1" x14ac:dyDescent="0.2">
      <c r="B12" s="28" t="s">
        <v>464</v>
      </c>
      <c r="C12" s="28" t="s">
        <v>465</v>
      </c>
      <c r="D12" s="28" t="s">
        <v>195</v>
      </c>
      <c r="E12" s="29">
        <v>32955</v>
      </c>
      <c r="F12" s="30">
        <v>1151.0899999999999</v>
      </c>
      <c r="G12" s="31">
        <v>2.4400000000000002E-2</v>
      </c>
      <c r="H12" s="32"/>
    </row>
    <row r="13" spans="2:8" ht="15.75" customHeight="1" x14ac:dyDescent="0.2">
      <c r="B13" s="28" t="s">
        <v>497</v>
      </c>
      <c r="C13" s="28" t="s">
        <v>498</v>
      </c>
      <c r="D13" s="28" t="s">
        <v>243</v>
      </c>
      <c r="E13" s="29">
        <v>901462</v>
      </c>
      <c r="F13" s="30">
        <v>1102.4000000000001</v>
      </c>
      <c r="G13" s="31">
        <v>2.3300000000000001E-2</v>
      </c>
      <c r="H13" s="32"/>
    </row>
    <row r="14" spans="2:8" ht="15.75" customHeight="1" x14ac:dyDescent="0.2">
      <c r="B14" s="28" t="s">
        <v>491</v>
      </c>
      <c r="C14" s="28" t="s">
        <v>492</v>
      </c>
      <c r="D14" s="28" t="s">
        <v>271</v>
      </c>
      <c r="E14" s="29">
        <v>68769</v>
      </c>
      <c r="F14" s="30">
        <v>1095.49</v>
      </c>
      <c r="G14" s="31">
        <v>2.3199999999999998E-2</v>
      </c>
      <c r="H14" s="32"/>
    </row>
    <row r="15" spans="2:8" ht="15.75" customHeight="1" x14ac:dyDescent="0.2">
      <c r="B15" s="28" t="s">
        <v>601</v>
      </c>
      <c r="C15" s="28" t="s">
        <v>602</v>
      </c>
      <c r="D15" s="28" t="s">
        <v>483</v>
      </c>
      <c r="E15" s="29">
        <v>194220</v>
      </c>
      <c r="F15" s="30">
        <v>1032.8599999999999</v>
      </c>
      <c r="G15" s="31">
        <v>2.1899999999999999E-2</v>
      </c>
      <c r="H15" s="32"/>
    </row>
    <row r="16" spans="2:8" ht="15.75" customHeight="1" x14ac:dyDescent="0.2">
      <c r="B16" s="28" t="s">
        <v>356</v>
      </c>
      <c r="C16" s="28" t="s">
        <v>357</v>
      </c>
      <c r="D16" s="28" t="s">
        <v>287</v>
      </c>
      <c r="E16" s="29">
        <v>23212</v>
      </c>
      <c r="F16" s="30">
        <v>997.03</v>
      </c>
      <c r="G16" s="31">
        <v>2.1100000000000001E-2</v>
      </c>
      <c r="H16" s="32"/>
    </row>
    <row r="17" spans="2:8" ht="15.75" customHeight="1" x14ac:dyDescent="0.2">
      <c r="B17" s="28" t="s">
        <v>468</v>
      </c>
      <c r="C17" s="28" t="s">
        <v>469</v>
      </c>
      <c r="D17" s="28" t="s">
        <v>470</v>
      </c>
      <c r="E17" s="29">
        <v>619472</v>
      </c>
      <c r="F17" s="30">
        <v>994.69</v>
      </c>
      <c r="G17" s="31">
        <v>2.1100000000000001E-2</v>
      </c>
      <c r="H17" s="32"/>
    </row>
    <row r="18" spans="2:8" ht="15.75" customHeight="1" x14ac:dyDescent="0.2">
      <c r="B18" s="28" t="s">
        <v>398</v>
      </c>
      <c r="C18" s="28" t="s">
        <v>399</v>
      </c>
      <c r="D18" s="28" t="s">
        <v>331</v>
      </c>
      <c r="E18" s="29">
        <v>18723</v>
      </c>
      <c r="F18" s="30">
        <v>989.89</v>
      </c>
      <c r="G18" s="31">
        <v>2.1000000000000001E-2</v>
      </c>
      <c r="H18" s="32"/>
    </row>
    <row r="19" spans="2:8" ht="15.75" customHeight="1" x14ac:dyDescent="0.2">
      <c r="B19" s="28" t="s">
        <v>460</v>
      </c>
      <c r="C19" s="28" t="s">
        <v>461</v>
      </c>
      <c r="D19" s="28" t="s">
        <v>271</v>
      </c>
      <c r="E19" s="29">
        <v>190957</v>
      </c>
      <c r="F19" s="30">
        <v>952.21</v>
      </c>
      <c r="G19" s="31">
        <v>2.0199999999999999E-2</v>
      </c>
      <c r="H19" s="32"/>
    </row>
    <row r="20" spans="2:8" ht="15.75" customHeight="1" x14ac:dyDescent="0.2">
      <c r="B20" s="28" t="s">
        <v>183</v>
      </c>
      <c r="C20" s="28" t="s">
        <v>184</v>
      </c>
      <c r="D20" s="28" t="s">
        <v>173</v>
      </c>
      <c r="E20" s="29">
        <v>74910</v>
      </c>
      <c r="F20" s="30">
        <v>950.08</v>
      </c>
      <c r="G20" s="31">
        <v>2.01E-2</v>
      </c>
      <c r="H20" s="32"/>
    </row>
    <row r="21" spans="2:8" ht="15.75" customHeight="1" x14ac:dyDescent="0.2">
      <c r="B21" s="28" t="s">
        <v>185</v>
      </c>
      <c r="C21" s="28" t="s">
        <v>186</v>
      </c>
      <c r="D21" s="28" t="s">
        <v>187</v>
      </c>
      <c r="E21" s="29">
        <v>40849</v>
      </c>
      <c r="F21" s="30">
        <v>919.47</v>
      </c>
      <c r="G21" s="31">
        <v>1.95E-2</v>
      </c>
      <c r="H21" s="32"/>
    </row>
    <row r="22" spans="2:8" ht="15.75" customHeight="1" x14ac:dyDescent="0.2">
      <c r="B22" s="28" t="s">
        <v>603</v>
      </c>
      <c r="C22" s="28" t="s">
        <v>604</v>
      </c>
      <c r="D22" s="28" t="s">
        <v>345</v>
      </c>
      <c r="E22" s="29">
        <v>66799</v>
      </c>
      <c r="F22" s="30">
        <v>918.95</v>
      </c>
      <c r="G22" s="31">
        <v>1.95E-2</v>
      </c>
      <c r="H22" s="32"/>
    </row>
    <row r="23" spans="2:8" ht="15.75" customHeight="1" x14ac:dyDescent="0.2">
      <c r="B23" s="28" t="s">
        <v>384</v>
      </c>
      <c r="C23" s="28" t="s">
        <v>385</v>
      </c>
      <c r="D23" s="28" t="s">
        <v>238</v>
      </c>
      <c r="E23" s="29">
        <v>21882</v>
      </c>
      <c r="F23" s="30">
        <v>915.78</v>
      </c>
      <c r="G23" s="31">
        <v>1.9400000000000001E-2</v>
      </c>
      <c r="H23" s="32"/>
    </row>
    <row r="24" spans="2:8" ht="15.75" customHeight="1" x14ac:dyDescent="0.2">
      <c r="B24" s="28" t="s">
        <v>292</v>
      </c>
      <c r="C24" s="28" t="s">
        <v>293</v>
      </c>
      <c r="D24" s="28" t="s">
        <v>195</v>
      </c>
      <c r="E24" s="29">
        <v>267227</v>
      </c>
      <c r="F24" s="30">
        <v>912.71</v>
      </c>
      <c r="G24" s="31">
        <v>1.9300000000000001E-2</v>
      </c>
      <c r="H24" s="32"/>
    </row>
    <row r="25" spans="2:8" ht="15.75" customHeight="1" x14ac:dyDescent="0.2">
      <c r="B25" s="28" t="s">
        <v>605</v>
      </c>
      <c r="C25" s="28" t="s">
        <v>606</v>
      </c>
      <c r="D25" s="28" t="s">
        <v>470</v>
      </c>
      <c r="E25" s="29">
        <v>141113</v>
      </c>
      <c r="F25" s="30">
        <v>897.27</v>
      </c>
      <c r="G25" s="31">
        <v>1.9E-2</v>
      </c>
      <c r="H25" s="32"/>
    </row>
    <row r="26" spans="2:8" ht="15.75" customHeight="1" x14ac:dyDescent="0.2">
      <c r="B26" s="28" t="s">
        <v>607</v>
      </c>
      <c r="C26" s="28" t="s">
        <v>608</v>
      </c>
      <c r="D26" s="28" t="s">
        <v>338</v>
      </c>
      <c r="E26" s="29">
        <v>112746</v>
      </c>
      <c r="F26" s="30">
        <v>873.78</v>
      </c>
      <c r="G26" s="31">
        <v>1.8499999999999999E-2</v>
      </c>
      <c r="H26" s="32"/>
    </row>
    <row r="27" spans="2:8" ht="15.75" customHeight="1" x14ac:dyDescent="0.2">
      <c r="B27" s="28" t="s">
        <v>584</v>
      </c>
      <c r="C27" s="28" t="s">
        <v>585</v>
      </c>
      <c r="D27" s="28" t="s">
        <v>271</v>
      </c>
      <c r="E27" s="29">
        <v>85187</v>
      </c>
      <c r="F27" s="30">
        <v>871.34</v>
      </c>
      <c r="G27" s="31">
        <v>1.84E-2</v>
      </c>
      <c r="H27" s="32"/>
    </row>
    <row r="28" spans="2:8" ht="15.75" customHeight="1" x14ac:dyDescent="0.2">
      <c r="B28" s="28" t="s">
        <v>586</v>
      </c>
      <c r="C28" s="28" t="s">
        <v>587</v>
      </c>
      <c r="D28" s="28" t="s">
        <v>196</v>
      </c>
      <c r="E28" s="29">
        <v>128243</v>
      </c>
      <c r="F28" s="30">
        <v>867.76</v>
      </c>
      <c r="G28" s="31">
        <v>1.84E-2</v>
      </c>
      <c r="H28" s="32"/>
    </row>
    <row r="29" spans="2:8" ht="15.75" customHeight="1" x14ac:dyDescent="0.2">
      <c r="B29" s="28" t="s">
        <v>567</v>
      </c>
      <c r="C29" s="28" t="s">
        <v>568</v>
      </c>
      <c r="D29" s="28" t="s">
        <v>470</v>
      </c>
      <c r="E29" s="29">
        <v>112930</v>
      </c>
      <c r="F29" s="30">
        <v>855.67</v>
      </c>
      <c r="G29" s="31">
        <v>1.8100000000000002E-2</v>
      </c>
      <c r="H29" s="32"/>
    </row>
    <row r="30" spans="2:8" ht="15.75" customHeight="1" x14ac:dyDescent="0.2">
      <c r="B30" s="28" t="s">
        <v>458</v>
      </c>
      <c r="C30" s="28" t="s">
        <v>459</v>
      </c>
      <c r="D30" s="28" t="s">
        <v>196</v>
      </c>
      <c r="E30" s="29">
        <v>435145</v>
      </c>
      <c r="F30" s="30">
        <v>853.8</v>
      </c>
      <c r="G30" s="31">
        <v>1.8100000000000002E-2</v>
      </c>
      <c r="H30" s="32"/>
    </row>
    <row r="31" spans="2:8" ht="15.75" customHeight="1" x14ac:dyDescent="0.2">
      <c r="B31" s="28" t="s">
        <v>329</v>
      </c>
      <c r="C31" s="28" t="s">
        <v>330</v>
      </c>
      <c r="D31" s="28" t="s">
        <v>331</v>
      </c>
      <c r="E31" s="29">
        <v>7208</v>
      </c>
      <c r="F31" s="30">
        <v>835.12</v>
      </c>
      <c r="G31" s="31">
        <v>1.77E-2</v>
      </c>
      <c r="H31" s="32"/>
    </row>
    <row r="32" spans="2:8" ht="15.75" customHeight="1" x14ac:dyDescent="0.2">
      <c r="B32" s="28" t="s">
        <v>258</v>
      </c>
      <c r="C32" s="28" t="s">
        <v>259</v>
      </c>
      <c r="D32" s="28" t="s">
        <v>195</v>
      </c>
      <c r="E32" s="29">
        <v>11737</v>
      </c>
      <c r="F32" s="30">
        <v>834.38</v>
      </c>
      <c r="G32" s="31">
        <v>1.77E-2</v>
      </c>
      <c r="H32" s="32"/>
    </row>
    <row r="33" spans="2:8" ht="15.75" customHeight="1" x14ac:dyDescent="0.2">
      <c r="B33" s="28" t="s">
        <v>609</v>
      </c>
      <c r="C33" s="28" t="s">
        <v>610</v>
      </c>
      <c r="D33" s="28" t="s">
        <v>395</v>
      </c>
      <c r="E33" s="29">
        <v>173488</v>
      </c>
      <c r="F33" s="30">
        <v>826.67</v>
      </c>
      <c r="G33" s="31">
        <v>1.7500000000000002E-2</v>
      </c>
      <c r="H33" s="32"/>
    </row>
    <row r="34" spans="2:8" ht="15.75" customHeight="1" x14ac:dyDescent="0.2">
      <c r="B34" s="28" t="s">
        <v>473</v>
      </c>
      <c r="C34" s="28" t="s">
        <v>474</v>
      </c>
      <c r="D34" s="28" t="s">
        <v>243</v>
      </c>
      <c r="E34" s="29">
        <v>184423</v>
      </c>
      <c r="F34" s="30">
        <v>817.27</v>
      </c>
      <c r="G34" s="31">
        <v>1.7299999999999999E-2</v>
      </c>
      <c r="H34" s="32"/>
    </row>
    <row r="35" spans="2:8" ht="15.75" customHeight="1" x14ac:dyDescent="0.2">
      <c r="B35" s="28" t="s">
        <v>611</v>
      </c>
      <c r="C35" s="28" t="s">
        <v>612</v>
      </c>
      <c r="D35" s="28" t="s">
        <v>271</v>
      </c>
      <c r="E35" s="29">
        <v>33918</v>
      </c>
      <c r="F35" s="30">
        <v>814.64</v>
      </c>
      <c r="G35" s="31">
        <v>1.72E-2</v>
      </c>
      <c r="H35" s="32"/>
    </row>
    <row r="36" spans="2:8" ht="15.75" customHeight="1" x14ac:dyDescent="0.2">
      <c r="B36" s="28" t="s">
        <v>262</v>
      </c>
      <c r="C36" s="28" t="s">
        <v>263</v>
      </c>
      <c r="D36" s="28" t="s">
        <v>243</v>
      </c>
      <c r="E36" s="29">
        <v>19197</v>
      </c>
      <c r="F36" s="30">
        <v>795.64</v>
      </c>
      <c r="G36" s="31">
        <v>1.6799999999999999E-2</v>
      </c>
      <c r="H36" s="32"/>
    </row>
    <row r="37" spans="2:8" ht="15.75" customHeight="1" x14ac:dyDescent="0.2">
      <c r="B37" s="28" t="s">
        <v>364</v>
      </c>
      <c r="C37" s="28" t="s">
        <v>365</v>
      </c>
      <c r="D37" s="28" t="s">
        <v>238</v>
      </c>
      <c r="E37" s="29">
        <v>3106</v>
      </c>
      <c r="F37" s="30">
        <v>790.01</v>
      </c>
      <c r="G37" s="31">
        <v>1.67E-2</v>
      </c>
      <c r="H37" s="32"/>
    </row>
    <row r="38" spans="2:8" ht="15.75" customHeight="1" x14ac:dyDescent="0.2">
      <c r="B38" s="28" t="s">
        <v>613</v>
      </c>
      <c r="C38" s="28" t="s">
        <v>614</v>
      </c>
      <c r="D38" s="28" t="s">
        <v>431</v>
      </c>
      <c r="E38" s="29">
        <v>28307</v>
      </c>
      <c r="F38" s="30">
        <v>767.86</v>
      </c>
      <c r="G38" s="31">
        <v>1.6299999999999999E-2</v>
      </c>
      <c r="H38" s="32"/>
    </row>
    <row r="39" spans="2:8" ht="15.75" customHeight="1" x14ac:dyDescent="0.2">
      <c r="B39" s="28" t="s">
        <v>327</v>
      </c>
      <c r="C39" s="28" t="s">
        <v>328</v>
      </c>
      <c r="D39" s="28" t="s">
        <v>277</v>
      </c>
      <c r="E39" s="29">
        <v>42084</v>
      </c>
      <c r="F39" s="30">
        <v>742.03</v>
      </c>
      <c r="G39" s="31">
        <v>1.5699999999999999E-2</v>
      </c>
      <c r="H39" s="32"/>
    </row>
    <row r="40" spans="2:8" ht="15.75" customHeight="1" x14ac:dyDescent="0.2">
      <c r="B40" s="28" t="s">
        <v>615</v>
      </c>
      <c r="C40" s="28" t="s">
        <v>616</v>
      </c>
      <c r="D40" s="28" t="s">
        <v>338</v>
      </c>
      <c r="E40" s="29">
        <v>64512</v>
      </c>
      <c r="F40" s="30">
        <v>732.28</v>
      </c>
      <c r="G40" s="31">
        <v>1.55E-2</v>
      </c>
      <c r="H40" s="32"/>
    </row>
    <row r="41" spans="2:8" ht="15.75" customHeight="1" x14ac:dyDescent="0.2">
      <c r="B41" s="28" t="s">
        <v>241</v>
      </c>
      <c r="C41" s="28" t="s">
        <v>242</v>
      </c>
      <c r="D41" s="28" t="s">
        <v>243</v>
      </c>
      <c r="E41" s="29">
        <v>294559</v>
      </c>
      <c r="F41" s="30">
        <v>727.65</v>
      </c>
      <c r="G41" s="31">
        <v>1.54E-2</v>
      </c>
      <c r="H41" s="32"/>
    </row>
    <row r="42" spans="2:8" ht="15.75" customHeight="1" x14ac:dyDescent="0.2">
      <c r="B42" s="28" t="s">
        <v>283</v>
      </c>
      <c r="C42" s="28" t="s">
        <v>284</v>
      </c>
      <c r="D42" s="28" t="s">
        <v>277</v>
      </c>
      <c r="E42" s="29">
        <v>123564</v>
      </c>
      <c r="F42" s="30">
        <v>725.2</v>
      </c>
      <c r="G42" s="31">
        <v>1.54E-2</v>
      </c>
      <c r="H42" s="32"/>
    </row>
    <row r="43" spans="2:8" ht="15.75" customHeight="1" x14ac:dyDescent="0.2">
      <c r="B43" s="28" t="s">
        <v>617</v>
      </c>
      <c r="C43" s="28" t="s">
        <v>618</v>
      </c>
      <c r="D43" s="28" t="s">
        <v>619</v>
      </c>
      <c r="E43" s="29">
        <v>34499</v>
      </c>
      <c r="F43" s="30">
        <v>723.17</v>
      </c>
      <c r="G43" s="31">
        <v>1.5299999999999999E-2</v>
      </c>
      <c r="H43" s="32"/>
    </row>
    <row r="44" spans="2:8" ht="15.75" customHeight="1" x14ac:dyDescent="0.2">
      <c r="B44" s="28" t="s">
        <v>256</v>
      </c>
      <c r="C44" s="28" t="s">
        <v>257</v>
      </c>
      <c r="D44" s="28" t="s">
        <v>187</v>
      </c>
      <c r="E44" s="29">
        <v>229062</v>
      </c>
      <c r="F44" s="30">
        <v>721.32</v>
      </c>
      <c r="G44" s="31">
        <v>1.5299999999999999E-2</v>
      </c>
      <c r="H44" s="32"/>
    </row>
    <row r="45" spans="2:8" ht="15.75" customHeight="1" x14ac:dyDescent="0.2">
      <c r="B45" s="28" t="s">
        <v>620</v>
      </c>
      <c r="C45" s="28" t="s">
        <v>621</v>
      </c>
      <c r="D45" s="28" t="s">
        <v>271</v>
      </c>
      <c r="E45" s="29">
        <v>50290</v>
      </c>
      <c r="F45" s="30">
        <v>710.35</v>
      </c>
      <c r="G45" s="31">
        <v>1.4999999999999999E-2</v>
      </c>
      <c r="H45" s="32"/>
    </row>
    <row r="46" spans="2:8" ht="15.75" customHeight="1" x14ac:dyDescent="0.2">
      <c r="B46" s="28" t="s">
        <v>622</v>
      </c>
      <c r="C46" s="28" t="s">
        <v>623</v>
      </c>
      <c r="D46" s="28" t="s">
        <v>196</v>
      </c>
      <c r="E46" s="29">
        <v>12290</v>
      </c>
      <c r="F46" s="30">
        <v>703.73</v>
      </c>
      <c r="G46" s="31">
        <v>1.49E-2</v>
      </c>
      <c r="H46" s="32"/>
    </row>
    <row r="47" spans="2:8" ht="15.75" customHeight="1" x14ac:dyDescent="0.2">
      <c r="B47" s="28" t="s">
        <v>296</v>
      </c>
      <c r="C47" s="28" t="s">
        <v>297</v>
      </c>
      <c r="D47" s="28" t="s">
        <v>271</v>
      </c>
      <c r="E47" s="29">
        <v>15435</v>
      </c>
      <c r="F47" s="30">
        <v>676.86</v>
      </c>
      <c r="G47" s="31">
        <v>1.43E-2</v>
      </c>
      <c r="H47" s="32"/>
    </row>
    <row r="48" spans="2:8" ht="15.75" customHeight="1" x14ac:dyDescent="0.2">
      <c r="B48" s="28" t="s">
        <v>415</v>
      </c>
      <c r="C48" s="28" t="s">
        <v>416</v>
      </c>
      <c r="D48" s="28" t="s">
        <v>238</v>
      </c>
      <c r="E48" s="29">
        <v>14309</v>
      </c>
      <c r="F48" s="30">
        <v>674.04</v>
      </c>
      <c r="G48" s="31">
        <v>1.43E-2</v>
      </c>
      <c r="H48" s="32"/>
    </row>
    <row r="49" spans="2:8" ht="15.75" customHeight="1" x14ac:dyDescent="0.2">
      <c r="B49" s="28" t="s">
        <v>339</v>
      </c>
      <c r="C49" s="28" t="s">
        <v>340</v>
      </c>
      <c r="D49" s="28" t="s">
        <v>196</v>
      </c>
      <c r="E49" s="29">
        <v>105359</v>
      </c>
      <c r="F49" s="30">
        <v>672.51</v>
      </c>
      <c r="G49" s="31">
        <v>1.4200000000000001E-2</v>
      </c>
      <c r="H49" s="32"/>
    </row>
    <row r="50" spans="2:8" ht="15.75" customHeight="1" x14ac:dyDescent="0.2">
      <c r="B50" s="28" t="s">
        <v>528</v>
      </c>
      <c r="C50" s="28" t="s">
        <v>529</v>
      </c>
      <c r="D50" s="28" t="s">
        <v>431</v>
      </c>
      <c r="E50" s="29">
        <v>65099</v>
      </c>
      <c r="F50" s="30">
        <v>657.47</v>
      </c>
      <c r="G50" s="31">
        <v>1.3899999999999999E-2</v>
      </c>
      <c r="H50" s="32"/>
    </row>
    <row r="51" spans="2:8" ht="15.75" customHeight="1" x14ac:dyDescent="0.2">
      <c r="B51" s="28" t="s">
        <v>624</v>
      </c>
      <c r="C51" s="28" t="s">
        <v>625</v>
      </c>
      <c r="D51" s="28" t="s">
        <v>619</v>
      </c>
      <c r="E51" s="29">
        <v>139338</v>
      </c>
      <c r="F51" s="30">
        <v>619.36</v>
      </c>
      <c r="G51" s="31">
        <v>1.3100000000000001E-2</v>
      </c>
      <c r="H51" s="32"/>
    </row>
    <row r="52" spans="2:8" ht="15.75" customHeight="1" x14ac:dyDescent="0.2">
      <c r="B52" s="28" t="s">
        <v>626</v>
      </c>
      <c r="C52" s="28" t="s">
        <v>627</v>
      </c>
      <c r="D52" s="28" t="s">
        <v>619</v>
      </c>
      <c r="E52" s="29">
        <v>6594</v>
      </c>
      <c r="F52" s="30">
        <v>524.45000000000005</v>
      </c>
      <c r="G52" s="31">
        <v>1.11E-2</v>
      </c>
      <c r="H52" s="32"/>
    </row>
    <row r="53" spans="2:8" ht="15.75" customHeight="1" x14ac:dyDescent="0.2">
      <c r="B53" s="28" t="s">
        <v>520</v>
      </c>
      <c r="C53" s="28" t="s">
        <v>521</v>
      </c>
      <c r="D53" s="28" t="s">
        <v>173</v>
      </c>
      <c r="E53" s="29">
        <v>845665</v>
      </c>
      <c r="F53" s="30">
        <v>481.01</v>
      </c>
      <c r="G53" s="31">
        <v>1.0200000000000001E-2</v>
      </c>
      <c r="H53" s="32"/>
    </row>
    <row r="54" spans="2:8" ht="15.75" customHeight="1" x14ac:dyDescent="0.2">
      <c r="B54" s="28" t="s">
        <v>466</v>
      </c>
      <c r="C54" s="28" t="s">
        <v>467</v>
      </c>
      <c r="D54" s="28" t="s">
        <v>395</v>
      </c>
      <c r="E54" s="29">
        <v>50256</v>
      </c>
      <c r="F54" s="30">
        <v>463.84</v>
      </c>
      <c r="G54" s="31">
        <v>9.7999999999999997E-3</v>
      </c>
      <c r="H54" s="32"/>
    </row>
    <row r="55" spans="2:8" ht="15.75" customHeight="1" x14ac:dyDescent="0.2">
      <c r="B55" s="28" t="s">
        <v>628</v>
      </c>
      <c r="C55" s="28" t="s">
        <v>629</v>
      </c>
      <c r="D55" s="28" t="s">
        <v>271</v>
      </c>
      <c r="E55" s="29">
        <v>25420</v>
      </c>
      <c r="F55" s="30">
        <v>452.73</v>
      </c>
      <c r="G55" s="31">
        <v>9.5999999999999992E-3</v>
      </c>
      <c r="H55" s="32"/>
    </row>
    <row r="56" spans="2:8" ht="15.75" customHeight="1" x14ac:dyDescent="0.2">
      <c r="B56" s="28" t="s">
        <v>630</v>
      </c>
      <c r="C56" s="28" t="s">
        <v>631</v>
      </c>
      <c r="D56" s="28" t="s">
        <v>195</v>
      </c>
      <c r="E56" s="29">
        <v>8424</v>
      </c>
      <c r="F56" s="30">
        <v>429.54</v>
      </c>
      <c r="G56" s="31">
        <v>9.1000000000000004E-3</v>
      </c>
      <c r="H56" s="32"/>
    </row>
    <row r="57" spans="2:8" ht="15.75" customHeight="1" x14ac:dyDescent="0.2">
      <c r="B57" s="28" t="s">
        <v>632</v>
      </c>
      <c r="C57" s="28" t="s">
        <v>633</v>
      </c>
      <c r="D57" s="28" t="s">
        <v>243</v>
      </c>
      <c r="E57" s="29">
        <v>65916</v>
      </c>
      <c r="F57" s="30">
        <v>406.34</v>
      </c>
      <c r="G57" s="31">
        <v>8.6E-3</v>
      </c>
      <c r="H57" s="32"/>
    </row>
    <row r="58" spans="2:8" ht="15.75" customHeight="1" x14ac:dyDescent="0.2">
      <c r="B58" s="28" t="s">
        <v>481</v>
      </c>
      <c r="C58" s="28" t="s">
        <v>482</v>
      </c>
      <c r="D58" s="28" t="s">
        <v>483</v>
      </c>
      <c r="E58" s="29">
        <v>44233</v>
      </c>
      <c r="F58" s="30">
        <v>227.22</v>
      </c>
      <c r="G58" s="31">
        <v>4.7999999999999996E-3</v>
      </c>
      <c r="H58" s="32"/>
    </row>
    <row r="59" spans="2:8" ht="15.75" customHeight="1" x14ac:dyDescent="0.2">
      <c r="B59" s="28" t="s">
        <v>634</v>
      </c>
      <c r="C59" s="28" t="s">
        <v>635</v>
      </c>
      <c r="D59" s="28" t="s">
        <v>195</v>
      </c>
      <c r="E59" s="29">
        <v>11479</v>
      </c>
      <c r="F59" s="30">
        <v>208.64</v>
      </c>
      <c r="G59" s="31">
        <v>4.4000000000000003E-3</v>
      </c>
      <c r="H59" s="32"/>
    </row>
    <row r="60" spans="2:8" ht="15.75" customHeight="1" x14ac:dyDescent="0.2">
      <c r="B60" s="28" t="s">
        <v>488</v>
      </c>
      <c r="C60" s="28" t="s">
        <v>489</v>
      </c>
      <c r="D60" s="28" t="s">
        <v>490</v>
      </c>
      <c r="E60" s="29">
        <v>18370</v>
      </c>
      <c r="F60" s="30">
        <v>201.3</v>
      </c>
      <c r="G60" s="31">
        <v>4.3E-3</v>
      </c>
      <c r="H60" s="32"/>
    </row>
    <row r="61" spans="2:8" ht="15.75" customHeight="1" x14ac:dyDescent="0.2">
      <c r="B61" s="27" t="s">
        <v>129</v>
      </c>
      <c r="C61" s="27"/>
      <c r="D61" s="27"/>
      <c r="E61" s="33"/>
      <c r="F61" s="34">
        <v>43789.18</v>
      </c>
      <c r="G61" s="35">
        <v>0.92710000000000004</v>
      </c>
      <c r="H61" s="36"/>
    </row>
    <row r="62" spans="2:8" ht="15.75" customHeight="1" x14ac:dyDescent="0.2">
      <c r="B62" s="27" t="s">
        <v>197</v>
      </c>
      <c r="C62" s="28"/>
      <c r="D62" s="28"/>
      <c r="E62" s="29"/>
      <c r="F62" s="30"/>
      <c r="G62" s="31"/>
      <c r="H62" s="32"/>
    </row>
    <row r="63" spans="2:8" ht="15.75" customHeight="1" x14ac:dyDescent="0.2">
      <c r="B63" s="27" t="s">
        <v>129</v>
      </c>
      <c r="C63" s="28"/>
      <c r="D63" s="28"/>
      <c r="E63" s="29"/>
      <c r="F63" s="37" t="s">
        <v>131</v>
      </c>
      <c r="G63" s="38" t="s">
        <v>131</v>
      </c>
      <c r="H63" s="32"/>
    </row>
    <row r="64" spans="2:8" ht="15.75" customHeight="1" x14ac:dyDescent="0.2">
      <c r="B64" s="28"/>
      <c r="C64" s="28"/>
      <c r="D64" s="28"/>
      <c r="E64" s="29"/>
      <c r="F64" s="30"/>
      <c r="G64" s="31"/>
      <c r="H64" s="32"/>
    </row>
    <row r="65" spans="2:14" ht="15.75" customHeight="1" x14ac:dyDescent="0.2">
      <c r="B65" s="39" t="s">
        <v>133</v>
      </c>
      <c r="C65" s="39"/>
      <c r="D65" s="39"/>
      <c r="E65" s="40"/>
      <c r="F65" s="34">
        <v>43789.18</v>
      </c>
      <c r="G65" s="35">
        <v>0.92710000000000004</v>
      </c>
      <c r="H65" s="36"/>
    </row>
    <row r="66" spans="2:14" ht="15.75" customHeight="1" x14ac:dyDescent="0.2">
      <c r="B66" s="28"/>
      <c r="C66" s="28"/>
      <c r="D66" s="28"/>
      <c r="E66" s="29"/>
      <c r="F66" s="30"/>
      <c r="G66" s="31"/>
      <c r="H66" s="32"/>
    </row>
    <row r="67" spans="2:14" ht="15.75" customHeight="1" x14ac:dyDescent="0.2">
      <c r="B67" s="28"/>
      <c r="C67" s="28"/>
      <c r="D67" s="28"/>
      <c r="E67" s="29"/>
      <c r="F67" s="30"/>
      <c r="G67" s="31"/>
      <c r="H67" s="32"/>
    </row>
    <row r="68" spans="2:14" ht="15.75" customHeight="1" x14ac:dyDescent="0.2">
      <c r="B68" s="27" t="s">
        <v>139</v>
      </c>
      <c r="C68" s="28"/>
      <c r="D68" s="28"/>
      <c r="E68" s="29"/>
      <c r="F68" s="30"/>
      <c r="G68" s="31"/>
      <c r="H68" s="32"/>
      <c r="J68" s="3"/>
    </row>
    <row r="69" spans="2:14" ht="15.75" customHeight="1" x14ac:dyDescent="0.2">
      <c r="B69" s="28" t="s">
        <v>140</v>
      </c>
      <c r="C69" s="28"/>
      <c r="D69" s="28"/>
      <c r="E69" s="29"/>
      <c r="F69" s="30">
        <v>2134.88</v>
      </c>
      <c r="G69" s="31">
        <v>4.5199999999999997E-2</v>
      </c>
      <c r="H69" s="32"/>
    </row>
    <row r="70" spans="2:14" ht="15.75" customHeight="1" x14ac:dyDescent="0.2">
      <c r="B70" s="27" t="s">
        <v>129</v>
      </c>
      <c r="C70" s="27"/>
      <c r="D70" s="27"/>
      <c r="E70" s="33"/>
      <c r="F70" s="34">
        <v>2134.88</v>
      </c>
      <c r="G70" s="35">
        <v>4.5199999999999997E-2</v>
      </c>
      <c r="H70" s="36"/>
      <c r="J70" s="3"/>
    </row>
    <row r="71" spans="2:14" ht="15.75" customHeight="1" x14ac:dyDescent="0.2">
      <c r="B71" s="28"/>
      <c r="C71" s="28"/>
      <c r="D71" s="28"/>
      <c r="E71" s="29"/>
      <c r="F71" s="30"/>
      <c r="G71" s="31"/>
      <c r="H71" s="32"/>
      <c r="J71" s="3"/>
    </row>
    <row r="72" spans="2:14" ht="15.75" customHeight="1" x14ac:dyDescent="0.2">
      <c r="B72" s="39" t="s">
        <v>133</v>
      </c>
      <c r="C72" s="39"/>
      <c r="D72" s="39"/>
      <c r="E72" s="40"/>
      <c r="F72" s="34">
        <v>2134.88</v>
      </c>
      <c r="G72" s="35">
        <v>4.5199999999999997E-2</v>
      </c>
      <c r="H72" s="36"/>
      <c r="J72" s="3"/>
    </row>
    <row r="73" spans="2:14" ht="15.75" customHeight="1" x14ac:dyDescent="0.2">
      <c r="B73" s="28" t="s">
        <v>141</v>
      </c>
      <c r="C73" s="28"/>
      <c r="D73" s="28"/>
      <c r="E73" s="29"/>
      <c r="F73" s="30">
        <v>1307.73</v>
      </c>
      <c r="G73" s="31">
        <v>2.7699999999999947E-2</v>
      </c>
      <c r="H73" s="32"/>
      <c r="J73" s="3"/>
    </row>
    <row r="74" spans="2:14" ht="15.75" customHeight="1" x14ac:dyDescent="0.2">
      <c r="B74" s="41" t="s">
        <v>142</v>
      </c>
      <c r="C74" s="41"/>
      <c r="D74" s="41"/>
      <c r="E74" s="42"/>
      <c r="F74" s="43">
        <v>47231.79</v>
      </c>
      <c r="G74" s="44">
        <v>1</v>
      </c>
      <c r="H74" s="45"/>
      <c r="J74" s="3"/>
    </row>
    <row r="75" spans="2:14" ht="15.75" customHeight="1" x14ac:dyDescent="0.2">
      <c r="B75" s="2"/>
      <c r="J75" s="5"/>
      <c r="K75" s="5"/>
      <c r="L75" s="6"/>
      <c r="M75" s="6"/>
      <c r="N75" s="5"/>
    </row>
    <row r="76" spans="2:14" s="7" customFormat="1" ht="15.6" customHeight="1" x14ac:dyDescent="0.25">
      <c r="B76" s="63" t="s">
        <v>1067</v>
      </c>
      <c r="C76" s="70"/>
      <c r="D76" s="70"/>
      <c r="E76" s="70"/>
      <c r="F76" s="70"/>
      <c r="G76" s="70"/>
      <c r="H76" s="64"/>
    </row>
    <row r="77" spans="2:14" s="7" customFormat="1" ht="15.6" customHeight="1" x14ac:dyDescent="0.25">
      <c r="B77" s="63" t="s">
        <v>1108</v>
      </c>
      <c r="C77" s="70"/>
      <c r="D77" s="70"/>
      <c r="E77" s="70"/>
      <c r="F77" s="70"/>
      <c r="G77" s="70"/>
      <c r="H77" s="64"/>
    </row>
    <row r="78" spans="2:14" s="7" customFormat="1" ht="15.6" customHeight="1" x14ac:dyDescent="0.25">
      <c r="B78" s="63" t="s">
        <v>1068</v>
      </c>
      <c r="C78" s="70"/>
      <c r="D78" s="70"/>
      <c r="E78" s="70"/>
      <c r="F78" s="70"/>
      <c r="G78" s="70"/>
      <c r="H78" s="64"/>
    </row>
    <row r="79" spans="2:14" s="7" customFormat="1" ht="15.6" customHeight="1" x14ac:dyDescent="0.25">
      <c r="B79" s="71"/>
      <c r="C79" s="65">
        <v>46142</v>
      </c>
      <c r="D79" s="65">
        <v>46112</v>
      </c>
      <c r="E79" s="70"/>
      <c r="F79" s="70"/>
      <c r="G79" s="70"/>
      <c r="H79" s="64"/>
    </row>
    <row r="80" spans="2:14" s="7" customFormat="1" ht="15.6" customHeight="1" x14ac:dyDescent="0.25">
      <c r="B80" s="71" t="s">
        <v>1069</v>
      </c>
      <c r="C80" s="66"/>
      <c r="D80" s="66"/>
      <c r="E80" s="70"/>
      <c r="F80" s="70"/>
      <c r="G80" s="70"/>
      <c r="H80" s="64"/>
    </row>
    <row r="81" spans="2:14" s="7" customFormat="1" ht="15.6" customHeight="1" x14ac:dyDescent="0.25">
      <c r="B81" s="71" t="s">
        <v>1070</v>
      </c>
      <c r="C81" s="67">
        <v>9.3199000000000005</v>
      </c>
      <c r="D81" s="67">
        <v>8.4913000000000007</v>
      </c>
      <c r="E81" s="70"/>
      <c r="F81" s="70"/>
      <c r="G81" s="70"/>
      <c r="H81" s="64"/>
    </row>
    <row r="82" spans="2:14" s="7" customFormat="1" ht="15.6" customHeight="1" x14ac:dyDescent="0.25">
      <c r="B82" s="71" t="s">
        <v>1071</v>
      </c>
      <c r="C82" s="67">
        <v>9.3199000000000005</v>
      </c>
      <c r="D82" s="67">
        <v>8.4913000000000007</v>
      </c>
      <c r="E82" s="70"/>
      <c r="F82" s="70"/>
      <c r="G82" s="70"/>
      <c r="H82" s="64"/>
    </row>
    <row r="83" spans="2:14" s="7" customFormat="1" ht="15.6" customHeight="1" x14ac:dyDescent="0.25">
      <c r="B83" s="71" t="s">
        <v>1073</v>
      </c>
      <c r="C83" s="67">
        <v>9.3849</v>
      </c>
      <c r="D83" s="67">
        <v>8.5399999999999991</v>
      </c>
      <c r="E83" s="70"/>
      <c r="F83" s="70"/>
      <c r="G83" s="70"/>
      <c r="H83" s="64"/>
    </row>
    <row r="84" spans="2:14" s="7" customFormat="1" ht="15.6" customHeight="1" x14ac:dyDescent="0.25">
      <c r="B84" s="71" t="s">
        <v>1074</v>
      </c>
      <c r="C84" s="67">
        <v>9.3849</v>
      </c>
      <c r="D84" s="67">
        <v>8.5399999999999991</v>
      </c>
      <c r="E84" s="70"/>
      <c r="F84" s="70"/>
      <c r="G84" s="70"/>
      <c r="H84" s="64"/>
    </row>
    <row r="85" spans="2:14" s="7" customFormat="1" ht="15.6" customHeight="1" x14ac:dyDescent="0.25">
      <c r="B85" s="63" t="s">
        <v>1116</v>
      </c>
      <c r="C85" s="70"/>
      <c r="D85" s="70"/>
      <c r="E85" s="70"/>
      <c r="F85" s="70"/>
      <c r="G85" s="70"/>
      <c r="H85" s="64"/>
    </row>
    <row r="86" spans="2:14" s="7" customFormat="1" ht="15.6" customHeight="1" x14ac:dyDescent="0.25">
      <c r="B86" s="63" t="s">
        <v>1109</v>
      </c>
      <c r="C86" s="70"/>
      <c r="D86" s="70"/>
      <c r="E86" s="70"/>
      <c r="F86" s="70"/>
      <c r="G86" s="70"/>
      <c r="H86" s="64"/>
    </row>
    <row r="87" spans="2:14" s="7" customFormat="1" ht="15.6" customHeight="1" x14ac:dyDescent="0.25">
      <c r="B87" s="63" t="s">
        <v>1111</v>
      </c>
      <c r="C87" s="70"/>
      <c r="D87" s="70"/>
      <c r="E87" s="70"/>
      <c r="F87" s="70"/>
      <c r="G87" s="70"/>
      <c r="H87" s="64"/>
    </row>
    <row r="88" spans="2:14" s="7" customFormat="1" ht="15.6" customHeight="1" x14ac:dyDescent="0.25">
      <c r="B88" s="63" t="s">
        <v>1112</v>
      </c>
      <c r="C88" s="70"/>
      <c r="D88" s="70"/>
      <c r="E88" s="70"/>
      <c r="F88" s="70"/>
      <c r="G88" s="70"/>
      <c r="H88" s="64"/>
    </row>
    <row r="89" spans="2:14" s="7" customFormat="1" ht="15.6" customHeight="1" x14ac:dyDescent="0.25">
      <c r="B89" s="63" t="s">
        <v>1120</v>
      </c>
      <c r="C89" s="70"/>
      <c r="D89" s="70"/>
      <c r="E89" s="70"/>
      <c r="F89" s="70"/>
      <c r="G89" s="70"/>
      <c r="H89" s="64"/>
    </row>
    <row r="90" spans="2:14" s="7" customFormat="1" ht="15.6" customHeight="1" x14ac:dyDescent="0.25">
      <c r="B90" s="63" t="s">
        <v>1113</v>
      </c>
      <c r="C90" s="70"/>
      <c r="D90" s="70"/>
      <c r="E90" s="70"/>
      <c r="F90" s="70"/>
      <c r="G90" s="70"/>
      <c r="H90" s="64"/>
    </row>
    <row r="91" spans="2:14" s="7" customFormat="1" ht="15.6" customHeight="1" x14ac:dyDescent="0.25">
      <c r="B91" s="68" t="s">
        <v>1076</v>
      </c>
      <c r="C91" s="72"/>
      <c r="D91" s="72"/>
      <c r="E91" s="72"/>
      <c r="F91" s="72"/>
      <c r="G91" s="72"/>
      <c r="H91" s="69"/>
    </row>
    <row r="92" spans="2:14" ht="15.75" customHeight="1" thickBot="1" x14ac:dyDescent="0.25"/>
    <row r="93" spans="2:14" ht="39.75" customHeight="1" thickBot="1" x14ac:dyDescent="0.3">
      <c r="B93" s="46" t="s">
        <v>146</v>
      </c>
      <c r="C93" s="47" t="s">
        <v>147</v>
      </c>
      <c r="D93" s="47" t="s">
        <v>148</v>
      </c>
      <c r="E93"/>
      <c r="J93" s="7"/>
      <c r="K93" s="7"/>
      <c r="L93" s="7"/>
      <c r="M93" s="7"/>
      <c r="N93" s="7"/>
    </row>
    <row r="94" spans="2:14" ht="39.75" customHeight="1" x14ac:dyDescent="0.25">
      <c r="B94" s="52" t="s">
        <v>636</v>
      </c>
      <c r="C94" s="109"/>
      <c r="D94" s="48" t="s">
        <v>637</v>
      </c>
      <c r="E94"/>
      <c r="J94" s="7"/>
      <c r="K94" s="7"/>
      <c r="L94" s="7"/>
      <c r="M94" s="7"/>
      <c r="N94" s="7"/>
    </row>
    <row r="95" spans="2:14" ht="39.75" customHeight="1" x14ac:dyDescent="0.25">
      <c r="B95" s="112" t="s">
        <v>638</v>
      </c>
      <c r="C95" s="110"/>
      <c r="D95" s="118"/>
      <c r="E95"/>
      <c r="J95" s="7"/>
      <c r="K95" s="7"/>
      <c r="L95" s="7"/>
      <c r="M95" s="7"/>
      <c r="N95" s="7"/>
    </row>
    <row r="96" spans="2:14" ht="39.75" customHeight="1" x14ac:dyDescent="0.25">
      <c r="B96" s="112"/>
      <c r="C96" s="110"/>
      <c r="D96" s="118"/>
      <c r="E96"/>
      <c r="J96" s="7"/>
      <c r="K96" s="7"/>
      <c r="L96" s="7"/>
      <c r="M96" s="7"/>
      <c r="N96" s="7"/>
    </row>
    <row r="97" spans="2:14" ht="39.75" customHeight="1" x14ac:dyDescent="0.25">
      <c r="B97" s="112"/>
      <c r="C97" s="110"/>
      <c r="D97" s="118"/>
      <c r="E97"/>
      <c r="J97" s="7"/>
      <c r="K97" s="7"/>
      <c r="L97" s="7"/>
      <c r="M97" s="7"/>
      <c r="N97" s="7"/>
    </row>
    <row r="98" spans="2:14" ht="39.75" customHeight="1" thickBot="1" x14ac:dyDescent="0.3">
      <c r="B98" s="113"/>
      <c r="C98" s="111"/>
      <c r="D98" s="119"/>
      <c r="E98"/>
      <c r="J98" s="7"/>
      <c r="K98" s="7"/>
      <c r="L98" s="7"/>
      <c r="M98" s="7"/>
      <c r="N98" s="7"/>
    </row>
    <row r="99" spans="2:14" ht="15.75" customHeight="1" x14ac:dyDescent="0.2">
      <c r="B99" s="9" t="s">
        <v>149</v>
      </c>
    </row>
    <row r="100" spans="2:14" ht="15.75" customHeight="1" x14ac:dyDescent="0.2">
      <c r="B100" s="9" t="s">
        <v>150</v>
      </c>
      <c r="J100" s="3"/>
    </row>
    <row r="101" spans="2:14" ht="15.75" customHeight="1" x14ac:dyDescent="0.2">
      <c r="B101" s="9" t="s">
        <v>151</v>
      </c>
    </row>
  </sheetData>
  <mergeCells count="3">
    <mergeCell ref="C94:C98"/>
    <mergeCell ref="B95:B98"/>
    <mergeCell ref="D95:D98"/>
  </mergeCells>
  <hyperlinks>
    <hyperlink ref="G1" location="'Sheet1'!A1" display="Index" xr:uid="{10D7A12E-30E7-4257-8A7F-83F742179AA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870CD-34C8-45D4-AA3D-5F026536ADA8}">
  <dimension ref="B1:N108"/>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490654</v>
      </c>
      <c r="F7" s="30">
        <v>3786.38</v>
      </c>
      <c r="G7" s="31">
        <v>5.7299999999999997E-2</v>
      </c>
      <c r="H7" s="32"/>
    </row>
    <row r="8" spans="2:8" ht="15.75" customHeight="1" x14ac:dyDescent="0.2">
      <c r="B8" s="28" t="s">
        <v>191</v>
      </c>
      <c r="C8" s="28" t="s">
        <v>192</v>
      </c>
      <c r="D8" s="28" t="s">
        <v>173</v>
      </c>
      <c r="E8" s="29">
        <v>200283</v>
      </c>
      <c r="F8" s="30">
        <v>2530.38</v>
      </c>
      <c r="G8" s="31">
        <v>3.8300000000000001E-2</v>
      </c>
      <c r="H8" s="32"/>
    </row>
    <row r="9" spans="2:8" ht="15.75" customHeight="1" x14ac:dyDescent="0.2">
      <c r="B9" s="28" t="s">
        <v>314</v>
      </c>
      <c r="C9" s="28" t="s">
        <v>315</v>
      </c>
      <c r="D9" s="28" t="s">
        <v>182</v>
      </c>
      <c r="E9" s="29">
        <v>82673</v>
      </c>
      <c r="F9" s="30">
        <v>2045.25</v>
      </c>
      <c r="G9" s="31">
        <v>3.09E-2</v>
      </c>
      <c r="H9" s="32"/>
    </row>
    <row r="10" spans="2:8" ht="15.75" customHeight="1" x14ac:dyDescent="0.2">
      <c r="B10" s="28" t="s">
        <v>183</v>
      </c>
      <c r="C10" s="28" t="s">
        <v>184</v>
      </c>
      <c r="D10" s="28" t="s">
        <v>173</v>
      </c>
      <c r="E10" s="29">
        <v>153615</v>
      </c>
      <c r="F10" s="30">
        <v>1948.3</v>
      </c>
      <c r="G10" s="31">
        <v>2.9499999999999998E-2</v>
      </c>
      <c r="H10" s="32"/>
    </row>
    <row r="11" spans="2:8" ht="15.75" customHeight="1" x14ac:dyDescent="0.2">
      <c r="B11" s="28" t="s">
        <v>249</v>
      </c>
      <c r="C11" s="28" t="s">
        <v>250</v>
      </c>
      <c r="D11" s="28" t="s">
        <v>251</v>
      </c>
      <c r="E11" s="29">
        <v>466174</v>
      </c>
      <c r="F11" s="30">
        <v>1860.73</v>
      </c>
      <c r="G11" s="31">
        <v>2.81E-2</v>
      </c>
      <c r="H11" s="32"/>
    </row>
    <row r="12" spans="2:8" ht="15.75" customHeight="1" x14ac:dyDescent="0.2">
      <c r="B12" s="28" t="s">
        <v>319</v>
      </c>
      <c r="C12" s="28" t="s">
        <v>320</v>
      </c>
      <c r="D12" s="28" t="s">
        <v>321</v>
      </c>
      <c r="E12" s="29">
        <v>45338</v>
      </c>
      <c r="F12" s="30">
        <v>1813.07</v>
      </c>
      <c r="G12" s="31">
        <v>2.7400000000000001E-2</v>
      </c>
      <c r="H12" s="32"/>
    </row>
    <row r="13" spans="2:8" ht="15.75" customHeight="1" x14ac:dyDescent="0.2">
      <c r="B13" s="28" t="s">
        <v>484</v>
      </c>
      <c r="C13" s="28" t="s">
        <v>485</v>
      </c>
      <c r="D13" s="28" t="s">
        <v>268</v>
      </c>
      <c r="E13" s="29">
        <v>150550</v>
      </c>
      <c r="F13" s="30">
        <v>1591.69</v>
      </c>
      <c r="G13" s="31">
        <v>2.41E-2</v>
      </c>
      <c r="H13" s="32"/>
    </row>
    <row r="14" spans="2:8" ht="15.75" customHeight="1" x14ac:dyDescent="0.2">
      <c r="B14" s="28" t="s">
        <v>220</v>
      </c>
      <c r="C14" s="28" t="s">
        <v>221</v>
      </c>
      <c r="D14" s="28" t="s">
        <v>173</v>
      </c>
      <c r="E14" s="29">
        <v>392873</v>
      </c>
      <c r="F14" s="30">
        <v>1505.88</v>
      </c>
      <c r="G14" s="31">
        <v>2.2800000000000001E-2</v>
      </c>
      <c r="H14" s="32"/>
    </row>
    <row r="15" spans="2:8" ht="15.75" customHeight="1" x14ac:dyDescent="0.2">
      <c r="B15" s="28" t="s">
        <v>222</v>
      </c>
      <c r="C15" s="28" t="s">
        <v>223</v>
      </c>
      <c r="D15" s="28" t="s">
        <v>224</v>
      </c>
      <c r="E15" s="29">
        <v>335243</v>
      </c>
      <c r="F15" s="30">
        <v>1445.9</v>
      </c>
      <c r="G15" s="31">
        <v>2.1899999999999999E-2</v>
      </c>
      <c r="H15" s="32"/>
    </row>
    <row r="16" spans="2:8" ht="15.75" customHeight="1" x14ac:dyDescent="0.2">
      <c r="B16" s="28" t="s">
        <v>393</v>
      </c>
      <c r="C16" s="28" t="s">
        <v>394</v>
      </c>
      <c r="D16" s="28" t="s">
        <v>395</v>
      </c>
      <c r="E16" s="29">
        <v>18064</v>
      </c>
      <c r="F16" s="30">
        <v>1379.46</v>
      </c>
      <c r="G16" s="31">
        <v>2.0899999999999998E-2</v>
      </c>
      <c r="H16" s="32"/>
    </row>
    <row r="17" spans="2:8" ht="15.75" customHeight="1" x14ac:dyDescent="0.2">
      <c r="B17" s="28" t="s">
        <v>601</v>
      </c>
      <c r="C17" s="28" t="s">
        <v>602</v>
      </c>
      <c r="D17" s="28" t="s">
        <v>483</v>
      </c>
      <c r="E17" s="29">
        <v>256911</v>
      </c>
      <c r="F17" s="30">
        <v>1366.25</v>
      </c>
      <c r="G17" s="31">
        <v>2.07E-2</v>
      </c>
      <c r="H17" s="32"/>
    </row>
    <row r="18" spans="2:8" ht="15.75" customHeight="1" x14ac:dyDescent="0.2">
      <c r="B18" s="28" t="s">
        <v>356</v>
      </c>
      <c r="C18" s="28" t="s">
        <v>357</v>
      </c>
      <c r="D18" s="28" t="s">
        <v>287</v>
      </c>
      <c r="E18" s="29">
        <v>30591</v>
      </c>
      <c r="F18" s="30">
        <v>1313.98</v>
      </c>
      <c r="G18" s="31">
        <v>1.9900000000000001E-2</v>
      </c>
      <c r="H18" s="32"/>
    </row>
    <row r="19" spans="2:8" ht="15.75" customHeight="1" x14ac:dyDescent="0.2">
      <c r="B19" s="28" t="s">
        <v>188</v>
      </c>
      <c r="C19" s="28" t="s">
        <v>189</v>
      </c>
      <c r="D19" s="28" t="s">
        <v>190</v>
      </c>
      <c r="E19" s="29">
        <v>133637</v>
      </c>
      <c r="F19" s="30">
        <v>1252.6500000000001</v>
      </c>
      <c r="G19" s="31">
        <v>1.89E-2</v>
      </c>
      <c r="H19" s="32"/>
    </row>
    <row r="20" spans="2:8" ht="15.75" customHeight="1" x14ac:dyDescent="0.2">
      <c r="B20" s="28" t="s">
        <v>491</v>
      </c>
      <c r="C20" s="28" t="s">
        <v>492</v>
      </c>
      <c r="D20" s="28" t="s">
        <v>271</v>
      </c>
      <c r="E20" s="29">
        <v>76997</v>
      </c>
      <c r="F20" s="30">
        <v>1226.56</v>
      </c>
      <c r="G20" s="31">
        <v>1.8499999999999999E-2</v>
      </c>
      <c r="H20" s="32"/>
    </row>
    <row r="21" spans="2:8" ht="15.75" customHeight="1" x14ac:dyDescent="0.2">
      <c r="B21" s="28" t="s">
        <v>350</v>
      </c>
      <c r="C21" s="28" t="s">
        <v>351</v>
      </c>
      <c r="D21" s="28" t="s">
        <v>318</v>
      </c>
      <c r="E21" s="29">
        <v>93811</v>
      </c>
      <c r="F21" s="30">
        <v>1203.83</v>
      </c>
      <c r="G21" s="31">
        <v>1.8200000000000001E-2</v>
      </c>
      <c r="H21" s="32"/>
    </row>
    <row r="22" spans="2:8" ht="15.75" customHeight="1" x14ac:dyDescent="0.2">
      <c r="B22" s="28" t="s">
        <v>603</v>
      </c>
      <c r="C22" s="28" t="s">
        <v>604</v>
      </c>
      <c r="D22" s="28" t="s">
        <v>345</v>
      </c>
      <c r="E22" s="29">
        <v>87431</v>
      </c>
      <c r="F22" s="30">
        <v>1202.79</v>
      </c>
      <c r="G22" s="31">
        <v>1.8200000000000001E-2</v>
      </c>
      <c r="H22" s="32"/>
    </row>
    <row r="23" spans="2:8" ht="15.75" customHeight="1" x14ac:dyDescent="0.2">
      <c r="B23" s="28" t="s">
        <v>639</v>
      </c>
      <c r="C23" s="28" t="s">
        <v>640</v>
      </c>
      <c r="D23" s="28" t="s">
        <v>641</v>
      </c>
      <c r="E23" s="29">
        <v>280516</v>
      </c>
      <c r="F23" s="30">
        <v>1169.75</v>
      </c>
      <c r="G23" s="31">
        <v>1.77E-2</v>
      </c>
      <c r="H23" s="32"/>
    </row>
    <row r="24" spans="2:8" ht="15.75" customHeight="1" x14ac:dyDescent="0.2">
      <c r="B24" s="28" t="s">
        <v>549</v>
      </c>
      <c r="C24" s="28" t="s">
        <v>550</v>
      </c>
      <c r="D24" s="28" t="s">
        <v>238</v>
      </c>
      <c r="E24" s="29">
        <v>7736</v>
      </c>
      <c r="F24" s="30">
        <v>1160.6300000000001</v>
      </c>
      <c r="G24" s="31">
        <v>1.7600000000000001E-2</v>
      </c>
      <c r="H24" s="32"/>
    </row>
    <row r="25" spans="2:8" ht="15.75" customHeight="1" x14ac:dyDescent="0.2">
      <c r="B25" s="28" t="s">
        <v>185</v>
      </c>
      <c r="C25" s="28" t="s">
        <v>186</v>
      </c>
      <c r="D25" s="28" t="s">
        <v>187</v>
      </c>
      <c r="E25" s="29">
        <v>50693</v>
      </c>
      <c r="F25" s="30">
        <v>1141.05</v>
      </c>
      <c r="G25" s="31">
        <v>1.7299999999999999E-2</v>
      </c>
      <c r="H25" s="32"/>
    </row>
    <row r="26" spans="2:8" ht="15.75" customHeight="1" x14ac:dyDescent="0.2">
      <c r="B26" s="28" t="s">
        <v>379</v>
      </c>
      <c r="C26" s="28" t="s">
        <v>380</v>
      </c>
      <c r="D26" s="28" t="s">
        <v>331</v>
      </c>
      <c r="E26" s="29">
        <v>40659</v>
      </c>
      <c r="F26" s="30">
        <v>1136.22</v>
      </c>
      <c r="G26" s="31">
        <v>1.72E-2</v>
      </c>
      <c r="H26" s="32"/>
    </row>
    <row r="27" spans="2:8" ht="15.75" customHeight="1" x14ac:dyDescent="0.2">
      <c r="B27" s="28" t="s">
        <v>642</v>
      </c>
      <c r="C27" s="28" t="s">
        <v>643</v>
      </c>
      <c r="D27" s="28" t="s">
        <v>195</v>
      </c>
      <c r="E27" s="29">
        <v>11147</v>
      </c>
      <c r="F27" s="30">
        <v>1114.03</v>
      </c>
      <c r="G27" s="31">
        <v>1.6799999999999999E-2</v>
      </c>
      <c r="H27" s="32"/>
    </row>
    <row r="28" spans="2:8" ht="15.75" customHeight="1" x14ac:dyDescent="0.2">
      <c r="B28" s="28" t="s">
        <v>644</v>
      </c>
      <c r="C28" s="28" t="s">
        <v>645</v>
      </c>
      <c r="D28" s="28" t="s">
        <v>282</v>
      </c>
      <c r="E28" s="29">
        <v>225870</v>
      </c>
      <c r="F28" s="30">
        <v>1108.57</v>
      </c>
      <c r="G28" s="31">
        <v>1.6799999999999999E-2</v>
      </c>
      <c r="H28" s="32"/>
    </row>
    <row r="29" spans="2:8" ht="15.75" customHeight="1" x14ac:dyDescent="0.2">
      <c r="B29" s="28" t="s">
        <v>473</v>
      </c>
      <c r="C29" s="28" t="s">
        <v>474</v>
      </c>
      <c r="D29" s="28" t="s">
        <v>243</v>
      </c>
      <c r="E29" s="29">
        <v>248420</v>
      </c>
      <c r="F29" s="30">
        <v>1100.8699999999999</v>
      </c>
      <c r="G29" s="31">
        <v>1.66E-2</v>
      </c>
      <c r="H29" s="32"/>
    </row>
    <row r="30" spans="2:8" ht="15.75" customHeight="1" x14ac:dyDescent="0.2">
      <c r="B30" s="28" t="s">
        <v>360</v>
      </c>
      <c r="C30" s="28" t="s">
        <v>361</v>
      </c>
      <c r="D30" s="28" t="s">
        <v>216</v>
      </c>
      <c r="E30" s="29">
        <v>66395</v>
      </c>
      <c r="F30" s="30">
        <v>1049.3699999999999</v>
      </c>
      <c r="G30" s="31">
        <v>1.5900000000000001E-2</v>
      </c>
      <c r="H30" s="32"/>
    </row>
    <row r="31" spans="2:8" ht="15.75" customHeight="1" x14ac:dyDescent="0.2">
      <c r="B31" s="28" t="s">
        <v>646</v>
      </c>
      <c r="C31" s="28" t="s">
        <v>647</v>
      </c>
      <c r="D31" s="28" t="s">
        <v>470</v>
      </c>
      <c r="E31" s="29">
        <v>305825</v>
      </c>
      <c r="F31" s="30">
        <v>975.43</v>
      </c>
      <c r="G31" s="31">
        <v>1.4800000000000001E-2</v>
      </c>
      <c r="H31" s="32"/>
    </row>
    <row r="32" spans="2:8" ht="15.75" customHeight="1" x14ac:dyDescent="0.2">
      <c r="B32" s="28" t="s">
        <v>332</v>
      </c>
      <c r="C32" s="28" t="s">
        <v>333</v>
      </c>
      <c r="D32" s="28" t="s">
        <v>190</v>
      </c>
      <c r="E32" s="29">
        <v>283294</v>
      </c>
      <c r="F32" s="30">
        <v>962.92</v>
      </c>
      <c r="G32" s="31">
        <v>1.46E-2</v>
      </c>
      <c r="H32" s="32"/>
    </row>
    <row r="33" spans="2:8" ht="15.75" customHeight="1" x14ac:dyDescent="0.2">
      <c r="B33" s="28" t="s">
        <v>456</v>
      </c>
      <c r="C33" s="28" t="s">
        <v>457</v>
      </c>
      <c r="D33" s="28" t="s">
        <v>268</v>
      </c>
      <c r="E33" s="29">
        <v>43813</v>
      </c>
      <c r="F33" s="30">
        <v>948.51</v>
      </c>
      <c r="G33" s="31">
        <v>1.43E-2</v>
      </c>
      <c r="H33" s="32"/>
    </row>
    <row r="34" spans="2:8" ht="15.75" customHeight="1" x14ac:dyDescent="0.2">
      <c r="B34" s="28" t="s">
        <v>386</v>
      </c>
      <c r="C34" s="28" t="s">
        <v>387</v>
      </c>
      <c r="D34" s="28" t="s">
        <v>388</v>
      </c>
      <c r="E34" s="29">
        <v>41932</v>
      </c>
      <c r="F34" s="30">
        <v>943.89</v>
      </c>
      <c r="G34" s="31">
        <v>1.43E-2</v>
      </c>
      <c r="H34" s="32"/>
    </row>
    <row r="35" spans="2:8" ht="15.75" customHeight="1" x14ac:dyDescent="0.2">
      <c r="B35" s="28" t="s">
        <v>343</v>
      </c>
      <c r="C35" s="28" t="s">
        <v>344</v>
      </c>
      <c r="D35" s="28" t="s">
        <v>345</v>
      </c>
      <c r="E35" s="29">
        <v>36599</v>
      </c>
      <c r="F35" s="30">
        <v>921.78</v>
      </c>
      <c r="G35" s="31">
        <v>1.3899999999999999E-2</v>
      </c>
      <c r="H35" s="32"/>
    </row>
    <row r="36" spans="2:8" ht="15.75" customHeight="1" x14ac:dyDescent="0.2">
      <c r="B36" s="28" t="s">
        <v>648</v>
      </c>
      <c r="C36" s="28" t="s">
        <v>649</v>
      </c>
      <c r="D36" s="28" t="s">
        <v>190</v>
      </c>
      <c r="E36" s="29">
        <v>59232</v>
      </c>
      <c r="F36" s="30">
        <v>921.71</v>
      </c>
      <c r="G36" s="31">
        <v>1.3899999999999999E-2</v>
      </c>
      <c r="H36" s="32"/>
    </row>
    <row r="37" spans="2:8" ht="15.75" customHeight="1" x14ac:dyDescent="0.2">
      <c r="B37" s="28" t="s">
        <v>650</v>
      </c>
      <c r="C37" s="28" t="s">
        <v>651</v>
      </c>
      <c r="D37" s="28" t="s">
        <v>274</v>
      </c>
      <c r="E37" s="29">
        <v>238601</v>
      </c>
      <c r="F37" s="30">
        <v>906.8</v>
      </c>
      <c r="G37" s="31">
        <v>1.37E-2</v>
      </c>
      <c r="H37" s="32"/>
    </row>
    <row r="38" spans="2:8" ht="15.75" customHeight="1" x14ac:dyDescent="0.2">
      <c r="B38" s="28" t="s">
        <v>432</v>
      </c>
      <c r="C38" s="28" t="s">
        <v>433</v>
      </c>
      <c r="D38" s="28" t="s">
        <v>434</v>
      </c>
      <c r="E38" s="29">
        <v>217098</v>
      </c>
      <c r="F38" s="30">
        <v>889.88</v>
      </c>
      <c r="G38" s="31">
        <v>1.35E-2</v>
      </c>
      <c r="H38" s="32"/>
    </row>
    <row r="39" spans="2:8" ht="15.75" customHeight="1" x14ac:dyDescent="0.2">
      <c r="B39" s="28" t="s">
        <v>652</v>
      </c>
      <c r="C39" s="28" t="s">
        <v>653</v>
      </c>
      <c r="D39" s="28" t="s">
        <v>238</v>
      </c>
      <c r="E39" s="29">
        <v>114799</v>
      </c>
      <c r="F39" s="30">
        <v>872.59</v>
      </c>
      <c r="G39" s="31">
        <v>1.32E-2</v>
      </c>
      <c r="H39" s="32"/>
    </row>
    <row r="40" spans="2:8" ht="15.75" customHeight="1" x14ac:dyDescent="0.2">
      <c r="B40" s="28" t="s">
        <v>193</v>
      </c>
      <c r="C40" s="28" t="s">
        <v>194</v>
      </c>
      <c r="D40" s="28" t="s">
        <v>195</v>
      </c>
      <c r="E40" s="29">
        <v>28134</v>
      </c>
      <c r="F40" s="30">
        <v>871.45</v>
      </c>
      <c r="G40" s="31">
        <v>1.32E-2</v>
      </c>
      <c r="H40" s="32"/>
    </row>
    <row r="41" spans="2:8" ht="15.75" customHeight="1" x14ac:dyDescent="0.2">
      <c r="B41" s="28" t="s">
        <v>501</v>
      </c>
      <c r="C41" s="28" t="s">
        <v>502</v>
      </c>
      <c r="D41" s="28" t="s">
        <v>179</v>
      </c>
      <c r="E41" s="29">
        <v>717667</v>
      </c>
      <c r="F41" s="30">
        <v>869.88</v>
      </c>
      <c r="G41" s="31">
        <v>1.32E-2</v>
      </c>
      <c r="H41" s="32"/>
    </row>
    <row r="42" spans="2:8" ht="15.75" customHeight="1" x14ac:dyDescent="0.2">
      <c r="B42" s="28" t="s">
        <v>654</v>
      </c>
      <c r="C42" s="28" t="s">
        <v>655</v>
      </c>
      <c r="D42" s="28" t="s">
        <v>268</v>
      </c>
      <c r="E42" s="29">
        <v>74407</v>
      </c>
      <c r="F42" s="30">
        <v>857.69</v>
      </c>
      <c r="G42" s="31">
        <v>1.2999999999999999E-2</v>
      </c>
      <c r="H42" s="32"/>
    </row>
    <row r="43" spans="2:8" ht="15.75" customHeight="1" x14ac:dyDescent="0.2">
      <c r="B43" s="28" t="s">
        <v>232</v>
      </c>
      <c r="C43" s="28" t="s">
        <v>233</v>
      </c>
      <c r="D43" s="28" t="s">
        <v>195</v>
      </c>
      <c r="E43" s="29">
        <v>6350</v>
      </c>
      <c r="F43" s="30">
        <v>845.44</v>
      </c>
      <c r="G43" s="31">
        <v>1.2800000000000001E-2</v>
      </c>
      <c r="H43" s="32"/>
    </row>
    <row r="44" spans="2:8" ht="15.75" customHeight="1" x14ac:dyDescent="0.2">
      <c r="B44" s="28" t="s">
        <v>214</v>
      </c>
      <c r="C44" s="28" t="s">
        <v>215</v>
      </c>
      <c r="D44" s="28" t="s">
        <v>216</v>
      </c>
      <c r="E44" s="29">
        <v>44383</v>
      </c>
      <c r="F44" s="30">
        <v>837.42</v>
      </c>
      <c r="G44" s="31">
        <v>1.2699999999999999E-2</v>
      </c>
      <c r="H44" s="32"/>
    </row>
    <row r="45" spans="2:8" ht="15.75" customHeight="1" x14ac:dyDescent="0.2">
      <c r="B45" s="28" t="s">
        <v>368</v>
      </c>
      <c r="C45" s="28" t="s">
        <v>369</v>
      </c>
      <c r="D45" s="28" t="s">
        <v>318</v>
      </c>
      <c r="E45" s="29">
        <v>76726</v>
      </c>
      <c r="F45" s="30">
        <v>835.51</v>
      </c>
      <c r="G45" s="31">
        <v>1.26E-2</v>
      </c>
      <c r="H45" s="32"/>
    </row>
    <row r="46" spans="2:8" ht="15.75" customHeight="1" x14ac:dyDescent="0.2">
      <c r="B46" s="28" t="s">
        <v>656</v>
      </c>
      <c r="C46" s="28" t="s">
        <v>657</v>
      </c>
      <c r="D46" s="28" t="s">
        <v>321</v>
      </c>
      <c r="E46" s="29">
        <v>331021</v>
      </c>
      <c r="F46" s="30">
        <v>827.95</v>
      </c>
      <c r="G46" s="31">
        <v>1.2500000000000001E-2</v>
      </c>
      <c r="H46" s="32"/>
    </row>
    <row r="47" spans="2:8" ht="15.75" customHeight="1" x14ac:dyDescent="0.2">
      <c r="B47" s="28" t="s">
        <v>479</v>
      </c>
      <c r="C47" s="28" t="s">
        <v>480</v>
      </c>
      <c r="D47" s="28" t="s">
        <v>431</v>
      </c>
      <c r="E47" s="29">
        <v>27643</v>
      </c>
      <c r="F47" s="30">
        <v>821.41</v>
      </c>
      <c r="G47" s="31">
        <v>1.24E-2</v>
      </c>
      <c r="H47" s="32"/>
    </row>
    <row r="48" spans="2:8" ht="15.75" customHeight="1" x14ac:dyDescent="0.2">
      <c r="B48" s="28" t="s">
        <v>364</v>
      </c>
      <c r="C48" s="28" t="s">
        <v>365</v>
      </c>
      <c r="D48" s="28" t="s">
        <v>238</v>
      </c>
      <c r="E48" s="29">
        <v>3145</v>
      </c>
      <c r="F48" s="30">
        <v>799.93</v>
      </c>
      <c r="G48" s="31">
        <v>1.21E-2</v>
      </c>
      <c r="H48" s="32"/>
    </row>
    <row r="49" spans="2:8" ht="15.75" customHeight="1" x14ac:dyDescent="0.2">
      <c r="B49" s="28" t="s">
        <v>580</v>
      </c>
      <c r="C49" s="28" t="s">
        <v>581</v>
      </c>
      <c r="D49" s="28" t="s">
        <v>483</v>
      </c>
      <c r="E49" s="29">
        <v>23274</v>
      </c>
      <c r="F49" s="30">
        <v>796.69</v>
      </c>
      <c r="G49" s="31">
        <v>1.2E-2</v>
      </c>
      <c r="H49" s="32"/>
    </row>
    <row r="50" spans="2:8" ht="15.75" customHeight="1" x14ac:dyDescent="0.2">
      <c r="B50" s="28" t="s">
        <v>435</v>
      </c>
      <c r="C50" s="28" t="s">
        <v>436</v>
      </c>
      <c r="D50" s="28" t="s">
        <v>224</v>
      </c>
      <c r="E50" s="29">
        <v>18220</v>
      </c>
      <c r="F50" s="30">
        <v>790.53</v>
      </c>
      <c r="G50" s="31">
        <v>1.2E-2</v>
      </c>
      <c r="H50" s="32"/>
    </row>
    <row r="51" spans="2:8" ht="15.75" customHeight="1" x14ac:dyDescent="0.2">
      <c r="B51" s="28" t="s">
        <v>658</v>
      </c>
      <c r="C51" s="28" t="s">
        <v>659</v>
      </c>
      <c r="D51" s="28" t="s">
        <v>190</v>
      </c>
      <c r="E51" s="29">
        <v>16634</v>
      </c>
      <c r="F51" s="30">
        <v>754.32</v>
      </c>
      <c r="G51" s="31">
        <v>1.14E-2</v>
      </c>
      <c r="H51" s="32"/>
    </row>
    <row r="52" spans="2:8" ht="15.75" customHeight="1" x14ac:dyDescent="0.2">
      <c r="B52" s="28" t="s">
        <v>322</v>
      </c>
      <c r="C52" s="28" t="s">
        <v>323</v>
      </c>
      <c r="D52" s="28" t="s">
        <v>321</v>
      </c>
      <c r="E52" s="29">
        <v>131752</v>
      </c>
      <c r="F52" s="30">
        <v>743.48</v>
      </c>
      <c r="G52" s="31">
        <v>1.12E-2</v>
      </c>
      <c r="H52" s="32"/>
    </row>
    <row r="53" spans="2:8" ht="15.75" customHeight="1" x14ac:dyDescent="0.2">
      <c r="B53" s="28" t="s">
        <v>236</v>
      </c>
      <c r="C53" s="28" t="s">
        <v>237</v>
      </c>
      <c r="D53" s="28" t="s">
        <v>238</v>
      </c>
      <c r="E53" s="29">
        <v>38136</v>
      </c>
      <c r="F53" s="30">
        <v>689.61</v>
      </c>
      <c r="G53" s="31">
        <v>1.04E-2</v>
      </c>
      <c r="H53" s="32"/>
    </row>
    <row r="54" spans="2:8" ht="15.75" customHeight="1" x14ac:dyDescent="0.2">
      <c r="B54" s="28" t="s">
        <v>520</v>
      </c>
      <c r="C54" s="28" t="s">
        <v>521</v>
      </c>
      <c r="D54" s="28" t="s">
        <v>173</v>
      </c>
      <c r="E54" s="29">
        <v>1198492</v>
      </c>
      <c r="F54" s="30">
        <v>681.7</v>
      </c>
      <c r="G54" s="31">
        <v>1.03E-2</v>
      </c>
      <c r="H54" s="32"/>
    </row>
    <row r="55" spans="2:8" ht="15.75" customHeight="1" x14ac:dyDescent="0.2">
      <c r="B55" s="28" t="s">
        <v>586</v>
      </c>
      <c r="C55" s="28" t="s">
        <v>587</v>
      </c>
      <c r="D55" s="28" t="s">
        <v>196</v>
      </c>
      <c r="E55" s="29">
        <v>95206</v>
      </c>
      <c r="F55" s="30">
        <v>644.21</v>
      </c>
      <c r="G55" s="31">
        <v>9.7000000000000003E-3</v>
      </c>
      <c r="H55" s="32"/>
    </row>
    <row r="56" spans="2:8" ht="15.75" customHeight="1" x14ac:dyDescent="0.2">
      <c r="B56" s="28" t="s">
        <v>660</v>
      </c>
      <c r="C56" s="28" t="s">
        <v>661</v>
      </c>
      <c r="D56" s="28" t="s">
        <v>662</v>
      </c>
      <c r="E56" s="29">
        <v>181697</v>
      </c>
      <c r="F56" s="30">
        <v>624.77</v>
      </c>
      <c r="G56" s="31">
        <v>9.4000000000000004E-3</v>
      </c>
      <c r="H56" s="32"/>
    </row>
    <row r="57" spans="2:8" ht="15.75" customHeight="1" x14ac:dyDescent="0.2">
      <c r="B57" s="28" t="s">
        <v>663</v>
      </c>
      <c r="C57" s="28" t="s">
        <v>664</v>
      </c>
      <c r="D57" s="28" t="s">
        <v>179</v>
      </c>
      <c r="E57" s="29">
        <v>107172</v>
      </c>
      <c r="F57" s="30">
        <v>613.83000000000004</v>
      </c>
      <c r="G57" s="31">
        <v>9.2999999999999992E-3</v>
      </c>
      <c r="H57" s="32"/>
    </row>
    <row r="58" spans="2:8" ht="15.75" customHeight="1" x14ac:dyDescent="0.2">
      <c r="B58" s="28" t="s">
        <v>665</v>
      </c>
      <c r="C58" s="28" t="s">
        <v>666</v>
      </c>
      <c r="D58" s="28" t="s">
        <v>321</v>
      </c>
      <c r="E58" s="29">
        <v>151164</v>
      </c>
      <c r="F58" s="30">
        <v>610.54999999999995</v>
      </c>
      <c r="G58" s="31">
        <v>9.1999999999999998E-3</v>
      </c>
      <c r="H58" s="32"/>
    </row>
    <row r="59" spans="2:8" ht="15.75" customHeight="1" x14ac:dyDescent="0.2">
      <c r="B59" s="28" t="s">
        <v>417</v>
      </c>
      <c r="C59" s="28" t="s">
        <v>418</v>
      </c>
      <c r="D59" s="28" t="s">
        <v>182</v>
      </c>
      <c r="E59" s="29">
        <v>26209</v>
      </c>
      <c r="F59" s="30">
        <v>596.70000000000005</v>
      </c>
      <c r="G59" s="31">
        <v>8.9999999999999993E-3</v>
      </c>
      <c r="H59" s="32"/>
    </row>
    <row r="60" spans="2:8" ht="15.75" customHeight="1" x14ac:dyDescent="0.2">
      <c r="B60" s="28" t="s">
        <v>346</v>
      </c>
      <c r="C60" s="28" t="s">
        <v>347</v>
      </c>
      <c r="D60" s="28" t="s">
        <v>268</v>
      </c>
      <c r="E60" s="29">
        <v>18309</v>
      </c>
      <c r="F60" s="30">
        <v>566.99</v>
      </c>
      <c r="G60" s="31">
        <v>8.6E-3</v>
      </c>
      <c r="H60" s="32"/>
    </row>
    <row r="61" spans="2:8" ht="15.75" customHeight="1" x14ac:dyDescent="0.2">
      <c r="B61" s="28" t="s">
        <v>574</v>
      </c>
      <c r="C61" s="28" t="s">
        <v>575</v>
      </c>
      <c r="D61" s="28" t="s">
        <v>345</v>
      </c>
      <c r="E61" s="29">
        <v>41362</v>
      </c>
      <c r="F61" s="30">
        <v>546.92999999999995</v>
      </c>
      <c r="G61" s="31">
        <v>8.3000000000000001E-3</v>
      </c>
      <c r="H61" s="32"/>
    </row>
    <row r="62" spans="2:8" ht="15.75" customHeight="1" x14ac:dyDescent="0.2">
      <c r="B62" s="28" t="s">
        <v>381</v>
      </c>
      <c r="C62" s="28" t="s">
        <v>382</v>
      </c>
      <c r="D62" s="28" t="s">
        <v>383</v>
      </c>
      <c r="E62" s="29">
        <v>15031</v>
      </c>
      <c r="F62" s="30">
        <v>545.07000000000005</v>
      </c>
      <c r="G62" s="31">
        <v>8.2000000000000007E-3</v>
      </c>
      <c r="H62" s="32"/>
    </row>
    <row r="63" spans="2:8" ht="15.75" customHeight="1" x14ac:dyDescent="0.2">
      <c r="B63" s="28" t="s">
        <v>667</v>
      </c>
      <c r="C63" s="28" t="s">
        <v>668</v>
      </c>
      <c r="D63" s="28" t="s">
        <v>321</v>
      </c>
      <c r="E63" s="29">
        <v>20548</v>
      </c>
      <c r="F63" s="30">
        <v>543.49</v>
      </c>
      <c r="G63" s="31">
        <v>8.2000000000000007E-3</v>
      </c>
      <c r="H63" s="32"/>
    </row>
    <row r="64" spans="2:8" ht="15.75" customHeight="1" x14ac:dyDescent="0.2">
      <c r="B64" s="28" t="s">
        <v>669</v>
      </c>
      <c r="C64" s="28" t="s">
        <v>670</v>
      </c>
      <c r="D64" s="28" t="s">
        <v>321</v>
      </c>
      <c r="E64" s="29">
        <v>76844</v>
      </c>
      <c r="F64" s="30">
        <v>491.8</v>
      </c>
      <c r="G64" s="31">
        <v>7.4000000000000003E-3</v>
      </c>
      <c r="H64" s="32"/>
    </row>
    <row r="65" spans="2:14" ht="15.75" customHeight="1" x14ac:dyDescent="0.2">
      <c r="B65" s="28" t="s">
        <v>292</v>
      </c>
      <c r="C65" s="28" t="s">
        <v>293</v>
      </c>
      <c r="D65" s="28" t="s">
        <v>195</v>
      </c>
      <c r="E65" s="29">
        <v>118214</v>
      </c>
      <c r="F65" s="30">
        <v>403.76</v>
      </c>
      <c r="G65" s="31">
        <v>6.1000000000000004E-3</v>
      </c>
      <c r="H65" s="32"/>
    </row>
    <row r="66" spans="2:14" ht="15.75" customHeight="1" x14ac:dyDescent="0.2">
      <c r="B66" s="28" t="s">
        <v>671</v>
      </c>
      <c r="C66" s="28" t="s">
        <v>672</v>
      </c>
      <c r="D66" s="28" t="s">
        <v>179</v>
      </c>
      <c r="E66" s="29">
        <v>52337</v>
      </c>
      <c r="F66" s="30">
        <v>377.17</v>
      </c>
      <c r="G66" s="31">
        <v>5.7000000000000002E-3</v>
      </c>
      <c r="H66" s="32"/>
    </row>
    <row r="67" spans="2:14" ht="15.75" customHeight="1" x14ac:dyDescent="0.2">
      <c r="B67" s="28" t="s">
        <v>624</v>
      </c>
      <c r="C67" s="28" t="s">
        <v>625</v>
      </c>
      <c r="D67" s="28" t="s">
        <v>619</v>
      </c>
      <c r="E67" s="29">
        <v>83818</v>
      </c>
      <c r="F67" s="30">
        <v>372.57</v>
      </c>
      <c r="G67" s="31">
        <v>5.5999999999999999E-3</v>
      </c>
      <c r="H67" s="32"/>
    </row>
    <row r="68" spans="2:14" ht="15.75" customHeight="1" x14ac:dyDescent="0.2">
      <c r="B68" s="27" t="s">
        <v>129</v>
      </c>
      <c r="C68" s="27"/>
      <c r="D68" s="27"/>
      <c r="E68" s="33"/>
      <c r="F68" s="34">
        <v>63757.95</v>
      </c>
      <c r="G68" s="35">
        <v>0.96409999999999996</v>
      </c>
      <c r="H68" s="36"/>
      <c r="J68" s="3"/>
    </row>
    <row r="69" spans="2:14" ht="15.75" customHeight="1" x14ac:dyDescent="0.2">
      <c r="B69" s="27" t="s">
        <v>197</v>
      </c>
      <c r="C69" s="28"/>
      <c r="D69" s="28"/>
      <c r="E69" s="29"/>
      <c r="F69" s="30"/>
      <c r="G69" s="31"/>
      <c r="H69" s="32"/>
    </row>
    <row r="70" spans="2:14" ht="15.75" customHeight="1" x14ac:dyDescent="0.2">
      <c r="B70" s="27" t="s">
        <v>129</v>
      </c>
      <c r="C70" s="28"/>
      <c r="D70" s="28"/>
      <c r="E70" s="29"/>
      <c r="F70" s="37" t="s">
        <v>131</v>
      </c>
      <c r="G70" s="38" t="s">
        <v>131</v>
      </c>
      <c r="H70" s="32"/>
      <c r="J70" s="3"/>
    </row>
    <row r="71" spans="2:14" ht="15.75" customHeight="1" x14ac:dyDescent="0.2">
      <c r="B71" s="28"/>
      <c r="C71" s="28"/>
      <c r="D71" s="28"/>
      <c r="E71" s="29"/>
      <c r="F71" s="30"/>
      <c r="G71" s="31"/>
      <c r="H71" s="32"/>
      <c r="J71" s="3"/>
    </row>
    <row r="72" spans="2:14" ht="15.75" customHeight="1" x14ac:dyDescent="0.2">
      <c r="B72" s="39" t="s">
        <v>133</v>
      </c>
      <c r="C72" s="39"/>
      <c r="D72" s="39"/>
      <c r="E72" s="40"/>
      <c r="F72" s="34">
        <v>63757.95</v>
      </c>
      <c r="G72" s="35">
        <v>0.96409999999999996</v>
      </c>
      <c r="H72" s="36"/>
      <c r="J72" s="3"/>
    </row>
    <row r="73" spans="2:14" ht="15.75" customHeight="1" x14ac:dyDescent="0.2">
      <c r="B73" s="28"/>
      <c r="C73" s="28"/>
      <c r="D73" s="28"/>
      <c r="E73" s="29"/>
      <c r="F73" s="30"/>
      <c r="G73" s="31"/>
      <c r="H73" s="32"/>
      <c r="J73" s="3"/>
    </row>
    <row r="74" spans="2:14" ht="15.75" customHeight="1" x14ac:dyDescent="0.2">
      <c r="B74" s="28"/>
      <c r="C74" s="28"/>
      <c r="D74" s="28"/>
      <c r="E74" s="29"/>
      <c r="F74" s="30"/>
      <c r="G74" s="31"/>
      <c r="H74" s="32"/>
      <c r="J74" s="3"/>
    </row>
    <row r="75" spans="2:14" ht="15.75" customHeight="1" x14ac:dyDescent="0.2">
      <c r="B75" s="27" t="s">
        <v>139</v>
      </c>
      <c r="C75" s="28"/>
      <c r="D75" s="28"/>
      <c r="E75" s="29"/>
      <c r="F75" s="30"/>
      <c r="G75" s="31"/>
      <c r="H75" s="32"/>
      <c r="J75" s="5"/>
      <c r="K75" s="5"/>
      <c r="L75" s="6"/>
      <c r="M75" s="6"/>
      <c r="N75" s="5"/>
    </row>
    <row r="76" spans="2:14" ht="15.75" customHeight="1" x14ac:dyDescent="0.2">
      <c r="B76" s="28" t="s">
        <v>140</v>
      </c>
      <c r="C76" s="28"/>
      <c r="D76" s="28"/>
      <c r="E76" s="29"/>
      <c r="F76" s="30">
        <v>2751.4</v>
      </c>
      <c r="G76" s="31">
        <v>4.1599999999999998E-2</v>
      </c>
      <c r="H76" s="32"/>
    </row>
    <row r="77" spans="2:14" ht="15.75" customHeight="1" x14ac:dyDescent="0.2">
      <c r="B77" s="27" t="s">
        <v>129</v>
      </c>
      <c r="C77" s="27"/>
      <c r="D77" s="27"/>
      <c r="E77" s="33"/>
      <c r="F77" s="34">
        <v>2751.4</v>
      </c>
      <c r="G77" s="35">
        <v>4.1599999999999998E-2</v>
      </c>
      <c r="H77" s="36"/>
    </row>
    <row r="78" spans="2:14" ht="15.75" customHeight="1" x14ac:dyDescent="0.2">
      <c r="B78" s="28"/>
      <c r="C78" s="28"/>
      <c r="D78" s="28"/>
      <c r="E78" s="29"/>
      <c r="F78" s="30"/>
      <c r="G78" s="31"/>
      <c r="H78" s="32"/>
      <c r="J78" s="7"/>
      <c r="K78" s="7"/>
      <c r="L78" s="7"/>
      <c r="M78" s="7"/>
      <c r="N78" s="7"/>
    </row>
    <row r="79" spans="2:14" ht="15.75" customHeight="1" x14ac:dyDescent="0.2">
      <c r="B79" s="39" t="s">
        <v>133</v>
      </c>
      <c r="C79" s="39"/>
      <c r="D79" s="39"/>
      <c r="E79" s="40"/>
      <c r="F79" s="34">
        <v>2751.4</v>
      </c>
      <c r="G79" s="35">
        <v>4.1599999999999998E-2</v>
      </c>
      <c r="H79" s="36"/>
      <c r="J79" s="7"/>
      <c r="K79" s="7"/>
      <c r="L79" s="7"/>
      <c r="M79" s="7"/>
      <c r="N79" s="7"/>
    </row>
    <row r="80" spans="2:14" ht="15.75" customHeight="1" x14ac:dyDescent="0.2">
      <c r="B80" s="28" t="s">
        <v>141</v>
      </c>
      <c r="C80" s="28"/>
      <c r="D80" s="28"/>
      <c r="E80" s="29"/>
      <c r="F80" s="50">
        <v>-381.22</v>
      </c>
      <c r="G80" s="51">
        <v>-5.7000000000000384E-3</v>
      </c>
      <c r="H80" s="32"/>
      <c r="J80" s="7"/>
      <c r="K80" s="7"/>
      <c r="L80" s="7"/>
      <c r="M80" s="7"/>
      <c r="N80" s="7"/>
    </row>
    <row r="81" spans="2:14" ht="15.75" customHeight="1" x14ac:dyDescent="0.2">
      <c r="B81" s="41" t="s">
        <v>142</v>
      </c>
      <c r="C81" s="41"/>
      <c r="D81" s="41"/>
      <c r="E81" s="42"/>
      <c r="F81" s="43">
        <v>66128.13</v>
      </c>
      <c r="G81" s="44">
        <v>1</v>
      </c>
      <c r="H81" s="45"/>
      <c r="J81" s="7"/>
      <c r="K81" s="7"/>
      <c r="L81" s="7"/>
      <c r="M81" s="7"/>
      <c r="N81" s="7"/>
    </row>
    <row r="82" spans="2:14" ht="15.75" customHeight="1" x14ac:dyDescent="0.2">
      <c r="B82" s="2"/>
      <c r="J82" s="7"/>
      <c r="K82" s="7"/>
      <c r="L82" s="7"/>
      <c r="M82" s="7"/>
      <c r="N82" s="7"/>
    </row>
    <row r="83" spans="2:14" s="7" customFormat="1" ht="15.6" customHeight="1" x14ac:dyDescent="0.25">
      <c r="B83" s="63" t="s">
        <v>1067</v>
      </c>
      <c r="C83" s="70"/>
      <c r="D83" s="70"/>
      <c r="E83" s="70"/>
      <c r="F83" s="70"/>
      <c r="G83" s="70"/>
      <c r="H83" s="64"/>
    </row>
    <row r="84" spans="2:14" s="7" customFormat="1" ht="15.6" customHeight="1" x14ac:dyDescent="0.25">
      <c r="B84" s="63" t="s">
        <v>1108</v>
      </c>
      <c r="C84" s="70"/>
      <c r="D84" s="70"/>
      <c r="E84" s="70"/>
      <c r="F84" s="70"/>
      <c r="G84" s="70"/>
      <c r="H84" s="64"/>
    </row>
    <row r="85" spans="2:14" s="7" customFormat="1" ht="15.6" customHeight="1" x14ac:dyDescent="0.25">
      <c r="B85" s="63" t="s">
        <v>1068</v>
      </c>
      <c r="C85" s="70"/>
      <c r="D85" s="70"/>
      <c r="E85" s="70"/>
      <c r="F85" s="70"/>
      <c r="G85" s="70"/>
      <c r="H85" s="64"/>
    </row>
    <row r="86" spans="2:14" s="7" customFormat="1" ht="15.6" customHeight="1" x14ac:dyDescent="0.25">
      <c r="B86" s="71"/>
      <c r="C86" s="65">
        <v>46142</v>
      </c>
      <c r="D86" s="65">
        <v>46112</v>
      </c>
      <c r="E86" s="70"/>
      <c r="F86" s="70"/>
      <c r="G86" s="70"/>
      <c r="H86" s="64"/>
    </row>
    <row r="87" spans="2:14" s="7" customFormat="1" ht="15.6" customHeight="1" x14ac:dyDescent="0.25">
      <c r="B87" s="71" t="s">
        <v>1069</v>
      </c>
      <c r="C87" s="66"/>
      <c r="D87" s="66"/>
      <c r="E87" s="70"/>
      <c r="F87" s="70"/>
      <c r="G87" s="70"/>
      <c r="H87" s="64"/>
    </row>
    <row r="88" spans="2:14" s="7" customFormat="1" ht="15.6" customHeight="1" x14ac:dyDescent="0.25">
      <c r="B88" s="71" t="s">
        <v>1070</v>
      </c>
      <c r="C88" s="67">
        <v>30.011300000000002</v>
      </c>
      <c r="D88" s="67">
        <v>26.616</v>
      </c>
      <c r="E88" s="70"/>
      <c r="F88" s="70"/>
      <c r="G88" s="70"/>
      <c r="H88" s="64"/>
    </row>
    <row r="89" spans="2:14" s="7" customFormat="1" ht="15.6" customHeight="1" x14ac:dyDescent="0.25">
      <c r="B89" s="71" t="s">
        <v>1071</v>
      </c>
      <c r="C89" s="67">
        <v>30.0106</v>
      </c>
      <c r="D89" s="67">
        <v>26.615400000000001</v>
      </c>
      <c r="E89" s="70"/>
      <c r="F89" s="70"/>
      <c r="G89" s="70"/>
      <c r="H89" s="64"/>
    </row>
    <row r="90" spans="2:14" s="7" customFormat="1" ht="15.6" customHeight="1" x14ac:dyDescent="0.25">
      <c r="B90" s="71" t="s">
        <v>1073</v>
      </c>
      <c r="C90" s="67">
        <v>32.956700000000005</v>
      </c>
      <c r="D90" s="67">
        <v>29.192299999999999</v>
      </c>
      <c r="E90" s="70"/>
      <c r="F90" s="70"/>
      <c r="G90" s="70"/>
      <c r="H90" s="64"/>
    </row>
    <row r="91" spans="2:14" s="7" customFormat="1" ht="15.6" customHeight="1" x14ac:dyDescent="0.25">
      <c r="B91" s="71" t="s">
        <v>1074</v>
      </c>
      <c r="C91" s="67">
        <v>32.9405</v>
      </c>
      <c r="D91" s="67">
        <v>29.1784</v>
      </c>
      <c r="E91" s="70"/>
      <c r="F91" s="70"/>
      <c r="G91" s="70"/>
      <c r="H91" s="64"/>
    </row>
    <row r="92" spans="2:14" s="7" customFormat="1" ht="15.6" customHeight="1" x14ac:dyDescent="0.25">
      <c r="B92" s="63" t="s">
        <v>1116</v>
      </c>
      <c r="C92" s="70"/>
      <c r="D92" s="70"/>
      <c r="E92" s="70"/>
      <c r="F92" s="70"/>
      <c r="G92" s="70"/>
      <c r="H92" s="64"/>
    </row>
    <row r="93" spans="2:14" s="7" customFormat="1" ht="15.6" customHeight="1" x14ac:dyDescent="0.25">
      <c r="B93" s="63" t="s">
        <v>1109</v>
      </c>
      <c r="C93" s="70"/>
      <c r="D93" s="70"/>
      <c r="E93" s="70"/>
      <c r="F93" s="70"/>
      <c r="G93" s="70"/>
      <c r="H93" s="64"/>
    </row>
    <row r="94" spans="2:14" s="7" customFormat="1" ht="15.6" customHeight="1" x14ac:dyDescent="0.25">
      <c r="B94" s="63" t="s">
        <v>1111</v>
      </c>
      <c r="C94" s="70"/>
      <c r="D94" s="70"/>
      <c r="E94" s="70"/>
      <c r="F94" s="70"/>
      <c r="G94" s="70"/>
      <c r="H94" s="64"/>
    </row>
    <row r="95" spans="2:14" s="7" customFormat="1" ht="15.6" customHeight="1" x14ac:dyDescent="0.25">
      <c r="B95" s="63" t="s">
        <v>1112</v>
      </c>
      <c r="C95" s="70"/>
      <c r="D95" s="70"/>
      <c r="E95" s="70"/>
      <c r="F95" s="70"/>
      <c r="G95" s="70"/>
      <c r="H95" s="64"/>
    </row>
    <row r="96" spans="2:14" s="7" customFormat="1" ht="15.6" customHeight="1" x14ac:dyDescent="0.25">
      <c r="B96" s="63" t="s">
        <v>1121</v>
      </c>
      <c r="C96" s="70"/>
      <c r="D96" s="70"/>
      <c r="E96" s="70"/>
      <c r="F96" s="70"/>
      <c r="G96" s="70"/>
      <c r="H96" s="64"/>
    </row>
    <row r="97" spans="2:14" s="7" customFormat="1" ht="15.6" customHeight="1" x14ac:dyDescent="0.25">
      <c r="B97" s="63" t="s">
        <v>1113</v>
      </c>
      <c r="C97" s="70"/>
      <c r="D97" s="70"/>
      <c r="E97" s="70"/>
      <c r="F97" s="70"/>
      <c r="G97" s="70"/>
      <c r="H97" s="64"/>
    </row>
    <row r="98" spans="2:14" s="7" customFormat="1" ht="15.6" customHeight="1" x14ac:dyDescent="0.25">
      <c r="B98" s="68" t="s">
        <v>1076</v>
      </c>
      <c r="C98" s="72"/>
      <c r="D98" s="72"/>
      <c r="E98" s="72"/>
      <c r="F98" s="72"/>
      <c r="G98" s="72"/>
      <c r="H98" s="69"/>
    </row>
    <row r="99" spans="2:14" ht="15.75" customHeight="1" thickBot="1" x14ac:dyDescent="0.25">
      <c r="J99" s="7"/>
      <c r="K99" s="7"/>
      <c r="L99" s="7"/>
      <c r="M99" s="7"/>
      <c r="N99" s="7"/>
    </row>
    <row r="100" spans="2:14" ht="39.75" customHeight="1" thickBot="1" x14ac:dyDescent="0.3">
      <c r="B100" s="46" t="s">
        <v>146</v>
      </c>
      <c r="C100" s="47" t="s">
        <v>147</v>
      </c>
      <c r="D100" s="47" t="s">
        <v>148</v>
      </c>
      <c r="E100"/>
      <c r="J100" s="3"/>
    </row>
    <row r="101" spans="2:14" ht="39.75" customHeight="1" x14ac:dyDescent="0.25">
      <c r="B101" s="52" t="s">
        <v>673</v>
      </c>
      <c r="C101" s="109"/>
      <c r="D101" s="48" t="s">
        <v>674</v>
      </c>
      <c r="E101"/>
    </row>
    <row r="102" spans="2:14" ht="39.75" customHeight="1" x14ac:dyDescent="0.25">
      <c r="B102" s="112" t="s">
        <v>675</v>
      </c>
      <c r="C102" s="110"/>
      <c r="D102" s="118"/>
      <c r="E102"/>
    </row>
    <row r="103" spans="2:14" ht="39.75" customHeight="1" x14ac:dyDescent="0.25">
      <c r="B103" s="112"/>
      <c r="C103" s="110"/>
      <c r="D103" s="118"/>
      <c r="E103"/>
    </row>
    <row r="104" spans="2:14" ht="39.75" customHeight="1" x14ac:dyDescent="0.25">
      <c r="B104" s="112"/>
      <c r="C104" s="110"/>
      <c r="D104" s="118"/>
      <c r="E104"/>
    </row>
    <row r="105" spans="2:14" ht="39.75" customHeight="1" thickBot="1" x14ac:dyDescent="0.3">
      <c r="B105" s="113"/>
      <c r="C105" s="111"/>
      <c r="D105" s="119"/>
      <c r="E105"/>
    </row>
    <row r="106" spans="2:14" ht="15.75" customHeight="1" x14ac:dyDescent="0.2">
      <c r="B106" s="9" t="s">
        <v>149</v>
      </c>
    </row>
    <row r="107" spans="2:14" ht="15.75" customHeight="1" x14ac:dyDescent="0.2">
      <c r="B107" s="9" t="s">
        <v>150</v>
      </c>
    </row>
    <row r="108" spans="2:14" ht="15.75" customHeight="1" x14ac:dyDescent="0.2">
      <c r="B108" s="9" t="s">
        <v>151</v>
      </c>
    </row>
  </sheetData>
  <mergeCells count="3">
    <mergeCell ref="C101:C105"/>
    <mergeCell ref="B102:B105"/>
    <mergeCell ref="D102:D105"/>
  </mergeCells>
  <hyperlinks>
    <hyperlink ref="G1" location="'Sheet1'!A1" display="Index" xr:uid="{C7602DA5-50D1-44C9-BC51-8D92D32D00C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CB5B4-E169-4098-BE70-44D7244641AB}">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236</v>
      </c>
      <c r="C7" s="28" t="s">
        <v>237</v>
      </c>
      <c r="D7" s="28" t="s">
        <v>238</v>
      </c>
      <c r="E7" s="29">
        <v>52436</v>
      </c>
      <c r="F7" s="30">
        <v>948.2</v>
      </c>
      <c r="G7" s="31">
        <v>0.11219999999999999</v>
      </c>
      <c r="H7" s="32"/>
    </row>
    <row r="8" spans="2:8" ht="15.75" customHeight="1" x14ac:dyDescent="0.2">
      <c r="B8" s="28" t="s">
        <v>393</v>
      </c>
      <c r="C8" s="28" t="s">
        <v>394</v>
      </c>
      <c r="D8" s="28" t="s">
        <v>395</v>
      </c>
      <c r="E8" s="29">
        <v>7217</v>
      </c>
      <c r="F8" s="30">
        <v>551.13</v>
      </c>
      <c r="G8" s="31">
        <v>6.5199999999999994E-2</v>
      </c>
      <c r="H8" s="32"/>
    </row>
    <row r="9" spans="2:8" ht="15.75" customHeight="1" x14ac:dyDescent="0.2">
      <c r="B9" s="28" t="s">
        <v>384</v>
      </c>
      <c r="C9" s="28" t="s">
        <v>385</v>
      </c>
      <c r="D9" s="28" t="s">
        <v>238</v>
      </c>
      <c r="E9" s="29">
        <v>13130</v>
      </c>
      <c r="F9" s="30">
        <v>549.5</v>
      </c>
      <c r="G9" s="31">
        <v>6.5000000000000002E-2</v>
      </c>
      <c r="H9" s="32"/>
    </row>
    <row r="10" spans="2:8" ht="15.75" customHeight="1" x14ac:dyDescent="0.2">
      <c r="B10" s="28" t="s">
        <v>290</v>
      </c>
      <c r="C10" s="28" t="s">
        <v>291</v>
      </c>
      <c r="D10" s="28" t="s">
        <v>238</v>
      </c>
      <c r="E10" s="29">
        <v>31301</v>
      </c>
      <c r="F10" s="30">
        <v>434.93</v>
      </c>
      <c r="G10" s="31">
        <v>5.1499999999999997E-2</v>
      </c>
      <c r="H10" s="32"/>
    </row>
    <row r="11" spans="2:8" ht="15.75" customHeight="1" x14ac:dyDescent="0.2">
      <c r="B11" s="28" t="s">
        <v>413</v>
      </c>
      <c r="C11" s="28" t="s">
        <v>414</v>
      </c>
      <c r="D11" s="28" t="s">
        <v>238</v>
      </c>
      <c r="E11" s="29">
        <v>6158</v>
      </c>
      <c r="F11" s="30">
        <v>400.42</v>
      </c>
      <c r="G11" s="31">
        <v>4.7399999999999998E-2</v>
      </c>
      <c r="H11" s="32"/>
    </row>
    <row r="12" spans="2:8" ht="15.75" customHeight="1" x14ac:dyDescent="0.2">
      <c r="B12" s="28" t="s">
        <v>466</v>
      </c>
      <c r="C12" s="28" t="s">
        <v>467</v>
      </c>
      <c r="D12" s="28" t="s">
        <v>395</v>
      </c>
      <c r="E12" s="29">
        <v>43032</v>
      </c>
      <c r="F12" s="30">
        <v>397.16</v>
      </c>
      <c r="G12" s="31">
        <v>4.7E-2</v>
      </c>
      <c r="H12" s="32"/>
    </row>
    <row r="13" spans="2:8" ht="15.75" customHeight="1" x14ac:dyDescent="0.2">
      <c r="B13" s="28" t="s">
        <v>549</v>
      </c>
      <c r="C13" s="28" t="s">
        <v>550</v>
      </c>
      <c r="D13" s="28" t="s">
        <v>238</v>
      </c>
      <c r="E13" s="29">
        <v>2585</v>
      </c>
      <c r="F13" s="30">
        <v>387.83</v>
      </c>
      <c r="G13" s="31">
        <v>4.5900000000000003E-2</v>
      </c>
      <c r="H13" s="32"/>
    </row>
    <row r="14" spans="2:8" ht="15.75" customHeight="1" x14ac:dyDescent="0.2">
      <c r="B14" s="28" t="s">
        <v>454</v>
      </c>
      <c r="C14" s="28" t="s">
        <v>455</v>
      </c>
      <c r="D14" s="28" t="s">
        <v>238</v>
      </c>
      <c r="E14" s="29">
        <v>22159</v>
      </c>
      <c r="F14" s="30">
        <v>385.15</v>
      </c>
      <c r="G14" s="31">
        <v>4.5600000000000002E-2</v>
      </c>
      <c r="H14" s="32"/>
    </row>
    <row r="15" spans="2:8" ht="15.75" customHeight="1" x14ac:dyDescent="0.2">
      <c r="B15" s="28" t="s">
        <v>462</v>
      </c>
      <c r="C15" s="28" t="s">
        <v>463</v>
      </c>
      <c r="D15" s="28" t="s">
        <v>238</v>
      </c>
      <c r="E15" s="29">
        <v>226088</v>
      </c>
      <c r="F15" s="30">
        <v>365.97</v>
      </c>
      <c r="G15" s="31">
        <v>4.3299999999999998E-2</v>
      </c>
      <c r="H15" s="32"/>
    </row>
    <row r="16" spans="2:8" ht="15.75" customHeight="1" x14ac:dyDescent="0.2">
      <c r="B16" s="28" t="s">
        <v>676</v>
      </c>
      <c r="C16" s="28" t="s">
        <v>677</v>
      </c>
      <c r="D16" s="28" t="s">
        <v>238</v>
      </c>
      <c r="E16" s="29">
        <v>11994</v>
      </c>
      <c r="F16" s="30">
        <v>288.61</v>
      </c>
      <c r="G16" s="31">
        <v>3.4099999999999998E-2</v>
      </c>
      <c r="H16" s="32"/>
    </row>
    <row r="17" spans="2:8" ht="15.75" customHeight="1" x14ac:dyDescent="0.2">
      <c r="B17" s="28" t="s">
        <v>678</v>
      </c>
      <c r="C17" s="28" t="s">
        <v>679</v>
      </c>
      <c r="D17" s="28" t="s">
        <v>345</v>
      </c>
      <c r="E17" s="29">
        <v>4116</v>
      </c>
      <c r="F17" s="30">
        <v>280.75</v>
      </c>
      <c r="G17" s="31">
        <v>3.32E-2</v>
      </c>
      <c r="H17" s="32"/>
    </row>
    <row r="18" spans="2:8" ht="15.75" customHeight="1" x14ac:dyDescent="0.2">
      <c r="B18" s="28" t="s">
        <v>576</v>
      </c>
      <c r="C18" s="28" t="s">
        <v>577</v>
      </c>
      <c r="D18" s="28" t="s">
        <v>238</v>
      </c>
      <c r="E18" s="29">
        <v>5008</v>
      </c>
      <c r="F18" s="30">
        <v>270.43</v>
      </c>
      <c r="G18" s="31">
        <v>3.2000000000000001E-2</v>
      </c>
      <c r="H18" s="32"/>
    </row>
    <row r="19" spans="2:8" ht="15.75" customHeight="1" x14ac:dyDescent="0.2">
      <c r="B19" s="28" t="s">
        <v>680</v>
      </c>
      <c r="C19" s="28" t="s">
        <v>681</v>
      </c>
      <c r="D19" s="28" t="s">
        <v>238</v>
      </c>
      <c r="E19" s="29">
        <v>19567</v>
      </c>
      <c r="F19" s="30">
        <v>256.25</v>
      </c>
      <c r="G19" s="31">
        <v>3.0300000000000001E-2</v>
      </c>
      <c r="H19" s="32"/>
    </row>
    <row r="20" spans="2:8" ht="15.75" customHeight="1" x14ac:dyDescent="0.2">
      <c r="B20" s="28" t="s">
        <v>334</v>
      </c>
      <c r="C20" s="28" t="s">
        <v>335</v>
      </c>
      <c r="D20" s="28" t="s">
        <v>238</v>
      </c>
      <c r="E20" s="29">
        <v>16604</v>
      </c>
      <c r="F20" s="30">
        <v>254.19</v>
      </c>
      <c r="G20" s="31">
        <v>3.0099999999999998E-2</v>
      </c>
      <c r="H20" s="32"/>
    </row>
    <row r="21" spans="2:8" ht="15.75" customHeight="1" x14ac:dyDescent="0.2">
      <c r="B21" s="28" t="s">
        <v>364</v>
      </c>
      <c r="C21" s="28" t="s">
        <v>365</v>
      </c>
      <c r="D21" s="28" t="s">
        <v>238</v>
      </c>
      <c r="E21" s="29">
        <v>968</v>
      </c>
      <c r="F21" s="30">
        <v>246.21</v>
      </c>
      <c r="G21" s="31">
        <v>2.9100000000000001E-2</v>
      </c>
      <c r="H21" s="32"/>
    </row>
    <row r="22" spans="2:8" ht="15.75" customHeight="1" x14ac:dyDescent="0.2">
      <c r="B22" s="28" t="s">
        <v>682</v>
      </c>
      <c r="C22" s="28" t="s">
        <v>683</v>
      </c>
      <c r="D22" s="28" t="s">
        <v>238</v>
      </c>
      <c r="E22" s="29">
        <v>14043</v>
      </c>
      <c r="F22" s="30">
        <v>245.86</v>
      </c>
      <c r="G22" s="31">
        <v>2.9100000000000001E-2</v>
      </c>
      <c r="H22" s="32"/>
    </row>
    <row r="23" spans="2:8" ht="15.75" customHeight="1" x14ac:dyDescent="0.2">
      <c r="B23" s="28" t="s">
        <v>684</v>
      </c>
      <c r="C23" s="28" t="s">
        <v>685</v>
      </c>
      <c r="D23" s="28" t="s">
        <v>238</v>
      </c>
      <c r="E23" s="29">
        <v>20531</v>
      </c>
      <c r="F23" s="30">
        <v>234.46</v>
      </c>
      <c r="G23" s="31">
        <v>2.7699999999999999E-2</v>
      </c>
      <c r="H23" s="32"/>
    </row>
    <row r="24" spans="2:8" ht="15.75" customHeight="1" x14ac:dyDescent="0.2">
      <c r="B24" s="28" t="s">
        <v>592</v>
      </c>
      <c r="C24" s="28" t="s">
        <v>593</v>
      </c>
      <c r="D24" s="28" t="s">
        <v>395</v>
      </c>
      <c r="E24" s="29">
        <v>93529</v>
      </c>
      <c r="F24" s="30">
        <v>228.33</v>
      </c>
      <c r="G24" s="31">
        <v>2.7E-2</v>
      </c>
      <c r="H24" s="32"/>
    </row>
    <row r="25" spans="2:8" ht="15.75" customHeight="1" x14ac:dyDescent="0.2">
      <c r="B25" s="28" t="s">
        <v>609</v>
      </c>
      <c r="C25" s="28" t="s">
        <v>610</v>
      </c>
      <c r="D25" s="28" t="s">
        <v>395</v>
      </c>
      <c r="E25" s="29">
        <v>47304</v>
      </c>
      <c r="F25" s="30">
        <v>225.4</v>
      </c>
      <c r="G25" s="31">
        <v>2.6700000000000002E-2</v>
      </c>
      <c r="H25" s="32"/>
    </row>
    <row r="26" spans="2:8" ht="15.75" customHeight="1" x14ac:dyDescent="0.2">
      <c r="B26" s="28" t="s">
        <v>686</v>
      </c>
      <c r="C26" s="28" t="s">
        <v>687</v>
      </c>
      <c r="D26" s="28" t="s">
        <v>238</v>
      </c>
      <c r="E26" s="29">
        <v>8577</v>
      </c>
      <c r="F26" s="30">
        <v>192.7</v>
      </c>
      <c r="G26" s="31">
        <v>2.2800000000000001E-2</v>
      </c>
      <c r="H26" s="32"/>
    </row>
    <row r="27" spans="2:8" ht="15.75" customHeight="1" x14ac:dyDescent="0.2">
      <c r="B27" s="28" t="s">
        <v>652</v>
      </c>
      <c r="C27" s="28" t="s">
        <v>653</v>
      </c>
      <c r="D27" s="28" t="s">
        <v>238</v>
      </c>
      <c r="E27" s="29">
        <v>25333</v>
      </c>
      <c r="F27" s="30">
        <v>192.56</v>
      </c>
      <c r="G27" s="31">
        <v>2.2800000000000001E-2</v>
      </c>
      <c r="H27" s="32"/>
    </row>
    <row r="28" spans="2:8" ht="15.75" customHeight="1" x14ac:dyDescent="0.2">
      <c r="B28" s="28" t="s">
        <v>688</v>
      </c>
      <c r="C28" s="28" t="s">
        <v>689</v>
      </c>
      <c r="D28" s="28" t="s">
        <v>395</v>
      </c>
      <c r="E28" s="29">
        <v>39576</v>
      </c>
      <c r="F28" s="30">
        <v>176.15</v>
      </c>
      <c r="G28" s="31">
        <v>2.0799999999999999E-2</v>
      </c>
      <c r="H28" s="32"/>
    </row>
    <row r="29" spans="2:8" ht="15.75" customHeight="1" x14ac:dyDescent="0.2">
      <c r="B29" s="28" t="s">
        <v>690</v>
      </c>
      <c r="C29" s="28" t="s">
        <v>691</v>
      </c>
      <c r="D29" s="28" t="s">
        <v>395</v>
      </c>
      <c r="E29" s="29">
        <v>14952</v>
      </c>
      <c r="F29" s="30">
        <v>167.05</v>
      </c>
      <c r="G29" s="31">
        <v>1.9800000000000002E-2</v>
      </c>
      <c r="H29" s="32"/>
    </row>
    <row r="30" spans="2:8" ht="15.75" customHeight="1" x14ac:dyDescent="0.2">
      <c r="B30" s="28" t="s">
        <v>692</v>
      </c>
      <c r="C30" s="28" t="s">
        <v>693</v>
      </c>
      <c r="D30" s="28" t="s">
        <v>395</v>
      </c>
      <c r="E30" s="29">
        <v>16775</v>
      </c>
      <c r="F30" s="30">
        <v>166.58</v>
      </c>
      <c r="G30" s="31">
        <v>1.9699999999999999E-2</v>
      </c>
      <c r="H30" s="32"/>
    </row>
    <row r="31" spans="2:8" ht="15.75" customHeight="1" x14ac:dyDescent="0.2">
      <c r="B31" s="28" t="s">
        <v>694</v>
      </c>
      <c r="C31" s="28" t="s">
        <v>695</v>
      </c>
      <c r="D31" s="28" t="s">
        <v>238</v>
      </c>
      <c r="E31" s="29">
        <v>6296</v>
      </c>
      <c r="F31" s="30">
        <v>163.32</v>
      </c>
      <c r="G31" s="31">
        <v>1.9300000000000001E-2</v>
      </c>
      <c r="H31" s="32"/>
    </row>
    <row r="32" spans="2:8" ht="15.75" customHeight="1" x14ac:dyDescent="0.2">
      <c r="B32" s="28" t="s">
        <v>574</v>
      </c>
      <c r="C32" s="28" t="s">
        <v>575</v>
      </c>
      <c r="D32" s="28" t="s">
        <v>345</v>
      </c>
      <c r="E32" s="29">
        <v>8741</v>
      </c>
      <c r="F32" s="30">
        <v>115.58</v>
      </c>
      <c r="G32" s="31">
        <v>1.37E-2</v>
      </c>
      <c r="H32" s="32"/>
    </row>
    <row r="33" spans="2:8" ht="15.75" customHeight="1" x14ac:dyDescent="0.2">
      <c r="B33" s="27" t="s">
        <v>129</v>
      </c>
      <c r="C33" s="27"/>
      <c r="D33" s="27"/>
      <c r="E33" s="33"/>
      <c r="F33" s="34">
        <v>8124.72</v>
      </c>
      <c r="G33" s="35">
        <v>0.96120000000000005</v>
      </c>
      <c r="H33" s="36"/>
    </row>
    <row r="34" spans="2:8" ht="15.75" customHeight="1" x14ac:dyDescent="0.2">
      <c r="B34" s="27" t="s">
        <v>197</v>
      </c>
      <c r="C34" s="28"/>
      <c r="D34" s="28"/>
      <c r="E34" s="29"/>
      <c r="F34" s="30"/>
      <c r="G34" s="31"/>
      <c r="H34" s="32"/>
    </row>
    <row r="35" spans="2:8" ht="15.75" customHeight="1" x14ac:dyDescent="0.2">
      <c r="B35" s="27" t="s">
        <v>129</v>
      </c>
      <c r="C35" s="28"/>
      <c r="D35" s="28"/>
      <c r="E35" s="29"/>
      <c r="F35" s="37" t="s">
        <v>131</v>
      </c>
      <c r="G35" s="38" t="s">
        <v>131</v>
      </c>
      <c r="H35" s="32"/>
    </row>
    <row r="36" spans="2:8" ht="15.75" customHeight="1" x14ac:dyDescent="0.2">
      <c r="B36" s="28"/>
      <c r="C36" s="28"/>
      <c r="D36" s="28"/>
      <c r="E36" s="29"/>
      <c r="F36" s="30"/>
      <c r="G36" s="31"/>
      <c r="H36" s="32"/>
    </row>
    <row r="37" spans="2:8" ht="15.75" customHeight="1" x14ac:dyDescent="0.2">
      <c r="B37" s="39" t="s">
        <v>133</v>
      </c>
      <c r="C37" s="39"/>
      <c r="D37" s="39"/>
      <c r="E37" s="40"/>
      <c r="F37" s="34">
        <v>8124.72</v>
      </c>
      <c r="G37" s="35">
        <v>0.96120000000000005</v>
      </c>
      <c r="H37" s="36"/>
    </row>
    <row r="38" spans="2:8" ht="15.75" customHeight="1" x14ac:dyDescent="0.2">
      <c r="B38" s="28"/>
      <c r="C38" s="28"/>
      <c r="D38" s="28"/>
      <c r="E38" s="29"/>
      <c r="F38" s="30"/>
      <c r="G38" s="31"/>
      <c r="H38" s="32"/>
    </row>
    <row r="39" spans="2:8" ht="15.75" customHeight="1" x14ac:dyDescent="0.2">
      <c r="B39" s="28"/>
      <c r="C39" s="28"/>
      <c r="D39" s="28"/>
      <c r="E39" s="29"/>
      <c r="F39" s="30"/>
      <c r="G39" s="31"/>
      <c r="H39" s="32"/>
    </row>
    <row r="40" spans="2:8" ht="15.75" customHeight="1" x14ac:dyDescent="0.2">
      <c r="B40" s="27" t="s">
        <v>139</v>
      </c>
      <c r="C40" s="28"/>
      <c r="D40" s="28"/>
      <c r="E40" s="29"/>
      <c r="F40" s="30"/>
      <c r="G40" s="31"/>
      <c r="H40" s="32"/>
    </row>
    <row r="41" spans="2:8" ht="15.75" customHeight="1" x14ac:dyDescent="0.2">
      <c r="B41" s="28" t="s">
        <v>140</v>
      </c>
      <c r="C41" s="28"/>
      <c r="D41" s="28"/>
      <c r="E41" s="29"/>
      <c r="F41" s="30">
        <v>352.26</v>
      </c>
      <c r="G41" s="31">
        <v>4.1700000000000001E-2</v>
      </c>
      <c r="H41" s="32"/>
    </row>
    <row r="42" spans="2:8" ht="15.75" customHeight="1" x14ac:dyDescent="0.2">
      <c r="B42" s="27" t="s">
        <v>129</v>
      </c>
      <c r="C42" s="27"/>
      <c r="D42" s="27"/>
      <c r="E42" s="33"/>
      <c r="F42" s="34">
        <v>352.26</v>
      </c>
      <c r="G42" s="35">
        <v>4.1700000000000001E-2</v>
      </c>
      <c r="H42" s="36"/>
    </row>
    <row r="43" spans="2:8" ht="15.75" customHeight="1" x14ac:dyDescent="0.2">
      <c r="B43" s="28"/>
      <c r="C43" s="28"/>
      <c r="D43" s="28"/>
      <c r="E43" s="29"/>
      <c r="F43" s="30"/>
      <c r="G43" s="31"/>
      <c r="H43" s="32"/>
    </row>
    <row r="44" spans="2:8" ht="15.75" customHeight="1" x14ac:dyDescent="0.2">
      <c r="B44" s="39" t="s">
        <v>133</v>
      </c>
      <c r="C44" s="39"/>
      <c r="D44" s="39"/>
      <c r="E44" s="40"/>
      <c r="F44" s="34">
        <v>352.26</v>
      </c>
      <c r="G44" s="35">
        <v>4.1700000000000001E-2</v>
      </c>
      <c r="H44" s="36"/>
    </row>
    <row r="45" spans="2:8" ht="15.75" customHeight="1" x14ac:dyDescent="0.2">
      <c r="B45" s="28" t="s">
        <v>141</v>
      </c>
      <c r="C45" s="28"/>
      <c r="D45" s="28"/>
      <c r="E45" s="29"/>
      <c r="F45" s="50">
        <v>-24.44</v>
      </c>
      <c r="G45" s="51">
        <v>-2.9000000000001247E-3</v>
      </c>
      <c r="H45" s="32"/>
    </row>
    <row r="46" spans="2:8" ht="15.75" customHeight="1" x14ac:dyDescent="0.2">
      <c r="B46" s="41" t="s">
        <v>142</v>
      </c>
      <c r="C46" s="41"/>
      <c r="D46" s="41"/>
      <c r="E46" s="42"/>
      <c r="F46" s="43">
        <v>8452.5400000000009</v>
      </c>
      <c r="G46" s="44">
        <v>1</v>
      </c>
      <c r="H46" s="45"/>
    </row>
    <row r="47" spans="2:8" ht="15.75" customHeight="1" x14ac:dyDescent="0.2">
      <c r="B47" s="2"/>
    </row>
    <row r="48" spans="2:8" s="7" customFormat="1" ht="15.6" customHeight="1" x14ac:dyDescent="0.25">
      <c r="B48" s="63" t="s">
        <v>1067</v>
      </c>
      <c r="C48" s="70"/>
      <c r="D48" s="70"/>
      <c r="E48" s="70"/>
      <c r="F48" s="70"/>
      <c r="G48" s="70"/>
      <c r="H48" s="64"/>
    </row>
    <row r="49" spans="2:8" s="7" customFormat="1" ht="15.6" customHeight="1" x14ac:dyDescent="0.25">
      <c r="B49" s="63" t="s">
        <v>1108</v>
      </c>
      <c r="C49" s="70"/>
      <c r="D49" s="70"/>
      <c r="E49" s="70"/>
      <c r="F49" s="70"/>
      <c r="G49" s="70"/>
      <c r="H49" s="64"/>
    </row>
    <row r="50" spans="2:8" s="7" customFormat="1" ht="15.6" customHeight="1" x14ac:dyDescent="0.25">
      <c r="B50" s="63" t="s">
        <v>1068</v>
      </c>
      <c r="C50" s="70"/>
      <c r="D50" s="70"/>
      <c r="E50" s="70"/>
      <c r="F50" s="70"/>
      <c r="G50" s="70"/>
      <c r="H50" s="64"/>
    </row>
    <row r="51" spans="2:8" s="7" customFormat="1" ht="15.6" customHeight="1" x14ac:dyDescent="0.25">
      <c r="B51" s="71"/>
      <c r="C51" s="65">
        <v>46142</v>
      </c>
      <c r="D51" s="65">
        <v>46112</v>
      </c>
      <c r="E51" s="70"/>
      <c r="F51" s="70"/>
      <c r="G51" s="70"/>
      <c r="H51" s="64"/>
    </row>
    <row r="52" spans="2:8" s="7" customFormat="1" ht="15.6" customHeight="1" x14ac:dyDescent="0.25">
      <c r="B52" s="71" t="s">
        <v>1069</v>
      </c>
      <c r="C52" s="66"/>
      <c r="D52" s="66"/>
      <c r="E52" s="70"/>
      <c r="F52" s="70"/>
      <c r="G52" s="70"/>
      <c r="H52" s="64"/>
    </row>
    <row r="53" spans="2:8" s="7" customFormat="1" ht="15.6" customHeight="1" x14ac:dyDescent="0.25">
      <c r="B53" s="71" t="s">
        <v>1070</v>
      </c>
      <c r="C53" s="67">
        <v>29.341699999999999</v>
      </c>
      <c r="D53" s="67">
        <v>27.336400000000001</v>
      </c>
      <c r="E53" s="70"/>
      <c r="F53" s="70"/>
      <c r="G53" s="70"/>
      <c r="H53" s="64"/>
    </row>
    <row r="54" spans="2:8" s="7" customFormat="1" ht="15.6" customHeight="1" x14ac:dyDescent="0.25">
      <c r="B54" s="71" t="s">
        <v>1071</v>
      </c>
      <c r="C54" s="67">
        <v>29.342200000000002</v>
      </c>
      <c r="D54" s="67">
        <v>27.3369</v>
      </c>
      <c r="E54" s="70"/>
      <c r="F54" s="70"/>
      <c r="G54" s="70"/>
      <c r="H54" s="64"/>
    </row>
    <row r="55" spans="2:8" s="7" customFormat="1" ht="15.6" customHeight="1" x14ac:dyDescent="0.25">
      <c r="B55" s="71" t="s">
        <v>1073</v>
      </c>
      <c r="C55" s="67">
        <v>32.356200000000001</v>
      </c>
      <c r="D55" s="67">
        <v>30.112500000000001</v>
      </c>
      <c r="E55" s="70"/>
      <c r="F55" s="70"/>
      <c r="G55" s="70"/>
      <c r="H55" s="64"/>
    </row>
    <row r="56" spans="2:8" s="7" customFormat="1" ht="15.6" customHeight="1" x14ac:dyDescent="0.25">
      <c r="B56" s="71" t="s">
        <v>1074</v>
      </c>
      <c r="C56" s="67">
        <v>32.346299999999999</v>
      </c>
      <c r="D56" s="67">
        <v>30.1035</v>
      </c>
      <c r="E56" s="70"/>
      <c r="F56" s="70"/>
      <c r="G56" s="70"/>
      <c r="H56" s="64"/>
    </row>
    <row r="57" spans="2:8" s="7" customFormat="1" ht="15.6" customHeight="1" x14ac:dyDescent="0.25">
      <c r="B57" s="63" t="s">
        <v>1116</v>
      </c>
      <c r="C57" s="70"/>
      <c r="D57" s="70"/>
      <c r="E57" s="70"/>
      <c r="F57" s="70"/>
      <c r="G57" s="70"/>
      <c r="H57" s="64"/>
    </row>
    <row r="58" spans="2:8" s="7" customFormat="1" ht="15.6" customHeight="1" x14ac:dyDescent="0.25">
      <c r="B58" s="63" t="s">
        <v>1109</v>
      </c>
      <c r="C58" s="70"/>
      <c r="D58" s="70"/>
      <c r="E58" s="70"/>
      <c r="F58" s="70"/>
      <c r="G58" s="70"/>
      <c r="H58" s="64"/>
    </row>
    <row r="59" spans="2:8" s="7" customFormat="1" ht="15.6" customHeight="1" x14ac:dyDescent="0.25">
      <c r="B59" s="63" t="s">
        <v>1111</v>
      </c>
      <c r="C59" s="70"/>
      <c r="D59" s="70"/>
      <c r="E59" s="70"/>
      <c r="F59" s="70"/>
      <c r="G59" s="70"/>
      <c r="H59" s="64"/>
    </row>
    <row r="60" spans="2:8" s="7" customFormat="1" ht="15.6" customHeight="1" x14ac:dyDescent="0.25">
      <c r="B60" s="63" t="s">
        <v>1112</v>
      </c>
      <c r="C60" s="70"/>
      <c r="D60" s="70"/>
      <c r="E60" s="70"/>
      <c r="F60" s="70"/>
      <c r="G60" s="70"/>
      <c r="H60" s="64"/>
    </row>
    <row r="61" spans="2:8" s="7" customFormat="1" ht="15.6" customHeight="1" x14ac:dyDescent="0.25">
      <c r="B61" s="63" t="s">
        <v>1122</v>
      </c>
      <c r="C61" s="70"/>
      <c r="D61" s="70"/>
      <c r="E61" s="70"/>
      <c r="F61" s="70"/>
      <c r="G61" s="70"/>
      <c r="H61" s="64"/>
    </row>
    <row r="62" spans="2:8" s="7" customFormat="1" ht="15.6" customHeight="1" x14ac:dyDescent="0.25">
      <c r="B62" s="63" t="s">
        <v>1113</v>
      </c>
      <c r="C62" s="70"/>
      <c r="D62" s="70"/>
      <c r="E62" s="70"/>
      <c r="F62" s="70"/>
      <c r="G62" s="70"/>
      <c r="H62" s="64"/>
    </row>
    <row r="63" spans="2:8" s="7" customFormat="1" ht="15.6" customHeight="1" x14ac:dyDescent="0.25">
      <c r="B63" s="68" t="s">
        <v>1076</v>
      </c>
      <c r="C63" s="72"/>
      <c r="D63" s="72"/>
      <c r="E63" s="72"/>
      <c r="F63" s="72"/>
      <c r="G63" s="72"/>
      <c r="H63" s="69"/>
    </row>
    <row r="64" spans="2:8" ht="15.75" customHeight="1" thickBot="1" x14ac:dyDescent="0.25"/>
    <row r="65" spans="2:5" ht="39.75" customHeight="1" thickBot="1" x14ac:dyDescent="0.3">
      <c r="B65" s="46" t="s">
        <v>146</v>
      </c>
      <c r="C65" s="47" t="s">
        <v>147</v>
      </c>
      <c r="D65" s="47" t="s">
        <v>148</v>
      </c>
      <c r="E65"/>
    </row>
    <row r="66" spans="2:5" ht="39.75" customHeight="1" x14ac:dyDescent="0.25">
      <c r="B66" s="52" t="s">
        <v>673</v>
      </c>
      <c r="C66" s="109"/>
      <c r="D66" s="48" t="s">
        <v>696</v>
      </c>
      <c r="E66"/>
    </row>
    <row r="67" spans="2:5" ht="39.75" customHeight="1" x14ac:dyDescent="0.25">
      <c r="B67" s="112" t="s">
        <v>697</v>
      </c>
      <c r="C67" s="110"/>
      <c r="D67" s="118"/>
      <c r="E67"/>
    </row>
    <row r="68" spans="2:5" ht="39.75" customHeight="1" x14ac:dyDescent="0.25">
      <c r="B68" s="112"/>
      <c r="C68" s="110"/>
      <c r="D68" s="118"/>
      <c r="E68"/>
    </row>
    <row r="69" spans="2:5" ht="39.75" customHeight="1" x14ac:dyDescent="0.25">
      <c r="B69" s="112"/>
      <c r="C69" s="110"/>
      <c r="D69" s="118"/>
      <c r="E69"/>
    </row>
    <row r="70" spans="2:5" ht="39.75" customHeight="1" thickBot="1" x14ac:dyDescent="0.3">
      <c r="B70" s="113"/>
      <c r="C70" s="111"/>
      <c r="D70" s="119"/>
      <c r="E70"/>
    </row>
    <row r="71" spans="2:5" ht="15.75" customHeight="1" x14ac:dyDescent="0.2">
      <c r="B71" s="9" t="s">
        <v>149</v>
      </c>
    </row>
    <row r="72" spans="2:5" ht="15.75" customHeight="1" x14ac:dyDescent="0.2">
      <c r="B72" s="9" t="s">
        <v>150</v>
      </c>
    </row>
    <row r="73" spans="2:5" ht="15.75" customHeight="1" x14ac:dyDescent="0.2">
      <c r="B73" s="9" t="s">
        <v>151</v>
      </c>
    </row>
    <row r="82" spans="10:14" ht="15.75" customHeight="1" x14ac:dyDescent="0.2">
      <c r="J82" s="3"/>
    </row>
    <row r="84" spans="10:14" ht="15.75" customHeight="1" x14ac:dyDescent="0.2">
      <c r="J84" s="3"/>
    </row>
    <row r="85" spans="10:14" ht="15.75" customHeight="1" x14ac:dyDescent="0.2">
      <c r="J85" s="3"/>
    </row>
    <row r="86" spans="10:14" ht="15.75" customHeight="1" x14ac:dyDescent="0.2">
      <c r="J86" s="3"/>
    </row>
    <row r="87" spans="10:14" ht="15.75" customHeight="1" x14ac:dyDescent="0.2">
      <c r="J87" s="3"/>
    </row>
    <row r="88" spans="10:14" ht="15.75" customHeight="1" x14ac:dyDescent="0.2">
      <c r="J88" s="3"/>
    </row>
    <row r="89" spans="10:14" ht="15.75" customHeight="1" x14ac:dyDescent="0.2">
      <c r="J89" s="5"/>
      <c r="K89" s="5"/>
      <c r="L89" s="6"/>
      <c r="M89" s="6"/>
      <c r="N89" s="5"/>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5" spans="10:14" ht="15.75" customHeight="1" x14ac:dyDescent="0.2">
      <c r="J95" s="7"/>
      <c r="K95" s="7"/>
      <c r="L95" s="7"/>
      <c r="M95" s="7"/>
      <c r="N95" s="7"/>
    </row>
    <row r="96" spans="10: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66:C70"/>
    <mergeCell ref="B67:B70"/>
    <mergeCell ref="D67:D70"/>
  </mergeCells>
  <hyperlinks>
    <hyperlink ref="G1" location="'Sheet1'!A1" display="Index" xr:uid="{4FA40B87-D61B-45F3-9CCF-0D5B7D226F5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1A98-1516-4F32-8986-81880E73F2AB}">
  <dimension ref="B1:N113"/>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582</v>
      </c>
      <c r="C7" s="28" t="s">
        <v>583</v>
      </c>
      <c r="D7" s="28" t="s">
        <v>173</v>
      </c>
      <c r="E7" s="29">
        <v>359305</v>
      </c>
      <c r="F7" s="30">
        <v>1031.03</v>
      </c>
      <c r="G7" s="31">
        <v>2.98E-2</v>
      </c>
      <c r="H7" s="32"/>
    </row>
    <row r="8" spans="2:8" ht="15.75" customHeight="1" x14ac:dyDescent="0.2">
      <c r="B8" s="28" t="s">
        <v>698</v>
      </c>
      <c r="C8" s="28" t="s">
        <v>699</v>
      </c>
      <c r="D8" s="28" t="s">
        <v>179</v>
      </c>
      <c r="E8" s="29">
        <v>83586</v>
      </c>
      <c r="F8" s="30">
        <v>929.89</v>
      </c>
      <c r="G8" s="31">
        <v>2.6800000000000001E-2</v>
      </c>
      <c r="H8" s="32"/>
    </row>
    <row r="9" spans="2:8" ht="15.75" customHeight="1" x14ac:dyDescent="0.2">
      <c r="B9" s="28" t="s">
        <v>551</v>
      </c>
      <c r="C9" s="28" t="s">
        <v>552</v>
      </c>
      <c r="D9" s="28" t="s">
        <v>268</v>
      </c>
      <c r="E9" s="29">
        <v>2767</v>
      </c>
      <c r="F9" s="30">
        <v>928.33</v>
      </c>
      <c r="G9" s="31">
        <v>2.6800000000000001E-2</v>
      </c>
      <c r="H9" s="32"/>
    </row>
    <row r="10" spans="2:8" ht="15.75" customHeight="1" x14ac:dyDescent="0.2">
      <c r="B10" s="28" t="s">
        <v>322</v>
      </c>
      <c r="C10" s="28" t="s">
        <v>323</v>
      </c>
      <c r="D10" s="28" t="s">
        <v>321</v>
      </c>
      <c r="E10" s="29">
        <v>143945</v>
      </c>
      <c r="F10" s="30">
        <v>812.28</v>
      </c>
      <c r="G10" s="31">
        <v>2.3400000000000001E-2</v>
      </c>
      <c r="H10" s="32"/>
    </row>
    <row r="11" spans="2:8" ht="15.75" customHeight="1" x14ac:dyDescent="0.2">
      <c r="B11" s="28" t="s">
        <v>222</v>
      </c>
      <c r="C11" s="28" t="s">
        <v>223</v>
      </c>
      <c r="D11" s="28" t="s">
        <v>224</v>
      </c>
      <c r="E11" s="29">
        <v>173129</v>
      </c>
      <c r="F11" s="30">
        <v>746.71</v>
      </c>
      <c r="G11" s="31">
        <v>2.1499999999999998E-2</v>
      </c>
      <c r="H11" s="32"/>
    </row>
    <row r="12" spans="2:8" ht="15.75" customHeight="1" x14ac:dyDescent="0.2">
      <c r="B12" s="28" t="s">
        <v>528</v>
      </c>
      <c r="C12" s="28" t="s">
        <v>529</v>
      </c>
      <c r="D12" s="28" t="s">
        <v>431</v>
      </c>
      <c r="E12" s="29">
        <v>70475</v>
      </c>
      <c r="F12" s="30">
        <v>711.76</v>
      </c>
      <c r="G12" s="31">
        <v>2.0500000000000001E-2</v>
      </c>
      <c r="H12" s="32"/>
    </row>
    <row r="13" spans="2:8" ht="15.75" customHeight="1" x14ac:dyDescent="0.2">
      <c r="B13" s="28" t="s">
        <v>262</v>
      </c>
      <c r="C13" s="28" t="s">
        <v>263</v>
      </c>
      <c r="D13" s="28" t="s">
        <v>243</v>
      </c>
      <c r="E13" s="29">
        <v>16206</v>
      </c>
      <c r="F13" s="30">
        <v>671.67</v>
      </c>
      <c r="G13" s="31">
        <v>1.9400000000000001E-2</v>
      </c>
      <c r="H13" s="32"/>
    </row>
    <row r="14" spans="2:8" ht="15.75" customHeight="1" x14ac:dyDescent="0.2">
      <c r="B14" s="28" t="s">
        <v>343</v>
      </c>
      <c r="C14" s="28" t="s">
        <v>344</v>
      </c>
      <c r="D14" s="28" t="s">
        <v>345</v>
      </c>
      <c r="E14" s="29">
        <v>26635</v>
      </c>
      <c r="F14" s="30">
        <v>670.83</v>
      </c>
      <c r="G14" s="31">
        <v>1.9400000000000001E-2</v>
      </c>
      <c r="H14" s="32"/>
    </row>
    <row r="15" spans="2:8" ht="15.75" customHeight="1" x14ac:dyDescent="0.2">
      <c r="B15" s="28" t="s">
        <v>486</v>
      </c>
      <c r="C15" s="28" t="s">
        <v>487</v>
      </c>
      <c r="D15" s="28" t="s">
        <v>179</v>
      </c>
      <c r="E15" s="29">
        <v>16173</v>
      </c>
      <c r="F15" s="30">
        <v>667.1</v>
      </c>
      <c r="G15" s="31">
        <v>1.9199999999999998E-2</v>
      </c>
      <c r="H15" s="32"/>
    </row>
    <row r="16" spans="2:8" ht="15.75" customHeight="1" x14ac:dyDescent="0.2">
      <c r="B16" s="28" t="s">
        <v>700</v>
      </c>
      <c r="C16" s="28" t="s">
        <v>701</v>
      </c>
      <c r="D16" s="28" t="s">
        <v>251</v>
      </c>
      <c r="E16" s="29">
        <v>36806</v>
      </c>
      <c r="F16" s="30">
        <v>638.95000000000005</v>
      </c>
      <c r="G16" s="31">
        <v>1.84E-2</v>
      </c>
      <c r="H16" s="32"/>
    </row>
    <row r="17" spans="2:8" ht="15.75" customHeight="1" x14ac:dyDescent="0.2">
      <c r="B17" s="28" t="s">
        <v>702</v>
      </c>
      <c r="C17" s="28" t="s">
        <v>703</v>
      </c>
      <c r="D17" s="28" t="s">
        <v>561</v>
      </c>
      <c r="E17" s="29">
        <v>20794</v>
      </c>
      <c r="F17" s="30">
        <v>635.22</v>
      </c>
      <c r="G17" s="31">
        <v>1.83E-2</v>
      </c>
      <c r="H17" s="32"/>
    </row>
    <row r="18" spans="2:8" ht="15.75" customHeight="1" x14ac:dyDescent="0.2">
      <c r="B18" s="28" t="s">
        <v>639</v>
      </c>
      <c r="C18" s="28" t="s">
        <v>640</v>
      </c>
      <c r="D18" s="28" t="s">
        <v>641</v>
      </c>
      <c r="E18" s="29">
        <v>151180</v>
      </c>
      <c r="F18" s="30">
        <v>630.41999999999996</v>
      </c>
      <c r="G18" s="31">
        <v>1.8200000000000001E-2</v>
      </c>
      <c r="H18" s="32"/>
    </row>
    <row r="19" spans="2:8" ht="15.75" customHeight="1" x14ac:dyDescent="0.2">
      <c r="B19" s="28" t="s">
        <v>290</v>
      </c>
      <c r="C19" s="28" t="s">
        <v>291</v>
      </c>
      <c r="D19" s="28" t="s">
        <v>238</v>
      </c>
      <c r="E19" s="29">
        <v>44963</v>
      </c>
      <c r="F19" s="30">
        <v>624.76</v>
      </c>
      <c r="G19" s="31">
        <v>1.7999999999999999E-2</v>
      </c>
      <c r="H19" s="32"/>
    </row>
    <row r="20" spans="2:8" ht="15.75" customHeight="1" x14ac:dyDescent="0.2">
      <c r="B20" s="28" t="s">
        <v>319</v>
      </c>
      <c r="C20" s="28" t="s">
        <v>320</v>
      </c>
      <c r="D20" s="28" t="s">
        <v>321</v>
      </c>
      <c r="E20" s="29">
        <v>15607</v>
      </c>
      <c r="F20" s="30">
        <v>624.12</v>
      </c>
      <c r="G20" s="31">
        <v>1.7999999999999999E-2</v>
      </c>
      <c r="H20" s="32"/>
    </row>
    <row r="21" spans="2:8" ht="15.75" customHeight="1" x14ac:dyDescent="0.2">
      <c r="B21" s="28" t="s">
        <v>477</v>
      </c>
      <c r="C21" s="28" t="s">
        <v>478</v>
      </c>
      <c r="D21" s="28" t="s">
        <v>321</v>
      </c>
      <c r="E21" s="29">
        <v>12766</v>
      </c>
      <c r="F21" s="30">
        <v>620.11</v>
      </c>
      <c r="G21" s="31">
        <v>1.7899999999999999E-2</v>
      </c>
      <c r="H21" s="32"/>
    </row>
    <row r="22" spans="2:8" ht="15.75" customHeight="1" x14ac:dyDescent="0.2">
      <c r="B22" s="28" t="s">
        <v>704</v>
      </c>
      <c r="C22" s="28" t="s">
        <v>705</v>
      </c>
      <c r="D22" s="28" t="s">
        <v>321</v>
      </c>
      <c r="E22" s="29">
        <v>32409</v>
      </c>
      <c r="F22" s="30">
        <v>617.39</v>
      </c>
      <c r="G22" s="31">
        <v>1.78E-2</v>
      </c>
      <c r="H22" s="32"/>
    </row>
    <row r="23" spans="2:8" ht="15.75" customHeight="1" x14ac:dyDescent="0.2">
      <c r="B23" s="28" t="s">
        <v>341</v>
      </c>
      <c r="C23" s="28" t="s">
        <v>342</v>
      </c>
      <c r="D23" s="28" t="s">
        <v>196</v>
      </c>
      <c r="E23" s="29">
        <v>40502</v>
      </c>
      <c r="F23" s="30">
        <v>611.17999999999995</v>
      </c>
      <c r="G23" s="31">
        <v>1.7600000000000001E-2</v>
      </c>
      <c r="H23" s="32"/>
    </row>
    <row r="24" spans="2:8" ht="15.75" customHeight="1" x14ac:dyDescent="0.2">
      <c r="B24" s="28" t="s">
        <v>177</v>
      </c>
      <c r="C24" s="28" t="s">
        <v>178</v>
      </c>
      <c r="D24" s="28" t="s">
        <v>179</v>
      </c>
      <c r="E24" s="29">
        <v>32124</v>
      </c>
      <c r="F24" s="30">
        <v>604.45000000000005</v>
      </c>
      <c r="G24" s="31">
        <v>1.7399999999999999E-2</v>
      </c>
      <c r="H24" s="32"/>
    </row>
    <row r="25" spans="2:8" ht="15.75" customHeight="1" x14ac:dyDescent="0.2">
      <c r="B25" s="28" t="s">
        <v>601</v>
      </c>
      <c r="C25" s="28" t="s">
        <v>602</v>
      </c>
      <c r="D25" s="28" t="s">
        <v>483</v>
      </c>
      <c r="E25" s="29">
        <v>113454</v>
      </c>
      <c r="F25" s="30">
        <v>603.35</v>
      </c>
      <c r="G25" s="31">
        <v>1.7399999999999999E-2</v>
      </c>
      <c r="H25" s="32"/>
    </row>
    <row r="26" spans="2:8" ht="15.75" customHeight="1" x14ac:dyDescent="0.2">
      <c r="B26" s="28" t="s">
        <v>488</v>
      </c>
      <c r="C26" s="28" t="s">
        <v>489</v>
      </c>
      <c r="D26" s="28" t="s">
        <v>490</v>
      </c>
      <c r="E26" s="29">
        <v>53968</v>
      </c>
      <c r="F26" s="30">
        <v>591.38</v>
      </c>
      <c r="G26" s="31">
        <v>1.7100000000000001E-2</v>
      </c>
      <c r="H26" s="32"/>
    </row>
    <row r="27" spans="2:8" ht="15.75" customHeight="1" x14ac:dyDescent="0.2">
      <c r="B27" s="28" t="s">
        <v>605</v>
      </c>
      <c r="C27" s="28" t="s">
        <v>606</v>
      </c>
      <c r="D27" s="28" t="s">
        <v>470</v>
      </c>
      <c r="E27" s="29">
        <v>92766</v>
      </c>
      <c r="F27" s="30">
        <v>589.85</v>
      </c>
      <c r="G27" s="31">
        <v>1.7000000000000001E-2</v>
      </c>
      <c r="H27" s="32"/>
    </row>
    <row r="28" spans="2:8" ht="15.75" customHeight="1" x14ac:dyDescent="0.2">
      <c r="B28" s="28" t="s">
        <v>479</v>
      </c>
      <c r="C28" s="28" t="s">
        <v>480</v>
      </c>
      <c r="D28" s="28" t="s">
        <v>431</v>
      </c>
      <c r="E28" s="29">
        <v>18995</v>
      </c>
      <c r="F28" s="30">
        <v>564.44000000000005</v>
      </c>
      <c r="G28" s="31">
        <v>1.6299999999999999E-2</v>
      </c>
      <c r="H28" s="32"/>
    </row>
    <row r="29" spans="2:8" ht="15.75" customHeight="1" x14ac:dyDescent="0.2">
      <c r="B29" s="28" t="s">
        <v>706</v>
      </c>
      <c r="C29" s="28" t="s">
        <v>707</v>
      </c>
      <c r="D29" s="28" t="s">
        <v>182</v>
      </c>
      <c r="E29" s="29">
        <v>11637</v>
      </c>
      <c r="F29" s="30">
        <v>558.58000000000004</v>
      </c>
      <c r="G29" s="31">
        <v>1.61E-2</v>
      </c>
      <c r="H29" s="32"/>
    </row>
    <row r="30" spans="2:8" ht="15.75" customHeight="1" x14ac:dyDescent="0.2">
      <c r="B30" s="28" t="s">
        <v>466</v>
      </c>
      <c r="C30" s="28" t="s">
        <v>467</v>
      </c>
      <c r="D30" s="28" t="s">
        <v>395</v>
      </c>
      <c r="E30" s="29">
        <v>60487</v>
      </c>
      <c r="F30" s="30">
        <v>558.26</v>
      </c>
      <c r="G30" s="31">
        <v>1.61E-2</v>
      </c>
      <c r="H30" s="32"/>
    </row>
    <row r="31" spans="2:8" ht="15.75" customHeight="1" x14ac:dyDescent="0.2">
      <c r="B31" s="28" t="s">
        <v>381</v>
      </c>
      <c r="C31" s="28" t="s">
        <v>382</v>
      </c>
      <c r="D31" s="28" t="s">
        <v>383</v>
      </c>
      <c r="E31" s="29">
        <v>15374</v>
      </c>
      <c r="F31" s="30">
        <v>557.51</v>
      </c>
      <c r="G31" s="31">
        <v>1.61E-2</v>
      </c>
      <c r="H31" s="32"/>
    </row>
    <row r="32" spans="2:8" ht="15.75" customHeight="1" x14ac:dyDescent="0.2">
      <c r="B32" s="28" t="s">
        <v>559</v>
      </c>
      <c r="C32" s="28" t="s">
        <v>560</v>
      </c>
      <c r="D32" s="28" t="s">
        <v>561</v>
      </c>
      <c r="E32" s="29">
        <v>27538</v>
      </c>
      <c r="F32" s="30">
        <v>545.72</v>
      </c>
      <c r="G32" s="31">
        <v>1.5699999999999999E-2</v>
      </c>
      <c r="H32" s="32"/>
    </row>
    <row r="33" spans="2:8" ht="15.75" customHeight="1" x14ac:dyDescent="0.2">
      <c r="B33" s="28" t="s">
        <v>708</v>
      </c>
      <c r="C33" s="28" t="s">
        <v>709</v>
      </c>
      <c r="D33" s="28" t="s">
        <v>190</v>
      </c>
      <c r="E33" s="29">
        <v>173306</v>
      </c>
      <c r="F33" s="30">
        <v>538.46</v>
      </c>
      <c r="G33" s="31">
        <v>1.55E-2</v>
      </c>
      <c r="H33" s="32"/>
    </row>
    <row r="34" spans="2:8" ht="15.75" customHeight="1" x14ac:dyDescent="0.2">
      <c r="B34" s="28" t="s">
        <v>576</v>
      </c>
      <c r="C34" s="28" t="s">
        <v>577</v>
      </c>
      <c r="D34" s="28" t="s">
        <v>238</v>
      </c>
      <c r="E34" s="29">
        <v>9948</v>
      </c>
      <c r="F34" s="30">
        <v>537.19000000000005</v>
      </c>
      <c r="G34" s="31">
        <v>1.55E-2</v>
      </c>
      <c r="H34" s="32"/>
    </row>
    <row r="35" spans="2:8" ht="15.75" customHeight="1" x14ac:dyDescent="0.2">
      <c r="B35" s="28" t="s">
        <v>421</v>
      </c>
      <c r="C35" s="28" t="s">
        <v>422</v>
      </c>
      <c r="D35" s="28" t="s">
        <v>248</v>
      </c>
      <c r="E35" s="29">
        <v>37678</v>
      </c>
      <c r="F35" s="30">
        <v>532.91999999999996</v>
      </c>
      <c r="G35" s="31">
        <v>1.54E-2</v>
      </c>
      <c r="H35" s="32"/>
    </row>
    <row r="36" spans="2:8" ht="15.75" customHeight="1" x14ac:dyDescent="0.2">
      <c r="B36" s="28" t="s">
        <v>411</v>
      </c>
      <c r="C36" s="28" t="s">
        <v>412</v>
      </c>
      <c r="D36" s="28" t="s">
        <v>179</v>
      </c>
      <c r="E36" s="29">
        <v>22773</v>
      </c>
      <c r="F36" s="30">
        <v>530.75</v>
      </c>
      <c r="G36" s="31">
        <v>1.5299999999999999E-2</v>
      </c>
      <c r="H36" s="32"/>
    </row>
    <row r="37" spans="2:8" ht="15.75" customHeight="1" x14ac:dyDescent="0.2">
      <c r="B37" s="28" t="s">
        <v>584</v>
      </c>
      <c r="C37" s="28" t="s">
        <v>585</v>
      </c>
      <c r="D37" s="28" t="s">
        <v>271</v>
      </c>
      <c r="E37" s="29">
        <v>51741</v>
      </c>
      <c r="F37" s="30">
        <v>529.23</v>
      </c>
      <c r="G37" s="31">
        <v>1.5299999999999999E-2</v>
      </c>
      <c r="H37" s="32"/>
    </row>
    <row r="38" spans="2:8" ht="15.75" customHeight="1" x14ac:dyDescent="0.2">
      <c r="B38" s="28" t="s">
        <v>710</v>
      </c>
      <c r="C38" s="28" t="s">
        <v>711</v>
      </c>
      <c r="D38" s="28" t="s">
        <v>345</v>
      </c>
      <c r="E38" s="29">
        <v>30036</v>
      </c>
      <c r="F38" s="30">
        <v>521.70000000000005</v>
      </c>
      <c r="G38" s="31">
        <v>1.5100000000000001E-2</v>
      </c>
      <c r="H38" s="32"/>
    </row>
    <row r="39" spans="2:8" ht="15.75" customHeight="1" x14ac:dyDescent="0.2">
      <c r="B39" s="28" t="s">
        <v>644</v>
      </c>
      <c r="C39" s="28" t="s">
        <v>645</v>
      </c>
      <c r="D39" s="28" t="s">
        <v>282</v>
      </c>
      <c r="E39" s="29">
        <v>105026</v>
      </c>
      <c r="F39" s="30">
        <v>515.47</v>
      </c>
      <c r="G39" s="31">
        <v>1.49E-2</v>
      </c>
      <c r="H39" s="32"/>
    </row>
    <row r="40" spans="2:8" ht="15.75" customHeight="1" x14ac:dyDescent="0.2">
      <c r="B40" s="28" t="s">
        <v>497</v>
      </c>
      <c r="C40" s="28" t="s">
        <v>498</v>
      </c>
      <c r="D40" s="28" t="s">
        <v>243</v>
      </c>
      <c r="E40" s="29">
        <v>419790</v>
      </c>
      <c r="F40" s="30">
        <v>513.36</v>
      </c>
      <c r="G40" s="31">
        <v>1.4800000000000001E-2</v>
      </c>
      <c r="H40" s="32"/>
    </row>
    <row r="41" spans="2:8" ht="15.75" customHeight="1" x14ac:dyDescent="0.2">
      <c r="B41" s="28" t="s">
        <v>648</v>
      </c>
      <c r="C41" s="28" t="s">
        <v>649</v>
      </c>
      <c r="D41" s="28" t="s">
        <v>190</v>
      </c>
      <c r="E41" s="29">
        <v>32506</v>
      </c>
      <c r="F41" s="30">
        <v>505.83</v>
      </c>
      <c r="G41" s="31">
        <v>1.46E-2</v>
      </c>
      <c r="H41" s="32"/>
    </row>
    <row r="42" spans="2:8" ht="15.75" customHeight="1" x14ac:dyDescent="0.2">
      <c r="B42" s="28" t="s">
        <v>656</v>
      </c>
      <c r="C42" s="28" t="s">
        <v>657</v>
      </c>
      <c r="D42" s="28" t="s">
        <v>321</v>
      </c>
      <c r="E42" s="29">
        <v>201370</v>
      </c>
      <c r="F42" s="30">
        <v>503.67</v>
      </c>
      <c r="G42" s="31">
        <v>1.4500000000000001E-2</v>
      </c>
      <c r="H42" s="32"/>
    </row>
    <row r="43" spans="2:8" ht="15.75" customHeight="1" x14ac:dyDescent="0.2">
      <c r="B43" s="28" t="s">
        <v>183</v>
      </c>
      <c r="C43" s="28" t="s">
        <v>184</v>
      </c>
      <c r="D43" s="28" t="s">
        <v>173</v>
      </c>
      <c r="E43" s="29">
        <v>39158</v>
      </c>
      <c r="F43" s="30">
        <v>496.64</v>
      </c>
      <c r="G43" s="31">
        <v>1.43E-2</v>
      </c>
      <c r="H43" s="32"/>
    </row>
    <row r="44" spans="2:8" ht="15.75" customHeight="1" x14ac:dyDescent="0.2">
      <c r="B44" s="28" t="s">
        <v>473</v>
      </c>
      <c r="C44" s="28" t="s">
        <v>474</v>
      </c>
      <c r="D44" s="28" t="s">
        <v>243</v>
      </c>
      <c r="E44" s="29">
        <v>111562</v>
      </c>
      <c r="F44" s="30">
        <v>494.39</v>
      </c>
      <c r="G44" s="31">
        <v>1.43E-2</v>
      </c>
      <c r="H44" s="32"/>
    </row>
    <row r="45" spans="2:8" ht="15.75" customHeight="1" x14ac:dyDescent="0.2">
      <c r="B45" s="28" t="s">
        <v>360</v>
      </c>
      <c r="C45" s="28" t="s">
        <v>361</v>
      </c>
      <c r="D45" s="28" t="s">
        <v>216</v>
      </c>
      <c r="E45" s="29">
        <v>31267</v>
      </c>
      <c r="F45" s="30">
        <v>494.17</v>
      </c>
      <c r="G45" s="31">
        <v>1.43E-2</v>
      </c>
      <c r="H45" s="32"/>
    </row>
    <row r="46" spans="2:8" ht="15.75" customHeight="1" x14ac:dyDescent="0.2">
      <c r="B46" s="28" t="s">
        <v>712</v>
      </c>
      <c r="C46" s="28" t="s">
        <v>713</v>
      </c>
      <c r="D46" s="28" t="s">
        <v>243</v>
      </c>
      <c r="E46" s="29">
        <v>93668</v>
      </c>
      <c r="F46" s="30">
        <v>483.28</v>
      </c>
      <c r="G46" s="31">
        <v>1.3899999999999999E-2</v>
      </c>
      <c r="H46" s="32"/>
    </row>
    <row r="47" spans="2:8" ht="15.75" customHeight="1" x14ac:dyDescent="0.2">
      <c r="B47" s="28" t="s">
        <v>536</v>
      </c>
      <c r="C47" s="28" t="s">
        <v>537</v>
      </c>
      <c r="D47" s="28" t="s">
        <v>490</v>
      </c>
      <c r="E47" s="29">
        <v>28938</v>
      </c>
      <c r="F47" s="30">
        <v>482.16</v>
      </c>
      <c r="G47" s="31">
        <v>1.3899999999999999E-2</v>
      </c>
      <c r="H47" s="32"/>
    </row>
    <row r="48" spans="2:8" ht="15.75" customHeight="1" x14ac:dyDescent="0.2">
      <c r="B48" s="28" t="s">
        <v>714</v>
      </c>
      <c r="C48" s="28" t="s">
        <v>715</v>
      </c>
      <c r="D48" s="28" t="s">
        <v>271</v>
      </c>
      <c r="E48" s="29">
        <v>32692</v>
      </c>
      <c r="F48" s="30">
        <v>467.63</v>
      </c>
      <c r="G48" s="31">
        <v>1.35E-2</v>
      </c>
      <c r="H48" s="32"/>
    </row>
    <row r="49" spans="2:8" ht="15.75" customHeight="1" x14ac:dyDescent="0.2">
      <c r="B49" s="28" t="s">
        <v>495</v>
      </c>
      <c r="C49" s="28" t="s">
        <v>496</v>
      </c>
      <c r="D49" s="28" t="s">
        <v>190</v>
      </c>
      <c r="E49" s="29">
        <v>13541</v>
      </c>
      <c r="F49" s="30">
        <v>463.67</v>
      </c>
      <c r="G49" s="31">
        <v>1.34E-2</v>
      </c>
      <c r="H49" s="32"/>
    </row>
    <row r="50" spans="2:8" ht="15.75" customHeight="1" x14ac:dyDescent="0.2">
      <c r="B50" s="28" t="s">
        <v>716</v>
      </c>
      <c r="C50" s="28" t="s">
        <v>717</v>
      </c>
      <c r="D50" s="28" t="s">
        <v>268</v>
      </c>
      <c r="E50" s="29">
        <v>815250</v>
      </c>
      <c r="F50" s="30">
        <v>453.12</v>
      </c>
      <c r="G50" s="31">
        <v>1.3100000000000001E-2</v>
      </c>
      <c r="H50" s="32"/>
    </row>
    <row r="51" spans="2:8" ht="15.75" customHeight="1" x14ac:dyDescent="0.2">
      <c r="B51" s="28" t="s">
        <v>718</v>
      </c>
      <c r="C51" s="28" t="s">
        <v>719</v>
      </c>
      <c r="D51" s="28" t="s">
        <v>179</v>
      </c>
      <c r="E51" s="29">
        <v>19673</v>
      </c>
      <c r="F51" s="30">
        <v>425.09</v>
      </c>
      <c r="G51" s="31">
        <v>1.23E-2</v>
      </c>
      <c r="H51" s="32"/>
    </row>
    <row r="52" spans="2:8" ht="15.75" customHeight="1" x14ac:dyDescent="0.2">
      <c r="B52" s="28" t="s">
        <v>720</v>
      </c>
      <c r="C52" s="28" t="s">
        <v>721</v>
      </c>
      <c r="D52" s="28" t="s">
        <v>190</v>
      </c>
      <c r="E52" s="29">
        <v>20172</v>
      </c>
      <c r="F52" s="30">
        <v>403.16</v>
      </c>
      <c r="G52" s="31">
        <v>1.1599999999999999E-2</v>
      </c>
      <c r="H52" s="32"/>
    </row>
    <row r="53" spans="2:8" ht="15.75" customHeight="1" x14ac:dyDescent="0.2">
      <c r="B53" s="28" t="s">
        <v>386</v>
      </c>
      <c r="C53" s="28" t="s">
        <v>387</v>
      </c>
      <c r="D53" s="28" t="s">
        <v>388</v>
      </c>
      <c r="E53" s="29">
        <v>17543</v>
      </c>
      <c r="F53" s="30">
        <v>394.89</v>
      </c>
      <c r="G53" s="31">
        <v>1.14E-2</v>
      </c>
      <c r="H53" s="32"/>
    </row>
    <row r="54" spans="2:8" ht="15.75" customHeight="1" x14ac:dyDescent="0.2">
      <c r="B54" s="28" t="s">
        <v>417</v>
      </c>
      <c r="C54" s="28" t="s">
        <v>418</v>
      </c>
      <c r="D54" s="28" t="s">
        <v>182</v>
      </c>
      <c r="E54" s="29">
        <v>16864</v>
      </c>
      <c r="F54" s="30">
        <v>383.94</v>
      </c>
      <c r="G54" s="31">
        <v>1.11E-2</v>
      </c>
      <c r="H54" s="32"/>
    </row>
    <row r="55" spans="2:8" ht="15.75" customHeight="1" x14ac:dyDescent="0.2">
      <c r="B55" s="28" t="s">
        <v>642</v>
      </c>
      <c r="C55" s="28" t="s">
        <v>643</v>
      </c>
      <c r="D55" s="28" t="s">
        <v>195</v>
      </c>
      <c r="E55" s="29">
        <v>3821</v>
      </c>
      <c r="F55" s="30">
        <v>381.87</v>
      </c>
      <c r="G55" s="31">
        <v>1.0999999999999999E-2</v>
      </c>
      <c r="H55" s="32"/>
    </row>
    <row r="56" spans="2:8" ht="15.75" customHeight="1" x14ac:dyDescent="0.2">
      <c r="B56" s="28" t="s">
        <v>722</v>
      </c>
      <c r="C56" s="28" t="s">
        <v>723</v>
      </c>
      <c r="D56" s="28" t="s">
        <v>470</v>
      </c>
      <c r="E56" s="29">
        <v>77431</v>
      </c>
      <c r="F56" s="30">
        <v>370.58</v>
      </c>
      <c r="G56" s="31">
        <v>1.0699999999999999E-2</v>
      </c>
      <c r="H56" s="32"/>
    </row>
    <row r="57" spans="2:8" ht="15.75" customHeight="1" x14ac:dyDescent="0.2">
      <c r="B57" s="28" t="s">
        <v>588</v>
      </c>
      <c r="C57" s="28" t="s">
        <v>589</v>
      </c>
      <c r="D57" s="28" t="s">
        <v>431</v>
      </c>
      <c r="E57" s="29">
        <v>10119</v>
      </c>
      <c r="F57" s="30">
        <v>368.38</v>
      </c>
      <c r="G57" s="31">
        <v>1.06E-2</v>
      </c>
      <c r="H57" s="32"/>
    </row>
    <row r="58" spans="2:8" ht="15.75" customHeight="1" x14ac:dyDescent="0.2">
      <c r="B58" s="28" t="s">
        <v>518</v>
      </c>
      <c r="C58" s="28" t="s">
        <v>519</v>
      </c>
      <c r="D58" s="28" t="s">
        <v>431</v>
      </c>
      <c r="E58" s="29">
        <v>45503</v>
      </c>
      <c r="F58" s="30">
        <v>364.14</v>
      </c>
      <c r="G58" s="31">
        <v>1.0500000000000001E-2</v>
      </c>
      <c r="H58" s="32"/>
    </row>
    <row r="59" spans="2:8" ht="15.75" customHeight="1" x14ac:dyDescent="0.2">
      <c r="B59" s="28" t="s">
        <v>404</v>
      </c>
      <c r="C59" s="28" t="s">
        <v>405</v>
      </c>
      <c r="D59" s="28" t="s">
        <v>406</v>
      </c>
      <c r="E59" s="29">
        <v>38736</v>
      </c>
      <c r="F59" s="30">
        <v>362.8</v>
      </c>
      <c r="G59" s="31">
        <v>1.0500000000000001E-2</v>
      </c>
      <c r="H59" s="32"/>
    </row>
    <row r="60" spans="2:8" ht="15.75" customHeight="1" x14ac:dyDescent="0.2">
      <c r="B60" s="28" t="s">
        <v>688</v>
      </c>
      <c r="C60" s="28" t="s">
        <v>689</v>
      </c>
      <c r="D60" s="28" t="s">
        <v>395</v>
      </c>
      <c r="E60" s="29">
        <v>70125</v>
      </c>
      <c r="F60" s="30">
        <v>312.13</v>
      </c>
      <c r="G60" s="31">
        <v>8.9999999999999993E-3</v>
      </c>
      <c r="H60" s="32"/>
    </row>
    <row r="61" spans="2:8" ht="15.75" customHeight="1" x14ac:dyDescent="0.2">
      <c r="B61" s="28" t="s">
        <v>652</v>
      </c>
      <c r="C61" s="28" t="s">
        <v>653</v>
      </c>
      <c r="D61" s="28" t="s">
        <v>238</v>
      </c>
      <c r="E61" s="29">
        <v>40764</v>
      </c>
      <c r="F61" s="30">
        <v>309.85000000000002</v>
      </c>
      <c r="G61" s="31">
        <v>8.8999999999999999E-3</v>
      </c>
      <c r="H61" s="32"/>
    </row>
    <row r="62" spans="2:8" ht="15.75" customHeight="1" x14ac:dyDescent="0.2">
      <c r="B62" s="28" t="s">
        <v>724</v>
      </c>
      <c r="C62" s="28" t="s">
        <v>725</v>
      </c>
      <c r="D62" s="28" t="s">
        <v>271</v>
      </c>
      <c r="E62" s="29">
        <v>2756</v>
      </c>
      <c r="F62" s="30">
        <v>307.75</v>
      </c>
      <c r="G62" s="31">
        <v>8.8999999999999999E-3</v>
      </c>
      <c r="H62" s="32"/>
    </row>
    <row r="63" spans="2:8" ht="15.75" customHeight="1" x14ac:dyDescent="0.2">
      <c r="B63" s="28" t="s">
        <v>534</v>
      </c>
      <c r="C63" s="28" t="s">
        <v>535</v>
      </c>
      <c r="D63" s="28" t="s">
        <v>190</v>
      </c>
      <c r="E63" s="29">
        <v>45437</v>
      </c>
      <c r="F63" s="30">
        <v>298.33999999999997</v>
      </c>
      <c r="G63" s="31">
        <v>8.6E-3</v>
      </c>
      <c r="H63" s="32"/>
    </row>
    <row r="64" spans="2:8" ht="15.75" customHeight="1" x14ac:dyDescent="0.2">
      <c r="B64" s="28" t="s">
        <v>354</v>
      </c>
      <c r="C64" s="28" t="s">
        <v>355</v>
      </c>
      <c r="D64" s="28" t="s">
        <v>216</v>
      </c>
      <c r="E64" s="29">
        <v>19409</v>
      </c>
      <c r="F64" s="30">
        <v>294.51</v>
      </c>
      <c r="G64" s="31">
        <v>8.5000000000000006E-3</v>
      </c>
      <c r="H64" s="32"/>
    </row>
    <row r="65" spans="2:14" ht="15.75" customHeight="1" x14ac:dyDescent="0.2">
      <c r="B65" s="28" t="s">
        <v>358</v>
      </c>
      <c r="C65" s="28" t="s">
        <v>359</v>
      </c>
      <c r="D65" s="28" t="s">
        <v>190</v>
      </c>
      <c r="E65" s="29">
        <v>44586</v>
      </c>
      <c r="F65" s="30">
        <v>287.08999999999997</v>
      </c>
      <c r="G65" s="31">
        <v>8.3000000000000001E-3</v>
      </c>
      <c r="H65" s="32"/>
    </row>
    <row r="66" spans="2:14" ht="15.75" customHeight="1" x14ac:dyDescent="0.2">
      <c r="B66" s="28" t="s">
        <v>726</v>
      </c>
      <c r="C66" s="28" t="s">
        <v>727</v>
      </c>
      <c r="D66" s="28" t="s">
        <v>224</v>
      </c>
      <c r="E66" s="29">
        <v>19417</v>
      </c>
      <c r="F66" s="30">
        <v>264.87</v>
      </c>
      <c r="G66" s="31">
        <v>7.6E-3</v>
      </c>
      <c r="H66" s="32"/>
    </row>
    <row r="67" spans="2:14" ht="15.75" customHeight="1" x14ac:dyDescent="0.2">
      <c r="B67" s="28" t="s">
        <v>728</v>
      </c>
      <c r="C67" s="28" t="s">
        <v>729</v>
      </c>
      <c r="D67" s="28" t="s">
        <v>248</v>
      </c>
      <c r="E67" s="29">
        <v>15795</v>
      </c>
      <c r="F67" s="30">
        <v>263.70999999999998</v>
      </c>
      <c r="G67" s="31">
        <v>7.6E-3</v>
      </c>
      <c r="H67" s="32"/>
    </row>
    <row r="68" spans="2:14" ht="15.75" customHeight="1" x14ac:dyDescent="0.2">
      <c r="B68" s="28" t="s">
        <v>690</v>
      </c>
      <c r="C68" s="28" t="s">
        <v>691</v>
      </c>
      <c r="D68" s="28" t="s">
        <v>395</v>
      </c>
      <c r="E68" s="29">
        <v>22720</v>
      </c>
      <c r="F68" s="30">
        <v>253.84</v>
      </c>
      <c r="G68" s="31">
        <v>7.3000000000000001E-3</v>
      </c>
      <c r="H68" s="32"/>
      <c r="J68" s="3"/>
    </row>
    <row r="69" spans="2:14" ht="15.75" customHeight="1" x14ac:dyDescent="0.2">
      <c r="B69" s="28" t="s">
        <v>730</v>
      </c>
      <c r="C69" s="28" t="s">
        <v>731</v>
      </c>
      <c r="D69" s="28" t="s">
        <v>641</v>
      </c>
      <c r="E69" s="29">
        <v>737</v>
      </c>
      <c r="F69" s="30">
        <v>228.69</v>
      </c>
      <c r="G69" s="31">
        <v>6.6E-3</v>
      </c>
      <c r="H69" s="32"/>
    </row>
    <row r="70" spans="2:14" ht="15.75" customHeight="1" x14ac:dyDescent="0.2">
      <c r="B70" s="28" t="s">
        <v>660</v>
      </c>
      <c r="C70" s="28" t="s">
        <v>661</v>
      </c>
      <c r="D70" s="28" t="s">
        <v>662</v>
      </c>
      <c r="E70" s="29">
        <v>61238</v>
      </c>
      <c r="F70" s="30">
        <v>210.57</v>
      </c>
      <c r="G70" s="31">
        <v>6.1000000000000004E-3</v>
      </c>
      <c r="H70" s="32"/>
      <c r="J70" s="3"/>
    </row>
    <row r="71" spans="2:14" ht="15.75" customHeight="1" x14ac:dyDescent="0.2">
      <c r="B71" s="28" t="s">
        <v>275</v>
      </c>
      <c r="C71" s="28" t="s">
        <v>276</v>
      </c>
      <c r="D71" s="28" t="s">
        <v>277</v>
      </c>
      <c r="E71" s="29">
        <v>10554</v>
      </c>
      <c r="F71" s="30">
        <v>167.35</v>
      </c>
      <c r="G71" s="31">
        <v>4.7999999999999996E-3</v>
      </c>
      <c r="H71" s="32"/>
      <c r="J71" s="3"/>
    </row>
    <row r="72" spans="2:14" ht="15.75" customHeight="1" x14ac:dyDescent="0.2">
      <c r="B72" s="27" t="s">
        <v>129</v>
      </c>
      <c r="C72" s="27"/>
      <c r="D72" s="27"/>
      <c r="E72" s="33"/>
      <c r="F72" s="34">
        <v>33062.480000000003</v>
      </c>
      <c r="G72" s="35">
        <v>0.95399999999999996</v>
      </c>
      <c r="H72" s="36"/>
      <c r="J72" s="3"/>
    </row>
    <row r="73" spans="2:14" ht="15.75" customHeight="1" x14ac:dyDescent="0.2">
      <c r="B73" s="27" t="s">
        <v>197</v>
      </c>
      <c r="C73" s="28"/>
      <c r="D73" s="28"/>
      <c r="E73" s="29"/>
      <c r="F73" s="30"/>
      <c r="G73" s="31"/>
      <c r="H73" s="32"/>
      <c r="J73" s="3"/>
    </row>
    <row r="74" spans="2:14" ht="15.75" customHeight="1" x14ac:dyDescent="0.2">
      <c r="B74" s="27" t="s">
        <v>129</v>
      </c>
      <c r="C74" s="28"/>
      <c r="D74" s="28"/>
      <c r="E74" s="29"/>
      <c r="F74" s="37" t="s">
        <v>131</v>
      </c>
      <c r="G74" s="38" t="s">
        <v>131</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133</v>
      </c>
      <c r="C76" s="39"/>
      <c r="D76" s="39"/>
      <c r="E76" s="40"/>
      <c r="F76" s="34">
        <v>33062.480000000003</v>
      </c>
      <c r="G76" s="35">
        <v>0.95399999999999996</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139</v>
      </c>
      <c r="C79" s="28"/>
      <c r="D79" s="28"/>
      <c r="E79" s="29"/>
      <c r="F79" s="30"/>
      <c r="G79" s="31"/>
      <c r="H79" s="32"/>
      <c r="J79" s="7"/>
      <c r="K79" s="7"/>
      <c r="L79" s="7"/>
      <c r="M79" s="7"/>
      <c r="N79" s="7"/>
    </row>
    <row r="80" spans="2:14" ht="15.75" customHeight="1" x14ac:dyDescent="0.2">
      <c r="B80" s="28" t="s">
        <v>140</v>
      </c>
      <c r="C80" s="28"/>
      <c r="D80" s="28"/>
      <c r="E80" s="29"/>
      <c r="F80" s="30">
        <v>1639.25</v>
      </c>
      <c r="G80" s="31">
        <v>4.7300000000000002E-2</v>
      </c>
      <c r="H80" s="32"/>
      <c r="J80" s="7"/>
      <c r="K80" s="7"/>
      <c r="L80" s="7"/>
      <c r="M80" s="7"/>
      <c r="N80" s="7"/>
    </row>
    <row r="81" spans="2:14" ht="15.75" customHeight="1" x14ac:dyDescent="0.2">
      <c r="B81" s="27" t="s">
        <v>129</v>
      </c>
      <c r="C81" s="27"/>
      <c r="D81" s="27"/>
      <c r="E81" s="33"/>
      <c r="F81" s="34">
        <v>1639.25</v>
      </c>
      <c r="G81" s="35">
        <v>4.7300000000000002E-2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133</v>
      </c>
      <c r="C83" s="39"/>
      <c r="D83" s="39"/>
      <c r="E83" s="40"/>
      <c r="F83" s="34">
        <v>1639.25</v>
      </c>
      <c r="G83" s="35">
        <v>4.7300000000000002E-2</v>
      </c>
      <c r="H83" s="36"/>
      <c r="J83" s="7"/>
      <c r="K83" s="7"/>
      <c r="L83" s="7"/>
      <c r="M83" s="7"/>
      <c r="N83" s="7"/>
    </row>
    <row r="84" spans="2:14" ht="15.75" customHeight="1" x14ac:dyDescent="0.2">
      <c r="B84" s="28" t="s">
        <v>141</v>
      </c>
      <c r="C84" s="28"/>
      <c r="D84" s="28"/>
      <c r="E84" s="29"/>
      <c r="F84" s="50">
        <v>-45.45</v>
      </c>
      <c r="G84" s="51">
        <v>-1.2999999999998568E-3</v>
      </c>
      <c r="H84" s="32"/>
      <c r="J84" s="7"/>
      <c r="K84" s="7"/>
      <c r="L84" s="7"/>
      <c r="M84" s="7"/>
      <c r="N84" s="7"/>
    </row>
    <row r="85" spans="2:14" ht="15.75" customHeight="1" x14ac:dyDescent="0.2">
      <c r="B85" s="41" t="s">
        <v>142</v>
      </c>
      <c r="C85" s="41"/>
      <c r="D85" s="41"/>
      <c r="E85" s="42"/>
      <c r="F85" s="43">
        <v>34656.28</v>
      </c>
      <c r="G85" s="44">
        <v>1</v>
      </c>
      <c r="H85" s="45"/>
    </row>
    <row r="86" spans="2:14" ht="15.75" customHeight="1" x14ac:dyDescent="0.2">
      <c r="B86" s="2"/>
      <c r="J86" s="3"/>
    </row>
    <row r="87" spans="2:14" s="7" customFormat="1" ht="15.6" customHeight="1" x14ac:dyDescent="0.25">
      <c r="B87" s="63" t="s">
        <v>1067</v>
      </c>
      <c r="C87" s="70"/>
      <c r="D87" s="70"/>
      <c r="E87" s="70"/>
      <c r="F87" s="70"/>
      <c r="G87" s="70"/>
      <c r="H87" s="64"/>
    </row>
    <row r="88" spans="2:14" s="7" customFormat="1" ht="15.6" customHeight="1" x14ac:dyDescent="0.25">
      <c r="B88" s="63" t="s">
        <v>1108</v>
      </c>
      <c r="C88" s="70"/>
      <c r="D88" s="70"/>
      <c r="E88" s="70"/>
      <c r="F88" s="70"/>
      <c r="G88" s="70"/>
      <c r="H88" s="64"/>
    </row>
    <row r="89" spans="2:14" s="7" customFormat="1" ht="15.6" customHeight="1" x14ac:dyDescent="0.25">
      <c r="B89" s="63" t="s">
        <v>1068</v>
      </c>
      <c r="C89" s="70"/>
      <c r="D89" s="70"/>
      <c r="E89" s="70"/>
      <c r="F89" s="70"/>
      <c r="G89" s="70"/>
      <c r="H89" s="64"/>
    </row>
    <row r="90" spans="2:14" s="7" customFormat="1" ht="15.6" customHeight="1" x14ac:dyDescent="0.25">
      <c r="B90" s="71"/>
      <c r="C90" s="65">
        <v>46142</v>
      </c>
      <c r="D90" s="65">
        <v>46112</v>
      </c>
      <c r="E90" s="70"/>
      <c r="F90" s="70"/>
      <c r="G90" s="70"/>
      <c r="H90" s="64"/>
    </row>
    <row r="91" spans="2:14" s="7" customFormat="1" ht="15.6" customHeight="1" x14ac:dyDescent="0.25">
      <c r="B91" s="71" t="s">
        <v>1069</v>
      </c>
      <c r="C91" s="66"/>
      <c r="D91" s="66"/>
      <c r="E91" s="70"/>
      <c r="F91" s="70"/>
      <c r="G91" s="70"/>
      <c r="H91" s="64"/>
    </row>
    <row r="92" spans="2:14" s="7" customFormat="1" ht="15.6" customHeight="1" x14ac:dyDescent="0.25">
      <c r="B92" s="71" t="s">
        <v>1070</v>
      </c>
      <c r="C92" s="67">
        <v>28.662700000000001</v>
      </c>
      <c r="D92" s="67">
        <v>25.093699999999998</v>
      </c>
      <c r="E92" s="70"/>
      <c r="F92" s="70"/>
      <c r="G92" s="70"/>
      <c r="H92" s="64"/>
    </row>
    <row r="93" spans="2:14" s="7" customFormat="1" ht="15.6" customHeight="1" x14ac:dyDescent="0.25">
      <c r="B93" s="71" t="s">
        <v>1071</v>
      </c>
      <c r="C93" s="67">
        <v>26.900500000000001</v>
      </c>
      <c r="D93" s="67">
        <v>23.550999999999998</v>
      </c>
      <c r="E93" s="70"/>
      <c r="F93" s="70"/>
      <c r="G93" s="70"/>
      <c r="H93" s="64"/>
    </row>
    <row r="94" spans="2:14" s="7" customFormat="1" ht="15.6" customHeight="1" x14ac:dyDescent="0.25">
      <c r="B94" s="71" t="s">
        <v>1073</v>
      </c>
      <c r="C94" s="67">
        <v>32.316500000000005</v>
      </c>
      <c r="D94" s="67">
        <v>28.2668</v>
      </c>
      <c r="E94" s="70"/>
      <c r="F94" s="70"/>
      <c r="G94" s="70"/>
      <c r="H94" s="64"/>
    </row>
    <row r="95" spans="2:14" s="7" customFormat="1" ht="15.6" customHeight="1" x14ac:dyDescent="0.25">
      <c r="B95" s="71" t="s">
        <v>1074</v>
      </c>
      <c r="C95" s="67">
        <v>30.3598</v>
      </c>
      <c r="D95" s="67">
        <v>26.555900000000001</v>
      </c>
      <c r="E95" s="70"/>
      <c r="F95" s="70"/>
      <c r="G95" s="70"/>
      <c r="H95" s="64"/>
    </row>
    <row r="96" spans="2:14" s="7" customFormat="1" ht="15.6" customHeight="1" x14ac:dyDescent="0.25">
      <c r="B96" s="63" t="s">
        <v>1116</v>
      </c>
      <c r="C96" s="70"/>
      <c r="D96" s="70"/>
      <c r="E96" s="70"/>
      <c r="F96" s="70"/>
      <c r="G96" s="70"/>
      <c r="H96" s="64"/>
    </row>
    <row r="97" spans="2:8" s="7" customFormat="1" ht="15.6" customHeight="1" x14ac:dyDescent="0.25">
      <c r="B97" s="63" t="s">
        <v>1109</v>
      </c>
      <c r="C97" s="70"/>
      <c r="D97" s="70"/>
      <c r="E97" s="70"/>
      <c r="F97" s="70"/>
      <c r="G97" s="70"/>
      <c r="H97" s="64"/>
    </row>
    <row r="98" spans="2:8" s="7" customFormat="1" ht="15.6" customHeight="1" x14ac:dyDescent="0.25">
      <c r="B98" s="63" t="s">
        <v>1111</v>
      </c>
      <c r="C98" s="70"/>
      <c r="D98" s="70"/>
      <c r="E98" s="70"/>
      <c r="F98" s="70"/>
      <c r="G98" s="70"/>
      <c r="H98" s="64"/>
    </row>
    <row r="99" spans="2:8" s="7" customFormat="1" ht="15.6" customHeight="1" x14ac:dyDescent="0.25">
      <c r="B99" s="63" t="s">
        <v>1112</v>
      </c>
      <c r="C99" s="70"/>
      <c r="D99" s="70"/>
      <c r="E99" s="70"/>
      <c r="F99" s="70"/>
      <c r="G99" s="70"/>
      <c r="H99" s="64"/>
    </row>
    <row r="100" spans="2:8" s="7" customFormat="1" ht="15.6" customHeight="1" x14ac:dyDescent="0.25">
      <c r="B100" s="63" t="s">
        <v>1188</v>
      </c>
      <c r="C100" s="70"/>
      <c r="D100" s="70"/>
      <c r="E100" s="70"/>
      <c r="F100" s="70"/>
      <c r="G100" s="70"/>
      <c r="H100" s="64"/>
    </row>
    <row r="101" spans="2:8" s="7" customFormat="1" ht="15.6" customHeight="1" x14ac:dyDescent="0.25">
      <c r="B101" s="63" t="s">
        <v>1113</v>
      </c>
      <c r="C101" s="70"/>
      <c r="D101" s="70"/>
      <c r="E101" s="70"/>
      <c r="F101" s="70"/>
      <c r="G101" s="70"/>
      <c r="H101" s="64"/>
    </row>
    <row r="102" spans="2:8" s="7" customFormat="1" ht="15.6" customHeight="1" x14ac:dyDescent="0.25">
      <c r="B102" s="68" t="s">
        <v>1076</v>
      </c>
      <c r="C102" s="72"/>
      <c r="D102" s="72"/>
      <c r="E102" s="72"/>
      <c r="F102" s="72"/>
      <c r="G102" s="72"/>
      <c r="H102" s="69"/>
    </row>
    <row r="104" spans="2:8" ht="15.75" customHeight="1" thickBot="1" x14ac:dyDescent="0.25"/>
    <row r="105" spans="2:8" ht="39.75" customHeight="1" thickBot="1" x14ac:dyDescent="0.3">
      <c r="B105" s="46" t="s">
        <v>146</v>
      </c>
      <c r="C105" s="47" t="s">
        <v>147</v>
      </c>
      <c r="D105" s="47" t="s">
        <v>148</v>
      </c>
      <c r="E105"/>
    </row>
    <row r="106" spans="2:8" ht="39.75" customHeight="1" x14ac:dyDescent="0.25">
      <c r="B106" s="52" t="s">
        <v>673</v>
      </c>
      <c r="C106" s="109"/>
      <c r="D106" s="48" t="s">
        <v>732</v>
      </c>
      <c r="E106"/>
    </row>
    <row r="107" spans="2:8" ht="39.75" customHeight="1" x14ac:dyDescent="0.25">
      <c r="B107" s="112" t="s">
        <v>733</v>
      </c>
      <c r="C107" s="110"/>
      <c r="D107" s="118"/>
      <c r="E107"/>
    </row>
    <row r="108" spans="2:8" ht="39.75" customHeight="1" x14ac:dyDescent="0.25">
      <c r="B108" s="112"/>
      <c r="C108" s="110"/>
      <c r="D108" s="118"/>
      <c r="E108"/>
    </row>
    <row r="109" spans="2:8" ht="39.75" customHeight="1" x14ac:dyDescent="0.25">
      <c r="B109" s="112"/>
      <c r="C109" s="110"/>
      <c r="D109" s="118"/>
      <c r="E109"/>
    </row>
    <row r="110" spans="2:8" ht="39.75" customHeight="1" thickBot="1" x14ac:dyDescent="0.3">
      <c r="B110" s="113"/>
      <c r="C110" s="111"/>
      <c r="D110" s="119"/>
      <c r="E110"/>
    </row>
    <row r="111" spans="2:8" ht="15.75" customHeight="1" x14ac:dyDescent="0.2">
      <c r="B111" s="9" t="s">
        <v>149</v>
      </c>
    </row>
    <row r="112" spans="2:8" ht="15.75" customHeight="1" x14ac:dyDescent="0.2">
      <c r="B112" s="9" t="s">
        <v>150</v>
      </c>
    </row>
    <row r="113" spans="2:2" ht="15.75" customHeight="1" x14ac:dyDescent="0.2">
      <c r="B113" s="9" t="s">
        <v>151</v>
      </c>
    </row>
  </sheetData>
  <mergeCells count="3">
    <mergeCell ref="C106:C110"/>
    <mergeCell ref="B107:B110"/>
    <mergeCell ref="D107:D110"/>
  </mergeCells>
  <hyperlinks>
    <hyperlink ref="G1" location="'Sheet1'!A1" display="Index" xr:uid="{7904CF53-BA9F-4257-9703-BB972B51377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E7945-F654-4D11-8992-60F7D3B19BDF}">
  <dimension ref="B1:N191"/>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227</v>
      </c>
      <c r="C7" s="28" t="s">
        <v>228</v>
      </c>
      <c r="D7" s="28" t="s">
        <v>229</v>
      </c>
      <c r="E7" s="29">
        <v>49500</v>
      </c>
      <c r="F7" s="30">
        <v>104.62</v>
      </c>
      <c r="G7" s="31">
        <v>3.0800000000000001E-2</v>
      </c>
      <c r="H7" s="32"/>
    </row>
    <row r="8" spans="2:8" ht="15.75" customHeight="1" x14ac:dyDescent="0.2">
      <c r="B8" s="28" t="s">
        <v>734</v>
      </c>
      <c r="C8" s="28" t="s">
        <v>735</v>
      </c>
      <c r="D8" s="28" t="s">
        <v>326</v>
      </c>
      <c r="E8" s="29">
        <v>22500</v>
      </c>
      <c r="F8" s="30">
        <v>89.84</v>
      </c>
      <c r="G8" s="31">
        <v>2.6499999999999999E-2</v>
      </c>
      <c r="H8" s="32"/>
    </row>
    <row r="9" spans="2:8" ht="15.75" customHeight="1" x14ac:dyDescent="0.2">
      <c r="B9" s="28" t="s">
        <v>239</v>
      </c>
      <c r="C9" s="28" t="s">
        <v>240</v>
      </c>
      <c r="D9" s="28" t="s">
        <v>173</v>
      </c>
      <c r="E9" s="29">
        <v>29250</v>
      </c>
      <c r="F9" s="30">
        <v>77.06</v>
      </c>
      <c r="G9" s="31">
        <v>2.2700000000000001E-2</v>
      </c>
      <c r="H9" s="32"/>
    </row>
    <row r="10" spans="2:8" ht="15.75" customHeight="1" x14ac:dyDescent="0.2">
      <c r="B10" s="28" t="s">
        <v>736</v>
      </c>
      <c r="C10" s="28" t="s">
        <v>737</v>
      </c>
      <c r="D10" s="28" t="s">
        <v>434</v>
      </c>
      <c r="E10" s="29">
        <v>40000</v>
      </c>
      <c r="F10" s="30">
        <v>64.84</v>
      </c>
      <c r="G10" s="31">
        <v>1.9099999999999999E-2</v>
      </c>
      <c r="H10" s="32"/>
    </row>
    <row r="11" spans="2:8" ht="15.75" customHeight="1" x14ac:dyDescent="0.2">
      <c r="B11" s="28" t="s">
        <v>642</v>
      </c>
      <c r="C11" s="28" t="s">
        <v>643</v>
      </c>
      <c r="D11" s="28" t="s">
        <v>195</v>
      </c>
      <c r="E11" s="29">
        <v>600</v>
      </c>
      <c r="F11" s="30">
        <v>59.96</v>
      </c>
      <c r="G11" s="31">
        <v>1.77E-2</v>
      </c>
      <c r="H11" s="32"/>
    </row>
    <row r="12" spans="2:8" ht="15.75" customHeight="1" x14ac:dyDescent="0.2">
      <c r="B12" s="28" t="s">
        <v>241</v>
      </c>
      <c r="C12" s="28" t="s">
        <v>242</v>
      </c>
      <c r="D12" s="28" t="s">
        <v>243</v>
      </c>
      <c r="E12" s="29">
        <v>24250</v>
      </c>
      <c r="F12" s="30">
        <v>59.9</v>
      </c>
      <c r="G12" s="31">
        <v>1.77E-2</v>
      </c>
      <c r="H12" s="32"/>
    </row>
    <row r="13" spans="2:8" ht="15.75" customHeight="1" x14ac:dyDescent="0.2">
      <c r="B13" s="28" t="s">
        <v>324</v>
      </c>
      <c r="C13" s="28" t="s">
        <v>325</v>
      </c>
      <c r="D13" s="28" t="s">
        <v>326</v>
      </c>
      <c r="E13" s="29">
        <v>5600</v>
      </c>
      <c r="F13" s="30">
        <v>58.13</v>
      </c>
      <c r="G13" s="31">
        <v>1.7100000000000001E-2</v>
      </c>
      <c r="H13" s="32"/>
    </row>
    <row r="14" spans="2:8" ht="15.75" customHeight="1" x14ac:dyDescent="0.2">
      <c r="B14" s="28" t="s">
        <v>329</v>
      </c>
      <c r="C14" s="28" t="s">
        <v>330</v>
      </c>
      <c r="D14" s="28" t="s">
        <v>331</v>
      </c>
      <c r="E14" s="29">
        <v>500</v>
      </c>
      <c r="F14" s="30">
        <v>57.93</v>
      </c>
      <c r="G14" s="31">
        <v>1.7100000000000001E-2</v>
      </c>
      <c r="H14" s="32"/>
    </row>
    <row r="15" spans="2:8" ht="15.75" customHeight="1" x14ac:dyDescent="0.2">
      <c r="B15" s="28" t="s">
        <v>212</v>
      </c>
      <c r="C15" s="28" t="s">
        <v>213</v>
      </c>
      <c r="D15" s="28" t="s">
        <v>173</v>
      </c>
      <c r="E15" s="29">
        <v>5011</v>
      </c>
      <c r="F15" s="30">
        <v>53.54</v>
      </c>
      <c r="G15" s="31">
        <v>1.5800000000000002E-2</v>
      </c>
      <c r="H15" s="32"/>
    </row>
    <row r="16" spans="2:8" ht="15.75" customHeight="1" x14ac:dyDescent="0.2">
      <c r="B16" s="28" t="s">
        <v>314</v>
      </c>
      <c r="C16" s="28" t="s">
        <v>315</v>
      </c>
      <c r="D16" s="28" t="s">
        <v>182</v>
      </c>
      <c r="E16" s="29">
        <v>2100</v>
      </c>
      <c r="F16" s="30">
        <v>51.95</v>
      </c>
      <c r="G16" s="31">
        <v>1.5299999999999999E-2</v>
      </c>
      <c r="H16" s="32"/>
    </row>
    <row r="17" spans="2:8" ht="15.75" customHeight="1" x14ac:dyDescent="0.2">
      <c r="B17" s="28" t="s">
        <v>386</v>
      </c>
      <c r="C17" s="28" t="s">
        <v>387</v>
      </c>
      <c r="D17" s="28" t="s">
        <v>388</v>
      </c>
      <c r="E17" s="29">
        <v>2237</v>
      </c>
      <c r="F17" s="30">
        <v>50.35</v>
      </c>
      <c r="G17" s="31">
        <v>1.4800000000000001E-2</v>
      </c>
      <c r="H17" s="32"/>
    </row>
    <row r="18" spans="2:8" ht="15.75" customHeight="1" x14ac:dyDescent="0.2">
      <c r="B18" s="28" t="s">
        <v>220</v>
      </c>
      <c r="C18" s="28" t="s">
        <v>221</v>
      </c>
      <c r="D18" s="28" t="s">
        <v>173</v>
      </c>
      <c r="E18" s="29">
        <v>12000</v>
      </c>
      <c r="F18" s="30">
        <v>46</v>
      </c>
      <c r="G18" s="31">
        <v>1.3599999999999999E-2</v>
      </c>
      <c r="H18" s="32"/>
    </row>
    <row r="19" spans="2:8" ht="15.75" customHeight="1" x14ac:dyDescent="0.2">
      <c r="B19" s="28" t="s">
        <v>630</v>
      </c>
      <c r="C19" s="28" t="s">
        <v>631</v>
      </c>
      <c r="D19" s="28" t="s">
        <v>195</v>
      </c>
      <c r="E19" s="29">
        <v>900</v>
      </c>
      <c r="F19" s="30">
        <v>45.89</v>
      </c>
      <c r="G19" s="31">
        <v>1.35E-2</v>
      </c>
      <c r="H19" s="32"/>
    </row>
    <row r="20" spans="2:8" ht="15.75" customHeight="1" x14ac:dyDescent="0.2">
      <c r="B20" s="28" t="s">
        <v>214</v>
      </c>
      <c r="C20" s="28" t="s">
        <v>215</v>
      </c>
      <c r="D20" s="28" t="s">
        <v>216</v>
      </c>
      <c r="E20" s="29">
        <v>2375</v>
      </c>
      <c r="F20" s="30">
        <v>44.81</v>
      </c>
      <c r="G20" s="31">
        <v>1.32E-2</v>
      </c>
      <c r="H20" s="32"/>
    </row>
    <row r="21" spans="2:8" ht="15.75" customHeight="1" x14ac:dyDescent="0.2">
      <c r="B21" s="28" t="s">
        <v>174</v>
      </c>
      <c r="C21" s="28" t="s">
        <v>175</v>
      </c>
      <c r="D21" s="28" t="s">
        <v>176</v>
      </c>
      <c r="E21" s="29">
        <v>3081</v>
      </c>
      <c r="F21" s="30">
        <v>44.08</v>
      </c>
      <c r="G21" s="31">
        <v>1.2999999999999999E-2</v>
      </c>
      <c r="H21" s="32"/>
    </row>
    <row r="22" spans="2:8" ht="15.75" customHeight="1" x14ac:dyDescent="0.2">
      <c r="B22" s="28" t="s">
        <v>296</v>
      </c>
      <c r="C22" s="28" t="s">
        <v>297</v>
      </c>
      <c r="D22" s="28" t="s">
        <v>271</v>
      </c>
      <c r="E22" s="29">
        <v>1000</v>
      </c>
      <c r="F22" s="30">
        <v>43.85</v>
      </c>
      <c r="G22" s="31">
        <v>1.29E-2</v>
      </c>
      <c r="H22" s="32"/>
    </row>
    <row r="23" spans="2:8" ht="15.75" customHeight="1" x14ac:dyDescent="0.2">
      <c r="B23" s="28" t="s">
        <v>180</v>
      </c>
      <c r="C23" s="28" t="s">
        <v>181</v>
      </c>
      <c r="D23" s="28" t="s">
        <v>182</v>
      </c>
      <c r="E23" s="29">
        <v>3600</v>
      </c>
      <c r="F23" s="30">
        <v>42.54</v>
      </c>
      <c r="G23" s="31">
        <v>1.2500000000000001E-2</v>
      </c>
      <c r="H23" s="32"/>
    </row>
    <row r="24" spans="2:8" ht="15.75" customHeight="1" x14ac:dyDescent="0.2">
      <c r="B24" s="28" t="s">
        <v>171</v>
      </c>
      <c r="C24" s="28" t="s">
        <v>172</v>
      </c>
      <c r="D24" s="28" t="s">
        <v>173</v>
      </c>
      <c r="E24" s="29">
        <v>5500</v>
      </c>
      <c r="F24" s="30">
        <v>42.44</v>
      </c>
      <c r="G24" s="31">
        <v>1.2500000000000001E-2</v>
      </c>
      <c r="H24" s="32"/>
    </row>
    <row r="25" spans="2:8" ht="15.75" customHeight="1" x14ac:dyDescent="0.2">
      <c r="B25" s="28" t="s">
        <v>262</v>
      </c>
      <c r="C25" s="28" t="s">
        <v>263</v>
      </c>
      <c r="D25" s="28" t="s">
        <v>243</v>
      </c>
      <c r="E25" s="29">
        <v>1000</v>
      </c>
      <c r="F25" s="30">
        <v>41.45</v>
      </c>
      <c r="G25" s="31">
        <v>1.2200000000000001E-2</v>
      </c>
      <c r="H25" s="32"/>
    </row>
    <row r="26" spans="2:8" ht="15.75" customHeight="1" x14ac:dyDescent="0.2">
      <c r="B26" s="28" t="s">
        <v>613</v>
      </c>
      <c r="C26" s="28" t="s">
        <v>614</v>
      </c>
      <c r="D26" s="28" t="s">
        <v>431</v>
      </c>
      <c r="E26" s="29">
        <v>1500</v>
      </c>
      <c r="F26" s="30">
        <v>40.69</v>
      </c>
      <c r="G26" s="31">
        <v>1.2E-2</v>
      </c>
      <c r="H26" s="32"/>
    </row>
    <row r="27" spans="2:8" ht="15.75" customHeight="1" x14ac:dyDescent="0.2">
      <c r="B27" s="28" t="s">
        <v>232</v>
      </c>
      <c r="C27" s="28" t="s">
        <v>233</v>
      </c>
      <c r="D27" s="28" t="s">
        <v>195</v>
      </c>
      <c r="E27" s="29">
        <v>300</v>
      </c>
      <c r="F27" s="30">
        <v>39.94</v>
      </c>
      <c r="G27" s="31">
        <v>1.18E-2</v>
      </c>
      <c r="H27" s="32"/>
    </row>
    <row r="28" spans="2:8" ht="15.75" customHeight="1" x14ac:dyDescent="0.2">
      <c r="B28" s="28" t="s">
        <v>680</v>
      </c>
      <c r="C28" s="28" t="s">
        <v>681</v>
      </c>
      <c r="D28" s="28" t="s">
        <v>238</v>
      </c>
      <c r="E28" s="29">
        <v>3000</v>
      </c>
      <c r="F28" s="30">
        <v>39.29</v>
      </c>
      <c r="G28" s="31">
        <v>1.1599999999999999E-2</v>
      </c>
      <c r="H28" s="32"/>
    </row>
    <row r="29" spans="2:8" ht="15.75" customHeight="1" x14ac:dyDescent="0.2">
      <c r="B29" s="28" t="s">
        <v>393</v>
      </c>
      <c r="C29" s="28" t="s">
        <v>394</v>
      </c>
      <c r="D29" s="28" t="s">
        <v>395</v>
      </c>
      <c r="E29" s="29">
        <v>506</v>
      </c>
      <c r="F29" s="30">
        <v>38.64</v>
      </c>
      <c r="G29" s="31">
        <v>1.14E-2</v>
      </c>
      <c r="H29" s="32"/>
    </row>
    <row r="30" spans="2:8" ht="15.75" customHeight="1" x14ac:dyDescent="0.2">
      <c r="B30" s="28" t="s">
        <v>464</v>
      </c>
      <c r="C30" s="28" t="s">
        <v>465</v>
      </c>
      <c r="D30" s="28" t="s">
        <v>195</v>
      </c>
      <c r="E30" s="29">
        <v>1100</v>
      </c>
      <c r="F30" s="30">
        <v>38.42</v>
      </c>
      <c r="G30" s="31">
        <v>1.1299999999999999E-2</v>
      </c>
      <c r="H30" s="32"/>
    </row>
    <row r="31" spans="2:8" ht="15.75" customHeight="1" x14ac:dyDescent="0.2">
      <c r="B31" s="28" t="s">
        <v>319</v>
      </c>
      <c r="C31" s="28" t="s">
        <v>320</v>
      </c>
      <c r="D31" s="28" t="s">
        <v>321</v>
      </c>
      <c r="E31" s="29">
        <v>956</v>
      </c>
      <c r="F31" s="30">
        <v>38.229999999999997</v>
      </c>
      <c r="G31" s="31">
        <v>1.1299999999999999E-2</v>
      </c>
      <c r="H31" s="32"/>
    </row>
    <row r="32" spans="2:8" ht="15.75" customHeight="1" x14ac:dyDescent="0.2">
      <c r="B32" s="28" t="s">
        <v>236</v>
      </c>
      <c r="C32" s="28" t="s">
        <v>237</v>
      </c>
      <c r="D32" s="28" t="s">
        <v>238</v>
      </c>
      <c r="E32" s="29">
        <v>2100</v>
      </c>
      <c r="F32" s="30">
        <v>37.97</v>
      </c>
      <c r="G32" s="31">
        <v>1.12E-2</v>
      </c>
      <c r="H32" s="32"/>
    </row>
    <row r="33" spans="2:8" ht="15.75" customHeight="1" x14ac:dyDescent="0.2">
      <c r="B33" s="28" t="s">
        <v>738</v>
      </c>
      <c r="C33" s="28" t="s">
        <v>739</v>
      </c>
      <c r="D33" s="28" t="s">
        <v>268</v>
      </c>
      <c r="E33" s="29">
        <v>500</v>
      </c>
      <c r="F33" s="30">
        <v>36.15</v>
      </c>
      <c r="G33" s="31">
        <v>1.0699999999999999E-2</v>
      </c>
      <c r="H33" s="32"/>
    </row>
    <row r="34" spans="2:8" ht="15.75" customHeight="1" x14ac:dyDescent="0.2">
      <c r="B34" s="28" t="s">
        <v>258</v>
      </c>
      <c r="C34" s="28" t="s">
        <v>259</v>
      </c>
      <c r="D34" s="28" t="s">
        <v>195</v>
      </c>
      <c r="E34" s="29">
        <v>500</v>
      </c>
      <c r="F34" s="30">
        <v>35.549999999999997</v>
      </c>
      <c r="G34" s="31">
        <v>1.0500000000000001E-2</v>
      </c>
      <c r="H34" s="32"/>
    </row>
    <row r="35" spans="2:8" ht="15.75" customHeight="1" x14ac:dyDescent="0.2">
      <c r="B35" s="28" t="s">
        <v>191</v>
      </c>
      <c r="C35" s="28" t="s">
        <v>192</v>
      </c>
      <c r="D35" s="28" t="s">
        <v>173</v>
      </c>
      <c r="E35" s="29">
        <v>2800</v>
      </c>
      <c r="F35" s="30">
        <v>35.380000000000003</v>
      </c>
      <c r="G35" s="31">
        <v>1.04E-2</v>
      </c>
      <c r="H35" s="32"/>
    </row>
    <row r="36" spans="2:8" ht="15.75" customHeight="1" x14ac:dyDescent="0.2">
      <c r="B36" s="28" t="s">
        <v>225</v>
      </c>
      <c r="C36" s="28" t="s">
        <v>226</v>
      </c>
      <c r="D36" s="28" t="s">
        <v>190</v>
      </c>
      <c r="E36" s="29">
        <v>3750</v>
      </c>
      <c r="F36" s="30">
        <v>35.14</v>
      </c>
      <c r="G36" s="31">
        <v>1.04E-2</v>
      </c>
      <c r="H36" s="32"/>
    </row>
    <row r="37" spans="2:8" ht="15.75" customHeight="1" x14ac:dyDescent="0.2">
      <c r="B37" s="28" t="s">
        <v>339</v>
      </c>
      <c r="C37" s="28" t="s">
        <v>340</v>
      </c>
      <c r="D37" s="28" t="s">
        <v>196</v>
      </c>
      <c r="E37" s="29">
        <v>5501</v>
      </c>
      <c r="F37" s="30">
        <v>35.11</v>
      </c>
      <c r="G37" s="31">
        <v>1.04E-2</v>
      </c>
      <c r="H37" s="32"/>
    </row>
    <row r="38" spans="2:8" ht="15.75" customHeight="1" x14ac:dyDescent="0.2">
      <c r="B38" s="28" t="s">
        <v>376</v>
      </c>
      <c r="C38" s="28" t="s">
        <v>377</v>
      </c>
      <c r="D38" s="28" t="s">
        <v>378</v>
      </c>
      <c r="E38" s="29">
        <v>10958</v>
      </c>
      <c r="F38" s="30">
        <v>34.07</v>
      </c>
      <c r="G38" s="31">
        <v>0.01</v>
      </c>
      <c r="H38" s="32"/>
    </row>
    <row r="39" spans="2:8" ht="15.75" customHeight="1" x14ac:dyDescent="0.2">
      <c r="B39" s="28" t="s">
        <v>603</v>
      </c>
      <c r="C39" s="28" t="s">
        <v>604</v>
      </c>
      <c r="D39" s="28" t="s">
        <v>345</v>
      </c>
      <c r="E39" s="29">
        <v>2458</v>
      </c>
      <c r="F39" s="30">
        <v>33.81</v>
      </c>
      <c r="G39" s="31">
        <v>0.01</v>
      </c>
      <c r="H39" s="32"/>
    </row>
    <row r="40" spans="2:8" ht="15.75" customHeight="1" x14ac:dyDescent="0.2">
      <c r="B40" s="28" t="s">
        <v>384</v>
      </c>
      <c r="C40" s="28" t="s">
        <v>385</v>
      </c>
      <c r="D40" s="28" t="s">
        <v>238</v>
      </c>
      <c r="E40" s="29">
        <v>800</v>
      </c>
      <c r="F40" s="30">
        <v>33.479999999999997</v>
      </c>
      <c r="G40" s="31">
        <v>9.9000000000000008E-3</v>
      </c>
      <c r="H40" s="32"/>
    </row>
    <row r="41" spans="2:8" ht="15.75" customHeight="1" x14ac:dyDescent="0.2">
      <c r="B41" s="28" t="s">
        <v>704</v>
      </c>
      <c r="C41" s="28" t="s">
        <v>705</v>
      </c>
      <c r="D41" s="28" t="s">
        <v>321</v>
      </c>
      <c r="E41" s="29">
        <v>1750</v>
      </c>
      <c r="F41" s="30">
        <v>33.340000000000003</v>
      </c>
      <c r="G41" s="31">
        <v>9.7999999999999997E-3</v>
      </c>
      <c r="H41" s="32"/>
    </row>
    <row r="42" spans="2:8" ht="15.75" customHeight="1" x14ac:dyDescent="0.2">
      <c r="B42" s="28" t="s">
        <v>183</v>
      </c>
      <c r="C42" s="28" t="s">
        <v>184</v>
      </c>
      <c r="D42" s="28" t="s">
        <v>173</v>
      </c>
      <c r="E42" s="29">
        <v>2561</v>
      </c>
      <c r="F42" s="30">
        <v>32.479999999999997</v>
      </c>
      <c r="G42" s="31">
        <v>9.5999999999999992E-3</v>
      </c>
      <c r="H42" s="32"/>
    </row>
    <row r="43" spans="2:8" ht="15.75" customHeight="1" x14ac:dyDescent="0.2">
      <c r="B43" s="28" t="s">
        <v>283</v>
      </c>
      <c r="C43" s="28" t="s">
        <v>284</v>
      </c>
      <c r="D43" s="28" t="s">
        <v>277</v>
      </c>
      <c r="E43" s="29">
        <v>5500</v>
      </c>
      <c r="F43" s="30">
        <v>32.28</v>
      </c>
      <c r="G43" s="31">
        <v>9.4999999999999998E-3</v>
      </c>
      <c r="H43" s="32"/>
    </row>
    <row r="44" spans="2:8" ht="15.75" customHeight="1" x14ac:dyDescent="0.2">
      <c r="B44" s="28" t="s">
        <v>740</v>
      </c>
      <c r="C44" s="28" t="s">
        <v>741</v>
      </c>
      <c r="D44" s="28" t="s">
        <v>483</v>
      </c>
      <c r="E44" s="29">
        <v>2400</v>
      </c>
      <c r="F44" s="30">
        <v>31.81</v>
      </c>
      <c r="G44" s="31">
        <v>9.4000000000000004E-3</v>
      </c>
      <c r="H44" s="32"/>
    </row>
    <row r="45" spans="2:8" ht="15.75" customHeight="1" x14ac:dyDescent="0.2">
      <c r="B45" s="28" t="s">
        <v>491</v>
      </c>
      <c r="C45" s="28" t="s">
        <v>492</v>
      </c>
      <c r="D45" s="28" t="s">
        <v>271</v>
      </c>
      <c r="E45" s="29">
        <v>1970</v>
      </c>
      <c r="F45" s="30">
        <v>31.38</v>
      </c>
      <c r="G45" s="31">
        <v>9.2999999999999992E-3</v>
      </c>
      <c r="H45" s="32"/>
    </row>
    <row r="46" spans="2:8" ht="15.75" customHeight="1" x14ac:dyDescent="0.2">
      <c r="B46" s="28" t="s">
        <v>193</v>
      </c>
      <c r="C46" s="28" t="s">
        <v>194</v>
      </c>
      <c r="D46" s="28" t="s">
        <v>195</v>
      </c>
      <c r="E46" s="29">
        <v>1008</v>
      </c>
      <c r="F46" s="30">
        <v>31.22</v>
      </c>
      <c r="G46" s="31">
        <v>9.1999999999999998E-3</v>
      </c>
      <c r="H46" s="32"/>
    </row>
    <row r="47" spans="2:8" ht="15.75" customHeight="1" x14ac:dyDescent="0.2">
      <c r="B47" s="28" t="s">
        <v>316</v>
      </c>
      <c r="C47" s="28" t="s">
        <v>317</v>
      </c>
      <c r="D47" s="28" t="s">
        <v>318</v>
      </c>
      <c r="E47" s="29">
        <v>749</v>
      </c>
      <c r="F47" s="30">
        <v>30.06</v>
      </c>
      <c r="G47" s="31">
        <v>8.8999999999999999E-3</v>
      </c>
      <c r="H47" s="32"/>
    </row>
    <row r="48" spans="2:8" ht="15.75" customHeight="1" x14ac:dyDescent="0.2">
      <c r="B48" s="28" t="s">
        <v>722</v>
      </c>
      <c r="C48" s="28" t="s">
        <v>723</v>
      </c>
      <c r="D48" s="28" t="s">
        <v>470</v>
      </c>
      <c r="E48" s="29">
        <v>6250</v>
      </c>
      <c r="F48" s="30">
        <v>29.91</v>
      </c>
      <c r="G48" s="31">
        <v>8.8000000000000005E-3</v>
      </c>
      <c r="H48" s="32"/>
    </row>
    <row r="49" spans="2:8" ht="15.75" customHeight="1" x14ac:dyDescent="0.2">
      <c r="B49" s="28" t="s">
        <v>742</v>
      </c>
      <c r="C49" s="28" t="s">
        <v>743</v>
      </c>
      <c r="D49" s="28" t="s">
        <v>243</v>
      </c>
      <c r="E49" s="29">
        <v>11250</v>
      </c>
      <c r="F49" s="30">
        <v>29.79</v>
      </c>
      <c r="G49" s="31">
        <v>8.8000000000000005E-3</v>
      </c>
      <c r="H49" s="32"/>
    </row>
    <row r="50" spans="2:8" ht="15.75" customHeight="1" x14ac:dyDescent="0.2">
      <c r="B50" s="28" t="s">
        <v>222</v>
      </c>
      <c r="C50" s="28" t="s">
        <v>223</v>
      </c>
      <c r="D50" s="28" t="s">
        <v>224</v>
      </c>
      <c r="E50" s="29">
        <v>6756</v>
      </c>
      <c r="F50" s="30">
        <v>29.14</v>
      </c>
      <c r="G50" s="31">
        <v>8.6E-3</v>
      </c>
      <c r="H50" s="32"/>
    </row>
    <row r="51" spans="2:8" ht="15.75" customHeight="1" x14ac:dyDescent="0.2">
      <c r="B51" s="28" t="s">
        <v>706</v>
      </c>
      <c r="C51" s="28" t="s">
        <v>707</v>
      </c>
      <c r="D51" s="28" t="s">
        <v>182</v>
      </c>
      <c r="E51" s="29">
        <v>600</v>
      </c>
      <c r="F51" s="30">
        <v>28.8</v>
      </c>
      <c r="G51" s="31">
        <v>8.5000000000000006E-3</v>
      </c>
      <c r="H51" s="32"/>
    </row>
    <row r="52" spans="2:8" ht="15.75" customHeight="1" x14ac:dyDescent="0.2">
      <c r="B52" s="28" t="s">
        <v>744</v>
      </c>
      <c r="C52" s="28" t="s">
        <v>745</v>
      </c>
      <c r="D52" s="28" t="s">
        <v>268</v>
      </c>
      <c r="E52" s="29">
        <v>725</v>
      </c>
      <c r="F52" s="30">
        <v>27.61</v>
      </c>
      <c r="G52" s="31">
        <v>8.0999999999999996E-3</v>
      </c>
      <c r="H52" s="32"/>
    </row>
    <row r="53" spans="2:8" ht="15.75" customHeight="1" x14ac:dyDescent="0.2">
      <c r="B53" s="28" t="s">
        <v>379</v>
      </c>
      <c r="C53" s="28" t="s">
        <v>380</v>
      </c>
      <c r="D53" s="28" t="s">
        <v>331</v>
      </c>
      <c r="E53" s="29">
        <v>973</v>
      </c>
      <c r="F53" s="30">
        <v>27.19</v>
      </c>
      <c r="G53" s="31">
        <v>8.0000000000000002E-3</v>
      </c>
      <c r="H53" s="32"/>
    </row>
    <row r="54" spans="2:8" ht="15.75" customHeight="1" x14ac:dyDescent="0.2">
      <c r="B54" s="28" t="s">
        <v>256</v>
      </c>
      <c r="C54" s="28" t="s">
        <v>257</v>
      </c>
      <c r="D54" s="28" t="s">
        <v>187</v>
      </c>
      <c r="E54" s="29">
        <v>8544</v>
      </c>
      <c r="F54" s="30">
        <v>26.91</v>
      </c>
      <c r="G54" s="31">
        <v>7.9000000000000008E-3</v>
      </c>
      <c r="H54" s="32"/>
    </row>
    <row r="55" spans="2:8" ht="15.75" customHeight="1" x14ac:dyDescent="0.2">
      <c r="B55" s="28" t="s">
        <v>454</v>
      </c>
      <c r="C55" s="28" t="s">
        <v>455</v>
      </c>
      <c r="D55" s="28" t="s">
        <v>238</v>
      </c>
      <c r="E55" s="29">
        <v>1461</v>
      </c>
      <c r="F55" s="30">
        <v>25.39</v>
      </c>
      <c r="G55" s="31">
        <v>7.4999999999999997E-3</v>
      </c>
      <c r="H55" s="32"/>
    </row>
    <row r="56" spans="2:8" ht="15.75" customHeight="1" x14ac:dyDescent="0.2">
      <c r="B56" s="28" t="s">
        <v>580</v>
      </c>
      <c r="C56" s="28" t="s">
        <v>581</v>
      </c>
      <c r="D56" s="28" t="s">
        <v>483</v>
      </c>
      <c r="E56" s="29">
        <v>719</v>
      </c>
      <c r="F56" s="30">
        <v>24.61</v>
      </c>
      <c r="G56" s="31">
        <v>7.3000000000000001E-3</v>
      </c>
      <c r="H56" s="32"/>
    </row>
    <row r="57" spans="2:8" ht="15.75" customHeight="1" x14ac:dyDescent="0.2">
      <c r="B57" s="28" t="s">
        <v>411</v>
      </c>
      <c r="C57" s="28" t="s">
        <v>412</v>
      </c>
      <c r="D57" s="28" t="s">
        <v>179</v>
      </c>
      <c r="E57" s="29">
        <v>1050</v>
      </c>
      <c r="F57" s="30">
        <v>24.47</v>
      </c>
      <c r="G57" s="31">
        <v>7.1999999999999998E-3</v>
      </c>
      <c r="H57" s="32"/>
    </row>
    <row r="58" spans="2:8" ht="15.75" customHeight="1" x14ac:dyDescent="0.2">
      <c r="B58" s="28" t="s">
        <v>435</v>
      </c>
      <c r="C58" s="28" t="s">
        <v>436</v>
      </c>
      <c r="D58" s="28" t="s">
        <v>224</v>
      </c>
      <c r="E58" s="29">
        <v>559</v>
      </c>
      <c r="F58" s="30">
        <v>24.25</v>
      </c>
      <c r="G58" s="31">
        <v>7.1999999999999998E-3</v>
      </c>
      <c r="H58" s="32"/>
    </row>
    <row r="59" spans="2:8" ht="15.75" customHeight="1" x14ac:dyDescent="0.2">
      <c r="B59" s="28" t="s">
        <v>746</v>
      </c>
      <c r="C59" s="28" t="s">
        <v>747</v>
      </c>
      <c r="D59" s="28" t="s">
        <v>179</v>
      </c>
      <c r="E59" s="29">
        <v>800</v>
      </c>
      <c r="F59" s="30">
        <v>23.58</v>
      </c>
      <c r="G59" s="31">
        <v>7.0000000000000001E-3</v>
      </c>
      <c r="H59" s="32"/>
    </row>
    <row r="60" spans="2:8" ht="15.75" customHeight="1" x14ac:dyDescent="0.2">
      <c r="B60" s="28" t="s">
        <v>404</v>
      </c>
      <c r="C60" s="28" t="s">
        <v>405</v>
      </c>
      <c r="D60" s="28" t="s">
        <v>406</v>
      </c>
      <c r="E60" s="29">
        <v>2413</v>
      </c>
      <c r="F60" s="30">
        <v>22.6</v>
      </c>
      <c r="G60" s="31">
        <v>6.7000000000000002E-3</v>
      </c>
      <c r="H60" s="32"/>
    </row>
    <row r="61" spans="2:8" ht="15.75" customHeight="1" x14ac:dyDescent="0.2">
      <c r="B61" s="28" t="s">
        <v>269</v>
      </c>
      <c r="C61" s="28" t="s">
        <v>270</v>
      </c>
      <c r="D61" s="28" t="s">
        <v>271</v>
      </c>
      <c r="E61" s="29">
        <v>7200</v>
      </c>
      <c r="F61" s="30">
        <v>19.61</v>
      </c>
      <c r="G61" s="31">
        <v>5.7999999999999996E-3</v>
      </c>
      <c r="H61" s="32"/>
    </row>
    <row r="62" spans="2:8" ht="15.75" customHeight="1" x14ac:dyDescent="0.2">
      <c r="B62" s="28" t="s">
        <v>601</v>
      </c>
      <c r="C62" s="28" t="s">
        <v>602</v>
      </c>
      <c r="D62" s="28" t="s">
        <v>483</v>
      </c>
      <c r="E62" s="29">
        <v>3623</v>
      </c>
      <c r="F62" s="30">
        <v>19.27</v>
      </c>
      <c r="G62" s="31">
        <v>5.7000000000000002E-3</v>
      </c>
      <c r="H62" s="32"/>
    </row>
    <row r="63" spans="2:8" ht="15.75" customHeight="1" x14ac:dyDescent="0.2">
      <c r="B63" s="28" t="s">
        <v>748</v>
      </c>
      <c r="C63" s="28" t="s">
        <v>749</v>
      </c>
      <c r="D63" s="28" t="s">
        <v>179</v>
      </c>
      <c r="E63" s="29">
        <v>3416</v>
      </c>
      <c r="F63" s="30">
        <v>19.13</v>
      </c>
      <c r="G63" s="31">
        <v>5.5999999999999999E-3</v>
      </c>
      <c r="H63" s="32"/>
    </row>
    <row r="64" spans="2:8" ht="15.75" customHeight="1" x14ac:dyDescent="0.2">
      <c r="B64" s="27" t="s">
        <v>129</v>
      </c>
      <c r="C64" s="27"/>
      <c r="D64" s="27"/>
      <c r="E64" s="33"/>
      <c r="F64" s="34">
        <v>2255.88</v>
      </c>
      <c r="G64" s="35">
        <v>0.66520000000000001</v>
      </c>
      <c r="H64" s="36"/>
    </row>
    <row r="65" spans="2:14" ht="15.75" customHeight="1" x14ac:dyDescent="0.2">
      <c r="B65" s="27" t="s">
        <v>197</v>
      </c>
      <c r="C65" s="28"/>
      <c r="D65" s="28"/>
      <c r="E65" s="29"/>
      <c r="F65" s="30"/>
      <c r="G65" s="31"/>
      <c r="H65" s="32"/>
    </row>
    <row r="66" spans="2:14" ht="15.75" customHeight="1" x14ac:dyDescent="0.2">
      <c r="B66" s="27" t="s">
        <v>129</v>
      </c>
      <c r="C66" s="28"/>
      <c r="D66" s="28"/>
      <c r="E66" s="29"/>
      <c r="F66" s="37" t="s">
        <v>131</v>
      </c>
      <c r="G66" s="38" t="s">
        <v>131</v>
      </c>
      <c r="H66" s="32"/>
    </row>
    <row r="67" spans="2:14" ht="15.75" customHeight="1" x14ac:dyDescent="0.2">
      <c r="B67" s="28"/>
      <c r="C67" s="28"/>
      <c r="D67" s="28"/>
      <c r="E67" s="29"/>
      <c r="F67" s="30"/>
      <c r="G67" s="31"/>
      <c r="H67" s="32"/>
    </row>
    <row r="68" spans="2:14" ht="15.75" customHeight="1" x14ac:dyDescent="0.2">
      <c r="B68" s="39" t="s">
        <v>133</v>
      </c>
      <c r="C68" s="39"/>
      <c r="D68" s="39"/>
      <c r="E68" s="40"/>
      <c r="F68" s="34">
        <v>2255.88</v>
      </c>
      <c r="G68" s="35">
        <v>0.66520000000000001</v>
      </c>
      <c r="H68" s="36"/>
      <c r="J68" s="3"/>
    </row>
    <row r="69" spans="2:14" ht="15.75" customHeight="1" x14ac:dyDescent="0.2">
      <c r="B69" s="28"/>
      <c r="C69" s="28"/>
      <c r="D69" s="28"/>
      <c r="E69" s="29"/>
      <c r="F69" s="30"/>
      <c r="G69" s="31"/>
      <c r="H69" s="32"/>
    </row>
    <row r="70" spans="2:14" ht="15.75" customHeight="1" x14ac:dyDescent="0.2">
      <c r="B70" s="28"/>
      <c r="C70" s="28"/>
      <c r="D70" s="28"/>
      <c r="E70" s="29"/>
      <c r="F70" s="30"/>
      <c r="G70" s="31"/>
      <c r="H70" s="32"/>
      <c r="J70" s="3"/>
    </row>
    <row r="71" spans="2:14" ht="15.75" customHeight="1" x14ac:dyDescent="0.2">
      <c r="B71" s="27" t="s">
        <v>137</v>
      </c>
      <c r="C71" s="28"/>
      <c r="D71" s="28"/>
      <c r="E71" s="29"/>
      <c r="F71" s="30"/>
      <c r="G71" s="31"/>
      <c r="H71" s="32"/>
      <c r="J71" s="3"/>
    </row>
    <row r="72" spans="2:14" ht="15.75" customHeight="1" x14ac:dyDescent="0.2">
      <c r="B72" s="27" t="s">
        <v>138</v>
      </c>
      <c r="C72" s="28"/>
      <c r="D72" s="28"/>
      <c r="E72" s="29"/>
      <c r="F72" s="30"/>
      <c r="G72" s="31"/>
      <c r="H72" s="32"/>
      <c r="J72" s="3"/>
    </row>
    <row r="73" spans="2:14" ht="15.75" customHeight="1" x14ac:dyDescent="0.2">
      <c r="B73" s="28" t="s">
        <v>304</v>
      </c>
      <c r="C73" s="28" t="s">
        <v>305</v>
      </c>
      <c r="D73" s="28"/>
      <c r="E73" s="29">
        <v>7279.7340000000004</v>
      </c>
      <c r="F73" s="30">
        <v>366.54</v>
      </c>
      <c r="G73" s="31">
        <v>0.1081</v>
      </c>
      <c r="H73" s="32"/>
      <c r="J73" s="3"/>
    </row>
    <row r="74" spans="2:14" ht="15.75" customHeight="1" x14ac:dyDescent="0.2">
      <c r="B74" s="28" t="s">
        <v>302</v>
      </c>
      <c r="C74" s="28" t="s">
        <v>303</v>
      </c>
      <c r="D74" s="28"/>
      <c r="E74" s="29">
        <v>3942.3180000000002</v>
      </c>
      <c r="F74" s="30">
        <v>49.99</v>
      </c>
      <c r="G74" s="31">
        <v>1.47E-2</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133</v>
      </c>
      <c r="C76" s="39"/>
      <c r="D76" s="39"/>
      <c r="E76" s="40"/>
      <c r="F76" s="34">
        <v>416.53</v>
      </c>
      <c r="G76" s="35">
        <v>0.12280000000000001</v>
      </c>
      <c r="H76" s="36"/>
    </row>
    <row r="77" spans="2:14" ht="15.75" customHeight="1" x14ac:dyDescent="0.2">
      <c r="B77" s="28"/>
      <c r="C77" s="28"/>
      <c r="D77" s="28"/>
      <c r="E77" s="29"/>
      <c r="F77" s="30"/>
      <c r="G77" s="31"/>
      <c r="H77" s="32"/>
    </row>
    <row r="78" spans="2:14" ht="15.75" customHeight="1" x14ac:dyDescent="0.2">
      <c r="B78" s="27" t="s">
        <v>139</v>
      </c>
      <c r="C78" s="28"/>
      <c r="D78" s="28"/>
      <c r="E78" s="29"/>
      <c r="F78" s="30"/>
      <c r="G78" s="31"/>
      <c r="H78" s="32"/>
      <c r="J78" s="7"/>
      <c r="K78" s="7"/>
      <c r="L78" s="7"/>
      <c r="M78" s="7"/>
      <c r="N78" s="7"/>
    </row>
    <row r="79" spans="2:14" ht="15.75" customHeight="1" x14ac:dyDescent="0.2">
      <c r="B79" s="28" t="s">
        <v>140</v>
      </c>
      <c r="C79" s="28"/>
      <c r="D79" s="28"/>
      <c r="E79" s="29"/>
      <c r="F79" s="30">
        <v>686.9</v>
      </c>
      <c r="G79" s="31">
        <v>0.20250000000000001</v>
      </c>
      <c r="H79" s="32"/>
      <c r="J79" s="7"/>
      <c r="K79" s="7"/>
      <c r="L79" s="7"/>
      <c r="M79" s="7"/>
      <c r="N79" s="7"/>
    </row>
    <row r="80" spans="2:14" ht="15.75" customHeight="1" x14ac:dyDescent="0.2">
      <c r="B80" s="27" t="s">
        <v>129</v>
      </c>
      <c r="C80" s="27"/>
      <c r="D80" s="27"/>
      <c r="E80" s="33"/>
      <c r="F80" s="34">
        <v>686.9</v>
      </c>
      <c r="G80" s="35">
        <v>0.20250000000000001</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133</v>
      </c>
      <c r="C82" s="39"/>
      <c r="D82" s="39"/>
      <c r="E82" s="40"/>
      <c r="F82" s="34">
        <v>686.9</v>
      </c>
      <c r="G82" s="35">
        <v>0.20250000000000001</v>
      </c>
      <c r="H82" s="36"/>
      <c r="J82" s="7"/>
      <c r="K82" s="7"/>
      <c r="L82" s="7"/>
      <c r="M82" s="7"/>
      <c r="N82" s="7"/>
    </row>
    <row r="83" spans="2:14" ht="15.75" customHeight="1" x14ac:dyDescent="0.2">
      <c r="B83" s="28" t="s">
        <v>141</v>
      </c>
      <c r="C83" s="28"/>
      <c r="D83" s="28"/>
      <c r="E83" s="29"/>
      <c r="F83" s="30">
        <v>32.07</v>
      </c>
      <c r="G83" s="31">
        <v>9.4999999999999529E-3</v>
      </c>
      <c r="H83" s="32"/>
      <c r="J83" s="7"/>
      <c r="K83" s="7"/>
      <c r="L83" s="7"/>
      <c r="M83" s="7"/>
      <c r="N83" s="7"/>
    </row>
    <row r="84" spans="2:14" ht="15.75" customHeight="1" x14ac:dyDescent="0.2">
      <c r="B84" s="41" t="s">
        <v>142</v>
      </c>
      <c r="C84" s="41"/>
      <c r="D84" s="41"/>
      <c r="E84" s="42"/>
      <c r="F84" s="43">
        <v>3391.38</v>
      </c>
      <c r="G84" s="44">
        <v>1</v>
      </c>
      <c r="H84" s="45"/>
      <c r="J84" s="7"/>
      <c r="K84" s="7"/>
      <c r="L84" s="7"/>
      <c r="M84" s="7"/>
      <c r="N84" s="7"/>
    </row>
    <row r="85" spans="2:14" ht="15.75" customHeight="1" x14ac:dyDescent="0.2">
      <c r="B85" s="2"/>
    </row>
    <row r="86" spans="2:14" ht="15.75" customHeight="1" x14ac:dyDescent="0.2">
      <c r="B86" s="60"/>
      <c r="J86" s="3"/>
    </row>
    <row r="87" spans="2:14" ht="15.75" customHeight="1" x14ac:dyDescent="0.2">
      <c r="B87" s="9" t="s">
        <v>750</v>
      </c>
    </row>
    <row r="88" spans="2:14" ht="15.75" customHeight="1" x14ac:dyDescent="0.2">
      <c r="B88" s="9" t="s">
        <v>751</v>
      </c>
    </row>
    <row r="89" spans="2:14" ht="15.75" customHeight="1" x14ac:dyDescent="0.2">
      <c r="B89" s="16" t="s">
        <v>306</v>
      </c>
      <c r="C89" s="57" t="s">
        <v>2</v>
      </c>
      <c r="D89" s="58" t="s">
        <v>3</v>
      </c>
      <c r="E89" s="59" t="s">
        <v>307</v>
      </c>
    </row>
    <row r="90" spans="2:14" ht="15.75" customHeight="1" x14ac:dyDescent="0.2">
      <c r="B90" s="53" t="s">
        <v>225</v>
      </c>
      <c r="C90" s="54">
        <v>-3750</v>
      </c>
      <c r="D90" s="55">
        <v>-35.340000000000003</v>
      </c>
      <c r="E90" s="56">
        <v>-1.04E-2</v>
      </c>
    </row>
    <row r="91" spans="2:14" ht="15.75" customHeight="1" x14ac:dyDescent="0.2">
      <c r="B91" s="53" t="s">
        <v>613</v>
      </c>
      <c r="C91" s="54">
        <v>-1500</v>
      </c>
      <c r="D91" s="55">
        <v>-40.950000000000003</v>
      </c>
      <c r="E91" s="56">
        <v>-1.21E-2</v>
      </c>
    </row>
    <row r="92" spans="2:14" ht="15.75" customHeight="1" x14ac:dyDescent="0.2">
      <c r="B92" s="53" t="s">
        <v>630</v>
      </c>
      <c r="C92" s="54">
        <v>-900</v>
      </c>
      <c r="D92" s="55">
        <v>-46.12</v>
      </c>
      <c r="E92" s="56">
        <v>-1.3599999999999999E-2</v>
      </c>
    </row>
    <row r="93" spans="2:14" ht="15.75" customHeight="1" x14ac:dyDescent="0.2">
      <c r="B93" s="53" t="s">
        <v>722</v>
      </c>
      <c r="C93" s="54">
        <v>-6250</v>
      </c>
      <c r="D93" s="55">
        <v>-29.81</v>
      </c>
      <c r="E93" s="56">
        <v>-8.8000000000000005E-3</v>
      </c>
    </row>
    <row r="94" spans="2:14" ht="15.75" customHeight="1" x14ac:dyDescent="0.2">
      <c r="B94" s="53" t="s">
        <v>220</v>
      </c>
      <c r="C94" s="54">
        <v>-12000</v>
      </c>
      <c r="D94" s="55">
        <v>-46.31</v>
      </c>
      <c r="E94" s="56">
        <v>-1.37E-2</v>
      </c>
    </row>
    <row r="95" spans="2:14" ht="15.75" customHeight="1" x14ac:dyDescent="0.2">
      <c r="B95" s="53" t="s">
        <v>329</v>
      </c>
      <c r="C95" s="54">
        <v>-500</v>
      </c>
      <c r="D95" s="55">
        <v>-58.28</v>
      </c>
      <c r="E95" s="56">
        <v>-1.72E-2</v>
      </c>
    </row>
    <row r="96" spans="2:14" ht="15.75" customHeight="1" x14ac:dyDescent="0.2">
      <c r="B96" s="53" t="s">
        <v>324</v>
      </c>
      <c r="C96" s="54">
        <v>-5600</v>
      </c>
      <c r="D96" s="55">
        <v>-58.37</v>
      </c>
      <c r="E96" s="56">
        <v>-1.72E-2</v>
      </c>
    </row>
    <row r="97" spans="2:5" ht="15.75" customHeight="1" x14ac:dyDescent="0.2">
      <c r="B97" s="53" t="s">
        <v>236</v>
      </c>
      <c r="C97" s="54">
        <v>-2100</v>
      </c>
      <c r="D97" s="55">
        <v>-38.119999999999997</v>
      </c>
      <c r="E97" s="56">
        <v>-1.12E-2</v>
      </c>
    </row>
    <row r="98" spans="2:5" ht="15.75" customHeight="1" x14ac:dyDescent="0.2">
      <c r="B98" s="53" t="s">
        <v>227</v>
      </c>
      <c r="C98" s="54">
        <v>-49500</v>
      </c>
      <c r="D98" s="55">
        <v>-104.97</v>
      </c>
      <c r="E98" s="56">
        <v>-3.1E-2</v>
      </c>
    </row>
    <row r="99" spans="2:5" ht="15.75" customHeight="1" x14ac:dyDescent="0.2">
      <c r="B99" s="53" t="s">
        <v>239</v>
      </c>
      <c r="C99" s="54">
        <v>-29250</v>
      </c>
      <c r="D99" s="55">
        <v>-77.540000000000006</v>
      </c>
      <c r="E99" s="56">
        <v>-2.29E-2</v>
      </c>
    </row>
    <row r="100" spans="2:5" ht="15.75" customHeight="1" x14ac:dyDescent="0.2">
      <c r="B100" s="53" t="s">
        <v>734</v>
      </c>
      <c r="C100" s="54">
        <v>-22500</v>
      </c>
      <c r="D100" s="55">
        <v>-89.65</v>
      </c>
      <c r="E100" s="56">
        <v>-2.64E-2</v>
      </c>
    </row>
    <row r="101" spans="2:5" ht="15.75" customHeight="1" x14ac:dyDescent="0.2">
      <c r="B101" s="53" t="s">
        <v>258</v>
      </c>
      <c r="C101" s="54">
        <v>-500</v>
      </c>
      <c r="D101" s="55">
        <v>-35.75</v>
      </c>
      <c r="E101" s="56">
        <v>-1.0500000000000001E-2</v>
      </c>
    </row>
    <row r="102" spans="2:5" ht="15.75" customHeight="1" x14ac:dyDescent="0.2">
      <c r="B102" s="53" t="s">
        <v>171</v>
      </c>
      <c r="C102" s="54">
        <v>-5500</v>
      </c>
      <c r="D102" s="55">
        <v>-42.69</v>
      </c>
      <c r="E102" s="56">
        <v>-1.26E-2</v>
      </c>
    </row>
    <row r="103" spans="2:5" ht="15.75" customHeight="1" x14ac:dyDescent="0.2">
      <c r="B103" s="53" t="s">
        <v>180</v>
      </c>
      <c r="C103" s="54">
        <v>-3600</v>
      </c>
      <c r="D103" s="55">
        <v>-42.75</v>
      </c>
      <c r="E103" s="56">
        <v>-1.26E-2</v>
      </c>
    </row>
    <row r="104" spans="2:5" ht="15.75" customHeight="1" x14ac:dyDescent="0.2">
      <c r="B104" s="53" t="s">
        <v>232</v>
      </c>
      <c r="C104" s="54">
        <v>-300</v>
      </c>
      <c r="D104" s="55">
        <v>-40.159999999999997</v>
      </c>
      <c r="E104" s="56">
        <v>-1.18E-2</v>
      </c>
    </row>
    <row r="105" spans="2:5" ht="15.75" customHeight="1" x14ac:dyDescent="0.2">
      <c r="B105" s="53" t="s">
        <v>283</v>
      </c>
      <c r="C105" s="54">
        <v>-5500</v>
      </c>
      <c r="D105" s="55">
        <v>-32.450000000000003</v>
      </c>
      <c r="E105" s="56">
        <v>-9.5999999999999992E-3</v>
      </c>
    </row>
    <row r="106" spans="2:5" ht="15.75" customHeight="1" x14ac:dyDescent="0.2">
      <c r="B106" s="53" t="s">
        <v>740</v>
      </c>
      <c r="C106" s="54">
        <v>-2400</v>
      </c>
      <c r="D106" s="55">
        <v>-32.01</v>
      </c>
      <c r="E106" s="56">
        <v>-9.4000000000000004E-3</v>
      </c>
    </row>
    <row r="107" spans="2:5" ht="15.75" customHeight="1" x14ac:dyDescent="0.2">
      <c r="B107" s="53" t="s">
        <v>706</v>
      </c>
      <c r="C107" s="54">
        <v>-600</v>
      </c>
      <c r="D107" s="55">
        <v>-28.93</v>
      </c>
      <c r="E107" s="56">
        <v>-8.5000000000000006E-3</v>
      </c>
    </row>
    <row r="108" spans="2:5" ht="15.75" customHeight="1" x14ac:dyDescent="0.2">
      <c r="B108" s="53" t="s">
        <v>314</v>
      </c>
      <c r="C108" s="54">
        <v>-2100</v>
      </c>
      <c r="D108" s="55">
        <v>-51.25</v>
      </c>
      <c r="E108" s="56">
        <v>-1.5100000000000001E-2</v>
      </c>
    </row>
    <row r="109" spans="2:5" ht="15.75" customHeight="1" x14ac:dyDescent="0.2">
      <c r="B109" s="53" t="s">
        <v>262</v>
      </c>
      <c r="C109" s="54">
        <v>-1000</v>
      </c>
      <c r="D109" s="55">
        <v>-41.66</v>
      </c>
      <c r="E109" s="56">
        <v>-1.23E-2</v>
      </c>
    </row>
    <row r="110" spans="2:5" ht="15.75" customHeight="1" x14ac:dyDescent="0.2">
      <c r="B110" s="53" t="s">
        <v>704</v>
      </c>
      <c r="C110" s="54">
        <v>-1750</v>
      </c>
      <c r="D110" s="55">
        <v>-33.54</v>
      </c>
      <c r="E110" s="56">
        <v>-9.9000000000000008E-3</v>
      </c>
    </row>
    <row r="111" spans="2:5" ht="15.75" customHeight="1" x14ac:dyDescent="0.2">
      <c r="B111" s="53" t="s">
        <v>746</v>
      </c>
      <c r="C111" s="54">
        <v>-800</v>
      </c>
      <c r="D111" s="55">
        <v>-23.72</v>
      </c>
      <c r="E111" s="56">
        <v>-7.0000000000000001E-3</v>
      </c>
    </row>
    <row r="112" spans="2:5" ht="15.75" customHeight="1" x14ac:dyDescent="0.2">
      <c r="B112" s="53" t="s">
        <v>738</v>
      </c>
      <c r="C112" s="54">
        <v>-500</v>
      </c>
      <c r="D112" s="55">
        <v>-36.340000000000003</v>
      </c>
      <c r="E112" s="56">
        <v>-1.0699999999999999E-2</v>
      </c>
    </row>
    <row r="113" spans="2:8" ht="15.75" customHeight="1" x14ac:dyDescent="0.2">
      <c r="B113" s="53" t="s">
        <v>736</v>
      </c>
      <c r="C113" s="54">
        <v>-40000</v>
      </c>
      <c r="D113" s="55">
        <v>-64.98</v>
      </c>
      <c r="E113" s="56">
        <v>-1.9199999999999998E-2</v>
      </c>
    </row>
    <row r="114" spans="2:8" ht="15.75" customHeight="1" x14ac:dyDescent="0.2">
      <c r="B114" s="53" t="s">
        <v>680</v>
      </c>
      <c r="C114" s="54">
        <v>-3000</v>
      </c>
      <c r="D114" s="55">
        <v>-39.46</v>
      </c>
      <c r="E114" s="56">
        <v>-1.1599999999999999E-2</v>
      </c>
    </row>
    <row r="115" spans="2:8" ht="15.75" customHeight="1" x14ac:dyDescent="0.2">
      <c r="B115" s="53" t="s">
        <v>269</v>
      </c>
      <c r="C115" s="54">
        <v>-7200</v>
      </c>
      <c r="D115" s="55">
        <v>-19.670000000000002</v>
      </c>
      <c r="E115" s="56">
        <v>-5.7999999999999996E-3</v>
      </c>
    </row>
    <row r="116" spans="2:8" ht="15.75" customHeight="1" x14ac:dyDescent="0.2">
      <c r="B116" s="53" t="s">
        <v>191</v>
      </c>
      <c r="C116" s="54">
        <v>-2800</v>
      </c>
      <c r="D116" s="55">
        <v>-35.58</v>
      </c>
      <c r="E116" s="56">
        <v>-1.0500000000000001E-2</v>
      </c>
    </row>
    <row r="117" spans="2:8" ht="15.75" customHeight="1" x14ac:dyDescent="0.2">
      <c r="B117" s="53" t="s">
        <v>241</v>
      </c>
      <c r="C117" s="54">
        <v>-24250</v>
      </c>
      <c r="D117" s="55">
        <v>-60.25</v>
      </c>
      <c r="E117" s="56">
        <v>-1.78E-2</v>
      </c>
    </row>
    <row r="118" spans="2:8" ht="15.75" customHeight="1" x14ac:dyDescent="0.2">
      <c r="B118" s="16" t="s">
        <v>308</v>
      </c>
      <c r="C118" s="57">
        <v>-235650</v>
      </c>
      <c r="D118" s="58">
        <v>-1286.6500000000001</v>
      </c>
      <c r="E118" s="59">
        <v>-0.37940000000000002</v>
      </c>
    </row>
    <row r="120" spans="2:8" s="7" customFormat="1" ht="15.6" customHeight="1" x14ac:dyDescent="0.25">
      <c r="B120" s="63" t="s">
        <v>1067</v>
      </c>
      <c r="C120" s="70"/>
      <c r="D120" s="70"/>
      <c r="E120" s="70"/>
      <c r="F120" s="70"/>
      <c r="G120" s="70"/>
      <c r="H120" s="64"/>
    </row>
    <row r="121" spans="2:8" s="7" customFormat="1" ht="15.6" customHeight="1" x14ac:dyDescent="0.25">
      <c r="B121" s="63" t="s">
        <v>1108</v>
      </c>
      <c r="C121" s="70"/>
      <c r="D121" s="70"/>
      <c r="E121" s="70"/>
      <c r="F121" s="70"/>
      <c r="G121" s="70"/>
      <c r="H121" s="64"/>
    </row>
    <row r="122" spans="2:8" s="7" customFormat="1" ht="15.6" customHeight="1" x14ac:dyDescent="0.25">
      <c r="B122" s="63" t="s">
        <v>1068</v>
      </c>
      <c r="C122" s="70"/>
      <c r="D122" s="70"/>
      <c r="E122" s="70"/>
      <c r="F122" s="70"/>
      <c r="G122" s="70"/>
      <c r="H122" s="64"/>
    </row>
    <row r="123" spans="2:8" s="7" customFormat="1" ht="15.6" customHeight="1" x14ac:dyDescent="0.25">
      <c r="B123" s="71"/>
      <c r="C123" s="65">
        <v>46142</v>
      </c>
      <c r="D123" s="65">
        <v>46112</v>
      </c>
      <c r="E123" s="70"/>
      <c r="F123" s="70"/>
      <c r="G123" s="70"/>
      <c r="H123" s="64"/>
    </row>
    <row r="124" spans="2:8" s="7" customFormat="1" ht="15.6" customHeight="1" x14ac:dyDescent="0.25">
      <c r="B124" s="71" t="s">
        <v>1069</v>
      </c>
      <c r="C124" s="66"/>
      <c r="D124" s="66"/>
      <c r="E124" s="70"/>
      <c r="F124" s="70"/>
      <c r="G124" s="70"/>
      <c r="H124" s="64"/>
    </row>
    <row r="125" spans="2:8" s="7" customFormat="1" ht="15.6" customHeight="1" x14ac:dyDescent="0.25">
      <c r="B125" s="71" t="s">
        <v>1070</v>
      </c>
      <c r="C125" s="67">
        <v>27.919500000000003</v>
      </c>
      <c r="D125" s="67">
        <v>26.655100000000001</v>
      </c>
      <c r="E125" s="70"/>
      <c r="F125" s="70"/>
      <c r="G125" s="70"/>
      <c r="H125" s="64"/>
    </row>
    <row r="126" spans="2:8" s="7" customFormat="1" ht="15.6" customHeight="1" x14ac:dyDescent="0.25">
      <c r="B126" s="71" t="s">
        <v>1077</v>
      </c>
      <c r="C126" s="67">
        <v>21.996700000000001</v>
      </c>
      <c r="D126" s="67">
        <v>21.000599999999999</v>
      </c>
      <c r="E126" s="70"/>
      <c r="F126" s="70"/>
      <c r="G126" s="70"/>
      <c r="H126" s="64"/>
    </row>
    <row r="127" spans="2:8" s="7" customFormat="1" ht="15.6" customHeight="1" x14ac:dyDescent="0.25">
      <c r="B127" s="71" t="s">
        <v>1072</v>
      </c>
      <c r="C127" s="67">
        <v>20.796800000000005</v>
      </c>
      <c r="D127" s="67">
        <v>19.855</v>
      </c>
      <c r="E127" s="70"/>
      <c r="F127" s="70"/>
      <c r="G127" s="70"/>
      <c r="H127" s="64"/>
    </row>
    <row r="128" spans="2:8" s="7" customFormat="1" ht="15.6" customHeight="1" x14ac:dyDescent="0.25">
      <c r="B128" s="71" t="s">
        <v>1073</v>
      </c>
      <c r="C128" s="67">
        <v>31.776600000000002</v>
      </c>
      <c r="D128" s="67">
        <v>30.313199999999998</v>
      </c>
      <c r="E128" s="70"/>
      <c r="F128" s="70"/>
      <c r="G128" s="70"/>
      <c r="H128" s="64"/>
    </row>
    <row r="129" spans="2:8" s="7" customFormat="1" ht="15.6" customHeight="1" x14ac:dyDescent="0.25">
      <c r="B129" s="71" t="s">
        <v>1079</v>
      </c>
      <c r="C129" s="67">
        <v>21.462800000000001</v>
      </c>
      <c r="D129" s="67">
        <v>20.474399999999999</v>
      </c>
      <c r="E129" s="70"/>
      <c r="F129" s="70"/>
      <c r="G129" s="70"/>
      <c r="H129" s="64"/>
    </row>
    <row r="130" spans="2:8" s="7" customFormat="1" ht="15.6" customHeight="1" x14ac:dyDescent="0.25">
      <c r="B130" s="71" t="s">
        <v>1075</v>
      </c>
      <c r="C130" s="67">
        <v>17.701599999999999</v>
      </c>
      <c r="D130" s="67">
        <v>16.886399999999998</v>
      </c>
      <c r="E130" s="70"/>
      <c r="F130" s="70"/>
      <c r="G130" s="70"/>
      <c r="H130" s="64"/>
    </row>
    <row r="131" spans="2:8" s="7" customFormat="1" ht="15.6" customHeight="1" x14ac:dyDescent="0.25">
      <c r="B131" s="63" t="s">
        <v>1116</v>
      </c>
      <c r="C131" s="70"/>
      <c r="D131" s="70"/>
      <c r="E131" s="70"/>
      <c r="F131" s="70"/>
      <c r="G131" s="70"/>
      <c r="H131" s="64"/>
    </row>
    <row r="132" spans="2:8" s="7" customFormat="1" ht="15.6" customHeight="1" x14ac:dyDescent="0.25">
      <c r="B132" s="63" t="s">
        <v>1109</v>
      </c>
      <c r="C132" s="70"/>
      <c r="D132" s="70"/>
      <c r="E132" s="70"/>
      <c r="F132" s="70"/>
      <c r="G132" s="70"/>
      <c r="H132" s="64"/>
    </row>
    <row r="133" spans="2:8" s="7" customFormat="1" ht="15.6" customHeight="1" x14ac:dyDescent="0.25">
      <c r="B133" s="75" t="s">
        <v>1136</v>
      </c>
      <c r="C133" s="76"/>
      <c r="D133" s="76"/>
      <c r="E133" s="76"/>
      <c r="F133" s="76"/>
      <c r="G133" s="70"/>
      <c r="H133" s="64"/>
    </row>
    <row r="134" spans="2:8" s="7" customFormat="1" ht="15.6" customHeight="1" x14ac:dyDescent="0.25">
      <c r="B134" s="75" t="s">
        <v>1145</v>
      </c>
      <c r="C134" s="77"/>
      <c r="D134" s="77"/>
      <c r="E134" s="77"/>
      <c r="F134" s="77"/>
      <c r="G134" s="70"/>
      <c r="H134" s="64"/>
    </row>
    <row r="135" spans="2:8" s="7" customFormat="1" ht="30" customHeight="1" x14ac:dyDescent="0.25">
      <c r="B135" s="78" t="s">
        <v>1086</v>
      </c>
      <c r="C135" s="79" t="s">
        <v>1087</v>
      </c>
      <c r="D135" s="80" t="s">
        <v>1088</v>
      </c>
      <c r="E135" s="80" t="s">
        <v>1089</v>
      </c>
      <c r="F135" s="80" t="s">
        <v>1090</v>
      </c>
      <c r="G135" s="70"/>
      <c r="H135" s="64"/>
    </row>
    <row r="136" spans="2:8" s="7" customFormat="1" ht="15.6" customHeight="1" x14ac:dyDescent="0.25">
      <c r="B136" s="81" t="s">
        <v>738</v>
      </c>
      <c r="C136" s="79" t="s">
        <v>1091</v>
      </c>
      <c r="D136" s="82">
        <v>7280.625</v>
      </c>
      <c r="E136" s="82">
        <v>7267</v>
      </c>
      <c r="F136" s="82">
        <v>7.2706335000000006</v>
      </c>
      <c r="G136" s="70"/>
      <c r="H136" s="64"/>
    </row>
    <row r="137" spans="2:8" s="7" customFormat="1" ht="15.6" customHeight="1" x14ac:dyDescent="0.25">
      <c r="B137" s="81" t="s">
        <v>736</v>
      </c>
      <c r="C137" s="79" t="s">
        <v>1091</v>
      </c>
      <c r="D137" s="82">
        <v>167.4238</v>
      </c>
      <c r="E137" s="82">
        <v>162.44999999999999</v>
      </c>
      <c r="F137" s="82">
        <v>14.503536</v>
      </c>
      <c r="G137" s="70"/>
      <c r="H137" s="64"/>
    </row>
    <row r="138" spans="2:8" s="7" customFormat="1" ht="15.6" customHeight="1" x14ac:dyDescent="0.25">
      <c r="B138" s="81" t="s">
        <v>225</v>
      </c>
      <c r="C138" s="79" t="s">
        <v>1091</v>
      </c>
      <c r="D138" s="82">
        <v>915.31</v>
      </c>
      <c r="E138" s="82">
        <v>942.35</v>
      </c>
      <c r="F138" s="82">
        <v>6.7849199999999996</v>
      </c>
      <c r="G138" s="70"/>
      <c r="H138" s="64"/>
    </row>
    <row r="139" spans="2:8" s="7" customFormat="1" ht="15.6" customHeight="1" x14ac:dyDescent="0.25">
      <c r="B139" s="81" t="s">
        <v>239</v>
      </c>
      <c r="C139" s="79" t="s">
        <v>1091</v>
      </c>
      <c r="D139" s="82">
        <v>271.42899999999997</v>
      </c>
      <c r="E139" s="82">
        <v>265.10000000000002</v>
      </c>
      <c r="F139" s="82">
        <v>15.260216400000001</v>
      </c>
      <c r="G139" s="70"/>
      <c r="H139" s="64"/>
    </row>
    <row r="140" spans="2:8" s="7" customFormat="1" ht="15.6" customHeight="1" x14ac:dyDescent="0.25">
      <c r="B140" s="81" t="s">
        <v>680</v>
      </c>
      <c r="C140" s="79" t="s">
        <v>1091</v>
      </c>
      <c r="D140" s="82">
        <v>1306.3</v>
      </c>
      <c r="E140" s="82">
        <v>1315.2</v>
      </c>
      <c r="F140" s="82">
        <v>6.9679296000000006</v>
      </c>
      <c r="G140" s="70"/>
      <c r="H140" s="64"/>
    </row>
    <row r="141" spans="2:8" s="7" customFormat="1" ht="15.6" customHeight="1" x14ac:dyDescent="0.25">
      <c r="B141" s="81" t="s">
        <v>630</v>
      </c>
      <c r="C141" s="79" t="s">
        <v>1091</v>
      </c>
      <c r="D141" s="82">
        <v>4990.1666999999998</v>
      </c>
      <c r="E141" s="82">
        <v>5124</v>
      </c>
      <c r="F141" s="82">
        <v>8.4161699999999993</v>
      </c>
      <c r="G141" s="70"/>
      <c r="H141" s="64"/>
    </row>
    <row r="142" spans="2:8" s="7" customFormat="1" ht="15.6" customHeight="1" x14ac:dyDescent="0.25">
      <c r="B142" s="81" t="s">
        <v>324</v>
      </c>
      <c r="C142" s="79" t="s">
        <v>1091</v>
      </c>
      <c r="D142" s="82">
        <v>1048.9749999999999</v>
      </c>
      <c r="E142" s="82">
        <v>1042.3</v>
      </c>
      <c r="F142" s="82">
        <v>11.428611039999998</v>
      </c>
      <c r="G142" s="70"/>
      <c r="H142" s="64"/>
    </row>
    <row r="143" spans="2:8" s="7" customFormat="1" ht="15.6" customHeight="1" x14ac:dyDescent="0.25">
      <c r="B143" s="81" t="s">
        <v>191</v>
      </c>
      <c r="C143" s="79" t="s">
        <v>1091</v>
      </c>
      <c r="D143" s="82">
        <v>1337.25</v>
      </c>
      <c r="E143" s="82">
        <v>1270.7</v>
      </c>
      <c r="F143" s="82">
        <v>6.2762414399999997</v>
      </c>
      <c r="G143" s="70"/>
      <c r="H143" s="64"/>
    </row>
    <row r="144" spans="2:8" s="7" customFormat="1" ht="15.6" customHeight="1" x14ac:dyDescent="0.25">
      <c r="B144" s="81" t="s">
        <v>180</v>
      </c>
      <c r="C144" s="79" t="s">
        <v>1091</v>
      </c>
      <c r="D144" s="82">
        <v>1150.0889</v>
      </c>
      <c r="E144" s="82">
        <v>1187.4000000000001</v>
      </c>
      <c r="F144" s="82">
        <v>7.6430563199999995</v>
      </c>
      <c r="G144" s="70"/>
      <c r="H144" s="64"/>
    </row>
    <row r="145" spans="2:8" s="7" customFormat="1" ht="15.6" customHeight="1" x14ac:dyDescent="0.25">
      <c r="B145" s="81" t="s">
        <v>722</v>
      </c>
      <c r="C145" s="79" t="s">
        <v>1091</v>
      </c>
      <c r="D145" s="82">
        <v>479.53</v>
      </c>
      <c r="E145" s="82">
        <v>477</v>
      </c>
      <c r="F145" s="82">
        <v>6.1234875000000004</v>
      </c>
      <c r="G145" s="70"/>
      <c r="H145" s="64"/>
    </row>
    <row r="146" spans="2:8" s="7" customFormat="1" ht="15.6" customHeight="1" x14ac:dyDescent="0.25">
      <c r="B146" s="81" t="s">
        <v>269</v>
      </c>
      <c r="C146" s="79" t="s">
        <v>1091</v>
      </c>
      <c r="D146" s="82">
        <v>250.79</v>
      </c>
      <c r="E146" s="82">
        <v>273.17</v>
      </c>
      <c r="F146" s="82">
        <v>6.7698082079999997</v>
      </c>
      <c r="G146" s="70"/>
      <c r="H146" s="64"/>
    </row>
    <row r="147" spans="2:8" s="7" customFormat="1" ht="15.6" customHeight="1" x14ac:dyDescent="0.25">
      <c r="B147" s="81" t="s">
        <v>258</v>
      </c>
      <c r="C147" s="79" t="s">
        <v>1091</v>
      </c>
      <c r="D147" s="82">
        <v>7143.7</v>
      </c>
      <c r="E147" s="82">
        <v>7149</v>
      </c>
      <c r="F147" s="82">
        <v>6.5341860000000009</v>
      </c>
      <c r="G147" s="70"/>
      <c r="H147" s="64"/>
    </row>
    <row r="148" spans="2:8" s="7" customFormat="1" ht="15.6" customHeight="1" x14ac:dyDescent="0.25">
      <c r="B148" s="81" t="s">
        <v>613</v>
      </c>
      <c r="C148" s="79" t="s">
        <v>1091</v>
      </c>
      <c r="D148" s="82">
        <v>2729.44</v>
      </c>
      <c r="E148" s="82">
        <v>2729.7</v>
      </c>
      <c r="F148" s="82">
        <v>8.4880021499999998</v>
      </c>
      <c r="G148" s="70"/>
      <c r="H148" s="64"/>
    </row>
    <row r="149" spans="2:8" s="7" customFormat="1" ht="15.6" customHeight="1" x14ac:dyDescent="0.25">
      <c r="B149" s="81" t="s">
        <v>171</v>
      </c>
      <c r="C149" s="79" t="s">
        <v>1091</v>
      </c>
      <c r="D149" s="82">
        <v>786.60500000000002</v>
      </c>
      <c r="E149" s="82">
        <v>776.1</v>
      </c>
      <c r="F149" s="82">
        <v>7.5297222000000001</v>
      </c>
      <c r="G149" s="70"/>
      <c r="H149" s="64"/>
    </row>
    <row r="150" spans="2:8" s="7" customFormat="1" ht="15.6" customHeight="1" x14ac:dyDescent="0.25">
      <c r="B150" s="81" t="s">
        <v>283</v>
      </c>
      <c r="C150" s="79" t="s">
        <v>1091</v>
      </c>
      <c r="D150" s="82">
        <v>593.48</v>
      </c>
      <c r="E150" s="82">
        <v>590</v>
      </c>
      <c r="F150" s="82">
        <v>5.7274250000000002</v>
      </c>
      <c r="G150" s="70"/>
      <c r="H150" s="64"/>
    </row>
    <row r="151" spans="2:8" s="7" customFormat="1" ht="15.6" customHeight="1" x14ac:dyDescent="0.25">
      <c r="B151" s="81" t="s">
        <v>704</v>
      </c>
      <c r="C151" s="79" t="s">
        <v>1091</v>
      </c>
      <c r="D151" s="82">
        <v>2022.42</v>
      </c>
      <c r="E151" s="82">
        <v>1916.3</v>
      </c>
      <c r="F151" s="82">
        <v>6.5594948999999998</v>
      </c>
      <c r="G151" s="70"/>
      <c r="H151" s="64"/>
    </row>
    <row r="152" spans="2:8" s="7" customFormat="1" ht="15.6" customHeight="1" x14ac:dyDescent="0.25">
      <c r="B152" s="81" t="s">
        <v>746</v>
      </c>
      <c r="C152" s="79" t="s">
        <v>1091</v>
      </c>
      <c r="D152" s="82">
        <v>2924.5250000000001</v>
      </c>
      <c r="E152" s="82">
        <v>2965.4</v>
      </c>
      <c r="F152" s="82">
        <v>5.4800592000000004</v>
      </c>
      <c r="G152" s="70"/>
      <c r="H152" s="64"/>
    </row>
    <row r="153" spans="2:8" s="7" customFormat="1" ht="15.6" customHeight="1" x14ac:dyDescent="0.25">
      <c r="B153" s="81" t="s">
        <v>241</v>
      </c>
      <c r="C153" s="79" t="s">
        <v>1091</v>
      </c>
      <c r="D153" s="82">
        <v>255.916</v>
      </c>
      <c r="E153" s="82">
        <v>248.46</v>
      </c>
      <c r="F153" s="82">
        <v>14.261541885000002</v>
      </c>
      <c r="G153" s="70"/>
      <c r="H153" s="64"/>
    </row>
    <row r="154" spans="2:8" s="7" customFormat="1" ht="15.6" customHeight="1" x14ac:dyDescent="0.25">
      <c r="B154" s="81" t="s">
        <v>220</v>
      </c>
      <c r="C154" s="79" t="s">
        <v>1091</v>
      </c>
      <c r="D154" s="82">
        <v>372.15</v>
      </c>
      <c r="E154" s="82">
        <v>385.9</v>
      </c>
      <c r="F154" s="82">
        <v>8.1641003999999988</v>
      </c>
      <c r="G154" s="70"/>
      <c r="H154" s="64"/>
    </row>
    <row r="155" spans="2:8" s="7" customFormat="1" ht="15.6" customHeight="1" x14ac:dyDescent="0.25">
      <c r="B155" s="81" t="s">
        <v>232</v>
      </c>
      <c r="C155" s="79" t="s">
        <v>1091</v>
      </c>
      <c r="D155" s="82">
        <v>13047.8333</v>
      </c>
      <c r="E155" s="82">
        <v>13386</v>
      </c>
      <c r="F155" s="82">
        <v>7.0878869999999994</v>
      </c>
      <c r="G155" s="70"/>
      <c r="H155" s="64"/>
    </row>
    <row r="156" spans="2:8" s="7" customFormat="1" ht="15.6" customHeight="1" x14ac:dyDescent="0.25">
      <c r="B156" s="81" t="s">
        <v>740</v>
      </c>
      <c r="C156" s="79" t="s">
        <v>1091</v>
      </c>
      <c r="D156" s="82">
        <v>1397.9</v>
      </c>
      <c r="E156" s="82">
        <v>1333.6</v>
      </c>
      <c r="F156" s="82">
        <v>5.6459289599999991</v>
      </c>
      <c r="G156" s="70"/>
      <c r="H156" s="64"/>
    </row>
    <row r="157" spans="2:8" s="7" customFormat="1" ht="15.6" customHeight="1" x14ac:dyDescent="0.25">
      <c r="B157" s="81" t="s">
        <v>734</v>
      </c>
      <c r="C157" s="79" t="s">
        <v>1091</v>
      </c>
      <c r="D157" s="82">
        <v>438.82499999999999</v>
      </c>
      <c r="E157" s="82">
        <v>398.45</v>
      </c>
      <c r="F157" s="82">
        <v>24.008604750000007</v>
      </c>
      <c r="G157" s="70"/>
      <c r="H157" s="64"/>
    </row>
    <row r="158" spans="2:8" s="7" customFormat="1" ht="15.6" customHeight="1" x14ac:dyDescent="0.25">
      <c r="B158" s="81" t="s">
        <v>706</v>
      </c>
      <c r="C158" s="79" t="s">
        <v>1091</v>
      </c>
      <c r="D158" s="82">
        <v>4704.5833000000002</v>
      </c>
      <c r="E158" s="82">
        <v>4822.2</v>
      </c>
      <c r="F158" s="82">
        <v>6.249571200000001</v>
      </c>
      <c r="G158" s="70"/>
      <c r="H158" s="64"/>
    </row>
    <row r="159" spans="2:8" s="7" customFormat="1" ht="15.6" customHeight="1" x14ac:dyDescent="0.25">
      <c r="B159" s="81" t="s">
        <v>236</v>
      </c>
      <c r="C159" s="79" t="s">
        <v>1091</v>
      </c>
      <c r="D159" s="82">
        <v>1628.4833000000001</v>
      </c>
      <c r="E159" s="82">
        <v>1815</v>
      </c>
      <c r="F159" s="82">
        <v>6.7349205000000003</v>
      </c>
      <c r="G159" s="70"/>
      <c r="H159" s="64"/>
    </row>
    <row r="160" spans="2:8" s="7" customFormat="1" ht="15.6" customHeight="1" x14ac:dyDescent="0.25">
      <c r="B160" s="81" t="s">
        <v>227</v>
      </c>
      <c r="C160" s="79" t="s">
        <v>1091</v>
      </c>
      <c r="D160" s="82">
        <v>211.3767</v>
      </c>
      <c r="E160" s="82">
        <v>212.06</v>
      </c>
      <c r="F160" s="82">
        <v>20.290643009999997</v>
      </c>
      <c r="G160" s="70"/>
      <c r="H160" s="64"/>
    </row>
    <row r="161" spans="2:8" s="7" customFormat="1" ht="15.6" customHeight="1" x14ac:dyDescent="0.25">
      <c r="B161" s="81" t="s">
        <v>314</v>
      </c>
      <c r="C161" s="79" t="s">
        <v>1091</v>
      </c>
      <c r="D161" s="82">
        <v>2383.4499999999998</v>
      </c>
      <c r="E161" s="82">
        <v>2440.6</v>
      </c>
      <c r="F161" s="82">
        <v>9.1844659200000009</v>
      </c>
      <c r="G161" s="70"/>
      <c r="H161" s="64"/>
    </row>
    <row r="162" spans="2:8" s="7" customFormat="1" ht="15.6" customHeight="1" x14ac:dyDescent="0.25">
      <c r="B162" s="81" t="s">
        <v>262</v>
      </c>
      <c r="C162" s="79" t="s">
        <v>1091</v>
      </c>
      <c r="D162" s="82">
        <v>4177.8</v>
      </c>
      <c r="E162" s="82">
        <v>4166.3999999999996</v>
      </c>
      <c r="F162" s="82">
        <v>9.6118848000000003</v>
      </c>
      <c r="G162" s="70"/>
      <c r="H162" s="64"/>
    </row>
    <row r="163" spans="2:8" s="7" customFormat="1" ht="15.6" customHeight="1" x14ac:dyDescent="0.25">
      <c r="B163" s="81" t="s">
        <v>329</v>
      </c>
      <c r="C163" s="79" t="s">
        <v>1091</v>
      </c>
      <c r="D163" s="82">
        <v>12116.8</v>
      </c>
      <c r="E163" s="82">
        <v>11655</v>
      </c>
      <c r="F163" s="82">
        <v>10.27971</v>
      </c>
      <c r="G163" s="70"/>
      <c r="H163" s="64"/>
    </row>
    <row r="164" spans="2:8" s="7" customFormat="1" ht="15.6" customHeight="1" x14ac:dyDescent="0.25">
      <c r="B164" s="75" t="s">
        <v>1150</v>
      </c>
      <c r="C164" s="77"/>
      <c r="D164" s="77"/>
      <c r="E164" s="77"/>
      <c r="F164" s="83"/>
      <c r="G164" s="83"/>
      <c r="H164" s="64"/>
    </row>
    <row r="165" spans="2:8" s="7" customFormat="1" ht="15.6" customHeight="1" x14ac:dyDescent="0.25">
      <c r="B165" s="75" t="s">
        <v>1151</v>
      </c>
      <c r="C165" s="77"/>
      <c r="D165" s="77"/>
      <c r="E165" s="83"/>
      <c r="F165" s="77"/>
      <c r="G165" s="70"/>
      <c r="H165" s="64"/>
    </row>
    <row r="166" spans="2:8" s="7" customFormat="1" ht="15.6" customHeight="1" x14ac:dyDescent="0.25">
      <c r="B166" s="79" t="s">
        <v>1092</v>
      </c>
      <c r="C166" s="84">
        <v>29</v>
      </c>
      <c r="D166" s="77"/>
      <c r="E166" s="83"/>
      <c r="F166" s="77"/>
      <c r="G166" s="70"/>
      <c r="H166" s="64"/>
    </row>
    <row r="167" spans="2:8" s="7" customFormat="1" ht="15.6" customHeight="1" x14ac:dyDescent="0.25">
      <c r="B167" s="79" t="s">
        <v>1093</v>
      </c>
      <c r="C167" s="84">
        <v>28</v>
      </c>
      <c r="D167" s="77"/>
      <c r="E167" s="83"/>
      <c r="F167" s="77"/>
      <c r="G167" s="70"/>
      <c r="H167" s="64"/>
    </row>
    <row r="168" spans="2:8" s="7" customFormat="1" ht="15.6" customHeight="1" x14ac:dyDescent="0.25">
      <c r="B168" s="79" t="s">
        <v>1094</v>
      </c>
      <c r="C168" s="85">
        <v>1339.0199037</v>
      </c>
      <c r="D168" s="83"/>
      <c r="E168" s="77"/>
      <c r="F168" s="83"/>
      <c r="G168" s="70"/>
      <c r="H168" s="64"/>
    </row>
    <row r="169" spans="2:8" s="7" customFormat="1" ht="15.6" customHeight="1" x14ac:dyDescent="0.25">
      <c r="B169" s="79" t="s">
        <v>1095</v>
      </c>
      <c r="C169" s="85">
        <v>1309.6710208999998</v>
      </c>
      <c r="D169" s="83"/>
      <c r="E169" s="77"/>
      <c r="F169" s="83"/>
      <c r="G169" s="70"/>
      <c r="H169" s="64"/>
    </row>
    <row r="170" spans="2:8" s="7" customFormat="1" ht="15.6" customHeight="1" x14ac:dyDescent="0.25">
      <c r="B170" s="79" t="s">
        <v>1096</v>
      </c>
      <c r="C170" s="85">
        <v>-78.775802199999987</v>
      </c>
      <c r="D170" s="83"/>
      <c r="E170" s="83"/>
      <c r="F170" s="83"/>
      <c r="G170" s="70"/>
      <c r="H170" s="64"/>
    </row>
    <row r="171" spans="2:8" s="7" customFormat="1" ht="15.6" customHeight="1" x14ac:dyDescent="0.25">
      <c r="B171" s="75" t="s">
        <v>1138</v>
      </c>
      <c r="C171" s="77"/>
      <c r="D171" s="77"/>
      <c r="E171" s="77"/>
      <c r="F171" s="77"/>
      <c r="G171" s="70"/>
      <c r="H171" s="64"/>
    </row>
    <row r="172" spans="2:8" s="7" customFormat="1" ht="15.6" customHeight="1" x14ac:dyDescent="0.25">
      <c r="B172" s="75" t="s">
        <v>1139</v>
      </c>
      <c r="C172" s="77"/>
      <c r="D172" s="77"/>
      <c r="E172" s="77"/>
      <c r="F172" s="77"/>
      <c r="G172" s="70"/>
      <c r="H172" s="64"/>
    </row>
    <row r="173" spans="2:8" s="7" customFormat="1" ht="15.6" customHeight="1" x14ac:dyDescent="0.25">
      <c r="B173" s="75" t="s">
        <v>1140</v>
      </c>
      <c r="C173" s="77"/>
      <c r="D173" s="77"/>
      <c r="E173" s="77"/>
      <c r="F173" s="77"/>
      <c r="G173" s="70"/>
      <c r="H173" s="64"/>
    </row>
    <row r="174" spans="2:8" s="7" customFormat="1" ht="15.6" customHeight="1" x14ac:dyDescent="0.25">
      <c r="B174" s="75" t="s">
        <v>1141</v>
      </c>
      <c r="C174" s="77"/>
      <c r="D174" s="77"/>
      <c r="E174" s="77"/>
      <c r="F174" s="77"/>
      <c r="G174" s="70"/>
      <c r="H174" s="64"/>
    </row>
    <row r="175" spans="2:8" s="7" customFormat="1" ht="15.6" customHeight="1" x14ac:dyDescent="0.25">
      <c r="B175" s="75" t="s">
        <v>1142</v>
      </c>
      <c r="C175" s="77"/>
      <c r="D175" s="77"/>
      <c r="E175" s="77"/>
      <c r="F175" s="77"/>
      <c r="G175" s="70"/>
      <c r="H175" s="64"/>
    </row>
    <row r="176" spans="2:8" s="7" customFormat="1" ht="15.6" customHeight="1" x14ac:dyDescent="0.25">
      <c r="B176" s="75" t="s">
        <v>1143</v>
      </c>
      <c r="C176" s="77"/>
      <c r="D176" s="77"/>
      <c r="E176" s="77"/>
      <c r="F176" s="77"/>
      <c r="G176" s="70"/>
      <c r="H176" s="64"/>
    </row>
    <row r="177" spans="2:8" s="7" customFormat="1" ht="15.6" customHeight="1" x14ac:dyDescent="0.25">
      <c r="B177" s="75" t="s">
        <v>1144</v>
      </c>
      <c r="C177" s="70"/>
      <c r="D177" s="70"/>
      <c r="E177" s="70"/>
      <c r="F177" s="70"/>
      <c r="G177" s="70"/>
      <c r="H177" s="64"/>
    </row>
    <row r="178" spans="2:8" s="7" customFormat="1" ht="15.6" customHeight="1" x14ac:dyDescent="0.25">
      <c r="B178" s="63" t="s">
        <v>1112</v>
      </c>
      <c r="C178" s="70"/>
      <c r="D178" s="70"/>
      <c r="E178" s="70"/>
      <c r="F178" s="70"/>
      <c r="G178" s="70"/>
      <c r="H178" s="64"/>
    </row>
    <row r="179" spans="2:8" s="7" customFormat="1" ht="15.6" customHeight="1" x14ac:dyDescent="0.25">
      <c r="B179" s="63" t="s">
        <v>1123</v>
      </c>
      <c r="C179" s="70"/>
      <c r="D179" s="70"/>
      <c r="E179" s="70"/>
      <c r="F179" s="70"/>
      <c r="G179" s="70"/>
      <c r="H179" s="64"/>
    </row>
    <row r="180" spans="2:8" s="7" customFormat="1" ht="15.6" customHeight="1" x14ac:dyDescent="0.25">
      <c r="B180" s="63" t="s">
        <v>1113</v>
      </c>
      <c r="C180" s="70"/>
      <c r="D180" s="70"/>
      <c r="E180" s="70"/>
      <c r="F180" s="70"/>
      <c r="G180" s="70"/>
      <c r="H180" s="64"/>
    </row>
    <row r="181" spans="2:8" s="7" customFormat="1" ht="15.6" customHeight="1" x14ac:dyDescent="0.25">
      <c r="B181" s="68" t="s">
        <v>1076</v>
      </c>
      <c r="C181" s="72"/>
      <c r="D181" s="72"/>
      <c r="E181" s="72"/>
      <c r="F181" s="72"/>
      <c r="G181" s="72"/>
      <c r="H181" s="69"/>
    </row>
    <row r="182" spans="2:8" ht="15.75" customHeight="1" thickBot="1" x14ac:dyDescent="0.25"/>
    <row r="183" spans="2:8" ht="39.75" customHeight="1" thickBot="1" x14ac:dyDescent="0.3">
      <c r="B183" s="46" t="s">
        <v>146</v>
      </c>
      <c r="C183" s="47" t="s">
        <v>147</v>
      </c>
      <c r="D183" s="47" t="s">
        <v>148</v>
      </c>
      <c r="E183"/>
    </row>
    <row r="184" spans="2:8" ht="39.75" customHeight="1" x14ac:dyDescent="0.25">
      <c r="B184" s="52" t="s">
        <v>752</v>
      </c>
      <c r="C184" s="109"/>
      <c r="D184" s="52" t="s">
        <v>753</v>
      </c>
      <c r="E184"/>
    </row>
    <row r="185" spans="2:8" ht="39.75" customHeight="1" x14ac:dyDescent="0.25">
      <c r="B185" s="112" t="s">
        <v>754</v>
      </c>
      <c r="C185" s="110"/>
      <c r="D185" s="114"/>
      <c r="E185"/>
    </row>
    <row r="186" spans="2:8" ht="39.75" customHeight="1" x14ac:dyDescent="0.25">
      <c r="B186" s="112"/>
      <c r="C186" s="110"/>
      <c r="D186" s="114"/>
      <c r="E186"/>
    </row>
    <row r="187" spans="2:8" ht="39.75" customHeight="1" x14ac:dyDescent="0.25">
      <c r="B187" s="112"/>
      <c r="C187" s="110"/>
      <c r="D187" s="114"/>
      <c r="E187"/>
    </row>
    <row r="188" spans="2:8" ht="39.75" customHeight="1" thickBot="1" x14ac:dyDescent="0.3">
      <c r="B188" s="113"/>
      <c r="C188" s="111"/>
      <c r="D188" s="114"/>
      <c r="E188"/>
    </row>
    <row r="189" spans="2:8" ht="15.75" customHeight="1" x14ac:dyDescent="0.2">
      <c r="B189" s="9" t="s">
        <v>149</v>
      </c>
    </row>
    <row r="190" spans="2:8" ht="15.75" customHeight="1" x14ac:dyDescent="0.2">
      <c r="B190" s="9" t="s">
        <v>150</v>
      </c>
    </row>
    <row r="191" spans="2:8" ht="15.75" customHeight="1" x14ac:dyDescent="0.2">
      <c r="B191" s="9" t="s">
        <v>151</v>
      </c>
    </row>
  </sheetData>
  <mergeCells count="3">
    <mergeCell ref="C184:C188"/>
    <mergeCell ref="B185:B188"/>
    <mergeCell ref="D185:D188"/>
  </mergeCells>
  <hyperlinks>
    <hyperlink ref="G1" location="'Sheet1'!A1" display="Index" xr:uid="{C4D5F860-707D-4BA8-8750-E1D5A70832E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95468-C5C5-460D-B702-32C3CBC02AAF}">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191</v>
      </c>
      <c r="C7" s="28" t="s">
        <v>192</v>
      </c>
      <c r="D7" s="28" t="s">
        <v>173</v>
      </c>
      <c r="E7" s="29">
        <v>504330</v>
      </c>
      <c r="F7" s="30">
        <v>6371.71</v>
      </c>
      <c r="G7" s="31">
        <v>6.5500000000000003E-2</v>
      </c>
      <c r="H7" s="32"/>
    </row>
    <row r="8" spans="2:8" ht="15.75" customHeight="1" x14ac:dyDescent="0.2">
      <c r="B8" s="28" t="s">
        <v>183</v>
      </c>
      <c r="C8" s="28" t="s">
        <v>184</v>
      </c>
      <c r="D8" s="28" t="s">
        <v>173</v>
      </c>
      <c r="E8" s="29">
        <v>312457</v>
      </c>
      <c r="F8" s="30">
        <v>3962.89</v>
      </c>
      <c r="G8" s="31">
        <v>4.07E-2</v>
      </c>
      <c r="H8" s="32"/>
    </row>
    <row r="9" spans="2:8" ht="15.75" customHeight="1" x14ac:dyDescent="0.2">
      <c r="B9" s="28" t="s">
        <v>214</v>
      </c>
      <c r="C9" s="28" t="s">
        <v>215</v>
      </c>
      <c r="D9" s="28" t="s">
        <v>216</v>
      </c>
      <c r="E9" s="29">
        <v>193768</v>
      </c>
      <c r="F9" s="30">
        <v>3656.01</v>
      </c>
      <c r="G9" s="31">
        <v>3.7600000000000001E-2</v>
      </c>
      <c r="H9" s="32"/>
    </row>
    <row r="10" spans="2:8" ht="15.75" customHeight="1" x14ac:dyDescent="0.2">
      <c r="B10" s="28" t="s">
        <v>678</v>
      </c>
      <c r="C10" s="28" t="s">
        <v>679</v>
      </c>
      <c r="D10" s="28" t="s">
        <v>345</v>
      </c>
      <c r="E10" s="29">
        <v>50745</v>
      </c>
      <c r="F10" s="30">
        <v>3461.32</v>
      </c>
      <c r="G10" s="31">
        <v>3.56E-2</v>
      </c>
      <c r="H10" s="32"/>
    </row>
    <row r="11" spans="2:8" ht="15.75" customHeight="1" x14ac:dyDescent="0.2">
      <c r="B11" s="28" t="s">
        <v>212</v>
      </c>
      <c r="C11" s="28" t="s">
        <v>213</v>
      </c>
      <c r="D11" s="28" t="s">
        <v>173</v>
      </c>
      <c r="E11" s="29">
        <v>320512</v>
      </c>
      <c r="F11" s="30">
        <v>3424.51</v>
      </c>
      <c r="G11" s="31">
        <v>3.5200000000000002E-2</v>
      </c>
      <c r="H11" s="32"/>
    </row>
    <row r="12" spans="2:8" ht="15.75" customHeight="1" x14ac:dyDescent="0.2">
      <c r="B12" s="28" t="s">
        <v>316</v>
      </c>
      <c r="C12" s="28" t="s">
        <v>317</v>
      </c>
      <c r="D12" s="28" t="s">
        <v>318</v>
      </c>
      <c r="E12" s="29">
        <v>83902</v>
      </c>
      <c r="F12" s="30">
        <v>3367.83</v>
      </c>
      <c r="G12" s="31">
        <v>3.4599999999999999E-2</v>
      </c>
      <c r="H12" s="32"/>
    </row>
    <row r="13" spans="2:8" ht="15.75" customHeight="1" x14ac:dyDescent="0.2">
      <c r="B13" s="28" t="s">
        <v>393</v>
      </c>
      <c r="C13" s="28" t="s">
        <v>394</v>
      </c>
      <c r="D13" s="28" t="s">
        <v>395</v>
      </c>
      <c r="E13" s="29">
        <v>39563</v>
      </c>
      <c r="F13" s="30">
        <v>3021.23</v>
      </c>
      <c r="G13" s="31">
        <v>3.1E-2</v>
      </c>
      <c r="H13" s="32"/>
    </row>
    <row r="14" spans="2:8" ht="15.75" customHeight="1" x14ac:dyDescent="0.2">
      <c r="B14" s="28" t="s">
        <v>232</v>
      </c>
      <c r="C14" s="28" t="s">
        <v>233</v>
      </c>
      <c r="D14" s="28" t="s">
        <v>195</v>
      </c>
      <c r="E14" s="29">
        <v>21918</v>
      </c>
      <c r="F14" s="30">
        <v>2918.16</v>
      </c>
      <c r="G14" s="31">
        <v>0.03</v>
      </c>
      <c r="H14" s="32"/>
    </row>
    <row r="15" spans="2:8" ht="15.75" customHeight="1" x14ac:dyDescent="0.2">
      <c r="B15" s="28" t="s">
        <v>384</v>
      </c>
      <c r="C15" s="28" t="s">
        <v>385</v>
      </c>
      <c r="D15" s="28" t="s">
        <v>238</v>
      </c>
      <c r="E15" s="29">
        <v>67225</v>
      </c>
      <c r="F15" s="30">
        <v>2813.43</v>
      </c>
      <c r="G15" s="31">
        <v>2.8899999999999999E-2</v>
      </c>
      <c r="H15" s="32"/>
    </row>
    <row r="16" spans="2:8" ht="15.75" customHeight="1" x14ac:dyDescent="0.2">
      <c r="B16" s="28" t="s">
        <v>520</v>
      </c>
      <c r="C16" s="28" t="s">
        <v>521</v>
      </c>
      <c r="D16" s="28" t="s">
        <v>173</v>
      </c>
      <c r="E16" s="29">
        <v>4918686</v>
      </c>
      <c r="F16" s="30">
        <v>2797.75</v>
      </c>
      <c r="G16" s="31">
        <v>2.87E-2</v>
      </c>
      <c r="H16" s="32"/>
    </row>
    <row r="17" spans="2:8" ht="15.75" customHeight="1" x14ac:dyDescent="0.2">
      <c r="B17" s="28" t="s">
        <v>356</v>
      </c>
      <c r="C17" s="28" t="s">
        <v>357</v>
      </c>
      <c r="D17" s="28" t="s">
        <v>287</v>
      </c>
      <c r="E17" s="29">
        <v>65075</v>
      </c>
      <c r="F17" s="30">
        <v>2795.17</v>
      </c>
      <c r="G17" s="31">
        <v>2.87E-2</v>
      </c>
      <c r="H17" s="32"/>
    </row>
    <row r="18" spans="2:8" ht="15.75" customHeight="1" x14ac:dyDescent="0.2">
      <c r="B18" s="28" t="s">
        <v>398</v>
      </c>
      <c r="C18" s="28" t="s">
        <v>399</v>
      </c>
      <c r="D18" s="28" t="s">
        <v>331</v>
      </c>
      <c r="E18" s="29">
        <v>51500</v>
      </c>
      <c r="F18" s="30">
        <v>2722.81</v>
      </c>
      <c r="G18" s="31">
        <v>2.8000000000000001E-2</v>
      </c>
      <c r="H18" s="32"/>
    </row>
    <row r="19" spans="2:8" ht="15.75" customHeight="1" x14ac:dyDescent="0.2">
      <c r="B19" s="28" t="s">
        <v>236</v>
      </c>
      <c r="C19" s="28" t="s">
        <v>237</v>
      </c>
      <c r="D19" s="28" t="s">
        <v>238</v>
      </c>
      <c r="E19" s="29">
        <v>145000</v>
      </c>
      <c r="F19" s="30">
        <v>2622.04</v>
      </c>
      <c r="G19" s="31">
        <v>2.69E-2</v>
      </c>
      <c r="H19" s="32"/>
    </row>
    <row r="20" spans="2:8" ht="15.75" customHeight="1" x14ac:dyDescent="0.2">
      <c r="B20" s="28" t="s">
        <v>275</v>
      </c>
      <c r="C20" s="28" t="s">
        <v>276</v>
      </c>
      <c r="D20" s="28" t="s">
        <v>277</v>
      </c>
      <c r="E20" s="29">
        <v>161750</v>
      </c>
      <c r="F20" s="30">
        <v>2564.87</v>
      </c>
      <c r="G20" s="31">
        <v>2.64E-2</v>
      </c>
      <c r="H20" s="32"/>
    </row>
    <row r="21" spans="2:8" ht="15.75" customHeight="1" x14ac:dyDescent="0.2">
      <c r="B21" s="28" t="s">
        <v>551</v>
      </c>
      <c r="C21" s="28" t="s">
        <v>552</v>
      </c>
      <c r="D21" s="28" t="s">
        <v>268</v>
      </c>
      <c r="E21" s="29">
        <v>7500</v>
      </c>
      <c r="F21" s="30">
        <v>2516.25</v>
      </c>
      <c r="G21" s="31">
        <v>2.5899999999999999E-2</v>
      </c>
      <c r="H21" s="32"/>
    </row>
    <row r="22" spans="2:8" ht="15.75" customHeight="1" x14ac:dyDescent="0.2">
      <c r="B22" s="28" t="s">
        <v>755</v>
      </c>
      <c r="C22" s="28" t="s">
        <v>756</v>
      </c>
      <c r="D22" s="28" t="s">
        <v>248</v>
      </c>
      <c r="E22" s="29">
        <v>130250</v>
      </c>
      <c r="F22" s="30">
        <v>2298.91</v>
      </c>
      <c r="G22" s="31">
        <v>2.3599999999999999E-2</v>
      </c>
      <c r="H22" s="32"/>
    </row>
    <row r="23" spans="2:8" ht="15.75" customHeight="1" x14ac:dyDescent="0.2">
      <c r="B23" s="28" t="s">
        <v>757</v>
      </c>
      <c r="C23" s="28" t="s">
        <v>758</v>
      </c>
      <c r="D23" s="28" t="s">
        <v>641</v>
      </c>
      <c r="E23" s="29">
        <v>227444</v>
      </c>
      <c r="F23" s="30">
        <v>2181.0700000000002</v>
      </c>
      <c r="G23" s="31">
        <v>2.24E-2</v>
      </c>
      <c r="H23" s="32"/>
    </row>
    <row r="24" spans="2:8" ht="15.75" customHeight="1" x14ac:dyDescent="0.2">
      <c r="B24" s="28" t="s">
        <v>468</v>
      </c>
      <c r="C24" s="28" t="s">
        <v>469</v>
      </c>
      <c r="D24" s="28" t="s">
        <v>470</v>
      </c>
      <c r="E24" s="29">
        <v>1334772</v>
      </c>
      <c r="F24" s="30">
        <v>2143.2399999999998</v>
      </c>
      <c r="G24" s="31">
        <v>2.1999999999999999E-2</v>
      </c>
      <c r="H24" s="32"/>
    </row>
    <row r="25" spans="2:8" ht="15.75" customHeight="1" x14ac:dyDescent="0.2">
      <c r="B25" s="28" t="s">
        <v>479</v>
      </c>
      <c r="C25" s="28" t="s">
        <v>480</v>
      </c>
      <c r="D25" s="28" t="s">
        <v>431</v>
      </c>
      <c r="E25" s="29">
        <v>72000</v>
      </c>
      <c r="F25" s="30">
        <v>2139.48</v>
      </c>
      <c r="G25" s="31">
        <v>2.1999999999999999E-2</v>
      </c>
      <c r="H25" s="32"/>
    </row>
    <row r="26" spans="2:8" ht="15.75" customHeight="1" x14ac:dyDescent="0.2">
      <c r="B26" s="28" t="s">
        <v>372</v>
      </c>
      <c r="C26" s="28" t="s">
        <v>373</v>
      </c>
      <c r="D26" s="28" t="s">
        <v>190</v>
      </c>
      <c r="E26" s="29">
        <v>587493</v>
      </c>
      <c r="F26" s="30">
        <v>2029.79</v>
      </c>
      <c r="G26" s="31">
        <v>2.0899999999999998E-2</v>
      </c>
      <c r="H26" s="32"/>
    </row>
    <row r="27" spans="2:8" ht="15.75" customHeight="1" x14ac:dyDescent="0.2">
      <c r="B27" s="28" t="s">
        <v>698</v>
      </c>
      <c r="C27" s="28" t="s">
        <v>699</v>
      </c>
      <c r="D27" s="28" t="s">
        <v>179</v>
      </c>
      <c r="E27" s="29">
        <v>180681</v>
      </c>
      <c r="F27" s="30">
        <v>2010.08</v>
      </c>
      <c r="G27" s="31">
        <v>2.07E-2</v>
      </c>
      <c r="H27" s="32"/>
    </row>
    <row r="28" spans="2:8" ht="15.75" customHeight="1" x14ac:dyDescent="0.2">
      <c r="B28" s="28" t="s">
        <v>188</v>
      </c>
      <c r="C28" s="28" t="s">
        <v>189</v>
      </c>
      <c r="D28" s="28" t="s">
        <v>190</v>
      </c>
      <c r="E28" s="29">
        <v>213024</v>
      </c>
      <c r="F28" s="30">
        <v>1996.78</v>
      </c>
      <c r="G28" s="31">
        <v>2.0500000000000001E-2</v>
      </c>
      <c r="H28" s="32"/>
    </row>
    <row r="29" spans="2:8" ht="15.75" customHeight="1" x14ac:dyDescent="0.2">
      <c r="B29" s="28" t="s">
        <v>562</v>
      </c>
      <c r="C29" s="28" t="s">
        <v>563</v>
      </c>
      <c r="D29" s="28" t="s">
        <v>564</v>
      </c>
      <c r="E29" s="29">
        <v>132210</v>
      </c>
      <c r="F29" s="30">
        <v>1995.84</v>
      </c>
      <c r="G29" s="31">
        <v>2.0500000000000001E-2</v>
      </c>
      <c r="H29" s="32"/>
    </row>
    <row r="30" spans="2:8" ht="15.75" customHeight="1" x14ac:dyDescent="0.2">
      <c r="B30" s="28" t="s">
        <v>366</v>
      </c>
      <c r="C30" s="28" t="s">
        <v>367</v>
      </c>
      <c r="D30" s="28" t="s">
        <v>190</v>
      </c>
      <c r="E30" s="29">
        <v>151956</v>
      </c>
      <c r="F30" s="30">
        <v>1975.58</v>
      </c>
      <c r="G30" s="31">
        <v>2.0299999999999999E-2</v>
      </c>
      <c r="H30" s="32"/>
    </row>
    <row r="31" spans="2:8" ht="15.75" customHeight="1" x14ac:dyDescent="0.2">
      <c r="B31" s="28" t="s">
        <v>488</v>
      </c>
      <c r="C31" s="28" t="s">
        <v>489</v>
      </c>
      <c r="D31" s="28" t="s">
        <v>490</v>
      </c>
      <c r="E31" s="29">
        <v>179076</v>
      </c>
      <c r="F31" s="30">
        <v>1962.31</v>
      </c>
      <c r="G31" s="31">
        <v>2.0199999999999999E-2</v>
      </c>
      <c r="H31" s="32"/>
    </row>
    <row r="32" spans="2:8" ht="15.75" customHeight="1" x14ac:dyDescent="0.2">
      <c r="B32" s="28" t="s">
        <v>759</v>
      </c>
      <c r="C32" s="28" t="s">
        <v>760</v>
      </c>
      <c r="D32" s="28" t="s">
        <v>182</v>
      </c>
      <c r="E32" s="29">
        <v>156500</v>
      </c>
      <c r="F32" s="30">
        <v>1871.58</v>
      </c>
      <c r="G32" s="31">
        <v>1.9199999999999998E-2</v>
      </c>
      <c r="H32" s="32"/>
    </row>
    <row r="33" spans="2:8" ht="15.75" customHeight="1" x14ac:dyDescent="0.2">
      <c r="B33" s="28" t="s">
        <v>501</v>
      </c>
      <c r="C33" s="28" t="s">
        <v>502</v>
      </c>
      <c r="D33" s="28" t="s">
        <v>179</v>
      </c>
      <c r="E33" s="29">
        <v>1525000</v>
      </c>
      <c r="F33" s="30">
        <v>1848.45</v>
      </c>
      <c r="G33" s="31">
        <v>1.9E-2</v>
      </c>
      <c r="H33" s="32"/>
    </row>
    <row r="34" spans="2:8" ht="15.75" customHeight="1" x14ac:dyDescent="0.2">
      <c r="B34" s="28" t="s">
        <v>518</v>
      </c>
      <c r="C34" s="28" t="s">
        <v>519</v>
      </c>
      <c r="D34" s="28" t="s">
        <v>431</v>
      </c>
      <c r="E34" s="29">
        <v>210028</v>
      </c>
      <c r="F34" s="30">
        <v>1680.75</v>
      </c>
      <c r="G34" s="31">
        <v>1.7299999999999999E-2</v>
      </c>
      <c r="H34" s="32"/>
    </row>
    <row r="35" spans="2:8" ht="15.75" customHeight="1" x14ac:dyDescent="0.2">
      <c r="B35" s="28" t="s">
        <v>555</v>
      </c>
      <c r="C35" s="28" t="s">
        <v>556</v>
      </c>
      <c r="D35" s="28" t="s">
        <v>268</v>
      </c>
      <c r="E35" s="29">
        <v>12513</v>
      </c>
      <c r="F35" s="30">
        <v>1542.98</v>
      </c>
      <c r="G35" s="31">
        <v>1.5900000000000001E-2</v>
      </c>
      <c r="H35" s="32"/>
    </row>
    <row r="36" spans="2:8" ht="15.75" customHeight="1" x14ac:dyDescent="0.2">
      <c r="B36" s="28" t="s">
        <v>607</v>
      </c>
      <c r="C36" s="28" t="s">
        <v>608</v>
      </c>
      <c r="D36" s="28" t="s">
        <v>338</v>
      </c>
      <c r="E36" s="29">
        <v>186549</v>
      </c>
      <c r="F36" s="30">
        <v>1445.75</v>
      </c>
      <c r="G36" s="31">
        <v>1.49E-2</v>
      </c>
      <c r="H36" s="32"/>
    </row>
    <row r="37" spans="2:8" ht="15.75" customHeight="1" x14ac:dyDescent="0.2">
      <c r="B37" s="28" t="s">
        <v>601</v>
      </c>
      <c r="C37" s="28" t="s">
        <v>602</v>
      </c>
      <c r="D37" s="28" t="s">
        <v>483</v>
      </c>
      <c r="E37" s="29">
        <v>267688</v>
      </c>
      <c r="F37" s="30">
        <v>1423.56</v>
      </c>
      <c r="G37" s="31">
        <v>1.46E-2</v>
      </c>
      <c r="H37" s="32"/>
    </row>
    <row r="38" spans="2:8" ht="15.75" customHeight="1" x14ac:dyDescent="0.2">
      <c r="B38" s="28" t="s">
        <v>260</v>
      </c>
      <c r="C38" s="28" t="s">
        <v>261</v>
      </c>
      <c r="D38" s="28" t="s">
        <v>251</v>
      </c>
      <c r="E38" s="29">
        <v>315000</v>
      </c>
      <c r="F38" s="30">
        <v>1400.33</v>
      </c>
      <c r="G38" s="31">
        <v>1.44E-2</v>
      </c>
      <c r="H38" s="32"/>
    </row>
    <row r="39" spans="2:8" ht="15.75" customHeight="1" x14ac:dyDescent="0.2">
      <c r="B39" s="28" t="s">
        <v>432</v>
      </c>
      <c r="C39" s="28" t="s">
        <v>433</v>
      </c>
      <c r="D39" s="28" t="s">
        <v>434</v>
      </c>
      <c r="E39" s="29">
        <v>332772</v>
      </c>
      <c r="F39" s="30">
        <v>1364.03</v>
      </c>
      <c r="G39" s="31">
        <v>1.4E-2</v>
      </c>
      <c r="H39" s="32"/>
    </row>
    <row r="40" spans="2:8" ht="15.75" customHeight="1" x14ac:dyDescent="0.2">
      <c r="B40" s="28" t="s">
        <v>580</v>
      </c>
      <c r="C40" s="28" t="s">
        <v>581</v>
      </c>
      <c r="D40" s="28" t="s">
        <v>483</v>
      </c>
      <c r="E40" s="29">
        <v>38000</v>
      </c>
      <c r="F40" s="30">
        <v>1300.78</v>
      </c>
      <c r="G40" s="31">
        <v>1.34E-2</v>
      </c>
      <c r="H40" s="32"/>
    </row>
    <row r="41" spans="2:8" ht="15.75" customHeight="1" x14ac:dyDescent="0.2">
      <c r="B41" s="28" t="s">
        <v>336</v>
      </c>
      <c r="C41" s="28" t="s">
        <v>337</v>
      </c>
      <c r="D41" s="28" t="s">
        <v>338</v>
      </c>
      <c r="E41" s="29">
        <v>111605</v>
      </c>
      <c r="F41" s="30">
        <v>1277.43</v>
      </c>
      <c r="G41" s="31">
        <v>1.3100000000000001E-2</v>
      </c>
      <c r="H41" s="32"/>
    </row>
    <row r="42" spans="2:8" ht="15.75" customHeight="1" x14ac:dyDescent="0.2">
      <c r="B42" s="28" t="s">
        <v>348</v>
      </c>
      <c r="C42" s="28" t="s">
        <v>349</v>
      </c>
      <c r="D42" s="28" t="s">
        <v>182</v>
      </c>
      <c r="E42" s="29">
        <v>12317</v>
      </c>
      <c r="F42" s="30">
        <v>1198.01</v>
      </c>
      <c r="G42" s="31">
        <v>1.23E-2</v>
      </c>
      <c r="H42" s="32"/>
    </row>
    <row r="43" spans="2:8" ht="15.75" customHeight="1" x14ac:dyDescent="0.2">
      <c r="B43" s="28" t="s">
        <v>484</v>
      </c>
      <c r="C43" s="28" t="s">
        <v>485</v>
      </c>
      <c r="D43" s="28" t="s">
        <v>268</v>
      </c>
      <c r="E43" s="29">
        <v>108997</v>
      </c>
      <c r="F43" s="30">
        <v>1152.3699999999999</v>
      </c>
      <c r="G43" s="31">
        <v>1.18E-2</v>
      </c>
      <c r="H43" s="32"/>
    </row>
    <row r="44" spans="2:8" ht="15.75" customHeight="1" x14ac:dyDescent="0.2">
      <c r="B44" s="28" t="s">
        <v>526</v>
      </c>
      <c r="C44" s="28" t="s">
        <v>527</v>
      </c>
      <c r="D44" s="28" t="s">
        <v>173</v>
      </c>
      <c r="E44" s="29">
        <v>283535</v>
      </c>
      <c r="F44" s="30">
        <v>1082.96</v>
      </c>
      <c r="G44" s="31">
        <v>1.11E-2</v>
      </c>
      <c r="H44" s="32"/>
    </row>
    <row r="45" spans="2:8" ht="15.75" customHeight="1" x14ac:dyDescent="0.2">
      <c r="B45" s="28" t="s">
        <v>761</v>
      </c>
      <c r="C45" s="28" t="s">
        <v>762</v>
      </c>
      <c r="D45" s="28" t="s">
        <v>287</v>
      </c>
      <c r="E45" s="29">
        <v>853033</v>
      </c>
      <c r="F45" s="30">
        <v>856.02</v>
      </c>
      <c r="G45" s="31">
        <v>8.8000000000000005E-3</v>
      </c>
      <c r="H45" s="32"/>
    </row>
    <row r="46" spans="2:8" ht="15.75" customHeight="1" x14ac:dyDescent="0.2">
      <c r="B46" s="28" t="s">
        <v>473</v>
      </c>
      <c r="C46" s="28" t="s">
        <v>474</v>
      </c>
      <c r="D46" s="28" t="s">
        <v>243</v>
      </c>
      <c r="E46" s="29">
        <v>75359</v>
      </c>
      <c r="F46" s="30">
        <v>333.95</v>
      </c>
      <c r="G46" s="31">
        <v>3.3999999999999998E-3</v>
      </c>
      <c r="H46" s="32"/>
    </row>
    <row r="47" spans="2:8" ht="15.75" customHeight="1" x14ac:dyDescent="0.2">
      <c r="B47" s="27" t="s">
        <v>129</v>
      </c>
      <c r="C47" s="27"/>
      <c r="D47" s="27"/>
      <c r="E47" s="33"/>
      <c r="F47" s="34">
        <v>89528.01</v>
      </c>
      <c r="G47" s="35">
        <v>0.91979999999999995</v>
      </c>
      <c r="H47" s="36"/>
    </row>
    <row r="48" spans="2:8" ht="15.75" customHeight="1" x14ac:dyDescent="0.2">
      <c r="B48" s="27" t="s">
        <v>197</v>
      </c>
      <c r="C48" s="28"/>
      <c r="D48" s="28"/>
      <c r="E48" s="29"/>
      <c r="F48" s="30"/>
      <c r="G48" s="31"/>
      <c r="H48" s="32"/>
    </row>
    <row r="49" spans="2:8" ht="15.75" customHeight="1" x14ac:dyDescent="0.2">
      <c r="B49" s="27" t="s">
        <v>129</v>
      </c>
      <c r="C49" s="28"/>
      <c r="D49" s="28"/>
      <c r="E49" s="29"/>
      <c r="F49" s="37" t="s">
        <v>131</v>
      </c>
      <c r="G49" s="38" t="s">
        <v>131</v>
      </c>
      <c r="H49" s="32"/>
    </row>
    <row r="50" spans="2:8" ht="15.75" customHeight="1" x14ac:dyDescent="0.2">
      <c r="B50" s="28"/>
      <c r="C50" s="28"/>
      <c r="D50" s="28"/>
      <c r="E50" s="29"/>
      <c r="F50" s="30"/>
      <c r="G50" s="31"/>
      <c r="H50" s="32"/>
    </row>
    <row r="51" spans="2:8" ht="15.75" customHeight="1" x14ac:dyDescent="0.2">
      <c r="B51" s="39" t="s">
        <v>133</v>
      </c>
      <c r="C51" s="39"/>
      <c r="D51" s="39"/>
      <c r="E51" s="40"/>
      <c r="F51" s="34">
        <v>89528.01</v>
      </c>
      <c r="G51" s="35">
        <v>0.91979999999999995</v>
      </c>
      <c r="H51" s="36"/>
    </row>
    <row r="52" spans="2:8" ht="15.75" customHeight="1" x14ac:dyDescent="0.2">
      <c r="B52" s="28"/>
      <c r="C52" s="28"/>
      <c r="D52" s="28"/>
      <c r="E52" s="29"/>
      <c r="F52" s="30"/>
      <c r="G52" s="31"/>
      <c r="H52" s="32"/>
    </row>
    <row r="53" spans="2:8" ht="15.75" customHeight="1" x14ac:dyDescent="0.2">
      <c r="B53" s="28"/>
      <c r="C53" s="28"/>
      <c r="D53" s="28"/>
      <c r="E53" s="29"/>
      <c r="F53" s="30"/>
      <c r="G53" s="31"/>
      <c r="H53" s="32"/>
    </row>
    <row r="54" spans="2:8" ht="15.75" customHeight="1" x14ac:dyDescent="0.2">
      <c r="B54" s="27" t="s">
        <v>139</v>
      </c>
      <c r="C54" s="28"/>
      <c r="D54" s="28"/>
      <c r="E54" s="29"/>
      <c r="F54" s="30"/>
      <c r="G54" s="31"/>
      <c r="H54" s="32"/>
    </row>
    <row r="55" spans="2:8" ht="15.75" customHeight="1" x14ac:dyDescent="0.2">
      <c r="B55" s="28" t="s">
        <v>140</v>
      </c>
      <c r="C55" s="28"/>
      <c r="D55" s="28"/>
      <c r="E55" s="29"/>
      <c r="F55" s="30">
        <v>7662.16</v>
      </c>
      <c r="G55" s="31">
        <v>7.8700000000000006E-2</v>
      </c>
      <c r="H55" s="32"/>
    </row>
    <row r="56" spans="2:8" ht="15.75" customHeight="1" x14ac:dyDescent="0.2">
      <c r="B56" s="27" t="s">
        <v>129</v>
      </c>
      <c r="C56" s="27"/>
      <c r="D56" s="27"/>
      <c r="E56" s="33"/>
      <c r="F56" s="34">
        <v>7662.16</v>
      </c>
      <c r="G56" s="35">
        <v>7.8700000000000006E-2</v>
      </c>
      <c r="H56" s="36"/>
    </row>
    <row r="57" spans="2:8" ht="15.75" customHeight="1" x14ac:dyDescent="0.2">
      <c r="B57" s="28"/>
      <c r="C57" s="28"/>
      <c r="D57" s="28"/>
      <c r="E57" s="29"/>
      <c r="F57" s="30"/>
      <c r="G57" s="31"/>
      <c r="H57" s="32"/>
    </row>
    <row r="58" spans="2:8" ht="15.75" customHeight="1" x14ac:dyDescent="0.2">
      <c r="B58" s="39" t="s">
        <v>133</v>
      </c>
      <c r="C58" s="39"/>
      <c r="D58" s="39"/>
      <c r="E58" s="40"/>
      <c r="F58" s="34">
        <v>7662.16</v>
      </c>
      <c r="G58" s="35">
        <v>7.8700000000000006E-2</v>
      </c>
      <c r="H58" s="36"/>
    </row>
    <row r="59" spans="2:8" ht="15.75" customHeight="1" x14ac:dyDescent="0.2">
      <c r="B59" s="28" t="s">
        <v>141</v>
      </c>
      <c r="C59" s="28"/>
      <c r="D59" s="28"/>
      <c r="E59" s="29"/>
      <c r="F59" s="30">
        <v>138.29</v>
      </c>
      <c r="G59" s="31">
        <v>1.5000000000000568E-3</v>
      </c>
      <c r="H59" s="32"/>
    </row>
    <row r="60" spans="2:8" ht="15.75" customHeight="1" x14ac:dyDescent="0.2">
      <c r="B60" s="41" t="s">
        <v>142</v>
      </c>
      <c r="C60" s="41"/>
      <c r="D60" s="41"/>
      <c r="E60" s="42"/>
      <c r="F60" s="43">
        <v>97328.46</v>
      </c>
      <c r="G60" s="44">
        <v>1</v>
      </c>
      <c r="H60" s="45"/>
    </row>
    <row r="61" spans="2:8" ht="15.75" customHeight="1" x14ac:dyDescent="0.2">
      <c r="B61" s="2"/>
    </row>
    <row r="62" spans="2:8" s="7" customFormat="1" ht="15.6" customHeight="1" x14ac:dyDescent="0.25">
      <c r="B62" s="63" t="s">
        <v>1067</v>
      </c>
      <c r="C62" s="70"/>
      <c r="D62" s="70"/>
      <c r="E62" s="70"/>
      <c r="F62" s="70"/>
      <c r="G62" s="70"/>
      <c r="H62" s="64"/>
    </row>
    <row r="63" spans="2:8" s="7" customFormat="1" ht="15.6" customHeight="1" x14ac:dyDescent="0.25">
      <c r="B63" s="63" t="s">
        <v>1108</v>
      </c>
      <c r="C63" s="70"/>
      <c r="D63" s="70"/>
      <c r="E63" s="70"/>
      <c r="F63" s="70"/>
      <c r="G63" s="70"/>
      <c r="H63" s="64"/>
    </row>
    <row r="64" spans="2:8" s="7" customFormat="1" ht="15.6" customHeight="1" x14ac:dyDescent="0.25">
      <c r="B64" s="63" t="s">
        <v>1068</v>
      </c>
      <c r="C64" s="70"/>
      <c r="D64" s="70"/>
      <c r="E64" s="70"/>
      <c r="F64" s="70"/>
      <c r="G64" s="70"/>
      <c r="H64" s="64"/>
    </row>
    <row r="65" spans="2:8" s="7" customFormat="1" ht="15.6" customHeight="1" x14ac:dyDescent="0.25">
      <c r="B65" s="71"/>
      <c r="C65" s="65">
        <v>46142</v>
      </c>
      <c r="D65" s="65">
        <v>46112</v>
      </c>
      <c r="E65" s="70"/>
      <c r="F65" s="70"/>
      <c r="G65" s="70"/>
      <c r="H65" s="64"/>
    </row>
    <row r="66" spans="2:8" s="7" customFormat="1" ht="15.6" customHeight="1" x14ac:dyDescent="0.25">
      <c r="B66" s="71" t="s">
        <v>1069</v>
      </c>
      <c r="C66" s="66"/>
      <c r="D66" s="66"/>
      <c r="E66" s="70"/>
      <c r="F66" s="70"/>
      <c r="G66" s="70"/>
      <c r="H66" s="64"/>
    </row>
    <row r="67" spans="2:8" s="7" customFormat="1" ht="15.6" customHeight="1" x14ac:dyDescent="0.25">
      <c r="B67" s="71" t="s">
        <v>1070</v>
      </c>
      <c r="C67" s="67">
        <v>94.636700000000005</v>
      </c>
      <c r="D67" s="67">
        <v>86.892700000000005</v>
      </c>
      <c r="E67" s="70"/>
      <c r="F67" s="70"/>
      <c r="G67" s="70"/>
      <c r="H67" s="64"/>
    </row>
    <row r="68" spans="2:8" s="7" customFormat="1" ht="15.6" customHeight="1" x14ac:dyDescent="0.25">
      <c r="B68" s="71" t="s">
        <v>1071</v>
      </c>
      <c r="C68" s="67">
        <v>29.863700000000005</v>
      </c>
      <c r="D68" s="67">
        <v>27.42</v>
      </c>
      <c r="E68" s="70"/>
      <c r="F68" s="70"/>
      <c r="G68" s="70"/>
      <c r="H68" s="64"/>
    </row>
    <row r="69" spans="2:8" s="7" customFormat="1" ht="15.6" customHeight="1" x14ac:dyDescent="0.25">
      <c r="B69" s="71" t="s">
        <v>1073</v>
      </c>
      <c r="C69" s="67">
        <v>105.00060000000002</v>
      </c>
      <c r="D69" s="67">
        <v>96.319900000000004</v>
      </c>
      <c r="E69" s="70"/>
      <c r="F69" s="70"/>
      <c r="G69" s="70"/>
      <c r="H69" s="64"/>
    </row>
    <row r="70" spans="2:8" s="7" customFormat="1" ht="15.6" customHeight="1" x14ac:dyDescent="0.25">
      <c r="B70" s="71" t="s">
        <v>1074</v>
      </c>
      <c r="C70" s="67">
        <v>35.328800000000001</v>
      </c>
      <c r="D70" s="67">
        <v>32.408799999999999</v>
      </c>
      <c r="E70" s="70"/>
      <c r="F70" s="70"/>
      <c r="G70" s="70"/>
      <c r="H70" s="64"/>
    </row>
    <row r="71" spans="2:8" s="7" customFormat="1" ht="15.6" customHeight="1" x14ac:dyDescent="0.25">
      <c r="B71" s="63" t="s">
        <v>1116</v>
      </c>
      <c r="C71" s="70"/>
      <c r="D71" s="70"/>
      <c r="E71" s="70"/>
      <c r="F71" s="70"/>
      <c r="G71" s="70"/>
      <c r="H71" s="64"/>
    </row>
    <row r="72" spans="2:8" s="7" customFormat="1" ht="15.6" customHeight="1" x14ac:dyDescent="0.25">
      <c r="B72" s="63" t="s">
        <v>1109</v>
      </c>
      <c r="C72" s="70"/>
      <c r="D72" s="70"/>
      <c r="E72" s="70"/>
      <c r="F72" s="70"/>
      <c r="G72" s="70"/>
      <c r="H72" s="64"/>
    </row>
    <row r="73" spans="2:8" s="7" customFormat="1" ht="15.6" customHeight="1" x14ac:dyDescent="0.25">
      <c r="B73" s="63" t="s">
        <v>1111</v>
      </c>
      <c r="C73" s="70"/>
      <c r="D73" s="70"/>
      <c r="E73" s="70"/>
      <c r="F73" s="70"/>
      <c r="G73" s="70"/>
      <c r="H73" s="64"/>
    </row>
    <row r="74" spans="2:8" s="7" customFormat="1" ht="15.6" customHeight="1" x14ac:dyDescent="0.25">
      <c r="B74" s="63" t="s">
        <v>1112</v>
      </c>
      <c r="C74" s="70"/>
      <c r="D74" s="70"/>
      <c r="E74" s="70"/>
      <c r="F74" s="70"/>
      <c r="G74" s="70"/>
      <c r="H74" s="64"/>
    </row>
    <row r="75" spans="2:8" s="7" customFormat="1" ht="15.6" customHeight="1" x14ac:dyDescent="0.25">
      <c r="B75" s="63" t="s">
        <v>1126</v>
      </c>
      <c r="C75" s="70"/>
      <c r="D75" s="70"/>
      <c r="E75" s="70"/>
      <c r="F75" s="70"/>
      <c r="G75" s="70"/>
      <c r="H75" s="64"/>
    </row>
    <row r="76" spans="2:8" s="7" customFormat="1" ht="15.6" customHeight="1" x14ac:dyDescent="0.25">
      <c r="B76" s="63" t="s">
        <v>1113</v>
      </c>
      <c r="C76" s="70"/>
      <c r="D76" s="70"/>
      <c r="E76" s="70"/>
      <c r="F76" s="70"/>
      <c r="G76" s="70"/>
      <c r="H76" s="64"/>
    </row>
    <row r="77" spans="2:8" s="7" customFormat="1" ht="15.6" customHeight="1" x14ac:dyDescent="0.25">
      <c r="B77" s="68" t="s">
        <v>1076</v>
      </c>
      <c r="C77" s="72"/>
      <c r="D77" s="72"/>
      <c r="E77" s="72"/>
      <c r="F77" s="72"/>
      <c r="G77" s="72"/>
      <c r="H77" s="69"/>
    </row>
    <row r="78" spans="2:8" ht="15.75" customHeight="1" thickBot="1" x14ac:dyDescent="0.25"/>
    <row r="79" spans="2:8" ht="39.75" customHeight="1" thickBot="1" x14ac:dyDescent="0.3">
      <c r="B79" s="46" t="s">
        <v>146</v>
      </c>
      <c r="C79" s="47" t="s">
        <v>147</v>
      </c>
      <c r="D79" s="47" t="s">
        <v>148</v>
      </c>
      <c r="E79"/>
    </row>
    <row r="80" spans="2:8" ht="39.75" customHeight="1" x14ac:dyDescent="0.25">
      <c r="B80" s="52" t="s">
        <v>673</v>
      </c>
      <c r="C80" s="109"/>
      <c r="D80" s="48" t="s">
        <v>763</v>
      </c>
      <c r="E80"/>
    </row>
    <row r="81" spans="2:14" ht="39.75" customHeight="1" x14ac:dyDescent="0.25">
      <c r="B81" s="112" t="s">
        <v>764</v>
      </c>
      <c r="C81" s="110"/>
      <c r="D81" s="118"/>
      <c r="E81"/>
    </row>
    <row r="82" spans="2:14" ht="39.75" customHeight="1" x14ac:dyDescent="0.25">
      <c r="B82" s="112"/>
      <c r="C82" s="110"/>
      <c r="D82" s="118"/>
      <c r="E82"/>
      <c r="J82" s="3"/>
    </row>
    <row r="83" spans="2:14" ht="39.75" customHeight="1" x14ac:dyDescent="0.25">
      <c r="B83" s="112"/>
      <c r="C83" s="110"/>
      <c r="D83" s="118"/>
      <c r="E83"/>
    </row>
    <row r="84" spans="2:14" ht="39.75" customHeight="1" thickBot="1" x14ac:dyDescent="0.3">
      <c r="B84" s="113"/>
      <c r="C84" s="111"/>
      <c r="D84" s="119"/>
      <c r="E84"/>
      <c r="J84" s="3"/>
    </row>
    <row r="85" spans="2:14" ht="15.75" customHeight="1" x14ac:dyDescent="0.2">
      <c r="B85" s="9" t="s">
        <v>149</v>
      </c>
      <c r="J85" s="3"/>
    </row>
    <row r="86" spans="2:14" ht="15.75" customHeight="1" x14ac:dyDescent="0.2">
      <c r="B86" s="9" t="s">
        <v>150</v>
      </c>
      <c r="J86" s="3"/>
    </row>
    <row r="87" spans="2:14" ht="15.75" customHeight="1" x14ac:dyDescent="0.2">
      <c r="B87" s="9" t="s">
        <v>151</v>
      </c>
      <c r="J87" s="3"/>
    </row>
    <row r="88" spans="2:14" ht="15.75" customHeight="1" x14ac:dyDescent="0.2">
      <c r="J88" s="3"/>
    </row>
    <row r="89" spans="2:14" ht="15.75" customHeight="1" x14ac:dyDescent="0.2">
      <c r="J89" s="5"/>
      <c r="K89" s="5"/>
      <c r="L89" s="6"/>
      <c r="M89" s="6"/>
      <c r="N89" s="5"/>
    </row>
    <row r="92" spans="2:14" ht="15.75" customHeight="1" x14ac:dyDescent="0.2">
      <c r="J92" s="7"/>
      <c r="K92" s="7"/>
      <c r="L92" s="7"/>
      <c r="M92" s="7"/>
      <c r="N92" s="7"/>
    </row>
    <row r="93" spans="2:14" ht="15.75" customHeight="1" x14ac:dyDescent="0.2">
      <c r="J93" s="7"/>
      <c r="K93" s="7"/>
      <c r="L93" s="7"/>
      <c r="M93" s="7"/>
      <c r="N93" s="7"/>
    </row>
    <row r="94" spans="2:14" ht="15.75" customHeight="1" x14ac:dyDescent="0.2">
      <c r="J94" s="7"/>
      <c r="K94" s="7"/>
      <c r="L94" s="7"/>
      <c r="M94" s="7"/>
      <c r="N94" s="7"/>
    </row>
    <row r="95" spans="2:14" ht="15.75" customHeight="1" x14ac:dyDescent="0.2">
      <c r="J95" s="7"/>
      <c r="K95" s="7"/>
      <c r="L95" s="7"/>
      <c r="M95" s="7"/>
      <c r="N95" s="7"/>
    </row>
    <row r="96" spans="2: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80:C84"/>
    <mergeCell ref="B81:B84"/>
    <mergeCell ref="D81:D84"/>
  </mergeCells>
  <hyperlinks>
    <hyperlink ref="G1" location="'Sheet1'!A1" display="Index" xr:uid="{B48A8010-EDC8-4315-A9D3-B5D17BFE518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A1132-8502-4953-83D6-7A4FA4171642}">
  <dimension ref="B1:N107"/>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319</v>
      </c>
      <c r="C7" s="28" t="s">
        <v>320</v>
      </c>
      <c r="D7" s="28" t="s">
        <v>321</v>
      </c>
      <c r="E7" s="29">
        <v>59787</v>
      </c>
      <c r="F7" s="30">
        <v>2390.88</v>
      </c>
      <c r="G7" s="31">
        <v>3.6200000000000003E-2</v>
      </c>
      <c r="H7" s="32"/>
    </row>
    <row r="8" spans="2:8" ht="15.75" customHeight="1" x14ac:dyDescent="0.2">
      <c r="B8" s="28" t="s">
        <v>678</v>
      </c>
      <c r="C8" s="28" t="s">
        <v>679</v>
      </c>
      <c r="D8" s="28" t="s">
        <v>345</v>
      </c>
      <c r="E8" s="29">
        <v>29286</v>
      </c>
      <c r="F8" s="30">
        <v>1997.6</v>
      </c>
      <c r="G8" s="31">
        <v>3.0300000000000001E-2</v>
      </c>
      <c r="H8" s="32"/>
    </row>
    <row r="9" spans="2:8" ht="15.75" customHeight="1" x14ac:dyDescent="0.2">
      <c r="B9" s="28" t="s">
        <v>341</v>
      </c>
      <c r="C9" s="28" t="s">
        <v>342</v>
      </c>
      <c r="D9" s="28" t="s">
        <v>196</v>
      </c>
      <c r="E9" s="29">
        <v>120282</v>
      </c>
      <c r="F9" s="30">
        <v>1815.06</v>
      </c>
      <c r="G9" s="31">
        <v>2.75E-2</v>
      </c>
      <c r="H9" s="32"/>
    </row>
    <row r="10" spans="2:8" ht="15.75" customHeight="1" x14ac:dyDescent="0.2">
      <c r="B10" s="28" t="s">
        <v>484</v>
      </c>
      <c r="C10" s="28" t="s">
        <v>485</v>
      </c>
      <c r="D10" s="28" t="s">
        <v>268</v>
      </c>
      <c r="E10" s="29">
        <v>171362</v>
      </c>
      <c r="F10" s="30">
        <v>1811.72</v>
      </c>
      <c r="G10" s="31">
        <v>2.7400000000000001E-2</v>
      </c>
      <c r="H10" s="32"/>
    </row>
    <row r="11" spans="2:8" ht="15.75" customHeight="1" x14ac:dyDescent="0.2">
      <c r="B11" s="28" t="s">
        <v>601</v>
      </c>
      <c r="C11" s="28" t="s">
        <v>602</v>
      </c>
      <c r="D11" s="28" t="s">
        <v>483</v>
      </c>
      <c r="E11" s="29">
        <v>326615</v>
      </c>
      <c r="F11" s="30">
        <v>1736.94</v>
      </c>
      <c r="G11" s="31">
        <v>2.63E-2</v>
      </c>
      <c r="H11" s="32"/>
    </row>
    <row r="12" spans="2:8" ht="15.75" customHeight="1" x14ac:dyDescent="0.2">
      <c r="B12" s="28" t="s">
        <v>765</v>
      </c>
      <c r="C12" s="28" t="s">
        <v>766</v>
      </c>
      <c r="D12" s="28" t="s">
        <v>268</v>
      </c>
      <c r="E12" s="29">
        <v>133576</v>
      </c>
      <c r="F12" s="30">
        <v>1661.28</v>
      </c>
      <c r="G12" s="31">
        <v>2.52E-2</v>
      </c>
      <c r="H12" s="32"/>
    </row>
    <row r="13" spans="2:8" ht="15.75" customHeight="1" x14ac:dyDescent="0.2">
      <c r="B13" s="28" t="s">
        <v>553</v>
      </c>
      <c r="C13" s="28" t="s">
        <v>554</v>
      </c>
      <c r="D13" s="28" t="s">
        <v>321</v>
      </c>
      <c r="E13" s="29">
        <v>249380</v>
      </c>
      <c r="F13" s="30">
        <v>1651.77</v>
      </c>
      <c r="G13" s="31">
        <v>2.5000000000000001E-2</v>
      </c>
      <c r="H13" s="32"/>
    </row>
    <row r="14" spans="2:8" ht="15.75" customHeight="1" x14ac:dyDescent="0.2">
      <c r="B14" s="28" t="s">
        <v>748</v>
      </c>
      <c r="C14" s="28" t="s">
        <v>749</v>
      </c>
      <c r="D14" s="28" t="s">
        <v>179</v>
      </c>
      <c r="E14" s="29">
        <v>258560</v>
      </c>
      <c r="F14" s="30">
        <v>1448.07</v>
      </c>
      <c r="G14" s="31">
        <v>2.1899999999999999E-2</v>
      </c>
      <c r="H14" s="32"/>
    </row>
    <row r="15" spans="2:8" ht="15.75" customHeight="1" x14ac:dyDescent="0.2">
      <c r="B15" s="28" t="s">
        <v>346</v>
      </c>
      <c r="C15" s="28" t="s">
        <v>347</v>
      </c>
      <c r="D15" s="28" t="s">
        <v>268</v>
      </c>
      <c r="E15" s="29">
        <v>45646</v>
      </c>
      <c r="F15" s="30">
        <v>1413.57</v>
      </c>
      <c r="G15" s="31">
        <v>2.1399999999999999E-2</v>
      </c>
      <c r="H15" s="32"/>
    </row>
    <row r="16" spans="2:8" ht="15.75" customHeight="1" x14ac:dyDescent="0.2">
      <c r="B16" s="28" t="s">
        <v>473</v>
      </c>
      <c r="C16" s="28" t="s">
        <v>474</v>
      </c>
      <c r="D16" s="28" t="s">
        <v>243</v>
      </c>
      <c r="E16" s="29">
        <v>308247</v>
      </c>
      <c r="F16" s="30">
        <v>1366</v>
      </c>
      <c r="G16" s="31">
        <v>2.07E-2</v>
      </c>
      <c r="H16" s="32"/>
    </row>
    <row r="17" spans="2:8" ht="15.75" customHeight="1" x14ac:dyDescent="0.2">
      <c r="B17" s="28" t="s">
        <v>578</v>
      </c>
      <c r="C17" s="28" t="s">
        <v>579</v>
      </c>
      <c r="D17" s="28" t="s">
        <v>321</v>
      </c>
      <c r="E17" s="29">
        <v>78792</v>
      </c>
      <c r="F17" s="30">
        <v>1338.05</v>
      </c>
      <c r="G17" s="31">
        <v>2.0299999999999999E-2</v>
      </c>
      <c r="H17" s="32"/>
    </row>
    <row r="18" spans="2:8" ht="15.75" customHeight="1" x14ac:dyDescent="0.2">
      <c r="B18" s="28" t="s">
        <v>626</v>
      </c>
      <c r="C18" s="28" t="s">
        <v>627</v>
      </c>
      <c r="D18" s="28" t="s">
        <v>619</v>
      </c>
      <c r="E18" s="29">
        <v>16404</v>
      </c>
      <c r="F18" s="30">
        <v>1304.69</v>
      </c>
      <c r="G18" s="31">
        <v>1.9800000000000002E-2</v>
      </c>
      <c r="H18" s="32"/>
    </row>
    <row r="19" spans="2:8" ht="15.75" customHeight="1" x14ac:dyDescent="0.2">
      <c r="B19" s="28" t="s">
        <v>767</v>
      </c>
      <c r="C19" s="28" t="s">
        <v>768</v>
      </c>
      <c r="D19" s="28" t="s">
        <v>321</v>
      </c>
      <c r="E19" s="29">
        <v>132471</v>
      </c>
      <c r="F19" s="30">
        <v>1296.3599999999999</v>
      </c>
      <c r="G19" s="31">
        <v>1.9599999999999999E-2</v>
      </c>
      <c r="H19" s="32"/>
    </row>
    <row r="20" spans="2:8" ht="15.75" customHeight="1" x14ac:dyDescent="0.2">
      <c r="B20" s="28" t="s">
        <v>769</v>
      </c>
      <c r="C20" s="28" t="s">
        <v>770</v>
      </c>
      <c r="D20" s="28" t="s">
        <v>179</v>
      </c>
      <c r="E20" s="29">
        <v>3143219</v>
      </c>
      <c r="F20" s="30">
        <v>1274.26</v>
      </c>
      <c r="G20" s="31">
        <v>1.9300000000000001E-2</v>
      </c>
      <c r="H20" s="32"/>
    </row>
    <row r="21" spans="2:8" ht="15.75" customHeight="1" x14ac:dyDescent="0.2">
      <c r="B21" s="28" t="s">
        <v>771</v>
      </c>
      <c r="C21" s="28" t="s">
        <v>772</v>
      </c>
      <c r="D21" s="28" t="s">
        <v>287</v>
      </c>
      <c r="E21" s="29">
        <v>135929</v>
      </c>
      <c r="F21" s="30">
        <v>1260.06</v>
      </c>
      <c r="G21" s="31">
        <v>1.9099999999999999E-2</v>
      </c>
      <c r="H21" s="32"/>
    </row>
    <row r="22" spans="2:8" ht="15.75" customHeight="1" x14ac:dyDescent="0.2">
      <c r="B22" s="28" t="s">
        <v>544</v>
      </c>
      <c r="C22" s="28" t="s">
        <v>545</v>
      </c>
      <c r="D22" s="28" t="s">
        <v>431</v>
      </c>
      <c r="E22" s="29">
        <v>123311</v>
      </c>
      <c r="F22" s="30">
        <v>1251.8499999999999</v>
      </c>
      <c r="G22" s="31">
        <v>1.9E-2</v>
      </c>
      <c r="H22" s="32"/>
    </row>
    <row r="23" spans="2:8" ht="15.75" customHeight="1" x14ac:dyDescent="0.2">
      <c r="B23" s="28" t="s">
        <v>260</v>
      </c>
      <c r="C23" s="28" t="s">
        <v>261</v>
      </c>
      <c r="D23" s="28" t="s">
        <v>251</v>
      </c>
      <c r="E23" s="29">
        <v>277939</v>
      </c>
      <c r="F23" s="30">
        <v>1235.58</v>
      </c>
      <c r="G23" s="31">
        <v>1.8700000000000001E-2</v>
      </c>
      <c r="H23" s="32"/>
    </row>
    <row r="24" spans="2:8" ht="15.75" customHeight="1" x14ac:dyDescent="0.2">
      <c r="B24" s="28" t="s">
        <v>663</v>
      </c>
      <c r="C24" s="28" t="s">
        <v>664</v>
      </c>
      <c r="D24" s="28" t="s">
        <v>179</v>
      </c>
      <c r="E24" s="29">
        <v>213752</v>
      </c>
      <c r="F24" s="30">
        <v>1224.26</v>
      </c>
      <c r="G24" s="31">
        <v>1.8499999999999999E-2</v>
      </c>
      <c r="H24" s="32"/>
    </row>
    <row r="25" spans="2:8" ht="15.75" customHeight="1" x14ac:dyDescent="0.2">
      <c r="B25" s="28" t="s">
        <v>648</v>
      </c>
      <c r="C25" s="28" t="s">
        <v>649</v>
      </c>
      <c r="D25" s="28" t="s">
        <v>190</v>
      </c>
      <c r="E25" s="29">
        <v>78481</v>
      </c>
      <c r="F25" s="30">
        <v>1221.24</v>
      </c>
      <c r="G25" s="31">
        <v>1.8499999999999999E-2</v>
      </c>
      <c r="H25" s="32"/>
    </row>
    <row r="26" spans="2:8" ht="15.75" customHeight="1" x14ac:dyDescent="0.2">
      <c r="B26" s="28" t="s">
        <v>569</v>
      </c>
      <c r="C26" s="28" t="s">
        <v>570</v>
      </c>
      <c r="D26" s="28" t="s">
        <v>571</v>
      </c>
      <c r="E26" s="29">
        <v>337832</v>
      </c>
      <c r="F26" s="30">
        <v>1168.73</v>
      </c>
      <c r="G26" s="31">
        <v>1.77E-2</v>
      </c>
      <c r="H26" s="32"/>
    </row>
    <row r="27" spans="2:8" ht="15.75" customHeight="1" x14ac:dyDescent="0.2">
      <c r="B27" s="28" t="s">
        <v>479</v>
      </c>
      <c r="C27" s="28" t="s">
        <v>480</v>
      </c>
      <c r="D27" s="28" t="s">
        <v>431</v>
      </c>
      <c r="E27" s="29">
        <v>38715</v>
      </c>
      <c r="F27" s="30">
        <v>1150.42</v>
      </c>
      <c r="G27" s="31">
        <v>1.7399999999999999E-2</v>
      </c>
      <c r="H27" s="32"/>
    </row>
    <row r="28" spans="2:8" ht="15.75" customHeight="1" x14ac:dyDescent="0.2">
      <c r="B28" s="28" t="s">
        <v>454</v>
      </c>
      <c r="C28" s="28" t="s">
        <v>455</v>
      </c>
      <c r="D28" s="28" t="s">
        <v>238</v>
      </c>
      <c r="E28" s="29">
        <v>64447</v>
      </c>
      <c r="F28" s="30">
        <v>1120.1500000000001</v>
      </c>
      <c r="G28" s="31">
        <v>1.7000000000000001E-2</v>
      </c>
      <c r="H28" s="32"/>
    </row>
    <row r="29" spans="2:8" ht="15.75" customHeight="1" x14ac:dyDescent="0.2">
      <c r="B29" s="28" t="s">
        <v>773</v>
      </c>
      <c r="C29" s="28" t="s">
        <v>774</v>
      </c>
      <c r="D29" s="28" t="s">
        <v>321</v>
      </c>
      <c r="E29" s="29">
        <v>367150</v>
      </c>
      <c r="F29" s="30">
        <v>1118.5999999999999</v>
      </c>
      <c r="G29" s="31">
        <v>1.6899999999999998E-2</v>
      </c>
      <c r="H29" s="32"/>
    </row>
    <row r="30" spans="2:8" ht="15.75" customHeight="1" x14ac:dyDescent="0.2">
      <c r="B30" s="28" t="s">
        <v>775</v>
      </c>
      <c r="C30" s="28" t="s">
        <v>776</v>
      </c>
      <c r="D30" s="28" t="s">
        <v>641</v>
      </c>
      <c r="E30" s="29">
        <v>41010</v>
      </c>
      <c r="F30" s="30">
        <v>1117.52</v>
      </c>
      <c r="G30" s="31">
        <v>1.6899999999999998E-2</v>
      </c>
      <c r="H30" s="32"/>
    </row>
    <row r="31" spans="2:8" ht="15.75" customHeight="1" x14ac:dyDescent="0.2">
      <c r="B31" s="28" t="s">
        <v>332</v>
      </c>
      <c r="C31" s="28" t="s">
        <v>333</v>
      </c>
      <c r="D31" s="28" t="s">
        <v>190</v>
      </c>
      <c r="E31" s="29">
        <v>326325</v>
      </c>
      <c r="F31" s="30">
        <v>1109.18</v>
      </c>
      <c r="G31" s="31">
        <v>1.6799999999999999E-2</v>
      </c>
      <c r="H31" s="32"/>
    </row>
    <row r="32" spans="2:8" ht="15.75" customHeight="1" x14ac:dyDescent="0.2">
      <c r="B32" s="28" t="s">
        <v>777</v>
      </c>
      <c r="C32" s="28" t="s">
        <v>778</v>
      </c>
      <c r="D32" s="28" t="s">
        <v>187</v>
      </c>
      <c r="E32" s="29">
        <v>223053</v>
      </c>
      <c r="F32" s="30">
        <v>1099.54</v>
      </c>
      <c r="G32" s="31">
        <v>1.67E-2</v>
      </c>
      <c r="H32" s="32"/>
    </row>
    <row r="33" spans="2:8" ht="15.75" customHeight="1" x14ac:dyDescent="0.2">
      <c r="B33" s="28" t="s">
        <v>779</v>
      </c>
      <c r="C33" s="28" t="s">
        <v>780</v>
      </c>
      <c r="D33" s="28" t="s">
        <v>321</v>
      </c>
      <c r="E33" s="29">
        <v>1221002</v>
      </c>
      <c r="F33" s="30">
        <v>1065.93</v>
      </c>
      <c r="G33" s="31">
        <v>1.61E-2</v>
      </c>
      <c r="H33" s="32"/>
    </row>
    <row r="34" spans="2:8" ht="15.75" customHeight="1" x14ac:dyDescent="0.2">
      <c r="B34" s="28" t="s">
        <v>757</v>
      </c>
      <c r="C34" s="28" t="s">
        <v>758</v>
      </c>
      <c r="D34" s="28" t="s">
        <v>641</v>
      </c>
      <c r="E34" s="29">
        <v>107368</v>
      </c>
      <c r="F34" s="30">
        <v>1029.6099999999999</v>
      </c>
      <c r="G34" s="31">
        <v>1.5599999999999999E-2</v>
      </c>
      <c r="H34" s="32"/>
    </row>
    <row r="35" spans="2:8" ht="15.75" customHeight="1" x14ac:dyDescent="0.2">
      <c r="B35" s="28" t="s">
        <v>322</v>
      </c>
      <c r="C35" s="28" t="s">
        <v>323</v>
      </c>
      <c r="D35" s="28" t="s">
        <v>321</v>
      </c>
      <c r="E35" s="29">
        <v>178586</v>
      </c>
      <c r="F35" s="30">
        <v>1007.76</v>
      </c>
      <c r="G35" s="31">
        <v>1.5299999999999999E-2</v>
      </c>
      <c r="H35" s="32"/>
    </row>
    <row r="36" spans="2:8" ht="15.75" customHeight="1" x14ac:dyDescent="0.2">
      <c r="B36" s="28" t="s">
        <v>549</v>
      </c>
      <c r="C36" s="28" t="s">
        <v>550</v>
      </c>
      <c r="D36" s="28" t="s">
        <v>238</v>
      </c>
      <c r="E36" s="29">
        <v>6653</v>
      </c>
      <c r="F36" s="30">
        <v>998.15</v>
      </c>
      <c r="G36" s="31">
        <v>1.5100000000000001E-2</v>
      </c>
      <c r="H36" s="32"/>
    </row>
    <row r="37" spans="2:8" ht="15.75" customHeight="1" x14ac:dyDescent="0.2">
      <c r="B37" s="28" t="s">
        <v>781</v>
      </c>
      <c r="C37" s="28" t="s">
        <v>782</v>
      </c>
      <c r="D37" s="28" t="s">
        <v>321</v>
      </c>
      <c r="E37" s="29">
        <v>22590</v>
      </c>
      <c r="F37" s="30">
        <v>997.96</v>
      </c>
      <c r="G37" s="31">
        <v>1.5100000000000001E-2</v>
      </c>
      <c r="H37" s="32"/>
    </row>
    <row r="38" spans="2:8" ht="15.75" customHeight="1" x14ac:dyDescent="0.2">
      <c r="B38" s="28" t="s">
        <v>462</v>
      </c>
      <c r="C38" s="28" t="s">
        <v>463</v>
      </c>
      <c r="D38" s="28" t="s">
        <v>238</v>
      </c>
      <c r="E38" s="29">
        <v>605456</v>
      </c>
      <c r="F38" s="30">
        <v>980.05</v>
      </c>
      <c r="G38" s="31">
        <v>1.4800000000000001E-2</v>
      </c>
      <c r="H38" s="32"/>
    </row>
    <row r="39" spans="2:8" ht="15.75" customHeight="1" x14ac:dyDescent="0.2">
      <c r="B39" s="28" t="s">
        <v>350</v>
      </c>
      <c r="C39" s="28" t="s">
        <v>351</v>
      </c>
      <c r="D39" s="28" t="s">
        <v>318</v>
      </c>
      <c r="E39" s="29">
        <v>75784</v>
      </c>
      <c r="F39" s="30">
        <v>972.5</v>
      </c>
      <c r="G39" s="31">
        <v>1.47E-2</v>
      </c>
      <c r="H39" s="32"/>
    </row>
    <row r="40" spans="2:8" ht="15.75" customHeight="1" x14ac:dyDescent="0.2">
      <c r="B40" s="28" t="s">
        <v>488</v>
      </c>
      <c r="C40" s="28" t="s">
        <v>489</v>
      </c>
      <c r="D40" s="28" t="s">
        <v>490</v>
      </c>
      <c r="E40" s="29">
        <v>86927</v>
      </c>
      <c r="F40" s="30">
        <v>952.55</v>
      </c>
      <c r="G40" s="31">
        <v>1.44E-2</v>
      </c>
      <c r="H40" s="32"/>
    </row>
    <row r="41" spans="2:8" ht="15.75" customHeight="1" x14ac:dyDescent="0.2">
      <c r="B41" s="28" t="s">
        <v>415</v>
      </c>
      <c r="C41" s="28" t="s">
        <v>416</v>
      </c>
      <c r="D41" s="28" t="s">
        <v>238</v>
      </c>
      <c r="E41" s="29">
        <v>19718</v>
      </c>
      <c r="F41" s="30">
        <v>928.84</v>
      </c>
      <c r="G41" s="31">
        <v>1.41E-2</v>
      </c>
      <c r="H41" s="32"/>
    </row>
    <row r="42" spans="2:8" ht="15.75" customHeight="1" x14ac:dyDescent="0.2">
      <c r="B42" s="28" t="s">
        <v>425</v>
      </c>
      <c r="C42" s="28" t="s">
        <v>426</v>
      </c>
      <c r="D42" s="28" t="s">
        <v>173</v>
      </c>
      <c r="E42" s="29">
        <v>482344</v>
      </c>
      <c r="F42" s="30">
        <v>900.83</v>
      </c>
      <c r="G42" s="31">
        <v>1.3599999999999999E-2</v>
      </c>
      <c r="H42" s="32"/>
    </row>
    <row r="43" spans="2:8" ht="15.75" customHeight="1" x14ac:dyDescent="0.2">
      <c r="B43" s="28" t="s">
        <v>783</v>
      </c>
      <c r="C43" s="28" t="s">
        <v>784</v>
      </c>
      <c r="D43" s="28" t="s">
        <v>248</v>
      </c>
      <c r="E43" s="29">
        <v>264522</v>
      </c>
      <c r="F43" s="30">
        <v>900.7</v>
      </c>
      <c r="G43" s="31">
        <v>1.3599999999999999E-2</v>
      </c>
      <c r="H43" s="32"/>
    </row>
    <row r="44" spans="2:8" ht="15.75" customHeight="1" x14ac:dyDescent="0.2">
      <c r="B44" s="28" t="s">
        <v>520</v>
      </c>
      <c r="C44" s="28" t="s">
        <v>521</v>
      </c>
      <c r="D44" s="28" t="s">
        <v>173</v>
      </c>
      <c r="E44" s="29">
        <v>1573408</v>
      </c>
      <c r="F44" s="30">
        <v>894.95</v>
      </c>
      <c r="G44" s="31">
        <v>1.3599999999999999E-2</v>
      </c>
      <c r="H44" s="32"/>
    </row>
    <row r="45" spans="2:8" ht="15.75" customHeight="1" x14ac:dyDescent="0.2">
      <c r="B45" s="28" t="s">
        <v>339</v>
      </c>
      <c r="C45" s="28" t="s">
        <v>340</v>
      </c>
      <c r="D45" s="28" t="s">
        <v>196</v>
      </c>
      <c r="E45" s="29">
        <v>137080</v>
      </c>
      <c r="F45" s="30">
        <v>874.98</v>
      </c>
      <c r="G45" s="31">
        <v>1.3299999999999999E-2</v>
      </c>
      <c r="H45" s="32"/>
    </row>
    <row r="46" spans="2:8" ht="15.75" customHeight="1" x14ac:dyDescent="0.2">
      <c r="B46" s="28" t="s">
        <v>785</v>
      </c>
      <c r="C46" s="28" t="s">
        <v>786</v>
      </c>
      <c r="D46" s="28" t="s">
        <v>179</v>
      </c>
      <c r="E46" s="29">
        <v>5828</v>
      </c>
      <c r="F46" s="30">
        <v>856.66</v>
      </c>
      <c r="G46" s="31">
        <v>1.2999999999999999E-2</v>
      </c>
      <c r="H46" s="32"/>
    </row>
    <row r="47" spans="2:8" ht="15.75" customHeight="1" x14ac:dyDescent="0.2">
      <c r="B47" s="28" t="s">
        <v>665</v>
      </c>
      <c r="C47" s="28" t="s">
        <v>666</v>
      </c>
      <c r="D47" s="28" t="s">
        <v>321</v>
      </c>
      <c r="E47" s="29">
        <v>206828</v>
      </c>
      <c r="F47" s="30">
        <v>835.38</v>
      </c>
      <c r="G47" s="31">
        <v>1.2699999999999999E-2</v>
      </c>
      <c r="H47" s="32"/>
    </row>
    <row r="48" spans="2:8" ht="15.75" customHeight="1" x14ac:dyDescent="0.2">
      <c r="B48" s="28" t="s">
        <v>376</v>
      </c>
      <c r="C48" s="28" t="s">
        <v>377</v>
      </c>
      <c r="D48" s="28" t="s">
        <v>378</v>
      </c>
      <c r="E48" s="29">
        <v>265776</v>
      </c>
      <c r="F48" s="30">
        <v>826.3</v>
      </c>
      <c r="G48" s="31">
        <v>1.2500000000000001E-2</v>
      </c>
      <c r="H48" s="32"/>
    </row>
    <row r="49" spans="2:8" ht="15.75" customHeight="1" x14ac:dyDescent="0.2">
      <c r="B49" s="28" t="s">
        <v>586</v>
      </c>
      <c r="C49" s="28" t="s">
        <v>587</v>
      </c>
      <c r="D49" s="28" t="s">
        <v>196</v>
      </c>
      <c r="E49" s="29">
        <v>116973</v>
      </c>
      <c r="F49" s="30">
        <v>791.5</v>
      </c>
      <c r="G49" s="31">
        <v>1.2E-2</v>
      </c>
      <c r="H49" s="32"/>
    </row>
    <row r="50" spans="2:8" ht="15.75" customHeight="1" x14ac:dyDescent="0.2">
      <c r="B50" s="28" t="s">
        <v>787</v>
      </c>
      <c r="C50" s="28" t="s">
        <v>788</v>
      </c>
      <c r="D50" s="28" t="s">
        <v>271</v>
      </c>
      <c r="E50" s="29">
        <v>314456</v>
      </c>
      <c r="F50" s="30">
        <v>780.35</v>
      </c>
      <c r="G50" s="31">
        <v>1.18E-2</v>
      </c>
      <c r="H50" s="32"/>
    </row>
    <row r="51" spans="2:8" ht="15.75" customHeight="1" x14ac:dyDescent="0.2">
      <c r="B51" s="28" t="s">
        <v>789</v>
      </c>
      <c r="C51" s="28" t="s">
        <v>790</v>
      </c>
      <c r="D51" s="28" t="s">
        <v>274</v>
      </c>
      <c r="E51" s="29">
        <v>263497</v>
      </c>
      <c r="F51" s="30">
        <v>751.47</v>
      </c>
      <c r="G51" s="31">
        <v>1.14E-2</v>
      </c>
      <c r="H51" s="32"/>
    </row>
    <row r="52" spans="2:8" ht="15.75" customHeight="1" x14ac:dyDescent="0.2">
      <c r="B52" s="28" t="s">
        <v>791</v>
      </c>
      <c r="C52" s="28" t="s">
        <v>792</v>
      </c>
      <c r="D52" s="28" t="s">
        <v>321</v>
      </c>
      <c r="E52" s="29">
        <v>34109</v>
      </c>
      <c r="F52" s="30">
        <v>749.17</v>
      </c>
      <c r="G52" s="31">
        <v>1.14E-2</v>
      </c>
      <c r="H52" s="32"/>
    </row>
    <row r="53" spans="2:8" ht="15.75" customHeight="1" x14ac:dyDescent="0.2">
      <c r="B53" s="28" t="s">
        <v>793</v>
      </c>
      <c r="C53" s="28" t="s">
        <v>794</v>
      </c>
      <c r="D53" s="28" t="s">
        <v>406</v>
      </c>
      <c r="E53" s="29">
        <v>87837</v>
      </c>
      <c r="F53" s="30">
        <v>712.4</v>
      </c>
      <c r="G53" s="31">
        <v>1.0800000000000001E-2</v>
      </c>
      <c r="H53" s="32"/>
    </row>
    <row r="54" spans="2:8" ht="15.75" customHeight="1" x14ac:dyDescent="0.2">
      <c r="B54" s="28" t="s">
        <v>574</v>
      </c>
      <c r="C54" s="28" t="s">
        <v>575</v>
      </c>
      <c r="D54" s="28" t="s">
        <v>345</v>
      </c>
      <c r="E54" s="29">
        <v>53560</v>
      </c>
      <c r="F54" s="30">
        <v>708.22</v>
      </c>
      <c r="G54" s="31">
        <v>1.0699999999999999E-2</v>
      </c>
      <c r="H54" s="32"/>
    </row>
    <row r="55" spans="2:8" ht="15.75" customHeight="1" x14ac:dyDescent="0.2">
      <c r="B55" s="28" t="s">
        <v>572</v>
      </c>
      <c r="C55" s="28" t="s">
        <v>573</v>
      </c>
      <c r="D55" s="28" t="s">
        <v>434</v>
      </c>
      <c r="E55" s="29">
        <v>38758</v>
      </c>
      <c r="F55" s="30">
        <v>700.01</v>
      </c>
      <c r="G55" s="31">
        <v>1.06E-2</v>
      </c>
      <c r="H55" s="32"/>
    </row>
    <row r="56" spans="2:8" ht="15.75" customHeight="1" x14ac:dyDescent="0.2">
      <c r="B56" s="28" t="s">
        <v>795</v>
      </c>
      <c r="C56" s="28" t="s">
        <v>796</v>
      </c>
      <c r="D56" s="28" t="s">
        <v>345</v>
      </c>
      <c r="E56" s="29">
        <v>37549</v>
      </c>
      <c r="F56" s="30">
        <v>697.36</v>
      </c>
      <c r="G56" s="31">
        <v>1.06E-2</v>
      </c>
      <c r="H56" s="32"/>
    </row>
    <row r="57" spans="2:8" ht="15.75" customHeight="1" x14ac:dyDescent="0.2">
      <c r="B57" s="28" t="s">
        <v>797</v>
      </c>
      <c r="C57" s="28" t="s">
        <v>798</v>
      </c>
      <c r="D57" s="28" t="s">
        <v>196</v>
      </c>
      <c r="E57" s="29">
        <v>81106</v>
      </c>
      <c r="F57" s="30">
        <v>684.53</v>
      </c>
      <c r="G57" s="31">
        <v>1.04E-2</v>
      </c>
      <c r="H57" s="32"/>
    </row>
    <row r="58" spans="2:8" ht="15.75" customHeight="1" x14ac:dyDescent="0.2">
      <c r="B58" s="28" t="s">
        <v>799</v>
      </c>
      <c r="C58" s="28" t="s">
        <v>800</v>
      </c>
      <c r="D58" s="28" t="s">
        <v>173</v>
      </c>
      <c r="E58" s="29">
        <v>250000</v>
      </c>
      <c r="F58" s="30">
        <v>675.23</v>
      </c>
      <c r="G58" s="31">
        <v>1.0200000000000001E-2</v>
      </c>
      <c r="H58" s="32"/>
    </row>
    <row r="59" spans="2:8" ht="15.75" customHeight="1" x14ac:dyDescent="0.2">
      <c r="B59" s="28" t="s">
        <v>667</v>
      </c>
      <c r="C59" s="28" t="s">
        <v>668</v>
      </c>
      <c r="D59" s="28" t="s">
        <v>321</v>
      </c>
      <c r="E59" s="29">
        <v>25158</v>
      </c>
      <c r="F59" s="30">
        <v>665.43</v>
      </c>
      <c r="G59" s="31">
        <v>1.01E-2</v>
      </c>
      <c r="H59" s="32"/>
    </row>
    <row r="60" spans="2:8" ht="15.75" customHeight="1" x14ac:dyDescent="0.2">
      <c r="B60" s="28" t="s">
        <v>565</v>
      </c>
      <c r="C60" s="28" t="s">
        <v>566</v>
      </c>
      <c r="D60" s="28" t="s">
        <v>383</v>
      </c>
      <c r="E60" s="29">
        <v>46399</v>
      </c>
      <c r="F60" s="30">
        <v>659.65</v>
      </c>
      <c r="G60" s="31">
        <v>0.01</v>
      </c>
      <c r="H60" s="32"/>
    </row>
    <row r="61" spans="2:8" ht="15.75" customHeight="1" x14ac:dyDescent="0.2">
      <c r="B61" s="28" t="s">
        <v>352</v>
      </c>
      <c r="C61" s="28" t="s">
        <v>353</v>
      </c>
      <c r="D61" s="28" t="s">
        <v>321</v>
      </c>
      <c r="E61" s="29">
        <v>16531</v>
      </c>
      <c r="F61" s="30">
        <v>654.13</v>
      </c>
      <c r="G61" s="31">
        <v>9.9000000000000008E-3</v>
      </c>
      <c r="H61" s="32"/>
    </row>
    <row r="62" spans="2:8" ht="15.75" customHeight="1" x14ac:dyDescent="0.2">
      <c r="B62" s="28" t="s">
        <v>801</v>
      </c>
      <c r="C62" s="28" t="s">
        <v>802</v>
      </c>
      <c r="D62" s="28" t="s">
        <v>406</v>
      </c>
      <c r="E62" s="29">
        <v>159963</v>
      </c>
      <c r="F62" s="30">
        <v>637.53</v>
      </c>
      <c r="G62" s="31">
        <v>9.7000000000000003E-3</v>
      </c>
      <c r="H62" s="32"/>
    </row>
    <row r="63" spans="2:8" ht="15.75" customHeight="1" x14ac:dyDescent="0.2">
      <c r="B63" s="28" t="s">
        <v>803</v>
      </c>
      <c r="C63" s="28" t="s">
        <v>804</v>
      </c>
      <c r="D63" s="28" t="s">
        <v>271</v>
      </c>
      <c r="E63" s="29">
        <v>260019</v>
      </c>
      <c r="F63" s="30">
        <v>595.21</v>
      </c>
      <c r="G63" s="31">
        <v>8.9999999999999993E-3</v>
      </c>
      <c r="H63" s="32"/>
    </row>
    <row r="64" spans="2:8" ht="15.75" customHeight="1" x14ac:dyDescent="0.2">
      <c r="B64" s="28" t="s">
        <v>805</v>
      </c>
      <c r="C64" s="28" t="s">
        <v>806</v>
      </c>
      <c r="D64" s="28" t="s">
        <v>219</v>
      </c>
      <c r="E64" s="29">
        <v>209236</v>
      </c>
      <c r="F64" s="30">
        <v>569.08000000000004</v>
      </c>
      <c r="G64" s="31">
        <v>8.6E-3</v>
      </c>
      <c r="H64" s="32"/>
    </row>
    <row r="65" spans="2:14" ht="15.75" customHeight="1" x14ac:dyDescent="0.2">
      <c r="B65" s="28" t="s">
        <v>761</v>
      </c>
      <c r="C65" s="28" t="s">
        <v>762</v>
      </c>
      <c r="D65" s="28" t="s">
        <v>287</v>
      </c>
      <c r="E65" s="29">
        <v>483471</v>
      </c>
      <c r="F65" s="30">
        <v>485.16</v>
      </c>
      <c r="G65" s="31">
        <v>7.4000000000000003E-3</v>
      </c>
      <c r="H65" s="32"/>
    </row>
    <row r="66" spans="2:14" ht="15.75" customHeight="1" x14ac:dyDescent="0.2">
      <c r="B66" s="28" t="s">
        <v>609</v>
      </c>
      <c r="C66" s="28" t="s">
        <v>610</v>
      </c>
      <c r="D66" s="28" t="s">
        <v>395</v>
      </c>
      <c r="E66" s="29">
        <v>83187</v>
      </c>
      <c r="F66" s="30">
        <v>396.39</v>
      </c>
      <c r="G66" s="31">
        <v>6.0000000000000001E-3</v>
      </c>
      <c r="H66" s="32"/>
    </row>
    <row r="67" spans="2:14" ht="15.75" customHeight="1" x14ac:dyDescent="0.2">
      <c r="B67" s="27" t="s">
        <v>129</v>
      </c>
      <c r="C67" s="27"/>
      <c r="D67" s="27"/>
      <c r="E67" s="33"/>
      <c r="F67" s="34">
        <v>63519.35</v>
      </c>
      <c r="G67" s="35">
        <v>0.96230000000000004</v>
      </c>
      <c r="H67" s="36"/>
    </row>
    <row r="68" spans="2:14" ht="15.75" customHeight="1" x14ac:dyDescent="0.2">
      <c r="B68" s="27" t="s">
        <v>197</v>
      </c>
      <c r="C68" s="28"/>
      <c r="D68" s="28"/>
      <c r="E68" s="29"/>
      <c r="F68" s="30"/>
      <c r="G68" s="31"/>
      <c r="H68" s="32"/>
      <c r="J68" s="3"/>
    </row>
    <row r="69" spans="2:14" ht="15.75" customHeight="1" x14ac:dyDescent="0.2">
      <c r="B69" s="27" t="s">
        <v>129</v>
      </c>
      <c r="C69" s="28"/>
      <c r="D69" s="28"/>
      <c r="E69" s="29"/>
      <c r="F69" s="37" t="s">
        <v>131</v>
      </c>
      <c r="G69" s="38" t="s">
        <v>131</v>
      </c>
      <c r="H69" s="32"/>
    </row>
    <row r="70" spans="2:14" ht="15.75" customHeight="1" x14ac:dyDescent="0.2">
      <c r="B70" s="28"/>
      <c r="C70" s="28"/>
      <c r="D70" s="28"/>
      <c r="E70" s="29"/>
      <c r="F70" s="30"/>
      <c r="G70" s="31"/>
      <c r="H70" s="32"/>
      <c r="J70" s="3"/>
    </row>
    <row r="71" spans="2:14" ht="15.75" customHeight="1" x14ac:dyDescent="0.2">
      <c r="B71" s="39" t="s">
        <v>133</v>
      </c>
      <c r="C71" s="39"/>
      <c r="D71" s="39"/>
      <c r="E71" s="40"/>
      <c r="F71" s="34">
        <v>63519.35</v>
      </c>
      <c r="G71" s="35">
        <v>0.96230000000000004</v>
      </c>
      <c r="H71" s="36"/>
      <c r="J71" s="3"/>
    </row>
    <row r="72" spans="2:14" ht="15.75" customHeight="1" x14ac:dyDescent="0.2">
      <c r="B72" s="28"/>
      <c r="C72" s="28"/>
      <c r="D72" s="28"/>
      <c r="E72" s="29"/>
      <c r="F72" s="30"/>
      <c r="G72" s="31"/>
      <c r="H72" s="32"/>
      <c r="J72" s="3"/>
    </row>
    <row r="73" spans="2:14" ht="15.75" customHeight="1" x14ac:dyDescent="0.2">
      <c r="B73" s="28"/>
      <c r="C73" s="28"/>
      <c r="D73" s="28"/>
      <c r="E73" s="29"/>
      <c r="F73" s="30"/>
      <c r="G73" s="31"/>
      <c r="H73" s="32"/>
      <c r="J73" s="3"/>
    </row>
    <row r="74" spans="2:14" ht="15.75" customHeight="1" x14ac:dyDescent="0.2">
      <c r="B74" s="27" t="s">
        <v>139</v>
      </c>
      <c r="C74" s="28"/>
      <c r="D74" s="28"/>
      <c r="E74" s="29"/>
      <c r="F74" s="30"/>
      <c r="G74" s="31"/>
      <c r="H74" s="32"/>
      <c r="J74" s="3"/>
    </row>
    <row r="75" spans="2:14" ht="15.75" customHeight="1" x14ac:dyDescent="0.2">
      <c r="B75" s="28" t="s">
        <v>140</v>
      </c>
      <c r="C75" s="28"/>
      <c r="D75" s="28"/>
      <c r="E75" s="29"/>
      <c r="F75" s="30">
        <v>2866.98</v>
      </c>
      <c r="G75" s="31">
        <v>4.3400000000000001E-2</v>
      </c>
      <c r="H75" s="32"/>
      <c r="J75" s="5"/>
      <c r="K75" s="5"/>
      <c r="L75" s="6"/>
      <c r="M75" s="6"/>
      <c r="N75" s="5"/>
    </row>
    <row r="76" spans="2:14" ht="15.75" customHeight="1" x14ac:dyDescent="0.2">
      <c r="B76" s="27" t="s">
        <v>129</v>
      </c>
      <c r="C76" s="27"/>
      <c r="D76" s="27"/>
      <c r="E76" s="33"/>
      <c r="F76" s="34">
        <v>2866.98</v>
      </c>
      <c r="G76" s="35">
        <v>4.3400000000000001E-2</v>
      </c>
      <c r="H76" s="36"/>
    </row>
    <row r="77" spans="2:14" ht="15.75" customHeight="1" x14ac:dyDescent="0.2">
      <c r="B77" s="28"/>
      <c r="C77" s="28"/>
      <c r="D77" s="28"/>
      <c r="E77" s="29"/>
      <c r="F77" s="30"/>
      <c r="G77" s="31"/>
      <c r="H77" s="32"/>
    </row>
    <row r="78" spans="2:14" ht="15.75" customHeight="1" x14ac:dyDescent="0.2">
      <c r="B78" s="39" t="s">
        <v>133</v>
      </c>
      <c r="C78" s="39"/>
      <c r="D78" s="39"/>
      <c r="E78" s="40"/>
      <c r="F78" s="34">
        <v>2866.98</v>
      </c>
      <c r="G78" s="35">
        <v>4.3400000000000001E-2</v>
      </c>
      <c r="H78" s="36"/>
      <c r="J78" s="7"/>
      <c r="K78" s="7"/>
      <c r="L78" s="7"/>
      <c r="M78" s="7"/>
      <c r="N78" s="7"/>
    </row>
    <row r="79" spans="2:14" ht="15.75" customHeight="1" x14ac:dyDescent="0.2">
      <c r="B79" s="28" t="s">
        <v>141</v>
      </c>
      <c r="C79" s="28"/>
      <c r="D79" s="28"/>
      <c r="E79" s="29"/>
      <c r="F79" s="50">
        <v>-381.35</v>
      </c>
      <c r="G79" s="51">
        <v>-5.7000000000000384E-3</v>
      </c>
      <c r="H79" s="32"/>
      <c r="J79" s="7"/>
      <c r="K79" s="7"/>
      <c r="L79" s="7"/>
      <c r="M79" s="7"/>
      <c r="N79" s="7"/>
    </row>
    <row r="80" spans="2:14" ht="15.75" customHeight="1" x14ac:dyDescent="0.2">
      <c r="B80" s="41" t="s">
        <v>142</v>
      </c>
      <c r="C80" s="41"/>
      <c r="D80" s="41"/>
      <c r="E80" s="42"/>
      <c r="F80" s="43">
        <v>66004.98</v>
      </c>
      <c r="G80" s="44">
        <v>1</v>
      </c>
      <c r="H80" s="45"/>
      <c r="J80" s="7"/>
      <c r="K80" s="7"/>
      <c r="L80" s="7"/>
      <c r="M80" s="7"/>
      <c r="N80" s="7"/>
    </row>
    <row r="81" spans="2:14" ht="15.75" customHeight="1" x14ac:dyDescent="0.2">
      <c r="B81" s="2"/>
      <c r="J81" s="7"/>
      <c r="K81" s="7"/>
      <c r="L81" s="7"/>
      <c r="M81" s="7"/>
      <c r="N81" s="7"/>
    </row>
    <row r="82" spans="2:14" s="7" customFormat="1" ht="15.6" customHeight="1" x14ac:dyDescent="0.25">
      <c r="B82" s="63" t="s">
        <v>1067</v>
      </c>
      <c r="C82" s="70"/>
      <c r="D82" s="70"/>
      <c r="E82" s="70"/>
      <c r="F82" s="70"/>
      <c r="G82" s="70"/>
      <c r="H82" s="64"/>
    </row>
    <row r="83" spans="2:14" s="7" customFormat="1" ht="15.6" customHeight="1" x14ac:dyDescent="0.25">
      <c r="B83" s="63" t="s">
        <v>1108</v>
      </c>
      <c r="C83" s="70"/>
      <c r="D83" s="70"/>
      <c r="E83" s="70"/>
      <c r="F83" s="70"/>
      <c r="G83" s="70"/>
      <c r="H83" s="64"/>
    </row>
    <row r="84" spans="2:14" s="7" customFormat="1" ht="15.6" customHeight="1" x14ac:dyDescent="0.25">
      <c r="B84" s="63" t="s">
        <v>1068</v>
      </c>
      <c r="C84" s="70"/>
      <c r="D84" s="70"/>
      <c r="E84" s="70"/>
      <c r="F84" s="70"/>
      <c r="G84" s="70"/>
      <c r="H84" s="64"/>
    </row>
    <row r="85" spans="2:14" s="7" customFormat="1" ht="15.6" customHeight="1" x14ac:dyDescent="0.25">
      <c r="B85" s="71"/>
      <c r="C85" s="65">
        <v>46142</v>
      </c>
      <c r="D85" s="65">
        <v>46112</v>
      </c>
      <c r="E85" s="70"/>
      <c r="F85" s="70"/>
      <c r="G85" s="70"/>
      <c r="H85" s="64"/>
    </row>
    <row r="86" spans="2:14" s="7" customFormat="1" ht="15.6" customHeight="1" x14ac:dyDescent="0.25">
      <c r="B86" s="71" t="s">
        <v>1069</v>
      </c>
      <c r="C86" s="66"/>
      <c r="D86" s="66"/>
      <c r="E86" s="70"/>
      <c r="F86" s="70"/>
      <c r="G86" s="70"/>
      <c r="H86" s="64"/>
    </row>
    <row r="87" spans="2:14" s="7" customFormat="1" ht="15.6" customHeight="1" x14ac:dyDescent="0.25">
      <c r="B87" s="71" t="s">
        <v>1070</v>
      </c>
      <c r="C87" s="67">
        <v>30.616200000000003</v>
      </c>
      <c r="D87" s="67">
        <v>25.927399999999999</v>
      </c>
      <c r="E87" s="70"/>
      <c r="F87" s="70"/>
      <c r="G87" s="70"/>
      <c r="H87" s="64"/>
    </row>
    <row r="88" spans="2:14" s="7" customFormat="1" ht="15.6" customHeight="1" x14ac:dyDescent="0.25">
      <c r="B88" s="71" t="s">
        <v>1071</v>
      </c>
      <c r="C88" s="67">
        <v>30.6159</v>
      </c>
      <c r="D88" s="67">
        <v>25.927099999999999</v>
      </c>
      <c r="E88" s="70"/>
      <c r="F88" s="70"/>
      <c r="G88" s="70"/>
      <c r="H88" s="64"/>
    </row>
    <row r="89" spans="2:14" s="7" customFormat="1" ht="15.6" customHeight="1" x14ac:dyDescent="0.25">
      <c r="B89" s="71" t="s">
        <v>1073</v>
      </c>
      <c r="C89" s="67">
        <v>34.636500000000005</v>
      </c>
      <c r="D89" s="67">
        <v>29.299700000000001</v>
      </c>
      <c r="E89" s="70"/>
      <c r="F89" s="70"/>
      <c r="G89" s="70"/>
      <c r="H89" s="64"/>
    </row>
    <row r="90" spans="2:14" s="7" customFormat="1" ht="15.6" customHeight="1" x14ac:dyDescent="0.25">
      <c r="B90" s="71" t="s">
        <v>1074</v>
      </c>
      <c r="C90" s="67">
        <v>34.629400000000004</v>
      </c>
      <c r="D90" s="67">
        <v>29.293900000000001</v>
      </c>
      <c r="E90" s="70"/>
      <c r="F90" s="70"/>
      <c r="G90" s="70"/>
      <c r="H90" s="64"/>
    </row>
    <row r="91" spans="2:14" s="7" customFormat="1" ht="15.6" customHeight="1" x14ac:dyDescent="0.25">
      <c r="B91" s="63" t="s">
        <v>1116</v>
      </c>
      <c r="C91" s="70"/>
      <c r="D91" s="70"/>
      <c r="E91" s="70"/>
      <c r="F91" s="70"/>
      <c r="G91" s="70"/>
      <c r="H91" s="64"/>
    </row>
    <row r="92" spans="2:14" s="7" customFormat="1" ht="15.6" customHeight="1" x14ac:dyDescent="0.25">
      <c r="B92" s="63" t="s">
        <v>1109</v>
      </c>
      <c r="C92" s="70"/>
      <c r="D92" s="70"/>
      <c r="E92" s="70"/>
      <c r="F92" s="70"/>
      <c r="G92" s="70"/>
      <c r="H92" s="64"/>
    </row>
    <row r="93" spans="2:14" s="7" customFormat="1" ht="15.6" customHeight="1" x14ac:dyDescent="0.25">
      <c r="B93" s="63" t="s">
        <v>1111</v>
      </c>
      <c r="C93" s="70"/>
      <c r="D93" s="70"/>
      <c r="E93" s="70"/>
      <c r="F93" s="70"/>
      <c r="G93" s="70"/>
      <c r="H93" s="64"/>
    </row>
    <row r="94" spans="2:14" s="7" customFormat="1" ht="15.6" customHeight="1" x14ac:dyDescent="0.25">
      <c r="B94" s="63" t="s">
        <v>1112</v>
      </c>
      <c r="C94" s="70"/>
      <c r="D94" s="70"/>
      <c r="E94" s="70"/>
      <c r="F94" s="70"/>
      <c r="G94" s="70"/>
      <c r="H94" s="64"/>
    </row>
    <row r="95" spans="2:14" s="7" customFormat="1" ht="15.6" customHeight="1" x14ac:dyDescent="0.25">
      <c r="B95" s="63" t="s">
        <v>1097</v>
      </c>
      <c r="C95" s="70"/>
      <c r="D95" s="70"/>
      <c r="E95" s="70"/>
      <c r="F95" s="70"/>
      <c r="G95" s="70"/>
      <c r="H95" s="64"/>
    </row>
    <row r="96" spans="2:14" s="7" customFormat="1" ht="15.6" customHeight="1" x14ac:dyDescent="0.25">
      <c r="B96" s="63" t="s">
        <v>1113</v>
      </c>
      <c r="C96" s="70"/>
      <c r="D96" s="70"/>
      <c r="E96" s="70"/>
      <c r="F96" s="70"/>
      <c r="G96" s="70"/>
      <c r="H96" s="64"/>
    </row>
    <row r="97" spans="2:14" s="7" customFormat="1" ht="15.6" customHeight="1" x14ac:dyDescent="0.25">
      <c r="B97" s="68" t="s">
        <v>1076</v>
      </c>
      <c r="C97" s="72"/>
      <c r="D97" s="72"/>
      <c r="E97" s="72"/>
      <c r="F97" s="72"/>
      <c r="G97" s="72"/>
      <c r="H97" s="69"/>
    </row>
    <row r="98" spans="2:14" ht="15.75" customHeight="1" thickBot="1" x14ac:dyDescent="0.25">
      <c r="J98" s="7"/>
      <c r="K98" s="7"/>
      <c r="L98" s="7"/>
      <c r="M98" s="7"/>
      <c r="N98" s="7"/>
    </row>
    <row r="99" spans="2:14" ht="39.75" customHeight="1" thickBot="1" x14ac:dyDescent="0.3">
      <c r="B99" s="46" t="s">
        <v>146</v>
      </c>
      <c r="C99" s="47" t="s">
        <v>147</v>
      </c>
      <c r="D99" s="47" t="s">
        <v>148</v>
      </c>
      <c r="E99"/>
    </row>
    <row r="100" spans="2:14" ht="39.75" customHeight="1" x14ac:dyDescent="0.25">
      <c r="B100" s="52" t="s">
        <v>673</v>
      </c>
      <c r="C100" s="109"/>
      <c r="D100" s="48" t="s">
        <v>807</v>
      </c>
      <c r="E100"/>
      <c r="J100" s="3"/>
    </row>
    <row r="101" spans="2:14" ht="39.75" customHeight="1" x14ac:dyDescent="0.25">
      <c r="B101" s="112" t="s">
        <v>808</v>
      </c>
      <c r="C101" s="110"/>
      <c r="D101" s="118"/>
      <c r="E101"/>
    </row>
    <row r="102" spans="2:14" ht="39.75" customHeight="1" x14ac:dyDescent="0.25">
      <c r="B102" s="112"/>
      <c r="C102" s="110"/>
      <c r="D102" s="118"/>
      <c r="E102"/>
    </row>
    <row r="103" spans="2:14" ht="39.75" customHeight="1" x14ac:dyDescent="0.25">
      <c r="B103" s="112"/>
      <c r="C103" s="110"/>
      <c r="D103" s="118"/>
      <c r="E103"/>
    </row>
    <row r="104" spans="2:14" ht="39.75" customHeight="1" thickBot="1" x14ac:dyDescent="0.3">
      <c r="B104" s="113"/>
      <c r="C104" s="111"/>
      <c r="D104" s="119"/>
      <c r="E104"/>
    </row>
    <row r="105" spans="2:14" ht="15.75" customHeight="1" x14ac:dyDescent="0.2">
      <c r="B105" s="9" t="s">
        <v>149</v>
      </c>
    </row>
    <row r="106" spans="2:14" ht="15.75" customHeight="1" x14ac:dyDescent="0.2">
      <c r="B106" s="9" t="s">
        <v>150</v>
      </c>
    </row>
    <row r="107" spans="2:14" ht="15.75" customHeight="1" x14ac:dyDescent="0.2">
      <c r="B107" s="9" t="s">
        <v>151</v>
      </c>
    </row>
  </sheetData>
  <mergeCells count="3">
    <mergeCell ref="C100:C104"/>
    <mergeCell ref="B101:B104"/>
    <mergeCell ref="D101:D104"/>
  </mergeCells>
  <hyperlinks>
    <hyperlink ref="G1" location="'Sheet1'!A1" display="Index" xr:uid="{7EFBD5D0-E334-4B1C-BDF1-0FB7BC112D1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211E7-67E8-4C10-9008-7155DDCC0A13}">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180</v>
      </c>
      <c r="C7" s="28" t="s">
        <v>181</v>
      </c>
      <c r="D7" s="28" t="s">
        <v>182</v>
      </c>
      <c r="E7" s="29">
        <v>82563</v>
      </c>
      <c r="F7" s="30">
        <v>975.73</v>
      </c>
      <c r="G7" s="31">
        <v>6.1899999999999997E-2</v>
      </c>
      <c r="H7" s="32"/>
    </row>
    <row r="8" spans="2:8" ht="15.75" customHeight="1" x14ac:dyDescent="0.2">
      <c r="B8" s="28" t="s">
        <v>486</v>
      </c>
      <c r="C8" s="28" t="s">
        <v>487</v>
      </c>
      <c r="D8" s="28" t="s">
        <v>179</v>
      </c>
      <c r="E8" s="29">
        <v>19562</v>
      </c>
      <c r="F8" s="30">
        <v>806.89</v>
      </c>
      <c r="G8" s="31">
        <v>5.1200000000000002E-2</v>
      </c>
      <c r="H8" s="32"/>
    </row>
    <row r="9" spans="2:8" ht="15.75" customHeight="1" x14ac:dyDescent="0.2">
      <c r="B9" s="28" t="s">
        <v>191</v>
      </c>
      <c r="C9" s="28" t="s">
        <v>192</v>
      </c>
      <c r="D9" s="28" t="s">
        <v>173</v>
      </c>
      <c r="E9" s="29">
        <v>60932</v>
      </c>
      <c r="F9" s="30">
        <v>769.81</v>
      </c>
      <c r="G9" s="31">
        <v>4.8800000000000003E-2</v>
      </c>
      <c r="H9" s="32"/>
    </row>
    <row r="10" spans="2:8" ht="15.75" customHeight="1" x14ac:dyDescent="0.2">
      <c r="B10" s="28" t="s">
        <v>232</v>
      </c>
      <c r="C10" s="28" t="s">
        <v>233</v>
      </c>
      <c r="D10" s="28" t="s">
        <v>195</v>
      </c>
      <c r="E10" s="29">
        <v>5705</v>
      </c>
      <c r="F10" s="30">
        <v>759.56</v>
      </c>
      <c r="G10" s="31">
        <v>4.82E-2</v>
      </c>
      <c r="H10" s="32"/>
    </row>
    <row r="11" spans="2:8" ht="15.75" customHeight="1" x14ac:dyDescent="0.2">
      <c r="B11" s="28" t="s">
        <v>193</v>
      </c>
      <c r="C11" s="28" t="s">
        <v>194</v>
      </c>
      <c r="D11" s="28" t="s">
        <v>195</v>
      </c>
      <c r="E11" s="29">
        <v>24485</v>
      </c>
      <c r="F11" s="30">
        <v>758.42</v>
      </c>
      <c r="G11" s="31">
        <v>4.8099999999999997E-2</v>
      </c>
      <c r="H11" s="32"/>
    </row>
    <row r="12" spans="2:8" ht="15.75" customHeight="1" x14ac:dyDescent="0.2">
      <c r="B12" s="28" t="s">
        <v>432</v>
      </c>
      <c r="C12" s="28" t="s">
        <v>433</v>
      </c>
      <c r="D12" s="28" t="s">
        <v>434</v>
      </c>
      <c r="E12" s="29">
        <v>183162</v>
      </c>
      <c r="F12" s="30">
        <v>750.78</v>
      </c>
      <c r="G12" s="31">
        <v>4.7600000000000003E-2</v>
      </c>
      <c r="H12" s="32"/>
    </row>
    <row r="13" spans="2:8" ht="15.75" customHeight="1" x14ac:dyDescent="0.2">
      <c r="B13" s="28" t="s">
        <v>642</v>
      </c>
      <c r="C13" s="28" t="s">
        <v>643</v>
      </c>
      <c r="D13" s="28" t="s">
        <v>195</v>
      </c>
      <c r="E13" s="29">
        <v>7388</v>
      </c>
      <c r="F13" s="30">
        <v>738.36</v>
      </c>
      <c r="G13" s="31">
        <v>4.6800000000000001E-2</v>
      </c>
      <c r="H13" s="32"/>
    </row>
    <row r="14" spans="2:8" ht="15.75" customHeight="1" x14ac:dyDescent="0.2">
      <c r="B14" s="28" t="s">
        <v>708</v>
      </c>
      <c r="C14" s="28" t="s">
        <v>709</v>
      </c>
      <c r="D14" s="28" t="s">
        <v>190</v>
      </c>
      <c r="E14" s="29">
        <v>229049</v>
      </c>
      <c r="F14" s="30">
        <v>711.66</v>
      </c>
      <c r="G14" s="31">
        <v>4.5100000000000001E-2</v>
      </c>
      <c r="H14" s="32"/>
    </row>
    <row r="15" spans="2:8" ht="15.75" customHeight="1" x14ac:dyDescent="0.2">
      <c r="B15" s="28" t="s">
        <v>783</v>
      </c>
      <c r="C15" s="28" t="s">
        <v>784</v>
      </c>
      <c r="D15" s="28" t="s">
        <v>248</v>
      </c>
      <c r="E15" s="29">
        <v>201009</v>
      </c>
      <c r="F15" s="30">
        <v>684.44</v>
      </c>
      <c r="G15" s="31">
        <v>4.3400000000000001E-2</v>
      </c>
      <c r="H15" s="32"/>
    </row>
    <row r="16" spans="2:8" ht="15.75" customHeight="1" x14ac:dyDescent="0.2">
      <c r="B16" s="28" t="s">
        <v>319</v>
      </c>
      <c r="C16" s="28" t="s">
        <v>320</v>
      </c>
      <c r="D16" s="28" t="s">
        <v>321</v>
      </c>
      <c r="E16" s="29">
        <v>17102</v>
      </c>
      <c r="F16" s="30">
        <v>683.91</v>
      </c>
      <c r="G16" s="31">
        <v>4.3400000000000001E-2</v>
      </c>
      <c r="H16" s="32"/>
    </row>
    <row r="17" spans="2:8" ht="15.75" customHeight="1" x14ac:dyDescent="0.2">
      <c r="B17" s="28" t="s">
        <v>356</v>
      </c>
      <c r="C17" s="28" t="s">
        <v>357</v>
      </c>
      <c r="D17" s="28" t="s">
        <v>287</v>
      </c>
      <c r="E17" s="29">
        <v>14110</v>
      </c>
      <c r="F17" s="30">
        <v>606.07000000000005</v>
      </c>
      <c r="G17" s="31">
        <v>3.8399999999999997E-2</v>
      </c>
      <c r="H17" s="32"/>
    </row>
    <row r="18" spans="2:8" ht="15.75" customHeight="1" x14ac:dyDescent="0.2">
      <c r="B18" s="28" t="s">
        <v>553</v>
      </c>
      <c r="C18" s="28" t="s">
        <v>554</v>
      </c>
      <c r="D18" s="28" t="s">
        <v>321</v>
      </c>
      <c r="E18" s="29">
        <v>90454</v>
      </c>
      <c r="F18" s="30">
        <v>599.12</v>
      </c>
      <c r="G18" s="31">
        <v>3.7999999999999999E-2</v>
      </c>
      <c r="H18" s="32"/>
    </row>
    <row r="19" spans="2:8" ht="15.75" customHeight="1" x14ac:dyDescent="0.2">
      <c r="B19" s="28" t="s">
        <v>292</v>
      </c>
      <c r="C19" s="28" t="s">
        <v>293</v>
      </c>
      <c r="D19" s="28" t="s">
        <v>195</v>
      </c>
      <c r="E19" s="29">
        <v>167077</v>
      </c>
      <c r="F19" s="30">
        <v>570.65</v>
      </c>
      <c r="G19" s="31">
        <v>3.6200000000000003E-2</v>
      </c>
      <c r="H19" s="32"/>
    </row>
    <row r="20" spans="2:8" ht="15.75" customHeight="1" x14ac:dyDescent="0.2">
      <c r="B20" s="28" t="s">
        <v>260</v>
      </c>
      <c r="C20" s="28" t="s">
        <v>261</v>
      </c>
      <c r="D20" s="28" t="s">
        <v>251</v>
      </c>
      <c r="E20" s="29">
        <v>128357</v>
      </c>
      <c r="F20" s="30">
        <v>570.61</v>
      </c>
      <c r="G20" s="31">
        <v>3.6200000000000003E-2</v>
      </c>
      <c r="H20" s="32"/>
    </row>
    <row r="21" spans="2:8" ht="15.75" customHeight="1" x14ac:dyDescent="0.2">
      <c r="B21" s="28" t="s">
        <v>236</v>
      </c>
      <c r="C21" s="28" t="s">
        <v>237</v>
      </c>
      <c r="D21" s="28" t="s">
        <v>238</v>
      </c>
      <c r="E21" s="29">
        <v>30167</v>
      </c>
      <c r="F21" s="30">
        <v>545.51</v>
      </c>
      <c r="G21" s="31">
        <v>3.4599999999999999E-2</v>
      </c>
      <c r="H21" s="32"/>
    </row>
    <row r="22" spans="2:8" ht="15.75" customHeight="1" x14ac:dyDescent="0.2">
      <c r="B22" s="28" t="s">
        <v>584</v>
      </c>
      <c r="C22" s="28" t="s">
        <v>585</v>
      </c>
      <c r="D22" s="28" t="s">
        <v>271</v>
      </c>
      <c r="E22" s="29">
        <v>50722</v>
      </c>
      <c r="F22" s="30">
        <v>518.80999999999995</v>
      </c>
      <c r="G22" s="31">
        <v>3.2899999999999999E-2</v>
      </c>
      <c r="H22" s="32"/>
    </row>
    <row r="23" spans="2:8" ht="15.75" customHeight="1" x14ac:dyDescent="0.2">
      <c r="B23" s="28" t="s">
        <v>212</v>
      </c>
      <c r="C23" s="28" t="s">
        <v>213</v>
      </c>
      <c r="D23" s="28" t="s">
        <v>173</v>
      </c>
      <c r="E23" s="29">
        <v>46479</v>
      </c>
      <c r="F23" s="30">
        <v>496.6</v>
      </c>
      <c r="G23" s="31">
        <v>3.15E-2</v>
      </c>
      <c r="H23" s="32"/>
    </row>
    <row r="24" spans="2:8" ht="15.75" customHeight="1" x14ac:dyDescent="0.2">
      <c r="B24" s="28" t="s">
        <v>805</v>
      </c>
      <c r="C24" s="28" t="s">
        <v>806</v>
      </c>
      <c r="D24" s="28" t="s">
        <v>219</v>
      </c>
      <c r="E24" s="29">
        <v>173470</v>
      </c>
      <c r="F24" s="30">
        <v>471.8</v>
      </c>
      <c r="G24" s="31">
        <v>2.9899999999999999E-2</v>
      </c>
      <c r="H24" s="32"/>
    </row>
    <row r="25" spans="2:8" ht="15.75" customHeight="1" x14ac:dyDescent="0.2">
      <c r="B25" s="28" t="s">
        <v>183</v>
      </c>
      <c r="C25" s="28" t="s">
        <v>184</v>
      </c>
      <c r="D25" s="28" t="s">
        <v>173</v>
      </c>
      <c r="E25" s="29">
        <v>36724</v>
      </c>
      <c r="F25" s="30">
        <v>465.77</v>
      </c>
      <c r="G25" s="31">
        <v>2.9499999999999998E-2</v>
      </c>
      <c r="H25" s="32"/>
    </row>
    <row r="26" spans="2:8" ht="15.75" customHeight="1" x14ac:dyDescent="0.2">
      <c r="B26" s="28" t="s">
        <v>671</v>
      </c>
      <c r="C26" s="28" t="s">
        <v>672</v>
      </c>
      <c r="D26" s="28" t="s">
        <v>179</v>
      </c>
      <c r="E26" s="29">
        <v>62657</v>
      </c>
      <c r="F26" s="30">
        <v>451.54</v>
      </c>
      <c r="G26" s="31">
        <v>2.86E-2</v>
      </c>
      <c r="H26" s="32"/>
    </row>
    <row r="27" spans="2:8" ht="15.75" customHeight="1" x14ac:dyDescent="0.2">
      <c r="B27" s="28" t="s">
        <v>188</v>
      </c>
      <c r="C27" s="28" t="s">
        <v>189</v>
      </c>
      <c r="D27" s="28" t="s">
        <v>190</v>
      </c>
      <c r="E27" s="29">
        <v>43530</v>
      </c>
      <c r="F27" s="30">
        <v>408.03</v>
      </c>
      <c r="G27" s="31">
        <v>2.5899999999999999E-2</v>
      </c>
      <c r="H27" s="32"/>
    </row>
    <row r="28" spans="2:8" ht="15.75" customHeight="1" x14ac:dyDescent="0.2">
      <c r="B28" s="28" t="s">
        <v>316</v>
      </c>
      <c r="C28" s="28" t="s">
        <v>317</v>
      </c>
      <c r="D28" s="28" t="s">
        <v>318</v>
      </c>
      <c r="E28" s="29">
        <v>9828</v>
      </c>
      <c r="F28" s="30">
        <v>394.5</v>
      </c>
      <c r="G28" s="31">
        <v>2.5000000000000001E-2</v>
      </c>
      <c r="H28" s="32"/>
    </row>
    <row r="29" spans="2:8" ht="15.75" customHeight="1" x14ac:dyDescent="0.2">
      <c r="B29" s="28" t="s">
        <v>809</v>
      </c>
      <c r="C29" s="28" t="s">
        <v>810</v>
      </c>
      <c r="D29" s="28" t="s">
        <v>179</v>
      </c>
      <c r="E29" s="29">
        <v>87897</v>
      </c>
      <c r="F29" s="30">
        <v>364.9</v>
      </c>
      <c r="G29" s="31">
        <v>2.3099999999999999E-2</v>
      </c>
      <c r="H29" s="32"/>
    </row>
    <row r="30" spans="2:8" ht="15.75" customHeight="1" x14ac:dyDescent="0.2">
      <c r="B30" s="28" t="s">
        <v>811</v>
      </c>
      <c r="C30" s="28" t="s">
        <v>812</v>
      </c>
      <c r="D30" s="28" t="s">
        <v>345</v>
      </c>
      <c r="E30" s="29">
        <v>7633</v>
      </c>
      <c r="F30" s="30">
        <v>360.21</v>
      </c>
      <c r="G30" s="31">
        <v>2.2800000000000001E-2</v>
      </c>
      <c r="H30" s="32"/>
    </row>
    <row r="31" spans="2:8" ht="15.75" customHeight="1" x14ac:dyDescent="0.2">
      <c r="B31" s="28" t="s">
        <v>592</v>
      </c>
      <c r="C31" s="28" t="s">
        <v>593</v>
      </c>
      <c r="D31" s="28" t="s">
        <v>395</v>
      </c>
      <c r="E31" s="29">
        <v>118651</v>
      </c>
      <c r="F31" s="30">
        <v>289.66000000000003</v>
      </c>
      <c r="G31" s="31">
        <v>1.84E-2</v>
      </c>
      <c r="H31" s="32"/>
    </row>
    <row r="32" spans="2:8" ht="15.75" customHeight="1" x14ac:dyDescent="0.2">
      <c r="B32" s="27" t="s">
        <v>129</v>
      </c>
      <c r="C32" s="27"/>
      <c r="D32" s="27"/>
      <c r="E32" s="33"/>
      <c r="F32" s="34">
        <v>14753.34</v>
      </c>
      <c r="G32" s="35">
        <v>0.9355</v>
      </c>
      <c r="H32" s="36"/>
    </row>
    <row r="33" spans="2:8" ht="15.75" customHeight="1" x14ac:dyDescent="0.2">
      <c r="B33" s="27" t="s">
        <v>197</v>
      </c>
      <c r="C33" s="28"/>
      <c r="D33" s="28"/>
      <c r="E33" s="29"/>
      <c r="F33" s="30"/>
      <c r="G33" s="31"/>
      <c r="H33" s="32"/>
    </row>
    <row r="34" spans="2:8" ht="15.75" customHeight="1" x14ac:dyDescent="0.2">
      <c r="B34" s="27" t="s">
        <v>129</v>
      </c>
      <c r="C34" s="28"/>
      <c r="D34" s="28"/>
      <c r="E34" s="29"/>
      <c r="F34" s="37" t="s">
        <v>131</v>
      </c>
      <c r="G34" s="38" t="s">
        <v>131</v>
      </c>
      <c r="H34" s="32"/>
    </row>
    <row r="35" spans="2:8" ht="15.75" customHeight="1" x14ac:dyDescent="0.2">
      <c r="B35" s="28"/>
      <c r="C35" s="28"/>
      <c r="D35" s="28"/>
      <c r="E35" s="29"/>
      <c r="F35" s="30"/>
      <c r="G35" s="31"/>
      <c r="H35" s="32"/>
    </row>
    <row r="36" spans="2:8" ht="15.75" customHeight="1" x14ac:dyDescent="0.2">
      <c r="B36" s="39" t="s">
        <v>133</v>
      </c>
      <c r="C36" s="39"/>
      <c r="D36" s="39"/>
      <c r="E36" s="40"/>
      <c r="F36" s="34">
        <v>14753.34</v>
      </c>
      <c r="G36" s="35">
        <v>0.9355</v>
      </c>
      <c r="H36" s="36"/>
    </row>
    <row r="37" spans="2:8" ht="15.75" customHeight="1" x14ac:dyDescent="0.2">
      <c r="B37" s="28"/>
      <c r="C37" s="28"/>
      <c r="D37" s="28"/>
      <c r="E37" s="29"/>
      <c r="F37" s="30"/>
      <c r="G37" s="31"/>
      <c r="H37" s="32"/>
    </row>
    <row r="38" spans="2:8" ht="15.75" customHeight="1" x14ac:dyDescent="0.2">
      <c r="B38" s="28"/>
      <c r="C38" s="28"/>
      <c r="D38" s="28"/>
      <c r="E38" s="29"/>
      <c r="F38" s="30"/>
      <c r="G38" s="31"/>
      <c r="H38" s="32"/>
    </row>
    <row r="39" spans="2:8" ht="15.75" customHeight="1" x14ac:dyDescent="0.2">
      <c r="B39" s="27" t="s">
        <v>139</v>
      </c>
      <c r="C39" s="28"/>
      <c r="D39" s="28"/>
      <c r="E39" s="29"/>
      <c r="F39" s="30"/>
      <c r="G39" s="31"/>
      <c r="H39" s="32"/>
    </row>
    <row r="40" spans="2:8" ht="15.75" customHeight="1" x14ac:dyDescent="0.2">
      <c r="B40" s="28" t="s">
        <v>140</v>
      </c>
      <c r="C40" s="28"/>
      <c r="D40" s="28"/>
      <c r="E40" s="29"/>
      <c r="F40" s="30">
        <v>895.49</v>
      </c>
      <c r="G40" s="31">
        <v>5.6800000000000003E-2</v>
      </c>
      <c r="H40" s="32"/>
    </row>
    <row r="41" spans="2:8" ht="15.75" customHeight="1" x14ac:dyDescent="0.2">
      <c r="B41" s="27" t="s">
        <v>129</v>
      </c>
      <c r="C41" s="27"/>
      <c r="D41" s="27"/>
      <c r="E41" s="33"/>
      <c r="F41" s="34">
        <v>895.49</v>
      </c>
      <c r="G41" s="35">
        <v>5.6800000000000003E-2</v>
      </c>
      <c r="H41" s="36"/>
    </row>
    <row r="42" spans="2:8" ht="15.75" customHeight="1" x14ac:dyDescent="0.2">
      <c r="B42" s="28"/>
      <c r="C42" s="28"/>
      <c r="D42" s="28"/>
      <c r="E42" s="29"/>
      <c r="F42" s="30"/>
      <c r="G42" s="31"/>
      <c r="H42" s="32"/>
    </row>
    <row r="43" spans="2:8" ht="15.75" customHeight="1" x14ac:dyDescent="0.2">
      <c r="B43" s="39" t="s">
        <v>133</v>
      </c>
      <c r="C43" s="39"/>
      <c r="D43" s="39"/>
      <c r="E43" s="40"/>
      <c r="F43" s="34">
        <v>895.49</v>
      </c>
      <c r="G43" s="35">
        <v>5.6800000000000003E-2</v>
      </c>
      <c r="H43" s="36"/>
    </row>
    <row r="44" spans="2:8" ht="15.75" customHeight="1" x14ac:dyDescent="0.2">
      <c r="B44" s="28" t="s">
        <v>141</v>
      </c>
      <c r="C44" s="28"/>
      <c r="D44" s="28"/>
      <c r="E44" s="29"/>
      <c r="F44" s="30">
        <v>120.98</v>
      </c>
      <c r="G44" s="31">
        <v>7.7000000000000401E-3</v>
      </c>
      <c r="H44" s="32"/>
    </row>
    <row r="45" spans="2:8" ht="15.75" customHeight="1" x14ac:dyDescent="0.2">
      <c r="B45" s="41" t="s">
        <v>142</v>
      </c>
      <c r="C45" s="41"/>
      <c r="D45" s="41"/>
      <c r="E45" s="42"/>
      <c r="F45" s="43">
        <v>15769.81</v>
      </c>
      <c r="G45" s="44">
        <v>1</v>
      </c>
      <c r="H45" s="45"/>
    </row>
    <row r="46" spans="2:8" ht="15.75" customHeight="1" x14ac:dyDescent="0.2">
      <c r="B46" s="2"/>
    </row>
    <row r="47" spans="2:8" s="7" customFormat="1" ht="15.6" customHeight="1" x14ac:dyDescent="0.25">
      <c r="B47" s="63" t="s">
        <v>1067</v>
      </c>
      <c r="C47" s="70"/>
      <c r="D47" s="70"/>
      <c r="E47" s="70"/>
      <c r="F47" s="70"/>
      <c r="G47" s="70"/>
      <c r="H47" s="64"/>
    </row>
    <row r="48" spans="2:8" s="7" customFormat="1" ht="15.6" customHeight="1" x14ac:dyDescent="0.25">
      <c r="B48" s="63" t="s">
        <v>1108</v>
      </c>
      <c r="C48" s="70"/>
      <c r="D48" s="70"/>
      <c r="E48" s="70"/>
      <c r="F48" s="70"/>
      <c r="G48" s="70"/>
      <c r="H48" s="64"/>
    </row>
    <row r="49" spans="2:8" s="7" customFormat="1" ht="15.6" customHeight="1" x14ac:dyDescent="0.25">
      <c r="B49" s="63" t="s">
        <v>1068</v>
      </c>
      <c r="C49" s="70"/>
      <c r="D49" s="70"/>
      <c r="E49" s="70"/>
      <c r="F49" s="70"/>
      <c r="G49" s="70"/>
      <c r="H49" s="64"/>
    </row>
    <row r="50" spans="2:8" s="7" customFormat="1" ht="15.6" customHeight="1" x14ac:dyDescent="0.25">
      <c r="B50" s="71"/>
      <c r="C50" s="65">
        <v>46142</v>
      </c>
      <c r="D50" s="65">
        <v>46112</v>
      </c>
      <c r="E50" s="70"/>
      <c r="F50" s="70"/>
      <c r="G50" s="70"/>
      <c r="H50" s="64"/>
    </row>
    <row r="51" spans="2:8" s="7" customFormat="1" ht="15.6" customHeight="1" x14ac:dyDescent="0.25">
      <c r="B51" s="71" t="s">
        <v>1069</v>
      </c>
      <c r="C51" s="66"/>
      <c r="D51" s="66"/>
      <c r="E51" s="70"/>
      <c r="F51" s="70"/>
      <c r="G51" s="70"/>
      <c r="H51" s="64"/>
    </row>
    <row r="52" spans="2:8" s="7" customFormat="1" ht="15.6" customHeight="1" x14ac:dyDescent="0.25">
      <c r="B52" s="71" t="s">
        <v>1070</v>
      </c>
      <c r="C52" s="67">
        <v>19.8262</v>
      </c>
      <c r="D52" s="67">
        <v>18.436900000000001</v>
      </c>
      <c r="E52" s="70"/>
      <c r="F52" s="70"/>
      <c r="G52" s="70"/>
      <c r="H52" s="64"/>
    </row>
    <row r="53" spans="2:8" s="7" customFormat="1" ht="15.6" customHeight="1" x14ac:dyDescent="0.25">
      <c r="B53" s="71" t="s">
        <v>1071</v>
      </c>
      <c r="C53" s="67">
        <v>19.826000000000001</v>
      </c>
      <c r="D53" s="67">
        <v>18.436699999999998</v>
      </c>
      <c r="E53" s="70"/>
      <c r="F53" s="70"/>
      <c r="G53" s="70"/>
      <c r="H53" s="64"/>
    </row>
    <row r="54" spans="2:8" s="7" customFormat="1" ht="15.6" customHeight="1" x14ac:dyDescent="0.25">
      <c r="B54" s="71" t="s">
        <v>1073</v>
      </c>
      <c r="C54" s="67">
        <v>21.968300000000003</v>
      </c>
      <c r="D54" s="67">
        <v>20.408899999999999</v>
      </c>
      <c r="E54" s="70"/>
      <c r="F54" s="70"/>
      <c r="G54" s="70"/>
      <c r="H54" s="64"/>
    </row>
    <row r="55" spans="2:8" s="7" customFormat="1" ht="15.6" customHeight="1" x14ac:dyDescent="0.25">
      <c r="B55" s="71" t="s">
        <v>1074</v>
      </c>
      <c r="C55" s="67">
        <v>21.943200000000001</v>
      </c>
      <c r="D55" s="67">
        <v>20.386299999999999</v>
      </c>
      <c r="E55" s="70"/>
      <c r="F55" s="70"/>
      <c r="G55" s="70"/>
      <c r="H55" s="64"/>
    </row>
    <row r="56" spans="2:8" s="7" customFormat="1" ht="15.6" customHeight="1" x14ac:dyDescent="0.25">
      <c r="B56" s="63" t="s">
        <v>1116</v>
      </c>
      <c r="C56" s="70"/>
      <c r="D56" s="70"/>
      <c r="E56" s="70"/>
      <c r="F56" s="70"/>
      <c r="G56" s="70"/>
      <c r="H56" s="64"/>
    </row>
    <row r="57" spans="2:8" s="7" customFormat="1" ht="15.6" customHeight="1" x14ac:dyDescent="0.25">
      <c r="B57" s="63" t="s">
        <v>1109</v>
      </c>
      <c r="C57" s="70"/>
      <c r="D57" s="70"/>
      <c r="E57" s="70"/>
      <c r="F57" s="70"/>
      <c r="G57" s="70"/>
      <c r="H57" s="64"/>
    </row>
    <row r="58" spans="2:8" s="7" customFormat="1" ht="15.6" customHeight="1" x14ac:dyDescent="0.25">
      <c r="B58" s="63" t="s">
        <v>1111</v>
      </c>
      <c r="C58" s="70"/>
      <c r="D58" s="70"/>
      <c r="E58" s="70"/>
      <c r="F58" s="70"/>
      <c r="G58" s="70"/>
      <c r="H58" s="64"/>
    </row>
    <row r="59" spans="2:8" s="7" customFormat="1" ht="15.6" customHeight="1" x14ac:dyDescent="0.25">
      <c r="B59" s="63" t="s">
        <v>1112</v>
      </c>
      <c r="C59" s="70"/>
      <c r="D59" s="70"/>
      <c r="E59" s="70"/>
      <c r="F59" s="70"/>
      <c r="G59" s="70"/>
      <c r="H59" s="64"/>
    </row>
    <row r="60" spans="2:8" s="7" customFormat="1" ht="15.6" customHeight="1" x14ac:dyDescent="0.25">
      <c r="B60" s="63" t="s">
        <v>1127</v>
      </c>
      <c r="C60" s="70"/>
      <c r="D60" s="70"/>
      <c r="E60" s="70"/>
      <c r="F60" s="70"/>
      <c r="G60" s="70"/>
      <c r="H60" s="64"/>
    </row>
    <row r="61" spans="2:8" s="7" customFormat="1" ht="15.6" customHeight="1" x14ac:dyDescent="0.25">
      <c r="B61" s="63" t="s">
        <v>1113</v>
      </c>
      <c r="C61" s="70"/>
      <c r="D61" s="70"/>
      <c r="E61" s="70"/>
      <c r="F61" s="70"/>
      <c r="G61" s="70"/>
      <c r="H61" s="64"/>
    </row>
    <row r="62" spans="2:8" s="7" customFormat="1" ht="15.6" customHeight="1" x14ac:dyDescent="0.25">
      <c r="B62" s="68" t="s">
        <v>1076</v>
      </c>
      <c r="C62" s="72"/>
      <c r="D62" s="72"/>
      <c r="E62" s="72"/>
      <c r="F62" s="72"/>
      <c r="G62" s="72"/>
      <c r="H62" s="69"/>
    </row>
    <row r="63" spans="2:8" ht="15.75" customHeight="1" thickBot="1" x14ac:dyDescent="0.25"/>
    <row r="64" spans="2:8" ht="39.75" customHeight="1" thickBot="1" x14ac:dyDescent="0.3">
      <c r="B64" s="46" t="s">
        <v>146</v>
      </c>
      <c r="C64" s="47" t="s">
        <v>147</v>
      </c>
      <c r="D64" s="47" t="s">
        <v>148</v>
      </c>
      <c r="E64"/>
    </row>
    <row r="65" spans="2:5" ht="39.75" customHeight="1" x14ac:dyDescent="0.25">
      <c r="B65" s="52" t="s">
        <v>673</v>
      </c>
      <c r="C65" s="109"/>
      <c r="D65" s="48" t="s">
        <v>763</v>
      </c>
      <c r="E65"/>
    </row>
    <row r="66" spans="2:5" ht="39.75" customHeight="1" x14ac:dyDescent="0.25">
      <c r="B66" s="112" t="s">
        <v>813</v>
      </c>
      <c r="C66" s="110"/>
      <c r="D66" s="118"/>
      <c r="E66"/>
    </row>
    <row r="67" spans="2:5" ht="39.75" customHeight="1" x14ac:dyDescent="0.25">
      <c r="B67" s="112"/>
      <c r="C67" s="110"/>
      <c r="D67" s="118"/>
      <c r="E67"/>
    </row>
    <row r="68" spans="2:5" ht="39.75" customHeight="1" x14ac:dyDescent="0.25">
      <c r="B68" s="112"/>
      <c r="C68" s="110"/>
      <c r="D68" s="118"/>
      <c r="E68"/>
    </row>
    <row r="69" spans="2:5" ht="39.75" customHeight="1" thickBot="1" x14ac:dyDescent="0.3">
      <c r="B69" s="113"/>
      <c r="C69" s="111"/>
      <c r="D69" s="119"/>
      <c r="E69"/>
    </row>
    <row r="70" spans="2:5" ht="15.75" customHeight="1" x14ac:dyDescent="0.2">
      <c r="B70" s="9" t="s">
        <v>149</v>
      </c>
    </row>
    <row r="71" spans="2:5" ht="15.75" customHeight="1" x14ac:dyDescent="0.2">
      <c r="B71" s="9" t="s">
        <v>150</v>
      </c>
    </row>
    <row r="72" spans="2:5" ht="15.75" customHeight="1" x14ac:dyDescent="0.2">
      <c r="B72" s="9" t="s">
        <v>151</v>
      </c>
    </row>
    <row r="82" spans="10:14" ht="15.75" customHeight="1" x14ac:dyDescent="0.2">
      <c r="J82" s="3"/>
    </row>
    <row r="84" spans="10:14" ht="15.75" customHeight="1" x14ac:dyDescent="0.2">
      <c r="J84" s="3"/>
    </row>
    <row r="85" spans="10:14" ht="15.75" customHeight="1" x14ac:dyDescent="0.2">
      <c r="J85" s="3"/>
    </row>
    <row r="86" spans="10:14" ht="15.75" customHeight="1" x14ac:dyDescent="0.2">
      <c r="J86" s="3"/>
    </row>
    <row r="87" spans="10:14" ht="15.75" customHeight="1" x14ac:dyDescent="0.2">
      <c r="J87" s="3"/>
    </row>
    <row r="88" spans="10:14" ht="15.75" customHeight="1" x14ac:dyDescent="0.2">
      <c r="J88" s="3"/>
    </row>
    <row r="89" spans="10:14" ht="15.75" customHeight="1" x14ac:dyDescent="0.2">
      <c r="J89" s="5"/>
      <c r="K89" s="5"/>
      <c r="L89" s="6"/>
      <c r="M89" s="6"/>
      <c r="N89" s="5"/>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5" spans="10:14" ht="15.75" customHeight="1" x14ac:dyDescent="0.2">
      <c r="J95" s="7"/>
      <c r="K95" s="7"/>
      <c r="L95" s="7"/>
      <c r="M95" s="7"/>
      <c r="N95" s="7"/>
    </row>
    <row r="96" spans="10: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65:C69"/>
    <mergeCell ref="B66:B69"/>
    <mergeCell ref="D66:D69"/>
  </mergeCells>
  <hyperlinks>
    <hyperlink ref="G1" location="'Sheet1'!A1" display="Index" xr:uid="{A7DE7A0D-17D6-4805-B8F6-C45D30B940D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5FCC0-94C9-4F1F-B3CF-EB15C9533704}">
  <dimension ref="B1:N97"/>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137</v>
      </c>
      <c r="C7" s="28"/>
      <c r="D7" s="28"/>
      <c r="E7" s="29"/>
      <c r="F7" s="30"/>
      <c r="G7" s="31"/>
      <c r="H7" s="32"/>
    </row>
    <row r="8" spans="2:8" ht="15.75" customHeight="1" x14ac:dyDescent="0.2">
      <c r="B8" s="27" t="s">
        <v>138</v>
      </c>
      <c r="C8" s="28"/>
      <c r="D8" s="28"/>
      <c r="E8" s="29"/>
      <c r="F8" s="30"/>
      <c r="G8" s="31"/>
      <c r="H8" s="32"/>
    </row>
    <row r="9" spans="2:8" ht="15.75" customHeight="1" x14ac:dyDescent="0.2">
      <c r="B9" s="28" t="s">
        <v>814</v>
      </c>
      <c r="C9" s="28" t="s">
        <v>815</v>
      </c>
      <c r="D9" s="28"/>
      <c r="E9" s="29">
        <v>58069200</v>
      </c>
      <c r="F9" s="30">
        <v>77928.87</v>
      </c>
      <c r="G9" s="31">
        <v>0.99970000000000003</v>
      </c>
      <c r="H9" s="32"/>
    </row>
    <row r="10" spans="2:8" ht="15.75" customHeight="1" x14ac:dyDescent="0.2">
      <c r="B10" s="27" t="s">
        <v>129</v>
      </c>
      <c r="C10" s="27"/>
      <c r="D10" s="27"/>
      <c r="E10" s="33"/>
      <c r="F10" s="34">
        <v>77928.87</v>
      </c>
      <c r="G10" s="35">
        <v>0.99970000000000003</v>
      </c>
      <c r="H10" s="36"/>
    </row>
    <row r="11" spans="2:8" ht="15.75" customHeight="1" x14ac:dyDescent="0.2">
      <c r="B11" s="28"/>
      <c r="C11" s="28"/>
      <c r="D11" s="28"/>
      <c r="E11" s="29"/>
      <c r="F11" s="30"/>
      <c r="G11" s="31"/>
      <c r="H11" s="32"/>
    </row>
    <row r="12" spans="2:8" ht="15.75" customHeight="1" x14ac:dyDescent="0.2">
      <c r="B12" s="39" t="s">
        <v>133</v>
      </c>
      <c r="C12" s="39"/>
      <c r="D12" s="39"/>
      <c r="E12" s="40"/>
      <c r="F12" s="34">
        <v>77928.87</v>
      </c>
      <c r="G12" s="35">
        <v>0.99970000000000003</v>
      </c>
      <c r="H12" s="36"/>
    </row>
    <row r="13" spans="2:8" ht="15.75" customHeight="1" x14ac:dyDescent="0.2">
      <c r="B13" s="28"/>
      <c r="C13" s="28"/>
      <c r="D13" s="28"/>
      <c r="E13" s="29"/>
      <c r="F13" s="30"/>
      <c r="G13" s="31"/>
      <c r="H13" s="32"/>
    </row>
    <row r="14" spans="2:8" ht="15.75" customHeight="1" x14ac:dyDescent="0.2">
      <c r="B14" s="27" t="s">
        <v>139</v>
      </c>
      <c r="C14" s="28"/>
      <c r="D14" s="28"/>
      <c r="E14" s="29"/>
      <c r="F14" s="30"/>
      <c r="G14" s="31"/>
      <c r="H14" s="32"/>
    </row>
    <row r="15" spans="2:8" ht="15.75" customHeight="1" x14ac:dyDescent="0.2">
      <c r="B15" s="28" t="s">
        <v>140</v>
      </c>
      <c r="C15" s="28"/>
      <c r="D15" s="28"/>
      <c r="E15" s="29"/>
      <c r="F15" s="30">
        <v>395.49</v>
      </c>
      <c r="G15" s="31">
        <v>5.1000000000000004E-3</v>
      </c>
      <c r="H15" s="32"/>
    </row>
    <row r="16" spans="2:8" ht="15.75" customHeight="1" x14ac:dyDescent="0.2">
      <c r="B16" s="27" t="s">
        <v>129</v>
      </c>
      <c r="C16" s="27"/>
      <c r="D16" s="27"/>
      <c r="E16" s="33"/>
      <c r="F16" s="34">
        <v>395.49</v>
      </c>
      <c r="G16" s="35">
        <v>5.1000000000000004E-3</v>
      </c>
      <c r="H16" s="36"/>
    </row>
    <row r="17" spans="2:8" ht="15.75" customHeight="1" x14ac:dyDescent="0.2">
      <c r="B17" s="28"/>
      <c r="C17" s="28"/>
      <c r="D17" s="28"/>
      <c r="E17" s="29"/>
      <c r="F17" s="30"/>
      <c r="G17" s="31"/>
      <c r="H17" s="32"/>
    </row>
    <row r="18" spans="2:8" ht="15.75" customHeight="1" x14ac:dyDescent="0.2">
      <c r="B18" s="39" t="s">
        <v>133</v>
      </c>
      <c r="C18" s="39"/>
      <c r="D18" s="39"/>
      <c r="E18" s="40"/>
      <c r="F18" s="34">
        <v>395.49</v>
      </c>
      <c r="G18" s="35">
        <v>5.1000000000000004E-3</v>
      </c>
      <c r="H18" s="36"/>
    </row>
    <row r="19" spans="2:8" ht="15.75" customHeight="1" x14ac:dyDescent="0.2">
      <c r="B19" s="28" t="s">
        <v>141</v>
      </c>
      <c r="C19" s="28"/>
      <c r="D19" s="28"/>
      <c r="E19" s="29"/>
      <c r="F19" s="50">
        <v>-375.67</v>
      </c>
      <c r="G19" s="51">
        <v>-4.8000000000001375E-3</v>
      </c>
      <c r="H19" s="32"/>
    </row>
    <row r="20" spans="2:8" ht="15.75" customHeight="1" x14ac:dyDescent="0.2">
      <c r="B20" s="41" t="s">
        <v>142</v>
      </c>
      <c r="C20" s="41"/>
      <c r="D20" s="41"/>
      <c r="E20" s="42"/>
      <c r="F20" s="43">
        <v>77948.69</v>
      </c>
      <c r="G20" s="44">
        <v>1</v>
      </c>
      <c r="H20" s="45"/>
    </row>
    <row r="21" spans="2:8" ht="15.75" customHeight="1" x14ac:dyDescent="0.2">
      <c r="B21" s="2"/>
    </row>
    <row r="22" spans="2:8" s="7" customFormat="1" ht="15.6" customHeight="1" x14ac:dyDescent="0.25">
      <c r="B22" s="63" t="s">
        <v>1067</v>
      </c>
      <c r="C22" s="70"/>
      <c r="D22" s="70"/>
      <c r="E22" s="70"/>
      <c r="F22" s="70"/>
      <c r="G22" s="70"/>
      <c r="H22" s="64"/>
    </row>
    <row r="23" spans="2:8" s="7" customFormat="1" ht="15.6" customHeight="1" x14ac:dyDescent="0.25">
      <c r="B23" s="63" t="s">
        <v>1108</v>
      </c>
      <c r="C23" s="70"/>
      <c r="D23" s="70"/>
      <c r="E23" s="70"/>
      <c r="F23" s="70"/>
      <c r="G23" s="70"/>
      <c r="H23" s="64"/>
    </row>
    <row r="24" spans="2:8" s="7" customFormat="1" ht="15.6" customHeight="1" x14ac:dyDescent="0.25">
      <c r="B24" s="63" t="s">
        <v>1068</v>
      </c>
      <c r="C24" s="70"/>
      <c r="D24" s="70"/>
      <c r="E24" s="70"/>
      <c r="F24" s="70"/>
      <c r="G24" s="70"/>
      <c r="H24" s="64"/>
    </row>
    <row r="25" spans="2:8" s="7" customFormat="1" ht="15.6" customHeight="1" x14ac:dyDescent="0.25">
      <c r="B25" s="71"/>
      <c r="C25" s="65">
        <v>46142</v>
      </c>
      <c r="D25" s="65">
        <v>46112</v>
      </c>
      <c r="E25" s="70"/>
      <c r="F25" s="70"/>
      <c r="G25" s="70"/>
      <c r="H25" s="64"/>
    </row>
    <row r="26" spans="2:8" s="7" customFormat="1" ht="15.6" customHeight="1" x14ac:dyDescent="0.25">
      <c r="B26" s="71" t="s">
        <v>1069</v>
      </c>
      <c r="C26" s="66"/>
      <c r="D26" s="66"/>
      <c r="E26" s="70"/>
      <c r="F26" s="70"/>
      <c r="G26" s="70"/>
      <c r="H26" s="64"/>
    </row>
    <row r="27" spans="2:8" s="7" customFormat="1" ht="15.6" customHeight="1" x14ac:dyDescent="0.25">
      <c r="B27" s="71" t="s">
        <v>1070</v>
      </c>
      <c r="C27" s="67">
        <v>38.456299999999999</v>
      </c>
      <c r="D27" s="67">
        <v>37.423299999999998</v>
      </c>
      <c r="E27" s="70"/>
      <c r="F27" s="70"/>
      <c r="G27" s="70"/>
      <c r="H27" s="64"/>
    </row>
    <row r="28" spans="2:8" s="7" customFormat="1" ht="15.6" customHeight="1" x14ac:dyDescent="0.25">
      <c r="B28" s="71" t="s">
        <v>1073</v>
      </c>
      <c r="C28" s="67">
        <v>40.646500000000003</v>
      </c>
      <c r="D28" s="67">
        <v>39.546399999999998</v>
      </c>
      <c r="E28" s="70"/>
      <c r="F28" s="70"/>
      <c r="G28" s="70"/>
      <c r="H28" s="64"/>
    </row>
    <row r="29" spans="2:8" s="7" customFormat="1" ht="15.6" customHeight="1" x14ac:dyDescent="0.25">
      <c r="B29" s="63" t="s">
        <v>1116</v>
      </c>
      <c r="C29" s="70"/>
      <c r="D29" s="70"/>
      <c r="E29" s="70"/>
      <c r="F29" s="70"/>
      <c r="G29" s="70"/>
      <c r="H29" s="64"/>
    </row>
    <row r="30" spans="2:8" s="7" customFormat="1" ht="15.6" customHeight="1" x14ac:dyDescent="0.25">
      <c r="B30" s="63" t="s">
        <v>1109</v>
      </c>
      <c r="C30" s="70"/>
      <c r="D30" s="70"/>
      <c r="E30" s="70"/>
      <c r="F30" s="70"/>
      <c r="G30" s="70"/>
      <c r="H30" s="64"/>
    </row>
    <row r="31" spans="2:8" s="7" customFormat="1" ht="15.6" customHeight="1" x14ac:dyDescent="0.25">
      <c r="B31" s="63" t="s">
        <v>1111</v>
      </c>
      <c r="C31" s="70"/>
      <c r="D31" s="70"/>
      <c r="E31" s="70"/>
      <c r="F31" s="70"/>
      <c r="G31" s="70"/>
      <c r="H31" s="64"/>
    </row>
    <row r="32" spans="2:8" s="7" customFormat="1" ht="15.6" customHeight="1" x14ac:dyDescent="0.25">
      <c r="B32" s="63" t="s">
        <v>1112</v>
      </c>
      <c r="C32" s="70"/>
      <c r="D32" s="70"/>
      <c r="E32" s="70"/>
      <c r="F32" s="70"/>
      <c r="G32" s="70"/>
      <c r="H32" s="64"/>
    </row>
    <row r="33" spans="2:8" s="7" customFormat="1" ht="15.6" customHeight="1" x14ac:dyDescent="0.25">
      <c r="B33" s="63" t="s">
        <v>1114</v>
      </c>
      <c r="C33" s="70"/>
      <c r="D33" s="70"/>
      <c r="E33" s="70"/>
      <c r="F33" s="70"/>
      <c r="G33" s="70"/>
      <c r="H33" s="64"/>
    </row>
    <row r="34" spans="2:8" s="7" customFormat="1" ht="15.6" customHeight="1" x14ac:dyDescent="0.25">
      <c r="B34" s="68" t="s">
        <v>1099</v>
      </c>
      <c r="C34" s="72"/>
      <c r="D34" s="72"/>
      <c r="E34" s="72"/>
      <c r="F34" s="72"/>
      <c r="G34" s="72"/>
      <c r="H34" s="69"/>
    </row>
    <row r="35" spans="2:8" ht="15.75" customHeight="1" thickBot="1" x14ac:dyDescent="0.25"/>
    <row r="36" spans="2:8" ht="39.75" customHeight="1" thickBot="1" x14ac:dyDescent="0.3">
      <c r="B36" s="46" t="s">
        <v>146</v>
      </c>
      <c r="C36" s="47" t="s">
        <v>147</v>
      </c>
      <c r="D36" s="47" t="s">
        <v>148</v>
      </c>
      <c r="E36"/>
    </row>
    <row r="37" spans="2:8" ht="39.75" customHeight="1" x14ac:dyDescent="0.25">
      <c r="B37" s="52" t="s">
        <v>816</v>
      </c>
      <c r="C37" s="109"/>
      <c r="D37" s="52" t="s">
        <v>817</v>
      </c>
      <c r="E37"/>
    </row>
    <row r="38" spans="2:8" ht="39.75" customHeight="1" x14ac:dyDescent="0.25">
      <c r="B38" s="112" t="s">
        <v>818</v>
      </c>
      <c r="C38" s="110"/>
      <c r="D38" s="114"/>
      <c r="E38"/>
    </row>
    <row r="39" spans="2:8" ht="39.75" customHeight="1" x14ac:dyDescent="0.25">
      <c r="B39" s="112"/>
      <c r="C39" s="110"/>
      <c r="D39" s="114"/>
      <c r="E39"/>
    </row>
    <row r="40" spans="2:8" ht="39.75" customHeight="1" x14ac:dyDescent="0.25">
      <c r="B40" s="112"/>
      <c r="C40" s="110"/>
      <c r="D40" s="114"/>
      <c r="E40"/>
    </row>
    <row r="41" spans="2:8" ht="39.75" customHeight="1" thickBot="1" x14ac:dyDescent="0.3">
      <c r="B41" s="113"/>
      <c r="C41" s="111"/>
      <c r="D41" s="117"/>
      <c r="E41"/>
    </row>
    <row r="42" spans="2:8" ht="15.75" customHeight="1" x14ac:dyDescent="0.2">
      <c r="B42" s="9" t="s">
        <v>149</v>
      </c>
    </row>
    <row r="43" spans="2:8" ht="15.75" customHeight="1" x14ac:dyDescent="0.2">
      <c r="B43" s="9" t="s">
        <v>150</v>
      </c>
    </row>
    <row r="44" spans="2:8" ht="15.75" customHeight="1" x14ac:dyDescent="0.2">
      <c r="B44" s="9" t="s">
        <v>151</v>
      </c>
    </row>
    <row r="79" spans="10:10" ht="15.75" customHeight="1" x14ac:dyDescent="0.2">
      <c r="J79" s="3"/>
    </row>
    <row r="81" spans="10:14" ht="15.75" customHeight="1" x14ac:dyDescent="0.2">
      <c r="J81" s="3"/>
    </row>
    <row r="82" spans="10:14" ht="15.75" customHeight="1" x14ac:dyDescent="0.2">
      <c r="J82" s="3"/>
    </row>
    <row r="83" spans="10:14" ht="15.75" customHeight="1" x14ac:dyDescent="0.2">
      <c r="J83" s="3"/>
    </row>
    <row r="84" spans="10:14" ht="15.75" customHeight="1" x14ac:dyDescent="0.2">
      <c r="J84" s="3"/>
    </row>
    <row r="85" spans="10:14" ht="15.75" customHeight="1" x14ac:dyDescent="0.2">
      <c r="J85" s="3"/>
    </row>
    <row r="86" spans="10:14" ht="15.75" customHeight="1" x14ac:dyDescent="0.2">
      <c r="J86" s="5"/>
      <c r="K86" s="5"/>
      <c r="L86" s="6"/>
      <c r="M86" s="6"/>
      <c r="N86" s="5"/>
    </row>
    <row r="89" spans="10:14" ht="15.75" customHeight="1" x14ac:dyDescent="0.2">
      <c r="J89" s="7"/>
      <c r="K89" s="7"/>
      <c r="L89" s="7"/>
      <c r="M89" s="7"/>
      <c r="N89" s="7"/>
    </row>
    <row r="90" spans="10:14" ht="15.75" customHeight="1" x14ac:dyDescent="0.2">
      <c r="J90" s="7"/>
      <c r="K90" s="7"/>
      <c r="L90" s="7"/>
      <c r="M90" s="7"/>
      <c r="N90" s="7"/>
    </row>
    <row r="91" spans="10:14" ht="15.75" customHeight="1" x14ac:dyDescent="0.2">
      <c r="J91" s="7"/>
      <c r="K91" s="7"/>
      <c r="L91" s="7"/>
      <c r="M91" s="7"/>
      <c r="N91" s="7"/>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5" spans="10:14" ht="15.75" customHeight="1" x14ac:dyDescent="0.2">
      <c r="J95" s="7"/>
      <c r="K95" s="7"/>
      <c r="L95" s="7"/>
      <c r="M95" s="7"/>
      <c r="N95" s="7"/>
    </row>
    <row r="97" spans="10:10" ht="15.75" customHeight="1" x14ac:dyDescent="0.2">
      <c r="J97" s="3"/>
    </row>
  </sheetData>
  <mergeCells count="3">
    <mergeCell ref="C37:C41"/>
    <mergeCell ref="B38:B41"/>
    <mergeCell ref="D38:D41"/>
  </mergeCells>
  <hyperlinks>
    <hyperlink ref="G1" location="'Sheet1'!A1" display="Index" xr:uid="{D4BE3831-55AE-40A9-AFE2-70478D985CC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2FB1-6C4A-42F9-8EB6-AC19F85FE852}">
  <dimension ref="B1:N96"/>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t="s">
        <v>821</v>
      </c>
      <c r="D1" s="4" t="s">
        <v>820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137</v>
      </c>
      <c r="C7" s="28"/>
      <c r="D7" s="28"/>
      <c r="E7" s="29"/>
      <c r="F7" s="30"/>
      <c r="G7" s="31"/>
      <c r="H7" s="32"/>
    </row>
    <row r="8" spans="2:8" ht="15.75" customHeight="1" x14ac:dyDescent="0.2">
      <c r="B8" s="27" t="s">
        <v>138</v>
      </c>
      <c r="C8" s="28"/>
      <c r="D8" s="28"/>
      <c r="E8" s="29"/>
      <c r="F8" s="30"/>
      <c r="G8" s="31"/>
      <c r="H8" s="32"/>
    </row>
    <row r="9" spans="2:8" ht="15.75" customHeight="1" x14ac:dyDescent="0.2">
      <c r="B9" s="28" t="s">
        <v>819</v>
      </c>
      <c r="C9" s="28" t="s">
        <v>815</v>
      </c>
      <c r="D9" s="28"/>
      <c r="E9" s="29">
        <v>924</v>
      </c>
      <c r="F9" s="30">
        <v>138393.95000000001</v>
      </c>
      <c r="G9" s="31">
        <v>0.98499999999999999</v>
      </c>
      <c r="H9" s="32"/>
    </row>
    <row r="10" spans="2:8" ht="15.75" customHeight="1" x14ac:dyDescent="0.2">
      <c r="B10" s="27" t="s">
        <v>129</v>
      </c>
      <c r="C10" s="27"/>
      <c r="D10" s="27"/>
      <c r="E10" s="33"/>
      <c r="F10" s="34">
        <v>138393.95000000001</v>
      </c>
      <c r="G10" s="35">
        <v>0.98499999999999999</v>
      </c>
      <c r="H10" s="36"/>
    </row>
    <row r="11" spans="2:8" ht="15.75" customHeight="1" x14ac:dyDescent="0.2">
      <c r="B11" s="28"/>
      <c r="C11" s="28"/>
      <c r="D11" s="28"/>
      <c r="E11" s="29"/>
      <c r="F11" s="30"/>
      <c r="G11" s="31"/>
      <c r="H11" s="32"/>
    </row>
    <row r="12" spans="2:8" ht="15.75" customHeight="1" x14ac:dyDescent="0.2">
      <c r="B12" s="39" t="s">
        <v>133</v>
      </c>
      <c r="C12" s="39"/>
      <c r="D12" s="39"/>
      <c r="E12" s="40"/>
      <c r="F12" s="34">
        <v>138393.95000000001</v>
      </c>
      <c r="G12" s="35">
        <v>0.98499999999999999</v>
      </c>
      <c r="H12" s="36"/>
    </row>
    <row r="13" spans="2:8" ht="15.75" customHeight="1" x14ac:dyDescent="0.2">
      <c r="B13" s="28"/>
      <c r="C13" s="28"/>
      <c r="D13" s="28"/>
      <c r="E13" s="29"/>
      <c r="F13" s="30"/>
      <c r="G13" s="31"/>
      <c r="H13" s="32"/>
    </row>
    <row r="14" spans="2:8" ht="15.75" customHeight="1" x14ac:dyDescent="0.2">
      <c r="B14" s="27" t="s">
        <v>139</v>
      </c>
      <c r="C14" s="28"/>
      <c r="D14" s="28"/>
      <c r="E14" s="29"/>
      <c r="F14" s="30"/>
      <c r="G14" s="31"/>
      <c r="H14" s="32"/>
    </row>
    <row r="15" spans="2:8" ht="15.75" customHeight="1" x14ac:dyDescent="0.2">
      <c r="B15" s="28" t="s">
        <v>140</v>
      </c>
      <c r="C15" s="28"/>
      <c r="D15" s="28"/>
      <c r="E15" s="29"/>
      <c r="F15" s="30">
        <v>87.77</v>
      </c>
      <c r="G15" s="31">
        <v>5.9999999999999995E-4</v>
      </c>
      <c r="H15" s="32"/>
    </row>
    <row r="16" spans="2:8" ht="15.75" customHeight="1" x14ac:dyDescent="0.2">
      <c r="B16" s="27" t="s">
        <v>129</v>
      </c>
      <c r="C16" s="27"/>
      <c r="D16" s="27"/>
      <c r="E16" s="33"/>
      <c r="F16" s="34">
        <v>87.77</v>
      </c>
      <c r="G16" s="35">
        <v>5.9999999999999995E-4</v>
      </c>
      <c r="H16" s="36"/>
    </row>
    <row r="17" spans="2:8" ht="15.75" customHeight="1" x14ac:dyDescent="0.2">
      <c r="B17" s="28"/>
      <c r="C17" s="28"/>
      <c r="D17" s="28"/>
      <c r="E17" s="29"/>
      <c r="F17" s="30"/>
      <c r="G17" s="31"/>
      <c r="H17" s="32"/>
    </row>
    <row r="18" spans="2:8" ht="15.75" customHeight="1" x14ac:dyDescent="0.2">
      <c r="B18" s="39" t="s">
        <v>133</v>
      </c>
      <c r="C18" s="39"/>
      <c r="D18" s="39"/>
      <c r="E18" s="40"/>
      <c r="F18" s="34">
        <v>87.77</v>
      </c>
      <c r="G18" s="35">
        <v>5.9999999999999995E-4</v>
      </c>
      <c r="H18" s="36"/>
    </row>
    <row r="19" spans="2:8" ht="15.75" customHeight="1" x14ac:dyDescent="0.2">
      <c r="B19" s="28" t="s">
        <v>141</v>
      </c>
      <c r="C19" s="28"/>
      <c r="D19" s="28"/>
      <c r="E19" s="29"/>
      <c r="F19" s="30">
        <v>2015.19</v>
      </c>
      <c r="G19" s="31">
        <v>1.4399999999999968E-2</v>
      </c>
      <c r="H19" s="32"/>
    </row>
    <row r="20" spans="2:8" ht="15.75" customHeight="1" x14ac:dyDescent="0.2">
      <c r="B20" s="41" t="s">
        <v>142</v>
      </c>
      <c r="C20" s="41"/>
      <c r="D20" s="41"/>
      <c r="E20" s="42"/>
      <c r="F20" s="43">
        <v>140496.91</v>
      </c>
      <c r="G20" s="44">
        <v>1</v>
      </c>
      <c r="H20" s="45"/>
    </row>
    <row r="21" spans="2:8" ht="15.75" customHeight="1" x14ac:dyDescent="0.2">
      <c r="B21" s="2"/>
    </row>
    <row r="22" spans="2:8" s="7" customFormat="1" ht="15.6" customHeight="1" x14ac:dyDescent="0.25">
      <c r="B22" s="63" t="s">
        <v>1067</v>
      </c>
      <c r="C22" s="70"/>
      <c r="D22" s="70"/>
      <c r="E22" s="70"/>
      <c r="F22" s="70"/>
      <c r="G22" s="70"/>
      <c r="H22" s="64"/>
    </row>
    <row r="23" spans="2:8" s="7" customFormat="1" ht="15.6" customHeight="1" x14ac:dyDescent="0.25">
      <c r="B23" s="63" t="s">
        <v>1108</v>
      </c>
      <c r="C23" s="70"/>
      <c r="D23" s="70"/>
      <c r="E23" s="70"/>
      <c r="F23" s="70"/>
      <c r="G23" s="70"/>
      <c r="H23" s="64"/>
    </row>
    <row r="24" spans="2:8" s="7" customFormat="1" ht="15.6" customHeight="1" x14ac:dyDescent="0.25">
      <c r="B24" s="63" t="s">
        <v>1068</v>
      </c>
      <c r="C24" s="70"/>
      <c r="D24" s="70"/>
      <c r="E24" s="70"/>
      <c r="F24" s="70"/>
      <c r="G24" s="70"/>
      <c r="H24" s="64"/>
    </row>
    <row r="25" spans="2:8" s="7" customFormat="1" ht="15.6" customHeight="1" x14ac:dyDescent="0.25">
      <c r="B25" s="71"/>
      <c r="C25" s="65">
        <v>46142</v>
      </c>
      <c r="D25" s="65">
        <v>46112</v>
      </c>
      <c r="E25" s="70"/>
      <c r="F25" s="70"/>
      <c r="G25" s="70"/>
      <c r="H25" s="64"/>
    </row>
    <row r="26" spans="2:8" s="7" customFormat="1" ht="15.6" customHeight="1" x14ac:dyDescent="0.25">
      <c r="B26" s="71" t="s">
        <v>1069</v>
      </c>
      <c r="C26" s="66"/>
      <c r="D26" s="66"/>
      <c r="E26" s="70"/>
      <c r="F26" s="70"/>
      <c r="G26" s="70"/>
      <c r="H26" s="64"/>
    </row>
    <row r="27" spans="2:8" s="7" customFormat="1" ht="15.6" customHeight="1" x14ac:dyDescent="0.25">
      <c r="B27" s="71" t="s">
        <v>1070</v>
      </c>
      <c r="C27" s="67">
        <v>134.52709999999999</v>
      </c>
      <c r="D27" s="67">
        <v>130.26910000000001</v>
      </c>
      <c r="E27" s="70"/>
      <c r="F27" s="70"/>
      <c r="G27" s="70"/>
      <c r="H27" s="64"/>
    </row>
    <row r="28" spans="2:8" s="7" customFormat="1" ht="15.6" customHeight="1" x14ac:dyDescent="0.25">
      <c r="B28" s="63" t="s">
        <v>1116</v>
      </c>
      <c r="C28" s="70"/>
      <c r="D28" s="70"/>
      <c r="E28" s="70"/>
      <c r="F28" s="70"/>
      <c r="G28" s="70"/>
      <c r="H28" s="64"/>
    </row>
    <row r="29" spans="2:8" s="7" customFormat="1" ht="15.6" customHeight="1" x14ac:dyDescent="0.25">
      <c r="B29" s="63" t="s">
        <v>1109</v>
      </c>
      <c r="C29" s="70"/>
      <c r="D29" s="70"/>
      <c r="E29" s="70"/>
      <c r="F29" s="70"/>
      <c r="G29" s="70"/>
      <c r="H29" s="64"/>
    </row>
    <row r="30" spans="2:8" s="7" customFormat="1" ht="15.6" customHeight="1" x14ac:dyDescent="0.25">
      <c r="B30" s="63" t="s">
        <v>1111</v>
      </c>
      <c r="C30" s="70"/>
      <c r="D30" s="70"/>
      <c r="E30" s="70"/>
      <c r="F30" s="70"/>
      <c r="G30" s="70"/>
      <c r="H30" s="64"/>
    </row>
    <row r="31" spans="2:8" s="7" customFormat="1" ht="15.6" customHeight="1" x14ac:dyDescent="0.25">
      <c r="B31" s="63" t="s">
        <v>1112</v>
      </c>
      <c r="C31" s="70"/>
      <c r="D31" s="70"/>
      <c r="E31" s="70"/>
      <c r="F31" s="70"/>
      <c r="G31" s="70"/>
      <c r="H31" s="64"/>
    </row>
    <row r="32" spans="2:8" s="7" customFormat="1" ht="15.6" customHeight="1" x14ac:dyDescent="0.25">
      <c r="B32" s="63" t="s">
        <v>1114</v>
      </c>
      <c r="C32" s="70"/>
      <c r="D32" s="70"/>
      <c r="E32" s="70"/>
      <c r="F32" s="70"/>
      <c r="G32" s="70"/>
      <c r="H32" s="64"/>
    </row>
    <row r="33" spans="2:8" s="7" customFormat="1" ht="15.6" customHeight="1" x14ac:dyDescent="0.25">
      <c r="B33" s="68" t="s">
        <v>1099</v>
      </c>
      <c r="C33" s="72"/>
      <c r="D33" s="72"/>
      <c r="E33" s="72"/>
      <c r="F33" s="72"/>
      <c r="G33" s="72"/>
      <c r="H33" s="69"/>
    </row>
    <row r="34" spans="2:8" ht="15.75" customHeight="1" thickBot="1" x14ac:dyDescent="0.25"/>
    <row r="35" spans="2:8" ht="39.75" customHeight="1" thickBot="1" x14ac:dyDescent="0.3">
      <c r="B35" s="46" t="s">
        <v>146</v>
      </c>
      <c r="C35" s="47" t="s">
        <v>147</v>
      </c>
      <c r="D35" s="47" t="s">
        <v>148</v>
      </c>
      <c r="E35"/>
    </row>
    <row r="36" spans="2:8" ht="39.75" customHeight="1" x14ac:dyDescent="0.25">
      <c r="B36" s="52" t="s">
        <v>822</v>
      </c>
      <c r="C36" s="109"/>
      <c r="D36" s="52" t="s">
        <v>817</v>
      </c>
      <c r="E36"/>
    </row>
    <row r="37" spans="2:8" ht="39.75" customHeight="1" x14ac:dyDescent="0.25">
      <c r="B37" s="112" t="s">
        <v>823</v>
      </c>
      <c r="C37" s="110"/>
      <c r="D37" s="114"/>
      <c r="E37"/>
    </row>
    <row r="38" spans="2:8" ht="39.75" customHeight="1" x14ac:dyDescent="0.25">
      <c r="B38" s="112"/>
      <c r="C38" s="110"/>
      <c r="D38" s="114"/>
      <c r="E38"/>
    </row>
    <row r="39" spans="2:8" ht="39.75" customHeight="1" x14ac:dyDescent="0.25">
      <c r="B39" s="112"/>
      <c r="C39" s="110"/>
      <c r="D39" s="114"/>
      <c r="E39"/>
    </row>
    <row r="40" spans="2:8" ht="39.75" customHeight="1" thickBot="1" x14ac:dyDescent="0.3">
      <c r="B40" s="113"/>
      <c r="C40" s="111"/>
      <c r="D40" s="115"/>
      <c r="E40"/>
    </row>
    <row r="41" spans="2:8" ht="15.75" customHeight="1" x14ac:dyDescent="0.2">
      <c r="B41" s="9" t="s">
        <v>149</v>
      </c>
    </row>
    <row r="42" spans="2:8" ht="15.75" customHeight="1" x14ac:dyDescent="0.2">
      <c r="B42" s="9" t="s">
        <v>150</v>
      </c>
    </row>
    <row r="43" spans="2:8" ht="15.75" customHeight="1" x14ac:dyDescent="0.2">
      <c r="B43" s="9" t="s">
        <v>151</v>
      </c>
    </row>
    <row r="78" spans="10:10" ht="15.75" customHeight="1" x14ac:dyDescent="0.2">
      <c r="J78" s="3"/>
    </row>
    <row r="80" spans="10:10" ht="15.75" customHeight="1" x14ac:dyDescent="0.2">
      <c r="J80" s="3"/>
    </row>
    <row r="81" spans="10:14" ht="15.75" customHeight="1" x14ac:dyDescent="0.2">
      <c r="J81" s="3"/>
    </row>
    <row r="82" spans="10:14" ht="15.75" customHeight="1" x14ac:dyDescent="0.2">
      <c r="J82" s="3"/>
    </row>
    <row r="83" spans="10:14" ht="15.75" customHeight="1" x14ac:dyDescent="0.2">
      <c r="J83" s="3"/>
    </row>
    <row r="84" spans="10:14" ht="15.75" customHeight="1" x14ac:dyDescent="0.2">
      <c r="J84" s="3"/>
    </row>
    <row r="85" spans="10:14" ht="15.75" customHeight="1" x14ac:dyDescent="0.2">
      <c r="J85" s="5"/>
      <c r="K85" s="5"/>
      <c r="L85" s="6"/>
      <c r="M85" s="6"/>
      <c r="N85" s="5"/>
    </row>
    <row r="88" spans="10:14" ht="15.75" customHeight="1" x14ac:dyDescent="0.2">
      <c r="J88" s="7"/>
      <c r="K88" s="7"/>
      <c r="L88" s="7"/>
      <c r="M88" s="7"/>
      <c r="N88" s="7"/>
    </row>
    <row r="89" spans="10:14" ht="15.75" customHeight="1" x14ac:dyDescent="0.2">
      <c r="J89" s="7"/>
      <c r="K89" s="7"/>
      <c r="L89" s="7"/>
      <c r="M89" s="7"/>
      <c r="N89" s="7"/>
    </row>
    <row r="90" spans="10:14" ht="15.75" customHeight="1" x14ac:dyDescent="0.2">
      <c r="J90" s="7"/>
      <c r="K90" s="7"/>
      <c r="L90" s="7"/>
      <c r="M90" s="7"/>
      <c r="N90" s="7"/>
    </row>
    <row r="91" spans="10:14" ht="15.75" customHeight="1" x14ac:dyDescent="0.2">
      <c r="J91" s="7"/>
      <c r="K91" s="7"/>
      <c r="L91" s="7"/>
      <c r="M91" s="7"/>
      <c r="N91" s="7"/>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6" spans="10:14" ht="15.75" customHeight="1" x14ac:dyDescent="0.2">
      <c r="J96" s="3"/>
    </row>
  </sheetData>
  <mergeCells count="3">
    <mergeCell ref="C36:C40"/>
    <mergeCell ref="B37:B40"/>
    <mergeCell ref="D37:D40"/>
  </mergeCells>
  <hyperlinks>
    <hyperlink ref="G1" location="'Sheet1'!A1" display="Index" xr:uid="{32CCD641-B51A-4C30-8C9F-7FA3AF66969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EF03-CB77-408D-ABCC-DD1892923C87}">
  <dimension ref="B1:N14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191</v>
      </c>
      <c r="C7" s="28" t="s">
        <v>192</v>
      </c>
      <c r="D7" s="28" t="s">
        <v>173</v>
      </c>
      <c r="E7" s="29">
        <v>883024</v>
      </c>
      <c r="F7" s="30">
        <v>11156.13</v>
      </c>
      <c r="G7" s="31">
        <v>8.2500000000000004E-2</v>
      </c>
      <c r="H7" s="32"/>
    </row>
    <row r="8" spans="2:8" ht="15.75" customHeight="1" x14ac:dyDescent="0.2">
      <c r="B8" s="28" t="s">
        <v>171</v>
      </c>
      <c r="C8" s="28" t="s">
        <v>172</v>
      </c>
      <c r="D8" s="28" t="s">
        <v>173</v>
      </c>
      <c r="E8" s="29">
        <v>1390404</v>
      </c>
      <c r="F8" s="30">
        <v>10729.75</v>
      </c>
      <c r="G8" s="31">
        <v>7.9399999999999998E-2</v>
      </c>
      <c r="H8" s="32"/>
    </row>
    <row r="9" spans="2:8" ht="15.75" customHeight="1" x14ac:dyDescent="0.2">
      <c r="B9" s="28" t="s">
        <v>174</v>
      </c>
      <c r="C9" s="28" t="s">
        <v>175</v>
      </c>
      <c r="D9" s="28" t="s">
        <v>176</v>
      </c>
      <c r="E9" s="29">
        <v>657318</v>
      </c>
      <c r="F9" s="30">
        <v>9404.91</v>
      </c>
      <c r="G9" s="31">
        <v>6.9599999999999995E-2</v>
      </c>
      <c r="H9" s="32"/>
    </row>
    <row r="10" spans="2:8" ht="15.75" customHeight="1" x14ac:dyDescent="0.2">
      <c r="B10" s="28" t="s">
        <v>316</v>
      </c>
      <c r="C10" s="28" t="s">
        <v>317</v>
      </c>
      <c r="D10" s="28" t="s">
        <v>318</v>
      </c>
      <c r="E10" s="29">
        <v>187361</v>
      </c>
      <c r="F10" s="30">
        <v>7520.67</v>
      </c>
      <c r="G10" s="31">
        <v>5.5599999999999997E-2</v>
      </c>
      <c r="H10" s="32"/>
    </row>
    <row r="11" spans="2:8" ht="15.75" customHeight="1" x14ac:dyDescent="0.2">
      <c r="B11" s="28" t="s">
        <v>214</v>
      </c>
      <c r="C11" s="28" t="s">
        <v>215</v>
      </c>
      <c r="D11" s="28" t="s">
        <v>216</v>
      </c>
      <c r="E11" s="29">
        <v>321711</v>
      </c>
      <c r="F11" s="30">
        <v>6070.04</v>
      </c>
      <c r="G11" s="31">
        <v>4.4900000000000002E-2</v>
      </c>
      <c r="H11" s="32"/>
    </row>
    <row r="12" spans="2:8" ht="15.75" customHeight="1" x14ac:dyDescent="0.2">
      <c r="B12" s="28" t="s">
        <v>212</v>
      </c>
      <c r="C12" s="28" t="s">
        <v>213</v>
      </c>
      <c r="D12" s="28" t="s">
        <v>173</v>
      </c>
      <c r="E12" s="29">
        <v>449882</v>
      </c>
      <c r="F12" s="30">
        <v>4806.76</v>
      </c>
      <c r="G12" s="31">
        <v>3.56E-2</v>
      </c>
      <c r="H12" s="32"/>
    </row>
    <row r="13" spans="2:8" ht="15.75" customHeight="1" x14ac:dyDescent="0.2">
      <c r="B13" s="28" t="s">
        <v>183</v>
      </c>
      <c r="C13" s="28" t="s">
        <v>184</v>
      </c>
      <c r="D13" s="28" t="s">
        <v>173</v>
      </c>
      <c r="E13" s="29">
        <v>341620</v>
      </c>
      <c r="F13" s="30">
        <v>4332.7700000000004</v>
      </c>
      <c r="G13" s="31">
        <v>3.2000000000000001E-2</v>
      </c>
      <c r="H13" s="32"/>
    </row>
    <row r="14" spans="2:8" ht="15.75" customHeight="1" x14ac:dyDescent="0.2">
      <c r="B14" s="28" t="s">
        <v>180</v>
      </c>
      <c r="C14" s="28" t="s">
        <v>181</v>
      </c>
      <c r="D14" s="28" t="s">
        <v>182</v>
      </c>
      <c r="E14" s="29">
        <v>328690</v>
      </c>
      <c r="F14" s="30">
        <v>3884.46</v>
      </c>
      <c r="G14" s="31">
        <v>2.87E-2</v>
      </c>
      <c r="H14" s="32"/>
    </row>
    <row r="15" spans="2:8" ht="15.75" customHeight="1" x14ac:dyDescent="0.2">
      <c r="B15" s="28" t="s">
        <v>256</v>
      </c>
      <c r="C15" s="28" t="s">
        <v>257</v>
      </c>
      <c r="D15" s="28" t="s">
        <v>187</v>
      </c>
      <c r="E15" s="29">
        <v>1166212</v>
      </c>
      <c r="F15" s="30">
        <v>3672.4</v>
      </c>
      <c r="G15" s="31">
        <v>2.7199999999999998E-2</v>
      </c>
      <c r="H15" s="32"/>
    </row>
    <row r="16" spans="2:8" ht="15.75" customHeight="1" x14ac:dyDescent="0.2">
      <c r="B16" s="28" t="s">
        <v>185</v>
      </c>
      <c r="C16" s="28" t="s">
        <v>186</v>
      </c>
      <c r="D16" s="28" t="s">
        <v>187</v>
      </c>
      <c r="E16" s="29">
        <v>155178</v>
      </c>
      <c r="F16" s="30">
        <v>3492.9</v>
      </c>
      <c r="G16" s="31">
        <v>2.58E-2</v>
      </c>
      <c r="H16" s="32"/>
    </row>
    <row r="17" spans="2:8" ht="15.75" customHeight="1" x14ac:dyDescent="0.2">
      <c r="B17" s="28" t="s">
        <v>236</v>
      </c>
      <c r="C17" s="28" t="s">
        <v>237</v>
      </c>
      <c r="D17" s="28" t="s">
        <v>238</v>
      </c>
      <c r="E17" s="29">
        <v>193053</v>
      </c>
      <c r="F17" s="30">
        <v>3490.98</v>
      </c>
      <c r="G17" s="31">
        <v>2.58E-2</v>
      </c>
      <c r="H17" s="32"/>
    </row>
    <row r="18" spans="2:8" ht="15.75" customHeight="1" x14ac:dyDescent="0.2">
      <c r="B18" s="28" t="s">
        <v>292</v>
      </c>
      <c r="C18" s="28" t="s">
        <v>293</v>
      </c>
      <c r="D18" s="28" t="s">
        <v>195</v>
      </c>
      <c r="E18" s="29">
        <v>951603</v>
      </c>
      <c r="F18" s="30">
        <v>3250.2</v>
      </c>
      <c r="G18" s="31">
        <v>2.4E-2</v>
      </c>
      <c r="H18" s="32"/>
    </row>
    <row r="19" spans="2:8" ht="15.75" customHeight="1" x14ac:dyDescent="0.2">
      <c r="B19" s="28" t="s">
        <v>538</v>
      </c>
      <c r="C19" s="28" t="s">
        <v>539</v>
      </c>
      <c r="D19" s="28" t="s">
        <v>277</v>
      </c>
      <c r="E19" s="29">
        <v>175077</v>
      </c>
      <c r="F19" s="30">
        <v>3184.65</v>
      </c>
      <c r="G19" s="31">
        <v>2.3599999999999999E-2</v>
      </c>
      <c r="H19" s="32"/>
    </row>
    <row r="20" spans="2:8" ht="15.75" customHeight="1" x14ac:dyDescent="0.2">
      <c r="B20" s="28" t="s">
        <v>193</v>
      </c>
      <c r="C20" s="28" t="s">
        <v>194</v>
      </c>
      <c r="D20" s="28" t="s">
        <v>195</v>
      </c>
      <c r="E20" s="29">
        <v>94729</v>
      </c>
      <c r="F20" s="30">
        <v>2934.23</v>
      </c>
      <c r="G20" s="31">
        <v>2.1700000000000001E-2</v>
      </c>
      <c r="H20" s="32"/>
    </row>
    <row r="21" spans="2:8" ht="15.75" customHeight="1" x14ac:dyDescent="0.2">
      <c r="B21" s="28" t="s">
        <v>296</v>
      </c>
      <c r="C21" s="28" t="s">
        <v>297</v>
      </c>
      <c r="D21" s="28" t="s">
        <v>271</v>
      </c>
      <c r="E21" s="29">
        <v>66116</v>
      </c>
      <c r="F21" s="30">
        <v>2899.32</v>
      </c>
      <c r="G21" s="31">
        <v>2.1399999999999999E-2</v>
      </c>
      <c r="H21" s="32"/>
    </row>
    <row r="22" spans="2:8" ht="15.75" customHeight="1" x14ac:dyDescent="0.2">
      <c r="B22" s="28" t="s">
        <v>379</v>
      </c>
      <c r="C22" s="28" t="s">
        <v>380</v>
      </c>
      <c r="D22" s="28" t="s">
        <v>331</v>
      </c>
      <c r="E22" s="29">
        <v>102974</v>
      </c>
      <c r="F22" s="30">
        <v>2877.61</v>
      </c>
      <c r="G22" s="31">
        <v>2.1299999999999999E-2</v>
      </c>
      <c r="H22" s="32"/>
    </row>
    <row r="23" spans="2:8" ht="15.75" customHeight="1" x14ac:dyDescent="0.2">
      <c r="B23" s="28" t="s">
        <v>356</v>
      </c>
      <c r="C23" s="28" t="s">
        <v>357</v>
      </c>
      <c r="D23" s="28" t="s">
        <v>287</v>
      </c>
      <c r="E23" s="29">
        <v>62202</v>
      </c>
      <c r="F23" s="30">
        <v>2671.76</v>
      </c>
      <c r="G23" s="31">
        <v>1.9800000000000002E-2</v>
      </c>
      <c r="H23" s="32"/>
    </row>
    <row r="24" spans="2:8" ht="15.75" customHeight="1" x14ac:dyDescent="0.2">
      <c r="B24" s="28" t="s">
        <v>241</v>
      </c>
      <c r="C24" s="28" t="s">
        <v>242</v>
      </c>
      <c r="D24" s="28" t="s">
        <v>243</v>
      </c>
      <c r="E24" s="29">
        <v>1050591</v>
      </c>
      <c r="F24" s="30">
        <v>2595.27</v>
      </c>
      <c r="G24" s="31">
        <v>1.9199999999999998E-2</v>
      </c>
      <c r="H24" s="32"/>
    </row>
    <row r="25" spans="2:8" ht="15.75" customHeight="1" x14ac:dyDescent="0.2">
      <c r="B25" s="28" t="s">
        <v>329</v>
      </c>
      <c r="C25" s="28" t="s">
        <v>330</v>
      </c>
      <c r="D25" s="28" t="s">
        <v>331</v>
      </c>
      <c r="E25" s="29">
        <v>20068</v>
      </c>
      <c r="F25" s="30">
        <v>2325.08</v>
      </c>
      <c r="G25" s="31">
        <v>1.72E-2</v>
      </c>
      <c r="H25" s="32"/>
    </row>
    <row r="26" spans="2:8" ht="15.75" customHeight="1" x14ac:dyDescent="0.2">
      <c r="B26" s="28" t="s">
        <v>603</v>
      </c>
      <c r="C26" s="28" t="s">
        <v>604</v>
      </c>
      <c r="D26" s="28" t="s">
        <v>345</v>
      </c>
      <c r="E26" s="29">
        <v>165801</v>
      </c>
      <c r="F26" s="30">
        <v>2280.92</v>
      </c>
      <c r="G26" s="31">
        <v>1.6899999999999998E-2</v>
      </c>
      <c r="H26" s="32"/>
    </row>
    <row r="27" spans="2:8" ht="15.75" customHeight="1" x14ac:dyDescent="0.2">
      <c r="B27" s="28" t="s">
        <v>393</v>
      </c>
      <c r="C27" s="28" t="s">
        <v>394</v>
      </c>
      <c r="D27" s="28" t="s">
        <v>395</v>
      </c>
      <c r="E27" s="29">
        <v>29511</v>
      </c>
      <c r="F27" s="30">
        <v>2253.61</v>
      </c>
      <c r="G27" s="31">
        <v>1.67E-2</v>
      </c>
      <c r="H27" s="32"/>
    </row>
    <row r="28" spans="2:8" ht="15.75" customHeight="1" x14ac:dyDescent="0.2">
      <c r="B28" s="28" t="s">
        <v>726</v>
      </c>
      <c r="C28" s="28" t="s">
        <v>727</v>
      </c>
      <c r="D28" s="28" t="s">
        <v>224</v>
      </c>
      <c r="E28" s="29">
        <v>159237</v>
      </c>
      <c r="F28" s="30">
        <v>2172.15</v>
      </c>
      <c r="G28" s="31">
        <v>1.61E-2</v>
      </c>
      <c r="H28" s="32"/>
    </row>
    <row r="29" spans="2:8" ht="15.75" customHeight="1" x14ac:dyDescent="0.2">
      <c r="B29" s="28" t="s">
        <v>262</v>
      </c>
      <c r="C29" s="28" t="s">
        <v>263</v>
      </c>
      <c r="D29" s="28" t="s">
        <v>243</v>
      </c>
      <c r="E29" s="29">
        <v>48624</v>
      </c>
      <c r="F29" s="30">
        <v>2015.27</v>
      </c>
      <c r="G29" s="31">
        <v>1.49E-2</v>
      </c>
      <c r="H29" s="32"/>
    </row>
    <row r="30" spans="2:8" ht="15.75" customHeight="1" x14ac:dyDescent="0.2">
      <c r="B30" s="28" t="s">
        <v>220</v>
      </c>
      <c r="C30" s="28" t="s">
        <v>221</v>
      </c>
      <c r="D30" s="28" t="s">
        <v>173</v>
      </c>
      <c r="E30" s="29">
        <v>525738</v>
      </c>
      <c r="F30" s="30">
        <v>2015.15</v>
      </c>
      <c r="G30" s="31">
        <v>1.49E-2</v>
      </c>
      <c r="H30" s="32"/>
    </row>
    <row r="31" spans="2:8" ht="15.75" customHeight="1" x14ac:dyDescent="0.2">
      <c r="B31" s="28" t="s">
        <v>222</v>
      </c>
      <c r="C31" s="28" t="s">
        <v>223</v>
      </c>
      <c r="D31" s="28" t="s">
        <v>224</v>
      </c>
      <c r="E31" s="29">
        <v>454900</v>
      </c>
      <c r="F31" s="30">
        <v>1961.98</v>
      </c>
      <c r="G31" s="31">
        <v>1.4500000000000001E-2</v>
      </c>
      <c r="H31" s="32"/>
    </row>
    <row r="32" spans="2:8" ht="15.75" customHeight="1" x14ac:dyDescent="0.2">
      <c r="B32" s="28" t="s">
        <v>188</v>
      </c>
      <c r="C32" s="28" t="s">
        <v>189</v>
      </c>
      <c r="D32" s="28" t="s">
        <v>190</v>
      </c>
      <c r="E32" s="29">
        <v>203042</v>
      </c>
      <c r="F32" s="30">
        <v>1903.21</v>
      </c>
      <c r="G32" s="31">
        <v>1.41E-2</v>
      </c>
      <c r="H32" s="32"/>
    </row>
    <row r="33" spans="2:8" ht="15.75" customHeight="1" x14ac:dyDescent="0.2">
      <c r="B33" s="28" t="s">
        <v>314</v>
      </c>
      <c r="C33" s="28" t="s">
        <v>315</v>
      </c>
      <c r="D33" s="28" t="s">
        <v>182</v>
      </c>
      <c r="E33" s="29">
        <v>76470</v>
      </c>
      <c r="F33" s="30">
        <v>1891.79</v>
      </c>
      <c r="G33" s="31">
        <v>1.4E-2</v>
      </c>
      <c r="H33" s="32"/>
    </row>
    <row r="34" spans="2:8" ht="15.75" customHeight="1" x14ac:dyDescent="0.2">
      <c r="B34" s="28" t="s">
        <v>278</v>
      </c>
      <c r="C34" s="28" t="s">
        <v>279</v>
      </c>
      <c r="D34" s="28" t="s">
        <v>190</v>
      </c>
      <c r="E34" s="29">
        <v>421090</v>
      </c>
      <c r="F34" s="30">
        <v>1888.17</v>
      </c>
      <c r="G34" s="31">
        <v>1.4E-2</v>
      </c>
      <c r="H34" s="32"/>
    </row>
    <row r="35" spans="2:8" ht="15.75" customHeight="1" x14ac:dyDescent="0.2">
      <c r="B35" s="28" t="s">
        <v>232</v>
      </c>
      <c r="C35" s="28" t="s">
        <v>233</v>
      </c>
      <c r="D35" s="28" t="s">
        <v>195</v>
      </c>
      <c r="E35" s="29">
        <v>12887</v>
      </c>
      <c r="F35" s="30">
        <v>1715.78</v>
      </c>
      <c r="G35" s="31">
        <v>1.2699999999999999E-2</v>
      </c>
      <c r="H35" s="32"/>
    </row>
    <row r="36" spans="2:8" ht="15.75" customHeight="1" x14ac:dyDescent="0.2">
      <c r="B36" s="28" t="s">
        <v>227</v>
      </c>
      <c r="C36" s="28" t="s">
        <v>228</v>
      </c>
      <c r="D36" s="28" t="s">
        <v>229</v>
      </c>
      <c r="E36" s="29">
        <v>799814</v>
      </c>
      <c r="F36" s="30">
        <v>1690.49</v>
      </c>
      <c r="G36" s="31">
        <v>1.2500000000000001E-2</v>
      </c>
      <c r="H36" s="32"/>
    </row>
    <row r="37" spans="2:8" ht="15.75" customHeight="1" x14ac:dyDescent="0.2">
      <c r="B37" s="28" t="s">
        <v>605</v>
      </c>
      <c r="C37" s="28" t="s">
        <v>606</v>
      </c>
      <c r="D37" s="28" t="s">
        <v>470</v>
      </c>
      <c r="E37" s="29">
        <v>241331</v>
      </c>
      <c r="F37" s="30">
        <v>1534.5</v>
      </c>
      <c r="G37" s="31">
        <v>1.1299999999999999E-2</v>
      </c>
      <c r="H37" s="32"/>
    </row>
    <row r="38" spans="2:8" ht="15.75" customHeight="1" x14ac:dyDescent="0.2">
      <c r="B38" s="28" t="s">
        <v>376</v>
      </c>
      <c r="C38" s="28" t="s">
        <v>377</v>
      </c>
      <c r="D38" s="28" t="s">
        <v>378</v>
      </c>
      <c r="E38" s="29">
        <v>438384</v>
      </c>
      <c r="F38" s="30">
        <v>1362.94</v>
      </c>
      <c r="G38" s="31">
        <v>1.01E-2</v>
      </c>
      <c r="H38" s="32"/>
    </row>
    <row r="39" spans="2:8" ht="15.75" customHeight="1" x14ac:dyDescent="0.2">
      <c r="B39" s="28" t="s">
        <v>628</v>
      </c>
      <c r="C39" s="28" t="s">
        <v>629</v>
      </c>
      <c r="D39" s="28" t="s">
        <v>271</v>
      </c>
      <c r="E39" s="29">
        <v>73852</v>
      </c>
      <c r="F39" s="30">
        <v>1315.3</v>
      </c>
      <c r="G39" s="31">
        <v>9.7000000000000003E-3</v>
      </c>
      <c r="H39" s="32"/>
    </row>
    <row r="40" spans="2:8" ht="15.75" customHeight="1" x14ac:dyDescent="0.2">
      <c r="B40" s="28" t="s">
        <v>528</v>
      </c>
      <c r="C40" s="28" t="s">
        <v>529</v>
      </c>
      <c r="D40" s="28" t="s">
        <v>431</v>
      </c>
      <c r="E40" s="29">
        <v>129788</v>
      </c>
      <c r="F40" s="30">
        <v>1310.79</v>
      </c>
      <c r="G40" s="31">
        <v>9.7000000000000003E-3</v>
      </c>
      <c r="H40" s="32"/>
    </row>
    <row r="41" spans="2:8" ht="15.75" customHeight="1" x14ac:dyDescent="0.2">
      <c r="B41" s="28" t="s">
        <v>630</v>
      </c>
      <c r="C41" s="28" t="s">
        <v>631</v>
      </c>
      <c r="D41" s="28" t="s">
        <v>195</v>
      </c>
      <c r="E41" s="29">
        <v>25676</v>
      </c>
      <c r="F41" s="30">
        <v>1309.22</v>
      </c>
      <c r="G41" s="31">
        <v>9.7000000000000003E-3</v>
      </c>
      <c r="H41" s="32"/>
    </row>
    <row r="42" spans="2:8" ht="15.75" customHeight="1" x14ac:dyDescent="0.2">
      <c r="B42" s="28" t="s">
        <v>432</v>
      </c>
      <c r="C42" s="28" t="s">
        <v>433</v>
      </c>
      <c r="D42" s="28" t="s">
        <v>434</v>
      </c>
      <c r="E42" s="29">
        <v>281709</v>
      </c>
      <c r="F42" s="30">
        <v>1154.73</v>
      </c>
      <c r="G42" s="31">
        <v>8.5000000000000006E-3</v>
      </c>
      <c r="H42" s="32"/>
    </row>
    <row r="43" spans="2:8" ht="15.75" customHeight="1" x14ac:dyDescent="0.2">
      <c r="B43" s="28" t="s">
        <v>386</v>
      </c>
      <c r="C43" s="28" t="s">
        <v>387</v>
      </c>
      <c r="D43" s="28" t="s">
        <v>388</v>
      </c>
      <c r="E43" s="29">
        <v>49824</v>
      </c>
      <c r="F43" s="30">
        <v>1121.54</v>
      </c>
      <c r="G43" s="31">
        <v>8.3000000000000001E-3</v>
      </c>
      <c r="H43" s="32"/>
    </row>
    <row r="44" spans="2:8" ht="15.75" customHeight="1" x14ac:dyDescent="0.2">
      <c r="B44" s="28" t="s">
        <v>601</v>
      </c>
      <c r="C44" s="28" t="s">
        <v>602</v>
      </c>
      <c r="D44" s="28" t="s">
        <v>483</v>
      </c>
      <c r="E44" s="29">
        <v>201452</v>
      </c>
      <c r="F44" s="30">
        <v>1071.32</v>
      </c>
      <c r="G44" s="31">
        <v>7.9000000000000008E-3</v>
      </c>
      <c r="H44" s="32"/>
    </row>
    <row r="45" spans="2:8" ht="15.75" customHeight="1" x14ac:dyDescent="0.2">
      <c r="B45" s="28" t="s">
        <v>722</v>
      </c>
      <c r="C45" s="28" t="s">
        <v>723</v>
      </c>
      <c r="D45" s="28" t="s">
        <v>470</v>
      </c>
      <c r="E45" s="29">
        <v>205842</v>
      </c>
      <c r="F45" s="30">
        <v>985.16</v>
      </c>
      <c r="G45" s="31">
        <v>7.3000000000000001E-3</v>
      </c>
      <c r="H45" s="32"/>
    </row>
    <row r="46" spans="2:8" ht="15.75" customHeight="1" x14ac:dyDescent="0.2">
      <c r="B46" s="28" t="s">
        <v>824</v>
      </c>
      <c r="C46" s="28" t="s">
        <v>825</v>
      </c>
      <c r="D46" s="28" t="s">
        <v>571</v>
      </c>
      <c r="E46" s="29">
        <v>425110</v>
      </c>
      <c r="F46" s="30">
        <v>771.79</v>
      </c>
      <c r="G46" s="31">
        <v>5.7000000000000002E-3</v>
      </c>
      <c r="H46" s="32"/>
    </row>
    <row r="47" spans="2:8" ht="15.75" customHeight="1" x14ac:dyDescent="0.2">
      <c r="B47" s="28" t="s">
        <v>466</v>
      </c>
      <c r="C47" s="28" t="s">
        <v>467</v>
      </c>
      <c r="D47" s="28" t="s">
        <v>395</v>
      </c>
      <c r="E47" s="29">
        <v>82557</v>
      </c>
      <c r="F47" s="30">
        <v>761.96</v>
      </c>
      <c r="G47" s="31">
        <v>5.5999999999999999E-3</v>
      </c>
      <c r="H47" s="32"/>
    </row>
    <row r="48" spans="2:8" ht="15.75" customHeight="1" x14ac:dyDescent="0.2">
      <c r="B48" s="27" t="s">
        <v>129</v>
      </c>
      <c r="C48" s="27"/>
      <c r="D48" s="27"/>
      <c r="E48" s="33"/>
      <c r="F48" s="34">
        <v>125787.66</v>
      </c>
      <c r="G48" s="35">
        <v>0.93030000000000002</v>
      </c>
      <c r="H48" s="36"/>
    </row>
    <row r="49" spans="2:8" ht="15.75" customHeight="1" x14ac:dyDescent="0.2">
      <c r="B49" s="27" t="s">
        <v>197</v>
      </c>
      <c r="C49" s="28"/>
      <c r="D49" s="28"/>
      <c r="E49" s="29"/>
      <c r="F49" s="30"/>
      <c r="G49" s="31"/>
      <c r="H49" s="32"/>
    </row>
    <row r="50" spans="2:8" ht="15.75" customHeight="1" x14ac:dyDescent="0.2">
      <c r="B50" s="27" t="s">
        <v>129</v>
      </c>
      <c r="C50" s="28"/>
      <c r="D50" s="28"/>
      <c r="E50" s="29"/>
      <c r="F50" s="37" t="s">
        <v>131</v>
      </c>
      <c r="G50" s="38" t="s">
        <v>131</v>
      </c>
      <c r="H50" s="32"/>
    </row>
    <row r="51" spans="2:8" ht="15.75" customHeight="1" x14ac:dyDescent="0.2">
      <c r="B51" s="28"/>
      <c r="C51" s="28"/>
      <c r="D51" s="28"/>
      <c r="E51" s="29"/>
      <c r="F51" s="30"/>
      <c r="G51" s="31"/>
      <c r="H51" s="32"/>
    </row>
    <row r="52" spans="2:8" ht="15.75" customHeight="1" x14ac:dyDescent="0.2">
      <c r="B52" s="39" t="s">
        <v>133</v>
      </c>
      <c r="C52" s="39"/>
      <c r="D52" s="39"/>
      <c r="E52" s="40"/>
      <c r="F52" s="34">
        <v>125787.66</v>
      </c>
      <c r="G52" s="35">
        <v>0.93030000000000002</v>
      </c>
      <c r="H52" s="36"/>
    </row>
    <row r="53" spans="2:8" ht="15.75" customHeight="1" x14ac:dyDescent="0.2">
      <c r="B53" s="27" t="s">
        <v>826</v>
      </c>
      <c r="C53" s="28"/>
      <c r="D53" s="28"/>
      <c r="E53" s="29"/>
      <c r="F53" s="30"/>
      <c r="G53" s="31"/>
      <c r="H53" s="32"/>
    </row>
    <row r="54" spans="2:8" ht="15.75" customHeight="1" x14ac:dyDescent="0.2">
      <c r="B54" s="27" t="s">
        <v>827</v>
      </c>
      <c r="C54" s="27"/>
      <c r="D54" s="27"/>
      <c r="E54" s="33"/>
      <c r="F54" s="61"/>
      <c r="G54" s="62"/>
      <c r="H54" s="36"/>
    </row>
    <row r="55" spans="2:8" ht="15.75" customHeight="1" x14ac:dyDescent="0.2">
      <c r="B55" s="28" t="s">
        <v>828</v>
      </c>
      <c r="C55" s="28"/>
      <c r="D55" s="28" t="s">
        <v>1148</v>
      </c>
      <c r="E55" s="29"/>
      <c r="F55" s="30">
        <v>208.08</v>
      </c>
      <c r="G55" s="31">
        <v>1.5E-3</v>
      </c>
      <c r="H55" s="32"/>
    </row>
    <row r="56" spans="2:8" ht="15.75" customHeight="1" x14ac:dyDescent="0.2">
      <c r="B56" s="27" t="s">
        <v>129</v>
      </c>
      <c r="C56" s="27"/>
      <c r="D56" s="27"/>
      <c r="E56" s="33"/>
      <c r="F56" s="34">
        <v>208.08</v>
      </c>
      <c r="G56" s="35">
        <f>SUM(G55)</f>
        <v>1.5E-3</v>
      </c>
      <c r="H56" s="36"/>
    </row>
    <row r="57" spans="2:8" ht="15.75" customHeight="1" x14ac:dyDescent="0.2">
      <c r="B57" s="28"/>
      <c r="C57" s="28"/>
      <c r="D57" s="28"/>
      <c r="E57" s="29"/>
      <c r="F57" s="30"/>
      <c r="G57" s="31"/>
      <c r="H57" s="32"/>
    </row>
    <row r="58" spans="2:8" ht="15.75" customHeight="1" x14ac:dyDescent="0.2">
      <c r="B58" s="39" t="s">
        <v>133</v>
      </c>
      <c r="C58" s="39"/>
      <c r="D58" s="39"/>
      <c r="E58" s="40"/>
      <c r="F58" s="34">
        <v>208.08</v>
      </c>
      <c r="G58" s="35">
        <f>+G56</f>
        <v>1.5E-3</v>
      </c>
      <c r="H58" s="36"/>
    </row>
    <row r="59" spans="2:8" ht="15.75" customHeight="1" x14ac:dyDescent="0.2">
      <c r="B59" s="28"/>
      <c r="C59" s="28"/>
      <c r="D59" s="28"/>
      <c r="E59" s="29"/>
      <c r="F59" s="30"/>
      <c r="G59" s="31"/>
      <c r="H59" s="32"/>
    </row>
    <row r="60" spans="2:8" ht="15.75" customHeight="1" x14ac:dyDescent="0.2">
      <c r="B60" s="27" t="s">
        <v>139</v>
      </c>
      <c r="C60" s="28"/>
      <c r="D60" s="28"/>
      <c r="E60" s="29"/>
      <c r="F60" s="30"/>
      <c r="G60" s="31"/>
      <c r="H60" s="32"/>
    </row>
    <row r="61" spans="2:8" ht="15.75" customHeight="1" x14ac:dyDescent="0.2">
      <c r="B61" s="28" t="s">
        <v>140</v>
      </c>
      <c r="C61" s="28"/>
      <c r="D61" s="28"/>
      <c r="E61" s="29"/>
      <c r="F61" s="30">
        <v>7838.7</v>
      </c>
      <c r="G61" s="31">
        <v>5.8000000000000003E-2</v>
      </c>
      <c r="H61" s="32"/>
    </row>
    <row r="62" spans="2:8" ht="15.75" customHeight="1" x14ac:dyDescent="0.2">
      <c r="B62" s="27" t="s">
        <v>129</v>
      </c>
      <c r="C62" s="27"/>
      <c r="D62" s="27"/>
      <c r="E62" s="33"/>
      <c r="F62" s="34">
        <v>7838.7</v>
      </c>
      <c r="G62" s="35">
        <v>5.8000000000000003E-2</v>
      </c>
      <c r="H62" s="36"/>
    </row>
    <row r="63" spans="2:8" ht="15.75" customHeight="1" x14ac:dyDescent="0.2">
      <c r="B63" s="28"/>
      <c r="C63" s="28"/>
      <c r="D63" s="28"/>
      <c r="E63" s="29"/>
      <c r="F63" s="30"/>
      <c r="G63" s="31"/>
      <c r="H63" s="32"/>
    </row>
    <row r="64" spans="2:8" ht="15.75" customHeight="1" x14ac:dyDescent="0.2">
      <c r="B64" s="39" t="s">
        <v>133</v>
      </c>
      <c r="C64" s="39"/>
      <c r="D64" s="39"/>
      <c r="E64" s="40"/>
      <c r="F64" s="34">
        <v>7838.7</v>
      </c>
      <c r="G64" s="35">
        <v>5.8000000000000003E-2</v>
      </c>
      <c r="H64" s="36"/>
    </row>
    <row r="65" spans="2:10" ht="15.75" customHeight="1" x14ac:dyDescent="0.2">
      <c r="B65" s="28" t="s">
        <v>141</v>
      </c>
      <c r="C65" s="28"/>
      <c r="D65" s="28"/>
      <c r="E65" s="29"/>
      <c r="F65" s="30">
        <v>1376.23</v>
      </c>
      <c r="G65" s="31">
        <v>1.0200000000000001E-2</v>
      </c>
      <c r="H65" s="32"/>
    </row>
    <row r="66" spans="2:10" ht="15.75" customHeight="1" x14ac:dyDescent="0.2">
      <c r="B66" s="41" t="s">
        <v>142</v>
      </c>
      <c r="C66" s="41"/>
      <c r="D66" s="41"/>
      <c r="E66" s="42"/>
      <c r="F66" s="43">
        <v>135210.67000000001</v>
      </c>
      <c r="G66" s="44">
        <v>1</v>
      </c>
      <c r="H66" s="45"/>
    </row>
    <row r="67" spans="2:10" ht="15.75" customHeight="1" x14ac:dyDescent="0.2">
      <c r="B67" s="2"/>
    </row>
    <row r="68" spans="2:10" ht="15.75" customHeight="1" x14ac:dyDescent="0.2">
      <c r="B68" s="15" t="s">
        <v>448</v>
      </c>
      <c r="J68" s="3"/>
    </row>
    <row r="70" spans="2:10" s="7" customFormat="1" ht="15.6" customHeight="1" x14ac:dyDescent="0.25">
      <c r="B70" s="63" t="s">
        <v>1067</v>
      </c>
      <c r="C70" s="70"/>
      <c r="D70" s="70"/>
      <c r="E70" s="70"/>
      <c r="F70" s="70"/>
      <c r="G70" s="70"/>
      <c r="H70" s="64"/>
    </row>
    <row r="71" spans="2:10" s="7" customFormat="1" ht="15.6" customHeight="1" x14ac:dyDescent="0.25">
      <c r="B71" s="63" t="s">
        <v>1108</v>
      </c>
      <c r="C71" s="70"/>
      <c r="D71" s="70"/>
      <c r="E71" s="70"/>
      <c r="F71" s="70"/>
      <c r="G71" s="70"/>
      <c r="H71" s="64"/>
    </row>
    <row r="72" spans="2:10" s="7" customFormat="1" ht="15.6" customHeight="1" x14ac:dyDescent="0.25">
      <c r="B72" s="63" t="s">
        <v>1068</v>
      </c>
      <c r="C72" s="70"/>
      <c r="D72" s="70"/>
      <c r="E72" s="70"/>
      <c r="F72" s="70"/>
      <c r="G72" s="70"/>
      <c r="H72" s="64"/>
    </row>
    <row r="73" spans="2:10" s="7" customFormat="1" ht="15.6" customHeight="1" x14ac:dyDescent="0.25">
      <c r="B73" s="71"/>
      <c r="C73" s="65">
        <v>46142</v>
      </c>
      <c r="D73" s="65">
        <v>46112</v>
      </c>
      <c r="E73" s="70"/>
      <c r="F73" s="70"/>
      <c r="G73" s="70"/>
      <c r="H73" s="64"/>
    </row>
    <row r="74" spans="2:10" s="7" customFormat="1" ht="15.6" customHeight="1" x14ac:dyDescent="0.25">
      <c r="B74" s="71" t="s">
        <v>1069</v>
      </c>
      <c r="C74" s="66"/>
      <c r="D74" s="66"/>
      <c r="E74" s="70"/>
      <c r="F74" s="70"/>
      <c r="G74" s="70"/>
      <c r="H74" s="64"/>
    </row>
    <row r="75" spans="2:10" s="7" customFormat="1" ht="15.6" customHeight="1" x14ac:dyDescent="0.25">
      <c r="B75" s="71" t="s">
        <v>1070</v>
      </c>
      <c r="C75" s="67">
        <v>52.125399999999999</v>
      </c>
      <c r="D75" s="67">
        <v>48.342199999999998</v>
      </c>
      <c r="E75" s="70"/>
      <c r="F75" s="70"/>
      <c r="G75" s="70"/>
      <c r="H75" s="64"/>
    </row>
    <row r="76" spans="2:10" s="7" customFormat="1" ht="15.6" customHeight="1" x14ac:dyDescent="0.25">
      <c r="B76" s="71" t="s">
        <v>1071</v>
      </c>
      <c r="C76" s="67">
        <v>31.480500000000003</v>
      </c>
      <c r="D76" s="67">
        <v>29.195699999999999</v>
      </c>
      <c r="E76" s="70"/>
      <c r="F76" s="70"/>
      <c r="G76" s="70"/>
      <c r="H76" s="64"/>
    </row>
    <row r="77" spans="2:10" s="7" customFormat="1" ht="15.6" customHeight="1" x14ac:dyDescent="0.25">
      <c r="B77" s="71" t="s">
        <v>1073</v>
      </c>
      <c r="C77" s="67">
        <v>59.760799999999996</v>
      </c>
      <c r="D77" s="67">
        <v>55.372700000000002</v>
      </c>
      <c r="E77" s="70"/>
      <c r="F77" s="70"/>
      <c r="G77" s="70"/>
      <c r="H77" s="64"/>
    </row>
    <row r="78" spans="2:10" s="7" customFormat="1" ht="15.6" customHeight="1" x14ac:dyDescent="0.25">
      <c r="B78" s="71" t="s">
        <v>1074</v>
      </c>
      <c r="C78" s="67">
        <v>37.631900000000002</v>
      </c>
      <c r="D78" s="67">
        <v>34.869</v>
      </c>
      <c r="E78" s="70"/>
      <c r="F78" s="70"/>
      <c r="G78" s="70"/>
      <c r="H78" s="64"/>
    </row>
    <row r="79" spans="2:10" s="7" customFormat="1" ht="15.6" customHeight="1" x14ac:dyDescent="0.25">
      <c r="B79" s="63" t="s">
        <v>1116</v>
      </c>
      <c r="C79" s="70"/>
      <c r="D79" s="70"/>
      <c r="E79" s="70"/>
      <c r="F79" s="70"/>
      <c r="G79" s="70"/>
      <c r="H79" s="64"/>
    </row>
    <row r="80" spans="2:10" s="7" customFormat="1" ht="15.6" customHeight="1" x14ac:dyDescent="0.25">
      <c r="B80" s="63" t="s">
        <v>1109</v>
      </c>
      <c r="C80" s="70"/>
      <c r="D80" s="70"/>
      <c r="E80" s="70"/>
      <c r="F80" s="70"/>
      <c r="G80" s="70"/>
      <c r="H80" s="64"/>
    </row>
    <row r="81" spans="2:10" s="7" customFormat="1" ht="15.6" customHeight="1" x14ac:dyDescent="0.25">
      <c r="B81" s="75" t="s">
        <v>1146</v>
      </c>
      <c r="C81" s="76"/>
      <c r="D81" s="76"/>
      <c r="E81" s="76"/>
      <c r="F81" s="76"/>
      <c r="G81" s="70"/>
      <c r="H81" s="64"/>
    </row>
    <row r="82" spans="2:10" s="7" customFormat="1" ht="15.6" customHeight="1" x14ac:dyDescent="0.25">
      <c r="B82" s="75" t="s">
        <v>1149</v>
      </c>
      <c r="C82" s="76"/>
      <c r="D82" s="76"/>
      <c r="E82" s="76"/>
      <c r="F82" s="76"/>
      <c r="G82" s="70"/>
      <c r="H82" s="64"/>
    </row>
    <row r="83" spans="2:10" s="7" customFormat="1" ht="15.6" customHeight="1" x14ac:dyDescent="0.25">
      <c r="B83" s="75" t="s">
        <v>1139</v>
      </c>
      <c r="C83" s="76"/>
      <c r="D83" s="76"/>
      <c r="E83" s="76"/>
      <c r="F83" s="76"/>
      <c r="G83" s="70"/>
      <c r="H83" s="64"/>
    </row>
    <row r="84" spans="2:10" s="7" customFormat="1" ht="15.6" customHeight="1" x14ac:dyDescent="0.25">
      <c r="B84" s="75" t="s">
        <v>1138</v>
      </c>
      <c r="C84" s="77"/>
      <c r="D84" s="77"/>
      <c r="E84" s="77"/>
      <c r="F84" s="77"/>
      <c r="G84" s="70"/>
      <c r="H84" s="64"/>
    </row>
    <row r="85" spans="2:10" s="7" customFormat="1" ht="15.6" customHeight="1" x14ac:dyDescent="0.25">
      <c r="B85" s="75" t="s">
        <v>1139</v>
      </c>
      <c r="C85" s="77"/>
      <c r="D85" s="77"/>
      <c r="E85" s="77"/>
      <c r="F85" s="77"/>
      <c r="G85" s="70"/>
      <c r="H85" s="64"/>
    </row>
    <row r="86" spans="2:10" s="7" customFormat="1" ht="15.6" customHeight="1" x14ac:dyDescent="0.25">
      <c r="B86" s="75" t="s">
        <v>1140</v>
      </c>
      <c r="C86" s="77"/>
      <c r="D86" s="77"/>
      <c r="E86" s="77"/>
      <c r="F86" s="77"/>
      <c r="G86" s="70"/>
      <c r="H86" s="64"/>
    </row>
    <row r="87" spans="2:10" s="7" customFormat="1" ht="15.6" customHeight="1" x14ac:dyDescent="0.25">
      <c r="B87" s="75" t="s">
        <v>1141</v>
      </c>
      <c r="C87" s="77"/>
      <c r="D87" s="77"/>
      <c r="E87" s="77"/>
      <c r="F87" s="77"/>
      <c r="G87" s="70"/>
      <c r="H87" s="64"/>
    </row>
    <row r="88" spans="2:10" s="7" customFormat="1" ht="15.6" customHeight="1" x14ac:dyDescent="0.25">
      <c r="B88" s="75" t="s">
        <v>1142</v>
      </c>
      <c r="C88" s="77"/>
      <c r="D88" s="77"/>
      <c r="E88" s="77"/>
      <c r="F88" s="77"/>
      <c r="G88" s="70"/>
      <c r="H88" s="64"/>
    </row>
    <row r="89" spans="2:10" s="7" customFormat="1" ht="15.6" customHeight="1" x14ac:dyDescent="0.25">
      <c r="B89" s="75" t="s">
        <v>1143</v>
      </c>
      <c r="C89" s="77"/>
      <c r="D89" s="77"/>
      <c r="E89" s="77"/>
      <c r="F89" s="77"/>
      <c r="G89" s="70"/>
      <c r="H89" s="64"/>
    </row>
    <row r="90" spans="2:10" s="7" customFormat="1" ht="15.6" customHeight="1" x14ac:dyDescent="0.25">
      <c r="B90" s="63" t="s">
        <v>1112</v>
      </c>
      <c r="C90" s="70"/>
      <c r="D90" s="70"/>
      <c r="E90" s="70"/>
      <c r="F90" s="70"/>
      <c r="G90" s="70"/>
      <c r="H90" s="64"/>
    </row>
    <row r="91" spans="2:10" s="7" customFormat="1" ht="15.6" customHeight="1" x14ac:dyDescent="0.25">
      <c r="B91" s="63" t="s">
        <v>1098</v>
      </c>
      <c r="C91" s="70"/>
      <c r="D91" s="70"/>
      <c r="E91" s="70"/>
      <c r="F91" s="70"/>
      <c r="G91" s="70"/>
      <c r="H91" s="64"/>
    </row>
    <row r="92" spans="2:10" s="7" customFormat="1" ht="15.6" customHeight="1" x14ac:dyDescent="0.25">
      <c r="B92" s="63" t="s">
        <v>1113</v>
      </c>
      <c r="C92" s="70"/>
      <c r="D92" s="70"/>
      <c r="E92" s="70"/>
      <c r="F92" s="70"/>
      <c r="G92" s="70"/>
      <c r="H92" s="64"/>
    </row>
    <row r="93" spans="2:10" s="7" customFormat="1" ht="15.6" customHeight="1" x14ac:dyDescent="0.25">
      <c r="B93" s="68" t="s">
        <v>1076</v>
      </c>
      <c r="C93" s="72"/>
      <c r="D93" s="72"/>
      <c r="E93" s="72"/>
      <c r="F93" s="72"/>
      <c r="G93" s="72"/>
      <c r="H93" s="69"/>
    </row>
    <row r="94" spans="2:10" ht="15.75" customHeight="1" x14ac:dyDescent="0.2">
      <c r="J94" s="3"/>
    </row>
    <row r="95" spans="2:10" ht="15.75" customHeight="1" thickBot="1" x14ac:dyDescent="0.25">
      <c r="J95" s="3"/>
    </row>
    <row r="96" spans="2:10" ht="39.75" customHeight="1" thickBot="1" x14ac:dyDescent="0.3">
      <c r="B96" s="46" t="s">
        <v>146</v>
      </c>
      <c r="C96" s="47" t="s">
        <v>147</v>
      </c>
      <c r="D96" s="47" t="s">
        <v>148</v>
      </c>
      <c r="E96"/>
      <c r="J96" s="3"/>
    </row>
    <row r="97" spans="2:14" ht="39.75" customHeight="1" x14ac:dyDescent="0.25">
      <c r="B97" s="52" t="s">
        <v>829</v>
      </c>
      <c r="C97" s="109"/>
      <c r="D97" s="48" t="s">
        <v>830</v>
      </c>
      <c r="E97"/>
      <c r="J97" s="3"/>
    </row>
    <row r="98" spans="2:14" ht="39.75" customHeight="1" x14ac:dyDescent="0.25">
      <c r="B98" s="112" t="s">
        <v>831</v>
      </c>
      <c r="C98" s="110"/>
      <c r="D98" s="118"/>
      <c r="E98"/>
      <c r="J98" s="3"/>
    </row>
    <row r="99" spans="2:14" ht="39.75" customHeight="1" x14ac:dyDescent="0.25">
      <c r="B99" s="112"/>
      <c r="C99" s="110"/>
      <c r="D99" s="118"/>
      <c r="E99"/>
      <c r="J99" s="5"/>
      <c r="K99" s="5"/>
      <c r="L99" s="6"/>
      <c r="M99" s="6"/>
      <c r="N99" s="5"/>
    </row>
    <row r="100" spans="2:14" ht="39.75" customHeight="1" x14ac:dyDescent="0.25">
      <c r="B100" s="112"/>
      <c r="C100" s="110"/>
      <c r="D100" s="118"/>
      <c r="E100"/>
    </row>
    <row r="101" spans="2:14" ht="39.75" customHeight="1" thickBot="1" x14ac:dyDescent="0.3">
      <c r="B101" s="113"/>
      <c r="C101" s="111"/>
      <c r="D101" s="119"/>
      <c r="E101"/>
    </row>
    <row r="102" spans="2:14" ht="15.75" customHeight="1" x14ac:dyDescent="0.2">
      <c r="B102" s="9" t="s">
        <v>149</v>
      </c>
      <c r="J102" s="7"/>
      <c r="K102" s="7"/>
      <c r="L102" s="7"/>
      <c r="M102" s="7"/>
      <c r="N102" s="7"/>
    </row>
    <row r="103" spans="2:14" ht="15.75" customHeight="1" x14ac:dyDescent="0.2">
      <c r="B103" s="9" t="s">
        <v>150</v>
      </c>
      <c r="J103" s="7"/>
      <c r="K103" s="7"/>
      <c r="L103" s="7"/>
      <c r="M103" s="7"/>
      <c r="N103" s="7"/>
    </row>
    <row r="104" spans="2:14" ht="15.75" customHeight="1" x14ac:dyDescent="0.2">
      <c r="B104" s="9" t="s">
        <v>151</v>
      </c>
      <c r="J104" s="7"/>
      <c r="K104" s="7"/>
      <c r="L104" s="7"/>
      <c r="M104" s="7"/>
      <c r="N104" s="7"/>
    </row>
    <row r="105" spans="2:14" ht="15.75" customHeight="1" x14ac:dyDescent="0.2">
      <c r="J105" s="7"/>
      <c r="K105" s="7"/>
      <c r="L105" s="7"/>
      <c r="M105" s="7"/>
      <c r="N105" s="7"/>
    </row>
    <row r="106" spans="2:14" ht="15.75" customHeight="1" x14ac:dyDescent="0.2">
      <c r="J106" s="7"/>
      <c r="K106" s="7"/>
      <c r="L106" s="7"/>
      <c r="M106" s="7"/>
      <c r="N106" s="7"/>
    </row>
    <row r="107" spans="2:14" ht="15.75" customHeight="1" x14ac:dyDescent="0.2">
      <c r="B107" s="86" t="s">
        <v>1154</v>
      </c>
      <c r="C107" s="87"/>
      <c r="D107" s="87"/>
      <c r="E107" s="87"/>
      <c r="F107" s="87"/>
      <c r="J107" s="7"/>
      <c r="K107" s="7"/>
      <c r="L107" s="7"/>
      <c r="M107" s="7"/>
      <c r="N107" s="7"/>
    </row>
    <row r="108" spans="2:14" ht="15.75" customHeight="1" x14ac:dyDescent="0.2">
      <c r="B108" s="88" t="s">
        <v>1086</v>
      </c>
      <c r="C108" s="88" t="s">
        <v>1155</v>
      </c>
      <c r="D108" s="88" t="s">
        <v>1156</v>
      </c>
      <c r="E108" s="88" t="s">
        <v>1157</v>
      </c>
      <c r="F108" s="88" t="s">
        <v>1158</v>
      </c>
      <c r="J108" s="7"/>
      <c r="K108" s="7"/>
      <c r="L108" s="7"/>
      <c r="M108" s="7"/>
      <c r="N108" s="7"/>
    </row>
    <row r="109" spans="2:14" ht="15.75" customHeight="1" x14ac:dyDescent="0.2">
      <c r="B109" s="88"/>
      <c r="C109" s="88"/>
      <c r="D109" s="88"/>
      <c r="E109" s="88"/>
      <c r="F109" s="88"/>
    </row>
    <row r="110" spans="2:14" ht="15.75" customHeight="1" x14ac:dyDescent="0.2">
      <c r="B110" s="88" t="s">
        <v>131</v>
      </c>
      <c r="C110" s="88"/>
      <c r="D110" s="89"/>
      <c r="E110" s="88"/>
      <c r="F110" s="89"/>
      <c r="J110" s="3"/>
    </row>
    <row r="111" spans="2:14" ht="15.75" customHeight="1" x14ac:dyDescent="0.2">
      <c r="B111" s="90"/>
      <c r="C111" s="91"/>
      <c r="D111" s="92"/>
      <c r="E111" s="91"/>
      <c r="F111" s="93"/>
    </row>
    <row r="112" spans="2:14" ht="15.75" customHeight="1" x14ac:dyDescent="0.2">
      <c r="B112" s="90" t="s">
        <v>1159</v>
      </c>
      <c r="C112" s="91"/>
      <c r="D112" s="91"/>
      <c r="E112" s="91"/>
      <c r="F112" s="94"/>
    </row>
    <row r="113" spans="2:6" ht="15.75" customHeight="1" x14ac:dyDescent="0.2">
      <c r="B113" s="122" t="s">
        <v>1160</v>
      </c>
      <c r="C113" s="123"/>
      <c r="D113" s="123"/>
      <c r="E113" s="123"/>
      <c r="F113" s="124"/>
    </row>
    <row r="114" spans="2:6" ht="15.75" customHeight="1" x14ac:dyDescent="0.2">
      <c r="B114" s="95"/>
      <c r="C114" s="87"/>
      <c r="D114" s="87"/>
      <c r="E114" s="87"/>
      <c r="F114" s="96"/>
    </row>
    <row r="115" spans="2:6" ht="15.75" customHeight="1" x14ac:dyDescent="0.2">
      <c r="B115" s="95" t="s">
        <v>1172</v>
      </c>
      <c r="C115" s="87"/>
      <c r="D115" s="87"/>
      <c r="E115" s="87"/>
      <c r="F115" s="96"/>
    </row>
    <row r="116" spans="2:6" ht="15.75" customHeight="1" x14ac:dyDescent="0.2">
      <c r="B116" s="95" t="s">
        <v>1173</v>
      </c>
      <c r="C116" s="87"/>
      <c r="D116" s="87"/>
      <c r="E116" s="87"/>
      <c r="F116" s="96"/>
    </row>
    <row r="117" spans="2:6" ht="15.75" customHeight="1" x14ac:dyDescent="0.2">
      <c r="B117" s="95" t="s">
        <v>1174</v>
      </c>
      <c r="C117" s="87"/>
      <c r="D117" s="97"/>
      <c r="E117" s="87"/>
      <c r="F117" s="96"/>
    </row>
    <row r="118" spans="2:6" ht="15.75" customHeight="1" x14ac:dyDescent="0.2">
      <c r="B118" s="95" t="s">
        <v>1175</v>
      </c>
      <c r="C118" s="87"/>
      <c r="D118" s="97"/>
      <c r="E118" s="87"/>
      <c r="F118" s="96"/>
    </row>
    <row r="119" spans="2:6" ht="15.75" customHeight="1" x14ac:dyDescent="0.2">
      <c r="B119" s="98" t="s">
        <v>1176</v>
      </c>
      <c r="C119" s="99"/>
      <c r="D119" s="100"/>
      <c r="E119" s="100"/>
      <c r="F119" s="101"/>
    </row>
    <row r="120" spans="2:6" ht="15.75" customHeight="1" x14ac:dyDescent="0.2">
      <c r="B120" s="102"/>
      <c r="C120" s="87"/>
      <c r="D120" s="97"/>
      <c r="E120" s="97"/>
      <c r="F120" s="97"/>
    </row>
    <row r="121" spans="2:6" ht="15.75" customHeight="1" x14ac:dyDescent="0.2">
      <c r="B121" s="86" t="s">
        <v>1161</v>
      </c>
      <c r="C121" s="86"/>
      <c r="D121" s="86"/>
      <c r="E121" s="86"/>
      <c r="F121" s="86"/>
    </row>
    <row r="122" spans="2:6" ht="15.75" customHeight="1" x14ac:dyDescent="0.2">
      <c r="B122" s="104" t="s">
        <v>1086</v>
      </c>
      <c r="C122" s="104" t="s">
        <v>1162</v>
      </c>
      <c r="D122" s="104" t="s">
        <v>1163</v>
      </c>
      <c r="E122" s="104" t="s">
        <v>1164</v>
      </c>
      <c r="F122" s="87"/>
    </row>
    <row r="123" spans="2:6" ht="15.75" customHeight="1" x14ac:dyDescent="0.2">
      <c r="B123" s="105" t="s">
        <v>828</v>
      </c>
      <c r="C123" s="105">
        <v>1425</v>
      </c>
      <c r="D123" s="105">
        <v>313.01190000000003</v>
      </c>
      <c r="E123" s="105">
        <v>224.65</v>
      </c>
      <c r="F123" s="87"/>
    </row>
    <row r="124" spans="2:6" ht="15.75" customHeight="1" x14ac:dyDescent="0.2">
      <c r="B124" s="121" t="s">
        <v>1184</v>
      </c>
      <c r="C124" s="121"/>
      <c r="D124" s="121"/>
      <c r="E124" s="121"/>
      <c r="F124" s="87"/>
    </row>
    <row r="125" spans="2:6" ht="15.75" customHeight="1" x14ac:dyDescent="0.2">
      <c r="B125" s="120" t="s">
        <v>1187</v>
      </c>
      <c r="C125" s="120"/>
      <c r="D125" s="120"/>
      <c r="E125" s="120"/>
      <c r="F125" s="87"/>
    </row>
    <row r="126" spans="2:6" ht="15.75" customHeight="1" x14ac:dyDescent="0.2">
      <c r="B126" s="120"/>
      <c r="C126" s="120"/>
      <c r="D126" s="120"/>
      <c r="E126" s="120"/>
      <c r="F126" s="87"/>
    </row>
    <row r="127" spans="2:6" ht="15.75" customHeight="1" x14ac:dyDescent="0.2">
      <c r="B127" s="120"/>
      <c r="C127" s="120"/>
      <c r="D127" s="120"/>
      <c r="E127" s="120"/>
      <c r="F127" s="87"/>
    </row>
    <row r="128" spans="2:6" ht="15.75" customHeight="1" x14ac:dyDescent="0.2">
      <c r="B128" s="120"/>
      <c r="C128" s="120"/>
      <c r="D128" s="120"/>
      <c r="E128" s="120"/>
      <c r="F128" s="87"/>
    </row>
    <row r="129" spans="2:6" ht="15.75" customHeight="1" x14ac:dyDescent="0.2">
      <c r="B129" s="103"/>
      <c r="C129" s="103"/>
      <c r="D129" s="103"/>
      <c r="E129" s="103"/>
      <c r="F129" s="87"/>
    </row>
    <row r="130" spans="2:6" ht="15.75" customHeight="1" x14ac:dyDescent="0.2">
      <c r="B130" s="86" t="s">
        <v>1166</v>
      </c>
      <c r="C130" s="86"/>
      <c r="D130" s="86"/>
      <c r="E130" s="86"/>
      <c r="F130" s="86"/>
    </row>
    <row r="131" spans="2:6" ht="15.75" customHeight="1" x14ac:dyDescent="0.2">
      <c r="B131" s="104" t="s">
        <v>1086</v>
      </c>
      <c r="C131" s="104" t="s">
        <v>1167</v>
      </c>
      <c r="D131" s="104" t="s">
        <v>1168</v>
      </c>
      <c r="E131" s="104" t="s">
        <v>1163</v>
      </c>
      <c r="F131" s="104" t="s">
        <v>1169</v>
      </c>
    </row>
    <row r="132" spans="2:6" ht="15.75" customHeight="1" x14ac:dyDescent="0.2">
      <c r="B132" s="88" t="s">
        <v>131</v>
      </c>
      <c r="C132" s="105"/>
      <c r="D132" s="105"/>
      <c r="E132" s="105"/>
      <c r="F132" s="105"/>
    </row>
    <row r="133" spans="2:6" ht="15.75" customHeight="1" x14ac:dyDescent="0.2">
      <c r="B133" s="105"/>
      <c r="C133" s="105"/>
      <c r="D133" s="105"/>
      <c r="E133" s="105"/>
      <c r="F133" s="105"/>
    </row>
    <row r="134" spans="2:6" ht="15.75" customHeight="1" x14ac:dyDescent="0.2">
      <c r="B134" s="121" t="s">
        <v>1182</v>
      </c>
      <c r="C134" s="121"/>
      <c r="D134" s="121"/>
      <c r="E134" s="121"/>
      <c r="F134" s="105"/>
    </row>
    <row r="135" spans="2:6" ht="15.75" customHeight="1" x14ac:dyDescent="0.2">
      <c r="B135" s="120" t="s">
        <v>1183</v>
      </c>
      <c r="C135" s="120"/>
      <c r="D135" s="120"/>
      <c r="E135" s="120"/>
      <c r="F135" s="120"/>
    </row>
    <row r="136" spans="2:6" ht="15.75" customHeight="1" x14ac:dyDescent="0.2">
      <c r="B136" s="120"/>
      <c r="C136" s="120"/>
      <c r="D136" s="120"/>
      <c r="E136" s="120"/>
      <c r="F136" s="120"/>
    </row>
    <row r="137" spans="2:6" ht="15.75" customHeight="1" x14ac:dyDescent="0.2">
      <c r="B137" s="120"/>
      <c r="C137" s="120"/>
      <c r="D137" s="120"/>
      <c r="E137" s="120"/>
      <c r="F137" s="120"/>
    </row>
    <row r="138" spans="2:6" ht="15.75" customHeight="1" x14ac:dyDescent="0.2">
      <c r="B138" s="120"/>
      <c r="C138" s="120"/>
      <c r="D138" s="120"/>
      <c r="E138" s="120"/>
      <c r="F138" s="120"/>
    </row>
    <row r="139" spans="2:6" ht="15.75" customHeight="1" x14ac:dyDescent="0.2">
      <c r="B139" s="87"/>
      <c r="C139" s="87"/>
      <c r="D139" s="87"/>
      <c r="E139" s="87"/>
      <c r="F139" s="87"/>
    </row>
    <row r="140" spans="2:6" ht="15.75" customHeight="1" x14ac:dyDescent="0.2">
      <c r="B140" s="86" t="s">
        <v>1171</v>
      </c>
      <c r="C140" s="86"/>
      <c r="D140" s="86"/>
      <c r="E140" s="86"/>
      <c r="F140" s="86"/>
    </row>
  </sheetData>
  <mergeCells count="8">
    <mergeCell ref="B125:E128"/>
    <mergeCell ref="B134:E134"/>
    <mergeCell ref="B135:F138"/>
    <mergeCell ref="C97:C101"/>
    <mergeCell ref="B98:B101"/>
    <mergeCell ref="D98:D101"/>
    <mergeCell ref="B113:F113"/>
    <mergeCell ref="B124:E124"/>
  </mergeCells>
  <hyperlinks>
    <hyperlink ref="G1" location="'Sheet1'!A1" display="Index" xr:uid="{8B8221B2-69BD-42D9-8D82-8D92F201948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3B1D1-A345-4D02-A2AC-B271ABEBC2A2}">
  <dimension ref="B1:N102"/>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214</v>
      </c>
      <c r="C7" s="28" t="s">
        <v>215</v>
      </c>
      <c r="D7" s="28" t="s">
        <v>216</v>
      </c>
      <c r="E7" s="29">
        <v>281826</v>
      </c>
      <c r="F7" s="30">
        <v>5317.49</v>
      </c>
      <c r="G7" s="31">
        <v>5.0799999999999998E-2</v>
      </c>
      <c r="H7" s="32"/>
    </row>
    <row r="8" spans="2:8" ht="15.75" customHeight="1" x14ac:dyDescent="0.2">
      <c r="B8" s="28" t="s">
        <v>316</v>
      </c>
      <c r="C8" s="28" t="s">
        <v>317</v>
      </c>
      <c r="D8" s="28" t="s">
        <v>318</v>
      </c>
      <c r="E8" s="29">
        <v>117852</v>
      </c>
      <c r="F8" s="30">
        <v>4730.58</v>
      </c>
      <c r="G8" s="31">
        <v>4.5199999999999997E-2</v>
      </c>
      <c r="H8" s="32"/>
    </row>
    <row r="9" spans="2:8" ht="15.75" customHeight="1" x14ac:dyDescent="0.2">
      <c r="B9" s="28" t="s">
        <v>232</v>
      </c>
      <c r="C9" s="28" t="s">
        <v>233</v>
      </c>
      <c r="D9" s="28" t="s">
        <v>195</v>
      </c>
      <c r="E9" s="29">
        <v>33850</v>
      </c>
      <c r="F9" s="30">
        <v>4506.79</v>
      </c>
      <c r="G9" s="31">
        <v>4.3099999999999999E-2</v>
      </c>
      <c r="H9" s="32"/>
    </row>
    <row r="10" spans="2:8" ht="15.75" customHeight="1" x14ac:dyDescent="0.2">
      <c r="B10" s="28" t="s">
        <v>292</v>
      </c>
      <c r="C10" s="28" t="s">
        <v>293</v>
      </c>
      <c r="D10" s="28" t="s">
        <v>195</v>
      </c>
      <c r="E10" s="29">
        <v>1315651</v>
      </c>
      <c r="F10" s="30">
        <v>4493.6099999999997</v>
      </c>
      <c r="G10" s="31">
        <v>4.2900000000000001E-2</v>
      </c>
      <c r="H10" s="32"/>
    </row>
    <row r="11" spans="2:8" ht="15.75" customHeight="1" x14ac:dyDescent="0.2">
      <c r="B11" s="28" t="s">
        <v>432</v>
      </c>
      <c r="C11" s="28" t="s">
        <v>433</v>
      </c>
      <c r="D11" s="28" t="s">
        <v>434</v>
      </c>
      <c r="E11" s="29">
        <v>988950</v>
      </c>
      <c r="F11" s="30">
        <v>4053.71</v>
      </c>
      <c r="G11" s="31">
        <v>3.8699999999999998E-2</v>
      </c>
      <c r="H11" s="32"/>
    </row>
    <row r="12" spans="2:8" ht="15.75" customHeight="1" x14ac:dyDescent="0.2">
      <c r="B12" s="28" t="s">
        <v>393</v>
      </c>
      <c r="C12" s="28" t="s">
        <v>394</v>
      </c>
      <c r="D12" s="28" t="s">
        <v>395</v>
      </c>
      <c r="E12" s="29">
        <v>43676</v>
      </c>
      <c r="F12" s="30">
        <v>3335.32</v>
      </c>
      <c r="G12" s="31">
        <v>3.1899999999999998E-2</v>
      </c>
      <c r="H12" s="32"/>
    </row>
    <row r="13" spans="2:8" ht="15.75" customHeight="1" x14ac:dyDescent="0.2">
      <c r="B13" s="28" t="s">
        <v>249</v>
      </c>
      <c r="C13" s="28" t="s">
        <v>250</v>
      </c>
      <c r="D13" s="28" t="s">
        <v>251</v>
      </c>
      <c r="E13" s="29">
        <v>821696</v>
      </c>
      <c r="F13" s="30">
        <v>3279.8</v>
      </c>
      <c r="G13" s="31">
        <v>3.1300000000000001E-2</v>
      </c>
      <c r="H13" s="32"/>
    </row>
    <row r="14" spans="2:8" ht="15.75" customHeight="1" x14ac:dyDescent="0.2">
      <c r="B14" s="28" t="s">
        <v>748</v>
      </c>
      <c r="C14" s="28" t="s">
        <v>749</v>
      </c>
      <c r="D14" s="28" t="s">
        <v>179</v>
      </c>
      <c r="E14" s="29">
        <v>572991</v>
      </c>
      <c r="F14" s="30">
        <v>3209.04</v>
      </c>
      <c r="G14" s="31">
        <v>3.0700000000000002E-2</v>
      </c>
      <c r="H14" s="32"/>
    </row>
    <row r="15" spans="2:8" ht="15.75" customHeight="1" x14ac:dyDescent="0.2">
      <c r="B15" s="28" t="s">
        <v>319</v>
      </c>
      <c r="C15" s="28" t="s">
        <v>320</v>
      </c>
      <c r="D15" s="28" t="s">
        <v>321</v>
      </c>
      <c r="E15" s="29">
        <v>73009</v>
      </c>
      <c r="F15" s="30">
        <v>2919.63</v>
      </c>
      <c r="G15" s="31">
        <v>2.7900000000000001E-2</v>
      </c>
      <c r="H15" s="32"/>
    </row>
    <row r="16" spans="2:8" ht="15.75" customHeight="1" x14ac:dyDescent="0.2">
      <c r="B16" s="28" t="s">
        <v>346</v>
      </c>
      <c r="C16" s="28" t="s">
        <v>347</v>
      </c>
      <c r="D16" s="28" t="s">
        <v>268</v>
      </c>
      <c r="E16" s="29">
        <v>92628</v>
      </c>
      <c r="F16" s="30">
        <v>2868.5</v>
      </c>
      <c r="G16" s="31">
        <v>2.7400000000000001E-2</v>
      </c>
      <c r="H16" s="32"/>
    </row>
    <row r="17" spans="2:8" ht="15.75" customHeight="1" x14ac:dyDescent="0.2">
      <c r="B17" s="28" t="s">
        <v>553</v>
      </c>
      <c r="C17" s="28" t="s">
        <v>554</v>
      </c>
      <c r="D17" s="28" t="s">
        <v>321</v>
      </c>
      <c r="E17" s="29">
        <v>426536</v>
      </c>
      <c r="F17" s="30">
        <v>2825.16</v>
      </c>
      <c r="G17" s="31">
        <v>2.7E-2</v>
      </c>
      <c r="H17" s="32"/>
    </row>
    <row r="18" spans="2:8" ht="15.75" customHeight="1" x14ac:dyDescent="0.2">
      <c r="B18" s="28" t="s">
        <v>765</v>
      </c>
      <c r="C18" s="28" t="s">
        <v>766</v>
      </c>
      <c r="D18" s="28" t="s">
        <v>268</v>
      </c>
      <c r="E18" s="29">
        <v>206138</v>
      </c>
      <c r="F18" s="30">
        <v>2563.7399999999998</v>
      </c>
      <c r="G18" s="31">
        <v>2.4500000000000001E-2</v>
      </c>
      <c r="H18" s="32"/>
    </row>
    <row r="19" spans="2:8" ht="15.75" customHeight="1" x14ac:dyDescent="0.2">
      <c r="B19" s="28" t="s">
        <v>832</v>
      </c>
      <c r="C19" s="28" t="s">
        <v>833</v>
      </c>
      <c r="D19" s="28" t="s">
        <v>251</v>
      </c>
      <c r="E19" s="29">
        <v>788074</v>
      </c>
      <c r="F19" s="30">
        <v>2495.04</v>
      </c>
      <c r="G19" s="31">
        <v>2.3800000000000002E-2</v>
      </c>
      <c r="H19" s="32"/>
    </row>
    <row r="20" spans="2:8" ht="15.75" customHeight="1" x14ac:dyDescent="0.2">
      <c r="B20" s="28" t="s">
        <v>783</v>
      </c>
      <c r="C20" s="28" t="s">
        <v>784</v>
      </c>
      <c r="D20" s="28" t="s">
        <v>248</v>
      </c>
      <c r="E20" s="29">
        <v>651962</v>
      </c>
      <c r="F20" s="30">
        <v>2219.9299999999998</v>
      </c>
      <c r="G20" s="31">
        <v>2.12E-2</v>
      </c>
      <c r="H20" s="32"/>
    </row>
    <row r="21" spans="2:8" ht="15.75" customHeight="1" x14ac:dyDescent="0.2">
      <c r="B21" s="28" t="s">
        <v>486</v>
      </c>
      <c r="C21" s="28" t="s">
        <v>487</v>
      </c>
      <c r="D21" s="28" t="s">
        <v>179</v>
      </c>
      <c r="E21" s="29">
        <v>53392</v>
      </c>
      <c r="F21" s="30">
        <v>2202.31</v>
      </c>
      <c r="G21" s="31">
        <v>2.1000000000000001E-2</v>
      </c>
      <c r="H21" s="32"/>
    </row>
    <row r="22" spans="2:8" ht="15.75" customHeight="1" x14ac:dyDescent="0.2">
      <c r="B22" s="28" t="s">
        <v>834</v>
      </c>
      <c r="C22" s="28" t="s">
        <v>835</v>
      </c>
      <c r="D22" s="28" t="s">
        <v>321</v>
      </c>
      <c r="E22" s="29">
        <v>41124</v>
      </c>
      <c r="F22" s="30">
        <v>2165.75</v>
      </c>
      <c r="G22" s="31">
        <v>2.07E-2</v>
      </c>
      <c r="H22" s="32"/>
    </row>
    <row r="23" spans="2:8" ht="15.75" customHeight="1" x14ac:dyDescent="0.2">
      <c r="B23" s="28" t="s">
        <v>193</v>
      </c>
      <c r="C23" s="28" t="s">
        <v>194</v>
      </c>
      <c r="D23" s="28" t="s">
        <v>195</v>
      </c>
      <c r="E23" s="29">
        <v>67750</v>
      </c>
      <c r="F23" s="30">
        <v>2098.56</v>
      </c>
      <c r="G23" s="31">
        <v>2.01E-2</v>
      </c>
      <c r="H23" s="32"/>
    </row>
    <row r="24" spans="2:8" ht="15.75" customHeight="1" x14ac:dyDescent="0.2">
      <c r="B24" s="28" t="s">
        <v>379</v>
      </c>
      <c r="C24" s="28" t="s">
        <v>380</v>
      </c>
      <c r="D24" s="28" t="s">
        <v>331</v>
      </c>
      <c r="E24" s="29">
        <v>74744</v>
      </c>
      <c r="F24" s="30">
        <v>2088.7199999999998</v>
      </c>
      <c r="G24" s="31">
        <v>0.02</v>
      </c>
      <c r="H24" s="32"/>
    </row>
    <row r="25" spans="2:8" ht="15.75" customHeight="1" x14ac:dyDescent="0.2">
      <c r="B25" s="28" t="s">
        <v>557</v>
      </c>
      <c r="C25" s="28" t="s">
        <v>558</v>
      </c>
      <c r="D25" s="28" t="s">
        <v>268</v>
      </c>
      <c r="E25" s="29">
        <v>62306</v>
      </c>
      <c r="F25" s="30">
        <v>2042.89</v>
      </c>
      <c r="G25" s="31">
        <v>1.95E-2</v>
      </c>
      <c r="H25" s="32"/>
    </row>
    <row r="26" spans="2:8" ht="15.75" customHeight="1" x14ac:dyDescent="0.2">
      <c r="B26" s="28" t="s">
        <v>499</v>
      </c>
      <c r="C26" s="28" t="s">
        <v>500</v>
      </c>
      <c r="D26" s="28" t="s">
        <v>318</v>
      </c>
      <c r="E26" s="29">
        <v>582819</v>
      </c>
      <c r="F26" s="30">
        <v>1979.84</v>
      </c>
      <c r="G26" s="31">
        <v>1.89E-2</v>
      </c>
      <c r="H26" s="32"/>
    </row>
    <row r="27" spans="2:8" ht="15.75" customHeight="1" x14ac:dyDescent="0.2">
      <c r="B27" s="28" t="s">
        <v>191</v>
      </c>
      <c r="C27" s="28" t="s">
        <v>192</v>
      </c>
      <c r="D27" s="28" t="s">
        <v>173</v>
      </c>
      <c r="E27" s="29">
        <v>156565</v>
      </c>
      <c r="F27" s="30">
        <v>1978.04</v>
      </c>
      <c r="G27" s="31">
        <v>1.89E-2</v>
      </c>
      <c r="H27" s="32"/>
    </row>
    <row r="28" spans="2:8" ht="15.75" customHeight="1" x14ac:dyDescent="0.2">
      <c r="B28" s="28" t="s">
        <v>329</v>
      </c>
      <c r="C28" s="28" t="s">
        <v>330</v>
      </c>
      <c r="D28" s="28" t="s">
        <v>331</v>
      </c>
      <c r="E28" s="29">
        <v>16778</v>
      </c>
      <c r="F28" s="30">
        <v>1943.9</v>
      </c>
      <c r="G28" s="31">
        <v>1.8599999999999998E-2</v>
      </c>
      <c r="H28" s="32"/>
    </row>
    <row r="29" spans="2:8" ht="15.75" customHeight="1" x14ac:dyDescent="0.2">
      <c r="B29" s="28" t="s">
        <v>836</v>
      </c>
      <c r="C29" s="28" t="s">
        <v>837</v>
      </c>
      <c r="D29" s="28" t="s">
        <v>179</v>
      </c>
      <c r="E29" s="29">
        <v>305794</v>
      </c>
      <c r="F29" s="30">
        <v>1901.27</v>
      </c>
      <c r="G29" s="31">
        <v>1.8200000000000001E-2</v>
      </c>
      <c r="H29" s="32"/>
    </row>
    <row r="30" spans="2:8" ht="15.75" customHeight="1" x14ac:dyDescent="0.2">
      <c r="B30" s="28" t="s">
        <v>838</v>
      </c>
      <c r="C30" s="28" t="s">
        <v>839</v>
      </c>
      <c r="D30" s="28" t="s">
        <v>229</v>
      </c>
      <c r="E30" s="29">
        <v>403198</v>
      </c>
      <c r="F30" s="30">
        <v>1752.9</v>
      </c>
      <c r="G30" s="31">
        <v>1.67E-2</v>
      </c>
      <c r="H30" s="32"/>
    </row>
    <row r="31" spans="2:8" ht="15.75" customHeight="1" x14ac:dyDescent="0.2">
      <c r="B31" s="28" t="s">
        <v>285</v>
      </c>
      <c r="C31" s="28" t="s">
        <v>286</v>
      </c>
      <c r="D31" s="28" t="s">
        <v>287</v>
      </c>
      <c r="E31" s="29">
        <v>319756</v>
      </c>
      <c r="F31" s="30">
        <v>1627.08</v>
      </c>
      <c r="G31" s="31">
        <v>1.55E-2</v>
      </c>
      <c r="H31" s="32"/>
    </row>
    <row r="32" spans="2:8" ht="15.75" customHeight="1" x14ac:dyDescent="0.2">
      <c r="B32" s="28" t="s">
        <v>260</v>
      </c>
      <c r="C32" s="28" t="s">
        <v>261</v>
      </c>
      <c r="D32" s="28" t="s">
        <v>251</v>
      </c>
      <c r="E32" s="29">
        <v>336728</v>
      </c>
      <c r="F32" s="30">
        <v>1496.92</v>
      </c>
      <c r="G32" s="31">
        <v>1.43E-2</v>
      </c>
      <c r="H32" s="32"/>
    </row>
    <row r="33" spans="2:8" ht="15.75" customHeight="1" x14ac:dyDescent="0.2">
      <c r="B33" s="28" t="s">
        <v>596</v>
      </c>
      <c r="C33" s="28" t="s">
        <v>597</v>
      </c>
      <c r="D33" s="28" t="s">
        <v>190</v>
      </c>
      <c r="E33" s="29">
        <v>411743</v>
      </c>
      <c r="F33" s="30">
        <v>1458.81</v>
      </c>
      <c r="G33" s="31">
        <v>1.3899999999999999E-2</v>
      </c>
      <c r="H33" s="32"/>
    </row>
    <row r="34" spans="2:8" ht="15.75" customHeight="1" x14ac:dyDescent="0.2">
      <c r="B34" s="28" t="s">
        <v>435</v>
      </c>
      <c r="C34" s="28" t="s">
        <v>436</v>
      </c>
      <c r="D34" s="28" t="s">
        <v>224</v>
      </c>
      <c r="E34" s="29">
        <v>31975</v>
      </c>
      <c r="F34" s="30">
        <v>1387.33</v>
      </c>
      <c r="G34" s="31">
        <v>1.3299999999999999E-2</v>
      </c>
      <c r="H34" s="32"/>
    </row>
    <row r="35" spans="2:8" ht="15.75" customHeight="1" x14ac:dyDescent="0.2">
      <c r="B35" s="28" t="s">
        <v>671</v>
      </c>
      <c r="C35" s="28" t="s">
        <v>672</v>
      </c>
      <c r="D35" s="28" t="s">
        <v>179</v>
      </c>
      <c r="E35" s="29">
        <v>191520</v>
      </c>
      <c r="F35" s="30">
        <v>1380.19</v>
      </c>
      <c r="G35" s="31">
        <v>1.32E-2</v>
      </c>
      <c r="H35" s="32"/>
    </row>
    <row r="36" spans="2:8" ht="15.75" customHeight="1" x14ac:dyDescent="0.2">
      <c r="B36" s="28" t="s">
        <v>771</v>
      </c>
      <c r="C36" s="28" t="s">
        <v>772</v>
      </c>
      <c r="D36" s="28" t="s">
        <v>287</v>
      </c>
      <c r="E36" s="29">
        <v>145350</v>
      </c>
      <c r="F36" s="30">
        <v>1347.39</v>
      </c>
      <c r="G36" s="31">
        <v>1.29E-2</v>
      </c>
      <c r="H36" s="32"/>
    </row>
    <row r="37" spans="2:8" ht="15.75" customHeight="1" x14ac:dyDescent="0.2">
      <c r="B37" s="28" t="s">
        <v>475</v>
      </c>
      <c r="C37" s="28" t="s">
        <v>476</v>
      </c>
      <c r="D37" s="28" t="s">
        <v>268</v>
      </c>
      <c r="E37" s="29">
        <v>27507</v>
      </c>
      <c r="F37" s="30">
        <v>1228.52</v>
      </c>
      <c r="G37" s="31">
        <v>1.17E-2</v>
      </c>
      <c r="H37" s="32"/>
    </row>
    <row r="38" spans="2:8" ht="15.75" customHeight="1" x14ac:dyDescent="0.2">
      <c r="B38" s="28" t="s">
        <v>222</v>
      </c>
      <c r="C38" s="28" t="s">
        <v>223</v>
      </c>
      <c r="D38" s="28" t="s">
        <v>224</v>
      </c>
      <c r="E38" s="29">
        <v>283518</v>
      </c>
      <c r="F38" s="30">
        <v>1222.81</v>
      </c>
      <c r="G38" s="31">
        <v>1.17E-2</v>
      </c>
      <c r="H38" s="32"/>
    </row>
    <row r="39" spans="2:8" ht="15.75" customHeight="1" x14ac:dyDescent="0.2">
      <c r="B39" s="28" t="s">
        <v>360</v>
      </c>
      <c r="C39" s="28" t="s">
        <v>361</v>
      </c>
      <c r="D39" s="28" t="s">
        <v>216</v>
      </c>
      <c r="E39" s="29">
        <v>76918</v>
      </c>
      <c r="F39" s="30">
        <v>1215.69</v>
      </c>
      <c r="G39" s="31">
        <v>1.1599999999999999E-2</v>
      </c>
      <c r="H39" s="32"/>
    </row>
    <row r="40" spans="2:8" ht="15.75" customHeight="1" x14ac:dyDescent="0.2">
      <c r="B40" s="28" t="s">
        <v>726</v>
      </c>
      <c r="C40" s="28" t="s">
        <v>727</v>
      </c>
      <c r="D40" s="28" t="s">
        <v>224</v>
      </c>
      <c r="E40" s="29">
        <v>85210</v>
      </c>
      <c r="F40" s="30">
        <v>1162.3499999999999</v>
      </c>
      <c r="G40" s="31">
        <v>1.11E-2</v>
      </c>
      <c r="H40" s="32"/>
    </row>
    <row r="41" spans="2:8" ht="15.75" customHeight="1" x14ac:dyDescent="0.2">
      <c r="B41" s="28" t="s">
        <v>354</v>
      </c>
      <c r="C41" s="28" t="s">
        <v>355</v>
      </c>
      <c r="D41" s="28" t="s">
        <v>216</v>
      </c>
      <c r="E41" s="29">
        <v>75131</v>
      </c>
      <c r="F41" s="30">
        <v>1140.04</v>
      </c>
      <c r="G41" s="31">
        <v>1.09E-2</v>
      </c>
      <c r="H41" s="32"/>
    </row>
    <row r="42" spans="2:8" ht="15.75" customHeight="1" x14ac:dyDescent="0.2">
      <c r="B42" s="28" t="s">
        <v>779</v>
      </c>
      <c r="C42" s="28" t="s">
        <v>780</v>
      </c>
      <c r="D42" s="28" t="s">
        <v>321</v>
      </c>
      <c r="E42" s="29">
        <v>1284976</v>
      </c>
      <c r="F42" s="30">
        <v>1121.78</v>
      </c>
      <c r="G42" s="31">
        <v>1.0699999999999999E-2</v>
      </c>
      <c r="H42" s="32"/>
    </row>
    <row r="43" spans="2:8" ht="15.75" customHeight="1" x14ac:dyDescent="0.2">
      <c r="B43" s="28" t="s">
        <v>578</v>
      </c>
      <c r="C43" s="28" t="s">
        <v>579</v>
      </c>
      <c r="D43" s="28" t="s">
        <v>321</v>
      </c>
      <c r="E43" s="29">
        <v>65625</v>
      </c>
      <c r="F43" s="30">
        <v>1114.44</v>
      </c>
      <c r="G43" s="31">
        <v>1.06E-2</v>
      </c>
      <c r="H43" s="32"/>
    </row>
    <row r="44" spans="2:8" ht="15.75" customHeight="1" x14ac:dyDescent="0.2">
      <c r="B44" s="28" t="s">
        <v>767</v>
      </c>
      <c r="C44" s="28" t="s">
        <v>768</v>
      </c>
      <c r="D44" s="28" t="s">
        <v>321</v>
      </c>
      <c r="E44" s="29">
        <v>110058</v>
      </c>
      <c r="F44" s="30">
        <v>1077.03</v>
      </c>
      <c r="G44" s="31">
        <v>1.03E-2</v>
      </c>
      <c r="H44" s="32"/>
    </row>
    <row r="45" spans="2:8" ht="15.75" customHeight="1" x14ac:dyDescent="0.2">
      <c r="B45" s="28" t="s">
        <v>278</v>
      </c>
      <c r="C45" s="28" t="s">
        <v>279</v>
      </c>
      <c r="D45" s="28" t="s">
        <v>190</v>
      </c>
      <c r="E45" s="29">
        <v>238613</v>
      </c>
      <c r="F45" s="30">
        <v>1069.94</v>
      </c>
      <c r="G45" s="31">
        <v>1.0200000000000001E-2</v>
      </c>
      <c r="H45" s="32"/>
    </row>
    <row r="46" spans="2:8" ht="15.75" customHeight="1" x14ac:dyDescent="0.2">
      <c r="B46" s="28" t="s">
        <v>805</v>
      </c>
      <c r="C46" s="28" t="s">
        <v>806</v>
      </c>
      <c r="D46" s="28" t="s">
        <v>219</v>
      </c>
      <c r="E46" s="29">
        <v>388177</v>
      </c>
      <c r="F46" s="30">
        <v>1055.76</v>
      </c>
      <c r="G46" s="31">
        <v>1.01E-2</v>
      </c>
      <c r="H46" s="32"/>
    </row>
    <row r="47" spans="2:8" ht="15.75" customHeight="1" x14ac:dyDescent="0.2">
      <c r="B47" s="28" t="s">
        <v>324</v>
      </c>
      <c r="C47" s="28" t="s">
        <v>325</v>
      </c>
      <c r="D47" s="28" t="s">
        <v>326</v>
      </c>
      <c r="E47" s="29">
        <v>97245</v>
      </c>
      <c r="F47" s="30">
        <v>1009.4</v>
      </c>
      <c r="G47" s="31">
        <v>9.5999999999999992E-3</v>
      </c>
      <c r="H47" s="32"/>
    </row>
    <row r="48" spans="2:8" ht="15.75" customHeight="1" x14ac:dyDescent="0.2">
      <c r="B48" s="28" t="s">
        <v>775</v>
      </c>
      <c r="C48" s="28" t="s">
        <v>776</v>
      </c>
      <c r="D48" s="28" t="s">
        <v>641</v>
      </c>
      <c r="E48" s="29">
        <v>36126</v>
      </c>
      <c r="F48" s="30">
        <v>984.43</v>
      </c>
      <c r="G48" s="31">
        <v>9.4000000000000004E-3</v>
      </c>
      <c r="H48" s="32"/>
    </row>
    <row r="49" spans="2:8" ht="15.75" customHeight="1" x14ac:dyDescent="0.2">
      <c r="B49" s="28" t="s">
        <v>789</v>
      </c>
      <c r="C49" s="28" t="s">
        <v>790</v>
      </c>
      <c r="D49" s="28" t="s">
        <v>274</v>
      </c>
      <c r="E49" s="29">
        <v>328632</v>
      </c>
      <c r="F49" s="30">
        <v>937.23</v>
      </c>
      <c r="G49" s="31">
        <v>8.9999999999999993E-3</v>
      </c>
      <c r="H49" s="32"/>
    </row>
    <row r="50" spans="2:8" ht="15.75" customHeight="1" x14ac:dyDescent="0.2">
      <c r="B50" s="28" t="s">
        <v>177</v>
      </c>
      <c r="C50" s="28" t="s">
        <v>178</v>
      </c>
      <c r="D50" s="28" t="s">
        <v>179</v>
      </c>
      <c r="E50" s="29">
        <v>48472</v>
      </c>
      <c r="F50" s="30">
        <v>912.05</v>
      </c>
      <c r="G50" s="31">
        <v>8.6999999999999994E-3</v>
      </c>
      <c r="H50" s="32"/>
    </row>
    <row r="51" spans="2:8" ht="15.75" customHeight="1" x14ac:dyDescent="0.2">
      <c r="B51" s="28" t="s">
        <v>484</v>
      </c>
      <c r="C51" s="28" t="s">
        <v>485</v>
      </c>
      <c r="D51" s="28" t="s">
        <v>268</v>
      </c>
      <c r="E51" s="29">
        <v>78275</v>
      </c>
      <c r="F51" s="30">
        <v>827.56</v>
      </c>
      <c r="G51" s="31">
        <v>7.9000000000000008E-3</v>
      </c>
      <c r="H51" s="32"/>
    </row>
    <row r="52" spans="2:8" ht="15.75" customHeight="1" x14ac:dyDescent="0.2">
      <c r="B52" s="28" t="s">
        <v>811</v>
      </c>
      <c r="C52" s="28" t="s">
        <v>812</v>
      </c>
      <c r="D52" s="28" t="s">
        <v>345</v>
      </c>
      <c r="E52" s="29">
        <v>16440</v>
      </c>
      <c r="F52" s="30">
        <v>775.82</v>
      </c>
      <c r="G52" s="31">
        <v>7.4000000000000003E-3</v>
      </c>
      <c r="H52" s="32"/>
    </row>
    <row r="53" spans="2:8" ht="15.75" customHeight="1" x14ac:dyDescent="0.2">
      <c r="B53" s="28" t="s">
        <v>840</v>
      </c>
      <c r="C53" s="28" t="s">
        <v>841</v>
      </c>
      <c r="D53" s="28" t="s">
        <v>268</v>
      </c>
      <c r="E53" s="29">
        <v>15756</v>
      </c>
      <c r="F53" s="30">
        <v>642.47</v>
      </c>
      <c r="G53" s="31">
        <v>6.1000000000000004E-3</v>
      </c>
      <c r="H53" s="32"/>
    </row>
    <row r="54" spans="2:8" ht="15.75" customHeight="1" x14ac:dyDescent="0.2">
      <c r="B54" s="28" t="s">
        <v>781</v>
      </c>
      <c r="C54" s="28" t="s">
        <v>782</v>
      </c>
      <c r="D54" s="28" t="s">
        <v>321</v>
      </c>
      <c r="E54" s="29">
        <v>12094</v>
      </c>
      <c r="F54" s="30">
        <v>534.28</v>
      </c>
      <c r="G54" s="31">
        <v>5.1000000000000004E-3</v>
      </c>
      <c r="H54" s="32"/>
    </row>
    <row r="55" spans="2:8" ht="15.75" customHeight="1" x14ac:dyDescent="0.2">
      <c r="B55" s="28" t="s">
        <v>227</v>
      </c>
      <c r="C55" s="28" t="s">
        <v>228</v>
      </c>
      <c r="D55" s="28" t="s">
        <v>229</v>
      </c>
      <c r="E55" s="29">
        <v>243593</v>
      </c>
      <c r="F55" s="30">
        <v>514.86</v>
      </c>
      <c r="G55" s="31">
        <v>4.8999999999999998E-3</v>
      </c>
      <c r="H55" s="32"/>
    </row>
    <row r="56" spans="2:8" ht="15.75" customHeight="1" x14ac:dyDescent="0.2">
      <c r="B56" s="28" t="s">
        <v>646</v>
      </c>
      <c r="C56" s="28" t="s">
        <v>647</v>
      </c>
      <c r="D56" s="28" t="s">
        <v>470</v>
      </c>
      <c r="E56" s="29">
        <v>136555</v>
      </c>
      <c r="F56" s="30">
        <v>435.54</v>
      </c>
      <c r="G56" s="31">
        <v>4.1999999999999997E-3</v>
      </c>
      <c r="H56" s="32"/>
    </row>
    <row r="57" spans="2:8" ht="15.75" customHeight="1" x14ac:dyDescent="0.2">
      <c r="B57" s="28" t="s">
        <v>667</v>
      </c>
      <c r="C57" s="28" t="s">
        <v>668</v>
      </c>
      <c r="D57" s="28" t="s">
        <v>321</v>
      </c>
      <c r="E57" s="29">
        <v>14708</v>
      </c>
      <c r="F57" s="30">
        <v>389.03</v>
      </c>
      <c r="G57" s="31">
        <v>3.7000000000000002E-3</v>
      </c>
      <c r="H57" s="32"/>
    </row>
    <row r="58" spans="2:8" ht="15.75" customHeight="1" x14ac:dyDescent="0.2">
      <c r="B58" s="28" t="s">
        <v>791</v>
      </c>
      <c r="C58" s="28" t="s">
        <v>792</v>
      </c>
      <c r="D58" s="28" t="s">
        <v>321</v>
      </c>
      <c r="E58" s="29">
        <v>16392</v>
      </c>
      <c r="F58" s="30">
        <v>360.03</v>
      </c>
      <c r="G58" s="31">
        <v>3.3999999999999998E-3</v>
      </c>
      <c r="H58" s="32"/>
    </row>
    <row r="59" spans="2:8" ht="15.75" customHeight="1" x14ac:dyDescent="0.2">
      <c r="B59" s="28" t="s">
        <v>665</v>
      </c>
      <c r="C59" s="28" t="s">
        <v>666</v>
      </c>
      <c r="D59" s="28" t="s">
        <v>321</v>
      </c>
      <c r="E59" s="29">
        <v>40306</v>
      </c>
      <c r="F59" s="30">
        <v>162.80000000000001</v>
      </c>
      <c r="G59" s="31">
        <v>1.6000000000000001E-3</v>
      </c>
      <c r="H59" s="32"/>
    </row>
    <row r="60" spans="2:8" ht="15.75" customHeight="1" x14ac:dyDescent="0.2">
      <c r="B60" s="28" t="s">
        <v>842</v>
      </c>
      <c r="C60" s="28" t="s">
        <v>843</v>
      </c>
      <c r="D60" s="28" t="s">
        <v>287</v>
      </c>
      <c r="E60" s="29">
        <v>2708</v>
      </c>
      <c r="F60" s="30">
        <v>148.01</v>
      </c>
      <c r="G60" s="31">
        <v>1.4E-3</v>
      </c>
      <c r="H60" s="32"/>
    </row>
    <row r="61" spans="2:8" ht="15.75" customHeight="1" x14ac:dyDescent="0.2">
      <c r="B61" s="28" t="s">
        <v>844</v>
      </c>
      <c r="C61" s="28" t="s">
        <v>845</v>
      </c>
      <c r="D61" s="28" t="s">
        <v>321</v>
      </c>
      <c r="E61" s="29">
        <v>8766</v>
      </c>
      <c r="F61" s="30">
        <v>45.5</v>
      </c>
      <c r="G61" s="31">
        <v>4.0000000000000002E-4</v>
      </c>
      <c r="H61" s="32"/>
    </row>
    <row r="62" spans="2:8" ht="15.75" customHeight="1" x14ac:dyDescent="0.2">
      <c r="B62" s="27" t="s">
        <v>129</v>
      </c>
      <c r="C62" s="27"/>
      <c r="D62" s="27"/>
      <c r="E62" s="33"/>
      <c r="F62" s="34">
        <v>97757.61</v>
      </c>
      <c r="G62" s="35">
        <v>0.93400000000000005</v>
      </c>
      <c r="H62" s="36"/>
    </row>
    <row r="63" spans="2:8" ht="15.75" customHeight="1" x14ac:dyDescent="0.2">
      <c r="B63" s="27" t="s">
        <v>197</v>
      </c>
      <c r="C63" s="28"/>
      <c r="D63" s="28"/>
      <c r="E63" s="29"/>
      <c r="F63" s="30"/>
      <c r="G63" s="31"/>
      <c r="H63" s="32"/>
    </row>
    <row r="64" spans="2:8" ht="15.75" customHeight="1" x14ac:dyDescent="0.2">
      <c r="B64" s="27" t="s">
        <v>129</v>
      </c>
      <c r="C64" s="28"/>
      <c r="D64" s="28"/>
      <c r="E64" s="29"/>
      <c r="F64" s="37" t="s">
        <v>131</v>
      </c>
      <c r="G64" s="38" t="s">
        <v>131</v>
      </c>
      <c r="H64" s="32"/>
    </row>
    <row r="65" spans="2:14" ht="15.75" customHeight="1" x14ac:dyDescent="0.2">
      <c r="B65" s="28"/>
      <c r="C65" s="28"/>
      <c r="D65" s="28"/>
      <c r="E65" s="29"/>
      <c r="F65" s="30"/>
      <c r="G65" s="31"/>
      <c r="H65" s="32"/>
    </row>
    <row r="66" spans="2:14" ht="15.75" customHeight="1" x14ac:dyDescent="0.2">
      <c r="B66" s="39" t="s">
        <v>133</v>
      </c>
      <c r="C66" s="39"/>
      <c r="D66" s="39"/>
      <c r="E66" s="40"/>
      <c r="F66" s="34">
        <v>97757.61</v>
      </c>
      <c r="G66" s="35">
        <v>0.93400000000000005</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139</v>
      </c>
      <c r="C69" s="28"/>
      <c r="D69" s="28"/>
      <c r="E69" s="29"/>
      <c r="F69" s="30"/>
      <c r="G69" s="31"/>
      <c r="H69" s="32"/>
    </row>
    <row r="70" spans="2:14" ht="15.75" customHeight="1" x14ac:dyDescent="0.2">
      <c r="B70" s="28" t="s">
        <v>140</v>
      </c>
      <c r="C70" s="28"/>
      <c r="D70" s="28"/>
      <c r="E70" s="29"/>
      <c r="F70" s="30">
        <v>7093.9</v>
      </c>
      <c r="G70" s="31">
        <v>6.7799999999999999E-2</v>
      </c>
      <c r="H70" s="32"/>
      <c r="J70" s="3"/>
    </row>
    <row r="71" spans="2:14" ht="15.75" customHeight="1" x14ac:dyDescent="0.2">
      <c r="B71" s="27" t="s">
        <v>129</v>
      </c>
      <c r="C71" s="27"/>
      <c r="D71" s="27"/>
      <c r="E71" s="33"/>
      <c r="F71" s="34">
        <v>7093.9</v>
      </c>
      <c r="G71" s="35">
        <v>6.7799999999999999E-2</v>
      </c>
      <c r="H71" s="36"/>
      <c r="J71" s="3"/>
    </row>
    <row r="72" spans="2:14" ht="15.75" customHeight="1" x14ac:dyDescent="0.2">
      <c r="B72" s="28"/>
      <c r="C72" s="28"/>
      <c r="D72" s="28"/>
      <c r="E72" s="29"/>
      <c r="F72" s="30"/>
      <c r="G72" s="31"/>
      <c r="H72" s="32"/>
      <c r="J72" s="3"/>
    </row>
    <row r="73" spans="2:14" ht="15.75" customHeight="1" x14ac:dyDescent="0.2">
      <c r="B73" s="39" t="s">
        <v>133</v>
      </c>
      <c r="C73" s="39"/>
      <c r="D73" s="39"/>
      <c r="E73" s="40"/>
      <c r="F73" s="34">
        <v>7093.9</v>
      </c>
      <c r="G73" s="35">
        <v>6.7799999999999999E-2</v>
      </c>
      <c r="H73" s="36"/>
      <c r="J73" s="3"/>
    </row>
    <row r="74" spans="2:14" ht="15.75" customHeight="1" x14ac:dyDescent="0.2">
      <c r="B74" s="28" t="s">
        <v>141</v>
      </c>
      <c r="C74" s="28"/>
      <c r="D74" s="28"/>
      <c r="E74" s="29"/>
      <c r="F74" s="50">
        <v>-186.25</v>
      </c>
      <c r="G74" s="51">
        <v>-1.8000000000000238E-3</v>
      </c>
      <c r="H74" s="32"/>
      <c r="J74" s="3"/>
    </row>
    <row r="75" spans="2:14" ht="15.75" customHeight="1" x14ac:dyDescent="0.2">
      <c r="B75" s="41" t="s">
        <v>142</v>
      </c>
      <c r="C75" s="41"/>
      <c r="D75" s="41"/>
      <c r="E75" s="42"/>
      <c r="F75" s="43">
        <v>104665.26</v>
      </c>
      <c r="G75" s="44">
        <v>1</v>
      </c>
      <c r="H75" s="45"/>
      <c r="J75" s="5"/>
      <c r="K75" s="5"/>
      <c r="L75" s="6"/>
      <c r="M75" s="6"/>
      <c r="N75" s="5"/>
    </row>
    <row r="76" spans="2:14" ht="15.75" customHeight="1" x14ac:dyDescent="0.2">
      <c r="B76" s="2"/>
    </row>
    <row r="77" spans="2:14" s="7" customFormat="1" ht="15.6" customHeight="1" x14ac:dyDescent="0.25">
      <c r="B77" s="63" t="s">
        <v>1067</v>
      </c>
      <c r="C77" s="70"/>
      <c r="D77" s="70"/>
      <c r="E77" s="70"/>
      <c r="F77" s="70"/>
      <c r="G77" s="70"/>
      <c r="H77" s="64"/>
    </row>
    <row r="78" spans="2:14" s="7" customFormat="1" ht="15.6" customHeight="1" x14ac:dyDescent="0.25">
      <c r="B78" s="63" t="s">
        <v>1108</v>
      </c>
      <c r="C78" s="70"/>
      <c r="D78" s="70"/>
      <c r="E78" s="70"/>
      <c r="F78" s="70"/>
      <c r="G78" s="70"/>
      <c r="H78" s="64"/>
    </row>
    <row r="79" spans="2:14" s="7" customFormat="1" ht="15.6" customHeight="1" x14ac:dyDescent="0.25">
      <c r="B79" s="63" t="s">
        <v>1068</v>
      </c>
      <c r="C79" s="70"/>
      <c r="D79" s="70"/>
      <c r="E79" s="70"/>
      <c r="F79" s="70"/>
      <c r="G79" s="70"/>
      <c r="H79" s="64"/>
    </row>
    <row r="80" spans="2:14" s="7" customFormat="1" ht="15.6" customHeight="1" x14ac:dyDescent="0.25">
      <c r="B80" s="71"/>
      <c r="C80" s="65">
        <v>46142</v>
      </c>
      <c r="D80" s="65">
        <v>46112</v>
      </c>
      <c r="E80" s="70"/>
      <c r="F80" s="70"/>
      <c r="G80" s="70"/>
      <c r="H80" s="64"/>
    </row>
    <row r="81" spans="2:14" s="7" customFormat="1" ht="15.6" customHeight="1" x14ac:dyDescent="0.25">
      <c r="B81" s="71" t="s">
        <v>1069</v>
      </c>
      <c r="C81" s="66"/>
      <c r="D81" s="66"/>
      <c r="E81" s="70"/>
      <c r="F81" s="70"/>
      <c r="G81" s="70"/>
      <c r="H81" s="64"/>
    </row>
    <row r="82" spans="2:14" s="7" customFormat="1" ht="15.6" customHeight="1" x14ac:dyDescent="0.25">
      <c r="B82" s="71" t="s">
        <v>1070</v>
      </c>
      <c r="C82" s="67">
        <v>51.821400000000004</v>
      </c>
      <c r="D82" s="67">
        <v>45.186300000000003</v>
      </c>
      <c r="E82" s="70"/>
      <c r="F82" s="70"/>
      <c r="G82" s="70"/>
      <c r="H82" s="64"/>
    </row>
    <row r="83" spans="2:14" s="7" customFormat="1" ht="15.6" customHeight="1" x14ac:dyDescent="0.25">
      <c r="B83" s="71" t="s">
        <v>1071</v>
      </c>
      <c r="C83" s="67">
        <v>51.822900000000011</v>
      </c>
      <c r="D83" s="67">
        <v>45.187600000000003</v>
      </c>
      <c r="E83" s="70"/>
      <c r="F83" s="70"/>
      <c r="G83" s="70"/>
      <c r="H83" s="64"/>
    </row>
    <row r="84" spans="2:14" s="7" customFormat="1" ht="15.6" customHeight="1" x14ac:dyDescent="0.25">
      <c r="B84" s="71" t="s">
        <v>1073</v>
      </c>
      <c r="C84" s="67">
        <v>59.865900000000003</v>
      </c>
      <c r="D84" s="67">
        <v>52.143000000000001</v>
      </c>
      <c r="E84" s="70"/>
      <c r="F84" s="70"/>
      <c r="G84" s="70"/>
      <c r="H84" s="64"/>
    </row>
    <row r="85" spans="2:14" s="7" customFormat="1" ht="15.6" customHeight="1" x14ac:dyDescent="0.25">
      <c r="B85" s="71" t="s">
        <v>1074</v>
      </c>
      <c r="C85" s="67">
        <v>58.780900000000003</v>
      </c>
      <c r="D85" s="67">
        <v>51.198099999999997</v>
      </c>
      <c r="E85" s="70"/>
      <c r="F85" s="70"/>
      <c r="G85" s="70"/>
      <c r="H85" s="64"/>
    </row>
    <row r="86" spans="2:14" s="7" customFormat="1" ht="15.6" customHeight="1" x14ac:dyDescent="0.25">
      <c r="B86" s="63" t="s">
        <v>1116</v>
      </c>
      <c r="C86" s="70"/>
      <c r="D86" s="70"/>
      <c r="E86" s="70"/>
      <c r="F86" s="70"/>
      <c r="G86" s="70"/>
      <c r="H86" s="64"/>
    </row>
    <row r="87" spans="2:14" s="7" customFormat="1" ht="15.6" customHeight="1" x14ac:dyDescent="0.25">
      <c r="B87" s="63" t="s">
        <v>1109</v>
      </c>
      <c r="C87" s="70"/>
      <c r="D87" s="70"/>
      <c r="E87" s="70"/>
      <c r="F87" s="70"/>
      <c r="G87" s="70"/>
      <c r="H87" s="64"/>
    </row>
    <row r="88" spans="2:14" s="7" customFormat="1" ht="15.6" customHeight="1" x14ac:dyDescent="0.25">
      <c r="B88" s="63" t="s">
        <v>1111</v>
      </c>
      <c r="C88" s="70"/>
      <c r="D88" s="70"/>
      <c r="E88" s="70"/>
      <c r="F88" s="70"/>
      <c r="G88" s="70"/>
      <c r="H88" s="64"/>
    </row>
    <row r="89" spans="2:14" s="7" customFormat="1" ht="15.6" customHeight="1" x14ac:dyDescent="0.25">
      <c r="B89" s="63" t="s">
        <v>1112</v>
      </c>
      <c r="C89" s="70"/>
      <c r="D89" s="70"/>
      <c r="E89" s="70"/>
      <c r="F89" s="70"/>
      <c r="G89" s="70"/>
      <c r="H89" s="64"/>
    </row>
    <row r="90" spans="2:14" s="7" customFormat="1" ht="15.6" customHeight="1" x14ac:dyDescent="0.25">
      <c r="B90" s="63" t="s">
        <v>1128</v>
      </c>
      <c r="C90" s="70"/>
      <c r="D90" s="70"/>
      <c r="E90" s="70"/>
      <c r="F90" s="70"/>
      <c r="G90" s="70"/>
      <c r="H90" s="64"/>
    </row>
    <row r="91" spans="2:14" s="7" customFormat="1" ht="15.6" customHeight="1" x14ac:dyDescent="0.25">
      <c r="B91" s="63" t="s">
        <v>1113</v>
      </c>
      <c r="C91" s="70"/>
      <c r="D91" s="70"/>
      <c r="E91" s="70"/>
      <c r="F91" s="70"/>
      <c r="G91" s="70"/>
      <c r="H91" s="64"/>
    </row>
    <row r="92" spans="2:14" s="7" customFormat="1" ht="15.6" customHeight="1" x14ac:dyDescent="0.25">
      <c r="B92" s="68" t="s">
        <v>1076</v>
      </c>
      <c r="C92" s="72"/>
      <c r="D92" s="72"/>
      <c r="E92" s="72"/>
      <c r="F92" s="72"/>
      <c r="G92" s="72"/>
      <c r="H92" s="69"/>
    </row>
    <row r="93" spans="2:14" ht="15.75" customHeight="1" thickBot="1" x14ac:dyDescent="0.25"/>
    <row r="94" spans="2:14" ht="39.75" customHeight="1" thickBot="1" x14ac:dyDescent="0.3">
      <c r="B94" s="46" t="s">
        <v>146</v>
      </c>
      <c r="C94" s="47" t="s">
        <v>147</v>
      </c>
      <c r="D94" s="47" t="s">
        <v>148</v>
      </c>
      <c r="E94"/>
      <c r="J94" s="7"/>
      <c r="K94" s="7"/>
      <c r="L94" s="7"/>
      <c r="M94" s="7"/>
      <c r="N94" s="7"/>
    </row>
    <row r="95" spans="2:14" ht="39.75" customHeight="1" x14ac:dyDescent="0.25">
      <c r="B95" s="52" t="s">
        <v>846</v>
      </c>
      <c r="C95" s="109"/>
      <c r="D95" s="52" t="s">
        <v>847</v>
      </c>
      <c r="E95"/>
      <c r="J95" s="7"/>
      <c r="K95" s="7"/>
      <c r="L95" s="7"/>
      <c r="M95" s="7"/>
      <c r="N95" s="7"/>
    </row>
    <row r="96" spans="2:14" ht="39.75" customHeight="1" x14ac:dyDescent="0.25">
      <c r="B96" s="112" t="s">
        <v>848</v>
      </c>
      <c r="C96" s="110"/>
      <c r="D96" s="114"/>
      <c r="E96"/>
      <c r="J96" s="7"/>
      <c r="K96" s="7"/>
      <c r="L96" s="7"/>
      <c r="M96" s="7"/>
      <c r="N96" s="7"/>
    </row>
    <row r="97" spans="2:14" ht="39.75" customHeight="1" x14ac:dyDescent="0.25">
      <c r="B97" s="112"/>
      <c r="C97" s="110"/>
      <c r="D97" s="114"/>
      <c r="E97"/>
      <c r="J97" s="7"/>
      <c r="K97" s="7"/>
      <c r="L97" s="7"/>
      <c r="M97" s="7"/>
      <c r="N97" s="7"/>
    </row>
    <row r="98" spans="2:14" ht="39.75" customHeight="1" x14ac:dyDescent="0.25">
      <c r="B98" s="112"/>
      <c r="C98" s="110"/>
      <c r="D98" s="114"/>
      <c r="E98"/>
      <c r="J98" s="7"/>
      <c r="K98" s="7"/>
      <c r="L98" s="7"/>
      <c r="M98" s="7"/>
      <c r="N98" s="7"/>
    </row>
    <row r="99" spans="2:14" ht="39.75" customHeight="1" thickBot="1" x14ac:dyDescent="0.3">
      <c r="B99" s="113"/>
      <c r="C99" s="111"/>
      <c r="D99" s="117"/>
      <c r="E99"/>
    </row>
    <row r="100" spans="2:14" ht="15.75" customHeight="1" x14ac:dyDescent="0.2">
      <c r="B100" s="9" t="s">
        <v>149</v>
      </c>
      <c r="J100" s="3"/>
    </row>
    <row r="101" spans="2:14" ht="15.75" customHeight="1" x14ac:dyDescent="0.2">
      <c r="B101" s="9" t="s">
        <v>150</v>
      </c>
    </row>
    <row r="102" spans="2:14" ht="15.75" customHeight="1" x14ac:dyDescent="0.2">
      <c r="B102" s="9" t="s">
        <v>151</v>
      </c>
    </row>
  </sheetData>
  <mergeCells count="3">
    <mergeCell ref="C95:C99"/>
    <mergeCell ref="B96:B99"/>
    <mergeCell ref="D96:D99"/>
  </mergeCells>
  <hyperlinks>
    <hyperlink ref="G1" location="'Sheet1'!A1" display="Index" xr:uid="{ABF23547-6734-4818-9DBF-A6DF3A1C9FF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FE7B-5726-4C9D-A5CF-0E3BA0F2BC2B}">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500440</v>
      </c>
      <c r="F7" s="30">
        <v>3861.9</v>
      </c>
      <c r="G7" s="31">
        <v>0.1072</v>
      </c>
      <c r="H7" s="32"/>
    </row>
    <row r="8" spans="2:8" ht="15.75" customHeight="1" x14ac:dyDescent="0.2">
      <c r="B8" s="28" t="s">
        <v>174</v>
      </c>
      <c r="C8" s="28" t="s">
        <v>175</v>
      </c>
      <c r="D8" s="28" t="s">
        <v>176</v>
      </c>
      <c r="E8" s="29">
        <v>221418</v>
      </c>
      <c r="F8" s="30">
        <v>3168.05</v>
      </c>
      <c r="G8" s="31">
        <v>8.7999999999999995E-2</v>
      </c>
      <c r="H8" s="32"/>
    </row>
    <row r="9" spans="2:8" ht="15.75" customHeight="1" x14ac:dyDescent="0.2">
      <c r="B9" s="28" t="s">
        <v>191</v>
      </c>
      <c r="C9" s="28" t="s">
        <v>192</v>
      </c>
      <c r="D9" s="28" t="s">
        <v>173</v>
      </c>
      <c r="E9" s="29">
        <v>234183</v>
      </c>
      <c r="F9" s="30">
        <v>2958.67</v>
      </c>
      <c r="G9" s="31">
        <v>8.2199999999999995E-2</v>
      </c>
      <c r="H9" s="32"/>
    </row>
    <row r="10" spans="2:8" ht="15.75" customHeight="1" x14ac:dyDescent="0.2">
      <c r="B10" s="28" t="s">
        <v>214</v>
      </c>
      <c r="C10" s="28" t="s">
        <v>215</v>
      </c>
      <c r="D10" s="28" t="s">
        <v>216</v>
      </c>
      <c r="E10" s="29">
        <v>100622</v>
      </c>
      <c r="F10" s="30">
        <v>1898.54</v>
      </c>
      <c r="G10" s="31">
        <v>5.2699999999999997E-2</v>
      </c>
      <c r="H10" s="32"/>
    </row>
    <row r="11" spans="2:8" ht="15.75" customHeight="1" x14ac:dyDescent="0.2">
      <c r="B11" s="28" t="s">
        <v>316</v>
      </c>
      <c r="C11" s="28" t="s">
        <v>317</v>
      </c>
      <c r="D11" s="28" t="s">
        <v>318</v>
      </c>
      <c r="E11" s="29">
        <v>38361</v>
      </c>
      <c r="F11" s="30">
        <v>1539.81</v>
      </c>
      <c r="G11" s="31">
        <v>4.2799999999999998E-2</v>
      </c>
      <c r="H11" s="32"/>
    </row>
    <row r="12" spans="2:8" ht="15.75" customHeight="1" x14ac:dyDescent="0.2">
      <c r="B12" s="28" t="s">
        <v>212</v>
      </c>
      <c r="C12" s="28" t="s">
        <v>213</v>
      </c>
      <c r="D12" s="28" t="s">
        <v>173</v>
      </c>
      <c r="E12" s="29">
        <v>135611</v>
      </c>
      <c r="F12" s="30">
        <v>1448.94</v>
      </c>
      <c r="G12" s="31">
        <v>4.02E-2</v>
      </c>
      <c r="H12" s="32"/>
    </row>
    <row r="13" spans="2:8" ht="15.75" customHeight="1" x14ac:dyDescent="0.2">
      <c r="B13" s="28" t="s">
        <v>180</v>
      </c>
      <c r="C13" s="28" t="s">
        <v>181</v>
      </c>
      <c r="D13" s="28" t="s">
        <v>182</v>
      </c>
      <c r="E13" s="29">
        <v>114791</v>
      </c>
      <c r="F13" s="30">
        <v>1356.6</v>
      </c>
      <c r="G13" s="31">
        <v>3.7699999999999997E-2</v>
      </c>
      <c r="H13" s="32"/>
    </row>
    <row r="14" spans="2:8" ht="15.75" customHeight="1" x14ac:dyDescent="0.2">
      <c r="B14" s="28" t="s">
        <v>183</v>
      </c>
      <c r="C14" s="28" t="s">
        <v>184</v>
      </c>
      <c r="D14" s="28" t="s">
        <v>173</v>
      </c>
      <c r="E14" s="29">
        <v>93632</v>
      </c>
      <c r="F14" s="30">
        <v>1187.53</v>
      </c>
      <c r="G14" s="31">
        <v>3.3000000000000002E-2</v>
      </c>
      <c r="H14" s="32"/>
    </row>
    <row r="15" spans="2:8" ht="15.75" customHeight="1" x14ac:dyDescent="0.2">
      <c r="B15" s="28" t="s">
        <v>256</v>
      </c>
      <c r="C15" s="28" t="s">
        <v>257</v>
      </c>
      <c r="D15" s="28" t="s">
        <v>187</v>
      </c>
      <c r="E15" s="29">
        <v>314792</v>
      </c>
      <c r="F15" s="30">
        <v>991.28</v>
      </c>
      <c r="G15" s="31">
        <v>2.75E-2</v>
      </c>
      <c r="H15" s="32"/>
    </row>
    <row r="16" spans="2:8" ht="15.75" customHeight="1" x14ac:dyDescent="0.2">
      <c r="B16" s="28" t="s">
        <v>220</v>
      </c>
      <c r="C16" s="28" t="s">
        <v>221</v>
      </c>
      <c r="D16" s="28" t="s">
        <v>173</v>
      </c>
      <c r="E16" s="29">
        <v>240440</v>
      </c>
      <c r="F16" s="30">
        <v>921.61</v>
      </c>
      <c r="G16" s="31">
        <v>2.5600000000000001E-2</v>
      </c>
      <c r="H16" s="32"/>
    </row>
    <row r="17" spans="2:8" ht="15.75" customHeight="1" x14ac:dyDescent="0.2">
      <c r="B17" s="28" t="s">
        <v>193</v>
      </c>
      <c r="C17" s="28" t="s">
        <v>194</v>
      </c>
      <c r="D17" s="28" t="s">
        <v>195</v>
      </c>
      <c r="E17" s="29">
        <v>29323</v>
      </c>
      <c r="F17" s="30">
        <v>908.28</v>
      </c>
      <c r="G17" s="31">
        <v>2.52E-2</v>
      </c>
      <c r="H17" s="32"/>
    </row>
    <row r="18" spans="2:8" ht="15.75" customHeight="1" x14ac:dyDescent="0.2">
      <c r="B18" s="28" t="s">
        <v>314</v>
      </c>
      <c r="C18" s="28" t="s">
        <v>315</v>
      </c>
      <c r="D18" s="28" t="s">
        <v>182</v>
      </c>
      <c r="E18" s="29">
        <v>33256</v>
      </c>
      <c r="F18" s="30">
        <v>822.72</v>
      </c>
      <c r="G18" s="31">
        <v>2.2800000000000001E-2</v>
      </c>
      <c r="H18" s="32"/>
    </row>
    <row r="19" spans="2:8" ht="15.75" customHeight="1" x14ac:dyDescent="0.2">
      <c r="B19" s="28" t="s">
        <v>225</v>
      </c>
      <c r="C19" s="28" t="s">
        <v>226</v>
      </c>
      <c r="D19" s="28" t="s">
        <v>190</v>
      </c>
      <c r="E19" s="29">
        <v>87160</v>
      </c>
      <c r="F19" s="30">
        <v>816.69</v>
      </c>
      <c r="G19" s="31">
        <v>2.2700000000000001E-2</v>
      </c>
      <c r="H19" s="32"/>
    </row>
    <row r="20" spans="2:8" ht="15.75" customHeight="1" x14ac:dyDescent="0.2">
      <c r="B20" s="28" t="s">
        <v>185</v>
      </c>
      <c r="C20" s="28" t="s">
        <v>186</v>
      </c>
      <c r="D20" s="28" t="s">
        <v>187</v>
      </c>
      <c r="E20" s="29">
        <v>28926</v>
      </c>
      <c r="F20" s="30">
        <v>651.1</v>
      </c>
      <c r="G20" s="31">
        <v>1.8100000000000002E-2</v>
      </c>
      <c r="H20" s="32"/>
    </row>
    <row r="21" spans="2:8" ht="15.75" customHeight="1" x14ac:dyDescent="0.2">
      <c r="B21" s="28" t="s">
        <v>236</v>
      </c>
      <c r="C21" s="28" t="s">
        <v>237</v>
      </c>
      <c r="D21" s="28" t="s">
        <v>238</v>
      </c>
      <c r="E21" s="29">
        <v>34603</v>
      </c>
      <c r="F21" s="30">
        <v>625.73</v>
      </c>
      <c r="G21" s="31">
        <v>1.7399999999999999E-2</v>
      </c>
      <c r="H21" s="32"/>
    </row>
    <row r="22" spans="2:8" ht="15.75" customHeight="1" x14ac:dyDescent="0.2">
      <c r="B22" s="28" t="s">
        <v>249</v>
      </c>
      <c r="C22" s="28" t="s">
        <v>250</v>
      </c>
      <c r="D22" s="28" t="s">
        <v>251</v>
      </c>
      <c r="E22" s="29">
        <v>154268</v>
      </c>
      <c r="F22" s="30">
        <v>615.76</v>
      </c>
      <c r="G22" s="31">
        <v>1.7100000000000001E-2</v>
      </c>
      <c r="H22" s="32"/>
    </row>
    <row r="23" spans="2:8" ht="15.75" customHeight="1" x14ac:dyDescent="0.2">
      <c r="B23" s="28" t="s">
        <v>296</v>
      </c>
      <c r="C23" s="28" t="s">
        <v>297</v>
      </c>
      <c r="D23" s="28" t="s">
        <v>271</v>
      </c>
      <c r="E23" s="29">
        <v>13404</v>
      </c>
      <c r="F23" s="30">
        <v>587.79</v>
      </c>
      <c r="G23" s="31">
        <v>1.6299999999999999E-2</v>
      </c>
      <c r="H23" s="32"/>
    </row>
    <row r="24" spans="2:8" ht="15.75" customHeight="1" x14ac:dyDescent="0.2">
      <c r="B24" s="28" t="s">
        <v>241</v>
      </c>
      <c r="C24" s="28" t="s">
        <v>242</v>
      </c>
      <c r="D24" s="28" t="s">
        <v>243</v>
      </c>
      <c r="E24" s="29">
        <v>235878</v>
      </c>
      <c r="F24" s="30">
        <v>582.69000000000005</v>
      </c>
      <c r="G24" s="31">
        <v>1.6199999999999999E-2</v>
      </c>
      <c r="H24" s="32"/>
    </row>
    <row r="25" spans="2:8" ht="15.75" customHeight="1" x14ac:dyDescent="0.2">
      <c r="B25" s="28" t="s">
        <v>227</v>
      </c>
      <c r="C25" s="28" t="s">
        <v>228</v>
      </c>
      <c r="D25" s="28" t="s">
        <v>229</v>
      </c>
      <c r="E25" s="29">
        <v>271508</v>
      </c>
      <c r="F25" s="30">
        <v>573.86</v>
      </c>
      <c r="G25" s="31">
        <v>1.5900000000000001E-2</v>
      </c>
      <c r="H25" s="32"/>
    </row>
    <row r="26" spans="2:8" ht="15.75" customHeight="1" x14ac:dyDescent="0.2">
      <c r="B26" s="28" t="s">
        <v>232</v>
      </c>
      <c r="C26" s="28" t="s">
        <v>233</v>
      </c>
      <c r="D26" s="28" t="s">
        <v>195</v>
      </c>
      <c r="E26" s="29">
        <v>4296</v>
      </c>
      <c r="F26" s="30">
        <v>571.97</v>
      </c>
      <c r="G26" s="31">
        <v>1.5900000000000001E-2</v>
      </c>
      <c r="H26" s="32"/>
    </row>
    <row r="27" spans="2:8" ht="15.75" customHeight="1" x14ac:dyDescent="0.2">
      <c r="B27" s="28" t="s">
        <v>222</v>
      </c>
      <c r="C27" s="28" t="s">
        <v>223</v>
      </c>
      <c r="D27" s="28" t="s">
        <v>224</v>
      </c>
      <c r="E27" s="29">
        <v>117245</v>
      </c>
      <c r="F27" s="30">
        <v>505.68</v>
      </c>
      <c r="G27" s="31">
        <v>1.4E-2</v>
      </c>
      <c r="H27" s="32"/>
    </row>
    <row r="28" spans="2:8" ht="15.75" customHeight="1" x14ac:dyDescent="0.2">
      <c r="B28" s="28" t="s">
        <v>324</v>
      </c>
      <c r="C28" s="28" t="s">
        <v>325</v>
      </c>
      <c r="D28" s="28" t="s">
        <v>326</v>
      </c>
      <c r="E28" s="29">
        <v>46862</v>
      </c>
      <c r="F28" s="30">
        <v>486.43</v>
      </c>
      <c r="G28" s="31">
        <v>1.35E-2</v>
      </c>
      <c r="H28" s="32"/>
    </row>
    <row r="29" spans="2:8" ht="15.75" customHeight="1" x14ac:dyDescent="0.2">
      <c r="B29" s="28" t="s">
        <v>389</v>
      </c>
      <c r="C29" s="28" t="s">
        <v>390</v>
      </c>
      <c r="D29" s="28" t="s">
        <v>251</v>
      </c>
      <c r="E29" s="29">
        <v>147088</v>
      </c>
      <c r="F29" s="30">
        <v>468.25</v>
      </c>
      <c r="G29" s="31">
        <v>1.2999999999999999E-2</v>
      </c>
      <c r="H29" s="32"/>
    </row>
    <row r="30" spans="2:8" ht="15.75" customHeight="1" x14ac:dyDescent="0.2">
      <c r="B30" s="28" t="s">
        <v>329</v>
      </c>
      <c r="C30" s="28" t="s">
        <v>330</v>
      </c>
      <c r="D30" s="28" t="s">
        <v>331</v>
      </c>
      <c r="E30" s="29">
        <v>3876</v>
      </c>
      <c r="F30" s="30">
        <v>449.07</v>
      </c>
      <c r="G30" s="31">
        <v>1.2500000000000001E-2</v>
      </c>
      <c r="H30" s="32"/>
    </row>
    <row r="31" spans="2:8" ht="15.75" customHeight="1" x14ac:dyDescent="0.2">
      <c r="B31" s="28" t="s">
        <v>188</v>
      </c>
      <c r="C31" s="28" t="s">
        <v>189</v>
      </c>
      <c r="D31" s="28" t="s">
        <v>190</v>
      </c>
      <c r="E31" s="29">
        <v>45857</v>
      </c>
      <c r="F31" s="30">
        <v>429.84</v>
      </c>
      <c r="G31" s="31">
        <v>1.1900000000000001E-2</v>
      </c>
      <c r="H31" s="32"/>
    </row>
    <row r="32" spans="2:8" ht="15.75" customHeight="1" x14ac:dyDescent="0.2">
      <c r="B32" s="28" t="s">
        <v>409</v>
      </c>
      <c r="C32" s="28" t="s">
        <v>410</v>
      </c>
      <c r="D32" s="28" t="s">
        <v>182</v>
      </c>
      <c r="E32" s="29">
        <v>34256</v>
      </c>
      <c r="F32" s="30">
        <v>410.76</v>
      </c>
      <c r="G32" s="31">
        <v>1.14E-2</v>
      </c>
      <c r="H32" s="32"/>
    </row>
    <row r="33" spans="2:8" ht="15.75" customHeight="1" x14ac:dyDescent="0.2">
      <c r="B33" s="28" t="s">
        <v>849</v>
      </c>
      <c r="C33" s="28" t="s">
        <v>850</v>
      </c>
      <c r="D33" s="28" t="s">
        <v>219</v>
      </c>
      <c r="E33" s="29">
        <v>24156</v>
      </c>
      <c r="F33" s="30">
        <v>400.34</v>
      </c>
      <c r="G33" s="31">
        <v>1.11E-2</v>
      </c>
      <c r="H33" s="32"/>
    </row>
    <row r="34" spans="2:8" ht="15.75" customHeight="1" x14ac:dyDescent="0.2">
      <c r="B34" s="28" t="s">
        <v>851</v>
      </c>
      <c r="C34" s="28" t="s">
        <v>852</v>
      </c>
      <c r="D34" s="28" t="s">
        <v>229</v>
      </c>
      <c r="E34" s="29">
        <v>30695</v>
      </c>
      <c r="F34" s="30">
        <v>388.14</v>
      </c>
      <c r="G34" s="31">
        <v>1.0800000000000001E-2</v>
      </c>
      <c r="H34" s="32"/>
    </row>
    <row r="35" spans="2:8" ht="15.75" customHeight="1" x14ac:dyDescent="0.2">
      <c r="B35" s="28" t="s">
        <v>280</v>
      </c>
      <c r="C35" s="28" t="s">
        <v>281</v>
      </c>
      <c r="D35" s="28" t="s">
        <v>282</v>
      </c>
      <c r="E35" s="29">
        <v>127353</v>
      </c>
      <c r="F35" s="30">
        <v>381.49</v>
      </c>
      <c r="G35" s="31">
        <v>1.06E-2</v>
      </c>
      <c r="H35" s="32"/>
    </row>
    <row r="36" spans="2:8" ht="15.75" customHeight="1" x14ac:dyDescent="0.2">
      <c r="B36" s="28" t="s">
        <v>642</v>
      </c>
      <c r="C36" s="28" t="s">
        <v>643</v>
      </c>
      <c r="D36" s="28" t="s">
        <v>195</v>
      </c>
      <c r="E36" s="29">
        <v>3627</v>
      </c>
      <c r="F36" s="30">
        <v>362.48</v>
      </c>
      <c r="G36" s="31">
        <v>1.01E-2</v>
      </c>
      <c r="H36" s="32"/>
    </row>
    <row r="37" spans="2:8" ht="15.75" customHeight="1" x14ac:dyDescent="0.2">
      <c r="B37" s="28" t="s">
        <v>294</v>
      </c>
      <c r="C37" s="28" t="s">
        <v>295</v>
      </c>
      <c r="D37" s="28" t="s">
        <v>271</v>
      </c>
      <c r="E37" s="29">
        <v>14803</v>
      </c>
      <c r="F37" s="30">
        <v>361.86</v>
      </c>
      <c r="G37" s="31">
        <v>0.01</v>
      </c>
      <c r="H37" s="32"/>
    </row>
    <row r="38" spans="2:8" ht="15.75" customHeight="1" x14ac:dyDescent="0.2">
      <c r="B38" s="28" t="s">
        <v>853</v>
      </c>
      <c r="C38" s="28" t="s">
        <v>854</v>
      </c>
      <c r="D38" s="28" t="s">
        <v>855</v>
      </c>
      <c r="E38" s="29">
        <v>74190</v>
      </c>
      <c r="F38" s="30">
        <v>357.19</v>
      </c>
      <c r="G38" s="31">
        <v>9.9000000000000008E-3</v>
      </c>
      <c r="H38" s="32"/>
    </row>
    <row r="39" spans="2:8" ht="15.75" customHeight="1" x14ac:dyDescent="0.2">
      <c r="B39" s="28" t="s">
        <v>379</v>
      </c>
      <c r="C39" s="28" t="s">
        <v>380</v>
      </c>
      <c r="D39" s="28" t="s">
        <v>331</v>
      </c>
      <c r="E39" s="29">
        <v>12275</v>
      </c>
      <c r="F39" s="30">
        <v>343.02</v>
      </c>
      <c r="G39" s="31">
        <v>9.4999999999999998E-3</v>
      </c>
      <c r="H39" s="32"/>
    </row>
    <row r="40" spans="2:8" ht="15.75" customHeight="1" x14ac:dyDescent="0.2">
      <c r="B40" s="28" t="s">
        <v>244</v>
      </c>
      <c r="C40" s="28" t="s">
        <v>245</v>
      </c>
      <c r="D40" s="28" t="s">
        <v>196</v>
      </c>
      <c r="E40" s="29">
        <v>23473</v>
      </c>
      <c r="F40" s="30">
        <v>342.38</v>
      </c>
      <c r="G40" s="31">
        <v>9.4999999999999998E-3</v>
      </c>
      <c r="H40" s="32"/>
    </row>
    <row r="41" spans="2:8" ht="15.75" customHeight="1" x14ac:dyDescent="0.2">
      <c r="B41" s="28" t="s">
        <v>288</v>
      </c>
      <c r="C41" s="28" t="s">
        <v>289</v>
      </c>
      <c r="D41" s="28" t="s">
        <v>190</v>
      </c>
      <c r="E41" s="29">
        <v>18903</v>
      </c>
      <c r="F41" s="30">
        <v>330.27</v>
      </c>
      <c r="G41" s="31">
        <v>9.1999999999999998E-3</v>
      </c>
      <c r="H41" s="32"/>
    </row>
    <row r="42" spans="2:8" ht="15.75" customHeight="1" x14ac:dyDescent="0.2">
      <c r="B42" s="28" t="s">
        <v>258</v>
      </c>
      <c r="C42" s="28" t="s">
        <v>259</v>
      </c>
      <c r="D42" s="28" t="s">
        <v>195</v>
      </c>
      <c r="E42" s="29">
        <v>4505</v>
      </c>
      <c r="F42" s="30">
        <v>320.26</v>
      </c>
      <c r="G42" s="31">
        <v>8.8999999999999999E-3</v>
      </c>
      <c r="H42" s="32"/>
    </row>
    <row r="43" spans="2:8" ht="15.75" customHeight="1" x14ac:dyDescent="0.2">
      <c r="B43" s="28" t="s">
        <v>356</v>
      </c>
      <c r="C43" s="28" t="s">
        <v>357</v>
      </c>
      <c r="D43" s="28" t="s">
        <v>287</v>
      </c>
      <c r="E43" s="29">
        <v>7297</v>
      </c>
      <c r="F43" s="30">
        <v>313.43</v>
      </c>
      <c r="G43" s="31">
        <v>8.6999999999999994E-3</v>
      </c>
      <c r="H43" s="32"/>
    </row>
    <row r="44" spans="2:8" ht="15.75" customHeight="1" x14ac:dyDescent="0.2">
      <c r="B44" s="28" t="s">
        <v>262</v>
      </c>
      <c r="C44" s="28" t="s">
        <v>263</v>
      </c>
      <c r="D44" s="28" t="s">
        <v>243</v>
      </c>
      <c r="E44" s="29">
        <v>7263</v>
      </c>
      <c r="F44" s="30">
        <v>301.02</v>
      </c>
      <c r="G44" s="31">
        <v>8.3999999999999995E-3</v>
      </c>
      <c r="H44" s="32"/>
    </row>
    <row r="45" spans="2:8" ht="15.75" customHeight="1" x14ac:dyDescent="0.2">
      <c r="B45" s="28" t="s">
        <v>374</v>
      </c>
      <c r="C45" s="28" t="s">
        <v>375</v>
      </c>
      <c r="D45" s="28" t="s">
        <v>182</v>
      </c>
      <c r="E45" s="29">
        <v>20418</v>
      </c>
      <c r="F45" s="30">
        <v>300.86</v>
      </c>
      <c r="G45" s="31">
        <v>8.3999999999999995E-3</v>
      </c>
      <c r="H45" s="32"/>
    </row>
    <row r="46" spans="2:8" ht="15.75" customHeight="1" x14ac:dyDescent="0.2">
      <c r="B46" s="28" t="s">
        <v>538</v>
      </c>
      <c r="C46" s="28" t="s">
        <v>539</v>
      </c>
      <c r="D46" s="28" t="s">
        <v>277</v>
      </c>
      <c r="E46" s="29">
        <v>14705</v>
      </c>
      <c r="F46" s="30">
        <v>267.48</v>
      </c>
      <c r="G46" s="31">
        <v>7.4000000000000003E-3</v>
      </c>
      <c r="H46" s="32"/>
    </row>
    <row r="47" spans="2:8" ht="15.75" customHeight="1" x14ac:dyDescent="0.2">
      <c r="B47" s="28" t="s">
        <v>230</v>
      </c>
      <c r="C47" s="28" t="s">
        <v>231</v>
      </c>
      <c r="D47" s="28" t="s">
        <v>190</v>
      </c>
      <c r="E47" s="29">
        <v>107399</v>
      </c>
      <c r="F47" s="30">
        <v>264.60000000000002</v>
      </c>
      <c r="G47" s="31">
        <v>7.3000000000000001E-3</v>
      </c>
      <c r="H47" s="32"/>
    </row>
    <row r="48" spans="2:8" ht="15.75" customHeight="1" x14ac:dyDescent="0.2">
      <c r="B48" s="28" t="s">
        <v>856</v>
      </c>
      <c r="C48" s="28" t="s">
        <v>857</v>
      </c>
      <c r="D48" s="28" t="s">
        <v>238</v>
      </c>
      <c r="E48" s="29">
        <v>19606</v>
      </c>
      <c r="F48" s="30">
        <v>259.37</v>
      </c>
      <c r="G48" s="31">
        <v>7.1999999999999998E-3</v>
      </c>
      <c r="H48" s="32"/>
    </row>
    <row r="49" spans="2:8" ht="15.75" customHeight="1" x14ac:dyDescent="0.2">
      <c r="B49" s="28" t="s">
        <v>393</v>
      </c>
      <c r="C49" s="28" t="s">
        <v>394</v>
      </c>
      <c r="D49" s="28" t="s">
        <v>395</v>
      </c>
      <c r="E49" s="29">
        <v>3368</v>
      </c>
      <c r="F49" s="30">
        <v>257.2</v>
      </c>
      <c r="G49" s="31">
        <v>7.1000000000000004E-3</v>
      </c>
      <c r="H49" s="32"/>
    </row>
    <row r="50" spans="2:8" ht="15.75" customHeight="1" x14ac:dyDescent="0.2">
      <c r="B50" s="28" t="s">
        <v>336</v>
      </c>
      <c r="C50" s="28" t="s">
        <v>337</v>
      </c>
      <c r="D50" s="28" t="s">
        <v>338</v>
      </c>
      <c r="E50" s="29">
        <v>21319</v>
      </c>
      <c r="F50" s="30">
        <v>244.02</v>
      </c>
      <c r="G50" s="31">
        <v>6.7999999999999996E-3</v>
      </c>
      <c r="H50" s="32"/>
    </row>
    <row r="51" spans="2:8" ht="15.75" customHeight="1" x14ac:dyDescent="0.2">
      <c r="B51" s="28" t="s">
        <v>692</v>
      </c>
      <c r="C51" s="28" t="s">
        <v>693</v>
      </c>
      <c r="D51" s="28" t="s">
        <v>395</v>
      </c>
      <c r="E51" s="29">
        <v>24361</v>
      </c>
      <c r="F51" s="30">
        <v>241.92</v>
      </c>
      <c r="G51" s="31">
        <v>6.7000000000000002E-3</v>
      </c>
      <c r="H51" s="32"/>
    </row>
    <row r="52" spans="2:8" ht="15.75" customHeight="1" x14ac:dyDescent="0.2">
      <c r="B52" s="28" t="s">
        <v>680</v>
      </c>
      <c r="C52" s="28" t="s">
        <v>681</v>
      </c>
      <c r="D52" s="28" t="s">
        <v>238</v>
      </c>
      <c r="E52" s="29">
        <v>18418</v>
      </c>
      <c r="F52" s="30">
        <v>241.2</v>
      </c>
      <c r="G52" s="31">
        <v>6.7000000000000002E-3</v>
      </c>
      <c r="H52" s="32"/>
    </row>
    <row r="53" spans="2:8" ht="15.75" customHeight="1" x14ac:dyDescent="0.2">
      <c r="B53" s="28" t="s">
        <v>292</v>
      </c>
      <c r="C53" s="28" t="s">
        <v>293</v>
      </c>
      <c r="D53" s="28" t="s">
        <v>195</v>
      </c>
      <c r="E53" s="29">
        <v>68584</v>
      </c>
      <c r="F53" s="30">
        <v>234.25</v>
      </c>
      <c r="G53" s="31">
        <v>6.4999999999999997E-3</v>
      </c>
      <c r="H53" s="32"/>
    </row>
    <row r="54" spans="2:8" ht="15.75" customHeight="1" x14ac:dyDescent="0.2">
      <c r="B54" s="28" t="s">
        <v>283</v>
      </c>
      <c r="C54" s="28" t="s">
        <v>284</v>
      </c>
      <c r="D54" s="28" t="s">
        <v>277</v>
      </c>
      <c r="E54" s="29">
        <v>35208</v>
      </c>
      <c r="F54" s="30">
        <v>206.64</v>
      </c>
      <c r="G54" s="31">
        <v>5.7000000000000002E-3</v>
      </c>
      <c r="H54" s="32"/>
    </row>
    <row r="55" spans="2:8" ht="15.75" customHeight="1" x14ac:dyDescent="0.2">
      <c r="B55" s="28" t="s">
        <v>858</v>
      </c>
      <c r="C55" s="28" t="s">
        <v>859</v>
      </c>
      <c r="D55" s="28" t="s">
        <v>860</v>
      </c>
      <c r="E55" s="29">
        <v>8529</v>
      </c>
      <c r="F55" s="30">
        <v>205.41</v>
      </c>
      <c r="G55" s="31">
        <v>5.7000000000000002E-3</v>
      </c>
      <c r="H55" s="32"/>
    </row>
    <row r="56" spans="2:8" ht="15.75" customHeight="1" x14ac:dyDescent="0.2">
      <c r="B56" s="28" t="s">
        <v>861</v>
      </c>
      <c r="C56" s="28" t="s">
        <v>862</v>
      </c>
      <c r="D56" s="28" t="s">
        <v>182</v>
      </c>
      <c r="E56" s="29">
        <v>93574</v>
      </c>
      <c r="F56" s="30">
        <v>187.76</v>
      </c>
      <c r="G56" s="31">
        <v>5.1999999999999998E-3</v>
      </c>
      <c r="H56" s="32"/>
    </row>
    <row r="57" spans="2:8" ht="15.75" customHeight="1" x14ac:dyDescent="0.2">
      <c r="B57" s="27" t="s">
        <v>129</v>
      </c>
      <c r="C57" s="27"/>
      <c r="D57" s="27"/>
      <c r="E57" s="33"/>
      <c r="F57" s="34">
        <v>35952.14</v>
      </c>
      <c r="G57" s="35">
        <v>0.99839999999999995</v>
      </c>
      <c r="H57" s="36"/>
    </row>
    <row r="58" spans="2:8" ht="15.75" customHeight="1" x14ac:dyDescent="0.2">
      <c r="B58" s="27" t="s">
        <v>197</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35952.14</v>
      </c>
      <c r="G61" s="35">
        <v>0.99839999999999995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139</v>
      </c>
      <c r="C64" s="28"/>
      <c r="D64" s="28"/>
      <c r="E64" s="29"/>
      <c r="F64" s="30"/>
      <c r="G64" s="31"/>
      <c r="H64" s="32"/>
    </row>
    <row r="65" spans="2:10" ht="15.75" customHeight="1" x14ac:dyDescent="0.2">
      <c r="B65" s="28" t="s">
        <v>140</v>
      </c>
      <c r="C65" s="28"/>
      <c r="D65" s="28"/>
      <c r="E65" s="29"/>
      <c r="F65" s="30">
        <v>116.15</v>
      </c>
      <c r="G65" s="31">
        <v>3.2000000000000002E-3</v>
      </c>
      <c r="H65" s="32"/>
    </row>
    <row r="66" spans="2:10" ht="15.75" customHeight="1" x14ac:dyDescent="0.2">
      <c r="B66" s="27" t="s">
        <v>129</v>
      </c>
      <c r="C66" s="27"/>
      <c r="D66" s="27"/>
      <c r="E66" s="33"/>
      <c r="F66" s="34">
        <v>116.15</v>
      </c>
      <c r="G66" s="35">
        <v>3.2000000000000002E-3</v>
      </c>
      <c r="H66" s="36"/>
    </row>
    <row r="67" spans="2:10" ht="15.75" customHeight="1" x14ac:dyDescent="0.2">
      <c r="B67" s="28"/>
      <c r="C67" s="28"/>
      <c r="D67" s="28"/>
      <c r="E67" s="29"/>
      <c r="F67" s="30"/>
      <c r="G67" s="31"/>
      <c r="H67" s="32"/>
    </row>
    <row r="68" spans="2:10" ht="15.75" customHeight="1" x14ac:dyDescent="0.2">
      <c r="B68" s="39" t="s">
        <v>133</v>
      </c>
      <c r="C68" s="39"/>
      <c r="D68" s="39"/>
      <c r="E68" s="40"/>
      <c r="F68" s="34">
        <v>116.15</v>
      </c>
      <c r="G68" s="35">
        <v>3.2000000000000002E-3</v>
      </c>
      <c r="H68" s="36"/>
      <c r="J68" s="3"/>
    </row>
    <row r="69" spans="2:10" ht="15.75" customHeight="1" x14ac:dyDescent="0.2">
      <c r="B69" s="28" t="s">
        <v>141</v>
      </c>
      <c r="C69" s="28"/>
      <c r="D69" s="28"/>
      <c r="E69" s="29"/>
      <c r="F69" s="50">
        <v>-59.77</v>
      </c>
      <c r="G69" s="51">
        <v>-1.6000000000000458E-3</v>
      </c>
      <c r="H69" s="32"/>
    </row>
    <row r="70" spans="2:10" ht="15.75" customHeight="1" x14ac:dyDescent="0.2">
      <c r="B70" s="41" t="s">
        <v>142</v>
      </c>
      <c r="C70" s="41"/>
      <c r="D70" s="41"/>
      <c r="E70" s="42"/>
      <c r="F70" s="43">
        <v>36008.519999999997</v>
      </c>
      <c r="G70" s="44">
        <v>1</v>
      </c>
      <c r="H70" s="45"/>
      <c r="J70" s="3"/>
    </row>
    <row r="71" spans="2:10" ht="15.75" customHeight="1" x14ac:dyDescent="0.2">
      <c r="B71" s="2"/>
      <c r="J71" s="3"/>
    </row>
    <row r="72" spans="2:10" s="7" customFormat="1" ht="15.6" customHeight="1" x14ac:dyDescent="0.25">
      <c r="B72" s="63" t="s">
        <v>1067</v>
      </c>
      <c r="C72" s="70"/>
      <c r="D72" s="70"/>
      <c r="E72" s="70"/>
      <c r="F72" s="70"/>
      <c r="G72" s="70"/>
      <c r="H72" s="64"/>
    </row>
    <row r="73" spans="2:10" s="7" customFormat="1" ht="15.6" customHeight="1" x14ac:dyDescent="0.25">
      <c r="B73" s="63" t="s">
        <v>1108</v>
      </c>
      <c r="C73" s="70"/>
      <c r="D73" s="70"/>
      <c r="E73" s="70"/>
      <c r="F73" s="70"/>
      <c r="G73" s="70"/>
      <c r="H73" s="64"/>
    </row>
    <row r="74" spans="2:10" s="7" customFormat="1" ht="15.6" customHeight="1" x14ac:dyDescent="0.25">
      <c r="B74" s="63" t="s">
        <v>1068</v>
      </c>
      <c r="C74" s="70"/>
      <c r="D74" s="70"/>
      <c r="E74" s="70"/>
      <c r="F74" s="70"/>
      <c r="G74" s="70"/>
      <c r="H74" s="64"/>
    </row>
    <row r="75" spans="2:10" s="7" customFormat="1" ht="15.6" customHeight="1" x14ac:dyDescent="0.25">
      <c r="B75" s="71"/>
      <c r="C75" s="65">
        <v>46142</v>
      </c>
      <c r="D75" s="65">
        <v>46112</v>
      </c>
      <c r="E75" s="70"/>
      <c r="F75" s="70"/>
      <c r="G75" s="70"/>
      <c r="H75" s="64"/>
    </row>
    <row r="76" spans="2:10" s="7" customFormat="1" ht="15.6" customHeight="1" x14ac:dyDescent="0.25">
      <c r="B76" s="71" t="s">
        <v>1069</v>
      </c>
      <c r="C76" s="66"/>
      <c r="D76" s="66"/>
      <c r="E76" s="70"/>
      <c r="F76" s="70"/>
      <c r="G76" s="70"/>
      <c r="H76" s="64"/>
    </row>
    <row r="77" spans="2:10" s="7" customFormat="1" ht="15.6" customHeight="1" x14ac:dyDescent="0.25">
      <c r="B77" s="71" t="s">
        <v>1070</v>
      </c>
      <c r="C77" s="67">
        <v>132.17449999999999</v>
      </c>
      <c r="D77" s="67">
        <v>123.09180000000001</v>
      </c>
      <c r="E77" s="70"/>
      <c r="F77" s="70"/>
      <c r="G77" s="70"/>
      <c r="H77" s="64"/>
    </row>
    <row r="78" spans="2:10" s="7" customFormat="1" ht="15.6" customHeight="1" x14ac:dyDescent="0.25">
      <c r="B78" s="71" t="s">
        <v>1071</v>
      </c>
      <c r="C78" s="67">
        <v>48.758800000000001</v>
      </c>
      <c r="D78" s="67">
        <v>45.408200000000001</v>
      </c>
      <c r="E78" s="70"/>
      <c r="F78" s="70"/>
      <c r="G78" s="70"/>
      <c r="H78" s="64"/>
    </row>
    <row r="79" spans="2:10" s="7" customFormat="1" ht="15.6" customHeight="1" x14ac:dyDescent="0.25">
      <c r="B79" s="71" t="s">
        <v>1073</v>
      </c>
      <c r="C79" s="67">
        <v>143.01330000000002</v>
      </c>
      <c r="D79" s="67">
        <v>133.1309</v>
      </c>
      <c r="E79" s="70"/>
      <c r="F79" s="70"/>
      <c r="G79" s="70"/>
      <c r="H79" s="64"/>
    </row>
    <row r="80" spans="2:10" s="7" customFormat="1" ht="15.6" customHeight="1" x14ac:dyDescent="0.25">
      <c r="B80" s="71" t="s">
        <v>1074</v>
      </c>
      <c r="C80" s="67">
        <v>52.693600000000004</v>
      </c>
      <c r="D80" s="67">
        <v>49.052799999999998</v>
      </c>
      <c r="E80" s="70"/>
      <c r="F80" s="70"/>
      <c r="G80" s="70"/>
      <c r="H80" s="64"/>
    </row>
    <row r="81" spans="2:14" s="7" customFormat="1" ht="15.6" customHeight="1" x14ac:dyDescent="0.25">
      <c r="B81" s="63" t="s">
        <v>1116</v>
      </c>
      <c r="C81" s="70"/>
      <c r="D81" s="70"/>
      <c r="E81" s="70"/>
      <c r="F81" s="70"/>
      <c r="G81" s="70"/>
      <c r="H81" s="64"/>
    </row>
    <row r="82" spans="2:14" s="7" customFormat="1" ht="15.6" customHeight="1" x14ac:dyDescent="0.25">
      <c r="B82" s="63" t="s">
        <v>1109</v>
      </c>
      <c r="C82" s="70"/>
      <c r="D82" s="70"/>
      <c r="E82" s="70"/>
      <c r="F82" s="70"/>
      <c r="G82" s="70"/>
      <c r="H82" s="64"/>
    </row>
    <row r="83" spans="2:14" s="7" customFormat="1" ht="15.6" customHeight="1" x14ac:dyDescent="0.25">
      <c r="B83" s="63" t="s">
        <v>1111</v>
      </c>
      <c r="C83" s="70"/>
      <c r="D83" s="70"/>
      <c r="E83" s="70"/>
      <c r="F83" s="70"/>
      <c r="G83" s="70"/>
      <c r="H83" s="64"/>
    </row>
    <row r="84" spans="2:14" s="7" customFormat="1" ht="15.6" customHeight="1" x14ac:dyDescent="0.25">
      <c r="B84" s="63" t="s">
        <v>1112</v>
      </c>
      <c r="C84" s="70"/>
      <c r="D84" s="70"/>
      <c r="E84" s="70"/>
      <c r="F84" s="70"/>
      <c r="G84" s="70"/>
      <c r="H84" s="64"/>
    </row>
    <row r="85" spans="2:14" s="7" customFormat="1" ht="15.6" customHeight="1" x14ac:dyDescent="0.25">
      <c r="B85" s="63" t="s">
        <v>1100</v>
      </c>
      <c r="C85" s="70"/>
      <c r="D85" s="70"/>
      <c r="E85" s="70"/>
      <c r="F85" s="70"/>
      <c r="G85" s="70"/>
      <c r="H85" s="64"/>
    </row>
    <row r="86" spans="2:14" s="7" customFormat="1" ht="15.6" customHeight="1" x14ac:dyDescent="0.25">
      <c r="B86" s="63" t="s">
        <v>1113</v>
      </c>
      <c r="C86" s="70"/>
      <c r="D86" s="70"/>
      <c r="E86" s="70"/>
      <c r="F86" s="70"/>
      <c r="G86" s="70"/>
      <c r="H86" s="64"/>
    </row>
    <row r="87" spans="2:14" s="7" customFormat="1" ht="15.6" customHeight="1" x14ac:dyDescent="0.25">
      <c r="B87" s="68" t="s">
        <v>1076</v>
      </c>
      <c r="C87" s="72"/>
      <c r="D87" s="72"/>
      <c r="E87" s="72"/>
      <c r="F87" s="72"/>
      <c r="G87" s="72"/>
      <c r="H87" s="69"/>
    </row>
    <row r="88" spans="2:14" ht="15.75" customHeight="1" thickBot="1" x14ac:dyDescent="0.25">
      <c r="J88" s="3"/>
    </row>
    <row r="89" spans="2:14" ht="39.75" customHeight="1" thickBot="1" x14ac:dyDescent="0.3">
      <c r="B89" s="46" t="s">
        <v>146</v>
      </c>
      <c r="C89" s="47" t="s">
        <v>147</v>
      </c>
      <c r="D89" s="47" t="s">
        <v>148</v>
      </c>
      <c r="E89"/>
      <c r="J89" s="5"/>
      <c r="K89" s="5"/>
      <c r="L89" s="6"/>
      <c r="M89" s="6"/>
      <c r="N89" s="5"/>
    </row>
    <row r="90" spans="2:14" ht="39.75" customHeight="1" x14ac:dyDescent="0.25">
      <c r="B90" s="52" t="s">
        <v>846</v>
      </c>
      <c r="C90" s="109"/>
      <c r="D90" s="48" t="s">
        <v>863</v>
      </c>
      <c r="E90"/>
    </row>
    <row r="91" spans="2:14" ht="39.75" customHeight="1" x14ac:dyDescent="0.25">
      <c r="B91" s="112" t="s">
        <v>864</v>
      </c>
      <c r="C91" s="110"/>
      <c r="D91" s="118"/>
      <c r="E91"/>
    </row>
    <row r="92" spans="2:14" ht="39.75" customHeight="1" x14ac:dyDescent="0.25">
      <c r="B92" s="112"/>
      <c r="C92" s="110"/>
      <c r="D92" s="118"/>
      <c r="E92"/>
      <c r="J92" s="7"/>
      <c r="K92" s="7"/>
      <c r="L92" s="7"/>
      <c r="M92" s="7"/>
      <c r="N92" s="7"/>
    </row>
    <row r="93" spans="2:14" ht="39.75" customHeight="1" x14ac:dyDescent="0.25">
      <c r="B93" s="112"/>
      <c r="C93" s="110"/>
      <c r="D93" s="118"/>
      <c r="E93"/>
      <c r="J93" s="7"/>
      <c r="K93" s="7"/>
      <c r="L93" s="7"/>
      <c r="M93" s="7"/>
      <c r="N93" s="7"/>
    </row>
    <row r="94" spans="2:14" ht="39.75" customHeight="1" thickBot="1" x14ac:dyDescent="0.3">
      <c r="B94" s="113"/>
      <c r="C94" s="111"/>
      <c r="D94" s="119"/>
      <c r="E94"/>
      <c r="J94" s="7"/>
      <c r="K94" s="7"/>
      <c r="L94" s="7"/>
      <c r="M94" s="7"/>
      <c r="N94" s="7"/>
    </row>
    <row r="95" spans="2:14" ht="15.75" customHeight="1" x14ac:dyDescent="0.2">
      <c r="B95" s="9" t="s">
        <v>149</v>
      </c>
      <c r="J95" s="7"/>
      <c r="K95" s="7"/>
      <c r="L95" s="7"/>
      <c r="M95" s="7"/>
      <c r="N95" s="7"/>
    </row>
    <row r="96" spans="2:14" ht="15.75" customHeight="1" x14ac:dyDescent="0.2">
      <c r="B96" s="9" t="s">
        <v>150</v>
      </c>
      <c r="J96" s="7"/>
      <c r="K96" s="7"/>
      <c r="L96" s="7"/>
      <c r="M96" s="7"/>
      <c r="N96" s="7"/>
    </row>
    <row r="97" spans="2:14" ht="15.75" customHeight="1" x14ac:dyDescent="0.2">
      <c r="B97" s="9" t="s">
        <v>151</v>
      </c>
      <c r="J97" s="7"/>
      <c r="K97" s="7"/>
      <c r="L97" s="7"/>
      <c r="M97" s="7"/>
      <c r="N97" s="7"/>
    </row>
    <row r="98" spans="2:14" ht="15.75" customHeight="1" x14ac:dyDescent="0.2">
      <c r="J98" s="7"/>
      <c r="K98" s="7"/>
      <c r="L98" s="7"/>
      <c r="M98" s="7"/>
      <c r="N98" s="7"/>
    </row>
    <row r="100" spans="2:14" ht="15.75" customHeight="1" x14ac:dyDescent="0.2">
      <c r="J100" s="3"/>
    </row>
  </sheetData>
  <mergeCells count="3">
    <mergeCell ref="C90:C94"/>
    <mergeCell ref="B91:B94"/>
    <mergeCell ref="D91:D94"/>
  </mergeCells>
  <hyperlinks>
    <hyperlink ref="G1" location="'Sheet1'!A1" display="Index" xr:uid="{D975A64A-3C7A-4B5C-9623-F3B9DC52665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FEB61-2E99-4A37-9028-4D529B6C1534}">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152232</v>
      </c>
      <c r="F7" s="30">
        <v>1174.01</v>
      </c>
      <c r="G7" s="31">
        <v>0.129</v>
      </c>
      <c r="H7" s="32"/>
    </row>
    <row r="8" spans="2:8" ht="15.75" customHeight="1" x14ac:dyDescent="0.2">
      <c r="B8" s="28" t="s">
        <v>174</v>
      </c>
      <c r="C8" s="28" t="s">
        <v>175</v>
      </c>
      <c r="D8" s="28" t="s">
        <v>176</v>
      </c>
      <c r="E8" s="29">
        <v>67707</v>
      </c>
      <c r="F8" s="30">
        <v>968.79</v>
      </c>
      <c r="G8" s="31">
        <v>0.1065</v>
      </c>
      <c r="H8" s="32"/>
    </row>
    <row r="9" spans="2:8" ht="15.75" customHeight="1" x14ac:dyDescent="0.2">
      <c r="B9" s="28" t="s">
        <v>191</v>
      </c>
      <c r="C9" s="28" t="s">
        <v>192</v>
      </c>
      <c r="D9" s="28" t="s">
        <v>173</v>
      </c>
      <c r="E9" s="29">
        <v>71561</v>
      </c>
      <c r="F9" s="30">
        <v>903.64</v>
      </c>
      <c r="G9" s="31">
        <v>9.9299999999999999E-2</v>
      </c>
      <c r="H9" s="32"/>
    </row>
    <row r="10" spans="2:8" ht="15.75" customHeight="1" x14ac:dyDescent="0.2">
      <c r="B10" s="28" t="s">
        <v>214</v>
      </c>
      <c r="C10" s="28" t="s">
        <v>215</v>
      </c>
      <c r="D10" s="28" t="s">
        <v>216</v>
      </c>
      <c r="E10" s="29">
        <v>28461</v>
      </c>
      <c r="F10" s="30">
        <v>536.79</v>
      </c>
      <c r="G10" s="31">
        <v>5.8999999999999997E-2</v>
      </c>
      <c r="H10" s="32"/>
    </row>
    <row r="11" spans="2:8" ht="15.75" customHeight="1" x14ac:dyDescent="0.2">
      <c r="B11" s="28" t="s">
        <v>316</v>
      </c>
      <c r="C11" s="28" t="s">
        <v>317</v>
      </c>
      <c r="D11" s="28" t="s">
        <v>318</v>
      </c>
      <c r="E11" s="29">
        <v>11688</v>
      </c>
      <c r="F11" s="30">
        <v>469</v>
      </c>
      <c r="G11" s="31">
        <v>5.1499999999999997E-2</v>
      </c>
      <c r="H11" s="32"/>
    </row>
    <row r="12" spans="2:8" ht="15.75" customHeight="1" x14ac:dyDescent="0.2">
      <c r="B12" s="28" t="s">
        <v>212</v>
      </c>
      <c r="C12" s="28" t="s">
        <v>213</v>
      </c>
      <c r="D12" s="28" t="s">
        <v>173</v>
      </c>
      <c r="E12" s="29">
        <v>41523</v>
      </c>
      <c r="F12" s="30">
        <v>443.47</v>
      </c>
      <c r="G12" s="31">
        <v>4.87E-2</v>
      </c>
      <c r="H12" s="32"/>
    </row>
    <row r="13" spans="2:8" ht="15.75" customHeight="1" x14ac:dyDescent="0.2">
      <c r="B13" s="28" t="s">
        <v>180</v>
      </c>
      <c r="C13" s="28" t="s">
        <v>181</v>
      </c>
      <c r="D13" s="28" t="s">
        <v>182</v>
      </c>
      <c r="E13" s="29">
        <v>34852</v>
      </c>
      <c r="F13" s="30">
        <v>411.78</v>
      </c>
      <c r="G13" s="31">
        <v>4.53E-2</v>
      </c>
      <c r="H13" s="32"/>
    </row>
    <row r="14" spans="2:8" ht="15.75" customHeight="1" x14ac:dyDescent="0.2">
      <c r="B14" s="28" t="s">
        <v>183</v>
      </c>
      <c r="C14" s="28" t="s">
        <v>184</v>
      </c>
      <c r="D14" s="28" t="s">
        <v>173</v>
      </c>
      <c r="E14" s="29">
        <v>28444</v>
      </c>
      <c r="F14" s="30">
        <v>360.58</v>
      </c>
      <c r="G14" s="31">
        <v>3.9600000000000003E-2</v>
      </c>
      <c r="H14" s="32"/>
    </row>
    <row r="15" spans="2:8" ht="15.75" customHeight="1" x14ac:dyDescent="0.2">
      <c r="B15" s="28" t="s">
        <v>256</v>
      </c>
      <c r="C15" s="28" t="s">
        <v>257</v>
      </c>
      <c r="D15" s="28" t="s">
        <v>187</v>
      </c>
      <c r="E15" s="29">
        <v>96247</v>
      </c>
      <c r="F15" s="30">
        <v>303.13</v>
      </c>
      <c r="G15" s="31">
        <v>3.3300000000000003E-2</v>
      </c>
      <c r="H15" s="32"/>
    </row>
    <row r="16" spans="2:8" ht="15.75" customHeight="1" x14ac:dyDescent="0.2">
      <c r="B16" s="28" t="s">
        <v>220</v>
      </c>
      <c r="C16" s="28" t="s">
        <v>221</v>
      </c>
      <c r="D16" s="28" t="s">
        <v>173</v>
      </c>
      <c r="E16" s="29">
        <v>73198</v>
      </c>
      <c r="F16" s="30">
        <v>280.08999999999997</v>
      </c>
      <c r="G16" s="31">
        <v>3.0800000000000001E-2</v>
      </c>
      <c r="H16" s="32"/>
    </row>
    <row r="17" spans="2:8" ht="15.75" customHeight="1" x14ac:dyDescent="0.2">
      <c r="B17" s="28" t="s">
        <v>193</v>
      </c>
      <c r="C17" s="28" t="s">
        <v>194</v>
      </c>
      <c r="D17" s="28" t="s">
        <v>195</v>
      </c>
      <c r="E17" s="29">
        <v>8942</v>
      </c>
      <c r="F17" s="30">
        <v>276.92</v>
      </c>
      <c r="G17" s="31">
        <v>3.04E-2</v>
      </c>
      <c r="H17" s="32"/>
    </row>
    <row r="18" spans="2:8" ht="15.75" customHeight="1" x14ac:dyDescent="0.2">
      <c r="B18" s="28" t="s">
        <v>225</v>
      </c>
      <c r="C18" s="28" t="s">
        <v>226</v>
      </c>
      <c r="D18" s="28" t="s">
        <v>190</v>
      </c>
      <c r="E18" s="29">
        <v>26708</v>
      </c>
      <c r="F18" s="30">
        <v>250.15</v>
      </c>
      <c r="G18" s="31">
        <v>2.75E-2</v>
      </c>
      <c r="H18" s="32"/>
    </row>
    <row r="19" spans="2:8" ht="15.75" customHeight="1" x14ac:dyDescent="0.2">
      <c r="B19" s="28" t="s">
        <v>314</v>
      </c>
      <c r="C19" s="28" t="s">
        <v>315</v>
      </c>
      <c r="D19" s="28" t="s">
        <v>182</v>
      </c>
      <c r="E19" s="29">
        <v>10069</v>
      </c>
      <c r="F19" s="30">
        <v>249.06</v>
      </c>
      <c r="G19" s="31">
        <v>2.7400000000000001E-2</v>
      </c>
      <c r="H19" s="32"/>
    </row>
    <row r="20" spans="2:8" ht="15.75" customHeight="1" x14ac:dyDescent="0.2">
      <c r="B20" s="28" t="s">
        <v>185</v>
      </c>
      <c r="C20" s="28" t="s">
        <v>186</v>
      </c>
      <c r="D20" s="28" t="s">
        <v>187</v>
      </c>
      <c r="E20" s="29">
        <v>8875</v>
      </c>
      <c r="F20" s="30">
        <v>199.74</v>
      </c>
      <c r="G20" s="31">
        <v>2.1999999999999999E-2</v>
      </c>
      <c r="H20" s="32"/>
    </row>
    <row r="21" spans="2:8" ht="15.75" customHeight="1" x14ac:dyDescent="0.2">
      <c r="B21" s="28" t="s">
        <v>236</v>
      </c>
      <c r="C21" s="28" t="s">
        <v>237</v>
      </c>
      <c r="D21" s="28" t="s">
        <v>238</v>
      </c>
      <c r="E21" s="29">
        <v>10766</v>
      </c>
      <c r="F21" s="30">
        <v>194.67</v>
      </c>
      <c r="G21" s="31">
        <v>2.1399999999999999E-2</v>
      </c>
      <c r="H21" s="32"/>
    </row>
    <row r="22" spans="2:8" ht="15.75" customHeight="1" x14ac:dyDescent="0.2">
      <c r="B22" s="28" t="s">
        <v>249</v>
      </c>
      <c r="C22" s="28" t="s">
        <v>250</v>
      </c>
      <c r="D22" s="28" t="s">
        <v>251</v>
      </c>
      <c r="E22" s="29">
        <v>47537</v>
      </c>
      <c r="F22" s="30">
        <v>189.74</v>
      </c>
      <c r="G22" s="31">
        <v>2.0899999999999998E-2</v>
      </c>
      <c r="H22" s="32"/>
    </row>
    <row r="23" spans="2:8" ht="15.75" customHeight="1" x14ac:dyDescent="0.2">
      <c r="B23" s="28" t="s">
        <v>296</v>
      </c>
      <c r="C23" s="28" t="s">
        <v>297</v>
      </c>
      <c r="D23" s="28" t="s">
        <v>271</v>
      </c>
      <c r="E23" s="29">
        <v>4093</v>
      </c>
      <c r="F23" s="30">
        <v>179.52</v>
      </c>
      <c r="G23" s="31">
        <v>1.9699999999999999E-2</v>
      </c>
      <c r="H23" s="32"/>
    </row>
    <row r="24" spans="2:8" ht="15.75" customHeight="1" x14ac:dyDescent="0.2">
      <c r="B24" s="28" t="s">
        <v>241</v>
      </c>
      <c r="C24" s="28" t="s">
        <v>242</v>
      </c>
      <c r="D24" s="28" t="s">
        <v>243</v>
      </c>
      <c r="E24" s="29">
        <v>71358</v>
      </c>
      <c r="F24" s="30">
        <v>176.11</v>
      </c>
      <c r="G24" s="31">
        <v>1.9400000000000001E-2</v>
      </c>
      <c r="H24" s="32"/>
    </row>
    <row r="25" spans="2:8" ht="15.75" customHeight="1" x14ac:dyDescent="0.2">
      <c r="B25" s="28" t="s">
        <v>232</v>
      </c>
      <c r="C25" s="28" t="s">
        <v>233</v>
      </c>
      <c r="D25" s="28" t="s">
        <v>195</v>
      </c>
      <c r="E25" s="29">
        <v>1321</v>
      </c>
      <c r="F25" s="30">
        <v>175.86</v>
      </c>
      <c r="G25" s="31">
        <v>1.9300000000000001E-2</v>
      </c>
      <c r="H25" s="32"/>
    </row>
    <row r="26" spans="2:8" ht="15.75" customHeight="1" x14ac:dyDescent="0.2">
      <c r="B26" s="28" t="s">
        <v>227</v>
      </c>
      <c r="C26" s="28" t="s">
        <v>228</v>
      </c>
      <c r="D26" s="28" t="s">
        <v>229</v>
      </c>
      <c r="E26" s="29">
        <v>81508</v>
      </c>
      <c r="F26" s="30">
        <v>172.23</v>
      </c>
      <c r="G26" s="31">
        <v>1.89E-2</v>
      </c>
      <c r="H26" s="32"/>
    </row>
    <row r="27" spans="2:8" ht="15.75" customHeight="1" x14ac:dyDescent="0.2">
      <c r="B27" s="28" t="s">
        <v>222</v>
      </c>
      <c r="C27" s="28" t="s">
        <v>223</v>
      </c>
      <c r="D27" s="28" t="s">
        <v>224</v>
      </c>
      <c r="E27" s="29">
        <v>35434</v>
      </c>
      <c r="F27" s="30">
        <v>152.84</v>
      </c>
      <c r="G27" s="31">
        <v>1.6799999999999999E-2</v>
      </c>
      <c r="H27" s="32"/>
    </row>
    <row r="28" spans="2:8" ht="15.75" customHeight="1" x14ac:dyDescent="0.2">
      <c r="B28" s="28" t="s">
        <v>389</v>
      </c>
      <c r="C28" s="28" t="s">
        <v>390</v>
      </c>
      <c r="D28" s="28" t="s">
        <v>251</v>
      </c>
      <c r="E28" s="29">
        <v>45084</v>
      </c>
      <c r="F28" s="30">
        <v>143.47999999999999</v>
      </c>
      <c r="G28" s="31">
        <v>1.5800000000000002E-2</v>
      </c>
      <c r="H28" s="32"/>
    </row>
    <row r="29" spans="2:8" ht="15.75" customHeight="1" x14ac:dyDescent="0.2">
      <c r="B29" s="28" t="s">
        <v>329</v>
      </c>
      <c r="C29" s="28" t="s">
        <v>330</v>
      </c>
      <c r="D29" s="28" t="s">
        <v>331</v>
      </c>
      <c r="E29" s="29">
        <v>1174</v>
      </c>
      <c r="F29" s="30">
        <v>135.97999999999999</v>
      </c>
      <c r="G29" s="31">
        <v>1.49E-2</v>
      </c>
      <c r="H29" s="32"/>
    </row>
    <row r="30" spans="2:8" ht="15.75" customHeight="1" x14ac:dyDescent="0.2">
      <c r="B30" s="28" t="s">
        <v>409</v>
      </c>
      <c r="C30" s="28" t="s">
        <v>410</v>
      </c>
      <c r="D30" s="28" t="s">
        <v>182</v>
      </c>
      <c r="E30" s="29">
        <v>10531</v>
      </c>
      <c r="F30" s="30">
        <v>126.26</v>
      </c>
      <c r="G30" s="31">
        <v>1.3899999999999999E-2</v>
      </c>
      <c r="H30" s="32"/>
    </row>
    <row r="31" spans="2:8" ht="15.75" customHeight="1" x14ac:dyDescent="0.2">
      <c r="B31" s="28" t="s">
        <v>849</v>
      </c>
      <c r="C31" s="28" t="s">
        <v>850</v>
      </c>
      <c r="D31" s="28" t="s">
        <v>219</v>
      </c>
      <c r="E31" s="29">
        <v>7321</v>
      </c>
      <c r="F31" s="30">
        <v>121.17</v>
      </c>
      <c r="G31" s="31">
        <v>1.3299999999999999E-2</v>
      </c>
      <c r="H31" s="32"/>
    </row>
    <row r="32" spans="2:8" ht="15.75" customHeight="1" x14ac:dyDescent="0.2">
      <c r="B32" s="28" t="s">
        <v>294</v>
      </c>
      <c r="C32" s="28" t="s">
        <v>295</v>
      </c>
      <c r="D32" s="28" t="s">
        <v>271</v>
      </c>
      <c r="E32" s="29">
        <v>4460</v>
      </c>
      <c r="F32" s="30">
        <v>109.03</v>
      </c>
      <c r="G32" s="31">
        <v>1.2E-2</v>
      </c>
      <c r="H32" s="32"/>
    </row>
    <row r="33" spans="2:8" ht="15.75" customHeight="1" x14ac:dyDescent="0.2">
      <c r="B33" s="28" t="s">
        <v>288</v>
      </c>
      <c r="C33" s="28" t="s">
        <v>289</v>
      </c>
      <c r="D33" s="28" t="s">
        <v>190</v>
      </c>
      <c r="E33" s="29">
        <v>5588</v>
      </c>
      <c r="F33" s="30">
        <v>97.62</v>
      </c>
      <c r="G33" s="31">
        <v>1.0699999999999999E-2</v>
      </c>
      <c r="H33" s="32"/>
    </row>
    <row r="34" spans="2:8" ht="15.75" customHeight="1" x14ac:dyDescent="0.2">
      <c r="B34" s="28" t="s">
        <v>356</v>
      </c>
      <c r="C34" s="28" t="s">
        <v>357</v>
      </c>
      <c r="D34" s="28" t="s">
        <v>287</v>
      </c>
      <c r="E34" s="29">
        <v>2223</v>
      </c>
      <c r="F34" s="30">
        <v>95.49</v>
      </c>
      <c r="G34" s="31">
        <v>1.0500000000000001E-2</v>
      </c>
      <c r="H34" s="32"/>
    </row>
    <row r="35" spans="2:8" ht="15.75" customHeight="1" x14ac:dyDescent="0.2">
      <c r="B35" s="28" t="s">
        <v>374</v>
      </c>
      <c r="C35" s="28" t="s">
        <v>375</v>
      </c>
      <c r="D35" s="28" t="s">
        <v>182</v>
      </c>
      <c r="E35" s="29">
        <v>6301</v>
      </c>
      <c r="F35" s="30">
        <v>92.88</v>
      </c>
      <c r="G35" s="31">
        <v>1.0200000000000001E-2</v>
      </c>
      <c r="H35" s="32"/>
    </row>
    <row r="36" spans="2:8" ht="15.75" customHeight="1" x14ac:dyDescent="0.2">
      <c r="B36" s="28" t="s">
        <v>262</v>
      </c>
      <c r="C36" s="28" t="s">
        <v>263</v>
      </c>
      <c r="D36" s="28" t="s">
        <v>243</v>
      </c>
      <c r="E36" s="29">
        <v>2180</v>
      </c>
      <c r="F36" s="30">
        <v>90.35</v>
      </c>
      <c r="G36" s="31">
        <v>9.9000000000000008E-3</v>
      </c>
      <c r="H36" s="32"/>
    </row>
    <row r="37" spans="2:8" ht="15.75" customHeight="1" x14ac:dyDescent="0.2">
      <c r="B37" s="27" t="s">
        <v>129</v>
      </c>
      <c r="C37" s="27"/>
      <c r="D37" s="27"/>
      <c r="E37" s="33"/>
      <c r="F37" s="34">
        <v>9080.3799999999992</v>
      </c>
      <c r="G37" s="35">
        <v>0.99790000000000001</v>
      </c>
      <c r="H37" s="36"/>
    </row>
    <row r="38" spans="2:8" ht="15.75" customHeight="1" x14ac:dyDescent="0.2">
      <c r="B38" s="27" t="s">
        <v>197</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9080.3799999999992</v>
      </c>
      <c r="G41" s="35">
        <v>0.99790000000000001</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139</v>
      </c>
      <c r="C44" s="28"/>
      <c r="D44" s="28"/>
      <c r="E44" s="29"/>
      <c r="F44" s="30"/>
      <c r="G44" s="31"/>
      <c r="H44" s="32"/>
    </row>
    <row r="45" spans="2:8" ht="15.75" customHeight="1" x14ac:dyDescent="0.2">
      <c r="B45" s="28" t="s">
        <v>140</v>
      </c>
      <c r="C45" s="28"/>
      <c r="D45" s="28"/>
      <c r="E45" s="29"/>
      <c r="F45" s="30">
        <v>14.16</v>
      </c>
      <c r="G45" s="31">
        <v>1.6000000000000001E-3</v>
      </c>
      <c r="H45" s="32"/>
    </row>
    <row r="46" spans="2:8" ht="15.75" customHeight="1" x14ac:dyDescent="0.2">
      <c r="B46" s="27" t="s">
        <v>129</v>
      </c>
      <c r="C46" s="27"/>
      <c r="D46" s="27"/>
      <c r="E46" s="33"/>
      <c r="F46" s="34">
        <v>14.16</v>
      </c>
      <c r="G46" s="35">
        <v>1.6000000000000001E-3</v>
      </c>
      <c r="H46" s="36"/>
    </row>
    <row r="47" spans="2:8" ht="15.75" customHeight="1" x14ac:dyDescent="0.2">
      <c r="B47" s="28"/>
      <c r="C47" s="28"/>
      <c r="D47" s="28"/>
      <c r="E47" s="29"/>
      <c r="F47" s="30"/>
      <c r="G47" s="31"/>
      <c r="H47" s="32"/>
    </row>
    <row r="48" spans="2:8" ht="15.75" customHeight="1" x14ac:dyDescent="0.2">
      <c r="B48" s="39" t="s">
        <v>133</v>
      </c>
      <c r="C48" s="39"/>
      <c r="D48" s="39"/>
      <c r="E48" s="40"/>
      <c r="F48" s="34">
        <v>14.16</v>
      </c>
      <c r="G48" s="35">
        <v>1.6000000000000001E-3</v>
      </c>
      <c r="H48" s="36"/>
    </row>
    <row r="49" spans="2:8" ht="15.75" customHeight="1" x14ac:dyDescent="0.2">
      <c r="B49" s="28" t="s">
        <v>141</v>
      </c>
      <c r="C49" s="28"/>
      <c r="D49" s="28"/>
      <c r="E49" s="29"/>
      <c r="F49" s="30">
        <v>4.9400000000000004</v>
      </c>
      <c r="G49" s="31">
        <v>4.9999999999994493E-4</v>
      </c>
      <c r="H49" s="32"/>
    </row>
    <row r="50" spans="2:8" ht="15.75" customHeight="1" x14ac:dyDescent="0.2">
      <c r="B50" s="41" t="s">
        <v>142</v>
      </c>
      <c r="C50" s="41"/>
      <c r="D50" s="41"/>
      <c r="E50" s="42"/>
      <c r="F50" s="43">
        <v>9099.48</v>
      </c>
      <c r="G50" s="44">
        <v>1</v>
      </c>
      <c r="H50" s="45"/>
    </row>
    <row r="51" spans="2:8" ht="15.75" customHeight="1" x14ac:dyDescent="0.2">
      <c r="B51" s="2"/>
    </row>
    <row r="52" spans="2:8" s="7" customFormat="1" ht="15.6" customHeight="1" x14ac:dyDescent="0.25">
      <c r="B52" s="63" t="s">
        <v>1067</v>
      </c>
      <c r="C52" s="70"/>
      <c r="D52" s="70"/>
      <c r="E52" s="70"/>
      <c r="F52" s="70"/>
      <c r="G52" s="70"/>
      <c r="H52" s="64"/>
    </row>
    <row r="53" spans="2:8" s="7" customFormat="1" ht="15.6" customHeight="1" x14ac:dyDescent="0.25">
      <c r="B53" s="63" t="s">
        <v>1108</v>
      </c>
      <c r="C53" s="70"/>
      <c r="D53" s="70"/>
      <c r="E53" s="70"/>
      <c r="F53" s="70"/>
      <c r="G53" s="70"/>
      <c r="H53" s="64"/>
    </row>
    <row r="54" spans="2:8" s="7" customFormat="1" ht="15.6" customHeight="1" x14ac:dyDescent="0.25">
      <c r="B54" s="63" t="s">
        <v>1068</v>
      </c>
      <c r="C54" s="70"/>
      <c r="D54" s="70"/>
      <c r="E54" s="70"/>
      <c r="F54" s="70"/>
      <c r="G54" s="70"/>
      <c r="H54" s="64"/>
    </row>
    <row r="55" spans="2:8" s="7" customFormat="1" ht="15.6" customHeight="1" x14ac:dyDescent="0.25">
      <c r="B55" s="71"/>
      <c r="C55" s="65">
        <v>46142</v>
      </c>
      <c r="D55" s="65">
        <v>46112</v>
      </c>
      <c r="E55" s="70"/>
      <c r="F55" s="70"/>
      <c r="G55" s="70"/>
      <c r="H55" s="64"/>
    </row>
    <row r="56" spans="2:8" s="7" customFormat="1" ht="15.6" customHeight="1" x14ac:dyDescent="0.25">
      <c r="B56" s="71" t="s">
        <v>1069</v>
      </c>
      <c r="C56" s="66"/>
      <c r="D56" s="66"/>
      <c r="E56" s="70"/>
      <c r="F56" s="70"/>
      <c r="G56" s="70"/>
      <c r="H56" s="64"/>
    </row>
    <row r="57" spans="2:8" s="7" customFormat="1" ht="15.6" customHeight="1" x14ac:dyDescent="0.25">
      <c r="B57" s="71" t="s">
        <v>1070</v>
      </c>
      <c r="C57" s="67">
        <v>143.4743</v>
      </c>
      <c r="D57" s="67">
        <v>134.32579999999999</v>
      </c>
      <c r="E57" s="70"/>
      <c r="F57" s="70"/>
      <c r="G57" s="70"/>
      <c r="H57" s="64"/>
    </row>
    <row r="58" spans="2:8" s="7" customFormat="1" ht="15.6" customHeight="1" x14ac:dyDescent="0.25">
      <c r="B58" s="71" t="s">
        <v>1071</v>
      </c>
      <c r="C58" s="67">
        <v>49.1768</v>
      </c>
      <c r="D58" s="67">
        <v>46.0411</v>
      </c>
      <c r="E58" s="70"/>
      <c r="F58" s="70"/>
      <c r="G58" s="70"/>
      <c r="H58" s="64"/>
    </row>
    <row r="59" spans="2:8" s="7" customFormat="1" ht="15.6" customHeight="1" x14ac:dyDescent="0.25">
      <c r="B59" s="71" t="s">
        <v>1073</v>
      </c>
      <c r="C59" s="67">
        <v>154.3785</v>
      </c>
      <c r="D59" s="67">
        <v>144.48670000000001</v>
      </c>
      <c r="E59" s="70"/>
      <c r="F59" s="70"/>
      <c r="G59" s="70"/>
      <c r="H59" s="64"/>
    </row>
    <row r="60" spans="2:8" s="7" customFormat="1" ht="15.6" customHeight="1" x14ac:dyDescent="0.25">
      <c r="B60" s="71" t="s">
        <v>1074</v>
      </c>
      <c r="C60" s="67">
        <v>51.755600000000001</v>
      </c>
      <c r="D60" s="67">
        <v>48.439500000000002</v>
      </c>
      <c r="E60" s="70"/>
      <c r="F60" s="70"/>
      <c r="G60" s="70"/>
      <c r="H60" s="64"/>
    </row>
    <row r="61" spans="2:8" s="7" customFormat="1" ht="15.6" customHeight="1" x14ac:dyDescent="0.25">
      <c r="B61" s="63" t="s">
        <v>1116</v>
      </c>
      <c r="C61" s="70"/>
      <c r="D61" s="70"/>
      <c r="E61" s="70"/>
      <c r="F61" s="70"/>
      <c r="G61" s="70"/>
      <c r="H61" s="64"/>
    </row>
    <row r="62" spans="2:8" s="7" customFormat="1" ht="15.6" customHeight="1" x14ac:dyDescent="0.25">
      <c r="B62" s="63" t="s">
        <v>1109</v>
      </c>
      <c r="C62" s="70"/>
      <c r="D62" s="70"/>
      <c r="E62" s="70"/>
      <c r="F62" s="70"/>
      <c r="G62" s="70"/>
      <c r="H62" s="64"/>
    </row>
    <row r="63" spans="2:8" s="7" customFormat="1" ht="15.6" customHeight="1" x14ac:dyDescent="0.25">
      <c r="B63" s="63" t="s">
        <v>1111</v>
      </c>
      <c r="C63" s="70"/>
      <c r="D63" s="70"/>
      <c r="E63" s="70"/>
      <c r="F63" s="70"/>
      <c r="G63" s="70"/>
      <c r="H63" s="64"/>
    </row>
    <row r="64" spans="2:8" s="7" customFormat="1" ht="15.6" customHeight="1" x14ac:dyDescent="0.25">
      <c r="B64" s="63" t="s">
        <v>1112</v>
      </c>
      <c r="C64" s="70"/>
      <c r="D64" s="70"/>
      <c r="E64" s="70"/>
      <c r="F64" s="70"/>
      <c r="G64" s="70"/>
      <c r="H64" s="64"/>
    </row>
    <row r="65" spans="2:8" s="7" customFormat="1" ht="15.6" customHeight="1" x14ac:dyDescent="0.25">
      <c r="B65" s="63" t="s">
        <v>1100</v>
      </c>
      <c r="C65" s="70"/>
      <c r="D65" s="70"/>
      <c r="E65" s="70"/>
      <c r="F65" s="70"/>
      <c r="G65" s="70"/>
      <c r="H65" s="64"/>
    </row>
    <row r="66" spans="2:8" s="7" customFormat="1" ht="15.6" customHeight="1" x14ac:dyDescent="0.25">
      <c r="B66" s="63" t="s">
        <v>1113</v>
      </c>
      <c r="C66" s="70"/>
      <c r="D66" s="70"/>
      <c r="E66" s="70"/>
      <c r="F66" s="70"/>
      <c r="G66" s="70"/>
      <c r="H66" s="64"/>
    </row>
    <row r="67" spans="2:8" s="7" customFormat="1" ht="15.6" customHeight="1" x14ac:dyDescent="0.25">
      <c r="B67" s="68" t="s">
        <v>1076</v>
      </c>
      <c r="C67" s="72"/>
      <c r="D67" s="72"/>
      <c r="E67" s="72"/>
      <c r="F67" s="72"/>
      <c r="G67" s="72"/>
      <c r="H67" s="69"/>
    </row>
    <row r="68" spans="2:8" ht="15.75" customHeight="1" thickBot="1" x14ac:dyDescent="0.25"/>
    <row r="69" spans="2:8" ht="39.75" customHeight="1" thickBot="1" x14ac:dyDescent="0.3">
      <c r="B69" s="46" t="s">
        <v>146</v>
      </c>
      <c r="C69" s="47" t="s">
        <v>147</v>
      </c>
      <c r="D69" s="47" t="s">
        <v>148</v>
      </c>
      <c r="E69"/>
    </row>
    <row r="70" spans="2:8" ht="39.75" customHeight="1" x14ac:dyDescent="0.25">
      <c r="B70" s="52" t="s">
        <v>846</v>
      </c>
      <c r="C70" s="109"/>
      <c r="D70" s="48" t="s">
        <v>865</v>
      </c>
      <c r="E70"/>
    </row>
    <row r="71" spans="2:8" ht="39.75" customHeight="1" x14ac:dyDescent="0.25">
      <c r="B71" s="112" t="s">
        <v>866</v>
      </c>
      <c r="C71" s="110"/>
      <c r="D71" s="118"/>
      <c r="E71"/>
    </row>
    <row r="72" spans="2:8" ht="39.75" customHeight="1" x14ac:dyDescent="0.25">
      <c r="B72" s="112"/>
      <c r="C72" s="110"/>
      <c r="D72" s="118"/>
      <c r="E72"/>
    </row>
    <row r="73" spans="2:8" ht="39.75" customHeight="1" x14ac:dyDescent="0.25">
      <c r="B73" s="112"/>
      <c r="C73" s="110"/>
      <c r="D73" s="118"/>
      <c r="E73"/>
    </row>
    <row r="74" spans="2:8" ht="39.75" customHeight="1" thickBot="1" x14ac:dyDescent="0.3">
      <c r="B74" s="113"/>
      <c r="C74" s="111"/>
      <c r="D74" s="119"/>
      <c r="E74"/>
    </row>
    <row r="75" spans="2:8" ht="15.75" customHeight="1" x14ac:dyDescent="0.2">
      <c r="B75" s="9" t="s">
        <v>149</v>
      </c>
    </row>
    <row r="76" spans="2:8" ht="15.75" customHeight="1" x14ac:dyDescent="0.2">
      <c r="B76" s="9" t="s">
        <v>150</v>
      </c>
    </row>
    <row r="77" spans="2:8" ht="15.75" customHeight="1" x14ac:dyDescent="0.2">
      <c r="B77" s="9" t="s">
        <v>151</v>
      </c>
    </row>
    <row r="82" spans="10:14" ht="15.75" customHeight="1" x14ac:dyDescent="0.2">
      <c r="J82" s="3"/>
    </row>
    <row r="84" spans="10:14" ht="15.75" customHeight="1" x14ac:dyDescent="0.2">
      <c r="J84" s="3"/>
    </row>
    <row r="85" spans="10:14" ht="15.75" customHeight="1" x14ac:dyDescent="0.2">
      <c r="J85" s="3"/>
    </row>
    <row r="86" spans="10:14" ht="15.75" customHeight="1" x14ac:dyDescent="0.2">
      <c r="J86" s="3"/>
    </row>
    <row r="87" spans="10:14" ht="15.75" customHeight="1" x14ac:dyDescent="0.2">
      <c r="J87" s="3"/>
    </row>
    <row r="88" spans="10:14" ht="15.75" customHeight="1" x14ac:dyDescent="0.2">
      <c r="J88" s="3"/>
    </row>
    <row r="89" spans="10:14" ht="15.75" customHeight="1" x14ac:dyDescent="0.2">
      <c r="J89" s="5"/>
      <c r="K89" s="5"/>
      <c r="L89" s="6"/>
      <c r="M89" s="6"/>
      <c r="N89" s="5"/>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5" spans="10:14" ht="15.75" customHeight="1" x14ac:dyDescent="0.2">
      <c r="J95" s="7"/>
      <c r="K95" s="7"/>
      <c r="L95" s="7"/>
      <c r="M95" s="7"/>
      <c r="N95" s="7"/>
    </row>
    <row r="96" spans="10: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70:C74"/>
    <mergeCell ref="B71:B74"/>
    <mergeCell ref="D71:D74"/>
  </mergeCells>
  <hyperlinks>
    <hyperlink ref="G1" location="'Sheet1'!A1" display="Index" xr:uid="{EA4FE4E6-188B-4427-B070-5FCCAB8FA3E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564E4-B299-44B6-9A7E-510F59F9B732}">
  <dimension ref="B1:N101"/>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180</v>
      </c>
      <c r="C7" s="28" t="s">
        <v>181</v>
      </c>
      <c r="D7" s="28" t="s">
        <v>182</v>
      </c>
      <c r="E7" s="29">
        <v>93818</v>
      </c>
      <c r="F7" s="30">
        <v>1108.74</v>
      </c>
      <c r="G7" s="31">
        <v>5.3400000000000003E-2</v>
      </c>
      <c r="H7" s="32"/>
    </row>
    <row r="8" spans="2:8" ht="15.75" customHeight="1" x14ac:dyDescent="0.2">
      <c r="B8" s="28" t="s">
        <v>432</v>
      </c>
      <c r="C8" s="28" t="s">
        <v>433</v>
      </c>
      <c r="D8" s="28" t="s">
        <v>434</v>
      </c>
      <c r="E8" s="29">
        <v>250296</v>
      </c>
      <c r="F8" s="30">
        <v>1025.96</v>
      </c>
      <c r="G8" s="31">
        <v>4.9399999999999999E-2</v>
      </c>
      <c r="H8" s="32"/>
    </row>
    <row r="9" spans="2:8" ht="15.75" customHeight="1" x14ac:dyDescent="0.2">
      <c r="B9" s="28" t="s">
        <v>232</v>
      </c>
      <c r="C9" s="28" t="s">
        <v>233</v>
      </c>
      <c r="D9" s="28" t="s">
        <v>195</v>
      </c>
      <c r="E9" s="29">
        <v>6875</v>
      </c>
      <c r="F9" s="30">
        <v>915.34</v>
      </c>
      <c r="G9" s="31">
        <v>4.3999999999999997E-2</v>
      </c>
      <c r="H9" s="32"/>
    </row>
    <row r="10" spans="2:8" ht="15.75" customHeight="1" x14ac:dyDescent="0.2">
      <c r="B10" s="28" t="s">
        <v>292</v>
      </c>
      <c r="C10" s="28" t="s">
        <v>293</v>
      </c>
      <c r="D10" s="28" t="s">
        <v>195</v>
      </c>
      <c r="E10" s="29">
        <v>238789</v>
      </c>
      <c r="F10" s="30">
        <v>815.58</v>
      </c>
      <c r="G10" s="31">
        <v>3.9199999999999999E-2</v>
      </c>
      <c r="H10" s="32"/>
    </row>
    <row r="11" spans="2:8" ht="15.75" customHeight="1" x14ac:dyDescent="0.2">
      <c r="B11" s="28" t="s">
        <v>748</v>
      </c>
      <c r="C11" s="28" t="s">
        <v>749</v>
      </c>
      <c r="D11" s="28" t="s">
        <v>179</v>
      </c>
      <c r="E11" s="29">
        <v>140218</v>
      </c>
      <c r="F11" s="30">
        <v>785.29</v>
      </c>
      <c r="G11" s="31">
        <v>3.78E-2</v>
      </c>
      <c r="H11" s="32"/>
    </row>
    <row r="12" spans="2:8" ht="15.75" customHeight="1" x14ac:dyDescent="0.2">
      <c r="B12" s="28" t="s">
        <v>319</v>
      </c>
      <c r="C12" s="28" t="s">
        <v>320</v>
      </c>
      <c r="D12" s="28" t="s">
        <v>321</v>
      </c>
      <c r="E12" s="29">
        <v>18672</v>
      </c>
      <c r="F12" s="30">
        <v>746.69</v>
      </c>
      <c r="G12" s="31">
        <v>3.5900000000000001E-2</v>
      </c>
      <c r="H12" s="32"/>
    </row>
    <row r="13" spans="2:8" ht="15.75" customHeight="1" x14ac:dyDescent="0.2">
      <c r="B13" s="28" t="s">
        <v>553</v>
      </c>
      <c r="C13" s="28" t="s">
        <v>554</v>
      </c>
      <c r="D13" s="28" t="s">
        <v>321</v>
      </c>
      <c r="E13" s="29">
        <v>111808</v>
      </c>
      <c r="F13" s="30">
        <v>740.56</v>
      </c>
      <c r="G13" s="31">
        <v>3.56E-2</v>
      </c>
      <c r="H13" s="32"/>
    </row>
    <row r="14" spans="2:8" ht="15.75" customHeight="1" x14ac:dyDescent="0.2">
      <c r="B14" s="28" t="s">
        <v>316</v>
      </c>
      <c r="C14" s="28" t="s">
        <v>317</v>
      </c>
      <c r="D14" s="28" t="s">
        <v>318</v>
      </c>
      <c r="E14" s="29">
        <v>18389</v>
      </c>
      <c r="F14" s="30">
        <v>738.13</v>
      </c>
      <c r="G14" s="31">
        <v>3.5499999999999997E-2</v>
      </c>
      <c r="H14" s="32"/>
    </row>
    <row r="15" spans="2:8" ht="15.75" customHeight="1" x14ac:dyDescent="0.2">
      <c r="B15" s="28" t="s">
        <v>486</v>
      </c>
      <c r="C15" s="28" t="s">
        <v>487</v>
      </c>
      <c r="D15" s="28" t="s">
        <v>179</v>
      </c>
      <c r="E15" s="29">
        <v>17070</v>
      </c>
      <c r="F15" s="30">
        <v>704.1</v>
      </c>
      <c r="G15" s="31">
        <v>3.39E-2</v>
      </c>
      <c r="H15" s="32"/>
    </row>
    <row r="16" spans="2:8" ht="15.75" customHeight="1" x14ac:dyDescent="0.2">
      <c r="B16" s="28" t="s">
        <v>188</v>
      </c>
      <c r="C16" s="28" t="s">
        <v>189</v>
      </c>
      <c r="D16" s="28" t="s">
        <v>190</v>
      </c>
      <c r="E16" s="29">
        <v>65068</v>
      </c>
      <c r="F16" s="30">
        <v>609.91</v>
      </c>
      <c r="G16" s="31">
        <v>2.9399999999999999E-2</v>
      </c>
      <c r="H16" s="32"/>
    </row>
    <row r="17" spans="2:8" ht="15.75" customHeight="1" x14ac:dyDescent="0.2">
      <c r="B17" s="28" t="s">
        <v>212</v>
      </c>
      <c r="C17" s="28" t="s">
        <v>213</v>
      </c>
      <c r="D17" s="28" t="s">
        <v>173</v>
      </c>
      <c r="E17" s="29">
        <v>51968</v>
      </c>
      <c r="F17" s="30">
        <v>555.25</v>
      </c>
      <c r="G17" s="31">
        <v>2.6700000000000002E-2</v>
      </c>
      <c r="H17" s="32"/>
    </row>
    <row r="18" spans="2:8" ht="15.75" customHeight="1" x14ac:dyDescent="0.2">
      <c r="B18" s="28" t="s">
        <v>836</v>
      </c>
      <c r="C18" s="28" t="s">
        <v>837</v>
      </c>
      <c r="D18" s="28" t="s">
        <v>179</v>
      </c>
      <c r="E18" s="29">
        <v>81306</v>
      </c>
      <c r="F18" s="30">
        <v>505.52</v>
      </c>
      <c r="G18" s="31">
        <v>2.4299999999999999E-2</v>
      </c>
      <c r="H18" s="32"/>
    </row>
    <row r="19" spans="2:8" ht="15.75" customHeight="1" x14ac:dyDescent="0.2">
      <c r="B19" s="28" t="s">
        <v>193</v>
      </c>
      <c r="C19" s="28" t="s">
        <v>194</v>
      </c>
      <c r="D19" s="28" t="s">
        <v>195</v>
      </c>
      <c r="E19" s="29">
        <v>16190</v>
      </c>
      <c r="F19" s="30">
        <v>501.49</v>
      </c>
      <c r="G19" s="31">
        <v>2.41E-2</v>
      </c>
      <c r="H19" s="32"/>
    </row>
    <row r="20" spans="2:8" ht="15.75" customHeight="1" x14ac:dyDescent="0.2">
      <c r="B20" s="28" t="s">
        <v>171</v>
      </c>
      <c r="C20" s="28" t="s">
        <v>172</v>
      </c>
      <c r="D20" s="28" t="s">
        <v>173</v>
      </c>
      <c r="E20" s="29">
        <v>63571</v>
      </c>
      <c r="F20" s="30">
        <v>490.58</v>
      </c>
      <c r="G20" s="31">
        <v>2.3599999999999999E-2</v>
      </c>
      <c r="H20" s="32"/>
    </row>
    <row r="21" spans="2:8" ht="15.75" customHeight="1" x14ac:dyDescent="0.2">
      <c r="B21" s="28" t="s">
        <v>783</v>
      </c>
      <c r="C21" s="28" t="s">
        <v>784</v>
      </c>
      <c r="D21" s="28" t="s">
        <v>248</v>
      </c>
      <c r="E21" s="29">
        <v>140797</v>
      </c>
      <c r="F21" s="30">
        <v>479.41</v>
      </c>
      <c r="G21" s="31">
        <v>2.3099999999999999E-2</v>
      </c>
      <c r="H21" s="32"/>
    </row>
    <row r="22" spans="2:8" ht="15.75" customHeight="1" x14ac:dyDescent="0.2">
      <c r="B22" s="28" t="s">
        <v>374</v>
      </c>
      <c r="C22" s="28" t="s">
        <v>375</v>
      </c>
      <c r="D22" s="28" t="s">
        <v>182</v>
      </c>
      <c r="E22" s="29">
        <v>30631</v>
      </c>
      <c r="F22" s="30">
        <v>451.35</v>
      </c>
      <c r="G22" s="31">
        <v>2.1700000000000001E-2</v>
      </c>
      <c r="H22" s="32"/>
    </row>
    <row r="23" spans="2:8" ht="15.75" customHeight="1" x14ac:dyDescent="0.2">
      <c r="B23" s="28" t="s">
        <v>191</v>
      </c>
      <c r="C23" s="28" t="s">
        <v>192</v>
      </c>
      <c r="D23" s="28" t="s">
        <v>173</v>
      </c>
      <c r="E23" s="29">
        <v>34479</v>
      </c>
      <c r="F23" s="30">
        <v>435.61</v>
      </c>
      <c r="G23" s="31">
        <v>2.1000000000000001E-2</v>
      </c>
      <c r="H23" s="32"/>
    </row>
    <row r="24" spans="2:8" ht="15.75" customHeight="1" x14ac:dyDescent="0.2">
      <c r="B24" s="28" t="s">
        <v>726</v>
      </c>
      <c r="C24" s="28" t="s">
        <v>727</v>
      </c>
      <c r="D24" s="28" t="s">
        <v>224</v>
      </c>
      <c r="E24" s="29">
        <v>31502</v>
      </c>
      <c r="F24" s="30">
        <v>429.72</v>
      </c>
      <c r="G24" s="31">
        <v>2.07E-2</v>
      </c>
      <c r="H24" s="32"/>
    </row>
    <row r="25" spans="2:8" ht="15.75" customHeight="1" x14ac:dyDescent="0.2">
      <c r="B25" s="28" t="s">
        <v>642</v>
      </c>
      <c r="C25" s="28" t="s">
        <v>643</v>
      </c>
      <c r="D25" s="28" t="s">
        <v>195</v>
      </c>
      <c r="E25" s="29">
        <v>4279</v>
      </c>
      <c r="F25" s="30">
        <v>427.64</v>
      </c>
      <c r="G25" s="31">
        <v>2.06E-2</v>
      </c>
      <c r="H25" s="32"/>
    </row>
    <row r="26" spans="2:8" ht="15.75" customHeight="1" x14ac:dyDescent="0.2">
      <c r="B26" s="28" t="s">
        <v>838</v>
      </c>
      <c r="C26" s="28" t="s">
        <v>839</v>
      </c>
      <c r="D26" s="28" t="s">
        <v>229</v>
      </c>
      <c r="E26" s="29">
        <v>96807</v>
      </c>
      <c r="F26" s="30">
        <v>420.87</v>
      </c>
      <c r="G26" s="31">
        <v>2.0299999999999999E-2</v>
      </c>
      <c r="H26" s="32"/>
    </row>
    <row r="27" spans="2:8" ht="15.75" customHeight="1" x14ac:dyDescent="0.2">
      <c r="B27" s="28" t="s">
        <v>840</v>
      </c>
      <c r="C27" s="28" t="s">
        <v>841</v>
      </c>
      <c r="D27" s="28" t="s">
        <v>268</v>
      </c>
      <c r="E27" s="29">
        <v>9591</v>
      </c>
      <c r="F27" s="30">
        <v>391.08</v>
      </c>
      <c r="G27" s="31">
        <v>1.8800000000000001E-2</v>
      </c>
      <c r="H27" s="32"/>
    </row>
    <row r="28" spans="2:8" ht="15.75" customHeight="1" x14ac:dyDescent="0.2">
      <c r="B28" s="28" t="s">
        <v>791</v>
      </c>
      <c r="C28" s="28" t="s">
        <v>792</v>
      </c>
      <c r="D28" s="28" t="s">
        <v>321</v>
      </c>
      <c r="E28" s="29">
        <v>17741</v>
      </c>
      <c r="F28" s="30">
        <v>389.66</v>
      </c>
      <c r="G28" s="31">
        <v>1.8800000000000001E-2</v>
      </c>
      <c r="H28" s="32"/>
    </row>
    <row r="29" spans="2:8" ht="15.75" customHeight="1" x14ac:dyDescent="0.2">
      <c r="B29" s="28" t="s">
        <v>557</v>
      </c>
      <c r="C29" s="28" t="s">
        <v>558</v>
      </c>
      <c r="D29" s="28" t="s">
        <v>268</v>
      </c>
      <c r="E29" s="29">
        <v>11686</v>
      </c>
      <c r="F29" s="30">
        <v>383.16</v>
      </c>
      <c r="G29" s="31">
        <v>1.84E-2</v>
      </c>
      <c r="H29" s="32"/>
    </row>
    <row r="30" spans="2:8" ht="15.75" customHeight="1" x14ac:dyDescent="0.2">
      <c r="B30" s="28" t="s">
        <v>454</v>
      </c>
      <c r="C30" s="28" t="s">
        <v>455</v>
      </c>
      <c r="D30" s="28" t="s">
        <v>238</v>
      </c>
      <c r="E30" s="29">
        <v>20190</v>
      </c>
      <c r="F30" s="30">
        <v>350.92</v>
      </c>
      <c r="G30" s="31">
        <v>1.6899999999999998E-2</v>
      </c>
      <c r="H30" s="32"/>
    </row>
    <row r="31" spans="2:8" ht="15.75" customHeight="1" x14ac:dyDescent="0.2">
      <c r="B31" s="28" t="s">
        <v>765</v>
      </c>
      <c r="C31" s="28" t="s">
        <v>766</v>
      </c>
      <c r="D31" s="28" t="s">
        <v>268</v>
      </c>
      <c r="E31" s="29">
        <v>27099</v>
      </c>
      <c r="F31" s="30">
        <v>337.03</v>
      </c>
      <c r="G31" s="31">
        <v>1.6199999999999999E-2</v>
      </c>
      <c r="H31" s="32"/>
    </row>
    <row r="32" spans="2:8" ht="15.75" customHeight="1" x14ac:dyDescent="0.2">
      <c r="B32" s="28" t="s">
        <v>462</v>
      </c>
      <c r="C32" s="28" t="s">
        <v>463</v>
      </c>
      <c r="D32" s="28" t="s">
        <v>238</v>
      </c>
      <c r="E32" s="29">
        <v>198158</v>
      </c>
      <c r="F32" s="30">
        <v>320.76</v>
      </c>
      <c r="G32" s="31">
        <v>1.54E-2</v>
      </c>
      <c r="H32" s="32"/>
    </row>
    <row r="33" spans="2:8" ht="15.75" customHeight="1" x14ac:dyDescent="0.2">
      <c r="B33" s="28" t="s">
        <v>708</v>
      </c>
      <c r="C33" s="28" t="s">
        <v>709</v>
      </c>
      <c r="D33" s="28" t="s">
        <v>190</v>
      </c>
      <c r="E33" s="29">
        <v>95948</v>
      </c>
      <c r="F33" s="30">
        <v>298.11</v>
      </c>
      <c r="G33" s="31">
        <v>1.43E-2</v>
      </c>
      <c r="H33" s="32"/>
    </row>
    <row r="34" spans="2:8" ht="15.75" customHeight="1" x14ac:dyDescent="0.2">
      <c r="B34" s="28" t="s">
        <v>285</v>
      </c>
      <c r="C34" s="28" t="s">
        <v>286</v>
      </c>
      <c r="D34" s="28" t="s">
        <v>287</v>
      </c>
      <c r="E34" s="29">
        <v>58023</v>
      </c>
      <c r="F34" s="30">
        <v>295.25</v>
      </c>
      <c r="G34" s="31">
        <v>1.4200000000000001E-2</v>
      </c>
      <c r="H34" s="32"/>
    </row>
    <row r="35" spans="2:8" ht="15.75" customHeight="1" x14ac:dyDescent="0.2">
      <c r="B35" s="28" t="s">
        <v>391</v>
      </c>
      <c r="C35" s="28" t="s">
        <v>392</v>
      </c>
      <c r="D35" s="28" t="s">
        <v>179</v>
      </c>
      <c r="E35" s="29">
        <v>28722</v>
      </c>
      <c r="F35" s="30">
        <v>294.57</v>
      </c>
      <c r="G35" s="31">
        <v>1.4200000000000001E-2</v>
      </c>
      <c r="H35" s="32"/>
    </row>
    <row r="36" spans="2:8" ht="15.75" customHeight="1" x14ac:dyDescent="0.2">
      <c r="B36" s="28" t="s">
        <v>239</v>
      </c>
      <c r="C36" s="28" t="s">
        <v>240</v>
      </c>
      <c r="D36" s="28" t="s">
        <v>173</v>
      </c>
      <c r="E36" s="29">
        <v>103701</v>
      </c>
      <c r="F36" s="30">
        <v>273.20999999999998</v>
      </c>
      <c r="G36" s="31">
        <v>1.3100000000000001E-2</v>
      </c>
      <c r="H36" s="32"/>
    </row>
    <row r="37" spans="2:8" ht="15.75" customHeight="1" x14ac:dyDescent="0.2">
      <c r="B37" s="28" t="s">
        <v>435</v>
      </c>
      <c r="C37" s="28" t="s">
        <v>436</v>
      </c>
      <c r="D37" s="28" t="s">
        <v>224</v>
      </c>
      <c r="E37" s="29">
        <v>5723</v>
      </c>
      <c r="F37" s="30">
        <v>248.31</v>
      </c>
      <c r="G37" s="31">
        <v>1.1900000000000001E-2</v>
      </c>
      <c r="H37" s="32"/>
    </row>
    <row r="38" spans="2:8" ht="15.75" customHeight="1" x14ac:dyDescent="0.2">
      <c r="B38" s="28" t="s">
        <v>379</v>
      </c>
      <c r="C38" s="28" t="s">
        <v>380</v>
      </c>
      <c r="D38" s="28" t="s">
        <v>331</v>
      </c>
      <c r="E38" s="29">
        <v>8724</v>
      </c>
      <c r="F38" s="30">
        <v>243.79</v>
      </c>
      <c r="G38" s="31">
        <v>1.17E-2</v>
      </c>
      <c r="H38" s="32"/>
    </row>
    <row r="39" spans="2:8" ht="15.75" customHeight="1" x14ac:dyDescent="0.2">
      <c r="B39" s="28" t="s">
        <v>381</v>
      </c>
      <c r="C39" s="28" t="s">
        <v>382</v>
      </c>
      <c r="D39" s="28" t="s">
        <v>383</v>
      </c>
      <c r="E39" s="29">
        <v>6525</v>
      </c>
      <c r="F39" s="30">
        <v>236.62</v>
      </c>
      <c r="G39" s="31">
        <v>1.14E-2</v>
      </c>
      <c r="H39" s="32"/>
    </row>
    <row r="40" spans="2:8" ht="15.75" customHeight="1" x14ac:dyDescent="0.2">
      <c r="B40" s="28" t="s">
        <v>767</v>
      </c>
      <c r="C40" s="28" t="s">
        <v>768</v>
      </c>
      <c r="D40" s="28" t="s">
        <v>321</v>
      </c>
      <c r="E40" s="29">
        <v>24146</v>
      </c>
      <c r="F40" s="30">
        <v>236.29</v>
      </c>
      <c r="G40" s="31">
        <v>1.14E-2</v>
      </c>
      <c r="H40" s="32"/>
    </row>
    <row r="41" spans="2:8" ht="15.75" customHeight="1" x14ac:dyDescent="0.2">
      <c r="B41" s="28" t="s">
        <v>346</v>
      </c>
      <c r="C41" s="28" t="s">
        <v>347</v>
      </c>
      <c r="D41" s="28" t="s">
        <v>268</v>
      </c>
      <c r="E41" s="29">
        <v>7561</v>
      </c>
      <c r="F41" s="30">
        <v>234.15</v>
      </c>
      <c r="G41" s="31">
        <v>1.1299999999999999E-2</v>
      </c>
      <c r="H41" s="32"/>
    </row>
    <row r="42" spans="2:8" ht="15.75" customHeight="1" x14ac:dyDescent="0.2">
      <c r="B42" s="28" t="s">
        <v>549</v>
      </c>
      <c r="C42" s="28" t="s">
        <v>550</v>
      </c>
      <c r="D42" s="28" t="s">
        <v>238</v>
      </c>
      <c r="E42" s="29">
        <v>1469</v>
      </c>
      <c r="F42" s="30">
        <v>220.39</v>
      </c>
      <c r="G42" s="31">
        <v>1.06E-2</v>
      </c>
      <c r="H42" s="32"/>
    </row>
    <row r="43" spans="2:8" ht="15.75" customHeight="1" x14ac:dyDescent="0.2">
      <c r="B43" s="28" t="s">
        <v>236</v>
      </c>
      <c r="C43" s="28" t="s">
        <v>237</v>
      </c>
      <c r="D43" s="28" t="s">
        <v>238</v>
      </c>
      <c r="E43" s="29">
        <v>11895</v>
      </c>
      <c r="F43" s="30">
        <v>215.1</v>
      </c>
      <c r="G43" s="31">
        <v>1.04E-2</v>
      </c>
      <c r="H43" s="32"/>
    </row>
    <row r="44" spans="2:8" ht="15.75" customHeight="1" x14ac:dyDescent="0.2">
      <c r="B44" s="28" t="s">
        <v>404</v>
      </c>
      <c r="C44" s="28" t="s">
        <v>405</v>
      </c>
      <c r="D44" s="28" t="s">
        <v>406</v>
      </c>
      <c r="E44" s="29">
        <v>21667</v>
      </c>
      <c r="F44" s="30">
        <v>202.93</v>
      </c>
      <c r="G44" s="31">
        <v>9.7999999999999997E-3</v>
      </c>
      <c r="H44" s="32"/>
    </row>
    <row r="45" spans="2:8" ht="15.75" customHeight="1" x14ac:dyDescent="0.2">
      <c r="B45" s="28" t="s">
        <v>174</v>
      </c>
      <c r="C45" s="28" t="s">
        <v>175</v>
      </c>
      <c r="D45" s="28" t="s">
        <v>176</v>
      </c>
      <c r="E45" s="29">
        <v>13833</v>
      </c>
      <c r="F45" s="30">
        <v>197.92</v>
      </c>
      <c r="G45" s="31">
        <v>9.4999999999999998E-3</v>
      </c>
      <c r="H45" s="32"/>
    </row>
    <row r="46" spans="2:8" ht="15.75" customHeight="1" x14ac:dyDescent="0.2">
      <c r="B46" s="28" t="s">
        <v>779</v>
      </c>
      <c r="C46" s="28" t="s">
        <v>780</v>
      </c>
      <c r="D46" s="28" t="s">
        <v>321</v>
      </c>
      <c r="E46" s="29">
        <v>219237</v>
      </c>
      <c r="F46" s="30">
        <v>191.39</v>
      </c>
      <c r="G46" s="31">
        <v>9.1999999999999998E-3</v>
      </c>
      <c r="H46" s="32"/>
    </row>
    <row r="47" spans="2:8" ht="15.75" customHeight="1" x14ac:dyDescent="0.2">
      <c r="B47" s="28" t="s">
        <v>682</v>
      </c>
      <c r="C47" s="28" t="s">
        <v>683</v>
      </c>
      <c r="D47" s="28" t="s">
        <v>238</v>
      </c>
      <c r="E47" s="29">
        <v>10807</v>
      </c>
      <c r="F47" s="30">
        <v>189.21</v>
      </c>
      <c r="G47" s="31">
        <v>9.1000000000000004E-3</v>
      </c>
      <c r="H47" s="32"/>
    </row>
    <row r="48" spans="2:8" ht="15.75" customHeight="1" x14ac:dyDescent="0.2">
      <c r="B48" s="28" t="s">
        <v>183</v>
      </c>
      <c r="C48" s="28" t="s">
        <v>184</v>
      </c>
      <c r="D48" s="28" t="s">
        <v>173</v>
      </c>
      <c r="E48" s="29">
        <v>14723</v>
      </c>
      <c r="F48" s="30">
        <v>186.73</v>
      </c>
      <c r="G48" s="31">
        <v>8.9999999999999993E-3</v>
      </c>
      <c r="H48" s="32"/>
    </row>
    <row r="49" spans="2:8" ht="15.75" customHeight="1" x14ac:dyDescent="0.2">
      <c r="B49" s="28" t="s">
        <v>867</v>
      </c>
      <c r="C49" s="28" t="s">
        <v>868</v>
      </c>
      <c r="D49" s="28" t="s">
        <v>182</v>
      </c>
      <c r="E49" s="29">
        <v>10415</v>
      </c>
      <c r="F49" s="30">
        <v>176.45</v>
      </c>
      <c r="G49" s="31">
        <v>8.5000000000000006E-3</v>
      </c>
      <c r="H49" s="32"/>
    </row>
    <row r="50" spans="2:8" ht="15.75" customHeight="1" x14ac:dyDescent="0.2">
      <c r="B50" s="28" t="s">
        <v>356</v>
      </c>
      <c r="C50" s="28" t="s">
        <v>357</v>
      </c>
      <c r="D50" s="28" t="s">
        <v>287</v>
      </c>
      <c r="E50" s="29">
        <v>3889</v>
      </c>
      <c r="F50" s="30">
        <v>167.04</v>
      </c>
      <c r="G50" s="31">
        <v>8.0000000000000002E-3</v>
      </c>
      <c r="H50" s="32"/>
    </row>
    <row r="51" spans="2:8" ht="15.75" customHeight="1" x14ac:dyDescent="0.2">
      <c r="B51" s="28" t="s">
        <v>869</v>
      </c>
      <c r="C51" s="28" t="s">
        <v>870</v>
      </c>
      <c r="D51" s="28" t="s">
        <v>406</v>
      </c>
      <c r="E51" s="29">
        <v>22864</v>
      </c>
      <c r="F51" s="30">
        <v>160.88999999999999</v>
      </c>
      <c r="G51" s="31">
        <v>7.7000000000000002E-3</v>
      </c>
      <c r="H51" s="32"/>
    </row>
    <row r="52" spans="2:8" ht="15.75" customHeight="1" x14ac:dyDescent="0.2">
      <c r="B52" s="28" t="s">
        <v>871</v>
      </c>
      <c r="C52" s="28" t="s">
        <v>872</v>
      </c>
      <c r="D52" s="28" t="s">
        <v>338</v>
      </c>
      <c r="E52" s="29">
        <v>35145</v>
      </c>
      <c r="F52" s="30">
        <v>144.88999999999999</v>
      </c>
      <c r="G52" s="31">
        <v>7.0000000000000001E-3</v>
      </c>
      <c r="H52" s="32"/>
    </row>
    <row r="53" spans="2:8" ht="15.75" customHeight="1" x14ac:dyDescent="0.2">
      <c r="B53" s="28" t="s">
        <v>384</v>
      </c>
      <c r="C53" s="28" t="s">
        <v>385</v>
      </c>
      <c r="D53" s="28" t="s">
        <v>238</v>
      </c>
      <c r="E53" s="29">
        <v>3362</v>
      </c>
      <c r="F53" s="30">
        <v>140.69999999999999</v>
      </c>
      <c r="G53" s="31">
        <v>6.7999999999999996E-3</v>
      </c>
      <c r="H53" s="32"/>
    </row>
    <row r="54" spans="2:8" ht="15.75" customHeight="1" x14ac:dyDescent="0.2">
      <c r="B54" s="28" t="s">
        <v>873</v>
      </c>
      <c r="C54" s="28" t="s">
        <v>874</v>
      </c>
      <c r="D54" s="28" t="s">
        <v>238</v>
      </c>
      <c r="E54" s="29">
        <v>4839</v>
      </c>
      <c r="F54" s="30">
        <v>136.59</v>
      </c>
      <c r="G54" s="31">
        <v>6.6E-3</v>
      </c>
      <c r="H54" s="32"/>
    </row>
    <row r="55" spans="2:8" ht="15.75" customHeight="1" x14ac:dyDescent="0.2">
      <c r="B55" s="28" t="s">
        <v>314</v>
      </c>
      <c r="C55" s="28" t="s">
        <v>315</v>
      </c>
      <c r="D55" s="28" t="s">
        <v>182</v>
      </c>
      <c r="E55" s="29">
        <v>5479</v>
      </c>
      <c r="F55" s="30">
        <v>135.54</v>
      </c>
      <c r="G55" s="31">
        <v>6.4999999999999997E-3</v>
      </c>
      <c r="H55" s="32"/>
    </row>
    <row r="56" spans="2:8" ht="15.75" customHeight="1" x14ac:dyDescent="0.2">
      <c r="B56" s="28" t="s">
        <v>493</v>
      </c>
      <c r="C56" s="28" t="s">
        <v>494</v>
      </c>
      <c r="D56" s="28" t="s">
        <v>182</v>
      </c>
      <c r="E56" s="29">
        <v>16802</v>
      </c>
      <c r="F56" s="30">
        <v>127.54</v>
      </c>
      <c r="G56" s="31">
        <v>6.1000000000000004E-3</v>
      </c>
      <c r="H56" s="32"/>
    </row>
    <row r="57" spans="2:8" ht="15.75" customHeight="1" x14ac:dyDescent="0.2">
      <c r="B57" s="28" t="s">
        <v>789</v>
      </c>
      <c r="C57" s="28" t="s">
        <v>790</v>
      </c>
      <c r="D57" s="28" t="s">
        <v>274</v>
      </c>
      <c r="E57" s="29">
        <v>42999</v>
      </c>
      <c r="F57" s="30">
        <v>122.63</v>
      </c>
      <c r="G57" s="31">
        <v>5.8999999999999999E-3</v>
      </c>
      <c r="H57" s="32"/>
    </row>
    <row r="58" spans="2:8" ht="15.75" customHeight="1" x14ac:dyDescent="0.2">
      <c r="B58" s="28" t="s">
        <v>177</v>
      </c>
      <c r="C58" s="28" t="s">
        <v>178</v>
      </c>
      <c r="D58" s="28" t="s">
        <v>179</v>
      </c>
      <c r="E58" s="29">
        <v>6219</v>
      </c>
      <c r="F58" s="30">
        <v>117.02</v>
      </c>
      <c r="G58" s="31">
        <v>5.5999999999999999E-3</v>
      </c>
      <c r="H58" s="32"/>
    </row>
    <row r="59" spans="2:8" ht="15.75" customHeight="1" x14ac:dyDescent="0.2">
      <c r="B59" s="28" t="s">
        <v>702</v>
      </c>
      <c r="C59" s="28" t="s">
        <v>703</v>
      </c>
      <c r="D59" s="28" t="s">
        <v>561</v>
      </c>
      <c r="E59" s="29">
        <v>3636</v>
      </c>
      <c r="F59" s="30">
        <v>111.07</v>
      </c>
      <c r="G59" s="31">
        <v>5.3E-3</v>
      </c>
      <c r="H59" s="32"/>
    </row>
    <row r="60" spans="2:8" ht="15.75" customHeight="1" x14ac:dyDescent="0.2">
      <c r="B60" s="28" t="s">
        <v>574</v>
      </c>
      <c r="C60" s="28" t="s">
        <v>575</v>
      </c>
      <c r="D60" s="28" t="s">
        <v>345</v>
      </c>
      <c r="E60" s="29">
        <v>7505</v>
      </c>
      <c r="F60" s="30">
        <v>99.24</v>
      </c>
      <c r="G60" s="31">
        <v>4.7999999999999996E-3</v>
      </c>
      <c r="H60" s="32"/>
    </row>
    <row r="61" spans="2:8" ht="15.75" customHeight="1" x14ac:dyDescent="0.2">
      <c r="B61" s="27" t="s">
        <v>129</v>
      </c>
      <c r="C61" s="27"/>
      <c r="D61" s="27"/>
      <c r="E61" s="33"/>
      <c r="F61" s="34">
        <v>20463.919999999998</v>
      </c>
      <c r="G61" s="35">
        <v>0.98470000000000002</v>
      </c>
      <c r="H61" s="36"/>
    </row>
    <row r="62" spans="2:8" ht="15.75" customHeight="1" x14ac:dyDescent="0.2">
      <c r="B62" s="27" t="s">
        <v>197</v>
      </c>
      <c r="C62" s="28"/>
      <c r="D62" s="28"/>
      <c r="E62" s="29"/>
      <c r="F62" s="30"/>
      <c r="G62" s="31"/>
      <c r="H62" s="32"/>
    </row>
    <row r="63" spans="2:8" ht="15.75" customHeight="1" x14ac:dyDescent="0.2">
      <c r="B63" s="27" t="s">
        <v>129</v>
      </c>
      <c r="C63" s="28"/>
      <c r="D63" s="28"/>
      <c r="E63" s="29"/>
      <c r="F63" s="37" t="s">
        <v>131</v>
      </c>
      <c r="G63" s="38" t="s">
        <v>131</v>
      </c>
      <c r="H63" s="32"/>
    </row>
    <row r="64" spans="2:8" ht="15.75" customHeight="1" x14ac:dyDescent="0.2">
      <c r="B64" s="28"/>
      <c r="C64" s="28"/>
      <c r="D64" s="28"/>
      <c r="E64" s="29"/>
      <c r="F64" s="30"/>
      <c r="G64" s="31"/>
      <c r="H64" s="32"/>
    </row>
    <row r="65" spans="2:14" ht="15.75" customHeight="1" x14ac:dyDescent="0.2">
      <c r="B65" s="39" t="s">
        <v>133</v>
      </c>
      <c r="C65" s="39"/>
      <c r="D65" s="39"/>
      <c r="E65" s="40"/>
      <c r="F65" s="34">
        <v>20463.919999999998</v>
      </c>
      <c r="G65" s="35">
        <v>0.98470000000000002</v>
      </c>
      <c r="H65" s="36"/>
    </row>
    <row r="66" spans="2:14" ht="15.75" customHeight="1" x14ac:dyDescent="0.2">
      <c r="B66" s="28"/>
      <c r="C66" s="28"/>
      <c r="D66" s="28"/>
      <c r="E66" s="29"/>
      <c r="F66" s="30"/>
      <c r="G66" s="31"/>
      <c r="H66" s="32"/>
    </row>
    <row r="67" spans="2:14" ht="15.75" customHeight="1" x14ac:dyDescent="0.2">
      <c r="B67" s="28"/>
      <c r="C67" s="28"/>
      <c r="D67" s="28"/>
      <c r="E67" s="29"/>
      <c r="F67" s="30"/>
      <c r="G67" s="31"/>
      <c r="H67" s="32"/>
    </row>
    <row r="68" spans="2:14" ht="15.75" customHeight="1" x14ac:dyDescent="0.2">
      <c r="B68" s="27" t="s">
        <v>139</v>
      </c>
      <c r="C68" s="28"/>
      <c r="D68" s="28"/>
      <c r="E68" s="29"/>
      <c r="F68" s="30"/>
      <c r="G68" s="31"/>
      <c r="H68" s="32"/>
      <c r="J68" s="3"/>
    </row>
    <row r="69" spans="2:14" ht="15.75" customHeight="1" x14ac:dyDescent="0.2">
      <c r="B69" s="28" t="s">
        <v>140</v>
      </c>
      <c r="C69" s="28"/>
      <c r="D69" s="28"/>
      <c r="E69" s="29"/>
      <c r="F69" s="30">
        <v>560.84</v>
      </c>
      <c r="G69" s="31">
        <v>2.7E-2</v>
      </c>
      <c r="H69" s="32"/>
    </row>
    <row r="70" spans="2:14" ht="15.75" customHeight="1" x14ac:dyDescent="0.2">
      <c r="B70" s="27" t="s">
        <v>129</v>
      </c>
      <c r="C70" s="27"/>
      <c r="D70" s="27"/>
      <c r="E70" s="33"/>
      <c r="F70" s="34">
        <v>560.84</v>
      </c>
      <c r="G70" s="35">
        <v>2.7E-2</v>
      </c>
      <c r="H70" s="36"/>
      <c r="J70" s="3"/>
    </row>
    <row r="71" spans="2:14" ht="15.75" customHeight="1" x14ac:dyDescent="0.2">
      <c r="B71" s="28"/>
      <c r="C71" s="28"/>
      <c r="D71" s="28"/>
      <c r="E71" s="29"/>
      <c r="F71" s="30"/>
      <c r="G71" s="31"/>
      <c r="H71" s="32"/>
      <c r="J71" s="3"/>
    </row>
    <row r="72" spans="2:14" ht="15.75" customHeight="1" x14ac:dyDescent="0.2">
      <c r="B72" s="39" t="s">
        <v>133</v>
      </c>
      <c r="C72" s="39"/>
      <c r="D72" s="39"/>
      <c r="E72" s="40"/>
      <c r="F72" s="34">
        <v>560.84</v>
      </c>
      <c r="G72" s="35">
        <v>2.7E-2</v>
      </c>
      <c r="H72" s="36"/>
      <c r="J72" s="3"/>
    </row>
    <row r="73" spans="2:14" ht="15.75" customHeight="1" x14ac:dyDescent="0.2">
      <c r="B73" s="28" t="s">
        <v>141</v>
      </c>
      <c r="C73" s="28"/>
      <c r="D73" s="28"/>
      <c r="E73" s="29"/>
      <c r="F73" s="50">
        <v>-244.12</v>
      </c>
      <c r="G73" s="51">
        <v>-1.1700000000000044E-2</v>
      </c>
      <c r="H73" s="32"/>
      <c r="J73" s="3"/>
    </row>
    <row r="74" spans="2:14" ht="15.75" customHeight="1" x14ac:dyDescent="0.2">
      <c r="B74" s="41" t="s">
        <v>142</v>
      </c>
      <c r="C74" s="41"/>
      <c r="D74" s="41"/>
      <c r="E74" s="42"/>
      <c r="F74" s="43">
        <v>20780.64</v>
      </c>
      <c r="G74" s="44">
        <v>1</v>
      </c>
      <c r="H74" s="45"/>
      <c r="J74" s="3"/>
    </row>
    <row r="75" spans="2:14" ht="15.75" customHeight="1" x14ac:dyDescent="0.2">
      <c r="B75" s="2"/>
      <c r="J75" s="5"/>
      <c r="K75" s="5"/>
      <c r="L75" s="6"/>
      <c r="M75" s="6"/>
      <c r="N75" s="5"/>
    </row>
    <row r="76" spans="2:14" s="7" customFormat="1" ht="15.6" customHeight="1" x14ac:dyDescent="0.25">
      <c r="B76" s="63" t="s">
        <v>1067</v>
      </c>
      <c r="C76" s="70"/>
      <c r="D76" s="70"/>
      <c r="E76" s="70"/>
      <c r="F76" s="70"/>
      <c r="G76" s="70"/>
      <c r="H76" s="64"/>
    </row>
    <row r="77" spans="2:14" s="7" customFormat="1" ht="15.6" customHeight="1" x14ac:dyDescent="0.25">
      <c r="B77" s="63" t="s">
        <v>1108</v>
      </c>
      <c r="C77" s="70"/>
      <c r="D77" s="70"/>
      <c r="E77" s="70"/>
      <c r="F77" s="70"/>
      <c r="G77" s="70"/>
      <c r="H77" s="64"/>
    </row>
    <row r="78" spans="2:14" s="7" customFormat="1" ht="15.6" customHeight="1" x14ac:dyDescent="0.25">
      <c r="B78" s="63" t="s">
        <v>1068</v>
      </c>
      <c r="C78" s="70"/>
      <c r="D78" s="70"/>
      <c r="E78" s="70"/>
      <c r="F78" s="70"/>
      <c r="G78" s="70"/>
      <c r="H78" s="64"/>
    </row>
    <row r="79" spans="2:14" s="7" customFormat="1" ht="15.6" customHeight="1" x14ac:dyDescent="0.25">
      <c r="B79" s="71"/>
      <c r="C79" s="65">
        <v>46142</v>
      </c>
      <c r="D79" s="65">
        <v>46112</v>
      </c>
      <c r="E79" s="70"/>
      <c r="F79" s="70"/>
      <c r="G79" s="70"/>
      <c r="H79" s="64"/>
    </row>
    <row r="80" spans="2:14" s="7" customFormat="1" ht="15.6" customHeight="1" x14ac:dyDescent="0.25">
      <c r="B80" s="71" t="s">
        <v>1069</v>
      </c>
      <c r="C80" s="66"/>
      <c r="D80" s="66"/>
      <c r="E80" s="70"/>
      <c r="F80" s="70"/>
      <c r="G80" s="70"/>
      <c r="H80" s="64"/>
    </row>
    <row r="81" spans="2:14" s="7" customFormat="1" ht="15.6" customHeight="1" x14ac:dyDescent="0.25">
      <c r="B81" s="71" t="s">
        <v>1070</v>
      </c>
      <c r="C81" s="67">
        <v>25.613400000000002</v>
      </c>
      <c r="D81" s="67">
        <v>22.565999999999999</v>
      </c>
      <c r="E81" s="70"/>
      <c r="F81" s="70"/>
      <c r="G81" s="70"/>
      <c r="H81" s="64"/>
    </row>
    <row r="82" spans="2:14" s="7" customFormat="1" ht="15.6" customHeight="1" x14ac:dyDescent="0.25">
      <c r="B82" s="71" t="s">
        <v>1071</v>
      </c>
      <c r="C82" s="67">
        <v>25.613600000000002</v>
      </c>
      <c r="D82" s="67">
        <v>22.566099999999999</v>
      </c>
      <c r="E82" s="70"/>
      <c r="F82" s="70"/>
      <c r="G82" s="70"/>
      <c r="H82" s="64"/>
    </row>
    <row r="83" spans="2:14" s="7" customFormat="1" ht="15.6" customHeight="1" x14ac:dyDescent="0.25">
      <c r="B83" s="71" t="s">
        <v>1073</v>
      </c>
      <c r="C83" s="67">
        <v>27.809299999999997</v>
      </c>
      <c r="D83" s="67">
        <v>24.474699999999999</v>
      </c>
      <c r="E83" s="70"/>
      <c r="F83" s="70"/>
      <c r="G83" s="70"/>
      <c r="H83" s="64"/>
    </row>
    <row r="84" spans="2:14" s="7" customFormat="1" ht="15.6" customHeight="1" x14ac:dyDescent="0.25">
      <c r="B84" s="71" t="s">
        <v>1074</v>
      </c>
      <c r="C84" s="67">
        <v>27.781500000000001</v>
      </c>
      <c r="D84" s="67">
        <v>24.450900000000001</v>
      </c>
      <c r="E84" s="70"/>
      <c r="F84" s="70"/>
      <c r="G84" s="70"/>
      <c r="H84" s="64"/>
    </row>
    <row r="85" spans="2:14" s="7" customFormat="1" ht="15.6" customHeight="1" x14ac:dyDescent="0.25">
      <c r="B85" s="63" t="s">
        <v>1116</v>
      </c>
      <c r="C85" s="70"/>
      <c r="D85" s="70"/>
      <c r="E85" s="70"/>
      <c r="F85" s="70"/>
      <c r="G85" s="70"/>
      <c r="H85" s="64"/>
    </row>
    <row r="86" spans="2:14" s="7" customFormat="1" ht="15.6" customHeight="1" x14ac:dyDescent="0.25">
      <c r="B86" s="63" t="s">
        <v>1109</v>
      </c>
      <c r="C86" s="70"/>
      <c r="D86" s="70"/>
      <c r="E86" s="70"/>
      <c r="F86" s="70"/>
      <c r="G86" s="70"/>
      <c r="H86" s="64"/>
    </row>
    <row r="87" spans="2:14" s="7" customFormat="1" ht="15.6" customHeight="1" x14ac:dyDescent="0.25">
      <c r="B87" s="63" t="s">
        <v>1111</v>
      </c>
      <c r="C87" s="70"/>
      <c r="D87" s="70"/>
      <c r="E87" s="70"/>
      <c r="F87" s="70"/>
      <c r="G87" s="70"/>
      <c r="H87" s="64"/>
    </row>
    <row r="88" spans="2:14" s="7" customFormat="1" ht="15.6" customHeight="1" x14ac:dyDescent="0.25">
      <c r="B88" s="63" t="s">
        <v>1112</v>
      </c>
      <c r="C88" s="70"/>
      <c r="D88" s="70"/>
      <c r="E88" s="70"/>
      <c r="F88" s="70"/>
      <c r="G88" s="70"/>
      <c r="H88" s="64"/>
    </row>
    <row r="89" spans="2:14" s="7" customFormat="1" ht="15.6" customHeight="1" x14ac:dyDescent="0.25">
      <c r="B89" s="63" t="s">
        <v>1129</v>
      </c>
      <c r="C89" s="70"/>
      <c r="D89" s="70"/>
      <c r="E89" s="70"/>
      <c r="F89" s="70"/>
      <c r="G89" s="70"/>
      <c r="H89" s="64"/>
    </row>
    <row r="90" spans="2:14" s="7" customFormat="1" ht="15.6" customHeight="1" x14ac:dyDescent="0.25">
      <c r="B90" s="63" t="s">
        <v>1113</v>
      </c>
      <c r="C90" s="70"/>
      <c r="D90" s="70"/>
      <c r="E90" s="70"/>
      <c r="F90" s="70"/>
      <c r="G90" s="70"/>
      <c r="H90" s="64"/>
    </row>
    <row r="91" spans="2:14" s="7" customFormat="1" ht="15.6" customHeight="1" x14ac:dyDescent="0.25">
      <c r="B91" s="68" t="s">
        <v>1076</v>
      </c>
      <c r="C91" s="72"/>
      <c r="D91" s="72"/>
      <c r="E91" s="72"/>
      <c r="F91" s="72"/>
      <c r="G91" s="72"/>
      <c r="H91" s="69"/>
    </row>
    <row r="92" spans="2:14" ht="15.75" customHeight="1" thickBot="1" x14ac:dyDescent="0.25"/>
    <row r="93" spans="2:14" ht="39.75" customHeight="1" thickBot="1" x14ac:dyDescent="0.3">
      <c r="B93" s="46" t="s">
        <v>146</v>
      </c>
      <c r="C93" s="47" t="s">
        <v>147</v>
      </c>
      <c r="D93" s="47" t="s">
        <v>148</v>
      </c>
      <c r="E93"/>
      <c r="J93" s="7"/>
      <c r="K93" s="7"/>
      <c r="L93" s="7"/>
      <c r="M93" s="7"/>
      <c r="N93" s="7"/>
    </row>
    <row r="94" spans="2:14" ht="39.75" customHeight="1" x14ac:dyDescent="0.25">
      <c r="B94" s="52" t="s">
        <v>875</v>
      </c>
      <c r="C94" s="109"/>
      <c r="D94" s="48" t="s">
        <v>763</v>
      </c>
      <c r="E94"/>
      <c r="J94" s="7"/>
      <c r="K94" s="7"/>
      <c r="L94" s="7"/>
      <c r="M94" s="7"/>
      <c r="N94" s="7"/>
    </row>
    <row r="95" spans="2:14" ht="39.75" customHeight="1" x14ac:dyDescent="0.25">
      <c r="B95" s="112" t="s">
        <v>876</v>
      </c>
      <c r="C95" s="110"/>
      <c r="D95" s="118"/>
      <c r="E95"/>
      <c r="J95" s="7"/>
      <c r="K95" s="7"/>
      <c r="L95" s="7"/>
      <c r="M95" s="7"/>
      <c r="N95" s="7"/>
    </row>
    <row r="96" spans="2:14" ht="39.75" customHeight="1" x14ac:dyDescent="0.25">
      <c r="B96" s="112"/>
      <c r="C96" s="110"/>
      <c r="D96" s="118"/>
      <c r="E96"/>
      <c r="J96" s="7"/>
      <c r="K96" s="7"/>
      <c r="L96" s="7"/>
      <c r="M96" s="7"/>
      <c r="N96" s="7"/>
    </row>
    <row r="97" spans="2:14" ht="39.75" customHeight="1" x14ac:dyDescent="0.25">
      <c r="B97" s="112"/>
      <c r="C97" s="110"/>
      <c r="D97" s="118"/>
      <c r="E97"/>
      <c r="J97" s="7"/>
      <c r="K97" s="7"/>
      <c r="L97" s="7"/>
      <c r="M97" s="7"/>
      <c r="N97" s="7"/>
    </row>
    <row r="98" spans="2:14" ht="39.75" customHeight="1" thickBot="1" x14ac:dyDescent="0.3">
      <c r="B98" s="113"/>
      <c r="C98" s="111"/>
      <c r="D98" s="119"/>
      <c r="E98"/>
      <c r="J98" s="7"/>
      <c r="K98" s="7"/>
      <c r="L98" s="7"/>
      <c r="M98" s="7"/>
      <c r="N98" s="7"/>
    </row>
    <row r="99" spans="2:14" ht="15.75" customHeight="1" x14ac:dyDescent="0.2">
      <c r="B99" s="9" t="s">
        <v>149</v>
      </c>
    </row>
    <row r="100" spans="2:14" ht="15.75" customHeight="1" x14ac:dyDescent="0.2">
      <c r="B100" s="9" t="s">
        <v>150</v>
      </c>
      <c r="J100" s="3"/>
    </row>
    <row r="101" spans="2:14" ht="15.75" customHeight="1" x14ac:dyDescent="0.2">
      <c r="B101" s="9" t="s">
        <v>151</v>
      </c>
    </row>
  </sheetData>
  <mergeCells count="3">
    <mergeCell ref="C94:C98"/>
    <mergeCell ref="B95:B98"/>
    <mergeCell ref="D95:D98"/>
  </mergeCells>
  <hyperlinks>
    <hyperlink ref="G1" location="'Sheet1'!A1" display="Index" xr:uid="{69343F33-B428-4532-9598-D6C91103E0F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49D37-5FC5-47C8-AD23-B087AAB1331D}">
  <dimension ref="B1:N188"/>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17.28515625" style="10" bestFit="1" customWidth="1"/>
    <col min="9" max="9" width="9.140625" style="2"/>
    <col min="10" max="10" width="17" style="2" bestFit="1"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393301</v>
      </c>
      <c r="F7" s="30">
        <v>3035.1</v>
      </c>
      <c r="G7" s="31">
        <v>3.2300000000000002E-2</v>
      </c>
      <c r="H7" s="32"/>
    </row>
    <row r="8" spans="2:8" ht="15.75" customHeight="1" x14ac:dyDescent="0.2">
      <c r="B8" s="28" t="s">
        <v>191</v>
      </c>
      <c r="C8" s="28" t="s">
        <v>192</v>
      </c>
      <c r="D8" s="28" t="s">
        <v>173</v>
      </c>
      <c r="E8" s="29">
        <v>238965</v>
      </c>
      <c r="F8" s="30">
        <v>3019.08</v>
      </c>
      <c r="G8" s="31">
        <v>3.2099999999999997E-2</v>
      </c>
      <c r="H8" s="32"/>
    </row>
    <row r="9" spans="2:8" ht="15.75" customHeight="1" x14ac:dyDescent="0.2">
      <c r="B9" s="28" t="s">
        <v>316</v>
      </c>
      <c r="C9" s="28" t="s">
        <v>317</v>
      </c>
      <c r="D9" s="28" t="s">
        <v>318</v>
      </c>
      <c r="E9" s="29">
        <v>61700</v>
      </c>
      <c r="F9" s="30">
        <v>2476.64</v>
      </c>
      <c r="G9" s="31">
        <v>2.63E-2</v>
      </c>
      <c r="H9" s="32"/>
    </row>
    <row r="10" spans="2:8" ht="15.75" customHeight="1" x14ac:dyDescent="0.2">
      <c r="B10" s="28" t="s">
        <v>214</v>
      </c>
      <c r="C10" s="28" t="s">
        <v>215</v>
      </c>
      <c r="D10" s="28" t="s">
        <v>216</v>
      </c>
      <c r="E10" s="29">
        <v>131082</v>
      </c>
      <c r="F10" s="30">
        <v>2473.2600000000002</v>
      </c>
      <c r="G10" s="31">
        <v>2.63E-2</v>
      </c>
      <c r="H10" s="32"/>
    </row>
    <row r="11" spans="2:8" ht="15.75" customHeight="1" x14ac:dyDescent="0.2">
      <c r="B11" s="28" t="s">
        <v>292</v>
      </c>
      <c r="C11" s="28" t="s">
        <v>293</v>
      </c>
      <c r="D11" s="28" t="s">
        <v>195</v>
      </c>
      <c r="E11" s="29">
        <v>577953</v>
      </c>
      <c r="F11" s="30">
        <v>1974</v>
      </c>
      <c r="G11" s="31">
        <v>2.1000000000000001E-2</v>
      </c>
      <c r="H11" s="32"/>
    </row>
    <row r="12" spans="2:8" ht="15.75" customHeight="1" x14ac:dyDescent="0.2">
      <c r="B12" s="28" t="s">
        <v>193</v>
      </c>
      <c r="C12" s="28" t="s">
        <v>194</v>
      </c>
      <c r="D12" s="28" t="s">
        <v>195</v>
      </c>
      <c r="E12" s="29">
        <v>61247</v>
      </c>
      <c r="F12" s="30">
        <v>1897.13</v>
      </c>
      <c r="G12" s="31">
        <v>2.0199999999999999E-2</v>
      </c>
      <c r="H12" s="32"/>
    </row>
    <row r="13" spans="2:8" ht="15.75" customHeight="1" x14ac:dyDescent="0.2">
      <c r="B13" s="28" t="s">
        <v>386</v>
      </c>
      <c r="C13" s="28" t="s">
        <v>387</v>
      </c>
      <c r="D13" s="28" t="s">
        <v>388</v>
      </c>
      <c r="E13" s="29">
        <v>83155</v>
      </c>
      <c r="F13" s="30">
        <v>1871.82</v>
      </c>
      <c r="G13" s="31">
        <v>1.9900000000000001E-2</v>
      </c>
      <c r="H13" s="32"/>
    </row>
    <row r="14" spans="2:8" ht="15.75" customHeight="1" x14ac:dyDescent="0.2">
      <c r="B14" s="28" t="s">
        <v>356</v>
      </c>
      <c r="C14" s="28" t="s">
        <v>357</v>
      </c>
      <c r="D14" s="28" t="s">
        <v>287</v>
      </c>
      <c r="E14" s="29">
        <v>43495</v>
      </c>
      <c r="F14" s="30">
        <v>1868.24</v>
      </c>
      <c r="G14" s="31">
        <v>1.9900000000000001E-2</v>
      </c>
      <c r="H14" s="32"/>
    </row>
    <row r="15" spans="2:8" ht="15.75" customHeight="1" x14ac:dyDescent="0.2">
      <c r="B15" s="28" t="s">
        <v>393</v>
      </c>
      <c r="C15" s="28" t="s">
        <v>394</v>
      </c>
      <c r="D15" s="28" t="s">
        <v>395</v>
      </c>
      <c r="E15" s="29">
        <v>23512</v>
      </c>
      <c r="F15" s="30">
        <v>1795.49</v>
      </c>
      <c r="G15" s="31">
        <v>1.9099999999999999E-2</v>
      </c>
      <c r="H15" s="32"/>
    </row>
    <row r="16" spans="2:8" ht="15.75" customHeight="1" x14ac:dyDescent="0.2">
      <c r="B16" s="28" t="s">
        <v>236</v>
      </c>
      <c r="C16" s="28" t="s">
        <v>237</v>
      </c>
      <c r="D16" s="28" t="s">
        <v>238</v>
      </c>
      <c r="E16" s="29">
        <v>93763</v>
      </c>
      <c r="F16" s="30">
        <v>1695.52</v>
      </c>
      <c r="G16" s="31">
        <v>1.7999999999999999E-2</v>
      </c>
      <c r="H16" s="32"/>
    </row>
    <row r="17" spans="2:8" ht="15.75" customHeight="1" x14ac:dyDescent="0.2">
      <c r="B17" s="28" t="s">
        <v>183</v>
      </c>
      <c r="C17" s="28" t="s">
        <v>184</v>
      </c>
      <c r="D17" s="28" t="s">
        <v>173</v>
      </c>
      <c r="E17" s="29">
        <v>119904</v>
      </c>
      <c r="F17" s="30">
        <v>1520.74</v>
      </c>
      <c r="G17" s="31">
        <v>1.6199999999999999E-2</v>
      </c>
      <c r="H17" s="32"/>
    </row>
    <row r="18" spans="2:8" ht="15.75" customHeight="1" x14ac:dyDescent="0.2">
      <c r="B18" s="28" t="s">
        <v>256</v>
      </c>
      <c r="C18" s="28" t="s">
        <v>257</v>
      </c>
      <c r="D18" s="28" t="s">
        <v>187</v>
      </c>
      <c r="E18" s="29">
        <v>460681</v>
      </c>
      <c r="F18" s="30">
        <v>1450.68</v>
      </c>
      <c r="G18" s="31">
        <v>1.54E-2</v>
      </c>
      <c r="H18" s="32"/>
    </row>
    <row r="19" spans="2:8" ht="15.75" customHeight="1" x14ac:dyDescent="0.2">
      <c r="B19" s="28" t="s">
        <v>580</v>
      </c>
      <c r="C19" s="28" t="s">
        <v>581</v>
      </c>
      <c r="D19" s="28" t="s">
        <v>483</v>
      </c>
      <c r="E19" s="29">
        <v>39281</v>
      </c>
      <c r="F19" s="30">
        <v>1344.63</v>
      </c>
      <c r="G19" s="31">
        <v>1.43E-2</v>
      </c>
      <c r="H19" s="32"/>
    </row>
    <row r="20" spans="2:8" ht="15.75" customHeight="1" x14ac:dyDescent="0.2">
      <c r="B20" s="28" t="s">
        <v>329</v>
      </c>
      <c r="C20" s="28" t="s">
        <v>330</v>
      </c>
      <c r="D20" s="28" t="s">
        <v>331</v>
      </c>
      <c r="E20" s="29">
        <v>11111</v>
      </c>
      <c r="F20" s="30">
        <v>1287.32</v>
      </c>
      <c r="G20" s="31">
        <v>1.37E-2</v>
      </c>
      <c r="H20" s="32"/>
    </row>
    <row r="21" spans="2:8" ht="15.75" customHeight="1" x14ac:dyDescent="0.2">
      <c r="B21" s="28" t="s">
        <v>497</v>
      </c>
      <c r="C21" s="28" t="s">
        <v>498</v>
      </c>
      <c r="D21" s="28" t="s">
        <v>243</v>
      </c>
      <c r="E21" s="29">
        <v>1024336</v>
      </c>
      <c r="F21" s="30">
        <v>1252.6600000000001</v>
      </c>
      <c r="G21" s="31">
        <v>1.3299999999999999E-2</v>
      </c>
      <c r="H21" s="32"/>
    </row>
    <row r="22" spans="2:8" ht="15.75" customHeight="1" x14ac:dyDescent="0.2">
      <c r="B22" s="28" t="s">
        <v>379</v>
      </c>
      <c r="C22" s="28" t="s">
        <v>380</v>
      </c>
      <c r="D22" s="28" t="s">
        <v>331</v>
      </c>
      <c r="E22" s="29">
        <v>43093</v>
      </c>
      <c r="F22" s="30">
        <v>1204.23</v>
      </c>
      <c r="G22" s="31">
        <v>1.2800000000000001E-2</v>
      </c>
      <c r="H22" s="32"/>
    </row>
    <row r="23" spans="2:8" ht="15.75" customHeight="1" x14ac:dyDescent="0.2">
      <c r="B23" s="28" t="s">
        <v>174</v>
      </c>
      <c r="C23" s="28" t="s">
        <v>175</v>
      </c>
      <c r="D23" s="28" t="s">
        <v>176</v>
      </c>
      <c r="E23" s="29">
        <v>82897</v>
      </c>
      <c r="F23" s="30">
        <v>1186.0899999999999</v>
      </c>
      <c r="G23" s="31">
        <v>1.26E-2</v>
      </c>
      <c r="H23" s="32"/>
    </row>
    <row r="24" spans="2:8" ht="15.75" customHeight="1" x14ac:dyDescent="0.2">
      <c r="B24" s="28" t="s">
        <v>376</v>
      </c>
      <c r="C24" s="28" t="s">
        <v>377</v>
      </c>
      <c r="D24" s="28" t="s">
        <v>378</v>
      </c>
      <c r="E24" s="29">
        <v>369800</v>
      </c>
      <c r="F24" s="30">
        <v>1149.71</v>
      </c>
      <c r="G24" s="31">
        <v>1.2200000000000001E-2</v>
      </c>
      <c r="H24" s="32"/>
    </row>
    <row r="25" spans="2:8" ht="15.75" customHeight="1" x14ac:dyDescent="0.2">
      <c r="B25" s="28" t="s">
        <v>319</v>
      </c>
      <c r="C25" s="28" t="s">
        <v>320</v>
      </c>
      <c r="D25" s="28" t="s">
        <v>321</v>
      </c>
      <c r="E25" s="29">
        <v>28548</v>
      </c>
      <c r="F25" s="30">
        <v>1141.6300000000001</v>
      </c>
      <c r="G25" s="31">
        <v>1.21E-2</v>
      </c>
      <c r="H25" s="32"/>
    </row>
    <row r="26" spans="2:8" ht="15.75" customHeight="1" x14ac:dyDescent="0.2">
      <c r="B26" s="28" t="s">
        <v>364</v>
      </c>
      <c r="C26" s="28" t="s">
        <v>365</v>
      </c>
      <c r="D26" s="28" t="s">
        <v>238</v>
      </c>
      <c r="E26" s="29">
        <v>4410</v>
      </c>
      <c r="F26" s="30">
        <v>1121.68</v>
      </c>
      <c r="G26" s="31">
        <v>1.1900000000000001E-2</v>
      </c>
      <c r="H26" s="32"/>
    </row>
    <row r="27" spans="2:8" ht="15.75" customHeight="1" x14ac:dyDescent="0.2">
      <c r="B27" s="28" t="s">
        <v>722</v>
      </c>
      <c r="C27" s="28" t="s">
        <v>723</v>
      </c>
      <c r="D27" s="28" t="s">
        <v>470</v>
      </c>
      <c r="E27" s="29">
        <v>232868</v>
      </c>
      <c r="F27" s="30">
        <v>1114.51</v>
      </c>
      <c r="G27" s="31">
        <v>1.1900000000000001E-2</v>
      </c>
      <c r="H27" s="32"/>
    </row>
    <row r="28" spans="2:8" ht="15.75" customHeight="1" x14ac:dyDescent="0.2">
      <c r="B28" s="28" t="s">
        <v>232</v>
      </c>
      <c r="C28" s="28" t="s">
        <v>233</v>
      </c>
      <c r="D28" s="28" t="s">
        <v>195</v>
      </c>
      <c r="E28" s="29">
        <v>8153</v>
      </c>
      <c r="F28" s="30">
        <v>1085.49</v>
      </c>
      <c r="G28" s="31">
        <v>1.15E-2</v>
      </c>
      <c r="H28" s="32"/>
    </row>
    <row r="29" spans="2:8" ht="15.75" customHeight="1" x14ac:dyDescent="0.2">
      <c r="B29" s="28" t="s">
        <v>314</v>
      </c>
      <c r="C29" s="28" t="s">
        <v>315</v>
      </c>
      <c r="D29" s="28" t="s">
        <v>182</v>
      </c>
      <c r="E29" s="29">
        <v>43850</v>
      </c>
      <c r="F29" s="30">
        <v>1084.81</v>
      </c>
      <c r="G29" s="31">
        <v>1.15E-2</v>
      </c>
      <c r="H29" s="32"/>
    </row>
    <row r="30" spans="2:8" ht="15.75" customHeight="1" x14ac:dyDescent="0.2">
      <c r="B30" s="28" t="s">
        <v>491</v>
      </c>
      <c r="C30" s="28" t="s">
        <v>492</v>
      </c>
      <c r="D30" s="28" t="s">
        <v>271</v>
      </c>
      <c r="E30" s="29">
        <v>67682</v>
      </c>
      <c r="F30" s="30">
        <v>1078.17</v>
      </c>
      <c r="G30" s="31">
        <v>1.15E-2</v>
      </c>
      <c r="H30" s="32"/>
    </row>
    <row r="31" spans="2:8" ht="15.75" customHeight="1" x14ac:dyDescent="0.2">
      <c r="B31" s="28" t="s">
        <v>678</v>
      </c>
      <c r="C31" s="28" t="s">
        <v>679</v>
      </c>
      <c r="D31" s="28" t="s">
        <v>345</v>
      </c>
      <c r="E31" s="29">
        <v>15590</v>
      </c>
      <c r="F31" s="30">
        <v>1063.3900000000001</v>
      </c>
      <c r="G31" s="31">
        <v>1.1299999999999999E-2</v>
      </c>
      <c r="H31" s="32"/>
    </row>
    <row r="32" spans="2:8" ht="15.75" customHeight="1" x14ac:dyDescent="0.2">
      <c r="B32" s="28" t="s">
        <v>227</v>
      </c>
      <c r="C32" s="28" t="s">
        <v>228</v>
      </c>
      <c r="D32" s="28" t="s">
        <v>229</v>
      </c>
      <c r="E32" s="29">
        <v>499653</v>
      </c>
      <c r="F32" s="30">
        <v>1056.07</v>
      </c>
      <c r="G32" s="31">
        <v>1.12E-2</v>
      </c>
      <c r="H32" s="32"/>
    </row>
    <row r="33" spans="2:8" ht="15.75" customHeight="1" x14ac:dyDescent="0.2">
      <c r="B33" s="28" t="s">
        <v>603</v>
      </c>
      <c r="C33" s="28" t="s">
        <v>604</v>
      </c>
      <c r="D33" s="28" t="s">
        <v>345</v>
      </c>
      <c r="E33" s="29">
        <v>75904</v>
      </c>
      <c r="F33" s="30">
        <v>1044.21</v>
      </c>
      <c r="G33" s="31">
        <v>1.11E-2</v>
      </c>
      <c r="H33" s="32"/>
    </row>
    <row r="34" spans="2:8" ht="15.75" customHeight="1" x14ac:dyDescent="0.2">
      <c r="B34" s="28" t="s">
        <v>462</v>
      </c>
      <c r="C34" s="28" t="s">
        <v>463</v>
      </c>
      <c r="D34" s="28" t="s">
        <v>238</v>
      </c>
      <c r="E34" s="29">
        <v>625533</v>
      </c>
      <c r="F34" s="30">
        <v>1012.55</v>
      </c>
      <c r="G34" s="31">
        <v>1.0800000000000001E-2</v>
      </c>
      <c r="H34" s="32"/>
    </row>
    <row r="35" spans="2:8" ht="15.75" customHeight="1" x14ac:dyDescent="0.2">
      <c r="B35" s="28" t="s">
        <v>584</v>
      </c>
      <c r="C35" s="28" t="s">
        <v>585</v>
      </c>
      <c r="D35" s="28" t="s">
        <v>271</v>
      </c>
      <c r="E35" s="29">
        <v>98586</v>
      </c>
      <c r="F35" s="30">
        <v>1008.39</v>
      </c>
      <c r="G35" s="31">
        <v>1.0699999999999999E-2</v>
      </c>
      <c r="H35" s="32"/>
    </row>
    <row r="36" spans="2:8" ht="15.75" customHeight="1" x14ac:dyDescent="0.2">
      <c r="B36" s="28" t="s">
        <v>572</v>
      </c>
      <c r="C36" s="28" t="s">
        <v>573</v>
      </c>
      <c r="D36" s="28" t="s">
        <v>434</v>
      </c>
      <c r="E36" s="29">
        <v>54920</v>
      </c>
      <c r="F36" s="30">
        <v>991.91</v>
      </c>
      <c r="G36" s="31">
        <v>1.0500000000000001E-2</v>
      </c>
      <c r="H36" s="32"/>
    </row>
    <row r="37" spans="2:8" ht="15.75" customHeight="1" x14ac:dyDescent="0.2">
      <c r="B37" s="28" t="s">
        <v>588</v>
      </c>
      <c r="C37" s="28" t="s">
        <v>589</v>
      </c>
      <c r="D37" s="28" t="s">
        <v>431</v>
      </c>
      <c r="E37" s="29">
        <v>26581</v>
      </c>
      <c r="F37" s="30">
        <v>967.68</v>
      </c>
      <c r="G37" s="31">
        <v>1.03E-2</v>
      </c>
      <c r="H37" s="32"/>
    </row>
    <row r="38" spans="2:8" ht="15.75" customHeight="1" x14ac:dyDescent="0.2">
      <c r="B38" s="28" t="s">
        <v>601</v>
      </c>
      <c r="C38" s="28" t="s">
        <v>602</v>
      </c>
      <c r="D38" s="28" t="s">
        <v>483</v>
      </c>
      <c r="E38" s="29">
        <v>181854</v>
      </c>
      <c r="F38" s="30">
        <v>967.1</v>
      </c>
      <c r="G38" s="31">
        <v>1.03E-2</v>
      </c>
      <c r="H38" s="32"/>
    </row>
    <row r="39" spans="2:8" ht="15.75" customHeight="1" x14ac:dyDescent="0.2">
      <c r="B39" s="28" t="s">
        <v>622</v>
      </c>
      <c r="C39" s="28" t="s">
        <v>623</v>
      </c>
      <c r="D39" s="28" t="s">
        <v>196</v>
      </c>
      <c r="E39" s="29">
        <v>16852</v>
      </c>
      <c r="F39" s="30">
        <v>964.95</v>
      </c>
      <c r="G39" s="31">
        <v>1.03E-2</v>
      </c>
      <c r="H39" s="32"/>
    </row>
    <row r="40" spans="2:8" ht="15.75" customHeight="1" x14ac:dyDescent="0.2">
      <c r="B40" s="28" t="s">
        <v>528</v>
      </c>
      <c r="C40" s="28" t="s">
        <v>529</v>
      </c>
      <c r="D40" s="28" t="s">
        <v>431</v>
      </c>
      <c r="E40" s="29">
        <v>95463</v>
      </c>
      <c r="F40" s="30">
        <v>964.13</v>
      </c>
      <c r="G40" s="31">
        <v>1.03E-2</v>
      </c>
      <c r="H40" s="32"/>
    </row>
    <row r="41" spans="2:8" ht="15.75" customHeight="1" x14ac:dyDescent="0.2">
      <c r="B41" s="28" t="s">
        <v>180</v>
      </c>
      <c r="C41" s="28" t="s">
        <v>181</v>
      </c>
      <c r="D41" s="28" t="s">
        <v>182</v>
      </c>
      <c r="E41" s="29">
        <v>81194</v>
      </c>
      <c r="F41" s="30">
        <v>959.55</v>
      </c>
      <c r="G41" s="31">
        <v>1.0200000000000001E-2</v>
      </c>
      <c r="H41" s="32"/>
    </row>
    <row r="42" spans="2:8" ht="15.75" customHeight="1" x14ac:dyDescent="0.2">
      <c r="B42" s="28" t="s">
        <v>212</v>
      </c>
      <c r="C42" s="28" t="s">
        <v>213</v>
      </c>
      <c r="D42" s="28" t="s">
        <v>173</v>
      </c>
      <c r="E42" s="29">
        <v>88798</v>
      </c>
      <c r="F42" s="30">
        <v>948.76</v>
      </c>
      <c r="G42" s="31">
        <v>1.01E-2</v>
      </c>
      <c r="H42" s="32"/>
    </row>
    <row r="43" spans="2:8" ht="15.75" customHeight="1" x14ac:dyDescent="0.2">
      <c r="B43" s="28" t="s">
        <v>617</v>
      </c>
      <c r="C43" s="28" t="s">
        <v>618</v>
      </c>
      <c r="D43" s="28" t="s">
        <v>619</v>
      </c>
      <c r="E43" s="29">
        <v>45103</v>
      </c>
      <c r="F43" s="30">
        <v>945.45</v>
      </c>
      <c r="G43" s="31">
        <v>1.01E-2</v>
      </c>
      <c r="H43" s="32"/>
    </row>
    <row r="44" spans="2:8" ht="15.75" customHeight="1" x14ac:dyDescent="0.2">
      <c r="B44" s="28" t="s">
        <v>596</v>
      </c>
      <c r="C44" s="28" t="s">
        <v>597</v>
      </c>
      <c r="D44" s="28" t="s">
        <v>190</v>
      </c>
      <c r="E44" s="29">
        <v>266054</v>
      </c>
      <c r="F44" s="30">
        <v>942.63</v>
      </c>
      <c r="G44" s="31">
        <v>0.01</v>
      </c>
      <c r="H44" s="32"/>
    </row>
    <row r="45" spans="2:8" ht="15.75" customHeight="1" x14ac:dyDescent="0.2">
      <c r="B45" s="28" t="s">
        <v>339</v>
      </c>
      <c r="C45" s="28" t="s">
        <v>340</v>
      </c>
      <c r="D45" s="28" t="s">
        <v>196</v>
      </c>
      <c r="E45" s="29">
        <v>146474</v>
      </c>
      <c r="F45" s="30">
        <v>934.94</v>
      </c>
      <c r="G45" s="31">
        <v>9.9000000000000008E-3</v>
      </c>
      <c r="H45" s="32"/>
    </row>
    <row r="46" spans="2:8" ht="15.75" customHeight="1" x14ac:dyDescent="0.2">
      <c r="B46" s="28" t="s">
        <v>877</v>
      </c>
      <c r="C46" s="28" t="s">
        <v>878</v>
      </c>
      <c r="D46" s="28" t="s">
        <v>331</v>
      </c>
      <c r="E46" s="29">
        <v>3812</v>
      </c>
      <c r="F46" s="30">
        <v>922.31</v>
      </c>
      <c r="G46" s="31">
        <v>9.7999999999999997E-3</v>
      </c>
      <c r="H46" s="32"/>
    </row>
    <row r="47" spans="2:8" ht="15.75" customHeight="1" x14ac:dyDescent="0.2">
      <c r="B47" s="28" t="s">
        <v>222</v>
      </c>
      <c r="C47" s="28" t="s">
        <v>223</v>
      </c>
      <c r="D47" s="28" t="s">
        <v>224</v>
      </c>
      <c r="E47" s="29">
        <v>212182</v>
      </c>
      <c r="F47" s="30">
        <v>915.14</v>
      </c>
      <c r="G47" s="31">
        <v>9.7000000000000003E-3</v>
      </c>
      <c r="H47" s="32"/>
    </row>
    <row r="48" spans="2:8" ht="15.75" customHeight="1" x14ac:dyDescent="0.2">
      <c r="B48" s="28" t="s">
        <v>278</v>
      </c>
      <c r="C48" s="28" t="s">
        <v>279</v>
      </c>
      <c r="D48" s="28" t="s">
        <v>190</v>
      </c>
      <c r="E48" s="29">
        <v>182614</v>
      </c>
      <c r="F48" s="30">
        <v>818.84</v>
      </c>
      <c r="G48" s="31">
        <v>8.6999999999999994E-3</v>
      </c>
      <c r="H48" s="32"/>
    </row>
    <row r="49" spans="2:8" ht="15.75" customHeight="1" x14ac:dyDescent="0.2">
      <c r="B49" s="28" t="s">
        <v>632</v>
      </c>
      <c r="C49" s="28" t="s">
        <v>633</v>
      </c>
      <c r="D49" s="28" t="s">
        <v>243</v>
      </c>
      <c r="E49" s="29">
        <v>130763</v>
      </c>
      <c r="F49" s="30">
        <v>806.09</v>
      </c>
      <c r="G49" s="31">
        <v>8.6E-3</v>
      </c>
      <c r="H49" s="32"/>
    </row>
    <row r="50" spans="2:8" ht="15.75" customHeight="1" x14ac:dyDescent="0.2">
      <c r="B50" s="28" t="s">
        <v>824</v>
      </c>
      <c r="C50" s="28" t="s">
        <v>825</v>
      </c>
      <c r="D50" s="28" t="s">
        <v>571</v>
      </c>
      <c r="E50" s="29">
        <v>424152</v>
      </c>
      <c r="F50" s="30">
        <v>770.05</v>
      </c>
      <c r="G50" s="31">
        <v>8.2000000000000007E-3</v>
      </c>
      <c r="H50" s="32"/>
    </row>
    <row r="51" spans="2:8" ht="15.75" customHeight="1" x14ac:dyDescent="0.2">
      <c r="B51" s="28" t="s">
        <v>220</v>
      </c>
      <c r="C51" s="28" t="s">
        <v>221</v>
      </c>
      <c r="D51" s="28" t="s">
        <v>173</v>
      </c>
      <c r="E51" s="29">
        <v>191290</v>
      </c>
      <c r="F51" s="30">
        <v>733.21</v>
      </c>
      <c r="G51" s="31">
        <v>7.7999999999999996E-3</v>
      </c>
      <c r="H51" s="32"/>
    </row>
    <row r="52" spans="2:8" ht="15.75" customHeight="1" x14ac:dyDescent="0.2">
      <c r="B52" s="28" t="s">
        <v>499</v>
      </c>
      <c r="C52" s="28" t="s">
        <v>500</v>
      </c>
      <c r="D52" s="28" t="s">
        <v>318</v>
      </c>
      <c r="E52" s="29">
        <v>214084</v>
      </c>
      <c r="F52" s="30">
        <v>727.24</v>
      </c>
      <c r="G52" s="31">
        <v>7.7000000000000002E-3</v>
      </c>
      <c r="H52" s="32"/>
    </row>
    <row r="53" spans="2:8" ht="15.75" customHeight="1" x14ac:dyDescent="0.2">
      <c r="B53" s="28" t="s">
        <v>628</v>
      </c>
      <c r="C53" s="28" t="s">
        <v>629</v>
      </c>
      <c r="D53" s="28" t="s">
        <v>271</v>
      </c>
      <c r="E53" s="29">
        <v>39283</v>
      </c>
      <c r="F53" s="30">
        <v>699.63</v>
      </c>
      <c r="G53" s="31">
        <v>7.4000000000000003E-3</v>
      </c>
      <c r="H53" s="32"/>
    </row>
    <row r="54" spans="2:8" ht="15.75" customHeight="1" x14ac:dyDescent="0.2">
      <c r="B54" s="28" t="s">
        <v>185</v>
      </c>
      <c r="C54" s="28" t="s">
        <v>186</v>
      </c>
      <c r="D54" s="28" t="s">
        <v>187</v>
      </c>
      <c r="E54" s="29">
        <v>30966</v>
      </c>
      <c r="F54" s="30">
        <v>697.01</v>
      </c>
      <c r="G54" s="31">
        <v>7.4000000000000003E-3</v>
      </c>
      <c r="H54" s="32"/>
    </row>
    <row r="55" spans="2:8" ht="15.75" customHeight="1" x14ac:dyDescent="0.2">
      <c r="B55" s="28" t="s">
        <v>239</v>
      </c>
      <c r="C55" s="28" t="s">
        <v>240</v>
      </c>
      <c r="D55" s="28" t="s">
        <v>173</v>
      </c>
      <c r="E55" s="29">
        <v>262685</v>
      </c>
      <c r="F55" s="30">
        <v>692.07</v>
      </c>
      <c r="G55" s="31">
        <v>7.4000000000000003E-3</v>
      </c>
      <c r="H55" s="32"/>
    </row>
    <row r="56" spans="2:8" ht="15.75" customHeight="1" x14ac:dyDescent="0.2">
      <c r="B56" s="28" t="s">
        <v>432</v>
      </c>
      <c r="C56" s="28" t="s">
        <v>433</v>
      </c>
      <c r="D56" s="28" t="s">
        <v>434</v>
      </c>
      <c r="E56" s="29">
        <v>120099</v>
      </c>
      <c r="F56" s="30">
        <v>492.29</v>
      </c>
      <c r="G56" s="31">
        <v>5.1999999999999998E-3</v>
      </c>
      <c r="H56" s="32"/>
    </row>
    <row r="57" spans="2:8" ht="15.75" customHeight="1" x14ac:dyDescent="0.2">
      <c r="B57" s="27" t="s">
        <v>129</v>
      </c>
      <c r="C57" s="27"/>
      <c r="D57" s="27"/>
      <c r="E57" s="33"/>
      <c r="F57" s="34">
        <v>62174.22</v>
      </c>
      <c r="G57" s="35">
        <v>0.66110000000000002</v>
      </c>
      <c r="H57" s="36"/>
    </row>
    <row r="58" spans="2:8" ht="15.75" customHeight="1" x14ac:dyDescent="0.2">
      <c r="B58" s="27" t="s">
        <v>197</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62174.22</v>
      </c>
      <c r="G61" s="35">
        <v>0.66110000000000002</v>
      </c>
      <c r="H61" s="36"/>
    </row>
    <row r="62" spans="2:8" ht="15.75" customHeight="1" x14ac:dyDescent="0.2">
      <c r="B62" s="27" t="s">
        <v>826</v>
      </c>
      <c r="C62" s="28"/>
      <c r="D62" s="28"/>
      <c r="E62" s="29"/>
      <c r="F62" s="30"/>
      <c r="G62" s="31"/>
      <c r="H62" s="32"/>
    </row>
    <row r="63" spans="2:8" ht="15.75" customHeight="1" x14ac:dyDescent="0.2">
      <c r="B63" s="27" t="s">
        <v>827</v>
      </c>
      <c r="C63" s="27"/>
      <c r="D63" s="27"/>
      <c r="E63" s="33"/>
      <c r="F63" s="61"/>
      <c r="G63" s="62"/>
      <c r="H63" s="36"/>
    </row>
    <row r="64" spans="2:8" ht="15.75" customHeight="1" x14ac:dyDescent="0.2">
      <c r="B64" s="28" t="s">
        <v>828</v>
      </c>
      <c r="C64" s="28"/>
      <c r="D64" s="28"/>
      <c r="E64" s="29"/>
      <c r="F64" s="30">
        <v>149.66999999999999</v>
      </c>
      <c r="G64" s="31">
        <v>1.6000000000000001E-3</v>
      </c>
      <c r="H64" s="32"/>
    </row>
    <row r="65" spans="2:14" ht="15.75" customHeight="1" x14ac:dyDescent="0.2">
      <c r="B65" s="27" t="s">
        <v>129</v>
      </c>
      <c r="C65" s="27"/>
      <c r="D65" s="27"/>
      <c r="E65" s="33"/>
      <c r="F65" s="34">
        <v>149.66999999999999</v>
      </c>
      <c r="G65" s="35">
        <v>1.6000000000000001E-3</v>
      </c>
      <c r="H65" s="36"/>
    </row>
    <row r="66" spans="2:14" ht="15.75" customHeight="1" x14ac:dyDescent="0.2">
      <c r="B66" s="28"/>
      <c r="C66" s="28"/>
      <c r="D66" s="28"/>
      <c r="E66" s="29"/>
      <c r="F66" s="30"/>
      <c r="G66" s="31"/>
      <c r="H66" s="32"/>
    </row>
    <row r="67" spans="2:14" ht="15.75" customHeight="1" x14ac:dyDescent="0.2">
      <c r="B67" s="39" t="s">
        <v>133</v>
      </c>
      <c r="C67" s="39"/>
      <c r="D67" s="39"/>
      <c r="E67" s="40"/>
      <c r="F67" s="34">
        <v>149.66999999999999</v>
      </c>
      <c r="G67" s="35">
        <v>1.6000000000000001E-3</v>
      </c>
      <c r="H67" s="36"/>
    </row>
    <row r="68" spans="2:14" ht="15.75" customHeight="1" x14ac:dyDescent="0.2">
      <c r="B68" s="27" t="s">
        <v>114</v>
      </c>
      <c r="C68" s="28"/>
      <c r="D68" s="28"/>
      <c r="E68" s="29"/>
      <c r="F68" s="30"/>
      <c r="G68" s="31"/>
      <c r="H68" s="32"/>
      <c r="J68" s="3"/>
    </row>
    <row r="69" spans="2:14" ht="15.75" customHeight="1" x14ac:dyDescent="0.2">
      <c r="B69" s="27" t="s">
        <v>115</v>
      </c>
      <c r="C69" s="28"/>
      <c r="D69" s="28"/>
      <c r="E69" s="29"/>
      <c r="F69" s="30"/>
      <c r="G69" s="31"/>
      <c r="H69" s="32"/>
    </row>
    <row r="70" spans="2:14" ht="15.75" customHeight="1" x14ac:dyDescent="0.2">
      <c r="B70" s="28" t="s">
        <v>127</v>
      </c>
      <c r="C70" s="28" t="s">
        <v>128</v>
      </c>
      <c r="D70" s="28" t="s">
        <v>116</v>
      </c>
      <c r="E70" s="29">
        <v>1500000</v>
      </c>
      <c r="F70" s="30">
        <v>1512.82</v>
      </c>
      <c r="G70" s="31">
        <v>1.61E-2</v>
      </c>
      <c r="H70" s="32">
        <v>7.1556999999999996E-2</v>
      </c>
      <c r="J70" s="3"/>
    </row>
    <row r="71" spans="2:14" ht="15.75" customHeight="1" x14ac:dyDescent="0.2">
      <c r="B71" s="28" t="s">
        <v>208</v>
      </c>
      <c r="C71" s="28" t="s">
        <v>209</v>
      </c>
      <c r="D71" s="28" t="s">
        <v>116</v>
      </c>
      <c r="E71" s="29">
        <v>1000000</v>
      </c>
      <c r="F71" s="30">
        <v>1033.53</v>
      </c>
      <c r="G71" s="31">
        <v>1.0999999999999999E-2</v>
      </c>
      <c r="H71" s="32">
        <v>6.9561999999999999E-2</v>
      </c>
      <c r="J71" s="3"/>
    </row>
    <row r="72" spans="2:14" ht="15.75" customHeight="1" x14ac:dyDescent="0.2">
      <c r="B72" s="28" t="s">
        <v>440</v>
      </c>
      <c r="C72" s="28" t="s">
        <v>441</v>
      </c>
      <c r="D72" s="28" t="s">
        <v>116</v>
      </c>
      <c r="E72" s="29">
        <v>1000000</v>
      </c>
      <c r="F72" s="30">
        <v>1022.61</v>
      </c>
      <c r="G72" s="31">
        <v>1.09E-2</v>
      </c>
      <c r="H72" s="32">
        <v>7.2625999999999996E-2</v>
      </c>
      <c r="J72" s="3"/>
    </row>
    <row r="73" spans="2:14" ht="15.75" customHeight="1" x14ac:dyDescent="0.2">
      <c r="B73" s="28" t="s">
        <v>152</v>
      </c>
      <c r="C73" s="28" t="s">
        <v>153</v>
      </c>
      <c r="D73" s="28" t="s">
        <v>116</v>
      </c>
      <c r="E73" s="29">
        <v>1000000</v>
      </c>
      <c r="F73" s="30">
        <v>987.97</v>
      </c>
      <c r="G73" s="31">
        <v>1.0500000000000001E-2</v>
      </c>
      <c r="H73" s="32">
        <v>7.1772000000000002E-2</v>
      </c>
      <c r="J73" s="3"/>
    </row>
    <row r="74" spans="2:14" ht="15.75" customHeight="1" x14ac:dyDescent="0.2">
      <c r="B74" s="28" t="s">
        <v>154</v>
      </c>
      <c r="C74" s="28" t="s">
        <v>155</v>
      </c>
      <c r="D74" s="28" t="s">
        <v>116</v>
      </c>
      <c r="E74" s="29">
        <v>1000000</v>
      </c>
      <c r="F74" s="30">
        <v>964.04</v>
      </c>
      <c r="G74" s="31">
        <v>1.03E-2</v>
      </c>
      <c r="H74" s="32">
        <v>7.4673000000000003E-2</v>
      </c>
      <c r="J74" s="3"/>
    </row>
    <row r="75" spans="2:14" ht="15.75" customHeight="1" x14ac:dyDescent="0.2">
      <c r="B75" s="28" t="s">
        <v>204</v>
      </c>
      <c r="C75" s="28" t="s">
        <v>205</v>
      </c>
      <c r="D75" s="28" t="s">
        <v>121</v>
      </c>
      <c r="E75" s="29">
        <v>500</v>
      </c>
      <c r="F75" s="30">
        <v>528.79999999999995</v>
      </c>
      <c r="G75" s="31">
        <v>5.5999999999999999E-3</v>
      </c>
      <c r="H75" s="32">
        <v>6.9001000000000007E-2</v>
      </c>
      <c r="J75" s="5"/>
      <c r="K75" s="5"/>
      <c r="L75" s="6"/>
      <c r="M75" s="6"/>
      <c r="N75" s="5"/>
    </row>
    <row r="76" spans="2:14" ht="15.75" customHeight="1" x14ac:dyDescent="0.2">
      <c r="B76" s="28" t="s">
        <v>879</v>
      </c>
      <c r="C76" s="28" t="s">
        <v>880</v>
      </c>
      <c r="D76" s="28" t="s">
        <v>121</v>
      </c>
      <c r="E76" s="29">
        <v>50</v>
      </c>
      <c r="F76" s="30">
        <v>527.69000000000005</v>
      </c>
      <c r="G76" s="31">
        <v>5.5999999999999999E-3</v>
      </c>
      <c r="H76" s="32">
        <v>7.4399999999999994E-2</v>
      </c>
    </row>
    <row r="77" spans="2:14" ht="15.75" customHeight="1" x14ac:dyDescent="0.2">
      <c r="B77" s="28" t="s">
        <v>165</v>
      </c>
      <c r="C77" s="28" t="s">
        <v>881</v>
      </c>
      <c r="D77" s="28" t="s">
        <v>121</v>
      </c>
      <c r="E77" s="29">
        <v>50</v>
      </c>
      <c r="F77" s="30">
        <v>515.88</v>
      </c>
      <c r="G77" s="31">
        <v>5.4999999999999997E-3</v>
      </c>
      <c r="H77" s="32">
        <v>7.5259000000000006E-2</v>
      </c>
    </row>
    <row r="78" spans="2:14" ht="15.75" customHeight="1" x14ac:dyDescent="0.2">
      <c r="B78" s="28" t="s">
        <v>124</v>
      </c>
      <c r="C78" s="28" t="s">
        <v>125</v>
      </c>
      <c r="D78" s="28" t="s">
        <v>121</v>
      </c>
      <c r="E78" s="29">
        <v>500</v>
      </c>
      <c r="F78" s="30">
        <v>260.81</v>
      </c>
      <c r="G78" s="31">
        <v>2.8E-3</v>
      </c>
      <c r="H78" s="32">
        <v>7.0250000000000007E-2</v>
      </c>
      <c r="J78" s="7"/>
      <c r="K78" s="7"/>
      <c r="L78" s="7"/>
      <c r="M78" s="7"/>
      <c r="N78" s="7"/>
    </row>
    <row r="79" spans="2:14" ht="15.75" customHeight="1" x14ac:dyDescent="0.2">
      <c r="B79" s="27" t="s">
        <v>129</v>
      </c>
      <c r="C79" s="27"/>
      <c r="D79" s="27"/>
      <c r="E79" s="33"/>
      <c r="F79" s="34">
        <v>7354.15</v>
      </c>
      <c r="G79" s="35">
        <v>7.8299999999999995E-2</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130</v>
      </c>
      <c r="C81" s="28"/>
      <c r="D81" s="28"/>
      <c r="E81" s="29"/>
      <c r="F81" s="30"/>
      <c r="G81" s="31"/>
      <c r="H81" s="32"/>
      <c r="J81" s="7"/>
      <c r="K81" s="7"/>
      <c r="L81" s="7"/>
      <c r="M81" s="7"/>
      <c r="N81" s="7"/>
    </row>
    <row r="82" spans="2:14" ht="15.75" customHeight="1" x14ac:dyDescent="0.2">
      <c r="B82" s="27" t="s">
        <v>129</v>
      </c>
      <c r="C82" s="28"/>
      <c r="D82" s="28"/>
      <c r="E82" s="29"/>
      <c r="F82" s="37" t="s">
        <v>131</v>
      </c>
      <c r="G82" s="38" t="s">
        <v>131</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132</v>
      </c>
      <c r="C84" s="28"/>
      <c r="D84" s="28"/>
      <c r="E84" s="29"/>
      <c r="F84" s="30"/>
      <c r="G84" s="31"/>
      <c r="H84" s="32"/>
      <c r="J84" s="7"/>
      <c r="K84" s="7"/>
      <c r="L84" s="7"/>
      <c r="M84" s="7"/>
      <c r="N84" s="7"/>
    </row>
    <row r="85" spans="2:14" ht="15.75" customHeight="1" x14ac:dyDescent="0.2">
      <c r="B85" s="27" t="s">
        <v>129</v>
      </c>
      <c r="C85" s="28"/>
      <c r="D85" s="28"/>
      <c r="E85" s="29"/>
      <c r="F85" s="37" t="s">
        <v>131</v>
      </c>
      <c r="G85" s="38" t="s">
        <v>131</v>
      </c>
      <c r="H85" s="32"/>
    </row>
    <row r="86" spans="2:14" ht="15.75" customHeight="1" x14ac:dyDescent="0.2">
      <c r="B86" s="28"/>
      <c r="C86" s="28"/>
      <c r="D86" s="28"/>
      <c r="E86" s="29"/>
      <c r="F86" s="30"/>
      <c r="G86" s="31"/>
      <c r="H86" s="32"/>
      <c r="J86" s="3"/>
    </row>
    <row r="87" spans="2:14" ht="15.75" customHeight="1" x14ac:dyDescent="0.2">
      <c r="B87" s="39" t="s">
        <v>133</v>
      </c>
      <c r="C87" s="39"/>
      <c r="D87" s="39"/>
      <c r="E87" s="40"/>
      <c r="F87" s="34">
        <v>7354.15</v>
      </c>
      <c r="G87" s="35">
        <v>7.8299999999999995E-2</v>
      </c>
      <c r="H87" s="36"/>
    </row>
    <row r="88" spans="2:14" ht="15.75" customHeight="1" x14ac:dyDescent="0.2">
      <c r="B88" s="28"/>
      <c r="C88" s="28"/>
      <c r="D88" s="28"/>
      <c r="E88" s="29"/>
      <c r="F88" s="30"/>
      <c r="G88" s="31"/>
      <c r="H88" s="32"/>
    </row>
    <row r="89" spans="2:14" ht="15.75" customHeight="1" x14ac:dyDescent="0.2">
      <c r="B89" s="27" t="s">
        <v>134</v>
      </c>
      <c r="C89" s="28"/>
      <c r="D89" s="28"/>
      <c r="E89" s="29"/>
      <c r="F89" s="30"/>
      <c r="G89" s="31"/>
      <c r="H89" s="32"/>
    </row>
    <row r="90" spans="2:14" ht="15.75" customHeight="1" x14ac:dyDescent="0.2">
      <c r="B90" s="28"/>
      <c r="C90" s="28"/>
      <c r="D90" s="28"/>
      <c r="E90" s="29"/>
      <c r="F90" s="30"/>
      <c r="G90" s="31"/>
      <c r="H90" s="32"/>
    </row>
    <row r="91" spans="2:14" ht="15.75" customHeight="1" x14ac:dyDescent="0.2">
      <c r="B91" s="27" t="s">
        <v>135</v>
      </c>
      <c r="C91" s="28"/>
      <c r="D91" s="28"/>
      <c r="E91" s="29"/>
      <c r="F91" s="30"/>
      <c r="G91" s="31"/>
      <c r="H91" s="32"/>
    </row>
    <row r="92" spans="2:14" ht="15.75" customHeight="1" x14ac:dyDescent="0.2">
      <c r="B92" s="28" t="s">
        <v>202</v>
      </c>
      <c r="C92" s="28" t="s">
        <v>882</v>
      </c>
      <c r="D92" s="28" t="s">
        <v>136</v>
      </c>
      <c r="E92" s="29">
        <v>500</v>
      </c>
      <c r="F92" s="30">
        <v>2422.5100000000002</v>
      </c>
      <c r="G92" s="31">
        <v>2.58E-2</v>
      </c>
      <c r="H92" s="32">
        <v>6.9499000000000005E-2</v>
      </c>
    </row>
    <row r="93" spans="2:14" ht="15.75" customHeight="1" x14ac:dyDescent="0.2">
      <c r="B93" s="27" t="s">
        <v>129</v>
      </c>
      <c r="C93" s="27"/>
      <c r="D93" s="27"/>
      <c r="E93" s="33"/>
      <c r="F93" s="34">
        <v>2422.5100000000002</v>
      </c>
      <c r="G93" s="35">
        <v>2.58E-2</v>
      </c>
      <c r="H93" s="36"/>
    </row>
    <row r="94" spans="2:14" ht="15.75" customHeight="1" x14ac:dyDescent="0.2">
      <c r="B94" s="28"/>
      <c r="C94" s="28"/>
      <c r="D94" s="28"/>
      <c r="E94" s="29"/>
      <c r="F94" s="30"/>
      <c r="G94" s="31"/>
      <c r="H94" s="32"/>
    </row>
    <row r="95" spans="2:14" ht="15.75" customHeight="1" x14ac:dyDescent="0.2">
      <c r="B95" s="39" t="s">
        <v>133</v>
      </c>
      <c r="C95" s="39"/>
      <c r="D95" s="39"/>
      <c r="E95" s="40"/>
      <c r="F95" s="34">
        <v>2422.5100000000002</v>
      </c>
      <c r="G95" s="35">
        <v>2.58E-2</v>
      </c>
      <c r="H95" s="36"/>
    </row>
    <row r="96" spans="2:14" ht="15.75" customHeight="1" x14ac:dyDescent="0.2">
      <c r="B96" s="28"/>
      <c r="C96" s="28"/>
      <c r="D96" s="28"/>
      <c r="E96" s="29"/>
      <c r="F96" s="30"/>
      <c r="G96" s="31"/>
      <c r="H96" s="32"/>
    </row>
    <row r="97" spans="2:8" ht="15.75" customHeight="1" x14ac:dyDescent="0.2">
      <c r="B97" s="28"/>
      <c r="C97" s="28"/>
      <c r="D97" s="28"/>
      <c r="E97" s="29"/>
      <c r="F97" s="30"/>
      <c r="G97" s="31"/>
      <c r="H97" s="32"/>
    </row>
    <row r="98" spans="2:8" ht="15.75" customHeight="1" x14ac:dyDescent="0.2">
      <c r="B98" s="27" t="s">
        <v>137</v>
      </c>
      <c r="C98" s="28"/>
      <c r="D98" s="28"/>
      <c r="E98" s="29"/>
      <c r="F98" s="30"/>
      <c r="G98" s="31"/>
      <c r="H98" s="32"/>
    </row>
    <row r="99" spans="2:8" ht="15.75" customHeight="1" x14ac:dyDescent="0.2">
      <c r="B99" s="27" t="s">
        <v>138</v>
      </c>
      <c r="C99" s="28"/>
      <c r="D99" s="28"/>
      <c r="E99" s="29"/>
      <c r="F99" s="30"/>
      <c r="G99" s="31"/>
      <c r="H99" s="32"/>
    </row>
    <row r="100" spans="2:8" ht="15.75" customHeight="1" x14ac:dyDescent="0.2">
      <c r="B100" s="28" t="s">
        <v>814</v>
      </c>
      <c r="C100" s="28" t="s">
        <v>815</v>
      </c>
      <c r="D100" s="28"/>
      <c r="E100" s="29">
        <v>10902500</v>
      </c>
      <c r="F100" s="30">
        <v>14631.16</v>
      </c>
      <c r="G100" s="31">
        <v>0.15559999999999999</v>
      </c>
      <c r="H100" s="32"/>
    </row>
    <row r="101" spans="2:8" ht="15.75" customHeight="1" x14ac:dyDescent="0.2">
      <c r="B101" s="28" t="s">
        <v>883</v>
      </c>
      <c r="C101" s="28" t="s">
        <v>884</v>
      </c>
      <c r="D101" s="28"/>
      <c r="E101" s="29">
        <v>1112538</v>
      </c>
      <c r="F101" s="30">
        <v>2637.16</v>
      </c>
      <c r="G101" s="31">
        <v>2.8000000000000001E-2</v>
      </c>
      <c r="H101" s="32"/>
    </row>
    <row r="102" spans="2:8" ht="15.75" customHeight="1" x14ac:dyDescent="0.2">
      <c r="B102" s="27" t="s">
        <v>129</v>
      </c>
      <c r="C102" s="27"/>
      <c r="D102" s="27"/>
      <c r="E102" s="33"/>
      <c r="F102" s="34">
        <v>17268.32</v>
      </c>
      <c r="G102" s="35">
        <v>0.18360000000000001</v>
      </c>
      <c r="H102" s="36"/>
    </row>
    <row r="103" spans="2:8" ht="15.75" customHeight="1" x14ac:dyDescent="0.2">
      <c r="B103" s="28"/>
      <c r="C103" s="28"/>
      <c r="D103" s="28"/>
      <c r="E103" s="29"/>
      <c r="F103" s="30"/>
      <c r="G103" s="31"/>
      <c r="H103" s="32"/>
    </row>
    <row r="104" spans="2:8" ht="15.75" customHeight="1" x14ac:dyDescent="0.2">
      <c r="B104" s="39" t="s">
        <v>133</v>
      </c>
      <c r="C104" s="39"/>
      <c r="D104" s="39"/>
      <c r="E104" s="40"/>
      <c r="F104" s="34">
        <v>17268.32</v>
      </c>
      <c r="G104" s="35">
        <v>0.18360000000000001</v>
      </c>
      <c r="H104" s="36"/>
    </row>
    <row r="105" spans="2:8" ht="15.75" customHeight="1" x14ac:dyDescent="0.2">
      <c r="B105" s="28"/>
      <c r="C105" s="28"/>
      <c r="D105" s="28"/>
      <c r="E105" s="29"/>
      <c r="F105" s="30"/>
      <c r="G105" s="31"/>
      <c r="H105" s="32"/>
    </row>
    <row r="106" spans="2:8" ht="15.75" customHeight="1" x14ac:dyDescent="0.2">
      <c r="B106" s="27" t="s">
        <v>139</v>
      </c>
      <c r="C106" s="28"/>
      <c r="D106" s="28"/>
      <c r="E106" s="29"/>
      <c r="F106" s="30"/>
      <c r="G106" s="31"/>
      <c r="H106" s="32"/>
    </row>
    <row r="107" spans="2:8" ht="15.75" customHeight="1" x14ac:dyDescent="0.2">
      <c r="B107" s="28" t="s">
        <v>140</v>
      </c>
      <c r="C107" s="28"/>
      <c r="D107" s="28"/>
      <c r="E107" s="29"/>
      <c r="F107" s="30">
        <v>3233.3</v>
      </c>
      <c r="G107" s="31">
        <v>3.44E-2</v>
      </c>
      <c r="H107" s="32"/>
    </row>
    <row r="108" spans="2:8" ht="15.75" customHeight="1" x14ac:dyDescent="0.2">
      <c r="B108" s="27" t="s">
        <v>129</v>
      </c>
      <c r="C108" s="27"/>
      <c r="D108" s="27"/>
      <c r="E108" s="33"/>
      <c r="F108" s="34">
        <v>3233.3</v>
      </c>
      <c r="G108" s="35">
        <v>3.44E-2</v>
      </c>
      <c r="H108" s="36"/>
    </row>
    <row r="109" spans="2:8" ht="15.75" customHeight="1" x14ac:dyDescent="0.2">
      <c r="B109" s="28"/>
      <c r="C109" s="28"/>
      <c r="D109" s="28"/>
      <c r="E109" s="29"/>
      <c r="F109" s="30"/>
      <c r="G109" s="31"/>
      <c r="H109" s="32"/>
    </row>
    <row r="110" spans="2:8" ht="15.75" customHeight="1" x14ac:dyDescent="0.2">
      <c r="B110" s="39" t="s">
        <v>133</v>
      </c>
      <c r="C110" s="39"/>
      <c r="D110" s="39"/>
      <c r="E110" s="40"/>
      <c r="F110" s="34">
        <v>3233.3</v>
      </c>
      <c r="G110" s="35">
        <v>3.44E-2</v>
      </c>
      <c r="H110" s="36"/>
    </row>
    <row r="111" spans="2:8" ht="15.75" customHeight="1" x14ac:dyDescent="0.2">
      <c r="B111" s="28" t="s">
        <v>141</v>
      </c>
      <c r="C111" s="28"/>
      <c r="D111" s="28"/>
      <c r="E111" s="29"/>
      <c r="F111" s="30">
        <v>1444.51</v>
      </c>
      <c r="G111" s="31">
        <v>1.52E-2</v>
      </c>
      <c r="H111" s="32"/>
    </row>
    <row r="112" spans="2:8" ht="15.75" customHeight="1" x14ac:dyDescent="0.2">
      <c r="B112" s="41" t="s">
        <v>142</v>
      </c>
      <c r="C112" s="41"/>
      <c r="D112" s="41"/>
      <c r="E112" s="42"/>
      <c r="F112" s="43">
        <v>94046.68</v>
      </c>
      <c r="G112" s="44">
        <v>1</v>
      </c>
      <c r="H112" s="45"/>
    </row>
    <row r="113" spans="2:8" ht="15.75" customHeight="1" x14ac:dyDescent="0.2">
      <c r="B113" s="2"/>
    </row>
    <row r="114" spans="2:8" ht="15.75" customHeight="1" x14ac:dyDescent="0.2">
      <c r="B114" s="15" t="s">
        <v>143</v>
      </c>
    </row>
    <row r="115" spans="2:8" ht="15.75" customHeight="1" x14ac:dyDescent="0.2">
      <c r="B115" s="15" t="s">
        <v>448</v>
      </c>
    </row>
    <row r="116" spans="2:8" ht="15.75" customHeight="1" x14ac:dyDescent="0.2">
      <c r="B116" s="15" t="s">
        <v>144</v>
      </c>
    </row>
    <row r="117" spans="2:8" ht="15.75" customHeight="1" x14ac:dyDescent="0.2">
      <c r="B117" s="15" t="s">
        <v>145</v>
      </c>
    </row>
    <row r="119" spans="2:8" s="7" customFormat="1" ht="15.6" customHeight="1" x14ac:dyDescent="0.25">
      <c r="B119" s="63" t="s">
        <v>1067</v>
      </c>
      <c r="C119" s="70"/>
      <c r="D119" s="70"/>
      <c r="E119" s="70"/>
      <c r="F119" s="70"/>
      <c r="G119" s="70"/>
      <c r="H119" s="64"/>
    </row>
    <row r="120" spans="2:8" s="7" customFormat="1" ht="15.6" customHeight="1" x14ac:dyDescent="0.25">
      <c r="B120" s="63" t="s">
        <v>1108</v>
      </c>
      <c r="C120" s="70"/>
      <c r="D120" s="70"/>
      <c r="E120" s="70"/>
      <c r="F120" s="70"/>
      <c r="G120" s="70"/>
      <c r="H120" s="64"/>
    </row>
    <row r="121" spans="2:8" s="7" customFormat="1" ht="15.6" customHeight="1" x14ac:dyDescent="0.25">
      <c r="B121" s="63" t="s">
        <v>1068</v>
      </c>
      <c r="C121" s="70"/>
      <c r="D121" s="70"/>
      <c r="E121" s="70"/>
      <c r="F121" s="70"/>
      <c r="G121" s="70"/>
      <c r="H121" s="64"/>
    </row>
    <row r="122" spans="2:8" s="7" customFormat="1" ht="15.6" customHeight="1" x14ac:dyDescent="0.25">
      <c r="B122" s="71"/>
      <c r="C122" s="65">
        <v>46142</v>
      </c>
      <c r="D122" s="65">
        <v>46112</v>
      </c>
      <c r="E122" s="70"/>
      <c r="F122" s="70"/>
      <c r="G122" s="70"/>
      <c r="H122" s="64"/>
    </row>
    <row r="123" spans="2:8" s="7" customFormat="1" ht="15.6" customHeight="1" x14ac:dyDescent="0.25">
      <c r="B123" s="71" t="s">
        <v>1069</v>
      </c>
      <c r="C123" s="66"/>
      <c r="D123" s="66"/>
      <c r="E123" s="70"/>
      <c r="F123" s="70"/>
      <c r="G123" s="70"/>
      <c r="H123" s="64"/>
    </row>
    <row r="124" spans="2:8" s="7" customFormat="1" ht="15.6" customHeight="1" x14ac:dyDescent="0.25">
      <c r="B124" s="71" t="s">
        <v>1070</v>
      </c>
      <c r="C124" s="67">
        <v>11.809100000000001</v>
      </c>
      <c r="D124" s="67">
        <v>10.9359</v>
      </c>
      <c r="E124" s="70"/>
      <c r="F124" s="70"/>
      <c r="G124" s="70"/>
      <c r="H124" s="64"/>
    </row>
    <row r="125" spans="2:8" s="7" customFormat="1" ht="15.6" customHeight="1" x14ac:dyDescent="0.25">
      <c r="B125" s="71" t="s">
        <v>1071</v>
      </c>
      <c r="C125" s="67">
        <v>11.809100000000001</v>
      </c>
      <c r="D125" s="67">
        <v>10.9359</v>
      </c>
      <c r="E125" s="70"/>
      <c r="F125" s="70"/>
      <c r="G125" s="70"/>
      <c r="H125" s="64"/>
    </row>
    <row r="126" spans="2:8" s="7" customFormat="1" ht="15.6" customHeight="1" x14ac:dyDescent="0.25">
      <c r="B126" s="71" t="s">
        <v>1073</v>
      </c>
      <c r="C126" s="67">
        <v>12.035</v>
      </c>
      <c r="D126" s="67">
        <v>11.132999999999999</v>
      </c>
      <c r="E126" s="70"/>
      <c r="F126" s="70"/>
      <c r="G126" s="70"/>
      <c r="H126" s="64"/>
    </row>
    <row r="127" spans="2:8" s="7" customFormat="1" ht="15.6" customHeight="1" x14ac:dyDescent="0.25">
      <c r="B127" s="71" t="s">
        <v>1074</v>
      </c>
      <c r="C127" s="67">
        <v>12.035</v>
      </c>
      <c r="D127" s="67">
        <v>11.132999999999999</v>
      </c>
      <c r="E127" s="70"/>
      <c r="F127" s="70"/>
      <c r="G127" s="70"/>
      <c r="H127" s="64"/>
    </row>
    <row r="128" spans="2:8" s="7" customFormat="1" ht="15.6" customHeight="1" x14ac:dyDescent="0.25">
      <c r="B128" s="63" t="s">
        <v>1116</v>
      </c>
      <c r="C128" s="70"/>
      <c r="D128" s="70"/>
      <c r="E128" s="70"/>
      <c r="F128" s="70"/>
      <c r="G128" s="70"/>
      <c r="H128" s="64"/>
    </row>
    <row r="129" spans="2:8" s="7" customFormat="1" ht="15.6" customHeight="1" x14ac:dyDescent="0.25">
      <c r="B129" s="63" t="s">
        <v>1109</v>
      </c>
      <c r="C129" s="70"/>
      <c r="D129" s="70"/>
      <c r="E129" s="70"/>
      <c r="F129" s="70"/>
      <c r="G129" s="70"/>
      <c r="H129" s="64"/>
    </row>
    <row r="130" spans="2:8" s="7" customFormat="1" ht="15.6" customHeight="1" x14ac:dyDescent="0.25">
      <c r="B130" s="75" t="s">
        <v>1146</v>
      </c>
      <c r="C130" s="76"/>
      <c r="D130" s="76"/>
      <c r="E130" s="76"/>
      <c r="F130" s="76"/>
      <c r="G130" s="70"/>
      <c r="H130" s="64"/>
    </row>
    <row r="131" spans="2:8" s="7" customFormat="1" ht="15.6" customHeight="1" x14ac:dyDescent="0.25">
      <c r="B131" s="75" t="s">
        <v>1149</v>
      </c>
      <c r="C131" s="76"/>
      <c r="D131" s="76"/>
      <c r="E131" s="76"/>
      <c r="F131" s="76"/>
      <c r="G131" s="70"/>
      <c r="H131" s="64"/>
    </row>
    <row r="132" spans="2:8" s="7" customFormat="1" ht="15.6" customHeight="1" x14ac:dyDescent="0.25">
      <c r="B132" s="75" t="s">
        <v>1139</v>
      </c>
      <c r="C132" s="76"/>
      <c r="D132" s="76"/>
      <c r="E132" s="76"/>
      <c r="F132" s="76"/>
      <c r="G132" s="70"/>
      <c r="H132" s="64"/>
    </row>
    <row r="133" spans="2:8" s="7" customFormat="1" ht="15.6" customHeight="1" x14ac:dyDescent="0.25">
      <c r="B133" s="75" t="s">
        <v>1138</v>
      </c>
      <c r="C133" s="77"/>
      <c r="D133" s="77"/>
      <c r="E133" s="77"/>
      <c r="F133" s="77"/>
      <c r="G133" s="70"/>
      <c r="H133" s="64"/>
    </row>
    <row r="134" spans="2:8" s="7" customFormat="1" ht="15.6" customHeight="1" x14ac:dyDescent="0.25">
      <c r="B134" s="75" t="s">
        <v>1139</v>
      </c>
      <c r="C134" s="77"/>
      <c r="D134" s="77"/>
      <c r="E134" s="77"/>
      <c r="F134" s="77"/>
      <c r="G134" s="70"/>
      <c r="H134" s="64"/>
    </row>
    <row r="135" spans="2:8" s="7" customFormat="1" ht="15.6" customHeight="1" x14ac:dyDescent="0.25">
      <c r="B135" s="75" t="s">
        <v>1140</v>
      </c>
      <c r="C135" s="77"/>
      <c r="D135" s="77"/>
      <c r="E135" s="77"/>
      <c r="F135" s="77"/>
      <c r="G135" s="70"/>
      <c r="H135" s="64"/>
    </row>
    <row r="136" spans="2:8" s="7" customFormat="1" ht="15.6" customHeight="1" x14ac:dyDescent="0.25">
      <c r="B136" s="75" t="s">
        <v>1141</v>
      </c>
      <c r="C136" s="77"/>
      <c r="D136" s="77"/>
      <c r="E136" s="77"/>
      <c r="F136" s="77"/>
      <c r="G136" s="70"/>
      <c r="H136" s="64"/>
    </row>
    <row r="137" spans="2:8" s="7" customFormat="1" ht="15.6" customHeight="1" x14ac:dyDescent="0.25">
      <c r="B137" s="75" t="s">
        <v>1142</v>
      </c>
      <c r="C137" s="77"/>
      <c r="D137" s="77"/>
      <c r="E137" s="77"/>
      <c r="F137" s="77"/>
      <c r="G137" s="70"/>
      <c r="H137" s="64"/>
    </row>
    <row r="138" spans="2:8" s="7" customFormat="1" ht="15.6" customHeight="1" x14ac:dyDescent="0.25">
      <c r="B138" s="75" t="s">
        <v>1143</v>
      </c>
      <c r="C138" s="77"/>
      <c r="D138" s="77"/>
      <c r="E138" s="77"/>
      <c r="F138" s="77"/>
      <c r="G138" s="70"/>
      <c r="H138" s="64"/>
    </row>
    <row r="139" spans="2:8" s="7" customFormat="1" ht="15.6" customHeight="1" x14ac:dyDescent="0.25">
      <c r="B139" s="63" t="s">
        <v>1112</v>
      </c>
      <c r="C139" s="70"/>
      <c r="D139" s="70"/>
      <c r="E139" s="70"/>
      <c r="F139" s="70"/>
      <c r="G139" s="70"/>
      <c r="H139" s="64"/>
    </row>
    <row r="140" spans="2:8" s="7" customFormat="1" ht="15.6" customHeight="1" x14ac:dyDescent="0.25">
      <c r="B140" s="63" t="s">
        <v>1121</v>
      </c>
      <c r="C140" s="70"/>
      <c r="D140" s="70"/>
      <c r="E140" s="70"/>
      <c r="F140" s="70"/>
      <c r="G140" s="70"/>
      <c r="H140" s="64"/>
    </row>
    <row r="141" spans="2:8" s="7" customFormat="1" ht="15.6" customHeight="1" x14ac:dyDescent="0.25">
      <c r="B141" s="63" t="s">
        <v>1113</v>
      </c>
      <c r="C141" s="70"/>
      <c r="D141" s="70"/>
      <c r="E141" s="70"/>
      <c r="F141" s="70"/>
      <c r="G141" s="70"/>
      <c r="H141" s="64"/>
    </row>
    <row r="142" spans="2:8" s="7" customFormat="1" ht="15.6" customHeight="1" x14ac:dyDescent="0.25">
      <c r="B142" s="68" t="s">
        <v>1076</v>
      </c>
      <c r="C142" s="72"/>
      <c r="D142" s="72"/>
      <c r="E142" s="72"/>
      <c r="F142" s="72"/>
      <c r="G142" s="72"/>
      <c r="H142" s="69"/>
    </row>
    <row r="143" spans="2:8" ht="15.75" customHeight="1" thickBot="1" x14ac:dyDescent="0.25"/>
    <row r="144" spans="2:8" ht="39.75" customHeight="1" thickBot="1" x14ac:dyDescent="0.3">
      <c r="B144" s="46" t="s">
        <v>146</v>
      </c>
      <c r="C144" s="47" t="s">
        <v>147</v>
      </c>
      <c r="D144" s="47" t="s">
        <v>148</v>
      </c>
      <c r="E144"/>
    </row>
    <row r="145" spans="2:6" ht="39.75" customHeight="1" x14ac:dyDescent="0.25">
      <c r="B145" s="52" t="s">
        <v>885</v>
      </c>
      <c r="C145" s="109"/>
      <c r="D145" s="52" t="s">
        <v>886</v>
      </c>
      <c r="E145"/>
    </row>
    <row r="146" spans="2:6" ht="39.75" customHeight="1" x14ac:dyDescent="0.25">
      <c r="B146" s="112" t="s">
        <v>887</v>
      </c>
      <c r="C146" s="110"/>
      <c r="D146" s="114"/>
      <c r="E146"/>
    </row>
    <row r="147" spans="2:6" ht="39.75" customHeight="1" x14ac:dyDescent="0.25">
      <c r="B147" s="112"/>
      <c r="C147" s="110"/>
      <c r="D147" s="114"/>
      <c r="E147"/>
    </row>
    <row r="148" spans="2:6" ht="39.75" customHeight="1" x14ac:dyDescent="0.25">
      <c r="B148" s="112"/>
      <c r="C148" s="110"/>
      <c r="D148" s="114"/>
      <c r="E148"/>
    </row>
    <row r="149" spans="2:6" ht="39.75" customHeight="1" thickBot="1" x14ac:dyDescent="0.3">
      <c r="B149" s="113"/>
      <c r="C149" s="111"/>
      <c r="D149" s="115"/>
      <c r="E149"/>
    </row>
    <row r="150" spans="2:6" ht="15.75" customHeight="1" x14ac:dyDescent="0.2">
      <c r="B150" s="9" t="s">
        <v>149</v>
      </c>
    </row>
    <row r="151" spans="2:6" ht="15.75" customHeight="1" x14ac:dyDescent="0.2">
      <c r="B151" s="9" t="s">
        <v>150</v>
      </c>
    </row>
    <row r="152" spans="2:6" ht="15.75" customHeight="1" x14ac:dyDescent="0.2">
      <c r="B152" s="9" t="s">
        <v>151</v>
      </c>
    </row>
    <row r="155" spans="2:6" ht="15.75" customHeight="1" x14ac:dyDescent="0.2">
      <c r="B155" s="86" t="s">
        <v>1154</v>
      </c>
      <c r="C155" s="87"/>
      <c r="D155" s="87"/>
      <c r="E155" s="87"/>
      <c r="F155" s="87"/>
    </row>
    <row r="156" spans="2:6" ht="15.75" customHeight="1" x14ac:dyDescent="0.2">
      <c r="B156" s="88" t="s">
        <v>1086</v>
      </c>
      <c r="C156" s="88" t="s">
        <v>1155</v>
      </c>
      <c r="D156" s="88" t="s">
        <v>1156</v>
      </c>
      <c r="E156" s="88" t="s">
        <v>1157</v>
      </c>
      <c r="F156" s="88" t="s">
        <v>1158</v>
      </c>
    </row>
    <row r="157" spans="2:6" ht="15.75" customHeight="1" x14ac:dyDescent="0.2">
      <c r="B157" s="88"/>
      <c r="C157" s="88"/>
      <c r="D157" s="88"/>
      <c r="E157" s="88"/>
      <c r="F157" s="88"/>
    </row>
    <row r="158" spans="2:6" ht="15.75" customHeight="1" x14ac:dyDescent="0.2">
      <c r="B158" s="88" t="s">
        <v>131</v>
      </c>
      <c r="C158" s="88"/>
      <c r="D158" s="89"/>
      <c r="E158" s="88"/>
      <c r="F158" s="89"/>
    </row>
    <row r="159" spans="2:6" ht="15.75" customHeight="1" x14ac:dyDescent="0.2">
      <c r="B159" s="90"/>
      <c r="C159" s="91"/>
      <c r="D159" s="92"/>
      <c r="E159" s="91"/>
      <c r="F159" s="93"/>
    </row>
    <row r="160" spans="2:6" ht="15.75" customHeight="1" x14ac:dyDescent="0.2">
      <c r="B160" s="90" t="s">
        <v>1159</v>
      </c>
      <c r="C160" s="91"/>
      <c r="D160" s="91"/>
      <c r="E160" s="91"/>
      <c r="F160" s="94"/>
    </row>
    <row r="161" spans="2:10" ht="15.75" customHeight="1" x14ac:dyDescent="0.2">
      <c r="B161" s="122" t="s">
        <v>1160</v>
      </c>
      <c r="C161" s="123"/>
      <c r="D161" s="123"/>
      <c r="E161" s="123"/>
      <c r="F161" s="124"/>
    </row>
    <row r="162" spans="2:10" ht="15.75" customHeight="1" x14ac:dyDescent="0.2">
      <c r="B162" s="95"/>
      <c r="C162" s="87"/>
      <c r="D162" s="87"/>
      <c r="E162" s="87"/>
      <c r="F162" s="96"/>
    </row>
    <row r="163" spans="2:10" ht="15.75" customHeight="1" x14ac:dyDescent="0.2">
      <c r="B163" s="95" t="s">
        <v>1172</v>
      </c>
      <c r="C163" s="87"/>
      <c r="D163" s="87"/>
      <c r="E163" s="87"/>
      <c r="F163" s="96"/>
    </row>
    <row r="164" spans="2:10" ht="15.75" customHeight="1" x14ac:dyDescent="0.2">
      <c r="B164" s="95" t="s">
        <v>1173</v>
      </c>
      <c r="C164" s="87"/>
      <c r="D164" s="87"/>
      <c r="E164" s="87"/>
      <c r="F164" s="96"/>
    </row>
    <row r="165" spans="2:10" ht="15.75" customHeight="1" x14ac:dyDescent="0.2">
      <c r="B165" s="95" t="s">
        <v>1174</v>
      </c>
      <c r="C165" s="87"/>
      <c r="D165" s="97"/>
      <c r="E165" s="87"/>
      <c r="F165" s="96"/>
    </row>
    <row r="166" spans="2:10" ht="15.75" customHeight="1" x14ac:dyDescent="0.2">
      <c r="B166" s="95" t="s">
        <v>1175</v>
      </c>
      <c r="C166" s="87"/>
      <c r="D166" s="97"/>
      <c r="E166" s="87"/>
      <c r="F166" s="96"/>
    </row>
    <row r="167" spans="2:10" ht="15.75" customHeight="1" x14ac:dyDescent="0.2">
      <c r="B167" s="98" t="s">
        <v>1176</v>
      </c>
      <c r="C167" s="99"/>
      <c r="D167" s="100"/>
      <c r="E167" s="100"/>
      <c r="F167" s="101"/>
    </row>
    <row r="168" spans="2:10" ht="15.75" customHeight="1" x14ac:dyDescent="0.2">
      <c r="B168" s="102"/>
      <c r="C168" s="87"/>
      <c r="D168" s="97"/>
      <c r="E168" s="97"/>
      <c r="F168" s="97"/>
    </row>
    <row r="169" spans="2:10" ht="15.75" customHeight="1" x14ac:dyDescent="0.2">
      <c r="B169" s="86" t="s">
        <v>1161</v>
      </c>
      <c r="C169" s="86"/>
      <c r="D169" s="86"/>
      <c r="E169" s="86"/>
      <c r="F169" s="86"/>
    </row>
    <row r="170" spans="2:10" ht="15.75" customHeight="1" x14ac:dyDescent="0.2">
      <c r="B170" s="104" t="s">
        <v>1086</v>
      </c>
      <c r="C170" s="104" t="s">
        <v>1162</v>
      </c>
      <c r="D170" s="104" t="s">
        <v>1163</v>
      </c>
      <c r="E170" s="104" t="s">
        <v>1164</v>
      </c>
      <c r="F170" s="87"/>
    </row>
    <row r="171" spans="2:10" ht="15.75" customHeight="1" x14ac:dyDescent="0.2">
      <c r="B171" s="105" t="s">
        <v>828</v>
      </c>
      <c r="C171" s="105">
        <v>1025</v>
      </c>
      <c r="D171" s="105">
        <v>312.41390000000001</v>
      </c>
      <c r="E171" s="105">
        <v>224.65</v>
      </c>
      <c r="F171" s="87"/>
    </row>
    <row r="172" spans="2:10" ht="15.75" customHeight="1" x14ac:dyDescent="0.2">
      <c r="B172" s="121" t="s">
        <v>1165</v>
      </c>
      <c r="C172" s="121"/>
      <c r="D172" s="121"/>
      <c r="E172" s="121"/>
      <c r="F172" s="87"/>
    </row>
    <row r="173" spans="2:10" ht="15.75" customHeight="1" x14ac:dyDescent="0.2">
      <c r="B173" s="120" t="s">
        <v>1186</v>
      </c>
      <c r="C173" s="120"/>
      <c r="D173" s="120"/>
      <c r="E173" s="120"/>
      <c r="F173" s="87"/>
    </row>
    <row r="174" spans="2:10" ht="15.75" customHeight="1" x14ac:dyDescent="0.2">
      <c r="B174" s="120"/>
      <c r="C174" s="120"/>
      <c r="D174" s="120"/>
      <c r="E174" s="120"/>
      <c r="F174" s="87"/>
    </row>
    <row r="175" spans="2:10" ht="15.75" customHeight="1" x14ac:dyDescent="0.2">
      <c r="B175" s="120"/>
      <c r="C175" s="120"/>
      <c r="D175" s="120"/>
      <c r="E175" s="120"/>
      <c r="F175" s="87"/>
    </row>
    <row r="176" spans="2:10" ht="15.75" customHeight="1" x14ac:dyDescent="0.2">
      <c r="B176" s="120"/>
      <c r="C176" s="120"/>
      <c r="D176" s="120"/>
      <c r="E176" s="120"/>
      <c r="F176" s="87"/>
      <c r="J176" s="106"/>
    </row>
    <row r="177" spans="2:10" ht="15.75" customHeight="1" x14ac:dyDescent="0.2">
      <c r="B177" s="103"/>
      <c r="C177" s="103"/>
      <c r="D177" s="103"/>
      <c r="E177" s="103"/>
      <c r="F177" s="87"/>
      <c r="J177" s="106"/>
    </row>
    <row r="178" spans="2:10" ht="15.75" customHeight="1" x14ac:dyDescent="0.2">
      <c r="B178" s="86" t="s">
        <v>1166</v>
      </c>
      <c r="C178" s="86"/>
      <c r="D178" s="86"/>
      <c r="E178" s="86"/>
      <c r="F178" s="86"/>
      <c r="J178" s="106"/>
    </row>
    <row r="179" spans="2:10" ht="15.75" customHeight="1" x14ac:dyDescent="0.2">
      <c r="B179" s="104" t="s">
        <v>1086</v>
      </c>
      <c r="C179" s="104" t="s">
        <v>1167</v>
      </c>
      <c r="D179" s="104" t="s">
        <v>1168</v>
      </c>
      <c r="E179" s="104" t="s">
        <v>1163</v>
      </c>
      <c r="F179" s="104" t="s">
        <v>1169</v>
      </c>
    </row>
    <row r="180" spans="2:10" ht="15.75" customHeight="1" x14ac:dyDescent="0.2">
      <c r="B180" s="105" t="s">
        <v>1185</v>
      </c>
      <c r="C180" s="105"/>
      <c r="D180" s="105"/>
      <c r="E180" s="105"/>
      <c r="F180" s="105"/>
    </row>
    <row r="181" spans="2:10" ht="15.75" customHeight="1" x14ac:dyDescent="0.2">
      <c r="B181" s="105"/>
      <c r="C181" s="105"/>
      <c r="D181" s="105"/>
      <c r="E181" s="105"/>
      <c r="F181" s="105"/>
    </row>
    <row r="182" spans="2:10" ht="15.75" customHeight="1" x14ac:dyDescent="0.2">
      <c r="B182" s="121" t="s">
        <v>1170</v>
      </c>
      <c r="C182" s="121"/>
      <c r="D182" s="121"/>
      <c r="E182" s="121"/>
      <c r="F182" s="105"/>
    </row>
    <row r="183" spans="2:10" ht="15.75" customHeight="1" x14ac:dyDescent="0.2">
      <c r="B183" s="120" t="s">
        <v>1183</v>
      </c>
      <c r="C183" s="120"/>
      <c r="D183" s="120"/>
      <c r="E183" s="120"/>
      <c r="F183" s="120"/>
    </row>
    <row r="184" spans="2:10" ht="15.75" customHeight="1" x14ac:dyDescent="0.2">
      <c r="B184" s="120"/>
      <c r="C184" s="120"/>
      <c r="D184" s="120"/>
      <c r="E184" s="120"/>
      <c r="F184" s="120"/>
    </row>
    <row r="185" spans="2:10" ht="15.75" customHeight="1" x14ac:dyDescent="0.2">
      <c r="B185" s="120"/>
      <c r="C185" s="120"/>
      <c r="D185" s="120"/>
      <c r="E185" s="120"/>
      <c r="F185" s="120"/>
    </row>
    <row r="186" spans="2:10" ht="15.75" customHeight="1" x14ac:dyDescent="0.2">
      <c r="B186" s="120"/>
      <c r="C186" s="120"/>
      <c r="D186" s="120"/>
      <c r="E186" s="120"/>
      <c r="F186" s="120"/>
    </row>
    <row r="187" spans="2:10" ht="15.75" customHeight="1" x14ac:dyDescent="0.2">
      <c r="B187" s="87"/>
      <c r="C187" s="87"/>
      <c r="D187" s="87"/>
      <c r="E187" s="87"/>
      <c r="F187" s="87"/>
    </row>
    <row r="188" spans="2:10" ht="15.75" customHeight="1" x14ac:dyDescent="0.2">
      <c r="B188" s="86" t="s">
        <v>1171</v>
      </c>
      <c r="C188" s="86"/>
      <c r="D188" s="86"/>
      <c r="E188" s="86"/>
      <c r="F188" s="86"/>
    </row>
  </sheetData>
  <mergeCells count="8">
    <mergeCell ref="B173:E176"/>
    <mergeCell ref="B182:E182"/>
    <mergeCell ref="B183:F186"/>
    <mergeCell ref="C145:C149"/>
    <mergeCell ref="B146:B149"/>
    <mergeCell ref="D146:D149"/>
    <mergeCell ref="B161:F161"/>
    <mergeCell ref="B172:E172"/>
  </mergeCells>
  <hyperlinks>
    <hyperlink ref="G1" location="'Sheet1'!A1" display="Index" xr:uid="{F797A9AF-3F40-426D-B534-748F85CE29A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37D22-48F6-4494-A331-4BF61AD6FAF1}">
  <dimension ref="B1:N144"/>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t="s">
        <v>889</v>
      </c>
      <c r="D1" s="4" t="s">
        <v>888</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588</v>
      </c>
      <c r="C7" s="28" t="s">
        <v>589</v>
      </c>
      <c r="D7" s="28" t="s">
        <v>431</v>
      </c>
      <c r="E7" s="29">
        <v>80654</v>
      </c>
      <c r="F7" s="30">
        <v>2936.21</v>
      </c>
      <c r="G7" s="31">
        <v>4.6100000000000002E-2</v>
      </c>
      <c r="H7" s="32"/>
    </row>
    <row r="8" spans="2:8" ht="15.75" customHeight="1" x14ac:dyDescent="0.2">
      <c r="B8" s="28" t="s">
        <v>479</v>
      </c>
      <c r="C8" s="28" t="s">
        <v>480</v>
      </c>
      <c r="D8" s="28" t="s">
        <v>431</v>
      </c>
      <c r="E8" s="29">
        <v>50387</v>
      </c>
      <c r="F8" s="30">
        <v>1497.25</v>
      </c>
      <c r="G8" s="31">
        <v>2.35E-2</v>
      </c>
      <c r="H8" s="32"/>
    </row>
    <row r="9" spans="2:8" ht="15.75" customHeight="1" x14ac:dyDescent="0.2">
      <c r="B9" s="28" t="s">
        <v>582</v>
      </c>
      <c r="C9" s="28" t="s">
        <v>583</v>
      </c>
      <c r="D9" s="28" t="s">
        <v>173</v>
      </c>
      <c r="E9" s="29">
        <v>487078</v>
      </c>
      <c r="F9" s="30">
        <v>1397.67</v>
      </c>
      <c r="G9" s="31">
        <v>2.1899999999999999E-2</v>
      </c>
      <c r="H9" s="32"/>
    </row>
    <row r="10" spans="2:8" ht="15.75" customHeight="1" x14ac:dyDescent="0.2">
      <c r="B10" s="28" t="s">
        <v>716</v>
      </c>
      <c r="C10" s="28" t="s">
        <v>717</v>
      </c>
      <c r="D10" s="28" t="s">
        <v>268</v>
      </c>
      <c r="E10" s="29">
        <v>2400561</v>
      </c>
      <c r="F10" s="30">
        <v>1334.23</v>
      </c>
      <c r="G10" s="31">
        <v>2.0899999999999998E-2</v>
      </c>
      <c r="H10" s="32"/>
    </row>
    <row r="11" spans="2:8" ht="15.75" customHeight="1" x14ac:dyDescent="0.2">
      <c r="B11" s="28" t="s">
        <v>630</v>
      </c>
      <c r="C11" s="28" t="s">
        <v>631</v>
      </c>
      <c r="D11" s="28" t="s">
        <v>195</v>
      </c>
      <c r="E11" s="29">
        <v>25674</v>
      </c>
      <c r="F11" s="30">
        <v>1309.1199999999999</v>
      </c>
      <c r="G11" s="31">
        <v>2.0500000000000001E-2</v>
      </c>
      <c r="H11" s="32"/>
    </row>
    <row r="12" spans="2:8" ht="15.75" customHeight="1" x14ac:dyDescent="0.2">
      <c r="B12" s="28" t="s">
        <v>298</v>
      </c>
      <c r="C12" s="28" t="s">
        <v>299</v>
      </c>
      <c r="D12" s="28" t="s">
        <v>173</v>
      </c>
      <c r="E12" s="29">
        <v>130274</v>
      </c>
      <c r="F12" s="30">
        <v>1193.3699999999999</v>
      </c>
      <c r="G12" s="31">
        <v>1.8700000000000001E-2</v>
      </c>
      <c r="H12" s="32"/>
    </row>
    <row r="13" spans="2:8" ht="15.75" customHeight="1" x14ac:dyDescent="0.2">
      <c r="B13" s="28" t="s">
        <v>540</v>
      </c>
      <c r="C13" s="28" t="s">
        <v>541</v>
      </c>
      <c r="D13" s="28" t="s">
        <v>173</v>
      </c>
      <c r="E13" s="29">
        <v>111866</v>
      </c>
      <c r="F13" s="30">
        <v>1136.5</v>
      </c>
      <c r="G13" s="31">
        <v>1.78E-2</v>
      </c>
      <c r="H13" s="32"/>
    </row>
    <row r="14" spans="2:8" ht="15.75" customHeight="1" x14ac:dyDescent="0.2">
      <c r="B14" s="28" t="s">
        <v>536</v>
      </c>
      <c r="C14" s="28" t="s">
        <v>537</v>
      </c>
      <c r="D14" s="28" t="s">
        <v>490</v>
      </c>
      <c r="E14" s="29">
        <v>67427</v>
      </c>
      <c r="F14" s="30">
        <v>1123.47</v>
      </c>
      <c r="G14" s="31">
        <v>1.7600000000000001E-2</v>
      </c>
      <c r="H14" s="32"/>
    </row>
    <row r="15" spans="2:8" ht="15.75" customHeight="1" x14ac:dyDescent="0.2">
      <c r="B15" s="28" t="s">
        <v>890</v>
      </c>
      <c r="C15" s="28" t="s">
        <v>891</v>
      </c>
      <c r="D15" s="28" t="s">
        <v>238</v>
      </c>
      <c r="E15" s="29">
        <v>48002</v>
      </c>
      <c r="F15" s="30">
        <v>1106.54</v>
      </c>
      <c r="G15" s="31">
        <v>1.7399999999999999E-2</v>
      </c>
      <c r="H15" s="32"/>
    </row>
    <row r="16" spans="2:8" ht="15.75" customHeight="1" x14ac:dyDescent="0.2">
      <c r="B16" s="28" t="s">
        <v>475</v>
      </c>
      <c r="C16" s="28" t="s">
        <v>476</v>
      </c>
      <c r="D16" s="28" t="s">
        <v>268</v>
      </c>
      <c r="E16" s="29">
        <v>23662</v>
      </c>
      <c r="F16" s="30">
        <v>1056.79</v>
      </c>
      <c r="G16" s="31">
        <v>1.66E-2</v>
      </c>
      <c r="H16" s="32"/>
    </row>
    <row r="17" spans="2:8" ht="15.75" customHeight="1" x14ac:dyDescent="0.2">
      <c r="B17" s="28" t="s">
        <v>252</v>
      </c>
      <c r="C17" s="28" t="s">
        <v>253</v>
      </c>
      <c r="D17" s="28" t="s">
        <v>216</v>
      </c>
      <c r="E17" s="29">
        <v>256154</v>
      </c>
      <c r="F17" s="30">
        <v>1050.0999999999999</v>
      </c>
      <c r="G17" s="31">
        <v>1.6500000000000001E-2</v>
      </c>
      <c r="H17" s="32"/>
    </row>
    <row r="18" spans="2:8" ht="15.75" customHeight="1" x14ac:dyDescent="0.2">
      <c r="B18" s="28" t="s">
        <v>706</v>
      </c>
      <c r="C18" s="28" t="s">
        <v>707</v>
      </c>
      <c r="D18" s="28" t="s">
        <v>182</v>
      </c>
      <c r="E18" s="29">
        <v>21533</v>
      </c>
      <c r="F18" s="30">
        <v>1033.58</v>
      </c>
      <c r="G18" s="31">
        <v>1.6199999999999999E-2</v>
      </c>
      <c r="H18" s="32"/>
    </row>
    <row r="19" spans="2:8" ht="15.75" customHeight="1" x14ac:dyDescent="0.2">
      <c r="B19" s="28" t="s">
        <v>266</v>
      </c>
      <c r="C19" s="28" t="s">
        <v>267</v>
      </c>
      <c r="D19" s="28" t="s">
        <v>268</v>
      </c>
      <c r="E19" s="29">
        <v>288970</v>
      </c>
      <c r="F19" s="30">
        <v>1018.36</v>
      </c>
      <c r="G19" s="31">
        <v>1.6E-2</v>
      </c>
      <c r="H19" s="32"/>
    </row>
    <row r="20" spans="2:8" ht="15.75" customHeight="1" x14ac:dyDescent="0.2">
      <c r="B20" s="28" t="s">
        <v>177</v>
      </c>
      <c r="C20" s="28" t="s">
        <v>178</v>
      </c>
      <c r="D20" s="28" t="s">
        <v>179</v>
      </c>
      <c r="E20" s="29">
        <v>52745</v>
      </c>
      <c r="F20" s="30">
        <v>992.45</v>
      </c>
      <c r="G20" s="31">
        <v>1.5599999999999999E-2</v>
      </c>
      <c r="H20" s="32"/>
    </row>
    <row r="21" spans="2:8" ht="15.75" customHeight="1" x14ac:dyDescent="0.2">
      <c r="B21" s="28" t="s">
        <v>466</v>
      </c>
      <c r="C21" s="28" t="s">
        <v>467</v>
      </c>
      <c r="D21" s="28" t="s">
        <v>395</v>
      </c>
      <c r="E21" s="29">
        <v>103083</v>
      </c>
      <c r="F21" s="30">
        <v>951.4</v>
      </c>
      <c r="G21" s="31">
        <v>1.49E-2</v>
      </c>
      <c r="H21" s="32"/>
    </row>
    <row r="22" spans="2:8" ht="15.75" customHeight="1" x14ac:dyDescent="0.2">
      <c r="B22" s="28" t="s">
        <v>736</v>
      </c>
      <c r="C22" s="28" t="s">
        <v>737</v>
      </c>
      <c r="D22" s="28" t="s">
        <v>434</v>
      </c>
      <c r="E22" s="29">
        <v>565755</v>
      </c>
      <c r="F22" s="30">
        <v>917.03</v>
      </c>
      <c r="G22" s="31">
        <v>1.44E-2</v>
      </c>
      <c r="H22" s="32"/>
    </row>
    <row r="23" spans="2:8" ht="15.75" customHeight="1" x14ac:dyDescent="0.2">
      <c r="B23" s="28" t="s">
        <v>488</v>
      </c>
      <c r="C23" s="28" t="s">
        <v>489</v>
      </c>
      <c r="D23" s="28" t="s">
        <v>490</v>
      </c>
      <c r="E23" s="29">
        <v>83278</v>
      </c>
      <c r="F23" s="30">
        <v>912.56</v>
      </c>
      <c r="G23" s="31">
        <v>1.43E-2</v>
      </c>
      <c r="H23" s="32"/>
    </row>
    <row r="24" spans="2:8" ht="15.75" customHeight="1" x14ac:dyDescent="0.2">
      <c r="B24" s="28" t="s">
        <v>892</v>
      </c>
      <c r="C24" s="28" t="s">
        <v>893</v>
      </c>
      <c r="D24" s="28" t="s">
        <v>173</v>
      </c>
      <c r="E24" s="29">
        <v>1310363</v>
      </c>
      <c r="F24" s="30">
        <v>912.54</v>
      </c>
      <c r="G24" s="31">
        <v>1.43E-2</v>
      </c>
      <c r="H24" s="32"/>
    </row>
    <row r="25" spans="2:8" ht="15.75" customHeight="1" x14ac:dyDescent="0.2">
      <c r="B25" s="28" t="s">
        <v>724</v>
      </c>
      <c r="C25" s="28" t="s">
        <v>725</v>
      </c>
      <c r="D25" s="28" t="s">
        <v>271</v>
      </c>
      <c r="E25" s="29">
        <v>8160</v>
      </c>
      <c r="F25" s="30">
        <v>911.19</v>
      </c>
      <c r="G25" s="31">
        <v>1.43E-2</v>
      </c>
      <c r="H25" s="32"/>
    </row>
    <row r="26" spans="2:8" ht="15.75" customHeight="1" x14ac:dyDescent="0.2">
      <c r="B26" s="28" t="s">
        <v>894</v>
      </c>
      <c r="C26" s="28" t="s">
        <v>895</v>
      </c>
      <c r="D26" s="28" t="s">
        <v>321</v>
      </c>
      <c r="E26" s="29">
        <v>10442</v>
      </c>
      <c r="F26" s="30">
        <v>846.9</v>
      </c>
      <c r="G26" s="31">
        <v>1.3299999999999999E-2</v>
      </c>
      <c r="H26" s="32"/>
    </row>
    <row r="27" spans="2:8" ht="15.75" customHeight="1" x14ac:dyDescent="0.2">
      <c r="B27" s="28" t="s">
        <v>327</v>
      </c>
      <c r="C27" s="28" t="s">
        <v>328</v>
      </c>
      <c r="D27" s="28" t="s">
        <v>277</v>
      </c>
      <c r="E27" s="29">
        <v>47899</v>
      </c>
      <c r="F27" s="30">
        <v>844.56</v>
      </c>
      <c r="G27" s="31">
        <v>1.3299999999999999E-2</v>
      </c>
      <c r="H27" s="32"/>
    </row>
    <row r="28" spans="2:8" ht="15.75" customHeight="1" x14ac:dyDescent="0.2">
      <c r="B28" s="28" t="s">
        <v>551</v>
      </c>
      <c r="C28" s="28" t="s">
        <v>552</v>
      </c>
      <c r="D28" s="28" t="s">
        <v>268</v>
      </c>
      <c r="E28" s="29">
        <v>2515</v>
      </c>
      <c r="F28" s="30">
        <v>843.78</v>
      </c>
      <c r="G28" s="31">
        <v>1.32E-2</v>
      </c>
      <c r="H28" s="32"/>
    </row>
    <row r="29" spans="2:8" ht="15.75" customHeight="1" x14ac:dyDescent="0.2">
      <c r="B29" s="28" t="s">
        <v>896</v>
      </c>
      <c r="C29" s="28" t="s">
        <v>897</v>
      </c>
      <c r="D29" s="28" t="s">
        <v>238</v>
      </c>
      <c r="E29" s="29">
        <v>75623</v>
      </c>
      <c r="F29" s="30">
        <v>832.57</v>
      </c>
      <c r="G29" s="31">
        <v>1.3100000000000001E-2</v>
      </c>
      <c r="H29" s="32"/>
    </row>
    <row r="30" spans="2:8" ht="15.75" customHeight="1" x14ac:dyDescent="0.2">
      <c r="B30" s="28" t="s">
        <v>275</v>
      </c>
      <c r="C30" s="28" t="s">
        <v>276</v>
      </c>
      <c r="D30" s="28" t="s">
        <v>277</v>
      </c>
      <c r="E30" s="29">
        <v>52471</v>
      </c>
      <c r="F30" s="30">
        <v>832.03</v>
      </c>
      <c r="G30" s="31">
        <v>1.3100000000000001E-2</v>
      </c>
      <c r="H30" s="32"/>
    </row>
    <row r="31" spans="2:8" ht="15.75" customHeight="1" x14ac:dyDescent="0.2">
      <c r="B31" s="28" t="s">
        <v>607</v>
      </c>
      <c r="C31" s="28" t="s">
        <v>608</v>
      </c>
      <c r="D31" s="28" t="s">
        <v>338</v>
      </c>
      <c r="E31" s="29">
        <v>104714</v>
      </c>
      <c r="F31" s="30">
        <v>811.53</v>
      </c>
      <c r="G31" s="31">
        <v>1.2699999999999999E-2</v>
      </c>
      <c r="H31" s="32"/>
    </row>
    <row r="32" spans="2:8" ht="15.75" customHeight="1" x14ac:dyDescent="0.2">
      <c r="B32" s="28" t="s">
        <v>759</v>
      </c>
      <c r="C32" s="28" t="s">
        <v>760</v>
      </c>
      <c r="D32" s="28" t="s">
        <v>182</v>
      </c>
      <c r="E32" s="29">
        <v>66456</v>
      </c>
      <c r="F32" s="30">
        <v>794.75</v>
      </c>
      <c r="G32" s="31">
        <v>1.2500000000000001E-2</v>
      </c>
      <c r="H32" s="32"/>
    </row>
    <row r="33" spans="2:8" ht="15.75" customHeight="1" x14ac:dyDescent="0.2">
      <c r="B33" s="28" t="s">
        <v>290</v>
      </c>
      <c r="C33" s="28" t="s">
        <v>291</v>
      </c>
      <c r="D33" s="28" t="s">
        <v>238</v>
      </c>
      <c r="E33" s="29">
        <v>55330</v>
      </c>
      <c r="F33" s="30">
        <v>768.81</v>
      </c>
      <c r="G33" s="31">
        <v>1.21E-2</v>
      </c>
      <c r="H33" s="32"/>
    </row>
    <row r="34" spans="2:8" ht="15.75" customHeight="1" x14ac:dyDescent="0.2">
      <c r="B34" s="28" t="s">
        <v>898</v>
      </c>
      <c r="C34" s="28" t="s">
        <v>899</v>
      </c>
      <c r="D34" s="28" t="s">
        <v>243</v>
      </c>
      <c r="E34" s="29">
        <v>75569</v>
      </c>
      <c r="F34" s="30">
        <v>735.17</v>
      </c>
      <c r="G34" s="31">
        <v>1.15E-2</v>
      </c>
      <c r="H34" s="32"/>
    </row>
    <row r="35" spans="2:8" ht="15.75" customHeight="1" x14ac:dyDescent="0.2">
      <c r="B35" s="28" t="s">
        <v>900</v>
      </c>
      <c r="C35" s="28" t="s">
        <v>901</v>
      </c>
      <c r="D35" s="28" t="s">
        <v>243</v>
      </c>
      <c r="E35" s="29">
        <v>271597</v>
      </c>
      <c r="F35" s="30">
        <v>734.13</v>
      </c>
      <c r="G35" s="31">
        <v>1.15E-2</v>
      </c>
      <c r="H35" s="32"/>
    </row>
    <row r="36" spans="2:8" ht="15.75" customHeight="1" x14ac:dyDescent="0.2">
      <c r="B36" s="28" t="s">
        <v>343</v>
      </c>
      <c r="C36" s="28" t="s">
        <v>344</v>
      </c>
      <c r="D36" s="28" t="s">
        <v>345</v>
      </c>
      <c r="E36" s="29">
        <v>28709</v>
      </c>
      <c r="F36" s="30">
        <v>723.06</v>
      </c>
      <c r="G36" s="31">
        <v>1.1299999999999999E-2</v>
      </c>
      <c r="H36" s="32"/>
    </row>
    <row r="37" spans="2:8" ht="15.75" customHeight="1" x14ac:dyDescent="0.2">
      <c r="B37" s="28" t="s">
        <v>676</v>
      </c>
      <c r="C37" s="28" t="s">
        <v>677</v>
      </c>
      <c r="D37" s="28" t="s">
        <v>238</v>
      </c>
      <c r="E37" s="29">
        <v>29800</v>
      </c>
      <c r="F37" s="30">
        <v>717.08</v>
      </c>
      <c r="G37" s="31">
        <v>1.1299999999999999E-2</v>
      </c>
      <c r="H37" s="32"/>
    </row>
    <row r="38" spans="2:8" ht="15.75" customHeight="1" x14ac:dyDescent="0.2">
      <c r="B38" s="28" t="s">
        <v>742</v>
      </c>
      <c r="C38" s="28" t="s">
        <v>743</v>
      </c>
      <c r="D38" s="28" t="s">
        <v>243</v>
      </c>
      <c r="E38" s="29">
        <v>270470</v>
      </c>
      <c r="F38" s="30">
        <v>716.1</v>
      </c>
      <c r="G38" s="31">
        <v>1.12E-2</v>
      </c>
      <c r="H38" s="32"/>
    </row>
    <row r="39" spans="2:8" ht="15.75" customHeight="1" x14ac:dyDescent="0.2">
      <c r="B39" s="28" t="s">
        <v>902</v>
      </c>
      <c r="C39" s="28" t="s">
        <v>903</v>
      </c>
      <c r="D39" s="28" t="s">
        <v>176</v>
      </c>
      <c r="E39" s="29">
        <v>190036</v>
      </c>
      <c r="F39" s="30">
        <v>711.78</v>
      </c>
      <c r="G39" s="31">
        <v>1.12E-2</v>
      </c>
      <c r="H39" s="32"/>
    </row>
    <row r="40" spans="2:8" ht="15.75" customHeight="1" x14ac:dyDescent="0.2">
      <c r="B40" s="28" t="s">
        <v>904</v>
      </c>
      <c r="C40" s="28" t="s">
        <v>905</v>
      </c>
      <c r="D40" s="28" t="s">
        <v>561</v>
      </c>
      <c r="E40" s="29">
        <v>110875</v>
      </c>
      <c r="F40" s="30">
        <v>711.65</v>
      </c>
      <c r="G40" s="31">
        <v>1.12E-2</v>
      </c>
      <c r="H40" s="32"/>
    </row>
    <row r="41" spans="2:8" ht="15.75" customHeight="1" x14ac:dyDescent="0.2">
      <c r="B41" s="28" t="s">
        <v>734</v>
      </c>
      <c r="C41" s="28" t="s">
        <v>735</v>
      </c>
      <c r="D41" s="28" t="s">
        <v>326</v>
      </c>
      <c r="E41" s="29">
        <v>177532</v>
      </c>
      <c r="F41" s="30">
        <v>708.89</v>
      </c>
      <c r="G41" s="31">
        <v>1.11E-2</v>
      </c>
      <c r="H41" s="32"/>
    </row>
    <row r="42" spans="2:8" ht="15.75" customHeight="1" x14ac:dyDescent="0.2">
      <c r="B42" s="28" t="s">
        <v>906</v>
      </c>
      <c r="C42" s="28" t="s">
        <v>907</v>
      </c>
      <c r="D42" s="28" t="s">
        <v>173</v>
      </c>
      <c r="E42" s="29">
        <v>3473179</v>
      </c>
      <c r="F42" s="30">
        <v>692.2</v>
      </c>
      <c r="G42" s="31">
        <v>1.09E-2</v>
      </c>
      <c r="H42" s="32"/>
    </row>
    <row r="43" spans="2:8" ht="15.75" customHeight="1" x14ac:dyDescent="0.2">
      <c r="B43" s="28" t="s">
        <v>704</v>
      </c>
      <c r="C43" s="28" t="s">
        <v>705</v>
      </c>
      <c r="D43" s="28" t="s">
        <v>321</v>
      </c>
      <c r="E43" s="29">
        <v>36002</v>
      </c>
      <c r="F43" s="30">
        <v>685.84</v>
      </c>
      <c r="G43" s="31">
        <v>1.0800000000000001E-2</v>
      </c>
      <c r="H43" s="32"/>
    </row>
    <row r="44" spans="2:8" ht="15.75" customHeight="1" x14ac:dyDescent="0.2">
      <c r="B44" s="28" t="s">
        <v>217</v>
      </c>
      <c r="C44" s="28" t="s">
        <v>218</v>
      </c>
      <c r="D44" s="28" t="s">
        <v>219</v>
      </c>
      <c r="E44" s="29">
        <v>705900</v>
      </c>
      <c r="F44" s="30">
        <v>680.7</v>
      </c>
      <c r="G44" s="31">
        <v>1.0699999999999999E-2</v>
      </c>
      <c r="H44" s="32"/>
    </row>
    <row r="45" spans="2:8" ht="15.75" customHeight="1" x14ac:dyDescent="0.2">
      <c r="B45" s="28" t="s">
        <v>755</v>
      </c>
      <c r="C45" s="28" t="s">
        <v>756</v>
      </c>
      <c r="D45" s="28" t="s">
        <v>248</v>
      </c>
      <c r="E45" s="29">
        <v>36903</v>
      </c>
      <c r="F45" s="30">
        <v>651.34</v>
      </c>
      <c r="G45" s="31">
        <v>1.0200000000000001E-2</v>
      </c>
      <c r="H45" s="32"/>
    </row>
    <row r="46" spans="2:8" ht="15.75" customHeight="1" x14ac:dyDescent="0.2">
      <c r="B46" s="28" t="s">
        <v>714</v>
      </c>
      <c r="C46" s="28" t="s">
        <v>715</v>
      </c>
      <c r="D46" s="28" t="s">
        <v>271</v>
      </c>
      <c r="E46" s="29">
        <v>45057</v>
      </c>
      <c r="F46" s="30">
        <v>644.5</v>
      </c>
      <c r="G46" s="31">
        <v>1.01E-2</v>
      </c>
      <c r="H46" s="32"/>
    </row>
    <row r="47" spans="2:8" ht="15.75" customHeight="1" x14ac:dyDescent="0.2">
      <c r="B47" s="28" t="s">
        <v>576</v>
      </c>
      <c r="C47" s="28" t="s">
        <v>577</v>
      </c>
      <c r="D47" s="28" t="s">
        <v>238</v>
      </c>
      <c r="E47" s="29">
        <v>11577</v>
      </c>
      <c r="F47" s="30">
        <v>625.16</v>
      </c>
      <c r="G47" s="31">
        <v>9.7999999999999997E-3</v>
      </c>
      <c r="H47" s="32"/>
    </row>
    <row r="48" spans="2:8" ht="15.75" customHeight="1" x14ac:dyDescent="0.2">
      <c r="B48" s="28" t="s">
        <v>746</v>
      </c>
      <c r="C48" s="28" t="s">
        <v>747</v>
      </c>
      <c r="D48" s="28" t="s">
        <v>179</v>
      </c>
      <c r="E48" s="29">
        <v>21126</v>
      </c>
      <c r="F48" s="30">
        <v>622.77</v>
      </c>
      <c r="G48" s="31">
        <v>9.7999999999999997E-3</v>
      </c>
      <c r="H48" s="32"/>
    </row>
    <row r="49" spans="2:8" ht="15.75" customHeight="1" x14ac:dyDescent="0.2">
      <c r="B49" s="28" t="s">
        <v>908</v>
      </c>
      <c r="C49" s="28" t="s">
        <v>909</v>
      </c>
      <c r="D49" s="28" t="s">
        <v>378</v>
      </c>
      <c r="E49" s="29">
        <v>684022</v>
      </c>
      <c r="F49" s="30">
        <v>618.15</v>
      </c>
      <c r="G49" s="31">
        <v>9.7000000000000003E-3</v>
      </c>
      <c r="H49" s="32"/>
    </row>
    <row r="50" spans="2:8" ht="15.75" customHeight="1" x14ac:dyDescent="0.2">
      <c r="B50" s="28" t="s">
        <v>910</v>
      </c>
      <c r="C50" s="28" t="s">
        <v>911</v>
      </c>
      <c r="D50" s="28" t="s">
        <v>251</v>
      </c>
      <c r="E50" s="29">
        <v>106981</v>
      </c>
      <c r="F50" s="30">
        <v>600.32000000000005</v>
      </c>
      <c r="G50" s="31">
        <v>9.4000000000000004E-3</v>
      </c>
      <c r="H50" s="32"/>
    </row>
    <row r="51" spans="2:8" ht="15.75" customHeight="1" x14ac:dyDescent="0.2">
      <c r="B51" s="28" t="s">
        <v>417</v>
      </c>
      <c r="C51" s="28" t="s">
        <v>418</v>
      </c>
      <c r="D51" s="28" t="s">
        <v>182</v>
      </c>
      <c r="E51" s="29">
        <v>26215</v>
      </c>
      <c r="F51" s="30">
        <v>596.84</v>
      </c>
      <c r="G51" s="31">
        <v>9.4000000000000004E-3</v>
      </c>
      <c r="H51" s="32"/>
    </row>
    <row r="52" spans="2:8" ht="15.75" customHeight="1" x14ac:dyDescent="0.2">
      <c r="B52" s="28" t="s">
        <v>912</v>
      </c>
      <c r="C52" s="28" t="s">
        <v>913</v>
      </c>
      <c r="D52" s="28" t="s">
        <v>173</v>
      </c>
      <c r="E52" s="29">
        <v>69876</v>
      </c>
      <c r="F52" s="30">
        <v>595.24</v>
      </c>
      <c r="G52" s="31">
        <v>9.2999999999999992E-3</v>
      </c>
      <c r="H52" s="32"/>
    </row>
    <row r="53" spans="2:8" ht="15.75" customHeight="1" x14ac:dyDescent="0.2">
      <c r="B53" s="28" t="s">
        <v>914</v>
      </c>
      <c r="C53" s="28" t="s">
        <v>915</v>
      </c>
      <c r="D53" s="28" t="s">
        <v>271</v>
      </c>
      <c r="E53" s="29">
        <v>47898</v>
      </c>
      <c r="F53" s="30">
        <v>594.22</v>
      </c>
      <c r="G53" s="31">
        <v>9.2999999999999992E-3</v>
      </c>
      <c r="H53" s="32"/>
    </row>
    <row r="54" spans="2:8" ht="15.75" customHeight="1" x14ac:dyDescent="0.2">
      <c r="B54" s="28" t="s">
        <v>477</v>
      </c>
      <c r="C54" s="28" t="s">
        <v>478</v>
      </c>
      <c r="D54" s="28" t="s">
        <v>321</v>
      </c>
      <c r="E54" s="29">
        <v>12210</v>
      </c>
      <c r="F54" s="30">
        <v>593.1</v>
      </c>
      <c r="G54" s="31">
        <v>9.2999999999999992E-3</v>
      </c>
      <c r="H54" s="32"/>
    </row>
    <row r="55" spans="2:8" ht="15.75" customHeight="1" x14ac:dyDescent="0.2">
      <c r="B55" s="28" t="s">
        <v>916</v>
      </c>
      <c r="C55" s="28" t="s">
        <v>917</v>
      </c>
      <c r="D55" s="28" t="s">
        <v>268</v>
      </c>
      <c r="E55" s="29">
        <v>18951</v>
      </c>
      <c r="F55" s="30">
        <v>591.04</v>
      </c>
      <c r="G55" s="31">
        <v>9.2999999999999992E-3</v>
      </c>
      <c r="H55" s="32"/>
    </row>
    <row r="56" spans="2:8" ht="15.75" customHeight="1" x14ac:dyDescent="0.2">
      <c r="B56" s="28" t="s">
        <v>372</v>
      </c>
      <c r="C56" s="28" t="s">
        <v>373</v>
      </c>
      <c r="D56" s="28" t="s">
        <v>190</v>
      </c>
      <c r="E56" s="29">
        <v>163426</v>
      </c>
      <c r="F56" s="30">
        <v>564.64</v>
      </c>
      <c r="G56" s="31">
        <v>8.8999999999999999E-3</v>
      </c>
      <c r="H56" s="32"/>
    </row>
    <row r="57" spans="2:8" ht="15.75" customHeight="1" x14ac:dyDescent="0.2">
      <c r="B57" s="28" t="s">
        <v>918</v>
      </c>
      <c r="C57" s="28" t="s">
        <v>919</v>
      </c>
      <c r="D57" s="28" t="s">
        <v>216</v>
      </c>
      <c r="E57" s="29">
        <v>5461848</v>
      </c>
      <c r="F57" s="30">
        <v>558.20000000000005</v>
      </c>
      <c r="G57" s="31">
        <v>8.8000000000000005E-3</v>
      </c>
      <c r="H57" s="32"/>
    </row>
    <row r="58" spans="2:8" ht="15.75" customHeight="1" x14ac:dyDescent="0.2">
      <c r="B58" s="28" t="s">
        <v>617</v>
      </c>
      <c r="C58" s="28" t="s">
        <v>618</v>
      </c>
      <c r="D58" s="28" t="s">
        <v>619</v>
      </c>
      <c r="E58" s="29">
        <v>26052</v>
      </c>
      <c r="F58" s="30">
        <v>546.1</v>
      </c>
      <c r="G58" s="31">
        <v>8.6E-3</v>
      </c>
      <c r="H58" s="32"/>
    </row>
    <row r="59" spans="2:8" ht="15.75" customHeight="1" x14ac:dyDescent="0.2">
      <c r="B59" s="28" t="s">
        <v>419</v>
      </c>
      <c r="C59" s="28" t="s">
        <v>420</v>
      </c>
      <c r="D59" s="28" t="s">
        <v>248</v>
      </c>
      <c r="E59" s="29">
        <v>29419</v>
      </c>
      <c r="F59" s="30">
        <v>539.9</v>
      </c>
      <c r="G59" s="31">
        <v>8.5000000000000006E-3</v>
      </c>
      <c r="H59" s="32"/>
    </row>
    <row r="60" spans="2:8" ht="15.75" customHeight="1" x14ac:dyDescent="0.2">
      <c r="B60" s="28" t="s">
        <v>429</v>
      </c>
      <c r="C60" s="28" t="s">
        <v>430</v>
      </c>
      <c r="D60" s="28" t="s">
        <v>431</v>
      </c>
      <c r="E60" s="29">
        <v>51427</v>
      </c>
      <c r="F60" s="30">
        <v>532.09</v>
      </c>
      <c r="G60" s="31">
        <v>8.3000000000000001E-3</v>
      </c>
      <c r="H60" s="32"/>
    </row>
    <row r="61" spans="2:8" ht="15.75" customHeight="1" x14ac:dyDescent="0.2">
      <c r="B61" s="28" t="s">
        <v>644</v>
      </c>
      <c r="C61" s="28" t="s">
        <v>645</v>
      </c>
      <c r="D61" s="28" t="s">
        <v>282</v>
      </c>
      <c r="E61" s="29">
        <v>108010</v>
      </c>
      <c r="F61" s="30">
        <v>530.11</v>
      </c>
      <c r="G61" s="31">
        <v>8.3000000000000001E-3</v>
      </c>
      <c r="H61" s="32"/>
    </row>
    <row r="62" spans="2:8" ht="15.75" customHeight="1" x14ac:dyDescent="0.2">
      <c r="B62" s="28" t="s">
        <v>920</v>
      </c>
      <c r="C62" s="28" t="s">
        <v>921</v>
      </c>
      <c r="D62" s="28" t="s">
        <v>229</v>
      </c>
      <c r="E62" s="29">
        <v>285841</v>
      </c>
      <c r="F62" s="30">
        <v>527.72</v>
      </c>
      <c r="G62" s="31">
        <v>8.3000000000000001E-3</v>
      </c>
      <c r="H62" s="32"/>
    </row>
    <row r="63" spans="2:8" ht="15.75" customHeight="1" x14ac:dyDescent="0.2">
      <c r="B63" s="28" t="s">
        <v>922</v>
      </c>
      <c r="C63" s="28" t="s">
        <v>923</v>
      </c>
      <c r="D63" s="28" t="s">
        <v>179</v>
      </c>
      <c r="E63" s="29">
        <v>402</v>
      </c>
      <c r="F63" s="30">
        <v>521.42999999999995</v>
      </c>
      <c r="G63" s="31">
        <v>8.2000000000000007E-3</v>
      </c>
      <c r="H63" s="32"/>
    </row>
    <row r="64" spans="2:8" ht="15.75" customHeight="1" x14ac:dyDescent="0.2">
      <c r="B64" s="28" t="s">
        <v>924</v>
      </c>
      <c r="C64" s="28" t="s">
        <v>925</v>
      </c>
      <c r="D64" s="28" t="s">
        <v>251</v>
      </c>
      <c r="E64" s="29">
        <v>626062</v>
      </c>
      <c r="F64" s="30">
        <v>520.88</v>
      </c>
      <c r="G64" s="31">
        <v>8.2000000000000007E-3</v>
      </c>
      <c r="H64" s="32"/>
    </row>
    <row r="65" spans="2:14" ht="15.75" customHeight="1" x14ac:dyDescent="0.2">
      <c r="B65" s="28" t="s">
        <v>926</v>
      </c>
      <c r="C65" s="28" t="s">
        <v>927</v>
      </c>
      <c r="D65" s="28" t="s">
        <v>619</v>
      </c>
      <c r="E65" s="29">
        <v>116796</v>
      </c>
      <c r="F65" s="30">
        <v>515.65</v>
      </c>
      <c r="G65" s="31">
        <v>8.0999999999999996E-3</v>
      </c>
      <c r="H65" s="32"/>
    </row>
    <row r="66" spans="2:14" ht="15.75" customHeight="1" x14ac:dyDescent="0.2">
      <c r="B66" s="28" t="s">
        <v>497</v>
      </c>
      <c r="C66" s="28" t="s">
        <v>498</v>
      </c>
      <c r="D66" s="28" t="s">
        <v>243</v>
      </c>
      <c r="E66" s="29">
        <v>421398</v>
      </c>
      <c r="F66" s="30">
        <v>515.33000000000004</v>
      </c>
      <c r="G66" s="31">
        <v>8.0999999999999996E-3</v>
      </c>
      <c r="H66" s="32"/>
    </row>
    <row r="67" spans="2:14" ht="15.75" customHeight="1" x14ac:dyDescent="0.2">
      <c r="B67" s="28" t="s">
        <v>928</v>
      </c>
      <c r="C67" s="28" t="s">
        <v>929</v>
      </c>
      <c r="D67" s="28" t="s">
        <v>238</v>
      </c>
      <c r="E67" s="29">
        <v>141275</v>
      </c>
      <c r="F67" s="30">
        <v>508.1</v>
      </c>
      <c r="G67" s="31">
        <v>8.0000000000000002E-3</v>
      </c>
      <c r="H67" s="32"/>
    </row>
    <row r="68" spans="2:14" ht="15.75" customHeight="1" x14ac:dyDescent="0.2">
      <c r="B68" s="28" t="s">
        <v>686</v>
      </c>
      <c r="C68" s="28" t="s">
        <v>687</v>
      </c>
      <c r="D68" s="28" t="s">
        <v>238</v>
      </c>
      <c r="E68" s="29">
        <v>22396</v>
      </c>
      <c r="F68" s="30">
        <v>503.17</v>
      </c>
      <c r="G68" s="31">
        <v>7.9000000000000008E-3</v>
      </c>
      <c r="H68" s="32"/>
      <c r="J68" s="3"/>
    </row>
    <row r="69" spans="2:14" ht="15.75" customHeight="1" x14ac:dyDescent="0.2">
      <c r="B69" s="28" t="s">
        <v>580</v>
      </c>
      <c r="C69" s="28" t="s">
        <v>581</v>
      </c>
      <c r="D69" s="28" t="s">
        <v>483</v>
      </c>
      <c r="E69" s="29">
        <v>14358</v>
      </c>
      <c r="F69" s="30">
        <v>491.49</v>
      </c>
      <c r="G69" s="31">
        <v>7.7000000000000002E-3</v>
      </c>
      <c r="H69" s="32"/>
    </row>
    <row r="70" spans="2:14" ht="15.75" customHeight="1" x14ac:dyDescent="0.2">
      <c r="B70" s="28" t="s">
        <v>702</v>
      </c>
      <c r="C70" s="28" t="s">
        <v>703</v>
      </c>
      <c r="D70" s="28" t="s">
        <v>561</v>
      </c>
      <c r="E70" s="29">
        <v>16022</v>
      </c>
      <c r="F70" s="30">
        <v>489.44</v>
      </c>
      <c r="G70" s="31">
        <v>7.7000000000000002E-3</v>
      </c>
      <c r="H70" s="32"/>
      <c r="J70" s="3"/>
    </row>
    <row r="71" spans="2:14" ht="15.75" customHeight="1" x14ac:dyDescent="0.2">
      <c r="B71" s="28" t="s">
        <v>930</v>
      </c>
      <c r="C71" s="28" t="s">
        <v>931</v>
      </c>
      <c r="D71" s="28" t="s">
        <v>190</v>
      </c>
      <c r="E71" s="29">
        <v>168715</v>
      </c>
      <c r="F71" s="30">
        <v>471.95</v>
      </c>
      <c r="G71" s="31">
        <v>7.4000000000000003E-3</v>
      </c>
      <c r="H71" s="32"/>
      <c r="J71" s="3"/>
    </row>
    <row r="72" spans="2:14" ht="15.75" customHeight="1" x14ac:dyDescent="0.2">
      <c r="B72" s="28" t="s">
        <v>421</v>
      </c>
      <c r="C72" s="28" t="s">
        <v>422</v>
      </c>
      <c r="D72" s="28" t="s">
        <v>248</v>
      </c>
      <c r="E72" s="29">
        <v>33350</v>
      </c>
      <c r="F72" s="30">
        <v>471.7</v>
      </c>
      <c r="G72" s="31">
        <v>7.4000000000000003E-3</v>
      </c>
      <c r="H72" s="32"/>
      <c r="J72" s="3"/>
    </row>
    <row r="73" spans="2:14" ht="15.75" customHeight="1" x14ac:dyDescent="0.2">
      <c r="B73" s="28" t="s">
        <v>559</v>
      </c>
      <c r="C73" s="28" t="s">
        <v>560</v>
      </c>
      <c r="D73" s="28" t="s">
        <v>561</v>
      </c>
      <c r="E73" s="29">
        <v>23378</v>
      </c>
      <c r="F73" s="30">
        <v>463.28</v>
      </c>
      <c r="G73" s="31">
        <v>7.3000000000000001E-3</v>
      </c>
      <c r="H73" s="32"/>
      <c r="J73" s="3"/>
    </row>
    <row r="74" spans="2:14" ht="15.75" customHeight="1" x14ac:dyDescent="0.2">
      <c r="B74" s="28" t="s">
        <v>932</v>
      </c>
      <c r="C74" s="28" t="s">
        <v>933</v>
      </c>
      <c r="D74" s="28" t="s">
        <v>321</v>
      </c>
      <c r="E74" s="29">
        <v>12741</v>
      </c>
      <c r="F74" s="30">
        <v>461.56</v>
      </c>
      <c r="G74" s="31">
        <v>7.1999999999999998E-3</v>
      </c>
      <c r="H74" s="32"/>
      <c r="J74" s="3"/>
    </row>
    <row r="75" spans="2:14" ht="15.75" customHeight="1" x14ac:dyDescent="0.2">
      <c r="B75" s="28" t="s">
        <v>348</v>
      </c>
      <c r="C75" s="28" t="s">
        <v>349</v>
      </c>
      <c r="D75" s="28" t="s">
        <v>182</v>
      </c>
      <c r="E75" s="29">
        <v>4721</v>
      </c>
      <c r="F75" s="30">
        <v>459.19</v>
      </c>
      <c r="G75" s="31">
        <v>7.1999999999999998E-3</v>
      </c>
      <c r="H75" s="32"/>
      <c r="J75" s="5"/>
      <c r="K75" s="5"/>
      <c r="L75" s="6"/>
      <c r="M75" s="6"/>
      <c r="N75" s="5"/>
    </row>
    <row r="76" spans="2:14" ht="15.75" customHeight="1" x14ac:dyDescent="0.2">
      <c r="B76" s="28" t="s">
        <v>934</v>
      </c>
      <c r="C76" s="28" t="s">
        <v>935</v>
      </c>
      <c r="D76" s="28" t="s">
        <v>406</v>
      </c>
      <c r="E76" s="29">
        <v>1247</v>
      </c>
      <c r="F76" s="30">
        <v>458.71</v>
      </c>
      <c r="G76" s="31">
        <v>7.1999999999999998E-3</v>
      </c>
      <c r="H76" s="32"/>
    </row>
    <row r="77" spans="2:14" ht="15.75" customHeight="1" x14ac:dyDescent="0.2">
      <c r="B77" s="28" t="s">
        <v>628</v>
      </c>
      <c r="C77" s="28" t="s">
        <v>629</v>
      </c>
      <c r="D77" s="28" t="s">
        <v>271</v>
      </c>
      <c r="E77" s="29">
        <v>25657</v>
      </c>
      <c r="F77" s="30">
        <v>456.95</v>
      </c>
      <c r="G77" s="31">
        <v>7.1999999999999998E-3</v>
      </c>
      <c r="H77" s="32"/>
    </row>
    <row r="78" spans="2:14" ht="15.75" customHeight="1" x14ac:dyDescent="0.2">
      <c r="B78" s="28" t="s">
        <v>708</v>
      </c>
      <c r="C78" s="28" t="s">
        <v>709</v>
      </c>
      <c r="D78" s="28" t="s">
        <v>190</v>
      </c>
      <c r="E78" s="29">
        <v>130851</v>
      </c>
      <c r="F78" s="30">
        <v>406.55</v>
      </c>
      <c r="G78" s="31">
        <v>6.4000000000000003E-3</v>
      </c>
      <c r="H78" s="32"/>
      <c r="J78" s="7"/>
      <c r="K78" s="7"/>
      <c r="L78" s="7"/>
      <c r="M78" s="7"/>
      <c r="N78" s="7"/>
    </row>
    <row r="79" spans="2:14" ht="15.75" customHeight="1" x14ac:dyDescent="0.2">
      <c r="B79" s="28" t="s">
        <v>728</v>
      </c>
      <c r="C79" s="28" t="s">
        <v>729</v>
      </c>
      <c r="D79" s="28" t="s">
        <v>248</v>
      </c>
      <c r="E79" s="29">
        <v>23286</v>
      </c>
      <c r="F79" s="30">
        <v>388.78</v>
      </c>
      <c r="G79" s="31">
        <v>6.1000000000000004E-3</v>
      </c>
      <c r="H79" s="32"/>
      <c r="J79" s="7"/>
      <c r="K79" s="7"/>
      <c r="L79" s="7"/>
      <c r="M79" s="7"/>
      <c r="N79" s="7"/>
    </row>
    <row r="80" spans="2:14" ht="15.75" customHeight="1" x14ac:dyDescent="0.2">
      <c r="B80" s="28" t="s">
        <v>358</v>
      </c>
      <c r="C80" s="28" t="s">
        <v>359</v>
      </c>
      <c r="D80" s="28" t="s">
        <v>190</v>
      </c>
      <c r="E80" s="29">
        <v>59292</v>
      </c>
      <c r="F80" s="30">
        <v>381.78</v>
      </c>
      <c r="G80" s="31">
        <v>6.0000000000000001E-3</v>
      </c>
      <c r="H80" s="32"/>
      <c r="J80" s="7"/>
      <c r="K80" s="7"/>
      <c r="L80" s="7"/>
      <c r="M80" s="7"/>
      <c r="N80" s="7"/>
    </row>
    <row r="81" spans="2:14" ht="15.75" customHeight="1" x14ac:dyDescent="0.2">
      <c r="B81" s="28" t="s">
        <v>722</v>
      </c>
      <c r="C81" s="28" t="s">
        <v>723</v>
      </c>
      <c r="D81" s="28" t="s">
        <v>470</v>
      </c>
      <c r="E81" s="29">
        <v>77440</v>
      </c>
      <c r="F81" s="30">
        <v>370.63</v>
      </c>
      <c r="G81" s="31">
        <v>5.7999999999999996E-3</v>
      </c>
      <c r="H81" s="32"/>
      <c r="J81" s="7"/>
      <c r="K81" s="7"/>
      <c r="L81" s="7"/>
      <c r="M81" s="7"/>
      <c r="N81" s="7"/>
    </row>
    <row r="82" spans="2:14" ht="15.75" customHeight="1" x14ac:dyDescent="0.2">
      <c r="B82" s="28" t="s">
        <v>936</v>
      </c>
      <c r="C82" s="28" t="s">
        <v>937</v>
      </c>
      <c r="D82" s="28" t="s">
        <v>321</v>
      </c>
      <c r="E82" s="29">
        <v>24212</v>
      </c>
      <c r="F82" s="30">
        <v>370.37</v>
      </c>
      <c r="G82" s="31">
        <v>5.7999999999999996E-3</v>
      </c>
      <c r="H82" s="32"/>
      <c r="J82" s="7"/>
      <c r="K82" s="7"/>
      <c r="L82" s="7"/>
      <c r="M82" s="7"/>
      <c r="N82" s="7"/>
    </row>
    <row r="83" spans="2:14" ht="15.75" customHeight="1" x14ac:dyDescent="0.2">
      <c r="B83" s="28" t="s">
        <v>360</v>
      </c>
      <c r="C83" s="28" t="s">
        <v>361</v>
      </c>
      <c r="D83" s="28" t="s">
        <v>216</v>
      </c>
      <c r="E83" s="29">
        <v>23223</v>
      </c>
      <c r="F83" s="30">
        <v>367.04</v>
      </c>
      <c r="G83" s="31">
        <v>5.7999999999999996E-3</v>
      </c>
      <c r="H83" s="32"/>
      <c r="J83" s="7"/>
      <c r="K83" s="7"/>
      <c r="L83" s="7"/>
      <c r="M83" s="7"/>
      <c r="N83" s="7"/>
    </row>
    <row r="84" spans="2:14" ht="15.75" customHeight="1" x14ac:dyDescent="0.2">
      <c r="B84" s="28" t="s">
        <v>938</v>
      </c>
      <c r="C84" s="28" t="s">
        <v>939</v>
      </c>
      <c r="D84" s="28" t="s">
        <v>274</v>
      </c>
      <c r="E84" s="29">
        <v>54930</v>
      </c>
      <c r="F84" s="30">
        <v>348.64</v>
      </c>
      <c r="G84" s="31">
        <v>5.4999999999999997E-3</v>
      </c>
      <c r="H84" s="32"/>
      <c r="J84" s="7"/>
      <c r="K84" s="7"/>
      <c r="L84" s="7"/>
      <c r="M84" s="7"/>
      <c r="N84" s="7"/>
    </row>
    <row r="85" spans="2:14" ht="15.75" customHeight="1" x14ac:dyDescent="0.2">
      <c r="B85" s="28" t="s">
        <v>285</v>
      </c>
      <c r="C85" s="28" t="s">
        <v>286</v>
      </c>
      <c r="D85" s="28" t="s">
        <v>287</v>
      </c>
      <c r="E85" s="29">
        <v>68281</v>
      </c>
      <c r="F85" s="30">
        <v>347.45</v>
      </c>
      <c r="G85" s="31">
        <v>5.4999999999999997E-3</v>
      </c>
      <c r="H85" s="32"/>
    </row>
    <row r="86" spans="2:14" ht="15.75" customHeight="1" x14ac:dyDescent="0.2">
      <c r="B86" s="28" t="s">
        <v>940</v>
      </c>
      <c r="C86" s="28" t="s">
        <v>941</v>
      </c>
      <c r="D86" s="28" t="s">
        <v>173</v>
      </c>
      <c r="E86" s="29">
        <v>240251</v>
      </c>
      <c r="F86" s="30">
        <v>336.04</v>
      </c>
      <c r="G86" s="31">
        <v>5.3E-3</v>
      </c>
      <c r="H86" s="32"/>
      <c r="J86" s="3"/>
    </row>
    <row r="87" spans="2:14" ht="15.75" customHeight="1" x14ac:dyDescent="0.2">
      <c r="B87" s="28" t="s">
        <v>942</v>
      </c>
      <c r="C87" s="28" t="s">
        <v>943</v>
      </c>
      <c r="D87" s="28" t="s">
        <v>318</v>
      </c>
      <c r="E87" s="29">
        <v>112307</v>
      </c>
      <c r="F87" s="30">
        <v>334.28</v>
      </c>
      <c r="G87" s="31">
        <v>5.1999999999999998E-3</v>
      </c>
      <c r="H87" s="32"/>
    </row>
    <row r="88" spans="2:14" ht="15.75" customHeight="1" x14ac:dyDescent="0.2">
      <c r="B88" s="28" t="s">
        <v>944</v>
      </c>
      <c r="C88" s="28" t="s">
        <v>945</v>
      </c>
      <c r="D88" s="28" t="s">
        <v>190</v>
      </c>
      <c r="E88" s="29">
        <v>59542</v>
      </c>
      <c r="F88" s="30">
        <v>330.28</v>
      </c>
      <c r="G88" s="31">
        <v>5.1999999999999998E-3</v>
      </c>
      <c r="H88" s="32"/>
    </row>
    <row r="89" spans="2:14" ht="15.75" customHeight="1" x14ac:dyDescent="0.2">
      <c r="B89" s="28" t="s">
        <v>264</v>
      </c>
      <c r="C89" s="28" t="s">
        <v>265</v>
      </c>
      <c r="D89" s="28" t="s">
        <v>179</v>
      </c>
      <c r="E89" s="29">
        <v>90004</v>
      </c>
      <c r="F89" s="30">
        <v>324.51</v>
      </c>
      <c r="G89" s="31">
        <v>5.1000000000000004E-3</v>
      </c>
      <c r="H89" s="32"/>
    </row>
    <row r="90" spans="2:14" ht="15.75" customHeight="1" x14ac:dyDescent="0.2">
      <c r="B90" s="28" t="s">
        <v>946</v>
      </c>
      <c r="C90" s="28" t="s">
        <v>947</v>
      </c>
      <c r="D90" s="28" t="s">
        <v>470</v>
      </c>
      <c r="E90" s="29">
        <v>59664</v>
      </c>
      <c r="F90" s="30">
        <v>321.92</v>
      </c>
      <c r="G90" s="31">
        <v>5.1000000000000004E-3</v>
      </c>
      <c r="H90" s="32"/>
    </row>
    <row r="91" spans="2:14" ht="15.75" customHeight="1" x14ac:dyDescent="0.2">
      <c r="B91" s="28" t="s">
        <v>948</v>
      </c>
      <c r="C91" s="28" t="s">
        <v>949</v>
      </c>
      <c r="D91" s="28" t="s">
        <v>338</v>
      </c>
      <c r="E91" s="29">
        <v>68518</v>
      </c>
      <c r="F91" s="30">
        <v>314.81</v>
      </c>
      <c r="G91" s="31">
        <v>4.8999999999999998E-3</v>
      </c>
      <c r="H91" s="32"/>
    </row>
    <row r="92" spans="2:14" ht="15.75" customHeight="1" x14ac:dyDescent="0.2">
      <c r="B92" s="28" t="s">
        <v>950</v>
      </c>
      <c r="C92" s="28" t="s">
        <v>951</v>
      </c>
      <c r="D92" s="28" t="s">
        <v>271</v>
      </c>
      <c r="E92" s="29">
        <v>76260</v>
      </c>
      <c r="F92" s="30">
        <v>314.76</v>
      </c>
      <c r="G92" s="31">
        <v>4.8999999999999998E-3</v>
      </c>
      <c r="H92" s="32"/>
    </row>
    <row r="93" spans="2:14" ht="15.75" customHeight="1" x14ac:dyDescent="0.2">
      <c r="B93" s="28" t="s">
        <v>712</v>
      </c>
      <c r="C93" s="28" t="s">
        <v>713</v>
      </c>
      <c r="D93" s="28" t="s">
        <v>243</v>
      </c>
      <c r="E93" s="29">
        <v>57885</v>
      </c>
      <c r="F93" s="30">
        <v>298.66000000000003</v>
      </c>
      <c r="G93" s="31">
        <v>4.7000000000000002E-3</v>
      </c>
      <c r="H93" s="32"/>
    </row>
    <row r="94" spans="2:14" ht="15.75" customHeight="1" x14ac:dyDescent="0.2">
      <c r="B94" s="28" t="s">
        <v>952</v>
      </c>
      <c r="C94" s="28" t="s">
        <v>953</v>
      </c>
      <c r="D94" s="28" t="s">
        <v>641</v>
      </c>
      <c r="E94" s="29">
        <v>16738</v>
      </c>
      <c r="F94" s="30">
        <v>290.14</v>
      </c>
      <c r="G94" s="31">
        <v>4.5999999999999999E-3</v>
      </c>
      <c r="H94" s="32"/>
    </row>
    <row r="95" spans="2:14" ht="15.75" customHeight="1" x14ac:dyDescent="0.2">
      <c r="B95" s="28" t="s">
        <v>954</v>
      </c>
      <c r="C95" s="28" t="s">
        <v>955</v>
      </c>
      <c r="D95" s="28" t="s">
        <v>182</v>
      </c>
      <c r="E95" s="29">
        <v>6809</v>
      </c>
      <c r="F95" s="30">
        <v>281.2</v>
      </c>
      <c r="G95" s="31">
        <v>4.4000000000000003E-3</v>
      </c>
      <c r="H95" s="32"/>
    </row>
    <row r="96" spans="2:14" ht="15.75" customHeight="1" x14ac:dyDescent="0.2">
      <c r="B96" s="28" t="s">
        <v>491</v>
      </c>
      <c r="C96" s="28" t="s">
        <v>492</v>
      </c>
      <c r="D96" s="28" t="s">
        <v>271</v>
      </c>
      <c r="E96" s="29">
        <v>17249</v>
      </c>
      <c r="F96" s="30">
        <v>274.77999999999997</v>
      </c>
      <c r="G96" s="31">
        <v>4.3E-3</v>
      </c>
      <c r="H96" s="32"/>
    </row>
    <row r="97" spans="2:8" ht="15.75" customHeight="1" x14ac:dyDescent="0.2">
      <c r="B97" s="28" t="s">
        <v>956</v>
      </c>
      <c r="C97" s="28" t="s">
        <v>957</v>
      </c>
      <c r="D97" s="28" t="s">
        <v>431</v>
      </c>
      <c r="E97" s="29">
        <v>119424</v>
      </c>
      <c r="F97" s="30">
        <v>256.75</v>
      </c>
      <c r="G97" s="31">
        <v>4.0000000000000001E-3</v>
      </c>
      <c r="H97" s="32"/>
    </row>
    <row r="98" spans="2:8" ht="15.75" customHeight="1" x14ac:dyDescent="0.2">
      <c r="B98" s="28" t="s">
        <v>726</v>
      </c>
      <c r="C98" s="28" t="s">
        <v>727</v>
      </c>
      <c r="D98" s="28" t="s">
        <v>224</v>
      </c>
      <c r="E98" s="29">
        <v>18227</v>
      </c>
      <c r="F98" s="30">
        <v>248.63</v>
      </c>
      <c r="G98" s="31">
        <v>3.8999999999999998E-3</v>
      </c>
      <c r="H98" s="32"/>
    </row>
    <row r="99" spans="2:8" ht="15.75" customHeight="1" x14ac:dyDescent="0.2">
      <c r="B99" s="28" t="s">
        <v>518</v>
      </c>
      <c r="C99" s="28" t="s">
        <v>519</v>
      </c>
      <c r="D99" s="28" t="s">
        <v>431</v>
      </c>
      <c r="E99" s="29">
        <v>30806</v>
      </c>
      <c r="F99" s="30">
        <v>246.53</v>
      </c>
      <c r="G99" s="31">
        <v>3.8999999999999998E-3</v>
      </c>
      <c r="H99" s="32"/>
    </row>
    <row r="100" spans="2:8" ht="15.75" customHeight="1" x14ac:dyDescent="0.2">
      <c r="B100" s="28" t="s">
        <v>493</v>
      </c>
      <c r="C100" s="28" t="s">
        <v>494</v>
      </c>
      <c r="D100" s="28" t="s">
        <v>182</v>
      </c>
      <c r="E100" s="29">
        <v>32422</v>
      </c>
      <c r="F100" s="30">
        <v>246.1</v>
      </c>
      <c r="G100" s="31">
        <v>3.8999999999999998E-3</v>
      </c>
      <c r="H100" s="32"/>
    </row>
    <row r="101" spans="2:8" ht="15.75" customHeight="1" x14ac:dyDescent="0.2">
      <c r="B101" s="28" t="s">
        <v>958</v>
      </c>
      <c r="C101" s="28" t="s">
        <v>959</v>
      </c>
      <c r="D101" s="28" t="s">
        <v>268</v>
      </c>
      <c r="E101" s="29">
        <v>23073</v>
      </c>
      <c r="F101" s="30">
        <v>234.92</v>
      </c>
      <c r="G101" s="31">
        <v>3.7000000000000002E-3</v>
      </c>
      <c r="H101" s="32"/>
    </row>
    <row r="102" spans="2:8" ht="15.75" customHeight="1" x14ac:dyDescent="0.2">
      <c r="B102" s="28" t="s">
        <v>960</v>
      </c>
      <c r="C102" s="28" t="s">
        <v>961</v>
      </c>
      <c r="D102" s="28" t="s">
        <v>431</v>
      </c>
      <c r="E102" s="29">
        <v>6937</v>
      </c>
      <c r="F102" s="30">
        <v>228.24</v>
      </c>
      <c r="G102" s="31">
        <v>3.5999999999999999E-3</v>
      </c>
      <c r="H102" s="32"/>
    </row>
    <row r="103" spans="2:8" ht="15.75" customHeight="1" x14ac:dyDescent="0.2">
      <c r="B103" s="28" t="s">
        <v>962</v>
      </c>
      <c r="C103" s="28" t="s">
        <v>963</v>
      </c>
      <c r="D103" s="28" t="s">
        <v>190</v>
      </c>
      <c r="E103" s="29">
        <v>99207</v>
      </c>
      <c r="F103" s="30">
        <v>219.12</v>
      </c>
      <c r="G103" s="31">
        <v>3.3999999999999998E-3</v>
      </c>
      <c r="H103" s="32"/>
    </row>
    <row r="104" spans="2:8" ht="15.75" customHeight="1" x14ac:dyDescent="0.2">
      <c r="B104" s="28" t="s">
        <v>964</v>
      </c>
      <c r="C104" s="28" t="s">
        <v>965</v>
      </c>
      <c r="D104" s="28" t="s">
        <v>190</v>
      </c>
      <c r="E104" s="29">
        <v>157332</v>
      </c>
      <c r="F104" s="30">
        <v>212.56</v>
      </c>
      <c r="G104" s="31">
        <v>3.3E-3</v>
      </c>
      <c r="H104" s="32"/>
    </row>
    <row r="105" spans="2:8" ht="15.75" customHeight="1" x14ac:dyDescent="0.2">
      <c r="B105" s="28" t="s">
        <v>966</v>
      </c>
      <c r="C105" s="28" t="s">
        <v>967</v>
      </c>
      <c r="D105" s="28" t="s">
        <v>190</v>
      </c>
      <c r="E105" s="29">
        <v>25499</v>
      </c>
      <c r="F105" s="30">
        <v>183.47</v>
      </c>
      <c r="G105" s="31">
        <v>2.8999999999999998E-3</v>
      </c>
      <c r="H105" s="32"/>
    </row>
    <row r="106" spans="2:8" ht="15.75" customHeight="1" x14ac:dyDescent="0.2">
      <c r="B106" s="28" t="s">
        <v>386</v>
      </c>
      <c r="C106" s="28" t="s">
        <v>387</v>
      </c>
      <c r="D106" s="28" t="s">
        <v>388</v>
      </c>
      <c r="E106" s="29">
        <v>8048</v>
      </c>
      <c r="F106" s="30">
        <v>181.16</v>
      </c>
      <c r="G106" s="31">
        <v>2.8E-3</v>
      </c>
      <c r="H106" s="32"/>
    </row>
    <row r="107" spans="2:8" ht="15.75" customHeight="1" x14ac:dyDescent="0.2">
      <c r="B107" s="27" t="s">
        <v>129</v>
      </c>
      <c r="C107" s="27"/>
      <c r="D107" s="27"/>
      <c r="E107" s="33"/>
      <c r="F107" s="34">
        <v>63682.26</v>
      </c>
      <c r="G107" s="35">
        <v>0.99929999999999997</v>
      </c>
      <c r="H107" s="36"/>
    </row>
    <row r="108" spans="2:8" ht="15.75" customHeight="1" x14ac:dyDescent="0.2">
      <c r="B108" s="27" t="s">
        <v>197</v>
      </c>
      <c r="C108" s="28"/>
      <c r="D108" s="28"/>
      <c r="E108" s="29"/>
      <c r="F108" s="30"/>
      <c r="G108" s="31"/>
      <c r="H108" s="32"/>
    </row>
    <row r="109" spans="2:8" ht="15.75" customHeight="1" x14ac:dyDescent="0.2">
      <c r="B109" s="27" t="s">
        <v>129</v>
      </c>
      <c r="C109" s="28"/>
      <c r="D109" s="28"/>
      <c r="E109" s="29"/>
      <c r="F109" s="37" t="s">
        <v>131</v>
      </c>
      <c r="G109" s="38" t="s">
        <v>131</v>
      </c>
      <c r="H109" s="32"/>
    </row>
    <row r="110" spans="2:8" ht="15.75" customHeight="1" x14ac:dyDescent="0.2">
      <c r="B110" s="28"/>
      <c r="C110" s="28"/>
      <c r="D110" s="28"/>
      <c r="E110" s="29"/>
      <c r="F110" s="30"/>
      <c r="G110" s="31"/>
      <c r="H110" s="32"/>
    </row>
    <row r="111" spans="2:8" ht="15.75" customHeight="1" x14ac:dyDescent="0.2">
      <c r="B111" s="39" t="s">
        <v>133</v>
      </c>
      <c r="C111" s="39"/>
      <c r="D111" s="39"/>
      <c r="E111" s="40"/>
      <c r="F111" s="34">
        <v>63682.26</v>
      </c>
      <c r="G111" s="35">
        <v>0.99929999999999997</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139</v>
      </c>
      <c r="C114" s="28"/>
      <c r="D114" s="28"/>
      <c r="E114" s="29"/>
      <c r="F114" s="30"/>
      <c r="G114" s="31"/>
      <c r="H114" s="32"/>
    </row>
    <row r="115" spans="2:8" ht="15.75" customHeight="1" x14ac:dyDescent="0.2">
      <c r="B115" s="28" t="s">
        <v>140</v>
      </c>
      <c r="C115" s="28"/>
      <c r="D115" s="28"/>
      <c r="E115" s="29"/>
      <c r="F115" s="30">
        <v>17.14</v>
      </c>
      <c r="G115" s="31">
        <v>2.9999999999999997E-4</v>
      </c>
      <c r="H115" s="32"/>
    </row>
    <row r="116" spans="2:8" ht="15.75" customHeight="1" x14ac:dyDescent="0.2">
      <c r="B116" s="27" t="s">
        <v>129</v>
      </c>
      <c r="C116" s="27"/>
      <c r="D116" s="27"/>
      <c r="E116" s="33"/>
      <c r="F116" s="34">
        <v>17.14</v>
      </c>
      <c r="G116" s="35">
        <v>2.9999999999999997E-4</v>
      </c>
      <c r="H116" s="36"/>
    </row>
    <row r="117" spans="2:8" ht="15.75" customHeight="1" x14ac:dyDescent="0.2">
      <c r="B117" s="28"/>
      <c r="C117" s="28"/>
      <c r="D117" s="28"/>
      <c r="E117" s="29"/>
      <c r="F117" s="30"/>
      <c r="G117" s="31"/>
      <c r="H117" s="32"/>
    </row>
    <row r="118" spans="2:8" ht="15.75" customHeight="1" x14ac:dyDescent="0.2">
      <c r="B118" s="39" t="s">
        <v>133</v>
      </c>
      <c r="C118" s="39"/>
      <c r="D118" s="39"/>
      <c r="E118" s="40"/>
      <c r="F118" s="34">
        <v>17.14</v>
      </c>
      <c r="G118" s="35">
        <v>2.9999999999999997E-4</v>
      </c>
      <c r="H118" s="36"/>
    </row>
    <row r="119" spans="2:8" ht="15.75" customHeight="1" x14ac:dyDescent="0.2">
      <c r="B119" s="28" t="s">
        <v>141</v>
      </c>
      <c r="C119" s="28"/>
      <c r="D119" s="28"/>
      <c r="E119" s="29"/>
      <c r="F119" s="30">
        <v>26.05</v>
      </c>
      <c r="G119" s="31">
        <v>4.0000000000006697E-4</v>
      </c>
      <c r="H119" s="32"/>
    </row>
    <row r="120" spans="2:8" ht="15.75" customHeight="1" x14ac:dyDescent="0.2">
      <c r="B120" s="41" t="s">
        <v>142</v>
      </c>
      <c r="C120" s="41"/>
      <c r="D120" s="41"/>
      <c r="E120" s="42"/>
      <c r="F120" s="43">
        <v>63725.45</v>
      </c>
      <c r="G120" s="44">
        <v>1</v>
      </c>
      <c r="H120" s="45"/>
    </row>
    <row r="121" spans="2:8" ht="15.75" customHeight="1" x14ac:dyDescent="0.2">
      <c r="B121" s="2"/>
    </row>
    <row r="122" spans="2:8" s="7" customFormat="1" ht="15.6" customHeight="1" x14ac:dyDescent="0.25">
      <c r="B122" s="63" t="s">
        <v>1067</v>
      </c>
      <c r="C122" s="70"/>
      <c r="D122" s="70"/>
      <c r="E122" s="70"/>
      <c r="F122" s="70"/>
      <c r="G122" s="70"/>
      <c r="H122" s="64"/>
    </row>
    <row r="123" spans="2:8" s="7" customFormat="1" ht="15.6" customHeight="1" x14ac:dyDescent="0.25">
      <c r="B123" s="63" t="s">
        <v>1108</v>
      </c>
      <c r="C123" s="70"/>
      <c r="D123" s="70"/>
      <c r="E123" s="70"/>
      <c r="F123" s="70"/>
      <c r="G123" s="70"/>
      <c r="H123" s="64"/>
    </row>
    <row r="124" spans="2:8" s="7" customFormat="1" ht="15.6" customHeight="1" x14ac:dyDescent="0.25">
      <c r="B124" s="63" t="s">
        <v>1068</v>
      </c>
      <c r="C124" s="70"/>
      <c r="D124" s="70"/>
      <c r="E124" s="70"/>
      <c r="F124" s="70"/>
      <c r="G124" s="70"/>
      <c r="H124" s="64"/>
    </row>
    <row r="125" spans="2:8" s="7" customFormat="1" ht="15.6" customHeight="1" x14ac:dyDescent="0.25">
      <c r="B125" s="71"/>
      <c r="C125" s="65">
        <v>46142</v>
      </c>
      <c r="D125" s="65">
        <v>46112</v>
      </c>
      <c r="E125" s="70"/>
      <c r="F125" s="70"/>
      <c r="G125" s="70"/>
      <c r="H125" s="64"/>
    </row>
    <row r="126" spans="2:8" s="7" customFormat="1" ht="15.6" customHeight="1" x14ac:dyDescent="0.25">
      <c r="B126" s="71" t="s">
        <v>1069</v>
      </c>
      <c r="C126" s="66"/>
      <c r="D126" s="66"/>
      <c r="E126" s="70"/>
      <c r="F126" s="70"/>
      <c r="G126" s="70"/>
      <c r="H126" s="64"/>
    </row>
    <row r="127" spans="2:8" s="7" customFormat="1" ht="15.6" customHeight="1" x14ac:dyDescent="0.25">
      <c r="B127" s="71" t="s">
        <v>1070</v>
      </c>
      <c r="C127" s="67">
        <v>60.082500000000003</v>
      </c>
      <c r="D127" s="67">
        <v>52.930199999999999</v>
      </c>
      <c r="E127" s="70"/>
      <c r="F127" s="70"/>
      <c r="G127" s="70"/>
      <c r="H127" s="64"/>
    </row>
    <row r="128" spans="2:8" s="7" customFormat="1" ht="15.6" customHeight="1" x14ac:dyDescent="0.25">
      <c r="B128" s="63" t="s">
        <v>1116</v>
      </c>
      <c r="C128" s="70"/>
      <c r="D128" s="70"/>
      <c r="E128" s="70"/>
      <c r="F128" s="70"/>
      <c r="G128" s="70"/>
      <c r="H128" s="64"/>
    </row>
    <row r="129" spans="2:8" s="7" customFormat="1" ht="15.6" customHeight="1" x14ac:dyDescent="0.25">
      <c r="B129" s="63" t="s">
        <v>1109</v>
      </c>
      <c r="C129" s="70"/>
      <c r="D129" s="70"/>
      <c r="E129" s="70"/>
      <c r="F129" s="70"/>
      <c r="G129" s="70"/>
      <c r="H129" s="64"/>
    </row>
    <row r="130" spans="2:8" s="7" customFormat="1" ht="15.6" customHeight="1" x14ac:dyDescent="0.25">
      <c r="B130" s="63" t="s">
        <v>1111</v>
      </c>
      <c r="C130" s="70"/>
      <c r="D130" s="70"/>
      <c r="E130" s="70"/>
      <c r="F130" s="70"/>
      <c r="G130" s="70"/>
      <c r="H130" s="64"/>
    </row>
    <row r="131" spans="2:8" s="7" customFormat="1" ht="15.6" customHeight="1" x14ac:dyDescent="0.25">
      <c r="B131" s="63" t="s">
        <v>1112</v>
      </c>
      <c r="C131" s="70"/>
      <c r="D131" s="70"/>
      <c r="E131" s="70"/>
      <c r="F131" s="70"/>
      <c r="G131" s="70"/>
      <c r="H131" s="64"/>
    </row>
    <row r="132" spans="2:8" s="7" customFormat="1" ht="15.6" customHeight="1" x14ac:dyDescent="0.25">
      <c r="B132" s="63" t="s">
        <v>1101</v>
      </c>
      <c r="C132" s="70"/>
      <c r="D132" s="70"/>
      <c r="E132" s="70"/>
      <c r="F132" s="70"/>
      <c r="G132" s="70"/>
      <c r="H132" s="64"/>
    </row>
    <row r="133" spans="2:8" s="7" customFormat="1" ht="15.6" customHeight="1" x14ac:dyDescent="0.25">
      <c r="B133" s="63" t="s">
        <v>1113</v>
      </c>
      <c r="C133" s="70"/>
      <c r="D133" s="70"/>
      <c r="E133" s="70"/>
      <c r="F133" s="70"/>
      <c r="G133" s="70"/>
      <c r="H133" s="64"/>
    </row>
    <row r="134" spans="2:8" s="7" customFormat="1" ht="15.6" customHeight="1" x14ac:dyDescent="0.25">
      <c r="B134" s="68" t="s">
        <v>1076</v>
      </c>
      <c r="C134" s="72"/>
      <c r="D134" s="72"/>
      <c r="E134" s="72"/>
      <c r="F134" s="72"/>
      <c r="G134" s="72"/>
      <c r="H134" s="69"/>
    </row>
    <row r="135" spans="2:8" ht="15.75" customHeight="1" thickBot="1" x14ac:dyDescent="0.25"/>
    <row r="136" spans="2:8" ht="39.75" customHeight="1" thickBot="1" x14ac:dyDescent="0.3">
      <c r="B136" s="46" t="s">
        <v>146</v>
      </c>
      <c r="C136" s="47" t="s">
        <v>147</v>
      </c>
      <c r="D136" s="47" t="s">
        <v>148</v>
      </c>
      <c r="E136"/>
    </row>
    <row r="137" spans="2:8" ht="39.75" customHeight="1" x14ac:dyDescent="0.25">
      <c r="B137" s="52" t="s">
        <v>968</v>
      </c>
      <c r="C137" s="109"/>
      <c r="D137" s="48" t="s">
        <v>969</v>
      </c>
      <c r="E137"/>
    </row>
    <row r="138" spans="2:8" ht="39.75" customHeight="1" x14ac:dyDescent="0.25">
      <c r="B138" s="112" t="s">
        <v>970</v>
      </c>
      <c r="C138" s="110"/>
      <c r="D138" s="118"/>
      <c r="E138"/>
    </row>
    <row r="139" spans="2:8" ht="39.75" customHeight="1" x14ac:dyDescent="0.25">
      <c r="B139" s="112"/>
      <c r="C139" s="110"/>
      <c r="D139" s="118"/>
      <c r="E139"/>
    </row>
    <row r="140" spans="2:8" ht="39.75" customHeight="1" x14ac:dyDescent="0.25">
      <c r="B140" s="112"/>
      <c r="C140" s="110"/>
      <c r="D140" s="118"/>
      <c r="E140"/>
    </row>
    <row r="141" spans="2:8" ht="39.75" customHeight="1" thickBot="1" x14ac:dyDescent="0.3">
      <c r="B141" s="113"/>
      <c r="C141" s="111"/>
      <c r="D141" s="119"/>
      <c r="E141"/>
    </row>
    <row r="142" spans="2:8" ht="15.75" customHeight="1" x14ac:dyDescent="0.2">
      <c r="B142" s="9" t="s">
        <v>149</v>
      </c>
    </row>
    <row r="143" spans="2:8" ht="15.75" customHeight="1" x14ac:dyDescent="0.2">
      <c r="B143" s="9" t="s">
        <v>150</v>
      </c>
    </row>
    <row r="144" spans="2:8" ht="15.75" customHeight="1" x14ac:dyDescent="0.2">
      <c r="B144" s="9" t="s">
        <v>151</v>
      </c>
    </row>
  </sheetData>
  <mergeCells count="3">
    <mergeCell ref="C137:C141"/>
    <mergeCell ref="B138:B141"/>
    <mergeCell ref="D138:D141"/>
  </mergeCells>
  <hyperlinks>
    <hyperlink ref="G1" location="'Sheet1'!A1" display="Index" xr:uid="{89A4BDB8-4AA2-42AA-8C1F-CDCF1B25E9A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3B77-C2DC-49B1-A7AF-60F753BD23B0}">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236</v>
      </c>
      <c r="C7" s="28" t="s">
        <v>237</v>
      </c>
      <c r="D7" s="28" t="s">
        <v>238</v>
      </c>
      <c r="E7" s="29">
        <v>251428</v>
      </c>
      <c r="F7" s="30">
        <v>4546.57</v>
      </c>
      <c r="G7" s="31">
        <v>6.0499999999999998E-2</v>
      </c>
      <c r="H7" s="32"/>
    </row>
    <row r="8" spans="2:8" ht="15.75" customHeight="1" x14ac:dyDescent="0.2">
      <c r="B8" s="28" t="s">
        <v>432</v>
      </c>
      <c r="C8" s="28" t="s">
        <v>433</v>
      </c>
      <c r="D8" s="28" t="s">
        <v>434</v>
      </c>
      <c r="E8" s="29">
        <v>1038780</v>
      </c>
      <c r="F8" s="30">
        <v>4257.96</v>
      </c>
      <c r="G8" s="31">
        <v>5.67E-2</v>
      </c>
      <c r="H8" s="32"/>
    </row>
    <row r="9" spans="2:8" ht="15.75" customHeight="1" x14ac:dyDescent="0.2">
      <c r="B9" s="28" t="s">
        <v>193</v>
      </c>
      <c r="C9" s="28" t="s">
        <v>194</v>
      </c>
      <c r="D9" s="28" t="s">
        <v>195</v>
      </c>
      <c r="E9" s="29">
        <v>133370</v>
      </c>
      <c r="F9" s="30">
        <v>4131.1400000000003</v>
      </c>
      <c r="G9" s="31">
        <v>5.5E-2</v>
      </c>
      <c r="H9" s="32"/>
    </row>
    <row r="10" spans="2:8" ht="15.75" customHeight="1" x14ac:dyDescent="0.2">
      <c r="B10" s="28" t="s">
        <v>232</v>
      </c>
      <c r="C10" s="28" t="s">
        <v>233</v>
      </c>
      <c r="D10" s="28" t="s">
        <v>195</v>
      </c>
      <c r="E10" s="29">
        <v>26355</v>
      </c>
      <c r="F10" s="30">
        <v>3508.9</v>
      </c>
      <c r="G10" s="31">
        <v>4.6699999999999998E-2</v>
      </c>
      <c r="H10" s="32"/>
    </row>
    <row r="11" spans="2:8" ht="15.75" customHeight="1" x14ac:dyDescent="0.2">
      <c r="B11" s="28" t="s">
        <v>292</v>
      </c>
      <c r="C11" s="28" t="s">
        <v>293</v>
      </c>
      <c r="D11" s="28" t="s">
        <v>195</v>
      </c>
      <c r="E11" s="29">
        <v>878275</v>
      </c>
      <c r="F11" s="30">
        <v>2999.75</v>
      </c>
      <c r="G11" s="31">
        <v>3.9899999999999998E-2</v>
      </c>
      <c r="H11" s="32"/>
    </row>
    <row r="12" spans="2:8" ht="15.75" customHeight="1" x14ac:dyDescent="0.2">
      <c r="B12" s="28" t="s">
        <v>748</v>
      </c>
      <c r="C12" s="28" t="s">
        <v>749</v>
      </c>
      <c r="D12" s="28" t="s">
        <v>179</v>
      </c>
      <c r="E12" s="29">
        <v>489674</v>
      </c>
      <c r="F12" s="30">
        <v>2742.42</v>
      </c>
      <c r="G12" s="31">
        <v>3.6499999999999998E-2</v>
      </c>
      <c r="H12" s="32"/>
    </row>
    <row r="13" spans="2:8" ht="15.75" customHeight="1" x14ac:dyDescent="0.2">
      <c r="B13" s="28" t="s">
        <v>726</v>
      </c>
      <c r="C13" s="28" t="s">
        <v>727</v>
      </c>
      <c r="D13" s="28" t="s">
        <v>224</v>
      </c>
      <c r="E13" s="29">
        <v>189325</v>
      </c>
      <c r="F13" s="30">
        <v>2582.58</v>
      </c>
      <c r="G13" s="31">
        <v>3.44E-2</v>
      </c>
      <c r="H13" s="32"/>
    </row>
    <row r="14" spans="2:8" ht="15.75" customHeight="1" x14ac:dyDescent="0.2">
      <c r="B14" s="28" t="s">
        <v>319</v>
      </c>
      <c r="C14" s="28" t="s">
        <v>320</v>
      </c>
      <c r="D14" s="28" t="s">
        <v>321</v>
      </c>
      <c r="E14" s="29">
        <v>56277</v>
      </c>
      <c r="F14" s="30">
        <v>2250.52</v>
      </c>
      <c r="G14" s="31">
        <v>0.03</v>
      </c>
      <c r="H14" s="32"/>
    </row>
    <row r="15" spans="2:8" ht="15.75" customHeight="1" x14ac:dyDescent="0.2">
      <c r="B15" s="28" t="s">
        <v>346</v>
      </c>
      <c r="C15" s="28" t="s">
        <v>347</v>
      </c>
      <c r="D15" s="28" t="s">
        <v>268</v>
      </c>
      <c r="E15" s="29">
        <v>71822</v>
      </c>
      <c r="F15" s="30">
        <v>2224.1799999999998</v>
      </c>
      <c r="G15" s="31">
        <v>2.9600000000000001E-2</v>
      </c>
      <c r="H15" s="32"/>
    </row>
    <row r="16" spans="2:8" ht="15.75" customHeight="1" x14ac:dyDescent="0.2">
      <c r="B16" s="28" t="s">
        <v>486</v>
      </c>
      <c r="C16" s="28" t="s">
        <v>487</v>
      </c>
      <c r="D16" s="28" t="s">
        <v>179</v>
      </c>
      <c r="E16" s="29">
        <v>53748</v>
      </c>
      <c r="F16" s="30">
        <v>2217</v>
      </c>
      <c r="G16" s="31">
        <v>2.9499999999999998E-2</v>
      </c>
      <c r="H16" s="32"/>
    </row>
    <row r="17" spans="2:8" ht="15.75" customHeight="1" x14ac:dyDescent="0.2">
      <c r="B17" s="28" t="s">
        <v>834</v>
      </c>
      <c r="C17" s="28" t="s">
        <v>835</v>
      </c>
      <c r="D17" s="28" t="s">
        <v>321</v>
      </c>
      <c r="E17" s="29">
        <v>41102</v>
      </c>
      <c r="F17" s="30">
        <v>2164.6</v>
      </c>
      <c r="G17" s="31">
        <v>2.8799999999999999E-2</v>
      </c>
      <c r="H17" s="32"/>
    </row>
    <row r="18" spans="2:8" ht="15.75" customHeight="1" x14ac:dyDescent="0.2">
      <c r="B18" s="28" t="s">
        <v>553</v>
      </c>
      <c r="C18" s="28" t="s">
        <v>554</v>
      </c>
      <c r="D18" s="28" t="s">
        <v>321</v>
      </c>
      <c r="E18" s="29">
        <v>320978</v>
      </c>
      <c r="F18" s="30">
        <v>2126</v>
      </c>
      <c r="G18" s="31">
        <v>2.8299999999999999E-2</v>
      </c>
      <c r="H18" s="32"/>
    </row>
    <row r="19" spans="2:8" ht="15.75" customHeight="1" x14ac:dyDescent="0.2">
      <c r="B19" s="28" t="s">
        <v>557</v>
      </c>
      <c r="C19" s="28" t="s">
        <v>558</v>
      </c>
      <c r="D19" s="28" t="s">
        <v>268</v>
      </c>
      <c r="E19" s="29">
        <v>54890</v>
      </c>
      <c r="F19" s="30">
        <v>1799.73</v>
      </c>
      <c r="G19" s="31">
        <v>2.4E-2</v>
      </c>
      <c r="H19" s="32"/>
    </row>
    <row r="20" spans="2:8" ht="15.75" customHeight="1" x14ac:dyDescent="0.2">
      <c r="B20" s="28" t="s">
        <v>491</v>
      </c>
      <c r="C20" s="28" t="s">
        <v>492</v>
      </c>
      <c r="D20" s="28" t="s">
        <v>271</v>
      </c>
      <c r="E20" s="29">
        <v>108408</v>
      </c>
      <c r="F20" s="30">
        <v>1726.94</v>
      </c>
      <c r="G20" s="31">
        <v>2.3E-2</v>
      </c>
      <c r="H20" s="32"/>
    </row>
    <row r="21" spans="2:8" ht="15.75" customHeight="1" x14ac:dyDescent="0.2">
      <c r="B21" s="28" t="s">
        <v>765</v>
      </c>
      <c r="C21" s="28" t="s">
        <v>766</v>
      </c>
      <c r="D21" s="28" t="s">
        <v>268</v>
      </c>
      <c r="E21" s="29">
        <v>138649</v>
      </c>
      <c r="F21" s="30">
        <v>1724.38</v>
      </c>
      <c r="G21" s="31">
        <v>2.3E-2</v>
      </c>
      <c r="H21" s="32"/>
    </row>
    <row r="22" spans="2:8" ht="15.75" customHeight="1" x14ac:dyDescent="0.2">
      <c r="B22" s="28" t="s">
        <v>462</v>
      </c>
      <c r="C22" s="28" t="s">
        <v>463</v>
      </c>
      <c r="D22" s="28" t="s">
        <v>238</v>
      </c>
      <c r="E22" s="29">
        <v>1056076</v>
      </c>
      <c r="F22" s="30">
        <v>1709.47</v>
      </c>
      <c r="G22" s="31">
        <v>2.2800000000000001E-2</v>
      </c>
      <c r="H22" s="32"/>
    </row>
    <row r="23" spans="2:8" ht="15.75" customHeight="1" x14ac:dyDescent="0.2">
      <c r="B23" s="28" t="s">
        <v>222</v>
      </c>
      <c r="C23" s="28" t="s">
        <v>223</v>
      </c>
      <c r="D23" s="28" t="s">
        <v>224</v>
      </c>
      <c r="E23" s="29">
        <v>349968</v>
      </c>
      <c r="F23" s="30">
        <v>1509.41</v>
      </c>
      <c r="G23" s="31">
        <v>2.01E-2</v>
      </c>
      <c r="H23" s="32"/>
    </row>
    <row r="24" spans="2:8" ht="15.75" customHeight="1" x14ac:dyDescent="0.2">
      <c r="B24" s="28" t="s">
        <v>838</v>
      </c>
      <c r="C24" s="28" t="s">
        <v>839</v>
      </c>
      <c r="D24" s="28" t="s">
        <v>229</v>
      </c>
      <c r="E24" s="29">
        <v>338931</v>
      </c>
      <c r="F24" s="30">
        <v>1473.5</v>
      </c>
      <c r="G24" s="31">
        <v>1.9599999999999999E-2</v>
      </c>
      <c r="H24" s="32"/>
    </row>
    <row r="25" spans="2:8" ht="15.75" customHeight="1" x14ac:dyDescent="0.2">
      <c r="B25" s="28" t="s">
        <v>454</v>
      </c>
      <c r="C25" s="28" t="s">
        <v>455</v>
      </c>
      <c r="D25" s="28" t="s">
        <v>238</v>
      </c>
      <c r="E25" s="29">
        <v>81512</v>
      </c>
      <c r="F25" s="30">
        <v>1416.76</v>
      </c>
      <c r="G25" s="31">
        <v>1.89E-2</v>
      </c>
      <c r="H25" s="32"/>
    </row>
    <row r="26" spans="2:8" ht="15.75" customHeight="1" x14ac:dyDescent="0.2">
      <c r="B26" s="28" t="s">
        <v>787</v>
      </c>
      <c r="C26" s="28" t="s">
        <v>788</v>
      </c>
      <c r="D26" s="28" t="s">
        <v>271</v>
      </c>
      <c r="E26" s="29">
        <v>567040</v>
      </c>
      <c r="F26" s="30">
        <v>1407.17</v>
      </c>
      <c r="G26" s="31">
        <v>1.8700000000000001E-2</v>
      </c>
      <c r="H26" s="32"/>
    </row>
    <row r="27" spans="2:8" ht="15.75" customHeight="1" x14ac:dyDescent="0.2">
      <c r="B27" s="28" t="s">
        <v>836</v>
      </c>
      <c r="C27" s="28" t="s">
        <v>837</v>
      </c>
      <c r="D27" s="28" t="s">
        <v>179</v>
      </c>
      <c r="E27" s="29">
        <v>215463</v>
      </c>
      <c r="F27" s="30">
        <v>1339.64</v>
      </c>
      <c r="G27" s="31">
        <v>1.78E-2</v>
      </c>
      <c r="H27" s="32"/>
    </row>
    <row r="28" spans="2:8" ht="15.75" customHeight="1" x14ac:dyDescent="0.2">
      <c r="B28" s="28" t="s">
        <v>391</v>
      </c>
      <c r="C28" s="28" t="s">
        <v>392</v>
      </c>
      <c r="D28" s="28" t="s">
        <v>179</v>
      </c>
      <c r="E28" s="29">
        <v>117316</v>
      </c>
      <c r="F28" s="30">
        <v>1203.19</v>
      </c>
      <c r="G28" s="31">
        <v>1.6E-2</v>
      </c>
      <c r="H28" s="32"/>
    </row>
    <row r="29" spans="2:8" ht="15.75" customHeight="1" x14ac:dyDescent="0.2">
      <c r="B29" s="28" t="s">
        <v>316</v>
      </c>
      <c r="C29" s="28" t="s">
        <v>317</v>
      </c>
      <c r="D29" s="28" t="s">
        <v>318</v>
      </c>
      <c r="E29" s="29">
        <v>29134</v>
      </c>
      <c r="F29" s="30">
        <v>1169.44</v>
      </c>
      <c r="G29" s="31">
        <v>1.5599999999999999E-2</v>
      </c>
      <c r="H29" s="32"/>
    </row>
    <row r="30" spans="2:8" ht="15.75" customHeight="1" x14ac:dyDescent="0.2">
      <c r="B30" s="28" t="s">
        <v>783</v>
      </c>
      <c r="C30" s="28" t="s">
        <v>784</v>
      </c>
      <c r="D30" s="28" t="s">
        <v>248</v>
      </c>
      <c r="E30" s="29">
        <v>342712</v>
      </c>
      <c r="F30" s="30">
        <v>1166.93</v>
      </c>
      <c r="G30" s="31">
        <v>1.55E-2</v>
      </c>
      <c r="H30" s="32"/>
    </row>
    <row r="31" spans="2:8" ht="15.75" customHeight="1" x14ac:dyDescent="0.2">
      <c r="B31" s="28" t="s">
        <v>435</v>
      </c>
      <c r="C31" s="28" t="s">
        <v>436</v>
      </c>
      <c r="D31" s="28" t="s">
        <v>224</v>
      </c>
      <c r="E31" s="29">
        <v>25400</v>
      </c>
      <c r="F31" s="30">
        <v>1102.06</v>
      </c>
      <c r="G31" s="31">
        <v>1.47E-2</v>
      </c>
      <c r="H31" s="32"/>
    </row>
    <row r="32" spans="2:8" ht="15.75" customHeight="1" x14ac:dyDescent="0.2">
      <c r="B32" s="28" t="s">
        <v>801</v>
      </c>
      <c r="C32" s="28" t="s">
        <v>802</v>
      </c>
      <c r="D32" s="28" t="s">
        <v>406</v>
      </c>
      <c r="E32" s="29">
        <v>271432</v>
      </c>
      <c r="F32" s="30">
        <v>1081.79</v>
      </c>
      <c r="G32" s="31">
        <v>1.44E-2</v>
      </c>
      <c r="H32" s="32"/>
    </row>
    <row r="33" spans="2:8" ht="15.75" customHeight="1" x14ac:dyDescent="0.2">
      <c r="B33" s="28" t="s">
        <v>767</v>
      </c>
      <c r="C33" s="28" t="s">
        <v>768</v>
      </c>
      <c r="D33" s="28" t="s">
        <v>321</v>
      </c>
      <c r="E33" s="29">
        <v>91442</v>
      </c>
      <c r="F33" s="30">
        <v>894.85</v>
      </c>
      <c r="G33" s="31">
        <v>1.1900000000000001E-2</v>
      </c>
      <c r="H33" s="32"/>
    </row>
    <row r="34" spans="2:8" ht="15.75" customHeight="1" x14ac:dyDescent="0.2">
      <c r="B34" s="28" t="s">
        <v>775</v>
      </c>
      <c r="C34" s="28" t="s">
        <v>776</v>
      </c>
      <c r="D34" s="28" t="s">
        <v>641</v>
      </c>
      <c r="E34" s="29">
        <v>32812</v>
      </c>
      <c r="F34" s="30">
        <v>894.13</v>
      </c>
      <c r="G34" s="31">
        <v>1.1900000000000001E-2</v>
      </c>
      <c r="H34" s="32"/>
    </row>
    <row r="35" spans="2:8" ht="15.75" customHeight="1" x14ac:dyDescent="0.2">
      <c r="B35" s="28" t="s">
        <v>475</v>
      </c>
      <c r="C35" s="28" t="s">
        <v>476</v>
      </c>
      <c r="D35" s="28" t="s">
        <v>268</v>
      </c>
      <c r="E35" s="29">
        <v>19369</v>
      </c>
      <c r="F35" s="30">
        <v>865.06</v>
      </c>
      <c r="G35" s="31">
        <v>1.15E-2</v>
      </c>
      <c r="H35" s="32"/>
    </row>
    <row r="36" spans="2:8" ht="15.75" customHeight="1" x14ac:dyDescent="0.2">
      <c r="B36" s="28" t="s">
        <v>260</v>
      </c>
      <c r="C36" s="28" t="s">
        <v>261</v>
      </c>
      <c r="D36" s="28" t="s">
        <v>251</v>
      </c>
      <c r="E36" s="29">
        <v>193234</v>
      </c>
      <c r="F36" s="30">
        <v>859.02</v>
      </c>
      <c r="G36" s="31">
        <v>1.14E-2</v>
      </c>
      <c r="H36" s="32"/>
    </row>
    <row r="37" spans="2:8" ht="15.75" customHeight="1" x14ac:dyDescent="0.2">
      <c r="B37" s="28" t="s">
        <v>177</v>
      </c>
      <c r="C37" s="28" t="s">
        <v>178</v>
      </c>
      <c r="D37" s="28" t="s">
        <v>179</v>
      </c>
      <c r="E37" s="29">
        <v>45431</v>
      </c>
      <c r="F37" s="30">
        <v>854.83</v>
      </c>
      <c r="G37" s="31">
        <v>1.14E-2</v>
      </c>
      <c r="H37" s="32"/>
    </row>
    <row r="38" spans="2:8" ht="15.75" customHeight="1" x14ac:dyDescent="0.2">
      <c r="B38" s="28" t="s">
        <v>464</v>
      </c>
      <c r="C38" s="28" t="s">
        <v>465</v>
      </c>
      <c r="D38" s="28" t="s">
        <v>195</v>
      </c>
      <c r="E38" s="29">
        <v>24148</v>
      </c>
      <c r="F38" s="30">
        <v>843.47</v>
      </c>
      <c r="G38" s="31">
        <v>1.12E-2</v>
      </c>
      <c r="H38" s="32"/>
    </row>
    <row r="39" spans="2:8" ht="15.75" customHeight="1" x14ac:dyDescent="0.2">
      <c r="B39" s="28" t="s">
        <v>364</v>
      </c>
      <c r="C39" s="28" t="s">
        <v>365</v>
      </c>
      <c r="D39" s="28" t="s">
        <v>238</v>
      </c>
      <c r="E39" s="29">
        <v>3282</v>
      </c>
      <c r="F39" s="30">
        <v>834.78</v>
      </c>
      <c r="G39" s="31">
        <v>1.11E-2</v>
      </c>
      <c r="H39" s="32"/>
    </row>
    <row r="40" spans="2:8" ht="15.75" customHeight="1" x14ac:dyDescent="0.2">
      <c r="B40" s="28" t="s">
        <v>779</v>
      </c>
      <c r="C40" s="28" t="s">
        <v>780</v>
      </c>
      <c r="D40" s="28" t="s">
        <v>321</v>
      </c>
      <c r="E40" s="29">
        <v>930718</v>
      </c>
      <c r="F40" s="30">
        <v>812.52</v>
      </c>
      <c r="G40" s="31">
        <v>1.0800000000000001E-2</v>
      </c>
      <c r="H40" s="32"/>
    </row>
    <row r="41" spans="2:8" ht="15.75" customHeight="1" x14ac:dyDescent="0.2">
      <c r="B41" s="28" t="s">
        <v>781</v>
      </c>
      <c r="C41" s="28" t="s">
        <v>782</v>
      </c>
      <c r="D41" s="28" t="s">
        <v>321</v>
      </c>
      <c r="E41" s="29">
        <v>17819</v>
      </c>
      <c r="F41" s="30">
        <v>787.19</v>
      </c>
      <c r="G41" s="31">
        <v>1.0500000000000001E-2</v>
      </c>
      <c r="H41" s="32"/>
    </row>
    <row r="42" spans="2:8" ht="15.75" customHeight="1" x14ac:dyDescent="0.2">
      <c r="B42" s="28" t="s">
        <v>584</v>
      </c>
      <c r="C42" s="28" t="s">
        <v>585</v>
      </c>
      <c r="D42" s="28" t="s">
        <v>271</v>
      </c>
      <c r="E42" s="29">
        <v>76075</v>
      </c>
      <c r="F42" s="30">
        <v>778.13</v>
      </c>
      <c r="G42" s="31">
        <v>1.04E-2</v>
      </c>
      <c r="H42" s="32"/>
    </row>
    <row r="43" spans="2:8" ht="15.75" customHeight="1" x14ac:dyDescent="0.2">
      <c r="B43" s="28" t="s">
        <v>574</v>
      </c>
      <c r="C43" s="28" t="s">
        <v>575</v>
      </c>
      <c r="D43" s="28" t="s">
        <v>345</v>
      </c>
      <c r="E43" s="29">
        <v>57415</v>
      </c>
      <c r="F43" s="30">
        <v>759.2</v>
      </c>
      <c r="G43" s="31">
        <v>1.01E-2</v>
      </c>
      <c r="H43" s="32"/>
    </row>
    <row r="44" spans="2:8" ht="15.75" customHeight="1" x14ac:dyDescent="0.2">
      <c r="B44" s="28" t="s">
        <v>578</v>
      </c>
      <c r="C44" s="28" t="s">
        <v>579</v>
      </c>
      <c r="D44" s="28" t="s">
        <v>321</v>
      </c>
      <c r="E44" s="29">
        <v>43742</v>
      </c>
      <c r="F44" s="30">
        <v>742.83</v>
      </c>
      <c r="G44" s="31">
        <v>9.9000000000000008E-3</v>
      </c>
      <c r="H44" s="32"/>
    </row>
    <row r="45" spans="2:8" ht="15.75" customHeight="1" x14ac:dyDescent="0.2">
      <c r="B45" s="28" t="s">
        <v>840</v>
      </c>
      <c r="C45" s="28" t="s">
        <v>841</v>
      </c>
      <c r="D45" s="28" t="s">
        <v>268</v>
      </c>
      <c r="E45" s="29">
        <v>17986</v>
      </c>
      <c r="F45" s="30">
        <v>733.4</v>
      </c>
      <c r="G45" s="31">
        <v>9.7999999999999997E-3</v>
      </c>
      <c r="H45" s="32"/>
    </row>
    <row r="46" spans="2:8" ht="15.75" customHeight="1" x14ac:dyDescent="0.2">
      <c r="B46" s="28" t="s">
        <v>227</v>
      </c>
      <c r="C46" s="28" t="s">
        <v>228</v>
      </c>
      <c r="D46" s="28" t="s">
        <v>229</v>
      </c>
      <c r="E46" s="29">
        <v>338984</v>
      </c>
      <c r="F46" s="30">
        <v>716.48</v>
      </c>
      <c r="G46" s="31">
        <v>9.4999999999999998E-3</v>
      </c>
      <c r="H46" s="32"/>
    </row>
    <row r="47" spans="2:8" ht="15.75" customHeight="1" x14ac:dyDescent="0.2">
      <c r="B47" s="28" t="s">
        <v>971</v>
      </c>
      <c r="C47" s="28" t="s">
        <v>972</v>
      </c>
      <c r="D47" s="28" t="s">
        <v>238</v>
      </c>
      <c r="E47" s="29">
        <v>31203</v>
      </c>
      <c r="F47" s="30">
        <v>637.6</v>
      </c>
      <c r="G47" s="31">
        <v>8.5000000000000006E-3</v>
      </c>
      <c r="H47" s="32"/>
    </row>
    <row r="48" spans="2:8" ht="15.75" customHeight="1" x14ac:dyDescent="0.2">
      <c r="B48" s="28" t="s">
        <v>791</v>
      </c>
      <c r="C48" s="28" t="s">
        <v>792</v>
      </c>
      <c r="D48" s="28" t="s">
        <v>321</v>
      </c>
      <c r="E48" s="29">
        <v>27928</v>
      </c>
      <c r="F48" s="30">
        <v>613.41</v>
      </c>
      <c r="G48" s="31">
        <v>8.2000000000000007E-3</v>
      </c>
      <c r="H48" s="32"/>
    </row>
    <row r="49" spans="2:8" ht="15.75" customHeight="1" x14ac:dyDescent="0.2">
      <c r="B49" s="28" t="s">
        <v>484</v>
      </c>
      <c r="C49" s="28" t="s">
        <v>485</v>
      </c>
      <c r="D49" s="28" t="s">
        <v>268</v>
      </c>
      <c r="E49" s="29">
        <v>55577</v>
      </c>
      <c r="F49" s="30">
        <v>587.59</v>
      </c>
      <c r="G49" s="31">
        <v>7.7999999999999996E-3</v>
      </c>
      <c r="H49" s="32"/>
    </row>
    <row r="50" spans="2:8" ht="15.75" customHeight="1" x14ac:dyDescent="0.2">
      <c r="B50" s="28" t="s">
        <v>626</v>
      </c>
      <c r="C50" s="28" t="s">
        <v>627</v>
      </c>
      <c r="D50" s="28" t="s">
        <v>619</v>
      </c>
      <c r="E50" s="29">
        <v>6785</v>
      </c>
      <c r="F50" s="30">
        <v>539.64</v>
      </c>
      <c r="G50" s="31">
        <v>7.1999999999999998E-3</v>
      </c>
      <c r="H50" s="32"/>
    </row>
    <row r="51" spans="2:8" ht="15.75" customHeight="1" x14ac:dyDescent="0.2">
      <c r="B51" s="28" t="s">
        <v>404</v>
      </c>
      <c r="C51" s="28" t="s">
        <v>405</v>
      </c>
      <c r="D51" s="28" t="s">
        <v>406</v>
      </c>
      <c r="E51" s="29">
        <v>56717</v>
      </c>
      <c r="F51" s="30">
        <v>531.21</v>
      </c>
      <c r="G51" s="31">
        <v>7.1000000000000004E-3</v>
      </c>
      <c r="H51" s="32"/>
    </row>
    <row r="52" spans="2:8" ht="15.75" customHeight="1" x14ac:dyDescent="0.2">
      <c r="B52" s="28" t="s">
        <v>185</v>
      </c>
      <c r="C52" s="28" t="s">
        <v>186</v>
      </c>
      <c r="D52" s="28" t="s">
        <v>187</v>
      </c>
      <c r="E52" s="29">
        <v>17730</v>
      </c>
      <c r="F52" s="30">
        <v>399.08</v>
      </c>
      <c r="G52" s="31">
        <v>5.3E-3</v>
      </c>
      <c r="H52" s="32"/>
    </row>
    <row r="53" spans="2:8" ht="15.75" customHeight="1" x14ac:dyDescent="0.2">
      <c r="B53" s="28" t="s">
        <v>811</v>
      </c>
      <c r="C53" s="28" t="s">
        <v>812</v>
      </c>
      <c r="D53" s="28" t="s">
        <v>345</v>
      </c>
      <c r="E53" s="29">
        <v>7445</v>
      </c>
      <c r="F53" s="30">
        <v>351.34</v>
      </c>
      <c r="G53" s="31">
        <v>4.7000000000000002E-3</v>
      </c>
      <c r="H53" s="32"/>
    </row>
    <row r="54" spans="2:8" ht="15.75" customHeight="1" x14ac:dyDescent="0.2">
      <c r="B54" s="28" t="s">
        <v>665</v>
      </c>
      <c r="C54" s="28" t="s">
        <v>666</v>
      </c>
      <c r="D54" s="28" t="s">
        <v>321</v>
      </c>
      <c r="E54" s="29">
        <v>31269</v>
      </c>
      <c r="F54" s="30">
        <v>126.3</v>
      </c>
      <c r="G54" s="31">
        <v>1.6999999999999999E-3</v>
      </c>
      <c r="H54" s="32"/>
    </row>
    <row r="55" spans="2:8" ht="15.75" customHeight="1" x14ac:dyDescent="0.2">
      <c r="B55" s="27" t="s">
        <v>129</v>
      </c>
      <c r="C55" s="27"/>
      <c r="D55" s="27"/>
      <c r="E55" s="33"/>
      <c r="F55" s="34">
        <v>70744.09</v>
      </c>
      <c r="G55" s="35">
        <v>0.94210000000000005</v>
      </c>
      <c r="H55" s="36"/>
    </row>
    <row r="56" spans="2:8" ht="15.75" customHeight="1" x14ac:dyDescent="0.2">
      <c r="B56" s="27" t="s">
        <v>197</v>
      </c>
      <c r="C56" s="28"/>
      <c r="D56" s="28"/>
      <c r="E56" s="29"/>
      <c r="F56" s="30"/>
      <c r="G56" s="31"/>
      <c r="H56" s="32"/>
    </row>
    <row r="57" spans="2:8" ht="15.75" customHeight="1" x14ac:dyDescent="0.2">
      <c r="B57" s="27" t="s">
        <v>129</v>
      </c>
      <c r="C57" s="28"/>
      <c r="D57" s="28"/>
      <c r="E57" s="29"/>
      <c r="F57" s="37" t="s">
        <v>131</v>
      </c>
      <c r="G57" s="38" t="s">
        <v>131</v>
      </c>
      <c r="H57" s="32"/>
    </row>
    <row r="58" spans="2:8" ht="15.75" customHeight="1" x14ac:dyDescent="0.2">
      <c r="B58" s="28"/>
      <c r="C58" s="28"/>
      <c r="D58" s="28"/>
      <c r="E58" s="29"/>
      <c r="F58" s="30"/>
      <c r="G58" s="31"/>
      <c r="H58" s="32"/>
    </row>
    <row r="59" spans="2:8" ht="15.75" customHeight="1" x14ac:dyDescent="0.2">
      <c r="B59" s="39" t="s">
        <v>133</v>
      </c>
      <c r="C59" s="39"/>
      <c r="D59" s="39"/>
      <c r="E59" s="40"/>
      <c r="F59" s="34">
        <v>70744.09</v>
      </c>
      <c r="G59" s="35">
        <v>0.94210000000000005</v>
      </c>
      <c r="H59" s="36"/>
    </row>
    <row r="60" spans="2:8" ht="15.75" customHeight="1" x14ac:dyDescent="0.2">
      <c r="B60" s="28"/>
      <c r="C60" s="28"/>
      <c r="D60" s="28"/>
      <c r="E60" s="29"/>
      <c r="F60" s="30"/>
      <c r="G60" s="31"/>
      <c r="H60" s="32"/>
    </row>
    <row r="61" spans="2:8" ht="15.75" customHeight="1" x14ac:dyDescent="0.2">
      <c r="B61" s="28"/>
      <c r="C61" s="28"/>
      <c r="D61" s="28"/>
      <c r="E61" s="29"/>
      <c r="F61" s="30"/>
      <c r="G61" s="31"/>
      <c r="H61" s="32"/>
    </row>
    <row r="62" spans="2:8" ht="15.75" customHeight="1" x14ac:dyDescent="0.2">
      <c r="B62" s="27" t="s">
        <v>139</v>
      </c>
      <c r="C62" s="28"/>
      <c r="D62" s="28"/>
      <c r="E62" s="29"/>
      <c r="F62" s="30"/>
      <c r="G62" s="31"/>
      <c r="H62" s="32"/>
    </row>
    <row r="63" spans="2:8" ht="15.75" customHeight="1" x14ac:dyDescent="0.2">
      <c r="B63" s="28" t="s">
        <v>140</v>
      </c>
      <c r="C63" s="28"/>
      <c r="D63" s="28"/>
      <c r="E63" s="29"/>
      <c r="F63" s="30">
        <v>4467.41</v>
      </c>
      <c r="G63" s="31">
        <v>5.9499999999999997E-2</v>
      </c>
      <c r="H63" s="32"/>
    </row>
    <row r="64" spans="2:8" ht="15.75" customHeight="1" x14ac:dyDescent="0.2">
      <c r="B64" s="27" t="s">
        <v>129</v>
      </c>
      <c r="C64" s="27"/>
      <c r="D64" s="27"/>
      <c r="E64" s="33"/>
      <c r="F64" s="34">
        <v>4467.41</v>
      </c>
      <c r="G64" s="35">
        <v>5.9499999999999997E-2</v>
      </c>
      <c r="H64" s="36"/>
    </row>
    <row r="65" spans="2:10" ht="15.75" customHeight="1" x14ac:dyDescent="0.2">
      <c r="B65" s="28"/>
      <c r="C65" s="28"/>
      <c r="D65" s="28"/>
      <c r="E65" s="29"/>
      <c r="F65" s="30"/>
      <c r="G65" s="31"/>
      <c r="H65" s="32"/>
    </row>
    <row r="66" spans="2:10" ht="15.75" customHeight="1" x14ac:dyDescent="0.2">
      <c r="B66" s="39" t="s">
        <v>133</v>
      </c>
      <c r="C66" s="39"/>
      <c r="D66" s="39"/>
      <c r="E66" s="40"/>
      <c r="F66" s="34">
        <v>4467.41</v>
      </c>
      <c r="G66" s="35">
        <v>5.9499999999999997E-2</v>
      </c>
      <c r="H66" s="36"/>
    </row>
    <row r="67" spans="2:10" ht="15.75" customHeight="1" x14ac:dyDescent="0.2">
      <c r="B67" s="28" t="s">
        <v>141</v>
      </c>
      <c r="C67" s="28"/>
      <c r="D67" s="28"/>
      <c r="E67" s="29"/>
      <c r="F67" s="50">
        <v>-118.51</v>
      </c>
      <c r="G67" s="51">
        <v>-1.6000000000000458E-3</v>
      </c>
      <c r="H67" s="32"/>
    </row>
    <row r="68" spans="2:10" ht="15.75" customHeight="1" x14ac:dyDescent="0.2">
      <c r="B68" s="41" t="s">
        <v>142</v>
      </c>
      <c r="C68" s="41"/>
      <c r="D68" s="41"/>
      <c r="E68" s="42"/>
      <c r="F68" s="43">
        <v>75092.990000000005</v>
      </c>
      <c r="G68" s="44">
        <v>1</v>
      </c>
      <c r="H68" s="45"/>
      <c r="J68" s="3"/>
    </row>
    <row r="69" spans="2:10" ht="15.75" customHeight="1" x14ac:dyDescent="0.2">
      <c r="B69" s="2"/>
    </row>
    <row r="70" spans="2:10" s="7" customFormat="1" ht="15.6" customHeight="1" x14ac:dyDescent="0.25">
      <c r="B70" s="63" t="s">
        <v>1067</v>
      </c>
      <c r="C70" s="70"/>
      <c r="D70" s="70"/>
      <c r="E70" s="70"/>
      <c r="F70" s="70"/>
      <c r="G70" s="70"/>
      <c r="H70" s="64"/>
    </row>
    <row r="71" spans="2:10" s="7" customFormat="1" ht="15.6" customHeight="1" x14ac:dyDescent="0.25">
      <c r="B71" s="63" t="s">
        <v>1108</v>
      </c>
      <c r="C71" s="70"/>
      <c r="D71" s="70"/>
      <c r="E71" s="70"/>
      <c r="F71" s="70"/>
      <c r="G71" s="70"/>
      <c r="H71" s="64"/>
    </row>
    <row r="72" spans="2:10" s="7" customFormat="1" ht="15.6" customHeight="1" x14ac:dyDescent="0.25">
      <c r="B72" s="63" t="s">
        <v>1068</v>
      </c>
      <c r="C72" s="70"/>
      <c r="D72" s="70"/>
      <c r="E72" s="70"/>
      <c r="F72" s="70"/>
      <c r="G72" s="70"/>
      <c r="H72" s="64"/>
    </row>
    <row r="73" spans="2:10" s="7" customFormat="1" ht="15.6" customHeight="1" x14ac:dyDescent="0.25">
      <c r="B73" s="71"/>
      <c r="C73" s="65">
        <v>46142</v>
      </c>
      <c r="D73" s="65">
        <v>46112</v>
      </c>
      <c r="E73" s="70"/>
      <c r="F73" s="70"/>
      <c r="G73" s="70"/>
      <c r="H73" s="64"/>
    </row>
    <row r="74" spans="2:10" s="7" customFormat="1" ht="15.6" customHeight="1" x14ac:dyDescent="0.25">
      <c r="B74" s="71" t="s">
        <v>1069</v>
      </c>
      <c r="C74" s="66"/>
      <c r="D74" s="66"/>
      <c r="E74" s="70"/>
      <c r="F74" s="70"/>
      <c r="G74" s="70"/>
      <c r="H74" s="64"/>
    </row>
    <row r="75" spans="2:10" s="7" customFormat="1" ht="15.6" customHeight="1" x14ac:dyDescent="0.25">
      <c r="B75" s="71" t="s">
        <v>1070</v>
      </c>
      <c r="C75" s="67">
        <v>10.643600000000001</v>
      </c>
      <c r="D75" s="67">
        <v>9.1931999999999992</v>
      </c>
      <c r="E75" s="70"/>
      <c r="F75" s="70"/>
      <c r="G75" s="70"/>
      <c r="H75" s="64"/>
    </row>
    <row r="76" spans="2:10" s="7" customFormat="1" ht="15.6" customHeight="1" x14ac:dyDescent="0.25">
      <c r="B76" s="71" t="s">
        <v>1071</v>
      </c>
      <c r="C76" s="67">
        <v>10.643600000000001</v>
      </c>
      <c r="D76" s="67">
        <v>9.1931999999999992</v>
      </c>
      <c r="E76" s="70"/>
      <c r="F76" s="70"/>
      <c r="G76" s="70"/>
      <c r="H76" s="64"/>
    </row>
    <row r="77" spans="2:10" s="7" customFormat="1" ht="15.6" customHeight="1" x14ac:dyDescent="0.25">
      <c r="B77" s="71" t="s">
        <v>1073</v>
      </c>
      <c r="C77" s="67">
        <v>10.916400000000001</v>
      </c>
      <c r="D77" s="67">
        <v>9.4182000000000006</v>
      </c>
      <c r="E77" s="70"/>
      <c r="F77" s="70"/>
      <c r="G77" s="70"/>
      <c r="H77" s="64"/>
    </row>
    <row r="78" spans="2:10" s="7" customFormat="1" ht="15.6" customHeight="1" x14ac:dyDescent="0.25">
      <c r="B78" s="71" t="s">
        <v>1074</v>
      </c>
      <c r="C78" s="67">
        <v>10.916400000000001</v>
      </c>
      <c r="D78" s="67">
        <v>9.4182000000000006</v>
      </c>
      <c r="E78" s="70"/>
      <c r="F78" s="70"/>
      <c r="G78" s="70"/>
      <c r="H78" s="64"/>
    </row>
    <row r="79" spans="2:10" s="7" customFormat="1" ht="15.6" customHeight="1" x14ac:dyDescent="0.25">
      <c r="B79" s="63" t="s">
        <v>1116</v>
      </c>
      <c r="C79" s="70"/>
      <c r="D79" s="70"/>
      <c r="E79" s="70"/>
      <c r="F79" s="70"/>
      <c r="G79" s="70"/>
      <c r="H79" s="64"/>
    </row>
    <row r="80" spans="2:10" s="7" customFormat="1" ht="15.6" customHeight="1" x14ac:dyDescent="0.25">
      <c r="B80" s="63" t="s">
        <v>1109</v>
      </c>
      <c r="C80" s="70"/>
      <c r="D80" s="70"/>
      <c r="E80" s="70"/>
      <c r="F80" s="70"/>
      <c r="G80" s="70"/>
      <c r="H80" s="64"/>
    </row>
    <row r="81" spans="2:14" s="7" customFormat="1" ht="15.6" customHeight="1" x14ac:dyDescent="0.25">
      <c r="B81" s="63" t="s">
        <v>1111</v>
      </c>
      <c r="C81" s="70"/>
      <c r="D81" s="70"/>
      <c r="E81" s="70"/>
      <c r="F81" s="70"/>
      <c r="G81" s="70"/>
      <c r="H81" s="64"/>
    </row>
    <row r="82" spans="2:14" s="7" customFormat="1" ht="15.6" customHeight="1" x14ac:dyDescent="0.25">
      <c r="B82" s="63" t="s">
        <v>1112</v>
      </c>
      <c r="C82" s="70"/>
      <c r="D82" s="70"/>
      <c r="E82" s="70"/>
      <c r="F82" s="70"/>
      <c r="G82" s="70"/>
      <c r="H82" s="64"/>
    </row>
    <row r="83" spans="2:14" s="7" customFormat="1" ht="15.6" customHeight="1" x14ac:dyDescent="0.25">
      <c r="B83" s="63" t="s">
        <v>1130</v>
      </c>
      <c r="C83" s="70"/>
      <c r="D83" s="70"/>
      <c r="E83" s="70"/>
      <c r="F83" s="70"/>
      <c r="G83" s="70"/>
      <c r="H83" s="64"/>
    </row>
    <row r="84" spans="2:14" s="7" customFormat="1" ht="15.6" customHeight="1" x14ac:dyDescent="0.25">
      <c r="B84" s="63" t="s">
        <v>1113</v>
      </c>
      <c r="C84" s="70"/>
      <c r="D84" s="70"/>
      <c r="E84" s="70"/>
      <c r="F84" s="70"/>
      <c r="G84" s="70"/>
      <c r="H84" s="64"/>
    </row>
    <row r="85" spans="2:14" s="7" customFormat="1" ht="15.6" customHeight="1" x14ac:dyDescent="0.25">
      <c r="B85" s="68" t="s">
        <v>1076</v>
      </c>
      <c r="C85" s="72"/>
      <c r="D85" s="72"/>
      <c r="E85" s="72"/>
      <c r="F85" s="72"/>
      <c r="G85" s="72"/>
      <c r="H85" s="69"/>
    </row>
    <row r="86" spans="2:14" ht="15.75" customHeight="1" thickBot="1" x14ac:dyDescent="0.25">
      <c r="J86" s="3"/>
    </row>
    <row r="87" spans="2:14" ht="39.75" customHeight="1" thickBot="1" x14ac:dyDescent="0.3">
      <c r="B87" s="46" t="s">
        <v>146</v>
      </c>
      <c r="C87" s="47" t="s">
        <v>147</v>
      </c>
      <c r="D87" s="47" t="s">
        <v>148</v>
      </c>
      <c r="E87"/>
      <c r="J87" s="3"/>
    </row>
    <row r="88" spans="2:14" ht="39.75" customHeight="1" x14ac:dyDescent="0.25">
      <c r="B88" s="52" t="s">
        <v>973</v>
      </c>
      <c r="C88" s="109"/>
      <c r="D88" s="48" t="s">
        <v>974</v>
      </c>
      <c r="E88"/>
      <c r="J88" s="3"/>
    </row>
    <row r="89" spans="2:14" ht="39.75" customHeight="1" x14ac:dyDescent="0.25">
      <c r="B89" s="112" t="s">
        <v>975</v>
      </c>
      <c r="C89" s="110"/>
      <c r="D89" s="118"/>
      <c r="E89"/>
      <c r="J89" s="5"/>
      <c r="K89" s="5"/>
      <c r="L89" s="6"/>
      <c r="M89" s="6"/>
      <c r="N89" s="5"/>
    </row>
    <row r="90" spans="2:14" ht="39.75" customHeight="1" x14ac:dyDescent="0.25">
      <c r="B90" s="112"/>
      <c r="C90" s="110"/>
      <c r="D90" s="118"/>
      <c r="E90"/>
    </row>
    <row r="91" spans="2:14" ht="39.75" customHeight="1" x14ac:dyDescent="0.25">
      <c r="B91" s="112"/>
      <c r="C91" s="110"/>
      <c r="D91" s="118"/>
      <c r="E91"/>
    </row>
    <row r="92" spans="2:14" ht="39.75" customHeight="1" thickBot="1" x14ac:dyDescent="0.3">
      <c r="B92" s="113"/>
      <c r="C92" s="111"/>
      <c r="D92" s="119"/>
      <c r="E92"/>
      <c r="J92" s="7"/>
      <c r="K92" s="7"/>
      <c r="L92" s="7"/>
      <c r="M92" s="7"/>
      <c r="N92" s="7"/>
    </row>
    <row r="93" spans="2:14" ht="15.75" customHeight="1" x14ac:dyDescent="0.2">
      <c r="B93" s="9" t="s">
        <v>149</v>
      </c>
      <c r="J93" s="7"/>
      <c r="K93" s="7"/>
      <c r="L93" s="7"/>
      <c r="M93" s="7"/>
      <c r="N93" s="7"/>
    </row>
    <row r="94" spans="2:14" ht="15.75" customHeight="1" x14ac:dyDescent="0.2">
      <c r="B94" s="9" t="s">
        <v>150</v>
      </c>
      <c r="J94" s="7"/>
      <c r="K94" s="7"/>
      <c r="L94" s="7"/>
      <c r="M94" s="7"/>
      <c r="N94" s="7"/>
    </row>
    <row r="95" spans="2:14" ht="15.75" customHeight="1" x14ac:dyDescent="0.2">
      <c r="B95" s="9" t="s">
        <v>151</v>
      </c>
      <c r="J95" s="7"/>
      <c r="K95" s="7"/>
      <c r="L95" s="7"/>
      <c r="M95" s="7"/>
      <c r="N95" s="7"/>
    </row>
    <row r="96" spans="2: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88:C92"/>
    <mergeCell ref="B89:B92"/>
    <mergeCell ref="D89:D92"/>
  </mergeCells>
  <hyperlinks>
    <hyperlink ref="G1" location="'Sheet1'!A1" display="Index" xr:uid="{6DB9001B-A1BD-4B39-9E71-1D34C9F73F8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670D-30DB-437F-B86A-A755010E2C18}">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191</v>
      </c>
      <c r="C7" s="28" t="s">
        <v>192</v>
      </c>
      <c r="D7" s="28" t="s">
        <v>173</v>
      </c>
      <c r="E7" s="29">
        <v>1070361</v>
      </c>
      <c r="F7" s="30">
        <v>13522.94</v>
      </c>
      <c r="G7" s="31">
        <v>4.5699999999999998E-2</v>
      </c>
      <c r="H7" s="32"/>
    </row>
    <row r="8" spans="2:8" ht="15.75" customHeight="1" x14ac:dyDescent="0.2">
      <c r="B8" s="28" t="s">
        <v>214</v>
      </c>
      <c r="C8" s="28" t="s">
        <v>215</v>
      </c>
      <c r="D8" s="28" t="s">
        <v>216</v>
      </c>
      <c r="E8" s="29">
        <v>606000</v>
      </c>
      <c r="F8" s="30">
        <v>11434.01</v>
      </c>
      <c r="G8" s="31">
        <v>3.8600000000000002E-2</v>
      </c>
      <c r="H8" s="32"/>
    </row>
    <row r="9" spans="2:8" ht="15.75" customHeight="1" x14ac:dyDescent="0.2">
      <c r="B9" s="28" t="s">
        <v>180</v>
      </c>
      <c r="C9" s="28" t="s">
        <v>181</v>
      </c>
      <c r="D9" s="28" t="s">
        <v>182</v>
      </c>
      <c r="E9" s="29">
        <v>827053</v>
      </c>
      <c r="F9" s="30">
        <v>9774.11</v>
      </c>
      <c r="G9" s="31">
        <v>3.3000000000000002E-2</v>
      </c>
      <c r="H9" s="32"/>
    </row>
    <row r="10" spans="2:8" ht="15.75" customHeight="1" x14ac:dyDescent="0.2">
      <c r="B10" s="28" t="s">
        <v>225</v>
      </c>
      <c r="C10" s="28" t="s">
        <v>226</v>
      </c>
      <c r="D10" s="28" t="s">
        <v>190</v>
      </c>
      <c r="E10" s="29">
        <v>975000</v>
      </c>
      <c r="F10" s="30">
        <v>9135.75</v>
      </c>
      <c r="G10" s="31">
        <v>3.09E-2</v>
      </c>
      <c r="H10" s="32"/>
    </row>
    <row r="11" spans="2:8" ht="15.75" customHeight="1" x14ac:dyDescent="0.2">
      <c r="B11" s="28" t="s">
        <v>316</v>
      </c>
      <c r="C11" s="28" t="s">
        <v>317</v>
      </c>
      <c r="D11" s="28" t="s">
        <v>318</v>
      </c>
      <c r="E11" s="29">
        <v>226897</v>
      </c>
      <c r="F11" s="30">
        <v>9107.65</v>
      </c>
      <c r="G11" s="31">
        <v>3.0800000000000001E-2</v>
      </c>
      <c r="H11" s="32"/>
    </row>
    <row r="12" spans="2:8" ht="15.75" customHeight="1" x14ac:dyDescent="0.2">
      <c r="B12" s="28" t="s">
        <v>486</v>
      </c>
      <c r="C12" s="28" t="s">
        <v>487</v>
      </c>
      <c r="D12" s="28" t="s">
        <v>179</v>
      </c>
      <c r="E12" s="29">
        <v>200687</v>
      </c>
      <c r="F12" s="30">
        <v>8277.94</v>
      </c>
      <c r="G12" s="31">
        <v>2.8000000000000001E-2</v>
      </c>
      <c r="H12" s="32"/>
    </row>
    <row r="13" spans="2:8" ht="15.75" customHeight="1" x14ac:dyDescent="0.2">
      <c r="B13" s="28" t="s">
        <v>765</v>
      </c>
      <c r="C13" s="28" t="s">
        <v>766</v>
      </c>
      <c r="D13" s="28" t="s">
        <v>268</v>
      </c>
      <c r="E13" s="29">
        <v>638051</v>
      </c>
      <c r="F13" s="30">
        <v>7935.44</v>
      </c>
      <c r="G13" s="31">
        <v>2.6800000000000001E-2</v>
      </c>
      <c r="H13" s="32"/>
    </row>
    <row r="14" spans="2:8" ht="15.75" customHeight="1" x14ac:dyDescent="0.2">
      <c r="B14" s="28" t="s">
        <v>393</v>
      </c>
      <c r="C14" s="28" t="s">
        <v>394</v>
      </c>
      <c r="D14" s="28" t="s">
        <v>395</v>
      </c>
      <c r="E14" s="29">
        <v>100064</v>
      </c>
      <c r="F14" s="30">
        <v>7641.39</v>
      </c>
      <c r="G14" s="31">
        <v>2.58E-2</v>
      </c>
      <c r="H14" s="32"/>
    </row>
    <row r="15" spans="2:8" ht="15.75" customHeight="1" x14ac:dyDescent="0.2">
      <c r="B15" s="28" t="s">
        <v>607</v>
      </c>
      <c r="C15" s="28" t="s">
        <v>608</v>
      </c>
      <c r="D15" s="28" t="s">
        <v>338</v>
      </c>
      <c r="E15" s="29">
        <v>980734</v>
      </c>
      <c r="F15" s="30">
        <v>7600.69</v>
      </c>
      <c r="G15" s="31">
        <v>2.5700000000000001E-2</v>
      </c>
      <c r="H15" s="32"/>
    </row>
    <row r="16" spans="2:8" ht="15.75" customHeight="1" x14ac:dyDescent="0.2">
      <c r="B16" s="28" t="s">
        <v>232</v>
      </c>
      <c r="C16" s="28" t="s">
        <v>233</v>
      </c>
      <c r="D16" s="28" t="s">
        <v>195</v>
      </c>
      <c r="E16" s="29">
        <v>55913</v>
      </c>
      <c r="F16" s="30">
        <v>7444.26</v>
      </c>
      <c r="G16" s="31">
        <v>2.52E-2</v>
      </c>
      <c r="H16" s="32"/>
    </row>
    <row r="17" spans="2:8" ht="15.75" customHeight="1" x14ac:dyDescent="0.2">
      <c r="B17" s="28" t="s">
        <v>805</v>
      </c>
      <c r="C17" s="28" t="s">
        <v>806</v>
      </c>
      <c r="D17" s="28" t="s">
        <v>219</v>
      </c>
      <c r="E17" s="29">
        <v>2725664</v>
      </c>
      <c r="F17" s="30">
        <v>7413.26</v>
      </c>
      <c r="G17" s="31">
        <v>2.5100000000000001E-2</v>
      </c>
      <c r="H17" s="32"/>
    </row>
    <row r="18" spans="2:8" ht="15.75" customHeight="1" x14ac:dyDescent="0.2">
      <c r="B18" s="28" t="s">
        <v>356</v>
      </c>
      <c r="C18" s="28" t="s">
        <v>357</v>
      </c>
      <c r="D18" s="28" t="s">
        <v>287</v>
      </c>
      <c r="E18" s="29">
        <v>167615</v>
      </c>
      <c r="F18" s="30">
        <v>7199.57</v>
      </c>
      <c r="G18" s="31">
        <v>2.4299999999999999E-2</v>
      </c>
      <c r="H18" s="32"/>
    </row>
    <row r="19" spans="2:8" ht="15.75" customHeight="1" x14ac:dyDescent="0.2">
      <c r="B19" s="28" t="s">
        <v>479</v>
      </c>
      <c r="C19" s="28" t="s">
        <v>480</v>
      </c>
      <c r="D19" s="28" t="s">
        <v>431</v>
      </c>
      <c r="E19" s="29">
        <v>229194</v>
      </c>
      <c r="F19" s="30">
        <v>6810.5</v>
      </c>
      <c r="G19" s="31">
        <v>2.3E-2</v>
      </c>
      <c r="H19" s="32"/>
    </row>
    <row r="20" spans="2:8" ht="15.75" customHeight="1" x14ac:dyDescent="0.2">
      <c r="B20" s="28" t="s">
        <v>372</v>
      </c>
      <c r="C20" s="28" t="s">
        <v>373</v>
      </c>
      <c r="D20" s="28" t="s">
        <v>190</v>
      </c>
      <c r="E20" s="29">
        <v>1966453</v>
      </c>
      <c r="F20" s="30">
        <v>6794.1</v>
      </c>
      <c r="G20" s="31">
        <v>2.3E-2</v>
      </c>
      <c r="H20" s="32"/>
    </row>
    <row r="21" spans="2:8" ht="15.75" customHeight="1" x14ac:dyDescent="0.2">
      <c r="B21" s="28" t="s">
        <v>275</v>
      </c>
      <c r="C21" s="28" t="s">
        <v>276</v>
      </c>
      <c r="D21" s="28" t="s">
        <v>277</v>
      </c>
      <c r="E21" s="29">
        <v>427811</v>
      </c>
      <c r="F21" s="30">
        <v>6783.8</v>
      </c>
      <c r="G21" s="31">
        <v>2.29E-2</v>
      </c>
      <c r="H21" s="32"/>
    </row>
    <row r="22" spans="2:8" ht="15.75" customHeight="1" x14ac:dyDescent="0.2">
      <c r="B22" s="28" t="s">
        <v>728</v>
      </c>
      <c r="C22" s="28" t="s">
        <v>729</v>
      </c>
      <c r="D22" s="28" t="s">
        <v>248</v>
      </c>
      <c r="E22" s="29">
        <v>395000</v>
      </c>
      <c r="F22" s="30">
        <v>6594.92</v>
      </c>
      <c r="G22" s="31">
        <v>2.23E-2</v>
      </c>
      <c r="H22" s="32"/>
    </row>
    <row r="23" spans="2:8" ht="15.75" customHeight="1" x14ac:dyDescent="0.2">
      <c r="B23" s="28" t="s">
        <v>475</v>
      </c>
      <c r="C23" s="28" t="s">
        <v>476</v>
      </c>
      <c r="D23" s="28" t="s">
        <v>268</v>
      </c>
      <c r="E23" s="29">
        <v>144910</v>
      </c>
      <c r="F23" s="30">
        <v>6471.97</v>
      </c>
      <c r="G23" s="31">
        <v>2.1899999999999999E-2</v>
      </c>
      <c r="H23" s="32"/>
    </row>
    <row r="24" spans="2:8" ht="15.75" customHeight="1" x14ac:dyDescent="0.2">
      <c r="B24" s="28" t="s">
        <v>177</v>
      </c>
      <c r="C24" s="28" t="s">
        <v>178</v>
      </c>
      <c r="D24" s="28" t="s">
        <v>179</v>
      </c>
      <c r="E24" s="29">
        <v>337366</v>
      </c>
      <c r="F24" s="30">
        <v>6347.88</v>
      </c>
      <c r="G24" s="31">
        <v>2.1499999999999998E-2</v>
      </c>
      <c r="H24" s="32"/>
    </row>
    <row r="25" spans="2:8" ht="15.75" customHeight="1" x14ac:dyDescent="0.2">
      <c r="B25" s="28" t="s">
        <v>183</v>
      </c>
      <c r="C25" s="28" t="s">
        <v>184</v>
      </c>
      <c r="D25" s="28" t="s">
        <v>173</v>
      </c>
      <c r="E25" s="29">
        <v>488610</v>
      </c>
      <c r="F25" s="30">
        <v>6197.04</v>
      </c>
      <c r="G25" s="31">
        <v>2.0899999999999998E-2</v>
      </c>
      <c r="H25" s="32"/>
    </row>
    <row r="26" spans="2:8" ht="15.75" customHeight="1" x14ac:dyDescent="0.2">
      <c r="B26" s="28" t="s">
        <v>329</v>
      </c>
      <c r="C26" s="28" t="s">
        <v>330</v>
      </c>
      <c r="D26" s="28" t="s">
        <v>331</v>
      </c>
      <c r="E26" s="29">
        <v>53458</v>
      </c>
      <c r="F26" s="30">
        <v>6193.64</v>
      </c>
      <c r="G26" s="31">
        <v>2.0899999999999998E-2</v>
      </c>
      <c r="H26" s="32"/>
    </row>
    <row r="27" spans="2:8" ht="15.75" customHeight="1" x14ac:dyDescent="0.2">
      <c r="B27" s="28" t="s">
        <v>188</v>
      </c>
      <c r="C27" s="28" t="s">
        <v>189</v>
      </c>
      <c r="D27" s="28" t="s">
        <v>190</v>
      </c>
      <c r="E27" s="29">
        <v>658461</v>
      </c>
      <c r="F27" s="30">
        <v>6172.08</v>
      </c>
      <c r="G27" s="31">
        <v>2.0899999999999998E-2</v>
      </c>
      <c r="H27" s="32"/>
    </row>
    <row r="28" spans="2:8" ht="15.75" customHeight="1" x14ac:dyDescent="0.2">
      <c r="B28" s="28" t="s">
        <v>740</v>
      </c>
      <c r="C28" s="28" t="s">
        <v>741</v>
      </c>
      <c r="D28" s="28" t="s">
        <v>483</v>
      </c>
      <c r="E28" s="29">
        <v>450000</v>
      </c>
      <c r="F28" s="30">
        <v>5965.2</v>
      </c>
      <c r="G28" s="31">
        <v>2.0199999999999999E-2</v>
      </c>
      <c r="H28" s="32"/>
    </row>
    <row r="29" spans="2:8" ht="15.75" customHeight="1" x14ac:dyDescent="0.2">
      <c r="B29" s="28" t="s">
        <v>698</v>
      </c>
      <c r="C29" s="28" t="s">
        <v>699</v>
      </c>
      <c r="D29" s="28" t="s">
        <v>179</v>
      </c>
      <c r="E29" s="29">
        <v>534642</v>
      </c>
      <c r="F29" s="30">
        <v>5947.89</v>
      </c>
      <c r="G29" s="31">
        <v>2.01E-2</v>
      </c>
      <c r="H29" s="32"/>
    </row>
    <row r="30" spans="2:8" ht="15.75" customHeight="1" x14ac:dyDescent="0.2">
      <c r="B30" s="28" t="s">
        <v>402</v>
      </c>
      <c r="C30" s="28" t="s">
        <v>403</v>
      </c>
      <c r="D30" s="28" t="s">
        <v>190</v>
      </c>
      <c r="E30" s="29">
        <v>378882</v>
      </c>
      <c r="F30" s="30">
        <v>5921.55</v>
      </c>
      <c r="G30" s="31">
        <v>0.02</v>
      </c>
      <c r="H30" s="32"/>
    </row>
    <row r="31" spans="2:8" ht="15.75" customHeight="1" x14ac:dyDescent="0.2">
      <c r="B31" s="28" t="s">
        <v>262</v>
      </c>
      <c r="C31" s="28" t="s">
        <v>263</v>
      </c>
      <c r="D31" s="28" t="s">
        <v>243</v>
      </c>
      <c r="E31" s="29">
        <v>135015</v>
      </c>
      <c r="F31" s="30">
        <v>5595.83</v>
      </c>
      <c r="G31" s="31">
        <v>1.89E-2</v>
      </c>
      <c r="H31" s="32"/>
    </row>
    <row r="32" spans="2:8" ht="15.75" customHeight="1" x14ac:dyDescent="0.2">
      <c r="B32" s="28" t="s">
        <v>222</v>
      </c>
      <c r="C32" s="28" t="s">
        <v>223</v>
      </c>
      <c r="D32" s="28" t="s">
        <v>224</v>
      </c>
      <c r="E32" s="29">
        <v>1280189</v>
      </c>
      <c r="F32" s="30">
        <v>5521.46</v>
      </c>
      <c r="G32" s="31">
        <v>1.8700000000000001E-2</v>
      </c>
      <c r="H32" s="32"/>
    </row>
    <row r="33" spans="2:8" ht="15.75" customHeight="1" x14ac:dyDescent="0.2">
      <c r="B33" s="28" t="s">
        <v>212</v>
      </c>
      <c r="C33" s="28" t="s">
        <v>213</v>
      </c>
      <c r="D33" s="28" t="s">
        <v>173</v>
      </c>
      <c r="E33" s="29">
        <v>512722</v>
      </c>
      <c r="F33" s="30">
        <v>5478.18</v>
      </c>
      <c r="G33" s="31">
        <v>1.8499999999999999E-2</v>
      </c>
      <c r="H33" s="32"/>
    </row>
    <row r="34" spans="2:8" ht="15.75" customHeight="1" x14ac:dyDescent="0.2">
      <c r="B34" s="28" t="s">
        <v>236</v>
      </c>
      <c r="C34" s="28" t="s">
        <v>237</v>
      </c>
      <c r="D34" s="28" t="s">
        <v>238</v>
      </c>
      <c r="E34" s="29">
        <v>294750</v>
      </c>
      <c r="F34" s="30">
        <v>5329.96</v>
      </c>
      <c r="G34" s="31">
        <v>1.7999999999999999E-2</v>
      </c>
      <c r="H34" s="32"/>
    </row>
    <row r="35" spans="2:8" ht="15.75" customHeight="1" x14ac:dyDescent="0.2">
      <c r="B35" s="28" t="s">
        <v>528</v>
      </c>
      <c r="C35" s="28" t="s">
        <v>529</v>
      </c>
      <c r="D35" s="28" t="s">
        <v>431</v>
      </c>
      <c r="E35" s="29">
        <v>525000</v>
      </c>
      <c r="F35" s="30">
        <v>5302.24</v>
      </c>
      <c r="G35" s="31">
        <v>1.7899999999999999E-2</v>
      </c>
      <c r="H35" s="32"/>
    </row>
    <row r="36" spans="2:8" ht="15.75" customHeight="1" x14ac:dyDescent="0.2">
      <c r="B36" s="28" t="s">
        <v>193</v>
      </c>
      <c r="C36" s="28" t="s">
        <v>194</v>
      </c>
      <c r="D36" s="28" t="s">
        <v>195</v>
      </c>
      <c r="E36" s="29">
        <v>171077</v>
      </c>
      <c r="F36" s="30">
        <v>5299.11</v>
      </c>
      <c r="G36" s="31">
        <v>1.7899999999999999E-2</v>
      </c>
      <c r="H36" s="32"/>
    </row>
    <row r="37" spans="2:8" ht="15.75" customHeight="1" x14ac:dyDescent="0.2">
      <c r="B37" s="28" t="s">
        <v>976</v>
      </c>
      <c r="C37" s="28" t="s">
        <v>977</v>
      </c>
      <c r="D37" s="28" t="s">
        <v>243</v>
      </c>
      <c r="E37" s="29">
        <v>114500</v>
      </c>
      <c r="F37" s="30">
        <v>5250.86</v>
      </c>
      <c r="G37" s="31">
        <v>1.77E-2</v>
      </c>
      <c r="H37" s="32"/>
    </row>
    <row r="38" spans="2:8" ht="15.75" customHeight="1" x14ac:dyDescent="0.2">
      <c r="B38" s="28" t="s">
        <v>706</v>
      </c>
      <c r="C38" s="28" t="s">
        <v>707</v>
      </c>
      <c r="D38" s="28" t="s">
        <v>182</v>
      </c>
      <c r="E38" s="29">
        <v>105134</v>
      </c>
      <c r="F38" s="30">
        <v>5046.43</v>
      </c>
      <c r="G38" s="31">
        <v>1.7100000000000001E-2</v>
      </c>
      <c r="H38" s="32"/>
    </row>
    <row r="39" spans="2:8" ht="15.75" customHeight="1" x14ac:dyDescent="0.2">
      <c r="B39" s="28" t="s">
        <v>413</v>
      </c>
      <c r="C39" s="28" t="s">
        <v>414</v>
      </c>
      <c r="D39" s="28" t="s">
        <v>238</v>
      </c>
      <c r="E39" s="29">
        <v>70500</v>
      </c>
      <c r="F39" s="30">
        <v>4584.26</v>
      </c>
      <c r="G39" s="31">
        <v>1.55E-2</v>
      </c>
      <c r="H39" s="32"/>
    </row>
    <row r="40" spans="2:8" ht="15.75" customHeight="1" x14ac:dyDescent="0.2">
      <c r="B40" s="28" t="s">
        <v>398</v>
      </c>
      <c r="C40" s="28" t="s">
        <v>399</v>
      </c>
      <c r="D40" s="28" t="s">
        <v>331</v>
      </c>
      <c r="E40" s="29">
        <v>84848</v>
      </c>
      <c r="F40" s="30">
        <v>4485.91</v>
      </c>
      <c r="G40" s="31">
        <v>1.52E-2</v>
      </c>
      <c r="H40" s="32"/>
    </row>
    <row r="41" spans="2:8" ht="15.75" customHeight="1" x14ac:dyDescent="0.2">
      <c r="B41" s="28" t="s">
        <v>260</v>
      </c>
      <c r="C41" s="28" t="s">
        <v>261</v>
      </c>
      <c r="D41" s="28" t="s">
        <v>251</v>
      </c>
      <c r="E41" s="29">
        <v>1000000</v>
      </c>
      <c r="F41" s="30">
        <v>4445.5</v>
      </c>
      <c r="G41" s="31">
        <v>1.4999999999999999E-2</v>
      </c>
      <c r="H41" s="32"/>
    </row>
    <row r="42" spans="2:8" ht="15.75" customHeight="1" x14ac:dyDescent="0.2">
      <c r="B42" s="28" t="s">
        <v>722</v>
      </c>
      <c r="C42" s="28" t="s">
        <v>723</v>
      </c>
      <c r="D42" s="28" t="s">
        <v>470</v>
      </c>
      <c r="E42" s="29">
        <v>857525</v>
      </c>
      <c r="F42" s="30">
        <v>4104.1099999999997</v>
      </c>
      <c r="G42" s="31">
        <v>1.3899999999999999E-2</v>
      </c>
      <c r="H42" s="32"/>
    </row>
    <row r="43" spans="2:8" ht="15.75" customHeight="1" x14ac:dyDescent="0.2">
      <c r="B43" s="28" t="s">
        <v>432</v>
      </c>
      <c r="C43" s="28" t="s">
        <v>433</v>
      </c>
      <c r="D43" s="28" t="s">
        <v>434</v>
      </c>
      <c r="E43" s="29">
        <v>967940</v>
      </c>
      <c r="F43" s="30">
        <v>3967.59</v>
      </c>
      <c r="G43" s="31">
        <v>1.34E-2</v>
      </c>
      <c r="H43" s="32"/>
    </row>
    <row r="44" spans="2:8" ht="15.75" customHeight="1" x14ac:dyDescent="0.2">
      <c r="B44" s="28" t="s">
        <v>488</v>
      </c>
      <c r="C44" s="28" t="s">
        <v>489</v>
      </c>
      <c r="D44" s="28" t="s">
        <v>490</v>
      </c>
      <c r="E44" s="29">
        <v>347622</v>
      </c>
      <c r="F44" s="30">
        <v>3809.24</v>
      </c>
      <c r="G44" s="31">
        <v>1.29E-2</v>
      </c>
      <c r="H44" s="32"/>
    </row>
    <row r="45" spans="2:8" ht="15.75" customHeight="1" x14ac:dyDescent="0.2">
      <c r="B45" s="28" t="s">
        <v>834</v>
      </c>
      <c r="C45" s="28" t="s">
        <v>835</v>
      </c>
      <c r="D45" s="28" t="s">
        <v>321</v>
      </c>
      <c r="E45" s="29">
        <v>70056</v>
      </c>
      <c r="F45" s="30">
        <v>3689.43</v>
      </c>
      <c r="G45" s="31">
        <v>1.2500000000000001E-2</v>
      </c>
      <c r="H45" s="32"/>
    </row>
    <row r="46" spans="2:8" ht="15.75" customHeight="1" x14ac:dyDescent="0.2">
      <c r="B46" s="28" t="s">
        <v>840</v>
      </c>
      <c r="C46" s="28" t="s">
        <v>841</v>
      </c>
      <c r="D46" s="28" t="s">
        <v>268</v>
      </c>
      <c r="E46" s="29">
        <v>85265</v>
      </c>
      <c r="F46" s="30">
        <v>3476.77</v>
      </c>
      <c r="G46" s="31">
        <v>1.18E-2</v>
      </c>
      <c r="H46" s="32"/>
    </row>
    <row r="47" spans="2:8" ht="15.75" customHeight="1" x14ac:dyDescent="0.2">
      <c r="B47" s="28" t="s">
        <v>555</v>
      </c>
      <c r="C47" s="28" t="s">
        <v>556</v>
      </c>
      <c r="D47" s="28" t="s">
        <v>268</v>
      </c>
      <c r="E47" s="29">
        <v>27996</v>
      </c>
      <c r="F47" s="30">
        <v>3452.19</v>
      </c>
      <c r="G47" s="31">
        <v>1.17E-2</v>
      </c>
      <c r="H47" s="32"/>
    </row>
    <row r="48" spans="2:8" ht="15.75" customHeight="1" x14ac:dyDescent="0.2">
      <c r="B48" s="28" t="s">
        <v>491</v>
      </c>
      <c r="C48" s="28" t="s">
        <v>492</v>
      </c>
      <c r="D48" s="28" t="s">
        <v>271</v>
      </c>
      <c r="E48" s="29">
        <v>183038</v>
      </c>
      <c r="F48" s="30">
        <v>2915.8</v>
      </c>
      <c r="G48" s="31">
        <v>9.9000000000000008E-3</v>
      </c>
      <c r="H48" s="32"/>
    </row>
    <row r="49" spans="2:8" ht="15.75" customHeight="1" x14ac:dyDescent="0.2">
      <c r="B49" s="28" t="s">
        <v>851</v>
      </c>
      <c r="C49" s="28" t="s">
        <v>852</v>
      </c>
      <c r="D49" s="28" t="s">
        <v>229</v>
      </c>
      <c r="E49" s="29">
        <v>230000</v>
      </c>
      <c r="F49" s="30">
        <v>2908.35</v>
      </c>
      <c r="G49" s="31">
        <v>9.7999999999999997E-3</v>
      </c>
      <c r="H49" s="32"/>
    </row>
    <row r="50" spans="2:8" ht="15.75" customHeight="1" x14ac:dyDescent="0.2">
      <c r="B50" s="28" t="s">
        <v>704</v>
      </c>
      <c r="C50" s="28" t="s">
        <v>705</v>
      </c>
      <c r="D50" s="28" t="s">
        <v>321</v>
      </c>
      <c r="E50" s="29">
        <v>145333</v>
      </c>
      <c r="F50" s="30">
        <v>2768.59</v>
      </c>
      <c r="G50" s="31">
        <v>9.4000000000000004E-3</v>
      </c>
      <c r="H50" s="32"/>
    </row>
    <row r="51" spans="2:8" ht="15.75" customHeight="1" x14ac:dyDescent="0.2">
      <c r="B51" s="28" t="s">
        <v>742</v>
      </c>
      <c r="C51" s="28" t="s">
        <v>743</v>
      </c>
      <c r="D51" s="28" t="s">
        <v>243</v>
      </c>
      <c r="E51" s="29">
        <v>1032942</v>
      </c>
      <c r="F51" s="30">
        <v>2734.82</v>
      </c>
      <c r="G51" s="31">
        <v>9.1999999999999998E-3</v>
      </c>
      <c r="H51" s="32"/>
    </row>
    <row r="52" spans="2:8" ht="15.75" customHeight="1" x14ac:dyDescent="0.2">
      <c r="B52" s="28" t="s">
        <v>726</v>
      </c>
      <c r="C52" s="28" t="s">
        <v>727</v>
      </c>
      <c r="D52" s="28" t="s">
        <v>224</v>
      </c>
      <c r="E52" s="29">
        <v>197529</v>
      </c>
      <c r="F52" s="30">
        <v>2694.49</v>
      </c>
      <c r="G52" s="31">
        <v>9.1000000000000004E-3</v>
      </c>
      <c r="H52" s="32"/>
    </row>
    <row r="53" spans="2:8" ht="15.75" customHeight="1" x14ac:dyDescent="0.2">
      <c r="B53" s="28" t="s">
        <v>978</v>
      </c>
      <c r="C53" s="28" t="s">
        <v>979</v>
      </c>
      <c r="D53" s="28" t="s">
        <v>470</v>
      </c>
      <c r="E53" s="29">
        <v>200000</v>
      </c>
      <c r="F53" s="30">
        <v>856.5</v>
      </c>
      <c r="G53" s="31">
        <v>2.8999999999999998E-3</v>
      </c>
      <c r="H53" s="32"/>
    </row>
    <row r="54" spans="2:8" ht="15.75" customHeight="1" x14ac:dyDescent="0.2">
      <c r="B54" s="28" t="s">
        <v>473</v>
      </c>
      <c r="C54" s="28" t="s">
        <v>474</v>
      </c>
      <c r="D54" s="28" t="s">
        <v>243</v>
      </c>
      <c r="E54" s="29">
        <v>104545</v>
      </c>
      <c r="F54" s="30">
        <v>463.29</v>
      </c>
      <c r="G54" s="31">
        <v>1.6000000000000001E-3</v>
      </c>
      <c r="H54" s="32"/>
    </row>
    <row r="55" spans="2:8" ht="15.75" customHeight="1" x14ac:dyDescent="0.2">
      <c r="B55" s="27" t="s">
        <v>129</v>
      </c>
      <c r="C55" s="27"/>
      <c r="D55" s="27"/>
      <c r="E55" s="33"/>
      <c r="F55" s="34">
        <v>276868.49</v>
      </c>
      <c r="G55" s="35">
        <v>0.93579999999999997</v>
      </c>
      <c r="H55" s="36"/>
    </row>
    <row r="56" spans="2:8" ht="15.75" customHeight="1" x14ac:dyDescent="0.2">
      <c r="B56" s="27" t="s">
        <v>197</v>
      </c>
      <c r="C56" s="28"/>
      <c r="D56" s="28"/>
      <c r="E56" s="29"/>
      <c r="F56" s="30"/>
      <c r="G56" s="31"/>
      <c r="H56" s="32"/>
    </row>
    <row r="57" spans="2:8" ht="15.75" customHeight="1" x14ac:dyDescent="0.2">
      <c r="B57" s="27" t="s">
        <v>129</v>
      </c>
      <c r="C57" s="28"/>
      <c r="D57" s="28"/>
      <c r="E57" s="29"/>
      <c r="F57" s="37" t="s">
        <v>131</v>
      </c>
      <c r="G57" s="38" t="s">
        <v>131</v>
      </c>
      <c r="H57" s="32"/>
    </row>
    <row r="58" spans="2:8" ht="15.75" customHeight="1" x14ac:dyDescent="0.2">
      <c r="B58" s="28"/>
      <c r="C58" s="28"/>
      <c r="D58" s="28"/>
      <c r="E58" s="29"/>
      <c r="F58" s="30"/>
      <c r="G58" s="31"/>
      <c r="H58" s="32"/>
    </row>
    <row r="59" spans="2:8" ht="15.75" customHeight="1" x14ac:dyDescent="0.2">
      <c r="B59" s="39" t="s">
        <v>133</v>
      </c>
      <c r="C59" s="39"/>
      <c r="D59" s="39"/>
      <c r="E59" s="40"/>
      <c r="F59" s="34">
        <v>276868.49</v>
      </c>
      <c r="G59" s="35">
        <v>0.93579999999999997</v>
      </c>
      <c r="H59" s="36"/>
    </row>
    <row r="60" spans="2:8" ht="15.75" customHeight="1" x14ac:dyDescent="0.2">
      <c r="B60" s="28"/>
      <c r="C60" s="28"/>
      <c r="D60" s="28"/>
      <c r="E60" s="29"/>
      <c r="F60" s="30"/>
      <c r="G60" s="31"/>
      <c r="H60" s="32"/>
    </row>
    <row r="61" spans="2:8" ht="15.75" customHeight="1" x14ac:dyDescent="0.2">
      <c r="B61" s="28"/>
      <c r="C61" s="28"/>
      <c r="D61" s="28"/>
      <c r="E61" s="29"/>
      <c r="F61" s="30"/>
      <c r="G61" s="31"/>
      <c r="H61" s="32"/>
    </row>
    <row r="62" spans="2:8" ht="15.75" customHeight="1" x14ac:dyDescent="0.2">
      <c r="B62" s="27" t="s">
        <v>139</v>
      </c>
      <c r="C62" s="28"/>
      <c r="D62" s="28"/>
      <c r="E62" s="29"/>
      <c r="F62" s="30"/>
      <c r="G62" s="31"/>
      <c r="H62" s="32"/>
    </row>
    <row r="63" spans="2:8" ht="15.75" customHeight="1" x14ac:dyDescent="0.2">
      <c r="B63" s="28" t="s">
        <v>140</v>
      </c>
      <c r="C63" s="28"/>
      <c r="D63" s="28"/>
      <c r="E63" s="29"/>
      <c r="F63" s="30">
        <v>20492.810000000001</v>
      </c>
      <c r="G63" s="31">
        <v>6.93E-2</v>
      </c>
      <c r="H63" s="32"/>
    </row>
    <row r="64" spans="2:8" ht="15.75" customHeight="1" x14ac:dyDescent="0.2">
      <c r="B64" s="27" t="s">
        <v>129</v>
      </c>
      <c r="C64" s="27"/>
      <c r="D64" s="27"/>
      <c r="E64" s="33"/>
      <c r="F64" s="34">
        <v>20492.810000000001</v>
      </c>
      <c r="G64" s="35">
        <v>6.93E-2</v>
      </c>
      <c r="H64" s="36"/>
    </row>
    <row r="65" spans="2:10" ht="15.75" customHeight="1" x14ac:dyDescent="0.2">
      <c r="B65" s="28"/>
      <c r="C65" s="28"/>
      <c r="D65" s="28"/>
      <c r="E65" s="29"/>
      <c r="F65" s="30"/>
      <c r="G65" s="31"/>
      <c r="H65" s="32"/>
    </row>
    <row r="66" spans="2:10" ht="15.75" customHeight="1" x14ac:dyDescent="0.2">
      <c r="B66" s="39" t="s">
        <v>133</v>
      </c>
      <c r="C66" s="39"/>
      <c r="D66" s="39"/>
      <c r="E66" s="40"/>
      <c r="F66" s="34">
        <v>20492.810000000001</v>
      </c>
      <c r="G66" s="35">
        <v>6.93E-2</v>
      </c>
      <c r="H66" s="36"/>
    </row>
    <row r="67" spans="2:10" ht="15.75" customHeight="1" x14ac:dyDescent="0.2">
      <c r="B67" s="28" t="s">
        <v>141</v>
      </c>
      <c r="C67" s="28"/>
      <c r="D67" s="28"/>
      <c r="E67" s="29"/>
      <c r="F67" s="50">
        <v>-1512.06</v>
      </c>
      <c r="G67" s="51">
        <v>-5.0999999999998824E-3</v>
      </c>
      <c r="H67" s="32"/>
    </row>
    <row r="68" spans="2:10" ht="15.75" customHeight="1" x14ac:dyDescent="0.2">
      <c r="B68" s="41" t="s">
        <v>142</v>
      </c>
      <c r="C68" s="41"/>
      <c r="D68" s="41"/>
      <c r="E68" s="42"/>
      <c r="F68" s="43">
        <v>295849.24</v>
      </c>
      <c r="G68" s="44">
        <v>1</v>
      </c>
      <c r="H68" s="45"/>
      <c r="J68" s="3"/>
    </row>
    <row r="69" spans="2:10" ht="15.75" customHeight="1" x14ac:dyDescent="0.2">
      <c r="B69" s="2"/>
    </row>
    <row r="70" spans="2:10" s="7" customFormat="1" ht="15.6" customHeight="1" x14ac:dyDescent="0.25">
      <c r="B70" s="63" t="s">
        <v>1067</v>
      </c>
      <c r="C70" s="70"/>
      <c r="D70" s="70"/>
      <c r="E70" s="70"/>
      <c r="F70" s="70"/>
      <c r="G70" s="70"/>
      <c r="H70" s="64"/>
    </row>
    <row r="71" spans="2:10" s="7" customFormat="1" ht="15.6" customHeight="1" x14ac:dyDescent="0.25">
      <c r="B71" s="63" t="s">
        <v>1108</v>
      </c>
      <c r="C71" s="70"/>
      <c r="D71" s="70"/>
      <c r="E71" s="70"/>
      <c r="F71" s="70"/>
      <c r="G71" s="70"/>
      <c r="H71" s="64"/>
    </row>
    <row r="72" spans="2:10" s="7" customFormat="1" ht="15.6" customHeight="1" x14ac:dyDescent="0.25">
      <c r="B72" s="63" t="s">
        <v>1068</v>
      </c>
      <c r="C72" s="70"/>
      <c r="D72" s="70"/>
      <c r="E72" s="70"/>
      <c r="F72" s="70"/>
      <c r="G72" s="70"/>
      <c r="H72" s="64"/>
    </row>
    <row r="73" spans="2:10" s="7" customFormat="1" ht="15.6" customHeight="1" x14ac:dyDescent="0.25">
      <c r="B73" s="71"/>
      <c r="C73" s="65">
        <v>46142</v>
      </c>
      <c r="D73" s="65">
        <v>46112</v>
      </c>
      <c r="E73" s="70"/>
      <c r="F73" s="70"/>
      <c r="G73" s="70"/>
      <c r="H73" s="64"/>
    </row>
    <row r="74" spans="2:10" s="7" customFormat="1" ht="15.6" customHeight="1" x14ac:dyDescent="0.25">
      <c r="B74" s="71" t="s">
        <v>1069</v>
      </c>
      <c r="C74" s="66"/>
      <c r="D74" s="66"/>
      <c r="E74" s="70"/>
      <c r="F74" s="70"/>
      <c r="G74" s="70"/>
      <c r="H74" s="64"/>
    </row>
    <row r="75" spans="2:10" s="7" customFormat="1" ht="15.6" customHeight="1" x14ac:dyDescent="0.25">
      <c r="B75" s="71" t="s">
        <v>1070</v>
      </c>
      <c r="C75" s="67">
        <v>36.921700000000001</v>
      </c>
      <c r="D75" s="67">
        <v>33.9176</v>
      </c>
      <c r="E75" s="70"/>
      <c r="F75" s="70"/>
      <c r="G75" s="70"/>
      <c r="H75" s="64"/>
    </row>
    <row r="76" spans="2:10" s="7" customFormat="1" ht="15.6" customHeight="1" x14ac:dyDescent="0.25">
      <c r="B76" s="71" t="s">
        <v>1071</v>
      </c>
      <c r="C76" s="67">
        <v>29.893700000000003</v>
      </c>
      <c r="D76" s="67">
        <v>27.461400000000001</v>
      </c>
      <c r="E76" s="70"/>
      <c r="F76" s="70"/>
      <c r="G76" s="70"/>
      <c r="H76" s="64"/>
    </row>
    <row r="77" spans="2:10" s="7" customFormat="1" ht="15.6" customHeight="1" x14ac:dyDescent="0.25">
      <c r="B77" s="71" t="s">
        <v>1073</v>
      </c>
      <c r="C77" s="67">
        <v>42.916200000000011</v>
      </c>
      <c r="D77" s="67">
        <v>39.384599999999999</v>
      </c>
      <c r="E77" s="70"/>
      <c r="F77" s="70"/>
      <c r="G77" s="70"/>
      <c r="H77" s="64"/>
    </row>
    <row r="78" spans="2:10" s="7" customFormat="1" ht="15.6" customHeight="1" x14ac:dyDescent="0.25">
      <c r="B78" s="71" t="s">
        <v>1074</v>
      </c>
      <c r="C78" s="67">
        <v>34.049100000000003</v>
      </c>
      <c r="D78" s="67">
        <v>31.247299999999999</v>
      </c>
      <c r="E78" s="70"/>
      <c r="F78" s="70"/>
      <c r="G78" s="70"/>
      <c r="H78" s="64"/>
    </row>
    <row r="79" spans="2:10" s="7" customFormat="1" ht="15.6" customHeight="1" x14ac:dyDescent="0.25">
      <c r="B79" s="63" t="s">
        <v>1116</v>
      </c>
      <c r="C79" s="70"/>
      <c r="D79" s="70"/>
      <c r="E79" s="70"/>
      <c r="F79" s="70"/>
      <c r="G79" s="70"/>
      <c r="H79" s="64"/>
    </row>
    <row r="80" spans="2:10" s="7" customFormat="1" ht="15.6" customHeight="1" x14ac:dyDescent="0.25">
      <c r="B80" s="63" t="s">
        <v>1110</v>
      </c>
      <c r="C80" s="70"/>
      <c r="D80" s="70"/>
      <c r="E80" s="70"/>
      <c r="F80" s="70"/>
      <c r="G80" s="70"/>
      <c r="H80" s="64"/>
    </row>
    <row r="81" spans="2:14" s="7" customFormat="1" ht="15.6" customHeight="1" x14ac:dyDescent="0.25">
      <c r="B81" s="63" t="s">
        <v>1111</v>
      </c>
      <c r="C81" s="70"/>
      <c r="D81" s="70"/>
      <c r="E81" s="70"/>
      <c r="F81" s="70"/>
      <c r="G81" s="70"/>
      <c r="H81" s="64"/>
    </row>
    <row r="82" spans="2:14" s="7" customFormat="1" ht="15.6" customHeight="1" x14ac:dyDescent="0.25">
      <c r="B82" s="63" t="s">
        <v>1112</v>
      </c>
      <c r="C82" s="70"/>
      <c r="D82" s="70"/>
      <c r="E82" s="70"/>
      <c r="F82" s="70"/>
      <c r="G82" s="70"/>
      <c r="H82" s="64"/>
    </row>
    <row r="83" spans="2:14" s="7" customFormat="1" ht="15.6" customHeight="1" x14ac:dyDescent="0.25">
      <c r="B83" s="63" t="s">
        <v>1131</v>
      </c>
      <c r="C83" s="70"/>
      <c r="D83" s="70"/>
      <c r="E83" s="70"/>
      <c r="F83" s="70"/>
      <c r="G83" s="70"/>
      <c r="H83" s="64"/>
    </row>
    <row r="84" spans="2:14" s="7" customFormat="1" ht="15.6" customHeight="1" x14ac:dyDescent="0.25">
      <c r="B84" s="63" t="s">
        <v>1113</v>
      </c>
      <c r="C84" s="70"/>
      <c r="D84" s="70"/>
      <c r="E84" s="70"/>
      <c r="F84" s="70"/>
      <c r="G84" s="70"/>
      <c r="H84" s="64"/>
    </row>
    <row r="85" spans="2:14" s="7" customFormat="1" ht="15.6" customHeight="1" x14ac:dyDescent="0.25">
      <c r="B85" s="68" t="s">
        <v>1076</v>
      </c>
      <c r="C85" s="72"/>
      <c r="D85" s="72"/>
      <c r="E85" s="72"/>
      <c r="F85" s="72"/>
      <c r="G85" s="72"/>
      <c r="H85" s="69"/>
    </row>
    <row r="86" spans="2:14" ht="15.75" customHeight="1" thickBot="1" x14ac:dyDescent="0.25">
      <c r="J86" s="3"/>
    </row>
    <row r="87" spans="2:14" ht="39.75" customHeight="1" thickBot="1" x14ac:dyDescent="0.3">
      <c r="B87" s="46" t="s">
        <v>146</v>
      </c>
      <c r="C87" s="47" t="s">
        <v>147</v>
      </c>
      <c r="D87" s="47" t="s">
        <v>148</v>
      </c>
      <c r="E87"/>
      <c r="J87" s="3"/>
    </row>
    <row r="88" spans="2:14" ht="39.75" customHeight="1" x14ac:dyDescent="0.25">
      <c r="B88" s="52" t="s">
        <v>980</v>
      </c>
      <c r="C88" s="109"/>
      <c r="D88" s="52" t="s">
        <v>981</v>
      </c>
      <c r="E88"/>
      <c r="J88" s="3"/>
    </row>
    <row r="89" spans="2:14" ht="39.75" customHeight="1" x14ac:dyDescent="0.25">
      <c r="B89" s="112" t="s">
        <v>982</v>
      </c>
      <c r="C89" s="110"/>
      <c r="D89" s="114"/>
      <c r="E89"/>
      <c r="J89" s="5"/>
      <c r="K89" s="5"/>
      <c r="L89" s="6"/>
      <c r="M89" s="6"/>
      <c r="N89" s="5"/>
    </row>
    <row r="90" spans="2:14" ht="39.75" customHeight="1" x14ac:dyDescent="0.25">
      <c r="B90" s="112"/>
      <c r="C90" s="110"/>
      <c r="D90" s="114"/>
      <c r="E90"/>
    </row>
    <row r="91" spans="2:14" ht="39.75" customHeight="1" x14ac:dyDescent="0.25">
      <c r="B91" s="112"/>
      <c r="C91" s="110"/>
      <c r="D91" s="114"/>
      <c r="E91"/>
    </row>
    <row r="92" spans="2:14" ht="39.75" customHeight="1" thickBot="1" x14ac:dyDescent="0.3">
      <c r="B92" s="113"/>
      <c r="C92" s="111"/>
      <c r="D92" s="117"/>
      <c r="E92"/>
      <c r="J92" s="7"/>
      <c r="K92" s="7"/>
      <c r="L92" s="7"/>
      <c r="M92" s="7"/>
      <c r="N92" s="7"/>
    </row>
    <row r="93" spans="2:14" ht="15.75" customHeight="1" x14ac:dyDescent="0.2">
      <c r="B93" s="9" t="s">
        <v>149</v>
      </c>
      <c r="J93" s="7"/>
      <c r="K93" s="7"/>
      <c r="L93" s="7"/>
      <c r="M93" s="7"/>
      <c r="N93" s="7"/>
    </row>
    <row r="94" spans="2:14" ht="15.75" customHeight="1" x14ac:dyDescent="0.2">
      <c r="B94" s="9" t="s">
        <v>150</v>
      </c>
      <c r="J94" s="7"/>
      <c r="K94" s="7"/>
      <c r="L94" s="7"/>
      <c r="M94" s="7"/>
      <c r="N94" s="7"/>
    </row>
    <row r="95" spans="2:14" ht="15.75" customHeight="1" x14ac:dyDescent="0.2">
      <c r="B95" s="9" t="s">
        <v>151</v>
      </c>
      <c r="J95" s="7"/>
      <c r="K95" s="7"/>
      <c r="L95" s="7"/>
      <c r="M95" s="7"/>
      <c r="N95" s="7"/>
    </row>
    <row r="96" spans="2: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88:C92"/>
    <mergeCell ref="B89:B92"/>
    <mergeCell ref="D89:D92"/>
  </mergeCells>
  <hyperlinks>
    <hyperlink ref="G1" location="'Sheet1'!A1" display="Index" xr:uid="{6A8AEAAF-6053-4365-9B19-FA10507FAFC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EAD26-5D8E-4FE1-AF7A-063AD33BCC72}">
  <dimension ref="B1:N114"/>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856954</v>
      </c>
      <c r="F7" s="30">
        <v>6613.11</v>
      </c>
      <c r="G7" s="31">
        <v>3.5799999999999998E-2</v>
      </c>
      <c r="H7" s="32"/>
    </row>
    <row r="8" spans="2:8" ht="15.75" customHeight="1" x14ac:dyDescent="0.2">
      <c r="B8" s="28" t="s">
        <v>191</v>
      </c>
      <c r="C8" s="28" t="s">
        <v>192</v>
      </c>
      <c r="D8" s="28" t="s">
        <v>173</v>
      </c>
      <c r="E8" s="29">
        <v>425697</v>
      </c>
      <c r="F8" s="30">
        <v>5378.26</v>
      </c>
      <c r="G8" s="31">
        <v>2.9100000000000001E-2</v>
      </c>
      <c r="H8" s="32"/>
    </row>
    <row r="9" spans="2:8" ht="15.75" customHeight="1" x14ac:dyDescent="0.2">
      <c r="B9" s="28" t="s">
        <v>319</v>
      </c>
      <c r="C9" s="28" t="s">
        <v>320</v>
      </c>
      <c r="D9" s="28" t="s">
        <v>321</v>
      </c>
      <c r="E9" s="29">
        <v>121213</v>
      </c>
      <c r="F9" s="30">
        <v>4847.3100000000004</v>
      </c>
      <c r="G9" s="31">
        <v>2.6200000000000001E-2</v>
      </c>
      <c r="H9" s="32"/>
    </row>
    <row r="10" spans="2:8" ht="15.75" customHeight="1" x14ac:dyDescent="0.2">
      <c r="B10" s="28" t="s">
        <v>183</v>
      </c>
      <c r="C10" s="28" t="s">
        <v>184</v>
      </c>
      <c r="D10" s="28" t="s">
        <v>173</v>
      </c>
      <c r="E10" s="29">
        <v>366071</v>
      </c>
      <c r="F10" s="30">
        <v>4642.88</v>
      </c>
      <c r="G10" s="31">
        <v>2.5100000000000001E-2</v>
      </c>
      <c r="H10" s="32"/>
    </row>
    <row r="11" spans="2:8" ht="15.75" customHeight="1" x14ac:dyDescent="0.2">
      <c r="B11" s="28" t="s">
        <v>484</v>
      </c>
      <c r="C11" s="28" t="s">
        <v>485</v>
      </c>
      <c r="D11" s="28" t="s">
        <v>268</v>
      </c>
      <c r="E11" s="29">
        <v>346331</v>
      </c>
      <c r="F11" s="30">
        <v>3661.58</v>
      </c>
      <c r="G11" s="31">
        <v>1.9800000000000002E-2</v>
      </c>
      <c r="H11" s="32"/>
    </row>
    <row r="12" spans="2:8" ht="15.75" customHeight="1" x14ac:dyDescent="0.2">
      <c r="B12" s="28" t="s">
        <v>177</v>
      </c>
      <c r="C12" s="28" t="s">
        <v>178</v>
      </c>
      <c r="D12" s="28" t="s">
        <v>179</v>
      </c>
      <c r="E12" s="29">
        <v>177304</v>
      </c>
      <c r="F12" s="30">
        <v>3336.15</v>
      </c>
      <c r="G12" s="31">
        <v>1.7999999999999999E-2</v>
      </c>
      <c r="H12" s="32"/>
    </row>
    <row r="13" spans="2:8" ht="15.75" customHeight="1" x14ac:dyDescent="0.2">
      <c r="B13" s="28" t="s">
        <v>212</v>
      </c>
      <c r="C13" s="28" t="s">
        <v>213</v>
      </c>
      <c r="D13" s="28" t="s">
        <v>173</v>
      </c>
      <c r="E13" s="29">
        <v>304099</v>
      </c>
      <c r="F13" s="30">
        <v>3249.15</v>
      </c>
      <c r="G13" s="31">
        <v>1.7600000000000001E-2</v>
      </c>
      <c r="H13" s="32"/>
    </row>
    <row r="14" spans="2:8" ht="15.75" customHeight="1" x14ac:dyDescent="0.2">
      <c r="B14" s="28" t="s">
        <v>475</v>
      </c>
      <c r="C14" s="28" t="s">
        <v>476</v>
      </c>
      <c r="D14" s="28" t="s">
        <v>268</v>
      </c>
      <c r="E14" s="29">
        <v>70753</v>
      </c>
      <c r="F14" s="30">
        <v>3159.97</v>
      </c>
      <c r="G14" s="31">
        <v>1.7100000000000001E-2</v>
      </c>
      <c r="H14" s="32"/>
    </row>
    <row r="15" spans="2:8" ht="15.75" customHeight="1" x14ac:dyDescent="0.2">
      <c r="B15" s="28" t="s">
        <v>322</v>
      </c>
      <c r="C15" s="28" t="s">
        <v>323</v>
      </c>
      <c r="D15" s="28" t="s">
        <v>321</v>
      </c>
      <c r="E15" s="29">
        <v>557355</v>
      </c>
      <c r="F15" s="30">
        <v>3145.15</v>
      </c>
      <c r="G15" s="31">
        <v>1.7000000000000001E-2</v>
      </c>
      <c r="H15" s="32"/>
    </row>
    <row r="16" spans="2:8" ht="15.75" customHeight="1" x14ac:dyDescent="0.2">
      <c r="B16" s="28" t="s">
        <v>314</v>
      </c>
      <c r="C16" s="28" t="s">
        <v>315</v>
      </c>
      <c r="D16" s="28" t="s">
        <v>182</v>
      </c>
      <c r="E16" s="29">
        <v>124724</v>
      </c>
      <c r="F16" s="30">
        <v>3085.55</v>
      </c>
      <c r="G16" s="31">
        <v>1.67E-2</v>
      </c>
      <c r="H16" s="32"/>
    </row>
    <row r="17" spans="2:8" ht="15.75" customHeight="1" x14ac:dyDescent="0.2">
      <c r="B17" s="28" t="s">
        <v>479</v>
      </c>
      <c r="C17" s="28" t="s">
        <v>480</v>
      </c>
      <c r="D17" s="28" t="s">
        <v>431</v>
      </c>
      <c r="E17" s="29">
        <v>103435</v>
      </c>
      <c r="F17" s="30">
        <v>3073.57</v>
      </c>
      <c r="G17" s="31">
        <v>1.66E-2</v>
      </c>
      <c r="H17" s="32"/>
    </row>
    <row r="18" spans="2:8" ht="15.75" customHeight="1" x14ac:dyDescent="0.2">
      <c r="B18" s="28" t="s">
        <v>765</v>
      </c>
      <c r="C18" s="28" t="s">
        <v>766</v>
      </c>
      <c r="D18" s="28" t="s">
        <v>268</v>
      </c>
      <c r="E18" s="29">
        <v>243211</v>
      </c>
      <c r="F18" s="30">
        <v>3024.82</v>
      </c>
      <c r="G18" s="31">
        <v>1.6400000000000001E-2</v>
      </c>
      <c r="H18" s="32"/>
    </row>
    <row r="19" spans="2:8" ht="15.75" customHeight="1" x14ac:dyDescent="0.2">
      <c r="B19" s="28" t="s">
        <v>232</v>
      </c>
      <c r="C19" s="28" t="s">
        <v>233</v>
      </c>
      <c r="D19" s="28" t="s">
        <v>195</v>
      </c>
      <c r="E19" s="29">
        <v>22622</v>
      </c>
      <c r="F19" s="30">
        <v>3011.89</v>
      </c>
      <c r="G19" s="31">
        <v>1.6299999999999999E-2</v>
      </c>
      <c r="H19" s="32"/>
    </row>
    <row r="20" spans="2:8" ht="15.75" customHeight="1" x14ac:dyDescent="0.2">
      <c r="B20" s="28" t="s">
        <v>180</v>
      </c>
      <c r="C20" s="28" t="s">
        <v>181</v>
      </c>
      <c r="D20" s="28" t="s">
        <v>182</v>
      </c>
      <c r="E20" s="29">
        <v>251936</v>
      </c>
      <c r="F20" s="30">
        <v>2977.38</v>
      </c>
      <c r="G20" s="31">
        <v>1.61E-2</v>
      </c>
      <c r="H20" s="32"/>
    </row>
    <row r="21" spans="2:8" ht="15.75" customHeight="1" x14ac:dyDescent="0.2">
      <c r="B21" s="28" t="s">
        <v>236</v>
      </c>
      <c r="C21" s="28" t="s">
        <v>237</v>
      </c>
      <c r="D21" s="28" t="s">
        <v>238</v>
      </c>
      <c r="E21" s="29">
        <v>163347</v>
      </c>
      <c r="F21" s="30">
        <v>2953.8</v>
      </c>
      <c r="G21" s="31">
        <v>1.6E-2</v>
      </c>
      <c r="H21" s="32"/>
    </row>
    <row r="22" spans="2:8" ht="15.75" customHeight="1" x14ac:dyDescent="0.2">
      <c r="B22" s="28" t="s">
        <v>354</v>
      </c>
      <c r="C22" s="28" t="s">
        <v>355</v>
      </c>
      <c r="D22" s="28" t="s">
        <v>216</v>
      </c>
      <c r="E22" s="29">
        <v>193597</v>
      </c>
      <c r="F22" s="30">
        <v>2937.64</v>
      </c>
      <c r="G22" s="31">
        <v>1.5900000000000001E-2</v>
      </c>
      <c r="H22" s="32"/>
    </row>
    <row r="23" spans="2:8" ht="15.75" customHeight="1" x14ac:dyDescent="0.2">
      <c r="B23" s="28" t="s">
        <v>220</v>
      </c>
      <c r="C23" s="28" t="s">
        <v>221</v>
      </c>
      <c r="D23" s="28" t="s">
        <v>173</v>
      </c>
      <c r="E23" s="29">
        <v>743062</v>
      </c>
      <c r="F23" s="30">
        <v>2848.16</v>
      </c>
      <c r="G23" s="31">
        <v>1.54E-2</v>
      </c>
      <c r="H23" s="32"/>
    </row>
    <row r="24" spans="2:8" ht="15.75" customHeight="1" x14ac:dyDescent="0.2">
      <c r="B24" s="28" t="s">
        <v>188</v>
      </c>
      <c r="C24" s="28" t="s">
        <v>189</v>
      </c>
      <c r="D24" s="28" t="s">
        <v>190</v>
      </c>
      <c r="E24" s="29">
        <v>303595</v>
      </c>
      <c r="F24" s="30">
        <v>2845.75</v>
      </c>
      <c r="G24" s="31">
        <v>1.54E-2</v>
      </c>
      <c r="H24" s="32"/>
    </row>
    <row r="25" spans="2:8" ht="15.75" customHeight="1" x14ac:dyDescent="0.2">
      <c r="B25" s="28" t="s">
        <v>379</v>
      </c>
      <c r="C25" s="28" t="s">
        <v>380</v>
      </c>
      <c r="D25" s="28" t="s">
        <v>331</v>
      </c>
      <c r="E25" s="29">
        <v>101742</v>
      </c>
      <c r="F25" s="30">
        <v>2843.18</v>
      </c>
      <c r="G25" s="31">
        <v>1.54E-2</v>
      </c>
      <c r="H25" s="32"/>
    </row>
    <row r="26" spans="2:8" ht="15.75" customHeight="1" x14ac:dyDescent="0.2">
      <c r="B26" s="28" t="s">
        <v>601</v>
      </c>
      <c r="C26" s="28" t="s">
        <v>602</v>
      </c>
      <c r="D26" s="28" t="s">
        <v>483</v>
      </c>
      <c r="E26" s="29">
        <v>530895</v>
      </c>
      <c r="F26" s="30">
        <v>2823.3</v>
      </c>
      <c r="G26" s="31">
        <v>1.5299999999999999E-2</v>
      </c>
      <c r="H26" s="32"/>
    </row>
    <row r="27" spans="2:8" ht="15.75" customHeight="1" x14ac:dyDescent="0.2">
      <c r="B27" s="28" t="s">
        <v>805</v>
      </c>
      <c r="C27" s="28" t="s">
        <v>806</v>
      </c>
      <c r="D27" s="28" t="s">
        <v>219</v>
      </c>
      <c r="E27" s="29">
        <v>1033576</v>
      </c>
      <c r="F27" s="30">
        <v>2811.12</v>
      </c>
      <c r="G27" s="31">
        <v>1.52E-2</v>
      </c>
      <c r="H27" s="32"/>
    </row>
    <row r="28" spans="2:8" ht="15.75" customHeight="1" x14ac:dyDescent="0.2">
      <c r="B28" s="28" t="s">
        <v>576</v>
      </c>
      <c r="C28" s="28" t="s">
        <v>577</v>
      </c>
      <c r="D28" s="28" t="s">
        <v>238</v>
      </c>
      <c r="E28" s="29">
        <v>52005</v>
      </c>
      <c r="F28" s="30">
        <v>2808.27</v>
      </c>
      <c r="G28" s="31">
        <v>1.52E-2</v>
      </c>
      <c r="H28" s="32"/>
    </row>
    <row r="29" spans="2:8" ht="15.75" customHeight="1" x14ac:dyDescent="0.2">
      <c r="B29" s="28" t="s">
        <v>644</v>
      </c>
      <c r="C29" s="28" t="s">
        <v>645</v>
      </c>
      <c r="D29" s="28" t="s">
        <v>282</v>
      </c>
      <c r="E29" s="29">
        <v>569314</v>
      </c>
      <c r="F29" s="30">
        <v>2794.19</v>
      </c>
      <c r="G29" s="31">
        <v>1.5100000000000001E-2</v>
      </c>
      <c r="H29" s="32"/>
    </row>
    <row r="30" spans="2:8" ht="15.75" customHeight="1" x14ac:dyDescent="0.2">
      <c r="B30" s="28" t="s">
        <v>464</v>
      </c>
      <c r="C30" s="28" t="s">
        <v>465</v>
      </c>
      <c r="D30" s="28" t="s">
        <v>195</v>
      </c>
      <c r="E30" s="29">
        <v>79452</v>
      </c>
      <c r="F30" s="30">
        <v>2775.18</v>
      </c>
      <c r="G30" s="31">
        <v>1.4999999999999999E-2</v>
      </c>
      <c r="H30" s="32"/>
    </row>
    <row r="31" spans="2:8" ht="15.75" customHeight="1" x14ac:dyDescent="0.2">
      <c r="B31" s="28" t="s">
        <v>241</v>
      </c>
      <c r="C31" s="28" t="s">
        <v>242</v>
      </c>
      <c r="D31" s="28" t="s">
        <v>243</v>
      </c>
      <c r="E31" s="29">
        <v>1104278</v>
      </c>
      <c r="F31" s="30">
        <v>2727.9</v>
      </c>
      <c r="G31" s="31">
        <v>1.4800000000000001E-2</v>
      </c>
      <c r="H31" s="32"/>
    </row>
    <row r="32" spans="2:8" ht="15.75" customHeight="1" x14ac:dyDescent="0.2">
      <c r="B32" s="28" t="s">
        <v>316</v>
      </c>
      <c r="C32" s="28" t="s">
        <v>317</v>
      </c>
      <c r="D32" s="28" t="s">
        <v>318</v>
      </c>
      <c r="E32" s="29">
        <v>66653</v>
      </c>
      <c r="F32" s="30">
        <v>2675.45</v>
      </c>
      <c r="G32" s="31">
        <v>1.4500000000000001E-2</v>
      </c>
      <c r="H32" s="32"/>
    </row>
    <row r="33" spans="2:8" ht="15.75" customHeight="1" x14ac:dyDescent="0.2">
      <c r="B33" s="28" t="s">
        <v>341</v>
      </c>
      <c r="C33" s="28" t="s">
        <v>342</v>
      </c>
      <c r="D33" s="28" t="s">
        <v>196</v>
      </c>
      <c r="E33" s="29">
        <v>176163</v>
      </c>
      <c r="F33" s="30">
        <v>2658.3</v>
      </c>
      <c r="G33" s="31">
        <v>1.44E-2</v>
      </c>
      <c r="H33" s="32"/>
    </row>
    <row r="34" spans="2:8" ht="15.75" customHeight="1" x14ac:dyDescent="0.2">
      <c r="B34" s="28" t="s">
        <v>432</v>
      </c>
      <c r="C34" s="28" t="s">
        <v>433</v>
      </c>
      <c r="D34" s="28" t="s">
        <v>434</v>
      </c>
      <c r="E34" s="29">
        <v>645694</v>
      </c>
      <c r="F34" s="30">
        <v>2646.7</v>
      </c>
      <c r="G34" s="31">
        <v>1.43E-2</v>
      </c>
      <c r="H34" s="32"/>
    </row>
    <row r="35" spans="2:8" ht="15.75" customHeight="1" x14ac:dyDescent="0.2">
      <c r="B35" s="28" t="s">
        <v>582</v>
      </c>
      <c r="C35" s="28" t="s">
        <v>583</v>
      </c>
      <c r="D35" s="28" t="s">
        <v>173</v>
      </c>
      <c r="E35" s="29">
        <v>919018</v>
      </c>
      <c r="F35" s="30">
        <v>2637.12</v>
      </c>
      <c r="G35" s="31">
        <v>1.43E-2</v>
      </c>
      <c r="H35" s="32"/>
    </row>
    <row r="36" spans="2:8" ht="15.75" customHeight="1" x14ac:dyDescent="0.2">
      <c r="B36" s="28" t="s">
        <v>559</v>
      </c>
      <c r="C36" s="28" t="s">
        <v>560</v>
      </c>
      <c r="D36" s="28" t="s">
        <v>561</v>
      </c>
      <c r="E36" s="29">
        <v>131437</v>
      </c>
      <c r="F36" s="30">
        <v>2604.69</v>
      </c>
      <c r="G36" s="31">
        <v>1.41E-2</v>
      </c>
      <c r="H36" s="32"/>
    </row>
    <row r="37" spans="2:8" ht="15.75" customHeight="1" x14ac:dyDescent="0.2">
      <c r="B37" s="28" t="s">
        <v>648</v>
      </c>
      <c r="C37" s="28" t="s">
        <v>649</v>
      </c>
      <c r="D37" s="28" t="s">
        <v>190</v>
      </c>
      <c r="E37" s="29">
        <v>165671</v>
      </c>
      <c r="F37" s="30">
        <v>2578.0100000000002</v>
      </c>
      <c r="G37" s="31">
        <v>1.3899999999999999E-2</v>
      </c>
      <c r="H37" s="32"/>
    </row>
    <row r="38" spans="2:8" ht="15.75" customHeight="1" x14ac:dyDescent="0.2">
      <c r="B38" s="28" t="s">
        <v>364</v>
      </c>
      <c r="C38" s="28" t="s">
        <v>365</v>
      </c>
      <c r="D38" s="28" t="s">
        <v>238</v>
      </c>
      <c r="E38" s="29">
        <v>10114</v>
      </c>
      <c r="F38" s="30">
        <v>2572.5</v>
      </c>
      <c r="G38" s="31">
        <v>1.3899999999999999E-2</v>
      </c>
      <c r="H38" s="32"/>
    </row>
    <row r="39" spans="2:8" ht="15.75" customHeight="1" x14ac:dyDescent="0.2">
      <c r="B39" s="28" t="s">
        <v>174</v>
      </c>
      <c r="C39" s="28" t="s">
        <v>175</v>
      </c>
      <c r="D39" s="28" t="s">
        <v>176</v>
      </c>
      <c r="E39" s="29">
        <v>179337</v>
      </c>
      <c r="F39" s="30">
        <v>2565.9499999999998</v>
      </c>
      <c r="G39" s="31">
        <v>1.3899999999999999E-2</v>
      </c>
      <c r="H39" s="32"/>
    </row>
    <row r="40" spans="2:8" ht="15.75" customHeight="1" x14ac:dyDescent="0.2">
      <c r="B40" s="28" t="s">
        <v>275</v>
      </c>
      <c r="C40" s="28" t="s">
        <v>276</v>
      </c>
      <c r="D40" s="28" t="s">
        <v>277</v>
      </c>
      <c r="E40" s="29">
        <v>155615</v>
      </c>
      <c r="F40" s="30">
        <v>2467.59</v>
      </c>
      <c r="G40" s="31">
        <v>1.3299999999999999E-2</v>
      </c>
      <c r="H40" s="32"/>
    </row>
    <row r="41" spans="2:8" ht="15.75" customHeight="1" x14ac:dyDescent="0.2">
      <c r="B41" s="28" t="s">
        <v>193</v>
      </c>
      <c r="C41" s="28" t="s">
        <v>194</v>
      </c>
      <c r="D41" s="28" t="s">
        <v>195</v>
      </c>
      <c r="E41" s="29">
        <v>79332</v>
      </c>
      <c r="F41" s="30">
        <v>2457.31</v>
      </c>
      <c r="G41" s="31">
        <v>1.3299999999999999E-2</v>
      </c>
      <c r="H41" s="32"/>
    </row>
    <row r="42" spans="2:8" ht="15.75" customHeight="1" x14ac:dyDescent="0.2">
      <c r="B42" s="28" t="s">
        <v>748</v>
      </c>
      <c r="C42" s="28" t="s">
        <v>749</v>
      </c>
      <c r="D42" s="28" t="s">
        <v>179</v>
      </c>
      <c r="E42" s="29">
        <v>435024</v>
      </c>
      <c r="F42" s="30">
        <v>2436.35</v>
      </c>
      <c r="G42" s="31">
        <v>1.32E-2</v>
      </c>
      <c r="H42" s="32"/>
    </row>
    <row r="43" spans="2:8" ht="15.75" customHeight="1" x14ac:dyDescent="0.2">
      <c r="B43" s="28" t="s">
        <v>473</v>
      </c>
      <c r="C43" s="28" t="s">
        <v>474</v>
      </c>
      <c r="D43" s="28" t="s">
        <v>243</v>
      </c>
      <c r="E43" s="29">
        <v>545471</v>
      </c>
      <c r="F43" s="30">
        <v>2417.25</v>
      </c>
      <c r="G43" s="31">
        <v>1.3100000000000001E-2</v>
      </c>
      <c r="H43" s="32"/>
    </row>
    <row r="44" spans="2:8" ht="15.75" customHeight="1" x14ac:dyDescent="0.2">
      <c r="B44" s="28" t="s">
        <v>607</v>
      </c>
      <c r="C44" s="28" t="s">
        <v>608</v>
      </c>
      <c r="D44" s="28" t="s">
        <v>338</v>
      </c>
      <c r="E44" s="29">
        <v>310205</v>
      </c>
      <c r="F44" s="30">
        <v>2404.09</v>
      </c>
      <c r="G44" s="31">
        <v>1.2999999999999999E-2</v>
      </c>
      <c r="H44" s="32"/>
    </row>
    <row r="45" spans="2:8" ht="15.75" customHeight="1" x14ac:dyDescent="0.2">
      <c r="B45" s="28" t="s">
        <v>421</v>
      </c>
      <c r="C45" s="28" t="s">
        <v>422</v>
      </c>
      <c r="D45" s="28" t="s">
        <v>248</v>
      </c>
      <c r="E45" s="29">
        <v>169502</v>
      </c>
      <c r="F45" s="30">
        <v>2397.44</v>
      </c>
      <c r="G45" s="31">
        <v>1.2999999999999999E-2</v>
      </c>
      <c r="H45" s="32"/>
    </row>
    <row r="46" spans="2:8" ht="15.75" customHeight="1" x14ac:dyDescent="0.2">
      <c r="B46" s="28" t="s">
        <v>603</v>
      </c>
      <c r="C46" s="28" t="s">
        <v>604</v>
      </c>
      <c r="D46" s="28" t="s">
        <v>345</v>
      </c>
      <c r="E46" s="29">
        <v>173491</v>
      </c>
      <c r="F46" s="30">
        <v>2386.7199999999998</v>
      </c>
      <c r="G46" s="31">
        <v>1.29E-2</v>
      </c>
      <c r="H46" s="32"/>
    </row>
    <row r="47" spans="2:8" ht="15.75" customHeight="1" x14ac:dyDescent="0.2">
      <c r="B47" s="28" t="s">
        <v>639</v>
      </c>
      <c r="C47" s="28" t="s">
        <v>640</v>
      </c>
      <c r="D47" s="28" t="s">
        <v>641</v>
      </c>
      <c r="E47" s="29">
        <v>570884</v>
      </c>
      <c r="F47" s="30">
        <v>2380.59</v>
      </c>
      <c r="G47" s="31">
        <v>1.29E-2</v>
      </c>
      <c r="H47" s="32"/>
    </row>
    <row r="48" spans="2:8" ht="15.75" customHeight="1" x14ac:dyDescent="0.2">
      <c r="B48" s="28" t="s">
        <v>646</v>
      </c>
      <c r="C48" s="28" t="s">
        <v>647</v>
      </c>
      <c r="D48" s="28" t="s">
        <v>470</v>
      </c>
      <c r="E48" s="29">
        <v>739306</v>
      </c>
      <c r="F48" s="30">
        <v>2358.02</v>
      </c>
      <c r="G48" s="31">
        <v>1.2800000000000001E-2</v>
      </c>
      <c r="H48" s="32"/>
    </row>
    <row r="49" spans="2:8" ht="15.75" customHeight="1" x14ac:dyDescent="0.2">
      <c r="B49" s="28" t="s">
        <v>488</v>
      </c>
      <c r="C49" s="28" t="s">
        <v>489</v>
      </c>
      <c r="D49" s="28" t="s">
        <v>490</v>
      </c>
      <c r="E49" s="29">
        <v>212441</v>
      </c>
      <c r="F49" s="30">
        <v>2327.9299999999998</v>
      </c>
      <c r="G49" s="31">
        <v>1.26E-2</v>
      </c>
      <c r="H49" s="32"/>
    </row>
    <row r="50" spans="2:8" ht="15.75" customHeight="1" x14ac:dyDescent="0.2">
      <c r="B50" s="28" t="s">
        <v>491</v>
      </c>
      <c r="C50" s="28" t="s">
        <v>492</v>
      </c>
      <c r="D50" s="28" t="s">
        <v>271</v>
      </c>
      <c r="E50" s="29">
        <v>145040</v>
      </c>
      <c r="F50" s="30">
        <v>2310.4899999999998</v>
      </c>
      <c r="G50" s="31">
        <v>1.2500000000000001E-2</v>
      </c>
      <c r="H50" s="32"/>
    </row>
    <row r="51" spans="2:8" ht="15.75" customHeight="1" x14ac:dyDescent="0.2">
      <c r="B51" s="28" t="s">
        <v>350</v>
      </c>
      <c r="C51" s="28" t="s">
        <v>351</v>
      </c>
      <c r="D51" s="28" t="s">
        <v>318</v>
      </c>
      <c r="E51" s="29">
        <v>178393</v>
      </c>
      <c r="F51" s="30">
        <v>2289.23</v>
      </c>
      <c r="G51" s="31">
        <v>1.24E-2</v>
      </c>
      <c r="H51" s="32"/>
    </row>
    <row r="52" spans="2:8" ht="15.75" customHeight="1" x14ac:dyDescent="0.2">
      <c r="B52" s="28" t="s">
        <v>356</v>
      </c>
      <c r="C52" s="28" t="s">
        <v>357</v>
      </c>
      <c r="D52" s="28" t="s">
        <v>287</v>
      </c>
      <c r="E52" s="29">
        <v>52185</v>
      </c>
      <c r="F52" s="30">
        <v>2241.5</v>
      </c>
      <c r="G52" s="31">
        <v>1.21E-2</v>
      </c>
      <c r="H52" s="32"/>
    </row>
    <row r="53" spans="2:8" ht="15.75" customHeight="1" x14ac:dyDescent="0.2">
      <c r="B53" s="28" t="s">
        <v>698</v>
      </c>
      <c r="C53" s="28" t="s">
        <v>699</v>
      </c>
      <c r="D53" s="28" t="s">
        <v>179</v>
      </c>
      <c r="E53" s="29">
        <v>200735</v>
      </c>
      <c r="F53" s="30">
        <v>2233.1799999999998</v>
      </c>
      <c r="G53" s="31">
        <v>1.21E-2</v>
      </c>
      <c r="H53" s="32"/>
    </row>
    <row r="54" spans="2:8" ht="15.75" customHeight="1" x14ac:dyDescent="0.2">
      <c r="B54" s="28" t="s">
        <v>360</v>
      </c>
      <c r="C54" s="28" t="s">
        <v>361</v>
      </c>
      <c r="D54" s="28" t="s">
        <v>216</v>
      </c>
      <c r="E54" s="29">
        <v>141139</v>
      </c>
      <c r="F54" s="30">
        <v>2230.6999999999998</v>
      </c>
      <c r="G54" s="31">
        <v>1.21E-2</v>
      </c>
      <c r="H54" s="32"/>
    </row>
    <row r="55" spans="2:8" ht="15.75" customHeight="1" x14ac:dyDescent="0.2">
      <c r="B55" s="28" t="s">
        <v>343</v>
      </c>
      <c r="C55" s="28" t="s">
        <v>344</v>
      </c>
      <c r="D55" s="28" t="s">
        <v>345</v>
      </c>
      <c r="E55" s="29">
        <v>84537</v>
      </c>
      <c r="F55" s="30">
        <v>2129.15</v>
      </c>
      <c r="G55" s="31">
        <v>1.15E-2</v>
      </c>
      <c r="H55" s="32"/>
    </row>
    <row r="56" spans="2:8" ht="15.75" customHeight="1" x14ac:dyDescent="0.2">
      <c r="B56" s="28" t="s">
        <v>688</v>
      </c>
      <c r="C56" s="28" t="s">
        <v>689</v>
      </c>
      <c r="D56" s="28" t="s">
        <v>395</v>
      </c>
      <c r="E56" s="29">
        <v>472906</v>
      </c>
      <c r="F56" s="30">
        <v>2104.9</v>
      </c>
      <c r="G56" s="31">
        <v>1.14E-2</v>
      </c>
      <c r="H56" s="32"/>
    </row>
    <row r="57" spans="2:8" ht="15.75" customHeight="1" x14ac:dyDescent="0.2">
      <c r="B57" s="28" t="s">
        <v>393</v>
      </c>
      <c r="C57" s="28" t="s">
        <v>394</v>
      </c>
      <c r="D57" s="28" t="s">
        <v>395</v>
      </c>
      <c r="E57" s="29">
        <v>27562</v>
      </c>
      <c r="F57" s="30">
        <v>2104.77</v>
      </c>
      <c r="G57" s="31">
        <v>1.14E-2</v>
      </c>
      <c r="H57" s="32"/>
    </row>
    <row r="58" spans="2:8" ht="15.75" customHeight="1" x14ac:dyDescent="0.2">
      <c r="B58" s="28" t="s">
        <v>384</v>
      </c>
      <c r="C58" s="28" t="s">
        <v>385</v>
      </c>
      <c r="D58" s="28" t="s">
        <v>238</v>
      </c>
      <c r="E58" s="29">
        <v>50067</v>
      </c>
      <c r="F58" s="30">
        <v>2095.35</v>
      </c>
      <c r="G58" s="31">
        <v>1.1299999999999999E-2</v>
      </c>
      <c r="H58" s="32"/>
    </row>
    <row r="59" spans="2:8" ht="15.75" customHeight="1" x14ac:dyDescent="0.2">
      <c r="B59" s="28" t="s">
        <v>702</v>
      </c>
      <c r="C59" s="28" t="s">
        <v>703</v>
      </c>
      <c r="D59" s="28" t="s">
        <v>561</v>
      </c>
      <c r="E59" s="29">
        <v>68445</v>
      </c>
      <c r="F59" s="30">
        <v>2090.86</v>
      </c>
      <c r="G59" s="31">
        <v>1.1299999999999999E-2</v>
      </c>
      <c r="H59" s="32"/>
    </row>
    <row r="60" spans="2:8" ht="15.75" customHeight="1" x14ac:dyDescent="0.2">
      <c r="B60" s="28" t="s">
        <v>346</v>
      </c>
      <c r="C60" s="28" t="s">
        <v>347</v>
      </c>
      <c r="D60" s="28" t="s">
        <v>268</v>
      </c>
      <c r="E60" s="29">
        <v>65845</v>
      </c>
      <c r="F60" s="30">
        <v>2039.09</v>
      </c>
      <c r="G60" s="31">
        <v>1.0999999999999999E-2</v>
      </c>
      <c r="H60" s="32"/>
    </row>
    <row r="61" spans="2:8" ht="15.75" customHeight="1" x14ac:dyDescent="0.2">
      <c r="B61" s="28" t="s">
        <v>435</v>
      </c>
      <c r="C61" s="28" t="s">
        <v>436</v>
      </c>
      <c r="D61" s="28" t="s">
        <v>224</v>
      </c>
      <c r="E61" s="29">
        <v>46376</v>
      </c>
      <c r="F61" s="30">
        <v>2012.16</v>
      </c>
      <c r="G61" s="31">
        <v>1.09E-2</v>
      </c>
      <c r="H61" s="32"/>
    </row>
    <row r="62" spans="2:8" ht="15.75" customHeight="1" x14ac:dyDescent="0.2">
      <c r="B62" s="28" t="s">
        <v>456</v>
      </c>
      <c r="C62" s="28" t="s">
        <v>457</v>
      </c>
      <c r="D62" s="28" t="s">
        <v>268</v>
      </c>
      <c r="E62" s="29">
        <v>92032</v>
      </c>
      <c r="F62" s="30">
        <v>1992.4</v>
      </c>
      <c r="G62" s="31">
        <v>1.0800000000000001E-2</v>
      </c>
      <c r="H62" s="32"/>
    </row>
    <row r="63" spans="2:8" ht="15.75" customHeight="1" x14ac:dyDescent="0.2">
      <c r="B63" s="28" t="s">
        <v>586</v>
      </c>
      <c r="C63" s="28" t="s">
        <v>587</v>
      </c>
      <c r="D63" s="28" t="s">
        <v>196</v>
      </c>
      <c r="E63" s="29">
        <v>262746</v>
      </c>
      <c r="F63" s="30">
        <v>1777.87</v>
      </c>
      <c r="G63" s="31">
        <v>9.5999999999999992E-3</v>
      </c>
      <c r="H63" s="32"/>
    </row>
    <row r="64" spans="2:8" ht="15.75" customHeight="1" x14ac:dyDescent="0.2">
      <c r="B64" s="28" t="s">
        <v>678</v>
      </c>
      <c r="C64" s="28" t="s">
        <v>679</v>
      </c>
      <c r="D64" s="28" t="s">
        <v>345</v>
      </c>
      <c r="E64" s="29">
        <v>25806</v>
      </c>
      <c r="F64" s="30">
        <v>1760.23</v>
      </c>
      <c r="G64" s="31">
        <v>9.4999999999999998E-3</v>
      </c>
      <c r="H64" s="32"/>
    </row>
    <row r="65" spans="2:14" ht="15.75" customHeight="1" x14ac:dyDescent="0.2">
      <c r="B65" s="28" t="s">
        <v>501</v>
      </c>
      <c r="C65" s="28" t="s">
        <v>502</v>
      </c>
      <c r="D65" s="28" t="s">
        <v>179</v>
      </c>
      <c r="E65" s="29">
        <v>1426421</v>
      </c>
      <c r="F65" s="30">
        <v>1728.96</v>
      </c>
      <c r="G65" s="31">
        <v>9.2999999999999992E-3</v>
      </c>
      <c r="H65" s="32"/>
    </row>
    <row r="66" spans="2:14" ht="15.75" customHeight="1" x14ac:dyDescent="0.2">
      <c r="B66" s="28" t="s">
        <v>626</v>
      </c>
      <c r="C66" s="28" t="s">
        <v>627</v>
      </c>
      <c r="D66" s="28" t="s">
        <v>619</v>
      </c>
      <c r="E66" s="29">
        <v>20889</v>
      </c>
      <c r="F66" s="30">
        <v>1661.41</v>
      </c>
      <c r="G66" s="31">
        <v>8.9999999999999993E-3</v>
      </c>
      <c r="H66" s="32"/>
    </row>
    <row r="67" spans="2:14" ht="15.75" customHeight="1" x14ac:dyDescent="0.2">
      <c r="B67" s="28" t="s">
        <v>386</v>
      </c>
      <c r="C67" s="28" t="s">
        <v>387</v>
      </c>
      <c r="D67" s="28" t="s">
        <v>388</v>
      </c>
      <c r="E67" s="29">
        <v>63108</v>
      </c>
      <c r="F67" s="30">
        <v>1420.56</v>
      </c>
      <c r="G67" s="31">
        <v>7.7000000000000002E-3</v>
      </c>
      <c r="H67" s="32"/>
    </row>
    <row r="68" spans="2:14" ht="15.75" customHeight="1" x14ac:dyDescent="0.2">
      <c r="B68" s="28" t="s">
        <v>588</v>
      </c>
      <c r="C68" s="28" t="s">
        <v>589</v>
      </c>
      <c r="D68" s="28" t="s">
        <v>431</v>
      </c>
      <c r="E68" s="29">
        <v>38765</v>
      </c>
      <c r="F68" s="30">
        <v>1411.24</v>
      </c>
      <c r="G68" s="31">
        <v>7.6E-3</v>
      </c>
      <c r="H68" s="32"/>
      <c r="J68" s="3"/>
    </row>
    <row r="69" spans="2:14" ht="15.75" customHeight="1" x14ac:dyDescent="0.2">
      <c r="B69" s="28" t="s">
        <v>775</v>
      </c>
      <c r="C69" s="28" t="s">
        <v>776</v>
      </c>
      <c r="D69" s="28" t="s">
        <v>641</v>
      </c>
      <c r="E69" s="29">
        <v>51621</v>
      </c>
      <c r="F69" s="30">
        <v>1406.67</v>
      </c>
      <c r="G69" s="31">
        <v>7.6E-3</v>
      </c>
      <c r="H69" s="32"/>
    </row>
    <row r="70" spans="2:14" ht="15.75" customHeight="1" x14ac:dyDescent="0.2">
      <c r="B70" s="28" t="s">
        <v>660</v>
      </c>
      <c r="C70" s="28" t="s">
        <v>661</v>
      </c>
      <c r="D70" s="28" t="s">
        <v>662</v>
      </c>
      <c r="E70" s="29">
        <v>408326</v>
      </c>
      <c r="F70" s="30">
        <v>1404.03</v>
      </c>
      <c r="G70" s="31">
        <v>7.6E-3</v>
      </c>
      <c r="H70" s="32"/>
      <c r="J70" s="3"/>
    </row>
    <row r="71" spans="2:14" ht="15.75" customHeight="1" x14ac:dyDescent="0.2">
      <c r="B71" s="28" t="s">
        <v>584</v>
      </c>
      <c r="C71" s="28" t="s">
        <v>585</v>
      </c>
      <c r="D71" s="28" t="s">
        <v>271</v>
      </c>
      <c r="E71" s="29">
        <v>121354</v>
      </c>
      <c r="F71" s="30">
        <v>1241.27</v>
      </c>
      <c r="G71" s="31">
        <v>6.7000000000000002E-3</v>
      </c>
      <c r="H71" s="32"/>
      <c r="J71" s="3"/>
    </row>
    <row r="72" spans="2:14" ht="15.75" customHeight="1" x14ac:dyDescent="0.2">
      <c r="B72" s="28" t="s">
        <v>665</v>
      </c>
      <c r="C72" s="28" t="s">
        <v>666</v>
      </c>
      <c r="D72" s="28" t="s">
        <v>321</v>
      </c>
      <c r="E72" s="29">
        <v>269235</v>
      </c>
      <c r="F72" s="30">
        <v>1087.44</v>
      </c>
      <c r="G72" s="31">
        <v>5.8999999999999999E-3</v>
      </c>
      <c r="H72" s="32"/>
      <c r="J72" s="3"/>
    </row>
    <row r="73" spans="2:14" ht="15.75" customHeight="1" x14ac:dyDescent="0.2">
      <c r="B73" s="28" t="s">
        <v>671</v>
      </c>
      <c r="C73" s="28" t="s">
        <v>672</v>
      </c>
      <c r="D73" s="28" t="s">
        <v>179</v>
      </c>
      <c r="E73" s="29">
        <v>139752</v>
      </c>
      <c r="F73" s="30">
        <v>1007.12</v>
      </c>
      <c r="G73" s="31">
        <v>5.4000000000000003E-3</v>
      </c>
      <c r="H73" s="32"/>
      <c r="J73" s="3"/>
    </row>
    <row r="74" spans="2:14" ht="15.75" customHeight="1" x14ac:dyDescent="0.2">
      <c r="B74" s="27" t="s">
        <v>129</v>
      </c>
      <c r="C74" s="27"/>
      <c r="D74" s="27"/>
      <c r="E74" s="33"/>
      <c r="F74" s="34">
        <v>173127.85</v>
      </c>
      <c r="G74" s="35">
        <v>0.93610000000000004</v>
      </c>
      <c r="H74" s="36"/>
      <c r="J74" s="3"/>
    </row>
    <row r="75" spans="2:14" ht="15.75" customHeight="1" x14ac:dyDescent="0.2">
      <c r="B75" s="27" t="s">
        <v>197</v>
      </c>
      <c r="C75" s="28"/>
      <c r="D75" s="28"/>
      <c r="E75" s="29"/>
      <c r="F75" s="30"/>
      <c r="G75" s="31"/>
      <c r="H75" s="32"/>
      <c r="J75" s="5"/>
      <c r="K75" s="5"/>
      <c r="L75" s="6"/>
      <c r="M75" s="6"/>
      <c r="N75" s="5"/>
    </row>
    <row r="76" spans="2:14" ht="15.75" customHeight="1" x14ac:dyDescent="0.2">
      <c r="B76" s="27" t="s">
        <v>129</v>
      </c>
      <c r="C76" s="28"/>
      <c r="D76" s="28"/>
      <c r="E76" s="29"/>
      <c r="F76" s="37" t="s">
        <v>131</v>
      </c>
      <c r="G76" s="38" t="s">
        <v>131</v>
      </c>
      <c r="H76" s="32"/>
    </row>
    <row r="77" spans="2:14" ht="15.75" customHeight="1" x14ac:dyDescent="0.2">
      <c r="B77" s="28"/>
      <c r="C77" s="28"/>
      <c r="D77" s="28"/>
      <c r="E77" s="29"/>
      <c r="F77" s="30"/>
      <c r="G77" s="31"/>
      <c r="H77" s="32"/>
    </row>
    <row r="78" spans="2:14" ht="15.75" customHeight="1" x14ac:dyDescent="0.2">
      <c r="B78" s="39" t="s">
        <v>133</v>
      </c>
      <c r="C78" s="39"/>
      <c r="D78" s="39"/>
      <c r="E78" s="40"/>
      <c r="F78" s="34">
        <v>173127.85</v>
      </c>
      <c r="G78" s="35">
        <v>0.93610000000000004</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139</v>
      </c>
      <c r="C81" s="28"/>
      <c r="D81" s="28"/>
      <c r="E81" s="29"/>
      <c r="F81" s="30"/>
      <c r="G81" s="31"/>
      <c r="H81" s="32"/>
      <c r="J81" s="7"/>
      <c r="K81" s="7"/>
      <c r="L81" s="7"/>
      <c r="M81" s="7"/>
      <c r="N81" s="7"/>
    </row>
    <row r="82" spans="2:14" ht="15.75" customHeight="1" x14ac:dyDescent="0.2">
      <c r="B82" s="28" t="s">
        <v>140</v>
      </c>
      <c r="C82" s="28"/>
      <c r="D82" s="28"/>
      <c r="E82" s="29"/>
      <c r="F82" s="30">
        <v>11812.21</v>
      </c>
      <c r="G82" s="31">
        <v>6.3899999999999998E-2</v>
      </c>
      <c r="H82" s="32"/>
      <c r="J82" s="7"/>
      <c r="K82" s="7"/>
      <c r="L82" s="7"/>
      <c r="M82" s="7"/>
      <c r="N82" s="7"/>
    </row>
    <row r="83" spans="2:14" ht="15.75" customHeight="1" x14ac:dyDescent="0.2">
      <c r="B83" s="27" t="s">
        <v>129</v>
      </c>
      <c r="C83" s="27"/>
      <c r="D83" s="27"/>
      <c r="E83" s="33"/>
      <c r="F83" s="34">
        <v>11812.21</v>
      </c>
      <c r="G83" s="35">
        <v>6.3899999999999998E-2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133</v>
      </c>
      <c r="C85" s="39"/>
      <c r="D85" s="39"/>
      <c r="E85" s="40"/>
      <c r="F85" s="34">
        <v>11812.21</v>
      </c>
      <c r="G85" s="35">
        <v>6.3899999999999998E-2</v>
      </c>
      <c r="H85" s="36"/>
    </row>
    <row r="86" spans="2:14" ht="15.75" customHeight="1" x14ac:dyDescent="0.2">
      <c r="B86" s="28" t="s">
        <v>141</v>
      </c>
      <c r="C86" s="28"/>
      <c r="D86" s="28"/>
      <c r="E86" s="29"/>
      <c r="F86" s="50">
        <v>-5.48</v>
      </c>
      <c r="G86" s="31">
        <v>0</v>
      </c>
      <c r="H86" s="32"/>
      <c r="J86" s="3"/>
    </row>
    <row r="87" spans="2:14" ht="15.75" customHeight="1" x14ac:dyDescent="0.2">
      <c r="B87" s="41" t="s">
        <v>142</v>
      </c>
      <c r="C87" s="41"/>
      <c r="D87" s="41"/>
      <c r="E87" s="42"/>
      <c r="F87" s="43">
        <v>184934.58</v>
      </c>
      <c r="G87" s="44">
        <v>1</v>
      </c>
      <c r="H87" s="45"/>
    </row>
    <row r="88" spans="2:14" ht="15.75" customHeight="1" x14ac:dyDescent="0.2">
      <c r="B88" s="2"/>
    </row>
    <row r="89" spans="2:14" s="7" customFormat="1" ht="15.6" customHeight="1" x14ac:dyDescent="0.25">
      <c r="B89" s="63" t="s">
        <v>1067</v>
      </c>
      <c r="C89" s="70"/>
      <c r="D89" s="70"/>
      <c r="E89" s="70"/>
      <c r="F89" s="70"/>
      <c r="G89" s="70"/>
      <c r="H89" s="64"/>
    </row>
    <row r="90" spans="2:14" s="7" customFormat="1" ht="15.6" customHeight="1" x14ac:dyDescent="0.25">
      <c r="B90" s="63" t="s">
        <v>1108</v>
      </c>
      <c r="C90" s="70"/>
      <c r="D90" s="70"/>
      <c r="E90" s="70"/>
      <c r="F90" s="70"/>
      <c r="G90" s="70"/>
      <c r="H90" s="64"/>
    </row>
    <row r="91" spans="2:14" s="7" customFormat="1" ht="15.6" customHeight="1" x14ac:dyDescent="0.25">
      <c r="B91" s="63" t="s">
        <v>1068</v>
      </c>
      <c r="C91" s="70"/>
      <c r="D91" s="70"/>
      <c r="E91" s="70"/>
      <c r="F91" s="70"/>
      <c r="G91" s="70"/>
      <c r="H91" s="64"/>
    </row>
    <row r="92" spans="2:14" s="7" customFormat="1" ht="15.6" customHeight="1" x14ac:dyDescent="0.25">
      <c r="B92" s="71"/>
      <c r="C92" s="65">
        <v>46142</v>
      </c>
      <c r="D92" s="65">
        <v>46112</v>
      </c>
      <c r="E92" s="70"/>
      <c r="F92" s="70"/>
      <c r="G92" s="70"/>
      <c r="H92" s="64"/>
    </row>
    <row r="93" spans="2:14" s="7" customFormat="1" ht="15.6" customHeight="1" x14ac:dyDescent="0.25">
      <c r="B93" s="71" t="s">
        <v>1069</v>
      </c>
      <c r="C93" s="66"/>
      <c r="D93" s="66"/>
      <c r="E93" s="70"/>
      <c r="F93" s="70"/>
      <c r="G93" s="70"/>
      <c r="H93" s="64"/>
    </row>
    <row r="94" spans="2:14" s="7" customFormat="1" ht="15.6" customHeight="1" x14ac:dyDescent="0.25">
      <c r="B94" s="71" t="s">
        <v>1070</v>
      </c>
      <c r="C94" s="67">
        <v>16.722799999999999</v>
      </c>
      <c r="D94" s="67">
        <v>15.006600000000001</v>
      </c>
      <c r="E94" s="70"/>
      <c r="F94" s="70"/>
      <c r="G94" s="70"/>
      <c r="H94" s="64"/>
    </row>
    <row r="95" spans="2:14" s="7" customFormat="1" ht="15.6" customHeight="1" x14ac:dyDescent="0.25">
      <c r="B95" s="71" t="s">
        <v>1071</v>
      </c>
      <c r="C95" s="67">
        <v>16.722799999999999</v>
      </c>
      <c r="D95" s="67">
        <v>15.006600000000001</v>
      </c>
      <c r="E95" s="70"/>
      <c r="F95" s="70"/>
      <c r="G95" s="70"/>
      <c r="H95" s="64"/>
    </row>
    <row r="96" spans="2:14" s="7" customFormat="1" ht="15.6" customHeight="1" x14ac:dyDescent="0.25">
      <c r="B96" s="71" t="s">
        <v>1073</v>
      </c>
      <c r="C96" s="67">
        <v>17.699100000000001</v>
      </c>
      <c r="D96" s="67">
        <v>15.864699999999999</v>
      </c>
      <c r="E96" s="70"/>
      <c r="F96" s="70"/>
      <c r="G96" s="70"/>
      <c r="H96" s="64"/>
    </row>
    <row r="97" spans="2:8" s="7" customFormat="1" ht="15.6" customHeight="1" x14ac:dyDescent="0.25">
      <c r="B97" s="71" t="s">
        <v>1074</v>
      </c>
      <c r="C97" s="67">
        <v>17.699100000000001</v>
      </c>
      <c r="D97" s="67">
        <v>15.864699999999999</v>
      </c>
      <c r="E97" s="70"/>
      <c r="F97" s="70"/>
      <c r="G97" s="70"/>
      <c r="H97" s="64"/>
    </row>
    <row r="98" spans="2:8" s="7" customFormat="1" ht="15.6" customHeight="1" x14ac:dyDescent="0.25">
      <c r="B98" s="63" t="s">
        <v>1116</v>
      </c>
      <c r="C98" s="70"/>
      <c r="D98" s="70"/>
      <c r="E98" s="70"/>
      <c r="F98" s="70"/>
      <c r="G98" s="70"/>
      <c r="H98" s="64"/>
    </row>
    <row r="99" spans="2:8" s="7" customFormat="1" ht="15.6" customHeight="1" x14ac:dyDescent="0.25">
      <c r="B99" s="63" t="s">
        <v>1109</v>
      </c>
      <c r="C99" s="70"/>
      <c r="D99" s="70"/>
      <c r="E99" s="70"/>
      <c r="F99" s="70"/>
      <c r="G99" s="70"/>
      <c r="H99" s="64"/>
    </row>
    <row r="100" spans="2:8" s="7" customFormat="1" ht="15.6" customHeight="1" x14ac:dyDescent="0.25">
      <c r="B100" s="63" t="s">
        <v>1111</v>
      </c>
      <c r="C100" s="70"/>
      <c r="D100" s="70"/>
      <c r="E100" s="70"/>
      <c r="F100" s="70"/>
      <c r="G100" s="70"/>
      <c r="H100" s="64"/>
    </row>
    <row r="101" spans="2:8" s="7" customFormat="1" ht="15.6" customHeight="1" x14ac:dyDescent="0.25">
      <c r="B101" s="63" t="s">
        <v>1112</v>
      </c>
      <c r="C101" s="70"/>
      <c r="D101" s="70"/>
      <c r="E101" s="70"/>
      <c r="F101" s="70"/>
      <c r="G101" s="70"/>
      <c r="H101" s="64"/>
    </row>
    <row r="102" spans="2:8" s="7" customFormat="1" ht="15.6" customHeight="1" x14ac:dyDescent="0.25">
      <c r="B102" s="63" t="s">
        <v>1132</v>
      </c>
      <c r="C102" s="70"/>
      <c r="D102" s="70"/>
      <c r="E102" s="70"/>
      <c r="F102" s="70"/>
      <c r="G102" s="70"/>
      <c r="H102" s="64"/>
    </row>
    <row r="103" spans="2:8" s="7" customFormat="1" ht="15.6" customHeight="1" x14ac:dyDescent="0.25">
      <c r="B103" s="63" t="s">
        <v>1113</v>
      </c>
      <c r="C103" s="70"/>
      <c r="D103" s="70"/>
      <c r="E103" s="70"/>
      <c r="F103" s="70"/>
      <c r="G103" s="70"/>
      <c r="H103" s="64"/>
    </row>
    <row r="104" spans="2:8" s="7" customFormat="1" ht="15.6" customHeight="1" x14ac:dyDescent="0.25">
      <c r="B104" s="68" t="s">
        <v>1076</v>
      </c>
      <c r="C104" s="72"/>
      <c r="D104" s="72"/>
      <c r="E104" s="72"/>
      <c r="F104" s="72"/>
      <c r="G104" s="72"/>
      <c r="H104" s="69"/>
    </row>
    <row r="105" spans="2:8" ht="15.75" customHeight="1" thickBot="1" x14ac:dyDescent="0.25"/>
    <row r="106" spans="2:8" ht="39.75" customHeight="1" thickBot="1" x14ac:dyDescent="0.3">
      <c r="B106" s="46" t="s">
        <v>146</v>
      </c>
      <c r="C106" s="47" t="s">
        <v>147</v>
      </c>
      <c r="D106" s="47" t="s">
        <v>148</v>
      </c>
      <c r="E106"/>
    </row>
    <row r="107" spans="2:8" ht="39.75" customHeight="1" x14ac:dyDescent="0.25">
      <c r="B107" s="52" t="s">
        <v>980</v>
      </c>
      <c r="C107" s="109"/>
      <c r="D107" s="48" t="s">
        <v>983</v>
      </c>
      <c r="E107"/>
    </row>
    <row r="108" spans="2:8" ht="39.75" customHeight="1" x14ac:dyDescent="0.25">
      <c r="B108" s="112" t="s">
        <v>984</v>
      </c>
      <c r="C108" s="110"/>
      <c r="D108" s="118"/>
      <c r="E108"/>
    </row>
    <row r="109" spans="2:8" ht="39.75" customHeight="1" x14ac:dyDescent="0.25">
      <c r="B109" s="112"/>
      <c r="C109" s="110"/>
      <c r="D109" s="118"/>
      <c r="E109"/>
    </row>
    <row r="110" spans="2:8" ht="39.75" customHeight="1" x14ac:dyDescent="0.25">
      <c r="B110" s="112"/>
      <c r="C110" s="110"/>
      <c r="D110" s="118"/>
      <c r="E110"/>
    </row>
    <row r="111" spans="2:8" ht="39.75" customHeight="1" thickBot="1" x14ac:dyDescent="0.3">
      <c r="B111" s="113"/>
      <c r="C111" s="111"/>
      <c r="D111" s="119"/>
      <c r="E111"/>
    </row>
    <row r="112" spans="2:8" ht="15.75" customHeight="1" x14ac:dyDescent="0.2">
      <c r="B112" s="9" t="s">
        <v>149</v>
      </c>
    </row>
    <row r="113" spans="2:2" ht="15.75" customHeight="1" x14ac:dyDescent="0.2">
      <c r="B113" s="9" t="s">
        <v>150</v>
      </c>
    </row>
    <row r="114" spans="2:2" ht="15.75" customHeight="1" x14ac:dyDescent="0.2">
      <c r="B114" s="9" t="s">
        <v>151</v>
      </c>
    </row>
  </sheetData>
  <mergeCells count="3">
    <mergeCell ref="C107:C111"/>
    <mergeCell ref="B108:B111"/>
    <mergeCell ref="D108:D111"/>
  </mergeCells>
  <hyperlinks>
    <hyperlink ref="G1" location="'Sheet1'!A1" display="Index" xr:uid="{7FAB1372-935A-4606-B2CD-97170F75BBF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53B19-3FCC-4C59-B4C7-866C9D9BE3ED}">
  <dimension ref="B1:N103"/>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985</v>
      </c>
      <c r="C7" s="28" t="s">
        <v>986</v>
      </c>
      <c r="D7" s="28" t="s">
        <v>251</v>
      </c>
      <c r="E7" s="29">
        <v>174021</v>
      </c>
      <c r="F7" s="30">
        <v>386.07</v>
      </c>
      <c r="G7" s="31">
        <v>3.73E-2</v>
      </c>
      <c r="H7" s="32"/>
    </row>
    <row r="8" spans="2:8" ht="15.75" customHeight="1" x14ac:dyDescent="0.2">
      <c r="B8" s="28" t="s">
        <v>432</v>
      </c>
      <c r="C8" s="28" t="s">
        <v>433</v>
      </c>
      <c r="D8" s="28" t="s">
        <v>434</v>
      </c>
      <c r="E8" s="29">
        <v>86902</v>
      </c>
      <c r="F8" s="30">
        <v>356.21</v>
      </c>
      <c r="G8" s="31">
        <v>3.4500000000000003E-2</v>
      </c>
      <c r="H8" s="32"/>
    </row>
    <row r="9" spans="2:8" ht="15.75" customHeight="1" x14ac:dyDescent="0.2">
      <c r="B9" s="28" t="s">
        <v>413</v>
      </c>
      <c r="C9" s="28" t="s">
        <v>414</v>
      </c>
      <c r="D9" s="28" t="s">
        <v>238</v>
      </c>
      <c r="E9" s="29">
        <v>5345</v>
      </c>
      <c r="F9" s="30">
        <v>347.56</v>
      </c>
      <c r="G9" s="31">
        <v>3.3599999999999998E-2</v>
      </c>
      <c r="H9" s="32"/>
    </row>
    <row r="10" spans="2:8" ht="15.75" customHeight="1" x14ac:dyDescent="0.2">
      <c r="B10" s="28" t="s">
        <v>435</v>
      </c>
      <c r="C10" s="28" t="s">
        <v>436</v>
      </c>
      <c r="D10" s="28" t="s">
        <v>224</v>
      </c>
      <c r="E10" s="29">
        <v>7973</v>
      </c>
      <c r="F10" s="30">
        <v>345.93</v>
      </c>
      <c r="G10" s="31">
        <v>3.3500000000000002E-2</v>
      </c>
      <c r="H10" s="32"/>
    </row>
    <row r="11" spans="2:8" ht="15.75" customHeight="1" x14ac:dyDescent="0.2">
      <c r="B11" s="28" t="s">
        <v>464</v>
      </c>
      <c r="C11" s="28" t="s">
        <v>465</v>
      </c>
      <c r="D11" s="28" t="s">
        <v>195</v>
      </c>
      <c r="E11" s="29">
        <v>9868</v>
      </c>
      <c r="F11" s="30">
        <v>344.68</v>
      </c>
      <c r="G11" s="31">
        <v>3.3300000000000003E-2</v>
      </c>
      <c r="H11" s="32"/>
    </row>
    <row r="12" spans="2:8" ht="15.75" customHeight="1" x14ac:dyDescent="0.2">
      <c r="B12" s="28" t="s">
        <v>260</v>
      </c>
      <c r="C12" s="28" t="s">
        <v>261</v>
      </c>
      <c r="D12" s="28" t="s">
        <v>251</v>
      </c>
      <c r="E12" s="29">
        <v>70407</v>
      </c>
      <c r="F12" s="30">
        <v>312.99</v>
      </c>
      <c r="G12" s="31">
        <v>3.0300000000000001E-2</v>
      </c>
      <c r="H12" s="32"/>
    </row>
    <row r="13" spans="2:8" ht="15.75" customHeight="1" x14ac:dyDescent="0.2">
      <c r="B13" s="28" t="s">
        <v>481</v>
      </c>
      <c r="C13" s="28" t="s">
        <v>482</v>
      </c>
      <c r="D13" s="28" t="s">
        <v>483</v>
      </c>
      <c r="E13" s="29">
        <v>57515</v>
      </c>
      <c r="F13" s="30">
        <v>295.45</v>
      </c>
      <c r="G13" s="31">
        <v>2.86E-2</v>
      </c>
      <c r="H13" s="32"/>
    </row>
    <row r="14" spans="2:8" ht="15.75" customHeight="1" x14ac:dyDescent="0.2">
      <c r="B14" s="28" t="s">
        <v>976</v>
      </c>
      <c r="C14" s="28" t="s">
        <v>977</v>
      </c>
      <c r="D14" s="28" t="s">
        <v>243</v>
      </c>
      <c r="E14" s="29">
        <v>6193</v>
      </c>
      <c r="F14" s="30">
        <v>284</v>
      </c>
      <c r="G14" s="31">
        <v>2.75E-2</v>
      </c>
      <c r="H14" s="32"/>
    </row>
    <row r="15" spans="2:8" ht="15.75" customHeight="1" x14ac:dyDescent="0.2">
      <c r="B15" s="28" t="s">
        <v>622</v>
      </c>
      <c r="C15" s="28" t="s">
        <v>623</v>
      </c>
      <c r="D15" s="28" t="s">
        <v>196</v>
      </c>
      <c r="E15" s="29">
        <v>4950</v>
      </c>
      <c r="F15" s="30">
        <v>283.44</v>
      </c>
      <c r="G15" s="31">
        <v>2.7400000000000001E-2</v>
      </c>
      <c r="H15" s="32"/>
    </row>
    <row r="16" spans="2:8" ht="15.75" customHeight="1" x14ac:dyDescent="0.2">
      <c r="B16" s="28" t="s">
        <v>402</v>
      </c>
      <c r="C16" s="28" t="s">
        <v>403</v>
      </c>
      <c r="D16" s="28" t="s">
        <v>190</v>
      </c>
      <c r="E16" s="29">
        <v>17996</v>
      </c>
      <c r="F16" s="30">
        <v>281.26</v>
      </c>
      <c r="G16" s="31">
        <v>2.7199999999999998E-2</v>
      </c>
      <c r="H16" s="32"/>
    </row>
    <row r="17" spans="2:8" ht="15.75" customHeight="1" x14ac:dyDescent="0.2">
      <c r="B17" s="28" t="s">
        <v>278</v>
      </c>
      <c r="C17" s="28" t="s">
        <v>279</v>
      </c>
      <c r="D17" s="28" t="s">
        <v>190</v>
      </c>
      <c r="E17" s="29">
        <v>61231</v>
      </c>
      <c r="F17" s="30">
        <v>274.56</v>
      </c>
      <c r="G17" s="31">
        <v>2.6599999999999999E-2</v>
      </c>
      <c r="H17" s="32"/>
    </row>
    <row r="18" spans="2:8" ht="15.75" customHeight="1" x14ac:dyDescent="0.2">
      <c r="B18" s="28" t="s">
        <v>834</v>
      </c>
      <c r="C18" s="28" t="s">
        <v>835</v>
      </c>
      <c r="D18" s="28" t="s">
        <v>321</v>
      </c>
      <c r="E18" s="29">
        <v>5119</v>
      </c>
      <c r="F18" s="30">
        <v>269.58999999999997</v>
      </c>
      <c r="G18" s="31">
        <v>2.6100000000000002E-2</v>
      </c>
      <c r="H18" s="32"/>
    </row>
    <row r="19" spans="2:8" ht="15.75" customHeight="1" x14ac:dyDescent="0.2">
      <c r="B19" s="28" t="s">
        <v>987</v>
      </c>
      <c r="C19" s="28" t="s">
        <v>988</v>
      </c>
      <c r="D19" s="28" t="s">
        <v>176</v>
      </c>
      <c r="E19" s="29">
        <v>85271</v>
      </c>
      <c r="F19" s="30">
        <v>256.2</v>
      </c>
      <c r="G19" s="31">
        <v>2.4799999999999999E-2</v>
      </c>
      <c r="H19" s="32"/>
    </row>
    <row r="20" spans="2:8" ht="15.75" customHeight="1" x14ac:dyDescent="0.2">
      <c r="B20" s="28" t="s">
        <v>605</v>
      </c>
      <c r="C20" s="28" t="s">
        <v>606</v>
      </c>
      <c r="D20" s="28" t="s">
        <v>470</v>
      </c>
      <c r="E20" s="29">
        <v>36878</v>
      </c>
      <c r="F20" s="30">
        <v>234.49</v>
      </c>
      <c r="G20" s="31">
        <v>2.2700000000000001E-2</v>
      </c>
      <c r="H20" s="32"/>
    </row>
    <row r="21" spans="2:8" ht="15.75" customHeight="1" x14ac:dyDescent="0.2">
      <c r="B21" s="28" t="s">
        <v>989</v>
      </c>
      <c r="C21" s="28" t="s">
        <v>990</v>
      </c>
      <c r="D21" s="28" t="s">
        <v>268</v>
      </c>
      <c r="E21" s="29">
        <v>28810</v>
      </c>
      <c r="F21" s="30">
        <v>234.33</v>
      </c>
      <c r="G21" s="31">
        <v>2.2700000000000001E-2</v>
      </c>
      <c r="H21" s="32"/>
    </row>
    <row r="22" spans="2:8" ht="15.75" customHeight="1" x14ac:dyDescent="0.2">
      <c r="B22" s="28" t="s">
        <v>501</v>
      </c>
      <c r="C22" s="28" t="s">
        <v>502</v>
      </c>
      <c r="D22" s="28" t="s">
        <v>179</v>
      </c>
      <c r="E22" s="29">
        <v>185953</v>
      </c>
      <c r="F22" s="30">
        <v>225.39</v>
      </c>
      <c r="G22" s="31">
        <v>2.18E-2</v>
      </c>
      <c r="H22" s="32"/>
    </row>
    <row r="23" spans="2:8" ht="15.75" customHeight="1" x14ac:dyDescent="0.2">
      <c r="B23" s="28" t="s">
        <v>991</v>
      </c>
      <c r="C23" s="28" t="s">
        <v>992</v>
      </c>
      <c r="D23" s="28" t="s">
        <v>176</v>
      </c>
      <c r="E23" s="29">
        <v>157089</v>
      </c>
      <c r="F23" s="30">
        <v>223.46</v>
      </c>
      <c r="G23" s="31">
        <v>2.1600000000000001E-2</v>
      </c>
      <c r="H23" s="32"/>
    </row>
    <row r="24" spans="2:8" ht="15.75" customHeight="1" x14ac:dyDescent="0.2">
      <c r="B24" s="28" t="s">
        <v>613</v>
      </c>
      <c r="C24" s="28" t="s">
        <v>614</v>
      </c>
      <c r="D24" s="28" t="s">
        <v>431</v>
      </c>
      <c r="E24" s="29">
        <v>7745</v>
      </c>
      <c r="F24" s="30">
        <v>210.09</v>
      </c>
      <c r="G24" s="31">
        <v>2.0299999999999999E-2</v>
      </c>
      <c r="H24" s="32"/>
    </row>
    <row r="25" spans="2:8" ht="15.75" customHeight="1" x14ac:dyDescent="0.2">
      <c r="B25" s="28" t="s">
        <v>239</v>
      </c>
      <c r="C25" s="28" t="s">
        <v>240</v>
      </c>
      <c r="D25" s="28" t="s">
        <v>173</v>
      </c>
      <c r="E25" s="29">
        <v>77845</v>
      </c>
      <c r="F25" s="30">
        <v>205.09</v>
      </c>
      <c r="G25" s="31">
        <v>1.9800000000000002E-2</v>
      </c>
      <c r="H25" s="32"/>
    </row>
    <row r="26" spans="2:8" ht="15.75" customHeight="1" x14ac:dyDescent="0.2">
      <c r="B26" s="28" t="s">
        <v>993</v>
      </c>
      <c r="C26" s="28" t="s">
        <v>994</v>
      </c>
      <c r="D26" s="28" t="s">
        <v>251</v>
      </c>
      <c r="E26" s="29">
        <v>14573</v>
      </c>
      <c r="F26" s="30">
        <v>195.61</v>
      </c>
      <c r="G26" s="31">
        <v>1.89E-2</v>
      </c>
      <c r="H26" s="32"/>
    </row>
    <row r="27" spans="2:8" ht="15.75" customHeight="1" x14ac:dyDescent="0.2">
      <c r="B27" s="28" t="s">
        <v>995</v>
      </c>
      <c r="C27" s="28" t="s">
        <v>996</v>
      </c>
      <c r="D27" s="28" t="s">
        <v>997</v>
      </c>
      <c r="E27" s="29">
        <v>71406</v>
      </c>
      <c r="F27" s="30">
        <v>193.9</v>
      </c>
      <c r="G27" s="31">
        <v>1.8800000000000001E-2</v>
      </c>
      <c r="H27" s="32"/>
    </row>
    <row r="28" spans="2:8" ht="15.75" customHeight="1" x14ac:dyDescent="0.2">
      <c r="B28" s="28" t="s">
        <v>998</v>
      </c>
      <c r="C28" s="28" t="s">
        <v>999</v>
      </c>
      <c r="D28" s="28" t="s">
        <v>229</v>
      </c>
      <c r="E28" s="29">
        <v>15584</v>
      </c>
      <c r="F28" s="30">
        <v>190.61</v>
      </c>
      <c r="G28" s="31">
        <v>1.84E-2</v>
      </c>
      <c r="H28" s="32"/>
    </row>
    <row r="29" spans="2:8" ht="15.75" customHeight="1" x14ac:dyDescent="0.2">
      <c r="B29" s="28" t="s">
        <v>1000</v>
      </c>
      <c r="C29" s="28" t="s">
        <v>1001</v>
      </c>
      <c r="D29" s="28" t="s">
        <v>173</v>
      </c>
      <c r="E29" s="29">
        <v>141522</v>
      </c>
      <c r="F29" s="30">
        <v>190.56</v>
      </c>
      <c r="G29" s="31">
        <v>1.84E-2</v>
      </c>
      <c r="H29" s="32"/>
    </row>
    <row r="30" spans="2:8" ht="15.75" customHeight="1" x14ac:dyDescent="0.2">
      <c r="B30" s="28" t="s">
        <v>1002</v>
      </c>
      <c r="C30" s="28" t="s">
        <v>1003</v>
      </c>
      <c r="D30" s="28" t="s">
        <v>190</v>
      </c>
      <c r="E30" s="29">
        <v>1818</v>
      </c>
      <c r="F30" s="30">
        <v>186.65</v>
      </c>
      <c r="G30" s="31">
        <v>1.8100000000000002E-2</v>
      </c>
      <c r="H30" s="32"/>
    </row>
    <row r="31" spans="2:8" ht="15.75" customHeight="1" x14ac:dyDescent="0.2">
      <c r="B31" s="28" t="s">
        <v>596</v>
      </c>
      <c r="C31" s="28" t="s">
        <v>597</v>
      </c>
      <c r="D31" s="28" t="s">
        <v>190</v>
      </c>
      <c r="E31" s="29">
        <v>52498</v>
      </c>
      <c r="F31" s="30">
        <v>186</v>
      </c>
      <c r="G31" s="31">
        <v>1.7999999999999999E-2</v>
      </c>
      <c r="H31" s="32"/>
    </row>
    <row r="32" spans="2:8" ht="15.75" customHeight="1" x14ac:dyDescent="0.2">
      <c r="B32" s="28" t="s">
        <v>272</v>
      </c>
      <c r="C32" s="28" t="s">
        <v>273</v>
      </c>
      <c r="D32" s="28" t="s">
        <v>274</v>
      </c>
      <c r="E32" s="29">
        <v>113439</v>
      </c>
      <c r="F32" s="30">
        <v>185.17</v>
      </c>
      <c r="G32" s="31">
        <v>1.7899999999999999E-2</v>
      </c>
      <c r="H32" s="32"/>
    </row>
    <row r="33" spans="2:8" ht="15.75" customHeight="1" x14ac:dyDescent="0.2">
      <c r="B33" s="28" t="s">
        <v>384</v>
      </c>
      <c r="C33" s="28" t="s">
        <v>385</v>
      </c>
      <c r="D33" s="28" t="s">
        <v>238</v>
      </c>
      <c r="E33" s="29">
        <v>4398</v>
      </c>
      <c r="F33" s="30">
        <v>184.06</v>
      </c>
      <c r="G33" s="31">
        <v>1.78E-2</v>
      </c>
      <c r="H33" s="32"/>
    </row>
    <row r="34" spans="2:8" ht="15.75" customHeight="1" x14ac:dyDescent="0.2">
      <c r="B34" s="28" t="s">
        <v>1004</v>
      </c>
      <c r="C34" s="28" t="s">
        <v>1005</v>
      </c>
      <c r="D34" s="28" t="s">
        <v>619</v>
      </c>
      <c r="E34" s="29">
        <v>16901</v>
      </c>
      <c r="F34" s="30">
        <v>180.35</v>
      </c>
      <c r="G34" s="31">
        <v>1.7399999999999999E-2</v>
      </c>
      <c r="H34" s="32"/>
    </row>
    <row r="35" spans="2:8" ht="15.75" customHeight="1" x14ac:dyDescent="0.2">
      <c r="B35" s="28" t="s">
        <v>603</v>
      </c>
      <c r="C35" s="28" t="s">
        <v>604</v>
      </c>
      <c r="D35" s="28" t="s">
        <v>345</v>
      </c>
      <c r="E35" s="29">
        <v>13031</v>
      </c>
      <c r="F35" s="30">
        <v>179.27</v>
      </c>
      <c r="G35" s="31">
        <v>1.7299999999999999E-2</v>
      </c>
      <c r="H35" s="32"/>
    </row>
    <row r="36" spans="2:8" ht="15.75" customHeight="1" x14ac:dyDescent="0.2">
      <c r="B36" s="28" t="s">
        <v>1006</v>
      </c>
      <c r="C36" s="28" t="s">
        <v>1007</v>
      </c>
      <c r="D36" s="28" t="s">
        <v>251</v>
      </c>
      <c r="E36" s="29">
        <v>14119</v>
      </c>
      <c r="F36" s="30">
        <v>173.26</v>
      </c>
      <c r="G36" s="31">
        <v>1.6799999999999999E-2</v>
      </c>
      <c r="H36" s="32"/>
    </row>
    <row r="37" spans="2:8" ht="15.75" customHeight="1" x14ac:dyDescent="0.2">
      <c r="B37" s="28" t="s">
        <v>1008</v>
      </c>
      <c r="C37" s="28" t="s">
        <v>1009</v>
      </c>
      <c r="D37" s="28" t="s">
        <v>182</v>
      </c>
      <c r="E37" s="29">
        <v>3899</v>
      </c>
      <c r="F37" s="30">
        <v>166.47</v>
      </c>
      <c r="G37" s="31">
        <v>1.61E-2</v>
      </c>
      <c r="H37" s="32"/>
    </row>
    <row r="38" spans="2:8" ht="15.75" customHeight="1" x14ac:dyDescent="0.2">
      <c r="B38" s="28" t="s">
        <v>740</v>
      </c>
      <c r="C38" s="28" t="s">
        <v>741</v>
      </c>
      <c r="D38" s="28" t="s">
        <v>483</v>
      </c>
      <c r="E38" s="29">
        <v>12404</v>
      </c>
      <c r="F38" s="30">
        <v>164.43</v>
      </c>
      <c r="G38" s="31">
        <v>1.5900000000000001E-2</v>
      </c>
      <c r="H38" s="32"/>
    </row>
    <row r="39" spans="2:8" ht="15.75" customHeight="1" x14ac:dyDescent="0.2">
      <c r="B39" s="28" t="s">
        <v>738</v>
      </c>
      <c r="C39" s="28" t="s">
        <v>739</v>
      </c>
      <c r="D39" s="28" t="s">
        <v>268</v>
      </c>
      <c r="E39" s="29">
        <v>2206</v>
      </c>
      <c r="F39" s="30">
        <v>159.49</v>
      </c>
      <c r="G39" s="31">
        <v>1.54E-2</v>
      </c>
      <c r="H39" s="32"/>
    </row>
    <row r="40" spans="2:8" ht="15.75" customHeight="1" x14ac:dyDescent="0.2">
      <c r="B40" s="28" t="s">
        <v>246</v>
      </c>
      <c r="C40" s="28" t="s">
        <v>247</v>
      </c>
      <c r="D40" s="28" t="s">
        <v>248</v>
      </c>
      <c r="E40" s="29">
        <v>26968</v>
      </c>
      <c r="F40" s="30">
        <v>158.30000000000001</v>
      </c>
      <c r="G40" s="31">
        <v>1.5299999999999999E-2</v>
      </c>
      <c r="H40" s="32"/>
    </row>
    <row r="41" spans="2:8" ht="15.75" customHeight="1" x14ac:dyDescent="0.2">
      <c r="B41" s="28" t="s">
        <v>234</v>
      </c>
      <c r="C41" s="28" t="s">
        <v>235</v>
      </c>
      <c r="D41" s="28" t="s">
        <v>173</v>
      </c>
      <c r="E41" s="29">
        <v>144654</v>
      </c>
      <c r="F41" s="30">
        <v>158.19</v>
      </c>
      <c r="G41" s="31">
        <v>1.5299999999999999E-2</v>
      </c>
      <c r="H41" s="32"/>
    </row>
    <row r="42" spans="2:8" ht="15.75" customHeight="1" x14ac:dyDescent="0.2">
      <c r="B42" s="28" t="s">
        <v>1010</v>
      </c>
      <c r="C42" s="28" t="s">
        <v>1011</v>
      </c>
      <c r="D42" s="28" t="s">
        <v>345</v>
      </c>
      <c r="E42" s="29">
        <v>1023</v>
      </c>
      <c r="F42" s="30">
        <v>157.94</v>
      </c>
      <c r="G42" s="31">
        <v>1.5299999999999999E-2</v>
      </c>
      <c r="H42" s="32"/>
    </row>
    <row r="43" spans="2:8" ht="15.75" customHeight="1" x14ac:dyDescent="0.2">
      <c r="B43" s="28" t="s">
        <v>495</v>
      </c>
      <c r="C43" s="28" t="s">
        <v>496</v>
      </c>
      <c r="D43" s="28" t="s">
        <v>190</v>
      </c>
      <c r="E43" s="29">
        <v>4246</v>
      </c>
      <c r="F43" s="30">
        <v>145.38999999999999</v>
      </c>
      <c r="G43" s="31">
        <v>1.41E-2</v>
      </c>
      <c r="H43" s="32"/>
    </row>
    <row r="44" spans="2:8" ht="15.75" customHeight="1" x14ac:dyDescent="0.2">
      <c r="B44" s="28" t="s">
        <v>744</v>
      </c>
      <c r="C44" s="28" t="s">
        <v>745</v>
      </c>
      <c r="D44" s="28" t="s">
        <v>268</v>
      </c>
      <c r="E44" s="29">
        <v>3715</v>
      </c>
      <c r="F44" s="30">
        <v>141.47</v>
      </c>
      <c r="G44" s="31">
        <v>1.37E-2</v>
      </c>
      <c r="H44" s="32"/>
    </row>
    <row r="45" spans="2:8" ht="15.75" customHeight="1" x14ac:dyDescent="0.2">
      <c r="B45" s="28" t="s">
        <v>877</v>
      </c>
      <c r="C45" s="28" t="s">
        <v>878</v>
      </c>
      <c r="D45" s="28" t="s">
        <v>331</v>
      </c>
      <c r="E45" s="29">
        <v>561</v>
      </c>
      <c r="F45" s="30">
        <v>135.72999999999999</v>
      </c>
      <c r="G45" s="31">
        <v>1.3100000000000001E-2</v>
      </c>
      <c r="H45" s="32"/>
    </row>
    <row r="46" spans="2:8" ht="15.75" customHeight="1" x14ac:dyDescent="0.2">
      <c r="B46" s="28" t="s">
        <v>1012</v>
      </c>
      <c r="C46" s="28" t="s">
        <v>1013</v>
      </c>
      <c r="D46" s="28" t="s">
        <v>173</v>
      </c>
      <c r="E46" s="29">
        <v>78849</v>
      </c>
      <c r="F46" s="30">
        <v>130.84</v>
      </c>
      <c r="G46" s="31">
        <v>1.2699999999999999E-2</v>
      </c>
      <c r="H46" s="32"/>
    </row>
    <row r="47" spans="2:8" ht="15.75" customHeight="1" x14ac:dyDescent="0.2">
      <c r="B47" s="28" t="s">
        <v>1014</v>
      </c>
      <c r="C47" s="28" t="s">
        <v>1015</v>
      </c>
      <c r="D47" s="28" t="s">
        <v>179</v>
      </c>
      <c r="E47" s="29">
        <v>363</v>
      </c>
      <c r="F47" s="30">
        <v>130.66</v>
      </c>
      <c r="G47" s="31">
        <v>1.26E-2</v>
      </c>
      <c r="H47" s="32"/>
    </row>
    <row r="48" spans="2:8" ht="15.75" customHeight="1" x14ac:dyDescent="0.2">
      <c r="B48" s="28" t="s">
        <v>557</v>
      </c>
      <c r="C48" s="28" t="s">
        <v>558</v>
      </c>
      <c r="D48" s="28" t="s">
        <v>268</v>
      </c>
      <c r="E48" s="29">
        <v>3710</v>
      </c>
      <c r="F48" s="30">
        <v>121.64</v>
      </c>
      <c r="G48" s="31">
        <v>1.18E-2</v>
      </c>
      <c r="H48" s="32"/>
    </row>
    <row r="49" spans="2:8" ht="15.75" customHeight="1" x14ac:dyDescent="0.2">
      <c r="B49" s="28" t="s">
        <v>1016</v>
      </c>
      <c r="C49" s="28" t="s">
        <v>1017</v>
      </c>
      <c r="D49" s="28" t="s">
        <v>331</v>
      </c>
      <c r="E49" s="29">
        <v>25616</v>
      </c>
      <c r="F49" s="30">
        <v>113.79</v>
      </c>
      <c r="G49" s="31">
        <v>1.0999999999999999E-2</v>
      </c>
      <c r="H49" s="32"/>
    </row>
    <row r="50" spans="2:8" ht="15.75" customHeight="1" x14ac:dyDescent="0.2">
      <c r="B50" s="28" t="s">
        <v>634</v>
      </c>
      <c r="C50" s="28" t="s">
        <v>635</v>
      </c>
      <c r="D50" s="28" t="s">
        <v>195</v>
      </c>
      <c r="E50" s="29">
        <v>5988</v>
      </c>
      <c r="F50" s="30">
        <v>108.84</v>
      </c>
      <c r="G50" s="31">
        <v>1.0500000000000001E-2</v>
      </c>
      <c r="H50" s="32"/>
    </row>
    <row r="51" spans="2:8" ht="15.75" customHeight="1" x14ac:dyDescent="0.2">
      <c r="B51" s="28" t="s">
        <v>1018</v>
      </c>
      <c r="C51" s="28" t="s">
        <v>1019</v>
      </c>
      <c r="D51" s="28" t="s">
        <v>326</v>
      </c>
      <c r="E51" s="29">
        <v>18230</v>
      </c>
      <c r="F51" s="30">
        <v>108.64</v>
      </c>
      <c r="G51" s="31">
        <v>1.0500000000000001E-2</v>
      </c>
      <c r="H51" s="32"/>
    </row>
    <row r="52" spans="2:8" ht="15.75" customHeight="1" x14ac:dyDescent="0.2">
      <c r="B52" s="28" t="s">
        <v>254</v>
      </c>
      <c r="C52" s="28" t="s">
        <v>255</v>
      </c>
      <c r="D52" s="28" t="s">
        <v>248</v>
      </c>
      <c r="E52" s="29">
        <v>11821</v>
      </c>
      <c r="F52" s="30">
        <v>106.14</v>
      </c>
      <c r="G52" s="31">
        <v>1.03E-2</v>
      </c>
      <c r="H52" s="32"/>
    </row>
    <row r="53" spans="2:8" ht="15.75" customHeight="1" x14ac:dyDescent="0.2">
      <c r="B53" s="28" t="s">
        <v>1020</v>
      </c>
      <c r="C53" s="28" t="s">
        <v>1021</v>
      </c>
      <c r="D53" s="28" t="s">
        <v>238</v>
      </c>
      <c r="E53" s="29">
        <v>10522</v>
      </c>
      <c r="F53" s="30">
        <v>93.85</v>
      </c>
      <c r="G53" s="31">
        <v>9.1000000000000004E-3</v>
      </c>
      <c r="H53" s="32"/>
    </row>
    <row r="54" spans="2:8" ht="15.75" customHeight="1" x14ac:dyDescent="0.2">
      <c r="B54" s="28" t="s">
        <v>1022</v>
      </c>
      <c r="C54" s="28" t="s">
        <v>1023</v>
      </c>
      <c r="D54" s="28" t="s">
        <v>190</v>
      </c>
      <c r="E54" s="29">
        <v>84765</v>
      </c>
      <c r="F54" s="30">
        <v>88.33</v>
      </c>
      <c r="G54" s="31">
        <v>8.5000000000000006E-3</v>
      </c>
      <c r="H54" s="32"/>
    </row>
    <row r="55" spans="2:8" ht="15.75" customHeight="1" x14ac:dyDescent="0.2">
      <c r="B55" s="28" t="s">
        <v>1024</v>
      </c>
      <c r="C55" s="28" t="s">
        <v>1025</v>
      </c>
      <c r="D55" s="28" t="s">
        <v>641</v>
      </c>
      <c r="E55" s="29">
        <v>3191</v>
      </c>
      <c r="F55" s="30">
        <v>87.22</v>
      </c>
      <c r="G55" s="31">
        <v>8.3999999999999995E-3</v>
      </c>
      <c r="H55" s="32"/>
    </row>
    <row r="56" spans="2:8" ht="15.75" customHeight="1" x14ac:dyDescent="0.2">
      <c r="B56" s="28" t="s">
        <v>1177</v>
      </c>
      <c r="C56" s="28" t="s">
        <v>1026</v>
      </c>
      <c r="D56" s="28" t="s">
        <v>229</v>
      </c>
      <c r="E56" s="29">
        <v>71406</v>
      </c>
      <c r="F56" s="30">
        <v>86.42</v>
      </c>
      <c r="G56" s="31">
        <v>8.3999999999999995E-3</v>
      </c>
      <c r="H56" s="32"/>
    </row>
    <row r="57" spans="2:8" ht="15.75" customHeight="1" x14ac:dyDescent="0.2">
      <c r="B57" s="28" t="s">
        <v>1178</v>
      </c>
      <c r="C57" s="28" t="s">
        <v>1027</v>
      </c>
      <c r="D57" s="28" t="s">
        <v>326</v>
      </c>
      <c r="E57" s="29">
        <v>71406</v>
      </c>
      <c r="F57" s="30">
        <v>86.42</v>
      </c>
      <c r="G57" s="31">
        <v>8.3999999999999995E-3</v>
      </c>
      <c r="H57" s="32"/>
    </row>
    <row r="58" spans="2:8" ht="15.75" customHeight="1" x14ac:dyDescent="0.2">
      <c r="B58" s="28" t="s">
        <v>1179</v>
      </c>
      <c r="C58" s="28" t="s">
        <v>1028</v>
      </c>
      <c r="D58" s="28" t="s">
        <v>251</v>
      </c>
      <c r="E58" s="29">
        <v>71406</v>
      </c>
      <c r="F58" s="30">
        <v>86.42</v>
      </c>
      <c r="G58" s="31">
        <v>8.3999999999999995E-3</v>
      </c>
      <c r="H58" s="32"/>
    </row>
    <row r="59" spans="2:8" ht="15.75" customHeight="1" x14ac:dyDescent="0.2">
      <c r="B59" s="28" t="s">
        <v>1180</v>
      </c>
      <c r="C59" s="28" t="s">
        <v>1181</v>
      </c>
      <c r="D59" s="28" t="s">
        <v>282</v>
      </c>
      <c r="E59" s="29">
        <v>71406</v>
      </c>
      <c r="F59" s="30">
        <v>86.42</v>
      </c>
      <c r="G59" s="31">
        <v>8.3999999999999995E-3</v>
      </c>
      <c r="H59" s="32"/>
    </row>
    <row r="60" spans="2:8" ht="15.75" customHeight="1" x14ac:dyDescent="0.2">
      <c r="B60" s="28" t="s">
        <v>1029</v>
      </c>
      <c r="C60" s="28" t="s">
        <v>1030</v>
      </c>
      <c r="D60" s="28" t="s">
        <v>190</v>
      </c>
      <c r="E60" s="29">
        <v>14779</v>
      </c>
      <c r="F60" s="30">
        <v>49.24</v>
      </c>
      <c r="G60" s="31">
        <v>4.7999999999999996E-3</v>
      </c>
      <c r="H60" s="32"/>
    </row>
    <row r="61" spans="2:8" ht="15.75" customHeight="1" x14ac:dyDescent="0.2">
      <c r="B61" s="27" t="s">
        <v>129</v>
      </c>
      <c r="C61" s="27"/>
      <c r="D61" s="27"/>
      <c r="E61" s="33"/>
      <c r="F61" s="34">
        <v>10288.51</v>
      </c>
      <c r="G61" s="35">
        <v>0.99519999999999997</v>
      </c>
      <c r="H61" s="36"/>
    </row>
    <row r="62" spans="2:8" ht="15.75" customHeight="1" x14ac:dyDescent="0.2">
      <c r="B62" s="27" t="s">
        <v>197</v>
      </c>
      <c r="C62" s="28"/>
      <c r="D62" s="28"/>
      <c r="E62" s="29"/>
      <c r="F62" s="30"/>
      <c r="G62" s="31"/>
      <c r="H62" s="32"/>
    </row>
    <row r="63" spans="2:8" ht="15.75" customHeight="1" x14ac:dyDescent="0.2">
      <c r="B63" s="27" t="s">
        <v>129</v>
      </c>
      <c r="C63" s="28"/>
      <c r="D63" s="28"/>
      <c r="E63" s="29"/>
      <c r="F63" s="37" t="s">
        <v>131</v>
      </c>
      <c r="G63" s="38" t="s">
        <v>131</v>
      </c>
      <c r="H63" s="32"/>
    </row>
    <row r="64" spans="2:8" ht="15.75" customHeight="1" x14ac:dyDescent="0.2">
      <c r="B64" s="28"/>
      <c r="C64" s="28"/>
      <c r="D64" s="28"/>
      <c r="E64" s="29"/>
      <c r="F64" s="30"/>
      <c r="G64" s="31"/>
      <c r="H64" s="32"/>
    </row>
    <row r="65" spans="2:14" ht="15.75" customHeight="1" x14ac:dyDescent="0.2">
      <c r="B65" s="39" t="s">
        <v>133</v>
      </c>
      <c r="C65" s="39"/>
      <c r="D65" s="39"/>
      <c r="E65" s="40"/>
      <c r="F65" s="34">
        <v>10288.51</v>
      </c>
      <c r="G65" s="35">
        <v>0.99519999999999997</v>
      </c>
      <c r="H65" s="36"/>
    </row>
    <row r="66" spans="2:14" ht="15.75" customHeight="1" x14ac:dyDescent="0.2">
      <c r="B66" s="28"/>
      <c r="C66" s="28"/>
      <c r="D66" s="28"/>
      <c r="E66" s="29"/>
      <c r="F66" s="30"/>
      <c r="G66" s="31"/>
      <c r="H66" s="32"/>
    </row>
    <row r="67" spans="2:14" ht="15.75" customHeight="1" x14ac:dyDescent="0.2">
      <c r="B67" s="28"/>
      <c r="C67" s="28"/>
      <c r="D67" s="28"/>
      <c r="E67" s="29"/>
      <c r="F67" s="30"/>
      <c r="G67" s="31"/>
      <c r="H67" s="32"/>
    </row>
    <row r="68" spans="2:14" ht="15.75" customHeight="1" x14ac:dyDescent="0.2">
      <c r="B68" s="27" t="s">
        <v>139</v>
      </c>
      <c r="C68" s="28"/>
      <c r="D68" s="28"/>
      <c r="E68" s="29"/>
      <c r="F68" s="30"/>
      <c r="G68" s="31"/>
      <c r="H68" s="32"/>
      <c r="J68" s="3"/>
    </row>
    <row r="69" spans="2:14" ht="15.75" customHeight="1" x14ac:dyDescent="0.2">
      <c r="B69" s="28" t="s">
        <v>140</v>
      </c>
      <c r="C69" s="28"/>
      <c r="D69" s="28"/>
      <c r="E69" s="29"/>
      <c r="F69" s="30">
        <v>43.48</v>
      </c>
      <c r="G69" s="31">
        <v>4.1999999999999997E-3</v>
      </c>
      <c r="H69" s="32"/>
    </row>
    <row r="70" spans="2:14" ht="15.75" customHeight="1" x14ac:dyDescent="0.2">
      <c r="B70" s="27" t="s">
        <v>129</v>
      </c>
      <c r="C70" s="27"/>
      <c r="D70" s="27"/>
      <c r="E70" s="33"/>
      <c r="F70" s="34">
        <v>43.48</v>
      </c>
      <c r="G70" s="35">
        <v>4.1999999999999997E-3</v>
      </c>
      <c r="H70" s="36"/>
      <c r="J70" s="3"/>
    </row>
    <row r="71" spans="2:14" ht="15.75" customHeight="1" x14ac:dyDescent="0.2">
      <c r="B71" s="28"/>
      <c r="C71" s="28"/>
      <c r="D71" s="28"/>
      <c r="E71" s="29"/>
      <c r="F71" s="30"/>
      <c r="G71" s="31"/>
      <c r="H71" s="32"/>
      <c r="J71" s="3"/>
    </row>
    <row r="72" spans="2:14" ht="15.75" customHeight="1" x14ac:dyDescent="0.2">
      <c r="B72" s="39" t="s">
        <v>133</v>
      </c>
      <c r="C72" s="39"/>
      <c r="D72" s="39"/>
      <c r="E72" s="40"/>
      <c r="F72" s="34">
        <v>43.48</v>
      </c>
      <c r="G72" s="35">
        <v>4.1999999999999997E-3</v>
      </c>
      <c r="H72" s="36"/>
      <c r="J72" s="3"/>
    </row>
    <row r="73" spans="2:14" ht="15.75" customHeight="1" x14ac:dyDescent="0.2">
      <c r="B73" s="28" t="s">
        <v>141</v>
      </c>
      <c r="C73" s="28"/>
      <c r="D73" s="28"/>
      <c r="E73" s="29"/>
      <c r="F73" s="30">
        <v>5.52</v>
      </c>
      <c r="G73" s="31">
        <v>6.0000000000004494E-4</v>
      </c>
      <c r="H73" s="32"/>
      <c r="J73" s="3"/>
    </row>
    <row r="74" spans="2:14" ht="15.75" customHeight="1" x14ac:dyDescent="0.2">
      <c r="B74" s="41" t="s">
        <v>142</v>
      </c>
      <c r="C74" s="41"/>
      <c r="D74" s="41"/>
      <c r="E74" s="42"/>
      <c r="F74" s="43">
        <v>10337.51</v>
      </c>
      <c r="G74" s="44">
        <v>1</v>
      </c>
      <c r="H74" s="45"/>
      <c r="J74" s="3"/>
    </row>
    <row r="75" spans="2:14" ht="15.75" customHeight="1" x14ac:dyDescent="0.2">
      <c r="B75" s="2"/>
      <c r="J75" s="5"/>
      <c r="K75" s="5"/>
      <c r="L75" s="6"/>
      <c r="M75" s="6"/>
      <c r="N75" s="5"/>
    </row>
    <row r="76" spans="2:14" ht="15.75" customHeight="1" x14ac:dyDescent="0.2">
      <c r="B76" s="15" t="s">
        <v>143</v>
      </c>
    </row>
    <row r="78" spans="2:14" s="7" customFormat="1" ht="15.6" customHeight="1" x14ac:dyDescent="0.25">
      <c r="B78" s="63" t="s">
        <v>1067</v>
      </c>
      <c r="C78" s="70"/>
      <c r="D78" s="70"/>
      <c r="E78" s="70"/>
      <c r="F78" s="70"/>
      <c r="G78" s="70"/>
      <c r="H78" s="64"/>
    </row>
    <row r="79" spans="2:14" s="7" customFormat="1" ht="15.6" customHeight="1" x14ac:dyDescent="0.25">
      <c r="B79" s="63" t="s">
        <v>1108</v>
      </c>
      <c r="C79" s="70"/>
      <c r="D79" s="70"/>
      <c r="E79" s="70"/>
      <c r="F79" s="70"/>
      <c r="G79" s="70"/>
      <c r="H79" s="64"/>
    </row>
    <row r="80" spans="2:14" s="7" customFormat="1" ht="15.6" customHeight="1" x14ac:dyDescent="0.25">
      <c r="B80" s="63" t="s">
        <v>1068</v>
      </c>
      <c r="C80" s="70"/>
      <c r="D80" s="70"/>
      <c r="E80" s="70"/>
      <c r="F80" s="70"/>
      <c r="G80" s="70"/>
      <c r="H80" s="64"/>
    </row>
    <row r="81" spans="2:14" s="7" customFormat="1" ht="15.6" customHeight="1" x14ac:dyDescent="0.25">
      <c r="B81" s="71"/>
      <c r="C81" s="65">
        <v>46142</v>
      </c>
      <c r="D81" s="65">
        <v>46112</v>
      </c>
      <c r="E81" s="70"/>
      <c r="F81" s="70"/>
      <c r="G81" s="70"/>
      <c r="H81" s="64"/>
    </row>
    <row r="82" spans="2:14" s="7" customFormat="1" ht="15.6" customHeight="1" x14ac:dyDescent="0.25">
      <c r="B82" s="71" t="s">
        <v>1069</v>
      </c>
      <c r="C82" s="66"/>
      <c r="D82" s="66"/>
      <c r="E82" s="70"/>
      <c r="F82" s="70"/>
      <c r="G82" s="70"/>
      <c r="H82" s="64"/>
    </row>
    <row r="83" spans="2:14" s="7" customFormat="1" ht="15.6" customHeight="1" x14ac:dyDescent="0.25">
      <c r="B83" s="71" t="s">
        <v>1070</v>
      </c>
      <c r="C83" s="67">
        <v>51.638500000000001</v>
      </c>
      <c r="D83" s="67">
        <v>44.793799999999997</v>
      </c>
      <c r="E83" s="70"/>
      <c r="F83" s="70"/>
      <c r="G83" s="70"/>
      <c r="H83" s="64"/>
    </row>
    <row r="84" spans="2:14" s="7" customFormat="1" ht="15.6" customHeight="1" x14ac:dyDescent="0.25">
      <c r="B84" s="71" t="s">
        <v>1071</v>
      </c>
      <c r="C84" s="67">
        <v>51.638500000000001</v>
      </c>
      <c r="D84" s="67">
        <v>44.793900000000001</v>
      </c>
      <c r="E84" s="70"/>
      <c r="F84" s="70"/>
      <c r="G84" s="70"/>
      <c r="H84" s="64"/>
    </row>
    <row r="85" spans="2:14" s="7" customFormat="1" ht="15.6" customHeight="1" x14ac:dyDescent="0.25">
      <c r="B85" s="71" t="s">
        <v>1073</v>
      </c>
      <c r="C85" s="67">
        <v>56.885799999999996</v>
      </c>
      <c r="D85" s="67">
        <v>49.323599999999999</v>
      </c>
      <c r="E85" s="70"/>
      <c r="F85" s="70"/>
      <c r="G85" s="70"/>
      <c r="H85" s="64"/>
    </row>
    <row r="86" spans="2:14" s="7" customFormat="1" ht="15.6" customHeight="1" x14ac:dyDescent="0.25">
      <c r="B86" s="71" t="s">
        <v>1074</v>
      </c>
      <c r="C86" s="67">
        <v>56.8857</v>
      </c>
      <c r="D86" s="67">
        <v>49.323500000000003</v>
      </c>
      <c r="E86" s="70"/>
      <c r="F86" s="70"/>
      <c r="G86" s="70"/>
      <c r="H86" s="64"/>
    </row>
    <row r="87" spans="2:14" s="7" customFormat="1" ht="15.6" customHeight="1" x14ac:dyDescent="0.25">
      <c r="B87" s="63" t="s">
        <v>1116</v>
      </c>
      <c r="C87" s="70"/>
      <c r="D87" s="70"/>
      <c r="E87" s="70"/>
      <c r="F87" s="70"/>
      <c r="G87" s="70"/>
      <c r="H87" s="64"/>
    </row>
    <row r="88" spans="2:14" s="7" customFormat="1" ht="15.6" customHeight="1" x14ac:dyDescent="0.25">
      <c r="B88" s="63" t="s">
        <v>1109</v>
      </c>
      <c r="C88" s="70"/>
      <c r="D88" s="70"/>
      <c r="E88" s="70"/>
      <c r="F88" s="70"/>
      <c r="G88" s="70"/>
      <c r="H88" s="64"/>
    </row>
    <row r="89" spans="2:14" s="7" customFormat="1" ht="15.6" customHeight="1" x14ac:dyDescent="0.25">
      <c r="B89" s="63" t="s">
        <v>1111</v>
      </c>
      <c r="C89" s="70"/>
      <c r="D89" s="70"/>
      <c r="E89" s="70"/>
      <c r="F89" s="70"/>
      <c r="G89" s="70"/>
      <c r="H89" s="64"/>
    </row>
    <row r="90" spans="2:14" s="7" customFormat="1" ht="15.6" customHeight="1" x14ac:dyDescent="0.25">
      <c r="B90" s="63" t="s">
        <v>1112</v>
      </c>
      <c r="C90" s="70"/>
      <c r="D90" s="70"/>
      <c r="E90" s="70"/>
      <c r="F90" s="70"/>
      <c r="G90" s="70"/>
      <c r="H90" s="64"/>
    </row>
    <row r="91" spans="2:14" s="7" customFormat="1" ht="15.6" customHeight="1" x14ac:dyDescent="0.25">
      <c r="B91" s="63" t="s">
        <v>1102</v>
      </c>
      <c r="C91" s="70"/>
      <c r="D91" s="70"/>
      <c r="E91" s="70"/>
      <c r="F91" s="70"/>
      <c r="G91" s="70"/>
      <c r="H91" s="64"/>
    </row>
    <row r="92" spans="2:14" s="7" customFormat="1" ht="15.6" customHeight="1" x14ac:dyDescent="0.25">
      <c r="B92" s="63" t="s">
        <v>1113</v>
      </c>
      <c r="C92" s="70"/>
      <c r="D92" s="70"/>
      <c r="E92" s="70"/>
      <c r="F92" s="70"/>
      <c r="G92" s="70"/>
      <c r="H92" s="64"/>
    </row>
    <row r="93" spans="2:14" s="7" customFormat="1" ht="15.6" customHeight="1" x14ac:dyDescent="0.25">
      <c r="B93" s="68" t="s">
        <v>1076</v>
      </c>
      <c r="C93" s="72"/>
      <c r="D93" s="72"/>
      <c r="E93" s="72"/>
      <c r="F93" s="72"/>
      <c r="G93" s="72"/>
      <c r="H93" s="69"/>
    </row>
    <row r="94" spans="2:14" ht="15.75" customHeight="1" thickBot="1" x14ac:dyDescent="0.25">
      <c r="J94" s="7"/>
      <c r="K94" s="7"/>
      <c r="L94" s="7"/>
      <c r="M94" s="7"/>
      <c r="N94" s="7"/>
    </row>
    <row r="95" spans="2:14" ht="39.75" customHeight="1" thickBot="1" x14ac:dyDescent="0.3">
      <c r="B95" s="46" t="s">
        <v>146</v>
      </c>
      <c r="C95" s="47" t="s">
        <v>147</v>
      </c>
      <c r="D95" s="47" t="s">
        <v>148</v>
      </c>
      <c r="E95"/>
      <c r="J95" s="7"/>
      <c r="K95" s="7"/>
      <c r="L95" s="7"/>
      <c r="M95" s="7"/>
      <c r="N95" s="7"/>
    </row>
    <row r="96" spans="2:14" ht="39.75" customHeight="1" x14ac:dyDescent="0.25">
      <c r="B96" s="52" t="s">
        <v>1031</v>
      </c>
      <c r="C96" s="109"/>
      <c r="D96" s="52" t="s">
        <v>1032</v>
      </c>
      <c r="E96"/>
      <c r="J96" s="7"/>
      <c r="K96" s="7"/>
      <c r="L96" s="7"/>
      <c r="M96" s="7"/>
      <c r="N96" s="7"/>
    </row>
    <row r="97" spans="2:14" ht="39.75" customHeight="1" x14ac:dyDescent="0.25">
      <c r="B97" s="112" t="s">
        <v>1033</v>
      </c>
      <c r="C97" s="110"/>
      <c r="D97" s="114"/>
      <c r="E97"/>
      <c r="J97" s="7"/>
      <c r="K97" s="7"/>
      <c r="L97" s="7"/>
      <c r="M97" s="7"/>
      <c r="N97" s="7"/>
    </row>
    <row r="98" spans="2:14" ht="39.75" customHeight="1" x14ac:dyDescent="0.25">
      <c r="B98" s="112"/>
      <c r="C98" s="110"/>
      <c r="D98" s="114"/>
      <c r="E98"/>
      <c r="J98" s="7"/>
      <c r="K98" s="7"/>
      <c r="L98" s="7"/>
      <c r="M98" s="7"/>
      <c r="N98" s="7"/>
    </row>
    <row r="99" spans="2:14" ht="39.75" customHeight="1" x14ac:dyDescent="0.25">
      <c r="B99" s="112"/>
      <c r="C99" s="110"/>
      <c r="D99" s="114"/>
      <c r="E99"/>
      <c r="J99" s="7"/>
      <c r="K99" s="7"/>
      <c r="L99" s="7"/>
      <c r="M99" s="7"/>
      <c r="N99" s="7"/>
    </row>
    <row r="100" spans="2:14" ht="39.75" customHeight="1" thickBot="1" x14ac:dyDescent="0.3">
      <c r="B100" s="113"/>
      <c r="C100" s="111"/>
      <c r="D100" s="115"/>
      <c r="E100"/>
    </row>
    <row r="101" spans="2:14" ht="15.75" customHeight="1" x14ac:dyDescent="0.2">
      <c r="B101" s="9" t="s">
        <v>149</v>
      </c>
      <c r="J101" s="3"/>
    </row>
    <row r="102" spans="2:14" ht="15.75" customHeight="1" x14ac:dyDescent="0.2">
      <c r="B102" s="9" t="s">
        <v>150</v>
      </c>
    </row>
    <row r="103" spans="2:14" ht="15.75" customHeight="1" x14ac:dyDescent="0.2">
      <c r="B103" s="9" t="s">
        <v>151</v>
      </c>
    </row>
  </sheetData>
  <mergeCells count="3">
    <mergeCell ref="C96:C100"/>
    <mergeCell ref="B97:B100"/>
    <mergeCell ref="D97:D100"/>
  </mergeCells>
  <hyperlinks>
    <hyperlink ref="G1" location="'Sheet1'!A1" display="Index" xr:uid="{22A82029-243E-493E-B270-273EB4C02C2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75FB4-E74C-444C-8749-AD2631A00E4A}">
  <dimension ref="B1:N15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35</v>
      </c>
      <c r="C1" s="4" t="s">
        <v>1035</v>
      </c>
      <c r="D1" s="4" t="s">
        <v>1034</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826074</v>
      </c>
      <c r="F7" s="30">
        <v>6374.81</v>
      </c>
      <c r="G7" s="31">
        <v>8.77E-2</v>
      </c>
      <c r="H7" s="32"/>
    </row>
    <row r="8" spans="2:8" ht="15.75" customHeight="1" x14ac:dyDescent="0.2">
      <c r="B8" s="28" t="s">
        <v>174</v>
      </c>
      <c r="C8" s="28" t="s">
        <v>175</v>
      </c>
      <c r="D8" s="28" t="s">
        <v>176</v>
      </c>
      <c r="E8" s="29">
        <v>364494</v>
      </c>
      <c r="F8" s="30">
        <v>5215.18</v>
      </c>
      <c r="G8" s="31">
        <v>7.17E-2</v>
      </c>
      <c r="H8" s="32"/>
    </row>
    <row r="9" spans="2:8" ht="15.75" customHeight="1" x14ac:dyDescent="0.2">
      <c r="B9" s="28" t="s">
        <v>191</v>
      </c>
      <c r="C9" s="28" t="s">
        <v>192</v>
      </c>
      <c r="D9" s="28" t="s">
        <v>173</v>
      </c>
      <c r="E9" s="29">
        <v>386015</v>
      </c>
      <c r="F9" s="30">
        <v>4876.91</v>
      </c>
      <c r="G9" s="31">
        <v>6.7100000000000007E-2</v>
      </c>
      <c r="H9" s="32"/>
    </row>
    <row r="10" spans="2:8" ht="15.75" customHeight="1" x14ac:dyDescent="0.2">
      <c r="B10" s="28" t="s">
        <v>214</v>
      </c>
      <c r="C10" s="28" t="s">
        <v>215</v>
      </c>
      <c r="D10" s="28" t="s">
        <v>216</v>
      </c>
      <c r="E10" s="29">
        <v>165545</v>
      </c>
      <c r="F10" s="30">
        <v>3123.5</v>
      </c>
      <c r="G10" s="31">
        <v>4.2999999999999997E-2</v>
      </c>
      <c r="H10" s="32"/>
    </row>
    <row r="11" spans="2:8" ht="15.75" customHeight="1" x14ac:dyDescent="0.2">
      <c r="B11" s="28" t="s">
        <v>316</v>
      </c>
      <c r="C11" s="28" t="s">
        <v>317</v>
      </c>
      <c r="D11" s="28" t="s">
        <v>318</v>
      </c>
      <c r="E11" s="29">
        <v>63383</v>
      </c>
      <c r="F11" s="30">
        <v>2544.19</v>
      </c>
      <c r="G11" s="31">
        <v>3.5000000000000003E-2</v>
      </c>
      <c r="H11" s="32"/>
    </row>
    <row r="12" spans="2:8" ht="15.75" customHeight="1" x14ac:dyDescent="0.2">
      <c r="B12" s="28" t="s">
        <v>212</v>
      </c>
      <c r="C12" s="28" t="s">
        <v>213</v>
      </c>
      <c r="D12" s="28" t="s">
        <v>173</v>
      </c>
      <c r="E12" s="29">
        <v>224020</v>
      </c>
      <c r="F12" s="30">
        <v>2393.54</v>
      </c>
      <c r="G12" s="31">
        <v>3.2899999999999999E-2</v>
      </c>
      <c r="H12" s="32"/>
    </row>
    <row r="13" spans="2:8" ht="15.75" customHeight="1" x14ac:dyDescent="0.2">
      <c r="B13" s="28" t="s">
        <v>180</v>
      </c>
      <c r="C13" s="28" t="s">
        <v>181</v>
      </c>
      <c r="D13" s="28" t="s">
        <v>182</v>
      </c>
      <c r="E13" s="29">
        <v>189320</v>
      </c>
      <c r="F13" s="30">
        <v>2237.38</v>
      </c>
      <c r="G13" s="31">
        <v>3.0800000000000001E-2</v>
      </c>
      <c r="H13" s="32"/>
    </row>
    <row r="14" spans="2:8" ht="15.75" customHeight="1" x14ac:dyDescent="0.2">
      <c r="B14" s="28" t="s">
        <v>183</v>
      </c>
      <c r="C14" s="28" t="s">
        <v>184</v>
      </c>
      <c r="D14" s="28" t="s">
        <v>173</v>
      </c>
      <c r="E14" s="29">
        <v>154917</v>
      </c>
      <c r="F14" s="30">
        <v>1964.81</v>
      </c>
      <c r="G14" s="31">
        <v>2.7E-2</v>
      </c>
      <c r="H14" s="32"/>
    </row>
    <row r="15" spans="2:8" ht="15.75" customHeight="1" x14ac:dyDescent="0.2">
      <c r="B15" s="28" t="s">
        <v>256</v>
      </c>
      <c r="C15" s="28" t="s">
        <v>257</v>
      </c>
      <c r="D15" s="28" t="s">
        <v>187</v>
      </c>
      <c r="E15" s="29">
        <v>520462</v>
      </c>
      <c r="F15" s="30">
        <v>1638.93</v>
      </c>
      <c r="G15" s="31">
        <v>2.2499999999999999E-2</v>
      </c>
      <c r="H15" s="32"/>
    </row>
    <row r="16" spans="2:8" ht="15.75" customHeight="1" x14ac:dyDescent="0.2">
      <c r="B16" s="28" t="s">
        <v>220</v>
      </c>
      <c r="C16" s="28" t="s">
        <v>221</v>
      </c>
      <c r="D16" s="28" t="s">
        <v>173</v>
      </c>
      <c r="E16" s="29">
        <v>397421</v>
      </c>
      <c r="F16" s="30">
        <v>1523.31</v>
      </c>
      <c r="G16" s="31">
        <v>2.1000000000000001E-2</v>
      </c>
      <c r="H16" s="32"/>
    </row>
    <row r="17" spans="2:8" ht="15.75" customHeight="1" x14ac:dyDescent="0.2">
      <c r="B17" s="28" t="s">
        <v>193</v>
      </c>
      <c r="C17" s="28" t="s">
        <v>194</v>
      </c>
      <c r="D17" s="28" t="s">
        <v>195</v>
      </c>
      <c r="E17" s="29">
        <v>48240</v>
      </c>
      <c r="F17" s="30">
        <v>1494.23</v>
      </c>
      <c r="G17" s="31">
        <v>2.06E-2</v>
      </c>
      <c r="H17" s="32"/>
    </row>
    <row r="18" spans="2:8" ht="15.75" customHeight="1" x14ac:dyDescent="0.2">
      <c r="B18" s="28" t="s">
        <v>314</v>
      </c>
      <c r="C18" s="28" t="s">
        <v>315</v>
      </c>
      <c r="D18" s="28" t="s">
        <v>182</v>
      </c>
      <c r="E18" s="29">
        <v>55158</v>
      </c>
      <c r="F18" s="30">
        <v>1364.55</v>
      </c>
      <c r="G18" s="31">
        <v>1.8800000000000001E-2</v>
      </c>
      <c r="H18" s="32"/>
    </row>
    <row r="19" spans="2:8" ht="15.75" customHeight="1" x14ac:dyDescent="0.2">
      <c r="B19" s="28" t="s">
        <v>225</v>
      </c>
      <c r="C19" s="28" t="s">
        <v>226</v>
      </c>
      <c r="D19" s="28" t="s">
        <v>190</v>
      </c>
      <c r="E19" s="29">
        <v>144383</v>
      </c>
      <c r="F19" s="30">
        <v>1352.87</v>
      </c>
      <c r="G19" s="31">
        <v>1.8599999999999998E-2</v>
      </c>
      <c r="H19" s="32"/>
    </row>
    <row r="20" spans="2:8" ht="15.75" customHeight="1" x14ac:dyDescent="0.2">
      <c r="B20" s="28" t="s">
        <v>185</v>
      </c>
      <c r="C20" s="28" t="s">
        <v>186</v>
      </c>
      <c r="D20" s="28" t="s">
        <v>187</v>
      </c>
      <c r="E20" s="29">
        <v>47895</v>
      </c>
      <c r="F20" s="30">
        <v>1078.07</v>
      </c>
      <c r="G20" s="31">
        <v>1.4800000000000001E-2</v>
      </c>
      <c r="H20" s="32"/>
    </row>
    <row r="21" spans="2:8" ht="15.75" customHeight="1" x14ac:dyDescent="0.2">
      <c r="B21" s="28" t="s">
        <v>236</v>
      </c>
      <c r="C21" s="28" t="s">
        <v>237</v>
      </c>
      <c r="D21" s="28" t="s">
        <v>238</v>
      </c>
      <c r="E21" s="29">
        <v>57178</v>
      </c>
      <c r="F21" s="30">
        <v>1033.95</v>
      </c>
      <c r="G21" s="31">
        <v>1.4200000000000001E-2</v>
      </c>
      <c r="H21" s="32"/>
    </row>
    <row r="22" spans="2:8" ht="15.75" customHeight="1" x14ac:dyDescent="0.2">
      <c r="B22" s="28" t="s">
        <v>249</v>
      </c>
      <c r="C22" s="28" t="s">
        <v>250</v>
      </c>
      <c r="D22" s="28" t="s">
        <v>251</v>
      </c>
      <c r="E22" s="29">
        <v>255999</v>
      </c>
      <c r="F22" s="30">
        <v>1021.82</v>
      </c>
      <c r="G22" s="31">
        <v>1.41E-2</v>
      </c>
      <c r="H22" s="32"/>
    </row>
    <row r="23" spans="2:8" ht="15.75" customHeight="1" x14ac:dyDescent="0.2">
      <c r="B23" s="28" t="s">
        <v>296</v>
      </c>
      <c r="C23" s="28" t="s">
        <v>297</v>
      </c>
      <c r="D23" s="28" t="s">
        <v>271</v>
      </c>
      <c r="E23" s="29">
        <v>22277</v>
      </c>
      <c r="F23" s="30">
        <v>976.89</v>
      </c>
      <c r="G23" s="31">
        <v>1.34E-2</v>
      </c>
      <c r="H23" s="32"/>
    </row>
    <row r="24" spans="2:8" ht="15.75" customHeight="1" x14ac:dyDescent="0.2">
      <c r="B24" s="28" t="s">
        <v>241</v>
      </c>
      <c r="C24" s="28" t="s">
        <v>242</v>
      </c>
      <c r="D24" s="28" t="s">
        <v>243</v>
      </c>
      <c r="E24" s="29">
        <v>388838</v>
      </c>
      <c r="F24" s="30">
        <v>960.55</v>
      </c>
      <c r="G24" s="31">
        <v>1.32E-2</v>
      </c>
      <c r="H24" s="32"/>
    </row>
    <row r="25" spans="2:8" ht="15.75" customHeight="1" x14ac:dyDescent="0.2">
      <c r="B25" s="28" t="s">
        <v>227</v>
      </c>
      <c r="C25" s="28" t="s">
        <v>228</v>
      </c>
      <c r="D25" s="28" t="s">
        <v>229</v>
      </c>
      <c r="E25" s="29">
        <v>446230</v>
      </c>
      <c r="F25" s="30">
        <v>943.15</v>
      </c>
      <c r="G25" s="31">
        <v>1.2999999999999999E-2</v>
      </c>
      <c r="H25" s="32"/>
    </row>
    <row r="26" spans="2:8" ht="15.75" customHeight="1" x14ac:dyDescent="0.2">
      <c r="B26" s="28" t="s">
        <v>232</v>
      </c>
      <c r="C26" s="28" t="s">
        <v>233</v>
      </c>
      <c r="D26" s="28" t="s">
        <v>195</v>
      </c>
      <c r="E26" s="29">
        <v>7081</v>
      </c>
      <c r="F26" s="30">
        <v>942.76</v>
      </c>
      <c r="G26" s="31">
        <v>1.2999999999999999E-2</v>
      </c>
      <c r="H26" s="32"/>
    </row>
    <row r="27" spans="2:8" ht="15.75" customHeight="1" x14ac:dyDescent="0.2">
      <c r="B27" s="28" t="s">
        <v>222</v>
      </c>
      <c r="C27" s="28" t="s">
        <v>223</v>
      </c>
      <c r="D27" s="28" t="s">
        <v>224</v>
      </c>
      <c r="E27" s="29">
        <v>193376</v>
      </c>
      <c r="F27" s="30">
        <v>834.03</v>
      </c>
      <c r="G27" s="31">
        <v>1.15E-2</v>
      </c>
      <c r="H27" s="32"/>
    </row>
    <row r="28" spans="2:8" ht="15.75" customHeight="1" x14ac:dyDescent="0.2">
      <c r="B28" s="28" t="s">
        <v>324</v>
      </c>
      <c r="C28" s="28" t="s">
        <v>325</v>
      </c>
      <c r="D28" s="28" t="s">
        <v>326</v>
      </c>
      <c r="E28" s="29">
        <v>78168</v>
      </c>
      <c r="F28" s="30">
        <v>811.38</v>
      </c>
      <c r="G28" s="31">
        <v>1.12E-2</v>
      </c>
      <c r="H28" s="32"/>
    </row>
    <row r="29" spans="2:8" ht="15.75" customHeight="1" x14ac:dyDescent="0.2">
      <c r="B29" s="28" t="s">
        <v>389</v>
      </c>
      <c r="C29" s="28" t="s">
        <v>390</v>
      </c>
      <c r="D29" s="28" t="s">
        <v>251</v>
      </c>
      <c r="E29" s="29">
        <v>244580</v>
      </c>
      <c r="F29" s="30">
        <v>778.62</v>
      </c>
      <c r="G29" s="31">
        <v>1.0699999999999999E-2</v>
      </c>
      <c r="H29" s="32"/>
    </row>
    <row r="30" spans="2:8" ht="15.75" customHeight="1" x14ac:dyDescent="0.2">
      <c r="B30" s="28" t="s">
        <v>329</v>
      </c>
      <c r="C30" s="28" t="s">
        <v>330</v>
      </c>
      <c r="D30" s="28" t="s">
        <v>331</v>
      </c>
      <c r="E30" s="29">
        <v>6393</v>
      </c>
      <c r="F30" s="30">
        <v>740.69</v>
      </c>
      <c r="G30" s="31">
        <v>1.0200000000000001E-2</v>
      </c>
      <c r="H30" s="32"/>
    </row>
    <row r="31" spans="2:8" ht="15.75" customHeight="1" x14ac:dyDescent="0.2">
      <c r="B31" s="28" t="s">
        <v>188</v>
      </c>
      <c r="C31" s="28" t="s">
        <v>189</v>
      </c>
      <c r="D31" s="28" t="s">
        <v>190</v>
      </c>
      <c r="E31" s="29">
        <v>75556</v>
      </c>
      <c r="F31" s="30">
        <v>708.22</v>
      </c>
      <c r="G31" s="31">
        <v>9.7000000000000003E-3</v>
      </c>
      <c r="H31" s="32"/>
    </row>
    <row r="32" spans="2:8" ht="15.75" customHeight="1" x14ac:dyDescent="0.2">
      <c r="B32" s="28" t="s">
        <v>409</v>
      </c>
      <c r="C32" s="28" t="s">
        <v>410</v>
      </c>
      <c r="D32" s="28" t="s">
        <v>182</v>
      </c>
      <c r="E32" s="29">
        <v>56981</v>
      </c>
      <c r="F32" s="30">
        <v>683.26</v>
      </c>
      <c r="G32" s="31">
        <v>9.4000000000000004E-3</v>
      </c>
      <c r="H32" s="32"/>
    </row>
    <row r="33" spans="2:8" ht="15.75" customHeight="1" x14ac:dyDescent="0.2">
      <c r="B33" s="28" t="s">
        <v>849</v>
      </c>
      <c r="C33" s="28" t="s">
        <v>850</v>
      </c>
      <c r="D33" s="28" t="s">
        <v>219</v>
      </c>
      <c r="E33" s="29">
        <v>39818</v>
      </c>
      <c r="F33" s="30">
        <v>659.9</v>
      </c>
      <c r="G33" s="31">
        <v>9.1000000000000004E-3</v>
      </c>
      <c r="H33" s="32"/>
    </row>
    <row r="34" spans="2:8" ht="15.75" customHeight="1" x14ac:dyDescent="0.2">
      <c r="B34" s="28" t="s">
        <v>851</v>
      </c>
      <c r="C34" s="28" t="s">
        <v>852</v>
      </c>
      <c r="D34" s="28" t="s">
        <v>229</v>
      </c>
      <c r="E34" s="29">
        <v>50617</v>
      </c>
      <c r="F34" s="30">
        <v>640.04999999999995</v>
      </c>
      <c r="G34" s="31">
        <v>8.8000000000000005E-3</v>
      </c>
      <c r="H34" s="32"/>
    </row>
    <row r="35" spans="2:8" ht="15.75" customHeight="1" x14ac:dyDescent="0.2">
      <c r="B35" s="28" t="s">
        <v>280</v>
      </c>
      <c r="C35" s="28" t="s">
        <v>281</v>
      </c>
      <c r="D35" s="28" t="s">
        <v>282</v>
      </c>
      <c r="E35" s="29">
        <v>209834</v>
      </c>
      <c r="F35" s="30">
        <v>628.55999999999995</v>
      </c>
      <c r="G35" s="31">
        <v>8.6E-3</v>
      </c>
      <c r="H35" s="32"/>
    </row>
    <row r="36" spans="2:8" ht="15.75" customHeight="1" x14ac:dyDescent="0.2">
      <c r="B36" s="28" t="s">
        <v>642</v>
      </c>
      <c r="C36" s="28" t="s">
        <v>643</v>
      </c>
      <c r="D36" s="28" t="s">
        <v>195</v>
      </c>
      <c r="E36" s="29">
        <v>5982</v>
      </c>
      <c r="F36" s="30">
        <v>597.84</v>
      </c>
      <c r="G36" s="31">
        <v>8.2000000000000007E-3</v>
      </c>
      <c r="H36" s="32"/>
    </row>
    <row r="37" spans="2:8" ht="15.75" customHeight="1" x14ac:dyDescent="0.2">
      <c r="B37" s="28" t="s">
        <v>294</v>
      </c>
      <c r="C37" s="28" t="s">
        <v>295</v>
      </c>
      <c r="D37" s="28" t="s">
        <v>271</v>
      </c>
      <c r="E37" s="29">
        <v>24405</v>
      </c>
      <c r="F37" s="30">
        <v>596.58000000000004</v>
      </c>
      <c r="G37" s="31">
        <v>8.2000000000000007E-3</v>
      </c>
      <c r="H37" s="32"/>
    </row>
    <row r="38" spans="2:8" ht="15.75" customHeight="1" x14ac:dyDescent="0.2">
      <c r="B38" s="28" t="s">
        <v>853</v>
      </c>
      <c r="C38" s="28" t="s">
        <v>854</v>
      </c>
      <c r="D38" s="28" t="s">
        <v>855</v>
      </c>
      <c r="E38" s="29">
        <v>122602</v>
      </c>
      <c r="F38" s="30">
        <v>590.27</v>
      </c>
      <c r="G38" s="31">
        <v>8.0999999999999996E-3</v>
      </c>
      <c r="H38" s="32"/>
    </row>
    <row r="39" spans="2:8" ht="15.75" customHeight="1" x14ac:dyDescent="0.2">
      <c r="B39" s="28" t="s">
        <v>379</v>
      </c>
      <c r="C39" s="28" t="s">
        <v>380</v>
      </c>
      <c r="D39" s="28" t="s">
        <v>331</v>
      </c>
      <c r="E39" s="29">
        <v>20556</v>
      </c>
      <c r="F39" s="30">
        <v>574.44000000000005</v>
      </c>
      <c r="G39" s="31">
        <v>7.9000000000000008E-3</v>
      </c>
      <c r="H39" s="32"/>
    </row>
    <row r="40" spans="2:8" ht="15.75" customHeight="1" x14ac:dyDescent="0.2">
      <c r="B40" s="28" t="s">
        <v>244</v>
      </c>
      <c r="C40" s="28" t="s">
        <v>245</v>
      </c>
      <c r="D40" s="28" t="s">
        <v>196</v>
      </c>
      <c r="E40" s="29">
        <v>38715</v>
      </c>
      <c r="F40" s="30">
        <v>564.70000000000005</v>
      </c>
      <c r="G40" s="31">
        <v>7.7999999999999996E-3</v>
      </c>
      <c r="H40" s="32"/>
    </row>
    <row r="41" spans="2:8" ht="15.75" customHeight="1" x14ac:dyDescent="0.2">
      <c r="B41" s="28" t="s">
        <v>288</v>
      </c>
      <c r="C41" s="28" t="s">
        <v>289</v>
      </c>
      <c r="D41" s="28" t="s">
        <v>190</v>
      </c>
      <c r="E41" s="29">
        <v>31156</v>
      </c>
      <c r="F41" s="30">
        <v>544.36</v>
      </c>
      <c r="G41" s="31">
        <v>7.4999999999999997E-3</v>
      </c>
      <c r="H41" s="32"/>
    </row>
    <row r="42" spans="2:8" ht="15.75" customHeight="1" x14ac:dyDescent="0.2">
      <c r="B42" s="28" t="s">
        <v>258</v>
      </c>
      <c r="C42" s="28" t="s">
        <v>259</v>
      </c>
      <c r="D42" s="28" t="s">
        <v>195</v>
      </c>
      <c r="E42" s="29">
        <v>7430</v>
      </c>
      <c r="F42" s="30">
        <v>528.20000000000005</v>
      </c>
      <c r="G42" s="31">
        <v>7.3000000000000001E-3</v>
      </c>
      <c r="H42" s="32"/>
    </row>
    <row r="43" spans="2:8" ht="15.75" customHeight="1" x14ac:dyDescent="0.2">
      <c r="B43" s="28" t="s">
        <v>356</v>
      </c>
      <c r="C43" s="28" t="s">
        <v>357</v>
      </c>
      <c r="D43" s="28" t="s">
        <v>287</v>
      </c>
      <c r="E43" s="29">
        <v>12212</v>
      </c>
      <c r="F43" s="30">
        <v>524.54</v>
      </c>
      <c r="G43" s="31">
        <v>7.1999999999999998E-3</v>
      </c>
      <c r="H43" s="32"/>
    </row>
    <row r="44" spans="2:8" ht="15.75" customHeight="1" x14ac:dyDescent="0.2">
      <c r="B44" s="28" t="s">
        <v>374</v>
      </c>
      <c r="C44" s="28" t="s">
        <v>375</v>
      </c>
      <c r="D44" s="28" t="s">
        <v>182</v>
      </c>
      <c r="E44" s="29">
        <v>34280</v>
      </c>
      <c r="F44" s="30">
        <v>505.12</v>
      </c>
      <c r="G44" s="31">
        <v>6.8999999999999999E-3</v>
      </c>
      <c r="H44" s="32"/>
    </row>
    <row r="45" spans="2:8" ht="15.75" customHeight="1" x14ac:dyDescent="0.2">
      <c r="B45" s="28" t="s">
        <v>262</v>
      </c>
      <c r="C45" s="28" t="s">
        <v>263</v>
      </c>
      <c r="D45" s="28" t="s">
        <v>243</v>
      </c>
      <c r="E45" s="29">
        <v>11978</v>
      </c>
      <c r="F45" s="30">
        <v>496.44</v>
      </c>
      <c r="G45" s="31">
        <v>6.7999999999999996E-3</v>
      </c>
      <c r="H45" s="32"/>
    </row>
    <row r="46" spans="2:8" ht="15.75" customHeight="1" x14ac:dyDescent="0.2">
      <c r="B46" s="28" t="s">
        <v>985</v>
      </c>
      <c r="C46" s="28" t="s">
        <v>986</v>
      </c>
      <c r="D46" s="28" t="s">
        <v>251</v>
      </c>
      <c r="E46" s="29">
        <v>223319</v>
      </c>
      <c r="F46" s="30">
        <v>495.43</v>
      </c>
      <c r="G46" s="31">
        <v>6.7999999999999996E-3</v>
      </c>
      <c r="H46" s="32"/>
    </row>
    <row r="47" spans="2:8" ht="15.75" customHeight="1" x14ac:dyDescent="0.2">
      <c r="B47" s="28" t="s">
        <v>432</v>
      </c>
      <c r="C47" s="28" t="s">
        <v>433</v>
      </c>
      <c r="D47" s="28" t="s">
        <v>434</v>
      </c>
      <c r="E47" s="29">
        <v>110350</v>
      </c>
      <c r="F47" s="30">
        <v>452.32</v>
      </c>
      <c r="G47" s="31">
        <v>6.1999999999999998E-3</v>
      </c>
      <c r="H47" s="32"/>
    </row>
    <row r="48" spans="2:8" ht="15.75" customHeight="1" x14ac:dyDescent="0.2">
      <c r="B48" s="28" t="s">
        <v>413</v>
      </c>
      <c r="C48" s="28" t="s">
        <v>414</v>
      </c>
      <c r="D48" s="28" t="s">
        <v>238</v>
      </c>
      <c r="E48" s="29">
        <v>6862</v>
      </c>
      <c r="F48" s="30">
        <v>446.2</v>
      </c>
      <c r="G48" s="31">
        <v>6.1000000000000004E-3</v>
      </c>
      <c r="H48" s="32"/>
    </row>
    <row r="49" spans="2:8" ht="15.75" customHeight="1" x14ac:dyDescent="0.2">
      <c r="B49" s="28" t="s">
        <v>435</v>
      </c>
      <c r="C49" s="28" t="s">
        <v>436</v>
      </c>
      <c r="D49" s="28" t="s">
        <v>224</v>
      </c>
      <c r="E49" s="29">
        <v>10244</v>
      </c>
      <c r="F49" s="30">
        <v>444.47</v>
      </c>
      <c r="G49" s="31">
        <v>6.1000000000000004E-3</v>
      </c>
      <c r="H49" s="32"/>
    </row>
    <row r="50" spans="2:8" ht="15.75" customHeight="1" x14ac:dyDescent="0.2">
      <c r="B50" s="28" t="s">
        <v>464</v>
      </c>
      <c r="C50" s="28" t="s">
        <v>465</v>
      </c>
      <c r="D50" s="28" t="s">
        <v>195</v>
      </c>
      <c r="E50" s="29">
        <v>12681</v>
      </c>
      <c r="F50" s="30">
        <v>442.93</v>
      </c>
      <c r="G50" s="31">
        <v>6.1000000000000004E-3</v>
      </c>
      <c r="H50" s="32"/>
    </row>
    <row r="51" spans="2:8" ht="15.75" customHeight="1" x14ac:dyDescent="0.2">
      <c r="B51" s="28" t="s">
        <v>538</v>
      </c>
      <c r="C51" s="28" t="s">
        <v>539</v>
      </c>
      <c r="D51" s="28" t="s">
        <v>277</v>
      </c>
      <c r="E51" s="29">
        <v>24251</v>
      </c>
      <c r="F51" s="30">
        <v>441.13</v>
      </c>
      <c r="G51" s="31">
        <v>6.1000000000000004E-3</v>
      </c>
      <c r="H51" s="32"/>
    </row>
    <row r="52" spans="2:8" ht="15.75" customHeight="1" x14ac:dyDescent="0.2">
      <c r="B52" s="28" t="s">
        <v>230</v>
      </c>
      <c r="C52" s="28" t="s">
        <v>231</v>
      </c>
      <c r="D52" s="28" t="s">
        <v>190</v>
      </c>
      <c r="E52" s="29">
        <v>177074</v>
      </c>
      <c r="F52" s="30">
        <v>436.26</v>
      </c>
      <c r="G52" s="31">
        <v>6.0000000000000001E-3</v>
      </c>
      <c r="H52" s="32"/>
    </row>
    <row r="53" spans="2:8" ht="15.75" customHeight="1" x14ac:dyDescent="0.2">
      <c r="B53" s="28" t="s">
        <v>856</v>
      </c>
      <c r="C53" s="28" t="s">
        <v>857</v>
      </c>
      <c r="D53" s="28" t="s">
        <v>238</v>
      </c>
      <c r="E53" s="29">
        <v>32908</v>
      </c>
      <c r="F53" s="30">
        <v>435.34</v>
      </c>
      <c r="G53" s="31">
        <v>6.0000000000000001E-3</v>
      </c>
      <c r="H53" s="32"/>
    </row>
    <row r="54" spans="2:8" ht="15.75" customHeight="1" x14ac:dyDescent="0.2">
      <c r="B54" s="28" t="s">
        <v>393</v>
      </c>
      <c r="C54" s="28" t="s">
        <v>394</v>
      </c>
      <c r="D54" s="28" t="s">
        <v>395</v>
      </c>
      <c r="E54" s="29">
        <v>5556</v>
      </c>
      <c r="F54" s="30">
        <v>424.28</v>
      </c>
      <c r="G54" s="31">
        <v>5.7999999999999996E-3</v>
      </c>
      <c r="H54" s="32"/>
    </row>
    <row r="55" spans="2:8" ht="15.75" customHeight="1" x14ac:dyDescent="0.2">
      <c r="B55" s="28" t="s">
        <v>336</v>
      </c>
      <c r="C55" s="28" t="s">
        <v>337</v>
      </c>
      <c r="D55" s="28" t="s">
        <v>338</v>
      </c>
      <c r="E55" s="29">
        <v>35160</v>
      </c>
      <c r="F55" s="30">
        <v>402.44</v>
      </c>
      <c r="G55" s="31">
        <v>5.4999999999999997E-3</v>
      </c>
      <c r="H55" s="32"/>
    </row>
    <row r="56" spans="2:8" ht="15.75" customHeight="1" x14ac:dyDescent="0.2">
      <c r="B56" s="28" t="s">
        <v>260</v>
      </c>
      <c r="C56" s="28" t="s">
        <v>261</v>
      </c>
      <c r="D56" s="28" t="s">
        <v>251</v>
      </c>
      <c r="E56" s="29">
        <v>90390</v>
      </c>
      <c r="F56" s="30">
        <v>401.83</v>
      </c>
      <c r="G56" s="31">
        <v>5.4999999999999997E-3</v>
      </c>
      <c r="H56" s="32"/>
    </row>
    <row r="57" spans="2:8" ht="15.75" customHeight="1" x14ac:dyDescent="0.2">
      <c r="B57" s="28" t="s">
        <v>692</v>
      </c>
      <c r="C57" s="28" t="s">
        <v>693</v>
      </c>
      <c r="D57" s="28" t="s">
        <v>395</v>
      </c>
      <c r="E57" s="29">
        <v>40174</v>
      </c>
      <c r="F57" s="30">
        <v>398.95</v>
      </c>
      <c r="G57" s="31">
        <v>5.4999999999999997E-3</v>
      </c>
      <c r="H57" s="32"/>
    </row>
    <row r="58" spans="2:8" ht="15.75" customHeight="1" x14ac:dyDescent="0.2">
      <c r="B58" s="28" t="s">
        <v>680</v>
      </c>
      <c r="C58" s="28" t="s">
        <v>681</v>
      </c>
      <c r="D58" s="28" t="s">
        <v>238</v>
      </c>
      <c r="E58" s="29">
        <v>30375</v>
      </c>
      <c r="F58" s="30">
        <v>397.79</v>
      </c>
      <c r="G58" s="31">
        <v>5.4999999999999997E-3</v>
      </c>
      <c r="H58" s="32"/>
    </row>
    <row r="59" spans="2:8" ht="15.75" customHeight="1" x14ac:dyDescent="0.2">
      <c r="B59" s="28" t="s">
        <v>292</v>
      </c>
      <c r="C59" s="28" t="s">
        <v>293</v>
      </c>
      <c r="D59" s="28" t="s">
        <v>195</v>
      </c>
      <c r="E59" s="29">
        <v>113059</v>
      </c>
      <c r="F59" s="30">
        <v>386.15</v>
      </c>
      <c r="G59" s="31">
        <v>5.3E-3</v>
      </c>
      <c r="H59" s="32"/>
    </row>
    <row r="60" spans="2:8" ht="15.75" customHeight="1" x14ac:dyDescent="0.2">
      <c r="B60" s="28" t="s">
        <v>834</v>
      </c>
      <c r="C60" s="28" t="s">
        <v>835</v>
      </c>
      <c r="D60" s="28" t="s">
        <v>321</v>
      </c>
      <c r="E60" s="29">
        <v>7250</v>
      </c>
      <c r="F60" s="30">
        <v>381.81</v>
      </c>
      <c r="G60" s="31">
        <v>5.3E-3</v>
      </c>
      <c r="H60" s="32"/>
    </row>
    <row r="61" spans="2:8" ht="15.75" customHeight="1" x14ac:dyDescent="0.2">
      <c r="B61" s="28" t="s">
        <v>481</v>
      </c>
      <c r="C61" s="28" t="s">
        <v>482</v>
      </c>
      <c r="D61" s="28" t="s">
        <v>483</v>
      </c>
      <c r="E61" s="29">
        <v>73879</v>
      </c>
      <c r="F61" s="30">
        <v>379.52</v>
      </c>
      <c r="G61" s="31">
        <v>5.1999999999999998E-3</v>
      </c>
      <c r="H61" s="32"/>
    </row>
    <row r="62" spans="2:8" ht="15.75" customHeight="1" x14ac:dyDescent="0.2">
      <c r="B62" s="28" t="s">
        <v>976</v>
      </c>
      <c r="C62" s="28" t="s">
        <v>977</v>
      </c>
      <c r="D62" s="28" t="s">
        <v>243</v>
      </c>
      <c r="E62" s="29">
        <v>7950</v>
      </c>
      <c r="F62" s="30">
        <v>364.58</v>
      </c>
      <c r="G62" s="31">
        <v>5.0000000000000001E-3</v>
      </c>
      <c r="H62" s="32"/>
    </row>
    <row r="63" spans="2:8" ht="15.75" customHeight="1" x14ac:dyDescent="0.2">
      <c r="B63" s="28" t="s">
        <v>622</v>
      </c>
      <c r="C63" s="28" t="s">
        <v>623</v>
      </c>
      <c r="D63" s="28" t="s">
        <v>196</v>
      </c>
      <c r="E63" s="29">
        <v>6360</v>
      </c>
      <c r="F63" s="30">
        <v>364.17</v>
      </c>
      <c r="G63" s="31">
        <v>5.0000000000000001E-3</v>
      </c>
      <c r="H63" s="32"/>
    </row>
    <row r="64" spans="2:8" ht="15.75" customHeight="1" x14ac:dyDescent="0.2">
      <c r="B64" s="28" t="s">
        <v>402</v>
      </c>
      <c r="C64" s="28" t="s">
        <v>403</v>
      </c>
      <c r="D64" s="28" t="s">
        <v>190</v>
      </c>
      <c r="E64" s="29">
        <v>23133</v>
      </c>
      <c r="F64" s="30">
        <v>361.55</v>
      </c>
      <c r="G64" s="31">
        <v>5.0000000000000001E-3</v>
      </c>
      <c r="H64" s="32"/>
    </row>
    <row r="65" spans="2:14" ht="15.75" customHeight="1" x14ac:dyDescent="0.2">
      <c r="B65" s="28" t="s">
        <v>278</v>
      </c>
      <c r="C65" s="28" t="s">
        <v>279</v>
      </c>
      <c r="D65" s="28" t="s">
        <v>190</v>
      </c>
      <c r="E65" s="29">
        <v>78621</v>
      </c>
      <c r="F65" s="30">
        <v>352.54</v>
      </c>
      <c r="G65" s="31">
        <v>4.7999999999999996E-3</v>
      </c>
      <c r="H65" s="32"/>
    </row>
    <row r="66" spans="2:14" ht="15.75" customHeight="1" x14ac:dyDescent="0.2">
      <c r="B66" s="28" t="s">
        <v>283</v>
      </c>
      <c r="C66" s="28" t="s">
        <v>284</v>
      </c>
      <c r="D66" s="28" t="s">
        <v>277</v>
      </c>
      <c r="E66" s="29">
        <v>58069</v>
      </c>
      <c r="F66" s="30">
        <v>340.81</v>
      </c>
      <c r="G66" s="31">
        <v>4.7000000000000002E-3</v>
      </c>
      <c r="H66" s="32"/>
    </row>
    <row r="67" spans="2:14" ht="15.75" customHeight="1" x14ac:dyDescent="0.2">
      <c r="B67" s="28" t="s">
        <v>858</v>
      </c>
      <c r="C67" s="28" t="s">
        <v>859</v>
      </c>
      <c r="D67" s="28" t="s">
        <v>860</v>
      </c>
      <c r="E67" s="29">
        <v>14061</v>
      </c>
      <c r="F67" s="30">
        <v>338.65</v>
      </c>
      <c r="G67" s="31">
        <v>4.7000000000000002E-3</v>
      </c>
      <c r="H67" s="32"/>
    </row>
    <row r="68" spans="2:14" ht="15.75" customHeight="1" x14ac:dyDescent="0.2">
      <c r="B68" s="28" t="s">
        <v>987</v>
      </c>
      <c r="C68" s="28" t="s">
        <v>988</v>
      </c>
      <c r="D68" s="28" t="s">
        <v>176</v>
      </c>
      <c r="E68" s="29">
        <v>109426</v>
      </c>
      <c r="F68" s="30">
        <v>328.77</v>
      </c>
      <c r="G68" s="31">
        <v>4.4999999999999997E-3</v>
      </c>
      <c r="H68" s="32"/>
      <c r="J68" s="3"/>
    </row>
    <row r="69" spans="2:14" ht="15.75" customHeight="1" x14ac:dyDescent="0.2">
      <c r="B69" s="28" t="s">
        <v>861</v>
      </c>
      <c r="C69" s="28" t="s">
        <v>862</v>
      </c>
      <c r="D69" s="28" t="s">
        <v>182</v>
      </c>
      <c r="E69" s="29">
        <v>154316</v>
      </c>
      <c r="F69" s="30">
        <v>309.64</v>
      </c>
      <c r="G69" s="31">
        <v>4.3E-3</v>
      </c>
      <c r="H69" s="32"/>
    </row>
    <row r="70" spans="2:14" ht="15.75" customHeight="1" x14ac:dyDescent="0.2">
      <c r="B70" s="28" t="s">
        <v>605</v>
      </c>
      <c r="C70" s="28" t="s">
        <v>606</v>
      </c>
      <c r="D70" s="28" t="s">
        <v>470</v>
      </c>
      <c r="E70" s="29">
        <v>47412</v>
      </c>
      <c r="F70" s="30">
        <v>301.47000000000003</v>
      </c>
      <c r="G70" s="31">
        <v>4.1000000000000003E-3</v>
      </c>
      <c r="H70" s="32"/>
      <c r="J70" s="3"/>
    </row>
    <row r="71" spans="2:14" ht="15.75" customHeight="1" x14ac:dyDescent="0.2">
      <c r="B71" s="28" t="s">
        <v>989</v>
      </c>
      <c r="C71" s="28" t="s">
        <v>990</v>
      </c>
      <c r="D71" s="28" t="s">
        <v>268</v>
      </c>
      <c r="E71" s="29">
        <v>37044</v>
      </c>
      <c r="F71" s="30">
        <v>301.3</v>
      </c>
      <c r="G71" s="31">
        <v>4.1000000000000003E-3</v>
      </c>
      <c r="H71" s="32"/>
      <c r="J71" s="3"/>
    </row>
    <row r="72" spans="2:14" ht="15.75" customHeight="1" x14ac:dyDescent="0.2">
      <c r="B72" s="28" t="s">
        <v>613</v>
      </c>
      <c r="C72" s="28" t="s">
        <v>614</v>
      </c>
      <c r="D72" s="28" t="s">
        <v>431</v>
      </c>
      <c r="E72" s="29">
        <v>10912</v>
      </c>
      <c r="F72" s="30">
        <v>296</v>
      </c>
      <c r="G72" s="31">
        <v>4.1000000000000003E-3</v>
      </c>
      <c r="H72" s="32"/>
      <c r="J72" s="3"/>
    </row>
    <row r="73" spans="2:14" ht="15.75" customHeight="1" x14ac:dyDescent="0.2">
      <c r="B73" s="28" t="s">
        <v>501</v>
      </c>
      <c r="C73" s="28" t="s">
        <v>502</v>
      </c>
      <c r="D73" s="28" t="s">
        <v>179</v>
      </c>
      <c r="E73" s="29">
        <v>238963</v>
      </c>
      <c r="F73" s="30">
        <v>289.64999999999998</v>
      </c>
      <c r="G73" s="31">
        <v>4.0000000000000001E-3</v>
      </c>
      <c r="H73" s="32"/>
      <c r="J73" s="3"/>
    </row>
    <row r="74" spans="2:14" ht="15.75" customHeight="1" x14ac:dyDescent="0.2">
      <c r="B74" s="28" t="s">
        <v>991</v>
      </c>
      <c r="C74" s="28" t="s">
        <v>992</v>
      </c>
      <c r="D74" s="28" t="s">
        <v>176</v>
      </c>
      <c r="E74" s="29">
        <v>201759</v>
      </c>
      <c r="F74" s="30">
        <v>287</v>
      </c>
      <c r="G74" s="31">
        <v>3.8999999999999998E-3</v>
      </c>
      <c r="H74" s="32"/>
      <c r="J74" s="3"/>
    </row>
    <row r="75" spans="2:14" ht="15.75" customHeight="1" x14ac:dyDescent="0.2">
      <c r="B75" s="28" t="s">
        <v>239</v>
      </c>
      <c r="C75" s="28" t="s">
        <v>240</v>
      </c>
      <c r="D75" s="28" t="s">
        <v>173</v>
      </c>
      <c r="E75" s="29">
        <v>100156</v>
      </c>
      <c r="F75" s="30">
        <v>263.87</v>
      </c>
      <c r="G75" s="31">
        <v>3.5999999999999999E-3</v>
      </c>
      <c r="H75" s="32"/>
      <c r="J75" s="5"/>
      <c r="K75" s="5"/>
      <c r="L75" s="6"/>
      <c r="M75" s="6"/>
      <c r="N75" s="5"/>
    </row>
    <row r="76" spans="2:14" ht="15.75" customHeight="1" x14ac:dyDescent="0.2">
      <c r="B76" s="28" t="s">
        <v>993</v>
      </c>
      <c r="C76" s="28" t="s">
        <v>994</v>
      </c>
      <c r="D76" s="28" t="s">
        <v>251</v>
      </c>
      <c r="E76" s="29">
        <v>18712</v>
      </c>
      <c r="F76" s="30">
        <v>251.16</v>
      </c>
      <c r="G76" s="31">
        <v>3.5000000000000001E-3</v>
      </c>
      <c r="H76" s="32"/>
    </row>
    <row r="77" spans="2:14" ht="15.75" customHeight="1" x14ac:dyDescent="0.2">
      <c r="B77" s="28" t="s">
        <v>995</v>
      </c>
      <c r="C77" s="28" t="s">
        <v>996</v>
      </c>
      <c r="D77" s="28" t="s">
        <v>997</v>
      </c>
      <c r="E77" s="29">
        <v>91718</v>
      </c>
      <c r="F77" s="30">
        <v>249.06</v>
      </c>
      <c r="G77" s="31">
        <v>3.3999999999999998E-3</v>
      </c>
      <c r="H77" s="32"/>
    </row>
    <row r="78" spans="2:14" ht="15.75" customHeight="1" x14ac:dyDescent="0.2">
      <c r="B78" s="28" t="s">
        <v>1000</v>
      </c>
      <c r="C78" s="28" t="s">
        <v>1001</v>
      </c>
      <c r="D78" s="28" t="s">
        <v>173</v>
      </c>
      <c r="E78" s="29">
        <v>181996</v>
      </c>
      <c r="F78" s="30">
        <v>245.06</v>
      </c>
      <c r="G78" s="31">
        <v>3.3999999999999998E-3</v>
      </c>
      <c r="H78" s="32"/>
      <c r="J78" s="7"/>
      <c r="K78" s="7"/>
      <c r="L78" s="7"/>
      <c r="M78" s="7"/>
      <c r="N78" s="7"/>
    </row>
    <row r="79" spans="2:14" ht="15.75" customHeight="1" x14ac:dyDescent="0.2">
      <c r="B79" s="28" t="s">
        <v>998</v>
      </c>
      <c r="C79" s="28" t="s">
        <v>999</v>
      </c>
      <c r="D79" s="28" t="s">
        <v>229</v>
      </c>
      <c r="E79" s="29">
        <v>19999</v>
      </c>
      <c r="F79" s="30">
        <v>244.61</v>
      </c>
      <c r="G79" s="31">
        <v>3.3999999999999998E-3</v>
      </c>
      <c r="H79" s="32"/>
      <c r="J79" s="7"/>
      <c r="K79" s="7"/>
      <c r="L79" s="7"/>
      <c r="M79" s="7"/>
      <c r="N79" s="7"/>
    </row>
    <row r="80" spans="2:14" ht="15.75" customHeight="1" x14ac:dyDescent="0.2">
      <c r="B80" s="28" t="s">
        <v>1002</v>
      </c>
      <c r="C80" s="28" t="s">
        <v>1003</v>
      </c>
      <c r="D80" s="28" t="s">
        <v>190</v>
      </c>
      <c r="E80" s="29">
        <v>2337</v>
      </c>
      <c r="F80" s="30">
        <v>239.94</v>
      </c>
      <c r="G80" s="31">
        <v>3.3E-3</v>
      </c>
      <c r="H80" s="32"/>
      <c r="J80" s="7"/>
      <c r="K80" s="7"/>
      <c r="L80" s="7"/>
      <c r="M80" s="7"/>
      <c r="N80" s="7"/>
    </row>
    <row r="81" spans="2:14" ht="15.75" customHeight="1" x14ac:dyDescent="0.2">
      <c r="B81" s="28" t="s">
        <v>596</v>
      </c>
      <c r="C81" s="28" t="s">
        <v>597</v>
      </c>
      <c r="D81" s="28" t="s">
        <v>190</v>
      </c>
      <c r="E81" s="29">
        <v>67447</v>
      </c>
      <c r="F81" s="30">
        <v>238.96</v>
      </c>
      <c r="G81" s="31">
        <v>3.3E-3</v>
      </c>
      <c r="H81" s="32"/>
      <c r="J81" s="7"/>
      <c r="K81" s="7"/>
      <c r="L81" s="7"/>
      <c r="M81" s="7"/>
      <c r="N81" s="7"/>
    </row>
    <row r="82" spans="2:14" ht="15.75" customHeight="1" x14ac:dyDescent="0.2">
      <c r="B82" s="28" t="s">
        <v>272</v>
      </c>
      <c r="C82" s="28" t="s">
        <v>273</v>
      </c>
      <c r="D82" s="28" t="s">
        <v>274</v>
      </c>
      <c r="E82" s="29">
        <v>145640</v>
      </c>
      <c r="F82" s="30">
        <v>237.73</v>
      </c>
      <c r="G82" s="31">
        <v>3.3E-3</v>
      </c>
      <c r="H82" s="32"/>
      <c r="J82" s="7"/>
      <c r="K82" s="7"/>
      <c r="L82" s="7"/>
      <c r="M82" s="7"/>
      <c r="N82" s="7"/>
    </row>
    <row r="83" spans="2:14" ht="15.75" customHeight="1" x14ac:dyDescent="0.2">
      <c r="B83" s="28" t="s">
        <v>384</v>
      </c>
      <c r="C83" s="28" t="s">
        <v>385</v>
      </c>
      <c r="D83" s="28" t="s">
        <v>238</v>
      </c>
      <c r="E83" s="29">
        <v>5647</v>
      </c>
      <c r="F83" s="30">
        <v>236.33</v>
      </c>
      <c r="G83" s="31">
        <v>3.3E-3</v>
      </c>
      <c r="H83" s="32"/>
      <c r="J83" s="7"/>
      <c r="K83" s="7"/>
      <c r="L83" s="7"/>
      <c r="M83" s="7"/>
      <c r="N83" s="7"/>
    </row>
    <row r="84" spans="2:14" ht="15.75" customHeight="1" x14ac:dyDescent="0.2">
      <c r="B84" s="28" t="s">
        <v>1004</v>
      </c>
      <c r="C84" s="28" t="s">
        <v>1005</v>
      </c>
      <c r="D84" s="28" t="s">
        <v>619</v>
      </c>
      <c r="E84" s="29">
        <v>21720</v>
      </c>
      <c r="F84" s="30">
        <v>231.77</v>
      </c>
      <c r="G84" s="31">
        <v>3.2000000000000002E-3</v>
      </c>
      <c r="H84" s="32"/>
      <c r="J84" s="7"/>
      <c r="K84" s="7"/>
      <c r="L84" s="7"/>
      <c r="M84" s="7"/>
      <c r="N84" s="7"/>
    </row>
    <row r="85" spans="2:14" ht="15.75" customHeight="1" x14ac:dyDescent="0.2">
      <c r="B85" s="28" t="s">
        <v>603</v>
      </c>
      <c r="C85" s="28" t="s">
        <v>604</v>
      </c>
      <c r="D85" s="28" t="s">
        <v>345</v>
      </c>
      <c r="E85" s="29">
        <v>16745</v>
      </c>
      <c r="F85" s="30">
        <v>230.36</v>
      </c>
      <c r="G85" s="31">
        <v>3.2000000000000002E-3</v>
      </c>
      <c r="H85" s="32"/>
    </row>
    <row r="86" spans="2:14" ht="15.75" customHeight="1" x14ac:dyDescent="0.2">
      <c r="B86" s="28" t="s">
        <v>1006</v>
      </c>
      <c r="C86" s="28" t="s">
        <v>1007</v>
      </c>
      <c r="D86" s="28" t="s">
        <v>251</v>
      </c>
      <c r="E86" s="29">
        <v>18145</v>
      </c>
      <c r="F86" s="30">
        <v>222.67</v>
      </c>
      <c r="G86" s="31">
        <v>3.0999999999999999E-3</v>
      </c>
      <c r="H86" s="32"/>
      <c r="J86" s="3"/>
    </row>
    <row r="87" spans="2:14" ht="15.75" customHeight="1" x14ac:dyDescent="0.2">
      <c r="B87" s="28" t="s">
        <v>1008</v>
      </c>
      <c r="C87" s="28" t="s">
        <v>1009</v>
      </c>
      <c r="D87" s="28" t="s">
        <v>182</v>
      </c>
      <c r="E87" s="29">
        <v>5010</v>
      </c>
      <c r="F87" s="30">
        <v>213.91</v>
      </c>
      <c r="G87" s="31">
        <v>2.8999999999999998E-3</v>
      </c>
      <c r="H87" s="32"/>
    </row>
    <row r="88" spans="2:14" ht="15.75" customHeight="1" x14ac:dyDescent="0.2">
      <c r="B88" s="28" t="s">
        <v>740</v>
      </c>
      <c r="C88" s="28" t="s">
        <v>741</v>
      </c>
      <c r="D88" s="28" t="s">
        <v>483</v>
      </c>
      <c r="E88" s="29">
        <v>15948</v>
      </c>
      <c r="F88" s="30">
        <v>211.41</v>
      </c>
      <c r="G88" s="31">
        <v>2.8999999999999998E-3</v>
      </c>
      <c r="H88" s="32"/>
    </row>
    <row r="89" spans="2:14" ht="15.75" customHeight="1" x14ac:dyDescent="0.2">
      <c r="B89" s="28" t="s">
        <v>738</v>
      </c>
      <c r="C89" s="28" t="s">
        <v>739</v>
      </c>
      <c r="D89" s="28" t="s">
        <v>268</v>
      </c>
      <c r="E89" s="29">
        <v>2832</v>
      </c>
      <c r="F89" s="30">
        <v>204.75</v>
      </c>
      <c r="G89" s="31">
        <v>2.8E-3</v>
      </c>
      <c r="H89" s="32"/>
    </row>
    <row r="90" spans="2:14" ht="15.75" customHeight="1" x14ac:dyDescent="0.2">
      <c r="B90" s="28" t="s">
        <v>234</v>
      </c>
      <c r="C90" s="28" t="s">
        <v>235</v>
      </c>
      <c r="D90" s="28" t="s">
        <v>173</v>
      </c>
      <c r="E90" s="29">
        <v>186151</v>
      </c>
      <c r="F90" s="30">
        <v>203.57</v>
      </c>
      <c r="G90" s="31">
        <v>2.8E-3</v>
      </c>
      <c r="H90" s="32"/>
    </row>
    <row r="91" spans="2:14" ht="15.75" customHeight="1" x14ac:dyDescent="0.2">
      <c r="B91" s="28" t="s">
        <v>246</v>
      </c>
      <c r="C91" s="28" t="s">
        <v>247</v>
      </c>
      <c r="D91" s="28" t="s">
        <v>248</v>
      </c>
      <c r="E91" s="29">
        <v>34643</v>
      </c>
      <c r="F91" s="30">
        <v>203.35</v>
      </c>
      <c r="G91" s="31">
        <v>2.8E-3</v>
      </c>
      <c r="H91" s="32"/>
    </row>
    <row r="92" spans="2:14" ht="15.75" customHeight="1" x14ac:dyDescent="0.2">
      <c r="B92" s="28" t="s">
        <v>1010</v>
      </c>
      <c r="C92" s="28" t="s">
        <v>1011</v>
      </c>
      <c r="D92" s="28" t="s">
        <v>345</v>
      </c>
      <c r="E92" s="29">
        <v>1315</v>
      </c>
      <c r="F92" s="30">
        <v>203.02</v>
      </c>
      <c r="G92" s="31">
        <v>2.8E-3</v>
      </c>
      <c r="H92" s="32"/>
    </row>
    <row r="93" spans="2:14" ht="15.75" customHeight="1" x14ac:dyDescent="0.2">
      <c r="B93" s="28" t="s">
        <v>495</v>
      </c>
      <c r="C93" s="28" t="s">
        <v>496</v>
      </c>
      <c r="D93" s="28" t="s">
        <v>190</v>
      </c>
      <c r="E93" s="29">
        <v>5391</v>
      </c>
      <c r="F93" s="30">
        <v>184.6</v>
      </c>
      <c r="G93" s="31">
        <v>2.5000000000000001E-3</v>
      </c>
      <c r="H93" s="32"/>
    </row>
    <row r="94" spans="2:14" ht="15.75" customHeight="1" x14ac:dyDescent="0.2">
      <c r="B94" s="28" t="s">
        <v>744</v>
      </c>
      <c r="C94" s="28" t="s">
        <v>745</v>
      </c>
      <c r="D94" s="28" t="s">
        <v>268</v>
      </c>
      <c r="E94" s="29">
        <v>4773</v>
      </c>
      <c r="F94" s="30">
        <v>181.77</v>
      </c>
      <c r="G94" s="31">
        <v>2.5000000000000001E-3</v>
      </c>
      <c r="H94" s="32"/>
    </row>
    <row r="95" spans="2:14" ht="15.75" customHeight="1" x14ac:dyDescent="0.2">
      <c r="B95" s="28" t="s">
        <v>877</v>
      </c>
      <c r="C95" s="28" t="s">
        <v>878</v>
      </c>
      <c r="D95" s="28" t="s">
        <v>331</v>
      </c>
      <c r="E95" s="29">
        <v>722</v>
      </c>
      <c r="F95" s="30">
        <v>174.69</v>
      </c>
      <c r="G95" s="31">
        <v>2.3999999999999998E-3</v>
      </c>
      <c r="H95" s="32"/>
    </row>
    <row r="96" spans="2:14" ht="15.75" customHeight="1" x14ac:dyDescent="0.2">
      <c r="B96" s="28" t="s">
        <v>1012</v>
      </c>
      <c r="C96" s="28" t="s">
        <v>1013</v>
      </c>
      <c r="D96" s="28" t="s">
        <v>173</v>
      </c>
      <c r="E96" s="29">
        <v>103270</v>
      </c>
      <c r="F96" s="30">
        <v>171.37</v>
      </c>
      <c r="G96" s="31">
        <v>2.3999999999999998E-3</v>
      </c>
      <c r="H96" s="32"/>
    </row>
    <row r="97" spans="2:8" ht="15.75" customHeight="1" x14ac:dyDescent="0.2">
      <c r="B97" s="28" t="s">
        <v>1014</v>
      </c>
      <c r="C97" s="28" t="s">
        <v>1015</v>
      </c>
      <c r="D97" s="28" t="s">
        <v>179</v>
      </c>
      <c r="E97" s="29">
        <v>468</v>
      </c>
      <c r="F97" s="30">
        <v>168.46</v>
      </c>
      <c r="G97" s="31">
        <v>2.3E-3</v>
      </c>
      <c r="H97" s="32"/>
    </row>
    <row r="98" spans="2:8" ht="15.75" customHeight="1" x14ac:dyDescent="0.2">
      <c r="B98" s="28" t="s">
        <v>557</v>
      </c>
      <c r="C98" s="28" t="s">
        <v>558</v>
      </c>
      <c r="D98" s="28" t="s">
        <v>268</v>
      </c>
      <c r="E98" s="29">
        <v>4770</v>
      </c>
      <c r="F98" s="30">
        <v>156.4</v>
      </c>
      <c r="G98" s="31">
        <v>2.2000000000000001E-3</v>
      </c>
      <c r="H98" s="32"/>
    </row>
    <row r="99" spans="2:8" ht="15.75" customHeight="1" x14ac:dyDescent="0.2">
      <c r="B99" s="28" t="s">
        <v>1016</v>
      </c>
      <c r="C99" s="28" t="s">
        <v>1017</v>
      </c>
      <c r="D99" s="28" t="s">
        <v>331</v>
      </c>
      <c r="E99" s="29">
        <v>32894</v>
      </c>
      <c r="F99" s="30">
        <v>146.12</v>
      </c>
      <c r="G99" s="31">
        <v>2E-3</v>
      </c>
      <c r="H99" s="32"/>
    </row>
    <row r="100" spans="2:8" ht="15.75" customHeight="1" x14ac:dyDescent="0.2">
      <c r="B100" s="28" t="s">
        <v>634</v>
      </c>
      <c r="C100" s="28" t="s">
        <v>635</v>
      </c>
      <c r="D100" s="28" t="s">
        <v>195</v>
      </c>
      <c r="E100" s="29">
        <v>7698</v>
      </c>
      <c r="F100" s="30">
        <v>139.91999999999999</v>
      </c>
      <c r="G100" s="31">
        <v>1.9E-3</v>
      </c>
      <c r="H100" s="32"/>
    </row>
    <row r="101" spans="2:8" ht="15.75" customHeight="1" x14ac:dyDescent="0.2">
      <c r="B101" s="28" t="s">
        <v>1018</v>
      </c>
      <c r="C101" s="28" t="s">
        <v>1019</v>
      </c>
      <c r="D101" s="28" t="s">
        <v>326</v>
      </c>
      <c r="E101" s="29">
        <v>23409</v>
      </c>
      <c r="F101" s="30">
        <v>139.51</v>
      </c>
      <c r="G101" s="31">
        <v>1.9E-3</v>
      </c>
      <c r="H101" s="32"/>
    </row>
    <row r="102" spans="2:8" ht="15.75" customHeight="1" x14ac:dyDescent="0.2">
      <c r="B102" s="28" t="s">
        <v>254</v>
      </c>
      <c r="C102" s="28" t="s">
        <v>255</v>
      </c>
      <c r="D102" s="28" t="s">
        <v>248</v>
      </c>
      <c r="E102" s="29">
        <v>15197</v>
      </c>
      <c r="F102" s="30">
        <v>136.44999999999999</v>
      </c>
      <c r="G102" s="31">
        <v>1.9E-3</v>
      </c>
      <c r="H102" s="32"/>
    </row>
    <row r="103" spans="2:8" ht="15.75" customHeight="1" x14ac:dyDescent="0.2">
      <c r="B103" s="28" t="s">
        <v>1020</v>
      </c>
      <c r="C103" s="28" t="s">
        <v>1021</v>
      </c>
      <c r="D103" s="28" t="s">
        <v>238</v>
      </c>
      <c r="E103" s="29">
        <v>13512</v>
      </c>
      <c r="F103" s="30">
        <v>120.51</v>
      </c>
      <c r="G103" s="31">
        <v>1.6999999999999999E-3</v>
      </c>
      <c r="H103" s="32"/>
    </row>
    <row r="104" spans="2:8" ht="15.75" customHeight="1" x14ac:dyDescent="0.2">
      <c r="B104" s="28" t="s">
        <v>1022</v>
      </c>
      <c r="C104" s="28" t="s">
        <v>1023</v>
      </c>
      <c r="D104" s="28" t="s">
        <v>190</v>
      </c>
      <c r="E104" s="29">
        <v>108908</v>
      </c>
      <c r="F104" s="30">
        <v>113.49</v>
      </c>
      <c r="G104" s="31">
        <v>1.6000000000000001E-3</v>
      </c>
      <c r="H104" s="32"/>
    </row>
    <row r="105" spans="2:8" ht="15.75" customHeight="1" x14ac:dyDescent="0.2">
      <c r="B105" s="28" t="s">
        <v>1024</v>
      </c>
      <c r="C105" s="28" t="s">
        <v>1025</v>
      </c>
      <c r="D105" s="28" t="s">
        <v>641</v>
      </c>
      <c r="E105" s="29">
        <v>4099</v>
      </c>
      <c r="F105" s="30">
        <v>112.03</v>
      </c>
      <c r="G105" s="31">
        <v>1.5E-3</v>
      </c>
      <c r="H105" s="32"/>
    </row>
    <row r="106" spans="2:8" ht="15.75" customHeight="1" x14ac:dyDescent="0.2">
      <c r="B106" s="28" t="s">
        <v>1177</v>
      </c>
      <c r="C106" s="28" t="s">
        <v>1026</v>
      </c>
      <c r="D106" s="28" t="s">
        <v>229</v>
      </c>
      <c r="E106" s="29">
        <v>91718</v>
      </c>
      <c r="F106" s="30">
        <v>111</v>
      </c>
      <c r="G106" s="31">
        <v>1.5E-3</v>
      </c>
      <c r="H106" s="32"/>
    </row>
    <row r="107" spans="2:8" ht="15.75" customHeight="1" x14ac:dyDescent="0.2">
      <c r="B107" s="28" t="s">
        <v>1178</v>
      </c>
      <c r="C107" s="28" t="s">
        <v>1027</v>
      </c>
      <c r="D107" s="28" t="s">
        <v>326</v>
      </c>
      <c r="E107" s="29">
        <v>91718</v>
      </c>
      <c r="F107" s="30">
        <v>111</v>
      </c>
      <c r="G107" s="31">
        <v>1.5E-3</v>
      </c>
      <c r="H107" s="32"/>
    </row>
    <row r="108" spans="2:8" ht="15.75" customHeight="1" x14ac:dyDescent="0.2">
      <c r="B108" s="28" t="s">
        <v>1179</v>
      </c>
      <c r="C108" s="28" t="s">
        <v>1028</v>
      </c>
      <c r="D108" s="28" t="s">
        <v>251</v>
      </c>
      <c r="E108" s="29">
        <v>91718</v>
      </c>
      <c r="F108" s="30">
        <v>111</v>
      </c>
      <c r="G108" s="31">
        <v>1.5E-3</v>
      </c>
      <c r="H108" s="32"/>
    </row>
    <row r="109" spans="2:8" ht="15.75" customHeight="1" x14ac:dyDescent="0.2">
      <c r="B109" s="28" t="s">
        <v>1180</v>
      </c>
      <c r="C109" s="28" t="s">
        <v>1181</v>
      </c>
      <c r="D109" s="28" t="s">
        <v>282</v>
      </c>
      <c r="E109" s="29">
        <v>91718</v>
      </c>
      <c r="F109" s="30">
        <v>111</v>
      </c>
      <c r="G109" s="31">
        <v>1.5E-3</v>
      </c>
      <c r="H109" s="32"/>
    </row>
    <row r="110" spans="2:8" ht="15.75" customHeight="1" x14ac:dyDescent="0.2">
      <c r="B110" s="28" t="s">
        <v>1029</v>
      </c>
      <c r="C110" s="28" t="s">
        <v>1030</v>
      </c>
      <c r="D110" s="28" t="s">
        <v>190</v>
      </c>
      <c r="E110" s="29">
        <v>21770</v>
      </c>
      <c r="F110" s="30">
        <v>72.53</v>
      </c>
      <c r="G110" s="31">
        <v>1E-3</v>
      </c>
      <c r="H110" s="32"/>
    </row>
    <row r="111" spans="2:8" ht="15.75" customHeight="1" x14ac:dyDescent="0.2">
      <c r="B111" s="27" t="s">
        <v>129</v>
      </c>
      <c r="C111" s="27"/>
      <c r="D111" s="27"/>
      <c r="E111" s="33"/>
      <c r="F111" s="34">
        <v>72664.960000000006</v>
      </c>
      <c r="G111" s="35">
        <v>0.99929999999999997</v>
      </c>
      <c r="H111" s="36"/>
    </row>
    <row r="112" spans="2:8" ht="15.75" customHeight="1" x14ac:dyDescent="0.2">
      <c r="B112" s="27" t="s">
        <v>197</v>
      </c>
      <c r="C112" s="28"/>
      <c r="D112" s="28"/>
      <c r="E112" s="29"/>
      <c r="F112" s="30"/>
      <c r="G112" s="31"/>
      <c r="H112" s="32"/>
    </row>
    <row r="113" spans="2:8" ht="15.75" customHeight="1" x14ac:dyDescent="0.2">
      <c r="B113" s="27" t="s">
        <v>129</v>
      </c>
      <c r="C113" s="28"/>
      <c r="D113" s="28"/>
      <c r="E113" s="29"/>
      <c r="F113" s="37" t="s">
        <v>131</v>
      </c>
      <c r="G113" s="38" t="s">
        <v>131</v>
      </c>
      <c r="H113" s="32"/>
    </row>
    <row r="114" spans="2:8" ht="15.75" customHeight="1" x14ac:dyDescent="0.2">
      <c r="B114" s="28"/>
      <c r="C114" s="28"/>
      <c r="D114" s="28"/>
      <c r="E114" s="29"/>
      <c r="F114" s="30"/>
      <c r="G114" s="31"/>
      <c r="H114" s="32"/>
    </row>
    <row r="115" spans="2:8" ht="15.75" customHeight="1" x14ac:dyDescent="0.2">
      <c r="B115" s="39" t="s">
        <v>133</v>
      </c>
      <c r="C115" s="39"/>
      <c r="D115" s="39"/>
      <c r="E115" s="40"/>
      <c r="F115" s="34">
        <v>72664.960000000006</v>
      </c>
      <c r="G115" s="35">
        <v>0.99929999999999997</v>
      </c>
      <c r="H115" s="36"/>
    </row>
    <row r="116" spans="2:8" ht="15.75" customHeight="1" x14ac:dyDescent="0.2">
      <c r="B116" s="28"/>
      <c r="C116" s="28"/>
      <c r="D116" s="28"/>
      <c r="E116" s="29"/>
      <c r="F116" s="30"/>
      <c r="G116" s="31"/>
      <c r="H116" s="32"/>
    </row>
    <row r="117" spans="2:8" ht="15.75" customHeight="1" x14ac:dyDescent="0.2">
      <c r="B117" s="28"/>
      <c r="C117" s="28"/>
      <c r="D117" s="28"/>
      <c r="E117" s="29"/>
      <c r="F117" s="30"/>
      <c r="G117" s="31"/>
      <c r="H117" s="32"/>
    </row>
    <row r="118" spans="2:8" ht="15.75" customHeight="1" x14ac:dyDescent="0.2">
      <c r="B118" s="27" t="s">
        <v>139</v>
      </c>
      <c r="C118" s="28"/>
      <c r="D118" s="28"/>
      <c r="E118" s="29"/>
      <c r="F118" s="30"/>
      <c r="G118" s="31"/>
      <c r="H118" s="32"/>
    </row>
    <row r="119" spans="2:8" ht="15.75" customHeight="1" x14ac:dyDescent="0.2">
      <c r="B119" s="28" t="s">
        <v>140</v>
      </c>
      <c r="C119" s="28"/>
      <c r="D119" s="28"/>
      <c r="E119" s="29"/>
      <c r="F119" s="30">
        <v>30.53</v>
      </c>
      <c r="G119" s="31">
        <v>4.0000000000000002E-4</v>
      </c>
      <c r="H119" s="32"/>
    </row>
    <row r="120" spans="2:8" ht="15.75" customHeight="1" x14ac:dyDescent="0.2">
      <c r="B120" s="27" t="s">
        <v>129</v>
      </c>
      <c r="C120" s="27"/>
      <c r="D120" s="27"/>
      <c r="E120" s="33"/>
      <c r="F120" s="34">
        <v>30.53</v>
      </c>
      <c r="G120" s="35">
        <v>4.0000000000000002E-4</v>
      </c>
      <c r="H120" s="36"/>
    </row>
    <row r="121" spans="2:8" ht="15.75" customHeight="1" x14ac:dyDescent="0.2">
      <c r="B121" s="28"/>
      <c r="C121" s="28"/>
      <c r="D121" s="28"/>
      <c r="E121" s="29"/>
      <c r="F121" s="30"/>
      <c r="G121" s="31"/>
      <c r="H121" s="32"/>
    </row>
    <row r="122" spans="2:8" ht="15.75" customHeight="1" x14ac:dyDescent="0.2">
      <c r="B122" s="39" t="s">
        <v>133</v>
      </c>
      <c r="C122" s="39"/>
      <c r="D122" s="39"/>
      <c r="E122" s="40"/>
      <c r="F122" s="34">
        <v>30.53</v>
      </c>
      <c r="G122" s="35">
        <v>4.0000000000000002E-4</v>
      </c>
      <c r="H122" s="36"/>
    </row>
    <row r="123" spans="2:8" ht="15.75" customHeight="1" x14ac:dyDescent="0.2">
      <c r="B123" s="28" t="s">
        <v>141</v>
      </c>
      <c r="C123" s="28"/>
      <c r="D123" s="28"/>
      <c r="E123" s="29"/>
      <c r="F123" s="30">
        <v>13.75</v>
      </c>
      <c r="G123" s="31">
        <v>3.0000000000007798E-4</v>
      </c>
      <c r="H123" s="32"/>
    </row>
    <row r="124" spans="2:8" ht="15.75" customHeight="1" x14ac:dyDescent="0.2">
      <c r="B124" s="41" t="s">
        <v>142</v>
      </c>
      <c r="C124" s="41"/>
      <c r="D124" s="41"/>
      <c r="E124" s="42"/>
      <c r="F124" s="43">
        <v>72709.240000000005</v>
      </c>
      <c r="G124" s="44">
        <v>1</v>
      </c>
      <c r="H124" s="45"/>
    </row>
    <row r="125" spans="2:8" ht="15.75" customHeight="1" x14ac:dyDescent="0.2">
      <c r="B125" s="2"/>
    </row>
    <row r="126" spans="2:8" ht="15.75" customHeight="1" x14ac:dyDescent="0.2">
      <c r="B126" s="15" t="s">
        <v>143</v>
      </c>
    </row>
    <row r="128" spans="2:8" s="7" customFormat="1" ht="15.6" customHeight="1" x14ac:dyDescent="0.25">
      <c r="B128" s="63" t="s">
        <v>1067</v>
      </c>
      <c r="C128" s="70"/>
      <c r="D128" s="70"/>
      <c r="E128" s="70"/>
      <c r="F128" s="70"/>
      <c r="G128" s="70"/>
      <c r="H128" s="64"/>
    </row>
    <row r="129" spans="2:8" s="7" customFormat="1" ht="15.6" customHeight="1" x14ac:dyDescent="0.25">
      <c r="B129" s="63" t="s">
        <v>1108</v>
      </c>
      <c r="C129" s="70"/>
      <c r="D129" s="70"/>
      <c r="E129" s="70"/>
      <c r="F129" s="70"/>
      <c r="G129" s="70"/>
      <c r="H129" s="64"/>
    </row>
    <row r="130" spans="2:8" s="7" customFormat="1" ht="15.6" customHeight="1" x14ac:dyDescent="0.25">
      <c r="B130" s="63" t="s">
        <v>1068</v>
      </c>
      <c r="C130" s="70"/>
      <c r="D130" s="70"/>
      <c r="E130" s="70"/>
      <c r="F130" s="70"/>
      <c r="G130" s="70"/>
      <c r="H130" s="64"/>
    </row>
    <row r="131" spans="2:8" s="7" customFormat="1" ht="15.6" customHeight="1" x14ac:dyDescent="0.25">
      <c r="B131" s="71"/>
      <c r="C131" s="65">
        <v>46142</v>
      </c>
      <c r="D131" s="65">
        <v>46112</v>
      </c>
      <c r="E131" s="70"/>
      <c r="F131" s="70"/>
      <c r="G131" s="70"/>
      <c r="H131" s="64"/>
    </row>
    <row r="132" spans="2:8" s="7" customFormat="1" ht="15.6" customHeight="1" x14ac:dyDescent="0.25">
      <c r="B132" s="71" t="s">
        <v>1069</v>
      </c>
      <c r="C132" s="66"/>
      <c r="D132" s="66"/>
      <c r="E132" s="70"/>
      <c r="F132" s="70"/>
      <c r="G132" s="70"/>
      <c r="H132" s="64"/>
    </row>
    <row r="133" spans="2:8" s="7" customFormat="1" ht="15.6" customHeight="1" x14ac:dyDescent="0.25">
      <c r="B133" s="71" t="s">
        <v>1070</v>
      </c>
      <c r="C133" s="67">
        <v>271.3503</v>
      </c>
      <c r="D133" s="67">
        <v>249.4323</v>
      </c>
      <c r="E133" s="70"/>
      <c r="F133" s="70"/>
      <c r="G133" s="70"/>
      <c r="H133" s="64"/>
    </row>
    <row r="134" spans="2:8" s="7" customFormat="1" ht="15.6" customHeight="1" x14ac:dyDescent="0.25">
      <c r="B134" s="63" t="s">
        <v>1116</v>
      </c>
      <c r="C134" s="70"/>
      <c r="D134" s="70"/>
      <c r="E134" s="70"/>
      <c r="F134" s="70"/>
      <c r="G134" s="70"/>
      <c r="H134" s="64"/>
    </row>
    <row r="135" spans="2:8" s="7" customFormat="1" ht="15.6" customHeight="1" x14ac:dyDescent="0.25">
      <c r="B135" s="63" t="s">
        <v>1109</v>
      </c>
      <c r="C135" s="70"/>
      <c r="D135" s="70"/>
      <c r="E135" s="70"/>
      <c r="F135" s="70"/>
      <c r="G135" s="70"/>
      <c r="H135" s="64"/>
    </row>
    <row r="136" spans="2:8" s="7" customFormat="1" ht="15.6" customHeight="1" x14ac:dyDescent="0.25">
      <c r="B136" s="63" t="s">
        <v>1111</v>
      </c>
      <c r="C136" s="70"/>
      <c r="D136" s="70"/>
      <c r="E136" s="70"/>
      <c r="F136" s="70"/>
      <c r="G136" s="70"/>
      <c r="H136" s="64"/>
    </row>
    <row r="137" spans="2:8" s="7" customFormat="1" ht="15.6" customHeight="1" x14ac:dyDescent="0.25">
      <c r="B137" s="63" t="s">
        <v>1112</v>
      </c>
      <c r="C137" s="70"/>
      <c r="D137" s="70"/>
      <c r="E137" s="70"/>
      <c r="F137" s="70"/>
      <c r="G137" s="70"/>
      <c r="H137" s="64"/>
    </row>
    <row r="138" spans="2:8" s="7" customFormat="1" ht="15.6" customHeight="1" x14ac:dyDescent="0.25">
      <c r="B138" s="63" t="s">
        <v>1103</v>
      </c>
      <c r="C138" s="70"/>
      <c r="D138" s="70"/>
      <c r="E138" s="70"/>
      <c r="F138" s="70"/>
      <c r="G138" s="70"/>
      <c r="H138" s="64"/>
    </row>
    <row r="139" spans="2:8" s="7" customFormat="1" ht="15.6" customHeight="1" x14ac:dyDescent="0.25">
      <c r="B139" s="63" t="s">
        <v>1113</v>
      </c>
      <c r="C139" s="70"/>
      <c r="D139" s="70"/>
      <c r="E139" s="70"/>
      <c r="F139" s="70"/>
      <c r="G139" s="70"/>
      <c r="H139" s="64"/>
    </row>
    <row r="140" spans="2:8" s="7" customFormat="1" ht="15.6" customHeight="1" x14ac:dyDescent="0.25">
      <c r="B140" s="68" t="s">
        <v>1076</v>
      </c>
      <c r="C140" s="72"/>
      <c r="D140" s="72"/>
      <c r="E140" s="72"/>
      <c r="F140" s="72"/>
      <c r="G140" s="72"/>
      <c r="H140" s="69"/>
    </row>
    <row r="141" spans="2:8" ht="15.75" customHeight="1" thickBot="1" x14ac:dyDescent="0.25"/>
    <row r="142" spans="2:8" ht="39.75" customHeight="1" thickBot="1" x14ac:dyDescent="0.3">
      <c r="B142" s="46" t="s">
        <v>146</v>
      </c>
      <c r="C142" s="47" t="s">
        <v>147</v>
      </c>
      <c r="D142" s="47" t="s">
        <v>148</v>
      </c>
      <c r="E142"/>
    </row>
    <row r="143" spans="2:8" ht="39.75" customHeight="1" x14ac:dyDescent="0.25">
      <c r="B143" s="52" t="s">
        <v>1036</v>
      </c>
      <c r="C143" s="109"/>
      <c r="D143" s="52" t="s">
        <v>1037</v>
      </c>
      <c r="E143"/>
    </row>
    <row r="144" spans="2:8" ht="39.75" customHeight="1" x14ac:dyDescent="0.25">
      <c r="B144" s="112" t="s">
        <v>1038</v>
      </c>
      <c r="C144" s="110"/>
      <c r="D144" s="114"/>
      <c r="E144"/>
    </row>
    <row r="145" spans="2:5" ht="39.75" customHeight="1" x14ac:dyDescent="0.25">
      <c r="B145" s="112"/>
      <c r="C145" s="110"/>
      <c r="D145" s="114"/>
      <c r="E145"/>
    </row>
    <row r="146" spans="2:5" ht="39.75" customHeight="1" x14ac:dyDescent="0.25">
      <c r="B146" s="112"/>
      <c r="C146" s="110"/>
      <c r="D146" s="114"/>
      <c r="E146"/>
    </row>
    <row r="147" spans="2:5" ht="39.75" customHeight="1" thickBot="1" x14ac:dyDescent="0.3">
      <c r="B147" s="113"/>
      <c r="C147" s="111"/>
      <c r="D147" s="114"/>
      <c r="E147"/>
    </row>
    <row r="148" spans="2:5" ht="15.75" customHeight="1" x14ac:dyDescent="0.2">
      <c r="B148" s="9" t="s">
        <v>149</v>
      </c>
    </row>
    <row r="149" spans="2:5" ht="15.75" customHeight="1" x14ac:dyDescent="0.2">
      <c r="B149" s="9" t="s">
        <v>150</v>
      </c>
    </row>
    <row r="150" spans="2:5" ht="15.75" customHeight="1" x14ac:dyDescent="0.2">
      <c r="B150" s="9" t="s">
        <v>151</v>
      </c>
    </row>
  </sheetData>
  <mergeCells count="3">
    <mergeCell ref="C143:C147"/>
    <mergeCell ref="B144:B147"/>
    <mergeCell ref="D144:D147"/>
  </mergeCells>
  <hyperlinks>
    <hyperlink ref="G1" location="'Sheet1'!A1" display="Index" xr:uid="{4DED0EFF-01D7-4615-9A80-35E6FC8D873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5DA6-6CE8-4288-B3A2-33D3561063EF}">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191</v>
      </c>
      <c r="C7" s="28" t="s">
        <v>192</v>
      </c>
      <c r="D7" s="28" t="s">
        <v>173</v>
      </c>
      <c r="E7" s="29">
        <v>604329</v>
      </c>
      <c r="F7" s="30">
        <v>7635.09</v>
      </c>
      <c r="G7" s="31">
        <v>7.6799999999999993E-2</v>
      </c>
      <c r="H7" s="32"/>
    </row>
    <row r="8" spans="2:8" ht="15.75" customHeight="1" x14ac:dyDescent="0.2">
      <c r="B8" s="28" t="s">
        <v>171</v>
      </c>
      <c r="C8" s="28" t="s">
        <v>172</v>
      </c>
      <c r="D8" s="28" t="s">
        <v>173</v>
      </c>
      <c r="E8" s="29">
        <v>916422</v>
      </c>
      <c r="F8" s="30">
        <v>7072.03</v>
      </c>
      <c r="G8" s="31">
        <v>7.1199999999999999E-2</v>
      </c>
      <c r="H8" s="32"/>
    </row>
    <row r="9" spans="2:8" ht="15.75" customHeight="1" x14ac:dyDescent="0.2">
      <c r="B9" s="28" t="s">
        <v>183</v>
      </c>
      <c r="C9" s="28" t="s">
        <v>184</v>
      </c>
      <c r="D9" s="28" t="s">
        <v>173</v>
      </c>
      <c r="E9" s="29">
        <v>342519</v>
      </c>
      <c r="F9" s="30">
        <v>4344.17</v>
      </c>
      <c r="G9" s="31">
        <v>4.3700000000000003E-2</v>
      </c>
      <c r="H9" s="32"/>
    </row>
    <row r="10" spans="2:8" ht="15.75" customHeight="1" x14ac:dyDescent="0.2">
      <c r="B10" s="28" t="s">
        <v>212</v>
      </c>
      <c r="C10" s="28" t="s">
        <v>213</v>
      </c>
      <c r="D10" s="28" t="s">
        <v>173</v>
      </c>
      <c r="E10" s="29">
        <v>320605</v>
      </c>
      <c r="F10" s="30">
        <v>3425.5</v>
      </c>
      <c r="G10" s="31">
        <v>3.4500000000000003E-2</v>
      </c>
      <c r="H10" s="32"/>
    </row>
    <row r="11" spans="2:8" ht="15.75" customHeight="1" x14ac:dyDescent="0.2">
      <c r="B11" s="28" t="s">
        <v>402</v>
      </c>
      <c r="C11" s="28" t="s">
        <v>403</v>
      </c>
      <c r="D11" s="28" t="s">
        <v>190</v>
      </c>
      <c r="E11" s="29">
        <v>210855</v>
      </c>
      <c r="F11" s="30">
        <v>3295.45</v>
      </c>
      <c r="G11" s="31">
        <v>3.32E-2</v>
      </c>
      <c r="H11" s="32"/>
    </row>
    <row r="12" spans="2:8" ht="15.75" customHeight="1" x14ac:dyDescent="0.2">
      <c r="B12" s="28" t="s">
        <v>322</v>
      </c>
      <c r="C12" s="28" t="s">
        <v>323</v>
      </c>
      <c r="D12" s="28" t="s">
        <v>321</v>
      </c>
      <c r="E12" s="29">
        <v>575326</v>
      </c>
      <c r="F12" s="30">
        <v>3246.56</v>
      </c>
      <c r="G12" s="31">
        <v>3.27E-2</v>
      </c>
      <c r="H12" s="32"/>
    </row>
    <row r="13" spans="2:8" ht="15.75" customHeight="1" x14ac:dyDescent="0.2">
      <c r="B13" s="28" t="s">
        <v>578</v>
      </c>
      <c r="C13" s="28" t="s">
        <v>579</v>
      </c>
      <c r="D13" s="28" t="s">
        <v>321</v>
      </c>
      <c r="E13" s="29">
        <v>176098</v>
      </c>
      <c r="F13" s="30">
        <v>2990.5</v>
      </c>
      <c r="G13" s="31">
        <v>3.0099999999999998E-2</v>
      </c>
      <c r="H13" s="32"/>
    </row>
    <row r="14" spans="2:8" ht="15.75" customHeight="1" x14ac:dyDescent="0.2">
      <c r="B14" s="28" t="s">
        <v>316</v>
      </c>
      <c r="C14" s="28" t="s">
        <v>317</v>
      </c>
      <c r="D14" s="28" t="s">
        <v>318</v>
      </c>
      <c r="E14" s="29">
        <v>68942</v>
      </c>
      <c r="F14" s="30">
        <v>2767.33</v>
      </c>
      <c r="G14" s="31">
        <v>2.7799999999999998E-2</v>
      </c>
      <c r="H14" s="32"/>
    </row>
    <row r="15" spans="2:8" ht="15.75" customHeight="1" x14ac:dyDescent="0.2">
      <c r="B15" s="28" t="s">
        <v>258</v>
      </c>
      <c r="C15" s="28" t="s">
        <v>259</v>
      </c>
      <c r="D15" s="28" t="s">
        <v>195</v>
      </c>
      <c r="E15" s="29">
        <v>33738</v>
      </c>
      <c r="F15" s="30">
        <v>2398.4299999999998</v>
      </c>
      <c r="G15" s="31">
        <v>2.41E-2</v>
      </c>
      <c r="H15" s="32"/>
    </row>
    <row r="16" spans="2:8" ht="15.75" customHeight="1" x14ac:dyDescent="0.2">
      <c r="B16" s="28" t="s">
        <v>628</v>
      </c>
      <c r="C16" s="28" t="s">
        <v>629</v>
      </c>
      <c r="D16" s="28" t="s">
        <v>271</v>
      </c>
      <c r="E16" s="29">
        <v>131363</v>
      </c>
      <c r="F16" s="30">
        <v>2339.58</v>
      </c>
      <c r="G16" s="31">
        <v>2.35E-2</v>
      </c>
      <c r="H16" s="32"/>
    </row>
    <row r="17" spans="2:8" ht="15.75" customHeight="1" x14ac:dyDescent="0.2">
      <c r="B17" s="28" t="s">
        <v>379</v>
      </c>
      <c r="C17" s="28" t="s">
        <v>380</v>
      </c>
      <c r="D17" s="28" t="s">
        <v>331</v>
      </c>
      <c r="E17" s="29">
        <v>80412</v>
      </c>
      <c r="F17" s="30">
        <v>2247.11</v>
      </c>
      <c r="G17" s="31">
        <v>2.2599999999999999E-2</v>
      </c>
      <c r="H17" s="32"/>
    </row>
    <row r="18" spans="2:8" ht="15.75" customHeight="1" x14ac:dyDescent="0.2">
      <c r="B18" s="28" t="s">
        <v>174</v>
      </c>
      <c r="C18" s="28" t="s">
        <v>175</v>
      </c>
      <c r="D18" s="28" t="s">
        <v>176</v>
      </c>
      <c r="E18" s="29">
        <v>154364</v>
      </c>
      <c r="F18" s="30">
        <v>2208.64</v>
      </c>
      <c r="G18" s="31">
        <v>2.2200000000000001E-2</v>
      </c>
      <c r="H18" s="32"/>
    </row>
    <row r="19" spans="2:8" ht="15.75" customHeight="1" x14ac:dyDescent="0.2">
      <c r="B19" s="28" t="s">
        <v>615</v>
      </c>
      <c r="C19" s="28" t="s">
        <v>616</v>
      </c>
      <c r="D19" s="28" t="s">
        <v>338</v>
      </c>
      <c r="E19" s="29">
        <v>187128</v>
      </c>
      <c r="F19" s="30">
        <v>2124.09</v>
      </c>
      <c r="G19" s="31">
        <v>2.1399999999999999E-2</v>
      </c>
      <c r="H19" s="32"/>
    </row>
    <row r="20" spans="2:8" ht="15.75" customHeight="1" x14ac:dyDescent="0.2">
      <c r="B20" s="28" t="s">
        <v>193</v>
      </c>
      <c r="C20" s="28" t="s">
        <v>194</v>
      </c>
      <c r="D20" s="28" t="s">
        <v>195</v>
      </c>
      <c r="E20" s="29">
        <v>65130</v>
      </c>
      <c r="F20" s="30">
        <v>2017.4</v>
      </c>
      <c r="G20" s="31">
        <v>2.0299999999999999E-2</v>
      </c>
      <c r="H20" s="32"/>
    </row>
    <row r="21" spans="2:8" ht="15.75" customHeight="1" x14ac:dyDescent="0.2">
      <c r="B21" s="28" t="s">
        <v>232</v>
      </c>
      <c r="C21" s="28" t="s">
        <v>233</v>
      </c>
      <c r="D21" s="28" t="s">
        <v>195</v>
      </c>
      <c r="E21" s="29">
        <v>14293</v>
      </c>
      <c r="F21" s="30">
        <v>1902.97</v>
      </c>
      <c r="G21" s="31">
        <v>1.9099999999999999E-2</v>
      </c>
      <c r="H21" s="32"/>
    </row>
    <row r="22" spans="2:8" ht="15.75" customHeight="1" x14ac:dyDescent="0.2">
      <c r="B22" s="28" t="s">
        <v>262</v>
      </c>
      <c r="C22" s="28" t="s">
        <v>263</v>
      </c>
      <c r="D22" s="28" t="s">
        <v>243</v>
      </c>
      <c r="E22" s="29">
        <v>43687</v>
      </c>
      <c r="F22" s="30">
        <v>1810.65</v>
      </c>
      <c r="G22" s="31">
        <v>1.8200000000000001E-2</v>
      </c>
      <c r="H22" s="32"/>
    </row>
    <row r="23" spans="2:8" ht="15.75" customHeight="1" x14ac:dyDescent="0.2">
      <c r="B23" s="28" t="s">
        <v>343</v>
      </c>
      <c r="C23" s="28" t="s">
        <v>344</v>
      </c>
      <c r="D23" s="28" t="s">
        <v>345</v>
      </c>
      <c r="E23" s="29">
        <v>71553</v>
      </c>
      <c r="F23" s="30">
        <v>1802.13</v>
      </c>
      <c r="G23" s="31">
        <v>1.8100000000000002E-2</v>
      </c>
      <c r="H23" s="32"/>
    </row>
    <row r="24" spans="2:8" ht="15.75" customHeight="1" x14ac:dyDescent="0.2">
      <c r="B24" s="28" t="s">
        <v>384</v>
      </c>
      <c r="C24" s="28" t="s">
        <v>385</v>
      </c>
      <c r="D24" s="28" t="s">
        <v>238</v>
      </c>
      <c r="E24" s="29">
        <v>41992</v>
      </c>
      <c r="F24" s="30">
        <v>1757.41</v>
      </c>
      <c r="G24" s="31">
        <v>1.77E-2</v>
      </c>
      <c r="H24" s="32"/>
    </row>
    <row r="25" spans="2:8" ht="15.75" customHeight="1" x14ac:dyDescent="0.2">
      <c r="B25" s="28" t="s">
        <v>180</v>
      </c>
      <c r="C25" s="28" t="s">
        <v>181</v>
      </c>
      <c r="D25" s="28" t="s">
        <v>182</v>
      </c>
      <c r="E25" s="29">
        <v>147964</v>
      </c>
      <c r="F25" s="30">
        <v>1748.64</v>
      </c>
      <c r="G25" s="31">
        <v>1.7600000000000001E-2</v>
      </c>
      <c r="H25" s="32"/>
    </row>
    <row r="26" spans="2:8" ht="15.75" customHeight="1" x14ac:dyDescent="0.2">
      <c r="B26" s="28" t="s">
        <v>702</v>
      </c>
      <c r="C26" s="28" t="s">
        <v>703</v>
      </c>
      <c r="D26" s="28" t="s">
        <v>561</v>
      </c>
      <c r="E26" s="29">
        <v>54004</v>
      </c>
      <c r="F26" s="30">
        <v>1649.71</v>
      </c>
      <c r="G26" s="31">
        <v>1.66E-2</v>
      </c>
      <c r="H26" s="32"/>
    </row>
    <row r="27" spans="2:8" ht="15.75" customHeight="1" x14ac:dyDescent="0.2">
      <c r="B27" s="28" t="s">
        <v>678</v>
      </c>
      <c r="C27" s="28" t="s">
        <v>679</v>
      </c>
      <c r="D27" s="28" t="s">
        <v>345</v>
      </c>
      <c r="E27" s="29">
        <v>23287</v>
      </c>
      <c r="F27" s="30">
        <v>1588.41</v>
      </c>
      <c r="G27" s="31">
        <v>1.6E-2</v>
      </c>
      <c r="H27" s="32"/>
    </row>
    <row r="28" spans="2:8" ht="15.75" customHeight="1" x14ac:dyDescent="0.2">
      <c r="B28" s="28" t="s">
        <v>177</v>
      </c>
      <c r="C28" s="28" t="s">
        <v>178</v>
      </c>
      <c r="D28" s="28" t="s">
        <v>179</v>
      </c>
      <c r="E28" s="29">
        <v>83341</v>
      </c>
      <c r="F28" s="30">
        <v>1568.14</v>
      </c>
      <c r="G28" s="31">
        <v>1.5800000000000002E-2</v>
      </c>
      <c r="H28" s="32"/>
    </row>
    <row r="29" spans="2:8" ht="15.75" customHeight="1" x14ac:dyDescent="0.2">
      <c r="B29" s="28" t="s">
        <v>646</v>
      </c>
      <c r="C29" s="28" t="s">
        <v>647</v>
      </c>
      <c r="D29" s="28" t="s">
        <v>470</v>
      </c>
      <c r="E29" s="29">
        <v>477613</v>
      </c>
      <c r="F29" s="30">
        <v>1523.35</v>
      </c>
      <c r="G29" s="31">
        <v>1.5299999999999999E-2</v>
      </c>
      <c r="H29" s="32"/>
    </row>
    <row r="30" spans="2:8" ht="15.75" customHeight="1" x14ac:dyDescent="0.2">
      <c r="B30" s="28" t="s">
        <v>241</v>
      </c>
      <c r="C30" s="28" t="s">
        <v>242</v>
      </c>
      <c r="D30" s="28" t="s">
        <v>243</v>
      </c>
      <c r="E30" s="29">
        <v>614101</v>
      </c>
      <c r="F30" s="30">
        <v>1517.01</v>
      </c>
      <c r="G30" s="31">
        <v>1.5299999999999999E-2</v>
      </c>
      <c r="H30" s="32"/>
    </row>
    <row r="31" spans="2:8" ht="15.75" customHeight="1" x14ac:dyDescent="0.2">
      <c r="B31" s="28" t="s">
        <v>314</v>
      </c>
      <c r="C31" s="28" t="s">
        <v>315</v>
      </c>
      <c r="D31" s="28" t="s">
        <v>182</v>
      </c>
      <c r="E31" s="29">
        <v>59141</v>
      </c>
      <c r="F31" s="30">
        <v>1463.09</v>
      </c>
      <c r="G31" s="31">
        <v>1.47E-2</v>
      </c>
      <c r="H31" s="32"/>
    </row>
    <row r="32" spans="2:8" ht="15.75" customHeight="1" x14ac:dyDescent="0.2">
      <c r="B32" s="28" t="s">
        <v>288</v>
      </c>
      <c r="C32" s="28" t="s">
        <v>289</v>
      </c>
      <c r="D32" s="28" t="s">
        <v>190</v>
      </c>
      <c r="E32" s="29">
        <v>83108</v>
      </c>
      <c r="F32" s="30">
        <v>1452.06</v>
      </c>
      <c r="G32" s="31">
        <v>1.46E-2</v>
      </c>
      <c r="H32" s="32"/>
    </row>
    <row r="33" spans="2:8" ht="15.75" customHeight="1" x14ac:dyDescent="0.2">
      <c r="B33" s="28" t="s">
        <v>460</v>
      </c>
      <c r="C33" s="28" t="s">
        <v>461</v>
      </c>
      <c r="D33" s="28" t="s">
        <v>271</v>
      </c>
      <c r="E33" s="29">
        <v>285361</v>
      </c>
      <c r="F33" s="30">
        <v>1422.95</v>
      </c>
      <c r="G33" s="31">
        <v>1.43E-2</v>
      </c>
      <c r="H33" s="32"/>
    </row>
    <row r="34" spans="2:8" ht="15.75" customHeight="1" x14ac:dyDescent="0.2">
      <c r="B34" s="28" t="s">
        <v>464</v>
      </c>
      <c r="C34" s="28" t="s">
        <v>465</v>
      </c>
      <c r="D34" s="28" t="s">
        <v>195</v>
      </c>
      <c r="E34" s="29">
        <v>39928</v>
      </c>
      <c r="F34" s="30">
        <v>1394.65</v>
      </c>
      <c r="G34" s="31">
        <v>1.4E-2</v>
      </c>
      <c r="H34" s="32"/>
    </row>
    <row r="35" spans="2:8" ht="15.75" customHeight="1" x14ac:dyDescent="0.2">
      <c r="B35" s="28" t="s">
        <v>185</v>
      </c>
      <c r="C35" s="28" t="s">
        <v>186</v>
      </c>
      <c r="D35" s="28" t="s">
        <v>187</v>
      </c>
      <c r="E35" s="29">
        <v>61576</v>
      </c>
      <c r="F35" s="30">
        <v>1386.01</v>
      </c>
      <c r="G35" s="31">
        <v>1.3899999999999999E-2</v>
      </c>
      <c r="H35" s="32"/>
    </row>
    <row r="36" spans="2:8" ht="15.75" customHeight="1" x14ac:dyDescent="0.2">
      <c r="B36" s="28" t="s">
        <v>559</v>
      </c>
      <c r="C36" s="28" t="s">
        <v>560</v>
      </c>
      <c r="D36" s="28" t="s">
        <v>561</v>
      </c>
      <c r="E36" s="29">
        <v>66588</v>
      </c>
      <c r="F36" s="30">
        <v>1319.57</v>
      </c>
      <c r="G36" s="31">
        <v>1.3299999999999999E-2</v>
      </c>
      <c r="H36" s="32"/>
    </row>
    <row r="37" spans="2:8" ht="15.75" customHeight="1" x14ac:dyDescent="0.2">
      <c r="B37" s="28" t="s">
        <v>364</v>
      </c>
      <c r="C37" s="28" t="s">
        <v>365</v>
      </c>
      <c r="D37" s="28" t="s">
        <v>238</v>
      </c>
      <c r="E37" s="29">
        <v>5174</v>
      </c>
      <c r="F37" s="30">
        <v>1316.01</v>
      </c>
      <c r="G37" s="31">
        <v>1.32E-2</v>
      </c>
      <c r="H37" s="32"/>
    </row>
    <row r="38" spans="2:8" ht="15.75" customHeight="1" x14ac:dyDescent="0.2">
      <c r="B38" s="28" t="s">
        <v>256</v>
      </c>
      <c r="C38" s="28" t="s">
        <v>257</v>
      </c>
      <c r="D38" s="28" t="s">
        <v>187</v>
      </c>
      <c r="E38" s="29">
        <v>408976</v>
      </c>
      <c r="F38" s="30">
        <v>1287.8699999999999</v>
      </c>
      <c r="G38" s="31">
        <v>1.2999999999999999E-2</v>
      </c>
      <c r="H38" s="32"/>
    </row>
    <row r="39" spans="2:8" ht="15.75" customHeight="1" x14ac:dyDescent="0.2">
      <c r="B39" s="28" t="s">
        <v>278</v>
      </c>
      <c r="C39" s="28" t="s">
        <v>279</v>
      </c>
      <c r="D39" s="28" t="s">
        <v>190</v>
      </c>
      <c r="E39" s="29">
        <v>271546</v>
      </c>
      <c r="F39" s="30">
        <v>1217.6099999999999</v>
      </c>
      <c r="G39" s="31">
        <v>1.23E-2</v>
      </c>
      <c r="H39" s="32"/>
    </row>
    <row r="40" spans="2:8" ht="15.75" customHeight="1" x14ac:dyDescent="0.2">
      <c r="B40" s="28" t="s">
        <v>486</v>
      </c>
      <c r="C40" s="28" t="s">
        <v>487</v>
      </c>
      <c r="D40" s="28" t="s">
        <v>179</v>
      </c>
      <c r="E40" s="29">
        <v>26709</v>
      </c>
      <c r="F40" s="30">
        <v>1101.69</v>
      </c>
      <c r="G40" s="31">
        <v>1.11E-2</v>
      </c>
      <c r="H40" s="32"/>
    </row>
    <row r="41" spans="2:8" ht="15.75" customHeight="1" x14ac:dyDescent="0.2">
      <c r="B41" s="28" t="s">
        <v>481</v>
      </c>
      <c r="C41" s="28" t="s">
        <v>482</v>
      </c>
      <c r="D41" s="28" t="s">
        <v>483</v>
      </c>
      <c r="E41" s="29">
        <v>213990</v>
      </c>
      <c r="F41" s="30">
        <v>1099.27</v>
      </c>
      <c r="G41" s="31">
        <v>1.11E-2</v>
      </c>
      <c r="H41" s="32"/>
    </row>
    <row r="42" spans="2:8" ht="15.75" customHeight="1" x14ac:dyDescent="0.2">
      <c r="B42" s="28" t="s">
        <v>686</v>
      </c>
      <c r="C42" s="28" t="s">
        <v>687</v>
      </c>
      <c r="D42" s="28" t="s">
        <v>238</v>
      </c>
      <c r="E42" s="29">
        <v>48195</v>
      </c>
      <c r="F42" s="30">
        <v>1082.8</v>
      </c>
      <c r="G42" s="31">
        <v>1.09E-2</v>
      </c>
      <c r="H42" s="32"/>
    </row>
    <row r="43" spans="2:8" ht="15.75" customHeight="1" x14ac:dyDescent="0.2">
      <c r="B43" s="28" t="s">
        <v>584</v>
      </c>
      <c r="C43" s="28" t="s">
        <v>585</v>
      </c>
      <c r="D43" s="28" t="s">
        <v>271</v>
      </c>
      <c r="E43" s="29">
        <v>104713</v>
      </c>
      <c r="F43" s="30">
        <v>1071.06</v>
      </c>
      <c r="G43" s="31">
        <v>1.0800000000000001E-2</v>
      </c>
      <c r="H43" s="32"/>
    </row>
    <row r="44" spans="2:8" ht="15.75" customHeight="1" x14ac:dyDescent="0.2">
      <c r="B44" s="28" t="s">
        <v>565</v>
      </c>
      <c r="C44" s="28" t="s">
        <v>566</v>
      </c>
      <c r="D44" s="28" t="s">
        <v>383</v>
      </c>
      <c r="E44" s="29">
        <v>74492</v>
      </c>
      <c r="F44" s="30">
        <v>1059.05</v>
      </c>
      <c r="G44" s="31">
        <v>1.0699999999999999E-2</v>
      </c>
      <c r="H44" s="32"/>
    </row>
    <row r="45" spans="2:8" ht="15.75" customHeight="1" x14ac:dyDescent="0.2">
      <c r="B45" s="28" t="s">
        <v>976</v>
      </c>
      <c r="C45" s="28" t="s">
        <v>977</v>
      </c>
      <c r="D45" s="28" t="s">
        <v>243</v>
      </c>
      <c r="E45" s="29">
        <v>23038</v>
      </c>
      <c r="F45" s="30">
        <v>1056.5</v>
      </c>
      <c r="G45" s="31">
        <v>1.06E-2</v>
      </c>
      <c r="H45" s="32"/>
    </row>
    <row r="46" spans="2:8" ht="15.75" customHeight="1" x14ac:dyDescent="0.2">
      <c r="B46" s="28" t="s">
        <v>1039</v>
      </c>
      <c r="C46" s="28" t="s">
        <v>1040</v>
      </c>
      <c r="D46" s="28" t="s">
        <v>179</v>
      </c>
      <c r="E46" s="29">
        <v>258410</v>
      </c>
      <c r="F46" s="30">
        <v>1049.4000000000001</v>
      </c>
      <c r="G46" s="31">
        <v>1.06E-2</v>
      </c>
      <c r="H46" s="32"/>
    </row>
    <row r="47" spans="2:8" ht="15.75" customHeight="1" x14ac:dyDescent="0.2">
      <c r="B47" s="28" t="s">
        <v>596</v>
      </c>
      <c r="C47" s="28" t="s">
        <v>597</v>
      </c>
      <c r="D47" s="28" t="s">
        <v>190</v>
      </c>
      <c r="E47" s="29">
        <v>278622</v>
      </c>
      <c r="F47" s="30">
        <v>987.16</v>
      </c>
      <c r="G47" s="31">
        <v>9.9000000000000008E-3</v>
      </c>
      <c r="H47" s="32"/>
    </row>
    <row r="48" spans="2:8" ht="15.75" customHeight="1" x14ac:dyDescent="0.2">
      <c r="B48" s="28" t="s">
        <v>706</v>
      </c>
      <c r="C48" s="28" t="s">
        <v>707</v>
      </c>
      <c r="D48" s="28" t="s">
        <v>182</v>
      </c>
      <c r="E48" s="29">
        <v>20055</v>
      </c>
      <c r="F48" s="30">
        <v>962.64</v>
      </c>
      <c r="G48" s="31">
        <v>9.7000000000000003E-3</v>
      </c>
      <c r="H48" s="32"/>
    </row>
    <row r="49" spans="2:8" ht="15.75" customHeight="1" x14ac:dyDescent="0.2">
      <c r="B49" s="28" t="s">
        <v>393</v>
      </c>
      <c r="C49" s="28" t="s">
        <v>394</v>
      </c>
      <c r="D49" s="28" t="s">
        <v>395</v>
      </c>
      <c r="E49" s="29">
        <v>12486</v>
      </c>
      <c r="F49" s="30">
        <v>953.49</v>
      </c>
      <c r="G49" s="31">
        <v>9.5999999999999992E-3</v>
      </c>
      <c r="H49" s="32"/>
    </row>
    <row r="50" spans="2:8" ht="15.75" customHeight="1" x14ac:dyDescent="0.2">
      <c r="B50" s="28" t="s">
        <v>688</v>
      </c>
      <c r="C50" s="28" t="s">
        <v>689</v>
      </c>
      <c r="D50" s="28" t="s">
        <v>395</v>
      </c>
      <c r="E50" s="29">
        <v>195358</v>
      </c>
      <c r="F50" s="30">
        <v>869.54</v>
      </c>
      <c r="G50" s="31">
        <v>8.6999999999999994E-3</v>
      </c>
      <c r="H50" s="32"/>
    </row>
    <row r="51" spans="2:8" ht="15.75" customHeight="1" x14ac:dyDescent="0.2">
      <c r="B51" s="28" t="s">
        <v>220</v>
      </c>
      <c r="C51" s="28" t="s">
        <v>221</v>
      </c>
      <c r="D51" s="28" t="s">
        <v>173</v>
      </c>
      <c r="E51" s="29">
        <v>216740</v>
      </c>
      <c r="F51" s="30">
        <v>830.76</v>
      </c>
      <c r="G51" s="31">
        <v>8.3999999999999995E-3</v>
      </c>
      <c r="H51" s="32"/>
    </row>
    <row r="52" spans="2:8" ht="15.75" customHeight="1" x14ac:dyDescent="0.2">
      <c r="B52" s="28" t="s">
        <v>458</v>
      </c>
      <c r="C52" s="28" t="s">
        <v>459</v>
      </c>
      <c r="D52" s="28" t="s">
        <v>196</v>
      </c>
      <c r="E52" s="29">
        <v>420480</v>
      </c>
      <c r="F52" s="30">
        <v>825.02</v>
      </c>
      <c r="G52" s="31">
        <v>8.3000000000000001E-3</v>
      </c>
      <c r="H52" s="32"/>
    </row>
    <row r="53" spans="2:8" ht="15.75" customHeight="1" x14ac:dyDescent="0.2">
      <c r="B53" s="28" t="s">
        <v>1041</v>
      </c>
      <c r="C53" s="28" t="s">
        <v>1042</v>
      </c>
      <c r="D53" s="28" t="s">
        <v>619</v>
      </c>
      <c r="E53" s="29">
        <v>7851</v>
      </c>
      <c r="F53" s="30">
        <v>796.6</v>
      </c>
      <c r="G53" s="31">
        <v>8.0000000000000002E-3</v>
      </c>
      <c r="H53" s="32"/>
    </row>
    <row r="54" spans="2:8" ht="15.75" customHeight="1" x14ac:dyDescent="0.2">
      <c r="B54" s="28" t="s">
        <v>549</v>
      </c>
      <c r="C54" s="28" t="s">
        <v>550</v>
      </c>
      <c r="D54" s="28" t="s">
        <v>238</v>
      </c>
      <c r="E54" s="29">
        <v>5056</v>
      </c>
      <c r="F54" s="30">
        <v>758.55</v>
      </c>
      <c r="G54" s="31">
        <v>7.6E-3</v>
      </c>
      <c r="H54" s="32"/>
    </row>
    <row r="55" spans="2:8" ht="15.75" customHeight="1" x14ac:dyDescent="0.2">
      <c r="B55" s="28" t="s">
        <v>329</v>
      </c>
      <c r="C55" s="28" t="s">
        <v>330</v>
      </c>
      <c r="D55" s="28" t="s">
        <v>331</v>
      </c>
      <c r="E55" s="29">
        <v>5797</v>
      </c>
      <c r="F55" s="30">
        <v>671.64</v>
      </c>
      <c r="G55" s="31">
        <v>6.7999999999999996E-3</v>
      </c>
      <c r="H55" s="32"/>
    </row>
    <row r="56" spans="2:8" ht="15.75" customHeight="1" x14ac:dyDescent="0.2">
      <c r="B56" s="28" t="s">
        <v>842</v>
      </c>
      <c r="C56" s="28" t="s">
        <v>843</v>
      </c>
      <c r="D56" s="28" t="s">
        <v>287</v>
      </c>
      <c r="E56" s="29">
        <v>11457</v>
      </c>
      <c r="F56" s="30">
        <v>626.21</v>
      </c>
      <c r="G56" s="31">
        <v>6.3E-3</v>
      </c>
      <c r="H56" s="32"/>
    </row>
    <row r="57" spans="2:8" ht="15.75" customHeight="1" x14ac:dyDescent="0.2">
      <c r="B57" s="28" t="s">
        <v>462</v>
      </c>
      <c r="C57" s="28" t="s">
        <v>463</v>
      </c>
      <c r="D57" s="28" t="s">
        <v>238</v>
      </c>
      <c r="E57" s="29">
        <v>348759</v>
      </c>
      <c r="F57" s="30">
        <v>564.54</v>
      </c>
      <c r="G57" s="31">
        <v>5.7000000000000002E-3</v>
      </c>
      <c r="H57" s="32"/>
    </row>
    <row r="58" spans="2:8" ht="15.75" customHeight="1" x14ac:dyDescent="0.2">
      <c r="B58" s="28" t="s">
        <v>987</v>
      </c>
      <c r="C58" s="28" t="s">
        <v>988</v>
      </c>
      <c r="D58" s="28" t="s">
        <v>176</v>
      </c>
      <c r="E58" s="29">
        <v>88421</v>
      </c>
      <c r="F58" s="30">
        <v>265.66000000000003</v>
      </c>
      <c r="G58" s="31">
        <v>2.7000000000000001E-3</v>
      </c>
      <c r="H58" s="32"/>
    </row>
    <row r="59" spans="2:8" ht="15.75" customHeight="1" x14ac:dyDescent="0.2">
      <c r="B59" s="28" t="s">
        <v>473</v>
      </c>
      <c r="C59" s="28" t="s">
        <v>474</v>
      </c>
      <c r="D59" s="28" t="s">
        <v>243</v>
      </c>
      <c r="E59" s="29">
        <v>59601</v>
      </c>
      <c r="F59" s="30">
        <v>264.12</v>
      </c>
      <c r="G59" s="31">
        <v>2.7000000000000001E-3</v>
      </c>
      <c r="H59" s="32"/>
    </row>
    <row r="60" spans="2:8" ht="15.75" customHeight="1" x14ac:dyDescent="0.2">
      <c r="B60" s="27" t="s">
        <v>129</v>
      </c>
      <c r="C60" s="27"/>
      <c r="D60" s="27"/>
      <c r="E60" s="33"/>
      <c r="F60" s="34">
        <v>94135.82</v>
      </c>
      <c r="G60" s="35">
        <v>0.94720000000000004</v>
      </c>
      <c r="H60" s="36"/>
    </row>
    <row r="61" spans="2:8" ht="15.75" customHeight="1" x14ac:dyDescent="0.2">
      <c r="B61" s="27" t="s">
        <v>197</v>
      </c>
      <c r="C61" s="28"/>
      <c r="D61" s="28"/>
      <c r="E61" s="29"/>
      <c r="F61" s="30"/>
      <c r="G61" s="31"/>
      <c r="H61" s="32"/>
    </row>
    <row r="62" spans="2:8" ht="15.75" customHeight="1" x14ac:dyDescent="0.2">
      <c r="B62" s="27" t="s">
        <v>129</v>
      </c>
      <c r="C62" s="28"/>
      <c r="D62" s="28"/>
      <c r="E62" s="29"/>
      <c r="F62" s="37" t="s">
        <v>131</v>
      </c>
      <c r="G62" s="38" t="s">
        <v>131</v>
      </c>
      <c r="H62" s="32"/>
    </row>
    <row r="63" spans="2:8" ht="15.75" customHeight="1" x14ac:dyDescent="0.2">
      <c r="B63" s="28"/>
      <c r="C63" s="28"/>
      <c r="D63" s="28"/>
      <c r="E63" s="29"/>
      <c r="F63" s="30"/>
      <c r="G63" s="31"/>
      <c r="H63" s="32"/>
    </row>
    <row r="64" spans="2:8" ht="15.75" customHeight="1" x14ac:dyDescent="0.2">
      <c r="B64" s="39" t="s">
        <v>133</v>
      </c>
      <c r="C64" s="39"/>
      <c r="D64" s="39"/>
      <c r="E64" s="40"/>
      <c r="F64" s="34">
        <v>94135.82</v>
      </c>
      <c r="G64" s="35">
        <v>0.94720000000000004</v>
      </c>
      <c r="H64" s="36"/>
    </row>
    <row r="65" spans="2:10" ht="15.75" customHeight="1" x14ac:dyDescent="0.2">
      <c r="B65" s="28"/>
      <c r="C65" s="28"/>
      <c r="D65" s="28"/>
      <c r="E65" s="29"/>
      <c r="F65" s="30"/>
      <c r="G65" s="31"/>
      <c r="H65" s="32"/>
    </row>
    <row r="66" spans="2:10" ht="15.75" customHeight="1" x14ac:dyDescent="0.2">
      <c r="B66" s="28"/>
      <c r="C66" s="28"/>
      <c r="D66" s="28"/>
      <c r="E66" s="29"/>
      <c r="F66" s="30"/>
      <c r="G66" s="31"/>
      <c r="H66" s="32"/>
    </row>
    <row r="67" spans="2:10" ht="15.75" customHeight="1" x14ac:dyDescent="0.2">
      <c r="B67" s="27" t="s">
        <v>139</v>
      </c>
      <c r="C67" s="28"/>
      <c r="D67" s="28"/>
      <c r="E67" s="29"/>
      <c r="F67" s="30"/>
      <c r="G67" s="31"/>
      <c r="H67" s="32"/>
    </row>
    <row r="68" spans="2:10" ht="15.75" customHeight="1" x14ac:dyDescent="0.2">
      <c r="B68" s="28" t="s">
        <v>140</v>
      </c>
      <c r="C68" s="28"/>
      <c r="D68" s="28"/>
      <c r="E68" s="29"/>
      <c r="F68" s="30">
        <v>5373.98</v>
      </c>
      <c r="G68" s="31">
        <v>5.4100000000000002E-2</v>
      </c>
      <c r="H68" s="32"/>
      <c r="J68" s="3"/>
    </row>
    <row r="69" spans="2:10" ht="15.75" customHeight="1" x14ac:dyDescent="0.2">
      <c r="B69" s="27" t="s">
        <v>129</v>
      </c>
      <c r="C69" s="27"/>
      <c r="D69" s="27"/>
      <c r="E69" s="33"/>
      <c r="F69" s="34">
        <v>5373.98</v>
      </c>
      <c r="G69" s="35">
        <v>5.4100000000000002E-2</v>
      </c>
      <c r="H69" s="36"/>
    </row>
    <row r="70" spans="2:10" ht="15.75" customHeight="1" x14ac:dyDescent="0.2">
      <c r="B70" s="28"/>
      <c r="C70" s="28"/>
      <c r="D70" s="28"/>
      <c r="E70" s="29"/>
      <c r="F70" s="30"/>
      <c r="G70" s="31"/>
      <c r="H70" s="32"/>
      <c r="J70" s="3"/>
    </row>
    <row r="71" spans="2:10" ht="15.75" customHeight="1" x14ac:dyDescent="0.2">
      <c r="B71" s="39" t="s">
        <v>133</v>
      </c>
      <c r="C71" s="39"/>
      <c r="D71" s="39"/>
      <c r="E71" s="40"/>
      <c r="F71" s="34">
        <v>5373.98</v>
      </c>
      <c r="G71" s="35">
        <v>5.4100000000000002E-2</v>
      </c>
      <c r="H71" s="36"/>
      <c r="J71" s="3"/>
    </row>
    <row r="72" spans="2:10" ht="15.75" customHeight="1" x14ac:dyDescent="0.2">
      <c r="B72" s="28" t="s">
        <v>141</v>
      </c>
      <c r="C72" s="28"/>
      <c r="D72" s="28"/>
      <c r="E72" s="29"/>
      <c r="F72" s="50">
        <v>-133.19</v>
      </c>
      <c r="G72" s="51">
        <v>-1.3000000000000789E-3</v>
      </c>
      <c r="H72" s="32"/>
      <c r="J72" s="3"/>
    </row>
    <row r="73" spans="2:10" ht="15.75" customHeight="1" x14ac:dyDescent="0.2">
      <c r="B73" s="41" t="s">
        <v>142</v>
      </c>
      <c r="C73" s="41"/>
      <c r="D73" s="41"/>
      <c r="E73" s="42"/>
      <c r="F73" s="43">
        <v>99376.61</v>
      </c>
      <c r="G73" s="44">
        <v>1</v>
      </c>
      <c r="H73" s="45"/>
      <c r="J73" s="3"/>
    </row>
    <row r="74" spans="2:10" ht="15.75" customHeight="1" x14ac:dyDescent="0.2">
      <c r="B74" s="2"/>
      <c r="J74" s="3"/>
    </row>
    <row r="75" spans="2:10" s="7" customFormat="1" ht="15.6" customHeight="1" x14ac:dyDescent="0.25">
      <c r="B75" s="63" t="s">
        <v>1067</v>
      </c>
      <c r="C75" s="70"/>
      <c r="D75" s="70"/>
      <c r="E75" s="70"/>
      <c r="F75" s="70"/>
      <c r="G75" s="70"/>
      <c r="H75" s="64"/>
    </row>
    <row r="76" spans="2:10" s="7" customFormat="1" ht="15.6" customHeight="1" x14ac:dyDescent="0.25">
      <c r="B76" s="63" t="s">
        <v>1108</v>
      </c>
      <c r="C76" s="70"/>
      <c r="D76" s="70"/>
      <c r="E76" s="70"/>
      <c r="F76" s="70"/>
      <c r="G76" s="70"/>
      <c r="H76" s="64"/>
    </row>
    <row r="77" spans="2:10" s="7" customFormat="1" ht="15.6" customHeight="1" x14ac:dyDescent="0.25">
      <c r="B77" s="63" t="s">
        <v>1068</v>
      </c>
      <c r="C77" s="70"/>
      <c r="D77" s="70"/>
      <c r="E77" s="70"/>
      <c r="F77" s="70"/>
      <c r="G77" s="70"/>
      <c r="H77" s="64"/>
    </row>
    <row r="78" spans="2:10" s="7" customFormat="1" ht="15.6" customHeight="1" x14ac:dyDescent="0.25">
      <c r="B78" s="71"/>
      <c r="C78" s="65">
        <v>46142</v>
      </c>
      <c r="D78" s="65">
        <v>46112</v>
      </c>
      <c r="E78" s="70"/>
      <c r="F78" s="70"/>
      <c r="G78" s="70"/>
      <c r="H78" s="64"/>
    </row>
    <row r="79" spans="2:10" s="7" customFormat="1" ht="15.6" customHeight="1" x14ac:dyDescent="0.25">
      <c r="B79" s="71" t="s">
        <v>1069</v>
      </c>
      <c r="C79" s="66"/>
      <c r="D79" s="66"/>
      <c r="E79" s="70"/>
      <c r="F79" s="70"/>
      <c r="G79" s="70"/>
      <c r="H79" s="64"/>
    </row>
    <row r="80" spans="2:10" s="7" customFormat="1" ht="15.6" customHeight="1" x14ac:dyDescent="0.25">
      <c r="B80" s="71" t="s">
        <v>1070</v>
      </c>
      <c r="C80" s="67">
        <v>142.09909999999999</v>
      </c>
      <c r="D80" s="67">
        <v>130.30709999999999</v>
      </c>
      <c r="E80" s="70"/>
      <c r="F80" s="70"/>
      <c r="G80" s="70"/>
      <c r="H80" s="64"/>
    </row>
    <row r="81" spans="2:14" s="7" customFormat="1" ht="15.6" customHeight="1" x14ac:dyDescent="0.25">
      <c r="B81" s="71" t="s">
        <v>1071</v>
      </c>
      <c r="C81" s="67">
        <v>29.747499999999999</v>
      </c>
      <c r="D81" s="67">
        <v>27.2789</v>
      </c>
      <c r="E81" s="70"/>
      <c r="F81" s="70"/>
      <c r="G81" s="70"/>
      <c r="H81" s="64"/>
    </row>
    <row r="82" spans="2:14" s="7" customFormat="1" ht="15.6" customHeight="1" x14ac:dyDescent="0.25">
      <c r="B82" s="71" t="s">
        <v>1073</v>
      </c>
      <c r="C82" s="67">
        <v>163.71960000000001</v>
      </c>
      <c r="D82" s="67">
        <v>149.989</v>
      </c>
      <c r="E82" s="70"/>
      <c r="F82" s="70"/>
      <c r="G82" s="70"/>
      <c r="H82" s="64"/>
    </row>
    <row r="83" spans="2:14" s="7" customFormat="1" ht="15.6" customHeight="1" x14ac:dyDescent="0.25">
      <c r="B83" s="71" t="s">
        <v>1074</v>
      </c>
      <c r="C83" s="67">
        <v>36.152200000000001</v>
      </c>
      <c r="D83" s="67">
        <v>33.120800000000003</v>
      </c>
      <c r="E83" s="70"/>
      <c r="F83" s="70"/>
      <c r="G83" s="70"/>
      <c r="H83" s="64"/>
    </row>
    <row r="84" spans="2:14" s="7" customFormat="1" ht="15.6" customHeight="1" x14ac:dyDescent="0.25">
      <c r="B84" s="63" t="s">
        <v>1116</v>
      </c>
      <c r="C84" s="70"/>
      <c r="D84" s="70"/>
      <c r="E84" s="70"/>
      <c r="F84" s="70"/>
      <c r="G84" s="70"/>
      <c r="H84" s="64"/>
    </row>
    <row r="85" spans="2:14" s="7" customFormat="1" ht="15.6" customHeight="1" x14ac:dyDescent="0.25">
      <c r="B85" s="63" t="s">
        <v>1109</v>
      </c>
      <c r="C85" s="70"/>
      <c r="D85" s="70"/>
      <c r="E85" s="70"/>
      <c r="F85" s="70"/>
      <c r="G85" s="70"/>
      <c r="H85" s="64"/>
    </row>
    <row r="86" spans="2:14" s="7" customFormat="1" ht="15.6" customHeight="1" x14ac:dyDescent="0.25">
      <c r="B86" s="63" t="s">
        <v>1111</v>
      </c>
      <c r="C86" s="70"/>
      <c r="D86" s="70"/>
      <c r="E86" s="70"/>
      <c r="F86" s="70"/>
      <c r="G86" s="70"/>
      <c r="H86" s="64"/>
    </row>
    <row r="87" spans="2:14" s="7" customFormat="1" ht="15.6" customHeight="1" x14ac:dyDescent="0.25">
      <c r="B87" s="63" t="s">
        <v>1112</v>
      </c>
      <c r="C87" s="70"/>
      <c r="D87" s="70"/>
      <c r="E87" s="70"/>
      <c r="F87" s="70"/>
      <c r="G87" s="70"/>
      <c r="H87" s="64"/>
    </row>
    <row r="88" spans="2:14" s="7" customFormat="1" ht="15.6" customHeight="1" x14ac:dyDescent="0.25">
      <c r="B88" s="63" t="s">
        <v>1133</v>
      </c>
      <c r="C88" s="70"/>
      <c r="D88" s="70"/>
      <c r="E88" s="70"/>
      <c r="F88" s="70"/>
      <c r="G88" s="70"/>
      <c r="H88" s="64"/>
    </row>
    <row r="89" spans="2:14" s="7" customFormat="1" ht="15.6" customHeight="1" x14ac:dyDescent="0.25">
      <c r="B89" s="63" t="s">
        <v>1113</v>
      </c>
      <c r="C89" s="70"/>
      <c r="D89" s="70"/>
      <c r="E89" s="70"/>
      <c r="F89" s="70"/>
      <c r="G89" s="70"/>
      <c r="H89" s="64"/>
    </row>
    <row r="90" spans="2:14" s="7" customFormat="1" ht="15.6" customHeight="1" x14ac:dyDescent="0.25">
      <c r="B90" s="68" t="s">
        <v>1076</v>
      </c>
      <c r="C90" s="72"/>
      <c r="D90" s="72"/>
      <c r="E90" s="72"/>
      <c r="F90" s="72"/>
      <c r="G90" s="72"/>
      <c r="H90" s="69"/>
    </row>
    <row r="91" spans="2:14" ht="15.75" customHeight="1" thickBot="1" x14ac:dyDescent="0.25">
      <c r="J91" s="5"/>
      <c r="K91" s="5"/>
      <c r="L91" s="6"/>
      <c r="M91" s="6"/>
      <c r="N91" s="5"/>
    </row>
    <row r="92" spans="2:14" ht="39.75" customHeight="1" thickBot="1" x14ac:dyDescent="0.3">
      <c r="B92" s="46" t="s">
        <v>146</v>
      </c>
      <c r="C92" s="47" t="s">
        <v>147</v>
      </c>
      <c r="D92" s="47" t="s">
        <v>148</v>
      </c>
      <c r="E92"/>
      <c r="J92" s="7"/>
      <c r="K92" s="7"/>
      <c r="L92" s="7"/>
      <c r="M92" s="7"/>
      <c r="N92" s="7"/>
    </row>
    <row r="93" spans="2:14" ht="39.75" customHeight="1" x14ac:dyDescent="0.25">
      <c r="B93" s="52" t="s">
        <v>1043</v>
      </c>
      <c r="C93" s="109"/>
      <c r="D93" s="48" t="s">
        <v>763</v>
      </c>
      <c r="E93"/>
      <c r="J93" s="7"/>
      <c r="K93" s="7"/>
      <c r="L93" s="7"/>
      <c r="M93" s="7"/>
      <c r="N93" s="7"/>
    </row>
    <row r="94" spans="2:14" ht="39.75" customHeight="1" x14ac:dyDescent="0.25">
      <c r="B94" s="112" t="s">
        <v>1044</v>
      </c>
      <c r="C94" s="110"/>
      <c r="D94" s="118"/>
      <c r="E94"/>
      <c r="J94" s="7"/>
      <c r="K94" s="7"/>
      <c r="L94" s="7"/>
      <c r="M94" s="7"/>
      <c r="N94" s="7"/>
    </row>
    <row r="95" spans="2:14" ht="39.75" customHeight="1" x14ac:dyDescent="0.25">
      <c r="B95" s="112"/>
      <c r="C95" s="110"/>
      <c r="D95" s="118"/>
      <c r="E95"/>
      <c r="J95" s="7"/>
      <c r="K95" s="7"/>
      <c r="L95" s="7"/>
      <c r="M95" s="7"/>
      <c r="N95" s="7"/>
    </row>
    <row r="96" spans="2:14" ht="39.75" customHeight="1" x14ac:dyDescent="0.25">
      <c r="B96" s="112"/>
      <c r="C96" s="110"/>
      <c r="D96" s="118"/>
      <c r="E96"/>
      <c r="J96" s="7"/>
      <c r="K96" s="7"/>
      <c r="L96" s="7"/>
      <c r="M96" s="7"/>
      <c r="N96" s="7"/>
    </row>
    <row r="97" spans="2:14" ht="39.75" customHeight="1" thickBot="1" x14ac:dyDescent="0.3">
      <c r="B97" s="113"/>
      <c r="C97" s="111"/>
      <c r="D97" s="119"/>
      <c r="E97"/>
      <c r="J97" s="7"/>
      <c r="K97" s="7"/>
      <c r="L97" s="7"/>
      <c r="M97" s="7"/>
      <c r="N97" s="7"/>
    </row>
    <row r="98" spans="2:14" ht="15.75" customHeight="1" x14ac:dyDescent="0.2">
      <c r="B98" s="9" t="s">
        <v>149</v>
      </c>
      <c r="J98" s="7"/>
      <c r="K98" s="7"/>
      <c r="L98" s="7"/>
      <c r="M98" s="7"/>
      <c r="N98" s="7"/>
    </row>
    <row r="99" spans="2:14" ht="15.75" customHeight="1" x14ac:dyDescent="0.2">
      <c r="B99" s="9" t="s">
        <v>150</v>
      </c>
    </row>
    <row r="100" spans="2:14" ht="15.75" customHeight="1" x14ac:dyDescent="0.2">
      <c r="B100" s="9" t="s">
        <v>151</v>
      </c>
      <c r="J100" s="3"/>
    </row>
  </sheetData>
  <mergeCells count="3">
    <mergeCell ref="C93:C97"/>
    <mergeCell ref="B94:B97"/>
    <mergeCell ref="D94:D97"/>
  </mergeCells>
  <hyperlinks>
    <hyperlink ref="G1" location="'Sheet1'!A1" display="Index" xr:uid="{A906FAD7-429F-4039-A629-16C2C5EA954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CB1E4-7A4E-4B79-B187-DBF33441D059}">
  <dimension ref="B1:N100"/>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214</v>
      </c>
      <c r="C7" s="28" t="s">
        <v>215</v>
      </c>
      <c r="D7" s="28" t="s">
        <v>216</v>
      </c>
      <c r="E7" s="29">
        <v>40581</v>
      </c>
      <c r="F7" s="30">
        <v>765.68</v>
      </c>
      <c r="G7" s="31">
        <v>9.3200000000000005E-2</v>
      </c>
      <c r="H7" s="32"/>
    </row>
    <row r="8" spans="2:8" ht="15.75" customHeight="1" x14ac:dyDescent="0.2">
      <c r="B8" s="28" t="s">
        <v>180</v>
      </c>
      <c r="C8" s="28" t="s">
        <v>181</v>
      </c>
      <c r="D8" s="28" t="s">
        <v>182</v>
      </c>
      <c r="E8" s="29">
        <v>63269</v>
      </c>
      <c r="F8" s="30">
        <v>747.71</v>
      </c>
      <c r="G8" s="31">
        <v>9.0999999999999998E-2</v>
      </c>
      <c r="H8" s="32"/>
    </row>
    <row r="9" spans="2:8" ht="15.75" customHeight="1" x14ac:dyDescent="0.2">
      <c r="B9" s="28" t="s">
        <v>374</v>
      </c>
      <c r="C9" s="28" t="s">
        <v>375</v>
      </c>
      <c r="D9" s="28" t="s">
        <v>182</v>
      </c>
      <c r="E9" s="29">
        <v>27182</v>
      </c>
      <c r="F9" s="30">
        <v>400.53</v>
      </c>
      <c r="G9" s="31">
        <v>4.87E-2</v>
      </c>
      <c r="H9" s="32"/>
    </row>
    <row r="10" spans="2:8" ht="15.75" customHeight="1" x14ac:dyDescent="0.2">
      <c r="B10" s="28" t="s">
        <v>314</v>
      </c>
      <c r="C10" s="28" t="s">
        <v>315</v>
      </c>
      <c r="D10" s="28" t="s">
        <v>182</v>
      </c>
      <c r="E10" s="29">
        <v>15441</v>
      </c>
      <c r="F10" s="30">
        <v>381.99</v>
      </c>
      <c r="G10" s="31">
        <v>4.65E-2</v>
      </c>
      <c r="H10" s="32"/>
    </row>
    <row r="11" spans="2:8" ht="15.75" customHeight="1" x14ac:dyDescent="0.2">
      <c r="B11" s="28" t="s">
        <v>706</v>
      </c>
      <c r="C11" s="28" t="s">
        <v>707</v>
      </c>
      <c r="D11" s="28" t="s">
        <v>182</v>
      </c>
      <c r="E11" s="29">
        <v>7746</v>
      </c>
      <c r="F11" s="30">
        <v>371.81</v>
      </c>
      <c r="G11" s="31">
        <v>4.5199999999999997E-2</v>
      </c>
      <c r="H11" s="32"/>
    </row>
    <row r="12" spans="2:8" ht="15.75" customHeight="1" x14ac:dyDescent="0.2">
      <c r="B12" s="28" t="s">
        <v>241</v>
      </c>
      <c r="C12" s="28" t="s">
        <v>242</v>
      </c>
      <c r="D12" s="28" t="s">
        <v>243</v>
      </c>
      <c r="E12" s="29">
        <v>140639</v>
      </c>
      <c r="F12" s="30">
        <v>347.42</v>
      </c>
      <c r="G12" s="31">
        <v>4.2299999999999997E-2</v>
      </c>
      <c r="H12" s="32"/>
    </row>
    <row r="13" spans="2:8" ht="15.75" customHeight="1" x14ac:dyDescent="0.2">
      <c r="B13" s="28" t="s">
        <v>417</v>
      </c>
      <c r="C13" s="28" t="s">
        <v>418</v>
      </c>
      <c r="D13" s="28" t="s">
        <v>182</v>
      </c>
      <c r="E13" s="29">
        <v>11978</v>
      </c>
      <c r="F13" s="30">
        <v>272.7</v>
      </c>
      <c r="G13" s="31">
        <v>3.32E-2</v>
      </c>
      <c r="H13" s="32"/>
    </row>
    <row r="14" spans="2:8" ht="15.75" customHeight="1" x14ac:dyDescent="0.2">
      <c r="B14" s="28" t="s">
        <v>488</v>
      </c>
      <c r="C14" s="28" t="s">
        <v>489</v>
      </c>
      <c r="D14" s="28" t="s">
        <v>490</v>
      </c>
      <c r="E14" s="29">
        <v>23171</v>
      </c>
      <c r="F14" s="30">
        <v>253.91</v>
      </c>
      <c r="G14" s="31">
        <v>3.09E-2</v>
      </c>
      <c r="H14" s="32"/>
    </row>
    <row r="15" spans="2:8" ht="15.75" customHeight="1" x14ac:dyDescent="0.2">
      <c r="B15" s="28" t="s">
        <v>360</v>
      </c>
      <c r="C15" s="28" t="s">
        <v>361</v>
      </c>
      <c r="D15" s="28" t="s">
        <v>216</v>
      </c>
      <c r="E15" s="29">
        <v>14239</v>
      </c>
      <c r="F15" s="30">
        <v>225.05</v>
      </c>
      <c r="G15" s="31">
        <v>2.7400000000000001E-2</v>
      </c>
      <c r="H15" s="32"/>
    </row>
    <row r="16" spans="2:8" ht="15.75" customHeight="1" x14ac:dyDescent="0.2">
      <c r="B16" s="28" t="s">
        <v>348</v>
      </c>
      <c r="C16" s="28" t="s">
        <v>349</v>
      </c>
      <c r="D16" s="28" t="s">
        <v>182</v>
      </c>
      <c r="E16" s="29">
        <v>2223</v>
      </c>
      <c r="F16" s="30">
        <v>216.22</v>
      </c>
      <c r="G16" s="31">
        <v>2.63E-2</v>
      </c>
      <c r="H16" s="32"/>
    </row>
    <row r="17" spans="2:8" ht="15.75" customHeight="1" x14ac:dyDescent="0.2">
      <c r="B17" s="28" t="s">
        <v>493</v>
      </c>
      <c r="C17" s="28" t="s">
        <v>494</v>
      </c>
      <c r="D17" s="28" t="s">
        <v>182</v>
      </c>
      <c r="E17" s="29">
        <v>26664</v>
      </c>
      <c r="F17" s="30">
        <v>202.39</v>
      </c>
      <c r="G17" s="31">
        <v>2.46E-2</v>
      </c>
      <c r="H17" s="32"/>
    </row>
    <row r="18" spans="2:8" ht="15.75" customHeight="1" x14ac:dyDescent="0.2">
      <c r="B18" s="28" t="s">
        <v>354</v>
      </c>
      <c r="C18" s="28" t="s">
        <v>355</v>
      </c>
      <c r="D18" s="28" t="s">
        <v>216</v>
      </c>
      <c r="E18" s="29">
        <v>12881</v>
      </c>
      <c r="F18" s="30">
        <v>195.46</v>
      </c>
      <c r="G18" s="31">
        <v>2.3800000000000002E-2</v>
      </c>
      <c r="H18" s="32"/>
    </row>
    <row r="19" spans="2:8" ht="15.75" customHeight="1" x14ac:dyDescent="0.2">
      <c r="B19" s="28" t="s">
        <v>479</v>
      </c>
      <c r="C19" s="28" t="s">
        <v>480</v>
      </c>
      <c r="D19" s="28" t="s">
        <v>431</v>
      </c>
      <c r="E19" s="29">
        <v>6332</v>
      </c>
      <c r="F19" s="30">
        <v>188.16</v>
      </c>
      <c r="G19" s="31">
        <v>2.29E-2</v>
      </c>
      <c r="H19" s="32"/>
    </row>
    <row r="20" spans="2:8" ht="15.75" customHeight="1" x14ac:dyDescent="0.2">
      <c r="B20" s="28" t="s">
        <v>491</v>
      </c>
      <c r="C20" s="28" t="s">
        <v>492</v>
      </c>
      <c r="D20" s="28" t="s">
        <v>271</v>
      </c>
      <c r="E20" s="29">
        <v>11021</v>
      </c>
      <c r="F20" s="30">
        <v>175.56</v>
      </c>
      <c r="G20" s="31">
        <v>2.1399999999999999E-2</v>
      </c>
      <c r="H20" s="32"/>
    </row>
    <row r="21" spans="2:8" ht="15.75" customHeight="1" x14ac:dyDescent="0.2">
      <c r="B21" s="28" t="s">
        <v>742</v>
      </c>
      <c r="C21" s="28" t="s">
        <v>743</v>
      </c>
      <c r="D21" s="28" t="s">
        <v>243</v>
      </c>
      <c r="E21" s="29">
        <v>62768</v>
      </c>
      <c r="F21" s="30">
        <v>166.18</v>
      </c>
      <c r="G21" s="31">
        <v>2.0199999999999999E-2</v>
      </c>
      <c r="H21" s="32"/>
    </row>
    <row r="22" spans="2:8" ht="15.75" customHeight="1" x14ac:dyDescent="0.2">
      <c r="B22" s="28" t="s">
        <v>765</v>
      </c>
      <c r="C22" s="28" t="s">
        <v>766</v>
      </c>
      <c r="D22" s="28" t="s">
        <v>268</v>
      </c>
      <c r="E22" s="29">
        <v>13260</v>
      </c>
      <c r="F22" s="30">
        <v>164.91</v>
      </c>
      <c r="G22" s="31">
        <v>2.01E-2</v>
      </c>
      <c r="H22" s="32"/>
    </row>
    <row r="23" spans="2:8" ht="15.75" customHeight="1" x14ac:dyDescent="0.2">
      <c r="B23" s="28" t="s">
        <v>1045</v>
      </c>
      <c r="C23" s="28" t="s">
        <v>1046</v>
      </c>
      <c r="D23" s="28" t="s">
        <v>182</v>
      </c>
      <c r="E23" s="29">
        <v>26214</v>
      </c>
      <c r="F23" s="30">
        <v>157.97</v>
      </c>
      <c r="G23" s="31">
        <v>1.9199999999999998E-2</v>
      </c>
      <c r="H23" s="32"/>
    </row>
    <row r="24" spans="2:8" ht="15.75" customHeight="1" x14ac:dyDescent="0.2">
      <c r="B24" s="28" t="s">
        <v>588</v>
      </c>
      <c r="C24" s="28" t="s">
        <v>589</v>
      </c>
      <c r="D24" s="28" t="s">
        <v>431</v>
      </c>
      <c r="E24" s="29">
        <v>4299</v>
      </c>
      <c r="F24" s="30">
        <v>156.51</v>
      </c>
      <c r="G24" s="31">
        <v>1.9E-2</v>
      </c>
      <c r="H24" s="32"/>
    </row>
    <row r="25" spans="2:8" ht="15.75" customHeight="1" x14ac:dyDescent="0.2">
      <c r="B25" s="28" t="s">
        <v>536</v>
      </c>
      <c r="C25" s="28" t="s">
        <v>537</v>
      </c>
      <c r="D25" s="28" t="s">
        <v>490</v>
      </c>
      <c r="E25" s="29">
        <v>9013</v>
      </c>
      <c r="F25" s="30">
        <v>150.16999999999999</v>
      </c>
      <c r="G25" s="31">
        <v>1.83E-2</v>
      </c>
      <c r="H25" s="32"/>
    </row>
    <row r="26" spans="2:8" ht="15.75" customHeight="1" x14ac:dyDescent="0.2">
      <c r="B26" s="28" t="s">
        <v>475</v>
      </c>
      <c r="C26" s="28" t="s">
        <v>476</v>
      </c>
      <c r="D26" s="28" t="s">
        <v>268</v>
      </c>
      <c r="E26" s="29">
        <v>3351</v>
      </c>
      <c r="F26" s="30">
        <v>149.66</v>
      </c>
      <c r="G26" s="31">
        <v>1.8200000000000001E-2</v>
      </c>
      <c r="H26" s="32"/>
    </row>
    <row r="27" spans="2:8" ht="15.75" customHeight="1" x14ac:dyDescent="0.2">
      <c r="B27" s="28" t="s">
        <v>894</v>
      </c>
      <c r="C27" s="28" t="s">
        <v>895</v>
      </c>
      <c r="D27" s="28" t="s">
        <v>321</v>
      </c>
      <c r="E27" s="29">
        <v>1827</v>
      </c>
      <c r="F27" s="30">
        <v>148.18</v>
      </c>
      <c r="G27" s="31">
        <v>1.7999999999999999E-2</v>
      </c>
      <c r="H27" s="32"/>
    </row>
    <row r="28" spans="2:8" ht="15.75" customHeight="1" x14ac:dyDescent="0.2">
      <c r="B28" s="28" t="s">
        <v>409</v>
      </c>
      <c r="C28" s="28" t="s">
        <v>410</v>
      </c>
      <c r="D28" s="28" t="s">
        <v>182</v>
      </c>
      <c r="E28" s="29">
        <v>11595</v>
      </c>
      <c r="F28" s="30">
        <v>139.04</v>
      </c>
      <c r="G28" s="31">
        <v>1.6899999999999998E-2</v>
      </c>
      <c r="H28" s="32"/>
    </row>
    <row r="29" spans="2:8" ht="15.75" customHeight="1" x14ac:dyDescent="0.2">
      <c r="B29" s="28" t="s">
        <v>759</v>
      </c>
      <c r="C29" s="28" t="s">
        <v>760</v>
      </c>
      <c r="D29" s="28" t="s">
        <v>182</v>
      </c>
      <c r="E29" s="29">
        <v>10985</v>
      </c>
      <c r="F29" s="30">
        <v>131.37</v>
      </c>
      <c r="G29" s="31">
        <v>1.6E-2</v>
      </c>
      <c r="H29" s="32"/>
    </row>
    <row r="30" spans="2:8" ht="15.75" customHeight="1" x14ac:dyDescent="0.2">
      <c r="B30" s="28" t="s">
        <v>565</v>
      </c>
      <c r="C30" s="28" t="s">
        <v>566</v>
      </c>
      <c r="D30" s="28" t="s">
        <v>383</v>
      </c>
      <c r="E30" s="29">
        <v>8856</v>
      </c>
      <c r="F30" s="30">
        <v>125.91</v>
      </c>
      <c r="G30" s="31">
        <v>1.5299999999999999E-2</v>
      </c>
      <c r="H30" s="32"/>
    </row>
    <row r="31" spans="2:8" ht="15.75" customHeight="1" x14ac:dyDescent="0.2">
      <c r="B31" s="28" t="s">
        <v>381</v>
      </c>
      <c r="C31" s="28" t="s">
        <v>382</v>
      </c>
      <c r="D31" s="28" t="s">
        <v>383</v>
      </c>
      <c r="E31" s="29">
        <v>3437</v>
      </c>
      <c r="F31" s="30">
        <v>124.64</v>
      </c>
      <c r="G31" s="31">
        <v>1.52E-2</v>
      </c>
      <c r="H31" s="32"/>
    </row>
    <row r="32" spans="2:8" ht="15.75" customHeight="1" x14ac:dyDescent="0.2">
      <c r="B32" s="28" t="s">
        <v>557</v>
      </c>
      <c r="C32" s="28" t="s">
        <v>558</v>
      </c>
      <c r="D32" s="28" t="s">
        <v>268</v>
      </c>
      <c r="E32" s="29">
        <v>3522</v>
      </c>
      <c r="F32" s="30">
        <v>115.48</v>
      </c>
      <c r="G32" s="31">
        <v>1.41E-2</v>
      </c>
      <c r="H32" s="32"/>
    </row>
    <row r="33" spans="2:8" ht="15.75" customHeight="1" x14ac:dyDescent="0.2">
      <c r="B33" s="28" t="s">
        <v>834</v>
      </c>
      <c r="C33" s="28" t="s">
        <v>835</v>
      </c>
      <c r="D33" s="28" t="s">
        <v>321</v>
      </c>
      <c r="E33" s="29">
        <v>1961</v>
      </c>
      <c r="F33" s="30">
        <v>103.27</v>
      </c>
      <c r="G33" s="31">
        <v>1.26E-2</v>
      </c>
      <c r="H33" s="32"/>
    </row>
    <row r="34" spans="2:8" ht="15.75" customHeight="1" x14ac:dyDescent="0.2">
      <c r="B34" s="28" t="s">
        <v>555</v>
      </c>
      <c r="C34" s="28" t="s">
        <v>556</v>
      </c>
      <c r="D34" s="28" t="s">
        <v>268</v>
      </c>
      <c r="E34" s="29">
        <v>720</v>
      </c>
      <c r="F34" s="30">
        <v>88.78</v>
      </c>
      <c r="G34" s="31">
        <v>1.0800000000000001E-2</v>
      </c>
      <c r="H34" s="32"/>
    </row>
    <row r="35" spans="2:8" ht="15.75" customHeight="1" x14ac:dyDescent="0.2">
      <c r="B35" s="28" t="s">
        <v>350</v>
      </c>
      <c r="C35" s="28" t="s">
        <v>351</v>
      </c>
      <c r="D35" s="28" t="s">
        <v>318</v>
      </c>
      <c r="E35" s="29">
        <v>6670</v>
      </c>
      <c r="F35" s="30">
        <v>85.59</v>
      </c>
      <c r="G35" s="31">
        <v>1.04E-2</v>
      </c>
      <c r="H35" s="32"/>
    </row>
    <row r="36" spans="2:8" ht="15.75" customHeight="1" x14ac:dyDescent="0.2">
      <c r="B36" s="27" t="s">
        <v>129</v>
      </c>
      <c r="C36" s="27"/>
      <c r="D36" s="27"/>
      <c r="E36" s="33"/>
      <c r="F36" s="34">
        <v>6752.25</v>
      </c>
      <c r="G36" s="35">
        <v>0.8216</v>
      </c>
      <c r="H36" s="36"/>
    </row>
    <row r="37" spans="2:8" ht="15.75" customHeight="1" x14ac:dyDescent="0.2">
      <c r="B37" s="27" t="s">
        <v>197</v>
      </c>
      <c r="C37" s="28"/>
      <c r="D37" s="28"/>
      <c r="E37" s="29"/>
      <c r="F37" s="30"/>
      <c r="G37" s="31"/>
      <c r="H37" s="32"/>
    </row>
    <row r="38" spans="2:8" ht="15.75" customHeight="1" x14ac:dyDescent="0.2">
      <c r="B38" s="27" t="s">
        <v>129</v>
      </c>
      <c r="C38" s="28"/>
      <c r="D38" s="28"/>
      <c r="E38" s="29"/>
      <c r="F38" s="37" t="s">
        <v>131</v>
      </c>
      <c r="G38" s="38" t="s">
        <v>131</v>
      </c>
      <c r="H38" s="32"/>
    </row>
    <row r="39" spans="2:8" ht="15.75" customHeight="1" x14ac:dyDescent="0.2">
      <c r="B39" s="28"/>
      <c r="C39" s="28"/>
      <c r="D39" s="28"/>
      <c r="E39" s="29"/>
      <c r="F39" s="30"/>
      <c r="G39" s="31"/>
      <c r="H39" s="32"/>
    </row>
    <row r="40" spans="2:8" ht="15.75" customHeight="1" x14ac:dyDescent="0.2">
      <c r="B40" s="39" t="s">
        <v>133</v>
      </c>
      <c r="C40" s="39"/>
      <c r="D40" s="39"/>
      <c r="E40" s="40"/>
      <c r="F40" s="34">
        <v>6752.25</v>
      </c>
      <c r="G40" s="35">
        <v>0.8216</v>
      </c>
      <c r="H40" s="36"/>
    </row>
    <row r="41" spans="2:8" ht="15.75" customHeight="1" x14ac:dyDescent="0.2">
      <c r="B41" s="28"/>
      <c r="C41" s="28"/>
      <c r="D41" s="28"/>
      <c r="E41" s="29"/>
      <c r="F41" s="30"/>
      <c r="G41" s="31"/>
      <c r="H41" s="32"/>
    </row>
    <row r="42" spans="2:8" ht="15.75" customHeight="1" x14ac:dyDescent="0.2">
      <c r="B42" s="28"/>
      <c r="C42" s="28"/>
      <c r="D42" s="28"/>
      <c r="E42" s="29"/>
      <c r="F42" s="30"/>
      <c r="G42" s="31"/>
      <c r="H42" s="32"/>
    </row>
    <row r="43" spans="2:8" ht="15.75" customHeight="1" x14ac:dyDescent="0.2">
      <c r="B43" s="27" t="s">
        <v>139</v>
      </c>
      <c r="C43" s="28"/>
      <c r="D43" s="28"/>
      <c r="E43" s="29"/>
      <c r="F43" s="30"/>
      <c r="G43" s="31"/>
      <c r="H43" s="32"/>
    </row>
    <row r="44" spans="2:8" ht="15.75" customHeight="1" x14ac:dyDescent="0.2">
      <c r="B44" s="28" t="s">
        <v>140</v>
      </c>
      <c r="C44" s="28"/>
      <c r="D44" s="28"/>
      <c r="E44" s="29"/>
      <c r="F44" s="30">
        <v>1433.51</v>
      </c>
      <c r="G44" s="31">
        <v>0.1744</v>
      </c>
      <c r="H44" s="32"/>
    </row>
    <row r="45" spans="2:8" ht="15.75" customHeight="1" x14ac:dyDescent="0.2">
      <c r="B45" s="27" t="s">
        <v>129</v>
      </c>
      <c r="C45" s="27"/>
      <c r="D45" s="27"/>
      <c r="E45" s="33"/>
      <c r="F45" s="34">
        <v>1433.51</v>
      </c>
      <c r="G45" s="35">
        <v>0.1744</v>
      </c>
      <c r="H45" s="36"/>
    </row>
    <row r="46" spans="2:8" ht="15.75" customHeight="1" x14ac:dyDescent="0.2">
      <c r="B46" s="28"/>
      <c r="C46" s="28"/>
      <c r="D46" s="28"/>
      <c r="E46" s="29"/>
      <c r="F46" s="30"/>
      <c r="G46" s="31"/>
      <c r="H46" s="32"/>
    </row>
    <row r="47" spans="2:8" ht="15.75" customHeight="1" x14ac:dyDescent="0.2">
      <c r="B47" s="39" t="s">
        <v>133</v>
      </c>
      <c r="C47" s="39"/>
      <c r="D47" s="39"/>
      <c r="E47" s="40"/>
      <c r="F47" s="34">
        <v>1433.51</v>
      </c>
      <c r="G47" s="35">
        <v>0.1744</v>
      </c>
      <c r="H47" s="36"/>
    </row>
    <row r="48" spans="2:8" ht="15.75" customHeight="1" x14ac:dyDescent="0.2">
      <c r="B48" s="28" t="s">
        <v>141</v>
      </c>
      <c r="C48" s="28"/>
      <c r="D48" s="28"/>
      <c r="E48" s="29"/>
      <c r="F48" s="30">
        <v>32.47</v>
      </c>
      <c r="G48" s="31">
        <v>4.0000000000000036E-3</v>
      </c>
      <c r="H48" s="32"/>
    </row>
    <row r="49" spans="2:8" ht="15.75" customHeight="1" x14ac:dyDescent="0.2">
      <c r="B49" s="41" t="s">
        <v>142</v>
      </c>
      <c r="C49" s="41"/>
      <c r="D49" s="41"/>
      <c r="E49" s="42"/>
      <c r="F49" s="43">
        <v>8218.23</v>
      </c>
      <c r="G49" s="44">
        <v>1</v>
      </c>
      <c r="H49" s="45"/>
    </row>
    <row r="50" spans="2:8" ht="15.75" customHeight="1" x14ac:dyDescent="0.2">
      <c r="B50" s="2"/>
    </row>
    <row r="51" spans="2:8" s="7" customFormat="1" ht="15.6" customHeight="1" x14ac:dyDescent="0.25">
      <c r="B51" s="63" t="s">
        <v>1067</v>
      </c>
      <c r="C51" s="70"/>
      <c r="D51" s="70"/>
      <c r="E51" s="70"/>
      <c r="F51" s="70"/>
      <c r="G51" s="70"/>
      <c r="H51" s="64"/>
    </row>
    <row r="52" spans="2:8" s="7" customFormat="1" ht="15.6" customHeight="1" x14ac:dyDescent="0.25">
      <c r="B52" s="63" t="s">
        <v>1108</v>
      </c>
      <c r="C52" s="70"/>
      <c r="D52" s="70"/>
      <c r="E52" s="70"/>
      <c r="F52" s="70"/>
      <c r="G52" s="70"/>
      <c r="H52" s="64"/>
    </row>
    <row r="53" spans="2:8" s="7" customFormat="1" ht="15.6" customHeight="1" x14ac:dyDescent="0.25">
      <c r="B53" s="63" t="s">
        <v>1068</v>
      </c>
      <c r="C53" s="70"/>
      <c r="D53" s="70"/>
      <c r="E53" s="70"/>
      <c r="F53" s="70"/>
      <c r="G53" s="70"/>
      <c r="H53" s="64"/>
    </row>
    <row r="54" spans="2:8" s="7" customFormat="1" ht="15.6" customHeight="1" x14ac:dyDescent="0.25">
      <c r="B54" s="71"/>
      <c r="C54" s="65">
        <v>46142</v>
      </c>
      <c r="D54" s="65">
        <v>46112</v>
      </c>
      <c r="E54" s="70"/>
      <c r="F54" s="70"/>
      <c r="G54" s="70"/>
      <c r="H54" s="64"/>
    </row>
    <row r="55" spans="2:8" s="7" customFormat="1" ht="15.6" customHeight="1" x14ac:dyDescent="0.25">
      <c r="B55" s="71" t="s">
        <v>1069</v>
      </c>
      <c r="C55" s="66"/>
      <c r="D55" s="66"/>
      <c r="E55" s="70"/>
      <c r="F55" s="70"/>
      <c r="G55" s="70"/>
      <c r="H55" s="64"/>
    </row>
    <row r="56" spans="2:8" s="7" customFormat="1" ht="15.6" customHeight="1" x14ac:dyDescent="0.25">
      <c r="B56" s="71" t="s">
        <v>1070</v>
      </c>
      <c r="C56" s="67">
        <v>10.435700000000002</v>
      </c>
      <c r="D56" s="67">
        <v>9.9468999999999994</v>
      </c>
      <c r="E56" s="70"/>
      <c r="F56" s="70"/>
      <c r="G56" s="70"/>
      <c r="H56" s="64"/>
    </row>
    <row r="57" spans="2:8" s="7" customFormat="1" ht="15.6" customHeight="1" x14ac:dyDescent="0.25">
      <c r="B57" s="71" t="s">
        <v>1071</v>
      </c>
      <c r="C57" s="67">
        <v>10.435700000000002</v>
      </c>
      <c r="D57" s="67">
        <v>9.9468999999999994</v>
      </c>
      <c r="E57" s="70"/>
      <c r="F57" s="70"/>
      <c r="G57" s="70"/>
      <c r="H57" s="64"/>
    </row>
    <row r="58" spans="2:8" s="7" customFormat="1" ht="15.6" customHeight="1" x14ac:dyDescent="0.25">
      <c r="B58" s="71" t="s">
        <v>1073</v>
      </c>
      <c r="C58" s="67">
        <v>10.458</v>
      </c>
      <c r="D58" s="67">
        <v>9.9559999999999995</v>
      </c>
      <c r="E58" s="70"/>
      <c r="F58" s="70"/>
      <c r="G58" s="70"/>
      <c r="H58" s="64"/>
    </row>
    <row r="59" spans="2:8" s="7" customFormat="1" ht="15.6" customHeight="1" x14ac:dyDescent="0.25">
      <c r="B59" s="71" t="s">
        <v>1074</v>
      </c>
      <c r="C59" s="67">
        <v>10.4579</v>
      </c>
      <c r="D59" s="67">
        <v>9.9559999999999995</v>
      </c>
      <c r="E59" s="70"/>
      <c r="F59" s="70"/>
      <c r="G59" s="70"/>
      <c r="H59" s="64"/>
    </row>
    <row r="60" spans="2:8" s="7" customFormat="1" ht="15.6" customHeight="1" x14ac:dyDescent="0.25">
      <c r="B60" s="63" t="s">
        <v>1116</v>
      </c>
      <c r="C60" s="70"/>
      <c r="D60" s="70"/>
      <c r="E60" s="70"/>
      <c r="F60" s="70"/>
      <c r="G60" s="70"/>
      <c r="H60" s="64"/>
    </row>
    <row r="61" spans="2:8" s="7" customFormat="1" ht="15.6" customHeight="1" x14ac:dyDescent="0.25">
      <c r="B61" s="63" t="s">
        <v>1109</v>
      </c>
      <c r="C61" s="70"/>
      <c r="D61" s="70"/>
      <c r="E61" s="70"/>
      <c r="F61" s="70"/>
      <c r="G61" s="70"/>
      <c r="H61" s="64"/>
    </row>
    <row r="62" spans="2:8" s="7" customFormat="1" ht="15.6" customHeight="1" x14ac:dyDescent="0.25">
      <c r="B62" s="63" t="s">
        <v>1111</v>
      </c>
      <c r="C62" s="70"/>
      <c r="D62" s="70"/>
      <c r="E62" s="70"/>
      <c r="F62" s="70"/>
      <c r="G62" s="70"/>
      <c r="H62" s="64"/>
    </row>
    <row r="63" spans="2:8" s="7" customFormat="1" ht="15.6" customHeight="1" x14ac:dyDescent="0.25">
      <c r="B63" s="63" t="s">
        <v>1112</v>
      </c>
      <c r="C63" s="70"/>
      <c r="D63" s="70"/>
      <c r="E63" s="70"/>
      <c r="F63" s="70"/>
      <c r="G63" s="70"/>
      <c r="H63" s="64"/>
    </row>
    <row r="64" spans="2:8" s="7" customFormat="1" ht="15.6" customHeight="1" x14ac:dyDescent="0.25">
      <c r="B64" s="63" t="s">
        <v>1134</v>
      </c>
      <c r="C64" s="70"/>
      <c r="D64" s="70"/>
      <c r="E64" s="70"/>
      <c r="F64" s="70"/>
      <c r="G64" s="70"/>
      <c r="H64" s="64"/>
    </row>
    <row r="65" spans="2:8" s="7" customFormat="1" ht="15.6" customHeight="1" x14ac:dyDescent="0.25">
      <c r="B65" s="63" t="s">
        <v>1113</v>
      </c>
      <c r="C65" s="70"/>
      <c r="D65" s="70"/>
      <c r="E65" s="70"/>
      <c r="F65" s="70"/>
      <c r="G65" s="70"/>
      <c r="H65" s="64"/>
    </row>
    <row r="66" spans="2:8" s="7" customFormat="1" ht="15.6" customHeight="1" x14ac:dyDescent="0.25">
      <c r="B66" s="68" t="s">
        <v>1076</v>
      </c>
      <c r="C66" s="72"/>
      <c r="D66" s="72"/>
      <c r="E66" s="72"/>
      <c r="F66" s="72"/>
      <c r="G66" s="72"/>
      <c r="H66" s="69"/>
    </row>
    <row r="67" spans="2:8" ht="15.75" customHeight="1" thickBot="1" x14ac:dyDescent="0.25"/>
    <row r="68" spans="2:8" ht="39.75" customHeight="1" thickBot="1" x14ac:dyDescent="0.3">
      <c r="B68" s="46" t="s">
        <v>146</v>
      </c>
      <c r="C68" s="47" t="s">
        <v>147</v>
      </c>
      <c r="D68" s="47" t="s">
        <v>148</v>
      </c>
      <c r="E68"/>
    </row>
    <row r="69" spans="2:8" ht="39.75" customHeight="1" x14ac:dyDescent="0.25">
      <c r="B69" s="52" t="s">
        <v>973</v>
      </c>
      <c r="C69" s="109"/>
      <c r="D69" s="48" t="s">
        <v>1047</v>
      </c>
      <c r="E69"/>
    </row>
    <row r="70" spans="2:8" ht="39.75" customHeight="1" x14ac:dyDescent="0.25">
      <c r="B70" s="112" t="s">
        <v>1048</v>
      </c>
      <c r="C70" s="110"/>
      <c r="D70" s="118"/>
      <c r="E70"/>
    </row>
    <row r="71" spans="2:8" ht="39.75" customHeight="1" x14ac:dyDescent="0.25">
      <c r="B71" s="112"/>
      <c r="C71" s="110"/>
      <c r="D71" s="118"/>
      <c r="E71"/>
    </row>
    <row r="72" spans="2:8" ht="39.75" customHeight="1" x14ac:dyDescent="0.25">
      <c r="B72" s="112"/>
      <c r="C72" s="110"/>
      <c r="D72" s="118"/>
      <c r="E72"/>
    </row>
    <row r="73" spans="2:8" ht="39.75" customHeight="1" thickBot="1" x14ac:dyDescent="0.3">
      <c r="B73" s="113"/>
      <c r="C73" s="111"/>
      <c r="D73" s="119"/>
      <c r="E73"/>
    </row>
    <row r="74" spans="2:8" ht="15.75" customHeight="1" x14ac:dyDescent="0.2">
      <c r="B74" s="9" t="s">
        <v>149</v>
      </c>
    </row>
    <row r="75" spans="2:8" ht="15.75" customHeight="1" x14ac:dyDescent="0.2">
      <c r="B75" s="9" t="s">
        <v>150</v>
      </c>
    </row>
    <row r="76" spans="2:8" ht="15.75" customHeight="1" x14ac:dyDescent="0.2">
      <c r="B76" s="9" t="s">
        <v>151</v>
      </c>
    </row>
    <row r="82" spans="10:14" ht="15.75" customHeight="1" x14ac:dyDescent="0.2">
      <c r="J82" s="3"/>
    </row>
    <row r="84" spans="10:14" ht="15.75" customHeight="1" x14ac:dyDescent="0.2">
      <c r="J84" s="3"/>
    </row>
    <row r="85" spans="10:14" ht="15.75" customHeight="1" x14ac:dyDescent="0.2">
      <c r="J85" s="3"/>
    </row>
    <row r="86" spans="10:14" ht="15.75" customHeight="1" x14ac:dyDescent="0.2">
      <c r="J86" s="3"/>
    </row>
    <row r="87" spans="10:14" ht="15.75" customHeight="1" x14ac:dyDescent="0.2">
      <c r="J87" s="3"/>
    </row>
    <row r="88" spans="10:14" ht="15.75" customHeight="1" x14ac:dyDescent="0.2">
      <c r="J88" s="3"/>
    </row>
    <row r="89" spans="10:14" ht="15.75" customHeight="1" x14ac:dyDescent="0.2">
      <c r="J89" s="5"/>
      <c r="K89" s="5"/>
      <c r="L89" s="6"/>
      <c r="M89" s="6"/>
      <c r="N89" s="5"/>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5" spans="10:14" ht="15.75" customHeight="1" x14ac:dyDescent="0.2">
      <c r="J95" s="7"/>
      <c r="K95" s="7"/>
      <c r="L95" s="7"/>
      <c r="M95" s="7"/>
      <c r="N95" s="7"/>
    </row>
    <row r="96" spans="10:14" ht="15.75" customHeight="1" x14ac:dyDescent="0.2">
      <c r="J96" s="7"/>
      <c r="K96" s="7"/>
      <c r="L96" s="7"/>
      <c r="M96" s="7"/>
      <c r="N96" s="7"/>
    </row>
    <row r="97" spans="10:14" ht="15.75" customHeight="1" x14ac:dyDescent="0.2">
      <c r="J97" s="7"/>
      <c r="K97" s="7"/>
      <c r="L97" s="7"/>
      <c r="M97" s="7"/>
      <c r="N97" s="7"/>
    </row>
    <row r="98" spans="10:14" ht="15.75" customHeight="1" x14ac:dyDescent="0.2">
      <c r="J98" s="7"/>
      <c r="K98" s="7"/>
      <c r="L98" s="7"/>
      <c r="M98" s="7"/>
      <c r="N98" s="7"/>
    </row>
    <row r="100" spans="10:14" ht="15.75" customHeight="1" x14ac:dyDescent="0.2">
      <c r="J100" s="3"/>
    </row>
  </sheetData>
  <mergeCells count="3">
    <mergeCell ref="C69:C73"/>
    <mergeCell ref="B70:B73"/>
    <mergeCell ref="D70:D73"/>
  </mergeCells>
  <hyperlinks>
    <hyperlink ref="G1" location="'Sheet1'!A1" display="Index" xr:uid="{92DC8514-AA35-4DC7-8E64-C31CB9F268E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4D1E-77E2-409F-8083-2451C871BC4E}">
  <dimension ref="B1:N97"/>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38</v>
      </c>
      <c r="C1" s="4" t="s">
        <v>1050</v>
      </c>
      <c r="D1" s="4" t="s">
        <v>1049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1194670</v>
      </c>
      <c r="F7" s="30">
        <v>9219.27</v>
      </c>
      <c r="G7" s="31">
        <v>0.1074</v>
      </c>
      <c r="H7" s="32"/>
    </row>
    <row r="8" spans="2:8" ht="15.75" customHeight="1" x14ac:dyDescent="0.2">
      <c r="B8" s="28" t="s">
        <v>174</v>
      </c>
      <c r="C8" s="28" t="s">
        <v>175</v>
      </c>
      <c r="D8" s="28" t="s">
        <v>176</v>
      </c>
      <c r="E8" s="29">
        <v>527247</v>
      </c>
      <c r="F8" s="30">
        <v>7543.85</v>
      </c>
      <c r="G8" s="31">
        <v>8.7900000000000006E-2</v>
      </c>
      <c r="H8" s="32"/>
    </row>
    <row r="9" spans="2:8" ht="15.75" customHeight="1" x14ac:dyDescent="0.2">
      <c r="B9" s="28" t="s">
        <v>191</v>
      </c>
      <c r="C9" s="28" t="s">
        <v>192</v>
      </c>
      <c r="D9" s="28" t="s">
        <v>173</v>
      </c>
      <c r="E9" s="29">
        <v>558069</v>
      </c>
      <c r="F9" s="30">
        <v>7050.64</v>
      </c>
      <c r="G9" s="31">
        <v>8.2100000000000006E-2</v>
      </c>
      <c r="H9" s="32"/>
    </row>
    <row r="10" spans="2:8" ht="15.75" customHeight="1" x14ac:dyDescent="0.2">
      <c r="B10" s="28" t="s">
        <v>214</v>
      </c>
      <c r="C10" s="28" t="s">
        <v>215</v>
      </c>
      <c r="D10" s="28" t="s">
        <v>216</v>
      </c>
      <c r="E10" s="29">
        <v>239335</v>
      </c>
      <c r="F10" s="30">
        <v>4515.7700000000004</v>
      </c>
      <c r="G10" s="31">
        <v>5.2600000000000001E-2</v>
      </c>
      <c r="H10" s="32"/>
    </row>
    <row r="11" spans="2:8" ht="15.75" customHeight="1" x14ac:dyDescent="0.2">
      <c r="B11" s="28" t="s">
        <v>316</v>
      </c>
      <c r="C11" s="28" t="s">
        <v>317</v>
      </c>
      <c r="D11" s="28" t="s">
        <v>318</v>
      </c>
      <c r="E11" s="29">
        <v>91420</v>
      </c>
      <c r="F11" s="30">
        <v>3669.6</v>
      </c>
      <c r="G11" s="31">
        <v>4.2700000000000002E-2</v>
      </c>
      <c r="H11" s="32"/>
    </row>
    <row r="12" spans="2:8" ht="15.75" customHeight="1" x14ac:dyDescent="0.2">
      <c r="B12" s="28" t="s">
        <v>212</v>
      </c>
      <c r="C12" s="28" t="s">
        <v>213</v>
      </c>
      <c r="D12" s="28" t="s">
        <v>173</v>
      </c>
      <c r="E12" s="29">
        <v>323932</v>
      </c>
      <c r="F12" s="30">
        <v>3461.05</v>
      </c>
      <c r="G12" s="31">
        <v>4.0300000000000002E-2</v>
      </c>
      <c r="H12" s="32"/>
    </row>
    <row r="13" spans="2:8" ht="15.75" customHeight="1" x14ac:dyDescent="0.2">
      <c r="B13" s="28" t="s">
        <v>180</v>
      </c>
      <c r="C13" s="28" t="s">
        <v>181</v>
      </c>
      <c r="D13" s="28" t="s">
        <v>182</v>
      </c>
      <c r="E13" s="29">
        <v>273201</v>
      </c>
      <c r="F13" s="30">
        <v>3228.69</v>
      </c>
      <c r="G13" s="31">
        <v>3.7600000000000001E-2</v>
      </c>
      <c r="H13" s="32"/>
    </row>
    <row r="14" spans="2:8" ht="15.75" customHeight="1" x14ac:dyDescent="0.2">
      <c r="B14" s="28" t="s">
        <v>183</v>
      </c>
      <c r="C14" s="28" t="s">
        <v>184</v>
      </c>
      <c r="D14" s="28" t="s">
        <v>173</v>
      </c>
      <c r="E14" s="29">
        <v>224266</v>
      </c>
      <c r="F14" s="30">
        <v>2844.37</v>
      </c>
      <c r="G14" s="31">
        <v>3.3099999999999997E-2</v>
      </c>
      <c r="H14" s="32"/>
    </row>
    <row r="15" spans="2:8" ht="15.75" customHeight="1" x14ac:dyDescent="0.2">
      <c r="B15" s="28" t="s">
        <v>256</v>
      </c>
      <c r="C15" s="28" t="s">
        <v>257</v>
      </c>
      <c r="D15" s="28" t="s">
        <v>187</v>
      </c>
      <c r="E15" s="29">
        <v>753861</v>
      </c>
      <c r="F15" s="30">
        <v>2373.91</v>
      </c>
      <c r="G15" s="31">
        <v>2.7699999999999999E-2</v>
      </c>
      <c r="H15" s="32"/>
    </row>
    <row r="16" spans="2:8" ht="15.75" customHeight="1" x14ac:dyDescent="0.2">
      <c r="B16" s="28" t="s">
        <v>220</v>
      </c>
      <c r="C16" s="28" t="s">
        <v>221</v>
      </c>
      <c r="D16" s="28" t="s">
        <v>173</v>
      </c>
      <c r="E16" s="29">
        <v>572207</v>
      </c>
      <c r="F16" s="30">
        <v>2193.27</v>
      </c>
      <c r="G16" s="31">
        <v>2.5499999999999998E-2</v>
      </c>
      <c r="H16" s="32"/>
    </row>
    <row r="17" spans="2:8" ht="15.75" customHeight="1" x14ac:dyDescent="0.2">
      <c r="B17" s="28" t="s">
        <v>193</v>
      </c>
      <c r="C17" s="28" t="s">
        <v>194</v>
      </c>
      <c r="D17" s="28" t="s">
        <v>195</v>
      </c>
      <c r="E17" s="29">
        <v>69446</v>
      </c>
      <c r="F17" s="30">
        <v>2151.09</v>
      </c>
      <c r="G17" s="31">
        <v>2.5100000000000001E-2</v>
      </c>
      <c r="H17" s="32"/>
    </row>
    <row r="18" spans="2:8" ht="15.75" customHeight="1" x14ac:dyDescent="0.2">
      <c r="B18" s="28" t="s">
        <v>314</v>
      </c>
      <c r="C18" s="28" t="s">
        <v>315</v>
      </c>
      <c r="D18" s="28" t="s">
        <v>182</v>
      </c>
      <c r="E18" s="29">
        <v>79382</v>
      </c>
      <c r="F18" s="30">
        <v>1963.83</v>
      </c>
      <c r="G18" s="31">
        <v>2.29E-2</v>
      </c>
      <c r="H18" s="32"/>
    </row>
    <row r="19" spans="2:8" ht="15.75" customHeight="1" x14ac:dyDescent="0.2">
      <c r="B19" s="28" t="s">
        <v>225</v>
      </c>
      <c r="C19" s="28" t="s">
        <v>226</v>
      </c>
      <c r="D19" s="28" t="s">
        <v>190</v>
      </c>
      <c r="E19" s="29">
        <v>208827</v>
      </c>
      <c r="F19" s="30">
        <v>1956.71</v>
      </c>
      <c r="G19" s="31">
        <v>2.2800000000000001E-2</v>
      </c>
      <c r="H19" s="32"/>
    </row>
    <row r="20" spans="2:8" ht="15.75" customHeight="1" x14ac:dyDescent="0.2">
      <c r="B20" s="28" t="s">
        <v>185</v>
      </c>
      <c r="C20" s="28" t="s">
        <v>186</v>
      </c>
      <c r="D20" s="28" t="s">
        <v>187</v>
      </c>
      <c r="E20" s="29">
        <v>69541</v>
      </c>
      <c r="F20" s="30">
        <v>1565.3</v>
      </c>
      <c r="G20" s="31">
        <v>1.8200000000000001E-2</v>
      </c>
      <c r="H20" s="32"/>
    </row>
    <row r="21" spans="2:8" ht="15.75" customHeight="1" x14ac:dyDescent="0.2">
      <c r="B21" s="28" t="s">
        <v>236</v>
      </c>
      <c r="C21" s="28" t="s">
        <v>237</v>
      </c>
      <c r="D21" s="28" t="s">
        <v>238</v>
      </c>
      <c r="E21" s="29">
        <v>82272</v>
      </c>
      <c r="F21" s="30">
        <v>1487.72</v>
      </c>
      <c r="G21" s="31">
        <v>1.7299999999999999E-2</v>
      </c>
      <c r="H21" s="32"/>
    </row>
    <row r="22" spans="2:8" ht="15.75" customHeight="1" x14ac:dyDescent="0.2">
      <c r="B22" s="28" t="s">
        <v>249</v>
      </c>
      <c r="C22" s="28" t="s">
        <v>250</v>
      </c>
      <c r="D22" s="28" t="s">
        <v>251</v>
      </c>
      <c r="E22" s="29">
        <v>367469</v>
      </c>
      <c r="F22" s="30">
        <v>1466.75</v>
      </c>
      <c r="G22" s="31">
        <v>1.7100000000000001E-2</v>
      </c>
      <c r="H22" s="32"/>
    </row>
    <row r="23" spans="2:8" ht="15.75" customHeight="1" x14ac:dyDescent="0.2">
      <c r="B23" s="28" t="s">
        <v>296</v>
      </c>
      <c r="C23" s="28" t="s">
        <v>297</v>
      </c>
      <c r="D23" s="28" t="s">
        <v>271</v>
      </c>
      <c r="E23" s="29">
        <v>32333</v>
      </c>
      <c r="F23" s="30">
        <v>1417.87</v>
      </c>
      <c r="G23" s="31">
        <v>1.6500000000000001E-2</v>
      </c>
      <c r="H23" s="32"/>
    </row>
    <row r="24" spans="2:8" ht="15.75" customHeight="1" x14ac:dyDescent="0.2">
      <c r="B24" s="28" t="s">
        <v>241</v>
      </c>
      <c r="C24" s="28" t="s">
        <v>242</v>
      </c>
      <c r="D24" s="28" t="s">
        <v>243</v>
      </c>
      <c r="E24" s="29">
        <v>564443</v>
      </c>
      <c r="F24" s="30">
        <v>1394.34</v>
      </c>
      <c r="G24" s="31">
        <v>1.6199999999999999E-2</v>
      </c>
      <c r="H24" s="32"/>
    </row>
    <row r="25" spans="2:8" ht="15.75" customHeight="1" x14ac:dyDescent="0.2">
      <c r="B25" s="28" t="s">
        <v>232</v>
      </c>
      <c r="C25" s="28" t="s">
        <v>233</v>
      </c>
      <c r="D25" s="28" t="s">
        <v>195</v>
      </c>
      <c r="E25" s="29">
        <v>10243</v>
      </c>
      <c r="F25" s="30">
        <v>1363.75</v>
      </c>
      <c r="G25" s="31">
        <v>1.5900000000000001E-2</v>
      </c>
      <c r="H25" s="32"/>
    </row>
    <row r="26" spans="2:8" ht="15.75" customHeight="1" x14ac:dyDescent="0.2">
      <c r="B26" s="28" t="s">
        <v>227</v>
      </c>
      <c r="C26" s="28" t="s">
        <v>228</v>
      </c>
      <c r="D26" s="28" t="s">
        <v>229</v>
      </c>
      <c r="E26" s="29">
        <v>640689</v>
      </c>
      <c r="F26" s="30">
        <v>1354.16</v>
      </c>
      <c r="G26" s="31">
        <v>1.5800000000000002E-2</v>
      </c>
      <c r="H26" s="32"/>
    </row>
    <row r="27" spans="2:8" ht="15.75" customHeight="1" x14ac:dyDescent="0.2">
      <c r="B27" s="28" t="s">
        <v>222</v>
      </c>
      <c r="C27" s="28" t="s">
        <v>223</v>
      </c>
      <c r="D27" s="28" t="s">
        <v>224</v>
      </c>
      <c r="E27" s="29">
        <v>280913</v>
      </c>
      <c r="F27" s="30">
        <v>1211.58</v>
      </c>
      <c r="G27" s="31">
        <v>1.41E-2</v>
      </c>
      <c r="H27" s="32"/>
    </row>
    <row r="28" spans="2:8" ht="15.75" customHeight="1" x14ac:dyDescent="0.2">
      <c r="B28" s="28" t="s">
        <v>324</v>
      </c>
      <c r="C28" s="28" t="s">
        <v>325</v>
      </c>
      <c r="D28" s="28" t="s">
        <v>326</v>
      </c>
      <c r="E28" s="29">
        <v>113517</v>
      </c>
      <c r="F28" s="30">
        <v>1178.31</v>
      </c>
      <c r="G28" s="31">
        <v>1.37E-2</v>
      </c>
      <c r="H28" s="32"/>
    </row>
    <row r="29" spans="2:8" ht="15.75" customHeight="1" x14ac:dyDescent="0.2">
      <c r="B29" s="28" t="s">
        <v>389</v>
      </c>
      <c r="C29" s="28" t="s">
        <v>390</v>
      </c>
      <c r="D29" s="28" t="s">
        <v>251</v>
      </c>
      <c r="E29" s="29">
        <v>350312</v>
      </c>
      <c r="F29" s="30">
        <v>1115.22</v>
      </c>
      <c r="G29" s="31">
        <v>1.2999999999999999E-2</v>
      </c>
      <c r="H29" s="32"/>
    </row>
    <row r="30" spans="2:8" ht="15.75" customHeight="1" x14ac:dyDescent="0.2">
      <c r="B30" s="28" t="s">
        <v>329</v>
      </c>
      <c r="C30" s="28" t="s">
        <v>330</v>
      </c>
      <c r="D30" s="28" t="s">
        <v>331</v>
      </c>
      <c r="E30" s="29">
        <v>9175</v>
      </c>
      <c r="F30" s="30">
        <v>1063.02</v>
      </c>
      <c r="G30" s="31">
        <v>1.24E-2</v>
      </c>
      <c r="H30" s="32"/>
    </row>
    <row r="31" spans="2:8" ht="15.75" customHeight="1" x14ac:dyDescent="0.2">
      <c r="B31" s="28" t="s">
        <v>188</v>
      </c>
      <c r="C31" s="28" t="s">
        <v>189</v>
      </c>
      <c r="D31" s="28" t="s">
        <v>190</v>
      </c>
      <c r="E31" s="29">
        <v>109736</v>
      </c>
      <c r="F31" s="30">
        <v>1028.6099999999999</v>
      </c>
      <c r="G31" s="31">
        <v>1.2E-2</v>
      </c>
      <c r="H31" s="32"/>
    </row>
    <row r="32" spans="2:8" ht="15.75" customHeight="1" x14ac:dyDescent="0.2">
      <c r="B32" s="28" t="s">
        <v>409</v>
      </c>
      <c r="C32" s="28" t="s">
        <v>410</v>
      </c>
      <c r="D32" s="28" t="s">
        <v>182</v>
      </c>
      <c r="E32" s="29">
        <v>81750</v>
      </c>
      <c r="F32" s="30">
        <v>980.26</v>
      </c>
      <c r="G32" s="31">
        <v>1.14E-2</v>
      </c>
      <c r="H32" s="32"/>
    </row>
    <row r="33" spans="2:8" ht="15.75" customHeight="1" x14ac:dyDescent="0.2">
      <c r="B33" s="28" t="s">
        <v>849</v>
      </c>
      <c r="C33" s="28" t="s">
        <v>850</v>
      </c>
      <c r="D33" s="28" t="s">
        <v>219</v>
      </c>
      <c r="E33" s="29">
        <v>57585</v>
      </c>
      <c r="F33" s="30">
        <v>954.36</v>
      </c>
      <c r="G33" s="31">
        <v>1.11E-2</v>
      </c>
      <c r="H33" s="32"/>
    </row>
    <row r="34" spans="2:8" ht="15.75" customHeight="1" x14ac:dyDescent="0.2">
      <c r="B34" s="28" t="s">
        <v>851</v>
      </c>
      <c r="C34" s="28" t="s">
        <v>852</v>
      </c>
      <c r="D34" s="28" t="s">
        <v>229</v>
      </c>
      <c r="E34" s="29">
        <v>73633</v>
      </c>
      <c r="F34" s="30">
        <v>931.09</v>
      </c>
      <c r="G34" s="31">
        <v>1.0800000000000001E-2</v>
      </c>
      <c r="H34" s="32"/>
    </row>
    <row r="35" spans="2:8" ht="15.75" customHeight="1" x14ac:dyDescent="0.2">
      <c r="B35" s="28" t="s">
        <v>280</v>
      </c>
      <c r="C35" s="28" t="s">
        <v>281</v>
      </c>
      <c r="D35" s="28" t="s">
        <v>282</v>
      </c>
      <c r="E35" s="29">
        <v>305434</v>
      </c>
      <c r="F35" s="30">
        <v>914.93</v>
      </c>
      <c r="G35" s="31">
        <v>1.0699999999999999E-2</v>
      </c>
      <c r="H35" s="32"/>
    </row>
    <row r="36" spans="2:8" ht="15.75" customHeight="1" x14ac:dyDescent="0.2">
      <c r="B36" s="28" t="s">
        <v>294</v>
      </c>
      <c r="C36" s="28" t="s">
        <v>295</v>
      </c>
      <c r="D36" s="28" t="s">
        <v>271</v>
      </c>
      <c r="E36" s="29">
        <v>35586</v>
      </c>
      <c r="F36" s="30">
        <v>869.9</v>
      </c>
      <c r="G36" s="31">
        <v>1.01E-2</v>
      </c>
      <c r="H36" s="32"/>
    </row>
    <row r="37" spans="2:8" ht="15.75" customHeight="1" x14ac:dyDescent="0.2">
      <c r="B37" s="28" t="s">
        <v>853</v>
      </c>
      <c r="C37" s="28" t="s">
        <v>854</v>
      </c>
      <c r="D37" s="28" t="s">
        <v>855</v>
      </c>
      <c r="E37" s="29">
        <v>178486</v>
      </c>
      <c r="F37" s="30">
        <v>859.32</v>
      </c>
      <c r="G37" s="31">
        <v>0.01</v>
      </c>
      <c r="H37" s="32"/>
    </row>
    <row r="38" spans="2:8" ht="15.75" customHeight="1" x14ac:dyDescent="0.2">
      <c r="B38" s="28" t="s">
        <v>642</v>
      </c>
      <c r="C38" s="28" t="s">
        <v>643</v>
      </c>
      <c r="D38" s="28" t="s">
        <v>195</v>
      </c>
      <c r="E38" s="29">
        <v>8547</v>
      </c>
      <c r="F38" s="30">
        <v>854.19</v>
      </c>
      <c r="G38" s="31">
        <v>9.9000000000000008E-3</v>
      </c>
      <c r="H38" s="32"/>
    </row>
    <row r="39" spans="2:8" ht="15.75" customHeight="1" x14ac:dyDescent="0.2">
      <c r="B39" s="28" t="s">
        <v>379</v>
      </c>
      <c r="C39" s="28" t="s">
        <v>380</v>
      </c>
      <c r="D39" s="28" t="s">
        <v>331</v>
      </c>
      <c r="E39" s="29">
        <v>29378</v>
      </c>
      <c r="F39" s="30">
        <v>820.97</v>
      </c>
      <c r="G39" s="31">
        <v>9.5999999999999992E-3</v>
      </c>
      <c r="H39" s="32"/>
    </row>
    <row r="40" spans="2:8" ht="15.75" customHeight="1" x14ac:dyDescent="0.2">
      <c r="B40" s="28" t="s">
        <v>244</v>
      </c>
      <c r="C40" s="28" t="s">
        <v>245</v>
      </c>
      <c r="D40" s="28" t="s">
        <v>196</v>
      </c>
      <c r="E40" s="29">
        <v>55965</v>
      </c>
      <c r="F40" s="30">
        <v>816.31</v>
      </c>
      <c r="G40" s="31">
        <v>9.4999999999999998E-3</v>
      </c>
      <c r="H40" s="32"/>
    </row>
    <row r="41" spans="2:8" ht="15.75" customHeight="1" x14ac:dyDescent="0.2">
      <c r="B41" s="28" t="s">
        <v>288</v>
      </c>
      <c r="C41" s="28" t="s">
        <v>289</v>
      </c>
      <c r="D41" s="28" t="s">
        <v>190</v>
      </c>
      <c r="E41" s="29">
        <v>45053</v>
      </c>
      <c r="F41" s="30">
        <v>787.17</v>
      </c>
      <c r="G41" s="31">
        <v>9.1999999999999998E-3</v>
      </c>
      <c r="H41" s="32"/>
    </row>
    <row r="42" spans="2:8" ht="15.75" customHeight="1" x14ac:dyDescent="0.2">
      <c r="B42" s="28" t="s">
        <v>258</v>
      </c>
      <c r="C42" s="28" t="s">
        <v>259</v>
      </c>
      <c r="D42" s="28" t="s">
        <v>195</v>
      </c>
      <c r="E42" s="29">
        <v>10742</v>
      </c>
      <c r="F42" s="30">
        <v>763.65</v>
      </c>
      <c r="G42" s="31">
        <v>8.8999999999999999E-3</v>
      </c>
      <c r="H42" s="32"/>
    </row>
    <row r="43" spans="2:8" ht="15.75" customHeight="1" x14ac:dyDescent="0.2">
      <c r="B43" s="28" t="s">
        <v>356</v>
      </c>
      <c r="C43" s="28" t="s">
        <v>357</v>
      </c>
      <c r="D43" s="28" t="s">
        <v>287</v>
      </c>
      <c r="E43" s="29">
        <v>17455</v>
      </c>
      <c r="F43" s="30">
        <v>749.74</v>
      </c>
      <c r="G43" s="31">
        <v>8.6999999999999994E-3</v>
      </c>
      <c r="H43" s="32"/>
    </row>
    <row r="44" spans="2:8" ht="15.75" customHeight="1" x14ac:dyDescent="0.2">
      <c r="B44" s="28" t="s">
        <v>374</v>
      </c>
      <c r="C44" s="28" t="s">
        <v>375</v>
      </c>
      <c r="D44" s="28" t="s">
        <v>182</v>
      </c>
      <c r="E44" s="29">
        <v>49556</v>
      </c>
      <c r="F44" s="30">
        <v>730.21</v>
      </c>
      <c r="G44" s="31">
        <v>8.5000000000000006E-3</v>
      </c>
      <c r="H44" s="32"/>
    </row>
    <row r="45" spans="2:8" ht="15.75" customHeight="1" x14ac:dyDescent="0.2">
      <c r="B45" s="28" t="s">
        <v>262</v>
      </c>
      <c r="C45" s="28" t="s">
        <v>263</v>
      </c>
      <c r="D45" s="28" t="s">
        <v>243</v>
      </c>
      <c r="E45" s="29">
        <v>17426</v>
      </c>
      <c r="F45" s="30">
        <v>722.24</v>
      </c>
      <c r="G45" s="31">
        <v>8.3999999999999995E-3</v>
      </c>
      <c r="H45" s="32"/>
    </row>
    <row r="46" spans="2:8" ht="15.75" customHeight="1" x14ac:dyDescent="0.2">
      <c r="B46" s="28" t="s">
        <v>538</v>
      </c>
      <c r="C46" s="28" t="s">
        <v>539</v>
      </c>
      <c r="D46" s="28" t="s">
        <v>277</v>
      </c>
      <c r="E46" s="29">
        <v>35060</v>
      </c>
      <c r="F46" s="30">
        <v>637.74</v>
      </c>
      <c r="G46" s="31">
        <v>7.4000000000000003E-3</v>
      </c>
      <c r="H46" s="32"/>
    </row>
    <row r="47" spans="2:8" ht="15.75" customHeight="1" x14ac:dyDescent="0.2">
      <c r="B47" s="28" t="s">
        <v>230</v>
      </c>
      <c r="C47" s="28" t="s">
        <v>231</v>
      </c>
      <c r="D47" s="28" t="s">
        <v>190</v>
      </c>
      <c r="E47" s="29">
        <v>255988</v>
      </c>
      <c r="F47" s="30">
        <v>630.67999999999995</v>
      </c>
      <c r="G47" s="31">
        <v>7.3000000000000001E-3</v>
      </c>
      <c r="H47" s="32"/>
    </row>
    <row r="48" spans="2:8" ht="15.75" customHeight="1" x14ac:dyDescent="0.2">
      <c r="B48" s="28" t="s">
        <v>856</v>
      </c>
      <c r="C48" s="28" t="s">
        <v>857</v>
      </c>
      <c r="D48" s="28" t="s">
        <v>238</v>
      </c>
      <c r="E48" s="29">
        <v>47568</v>
      </c>
      <c r="F48" s="30">
        <v>629.28</v>
      </c>
      <c r="G48" s="31">
        <v>7.3000000000000001E-3</v>
      </c>
      <c r="H48" s="32"/>
    </row>
    <row r="49" spans="2:8" ht="15.75" customHeight="1" x14ac:dyDescent="0.2">
      <c r="B49" s="28" t="s">
        <v>393</v>
      </c>
      <c r="C49" s="28" t="s">
        <v>394</v>
      </c>
      <c r="D49" s="28" t="s">
        <v>395</v>
      </c>
      <c r="E49" s="29">
        <v>7935</v>
      </c>
      <c r="F49" s="30">
        <v>605.96</v>
      </c>
      <c r="G49" s="31">
        <v>7.1000000000000004E-3</v>
      </c>
      <c r="H49" s="32"/>
    </row>
    <row r="50" spans="2:8" ht="15.75" customHeight="1" x14ac:dyDescent="0.2">
      <c r="B50" s="28" t="s">
        <v>336</v>
      </c>
      <c r="C50" s="28" t="s">
        <v>337</v>
      </c>
      <c r="D50" s="28" t="s">
        <v>338</v>
      </c>
      <c r="E50" s="29">
        <v>50826</v>
      </c>
      <c r="F50" s="30">
        <v>581.75</v>
      </c>
      <c r="G50" s="31">
        <v>6.7999999999999996E-3</v>
      </c>
      <c r="H50" s="32"/>
    </row>
    <row r="51" spans="2:8" ht="15.75" customHeight="1" x14ac:dyDescent="0.2">
      <c r="B51" s="28" t="s">
        <v>692</v>
      </c>
      <c r="C51" s="28" t="s">
        <v>693</v>
      </c>
      <c r="D51" s="28" t="s">
        <v>395</v>
      </c>
      <c r="E51" s="29">
        <v>58082</v>
      </c>
      <c r="F51" s="30">
        <v>576.78</v>
      </c>
      <c r="G51" s="31">
        <v>6.7000000000000002E-3</v>
      </c>
      <c r="H51" s="32"/>
    </row>
    <row r="52" spans="2:8" ht="15.75" customHeight="1" x14ac:dyDescent="0.2">
      <c r="B52" s="28" t="s">
        <v>680</v>
      </c>
      <c r="C52" s="28" t="s">
        <v>681</v>
      </c>
      <c r="D52" s="28" t="s">
        <v>238</v>
      </c>
      <c r="E52" s="29">
        <v>43098</v>
      </c>
      <c r="F52" s="30">
        <v>564.41</v>
      </c>
      <c r="G52" s="31">
        <v>6.6E-3</v>
      </c>
      <c r="H52" s="32"/>
    </row>
    <row r="53" spans="2:8" ht="15.75" customHeight="1" x14ac:dyDescent="0.2">
      <c r="B53" s="28" t="s">
        <v>292</v>
      </c>
      <c r="C53" s="28" t="s">
        <v>293</v>
      </c>
      <c r="D53" s="28" t="s">
        <v>195</v>
      </c>
      <c r="E53" s="29">
        <v>163481</v>
      </c>
      <c r="F53" s="30">
        <v>558.37</v>
      </c>
      <c r="G53" s="31">
        <v>6.4999999999999997E-3</v>
      </c>
      <c r="H53" s="32"/>
    </row>
    <row r="54" spans="2:8" ht="15.75" customHeight="1" x14ac:dyDescent="0.2">
      <c r="B54" s="28" t="s">
        <v>283</v>
      </c>
      <c r="C54" s="28" t="s">
        <v>284</v>
      </c>
      <c r="D54" s="28" t="s">
        <v>277</v>
      </c>
      <c r="E54" s="29">
        <v>85040</v>
      </c>
      <c r="F54" s="30">
        <v>499.1</v>
      </c>
      <c r="G54" s="31">
        <v>5.7999999999999996E-3</v>
      </c>
      <c r="H54" s="32"/>
    </row>
    <row r="55" spans="2:8" ht="15.75" customHeight="1" x14ac:dyDescent="0.2">
      <c r="B55" s="28" t="s">
        <v>858</v>
      </c>
      <c r="C55" s="28" t="s">
        <v>859</v>
      </c>
      <c r="D55" s="28" t="s">
        <v>860</v>
      </c>
      <c r="E55" s="29">
        <v>20331</v>
      </c>
      <c r="F55" s="30">
        <v>489.65</v>
      </c>
      <c r="G55" s="31">
        <v>5.7000000000000002E-3</v>
      </c>
      <c r="H55" s="32"/>
    </row>
    <row r="56" spans="2:8" ht="15.75" customHeight="1" x14ac:dyDescent="0.2">
      <c r="B56" s="28" t="s">
        <v>861</v>
      </c>
      <c r="C56" s="28" t="s">
        <v>862</v>
      </c>
      <c r="D56" s="28" t="s">
        <v>182</v>
      </c>
      <c r="E56" s="29">
        <v>223087</v>
      </c>
      <c r="F56" s="30">
        <v>447.62</v>
      </c>
      <c r="G56" s="31">
        <v>5.1999999999999998E-3</v>
      </c>
      <c r="H56" s="32"/>
    </row>
    <row r="57" spans="2:8" ht="15.75" customHeight="1" x14ac:dyDescent="0.2">
      <c r="B57" s="27" t="s">
        <v>129</v>
      </c>
      <c r="C57" s="27"/>
      <c r="D57" s="27"/>
      <c r="E57" s="33"/>
      <c r="F57" s="34">
        <v>85794.36</v>
      </c>
      <c r="G57" s="35">
        <v>0.99929999999999997</v>
      </c>
      <c r="H57" s="36"/>
    </row>
    <row r="58" spans="2:8" ht="15.75" customHeight="1" x14ac:dyDescent="0.2">
      <c r="B58" s="27" t="s">
        <v>197</v>
      </c>
      <c r="C58" s="28"/>
      <c r="D58" s="28"/>
      <c r="E58" s="29"/>
      <c r="F58" s="30"/>
      <c r="G58" s="31"/>
      <c r="H58" s="32"/>
    </row>
    <row r="59" spans="2:8" ht="15.75" customHeight="1" x14ac:dyDescent="0.2">
      <c r="B59" s="27" t="s">
        <v>129</v>
      </c>
      <c r="C59" s="28"/>
      <c r="D59" s="28"/>
      <c r="E59" s="29"/>
      <c r="F59" s="37" t="s">
        <v>131</v>
      </c>
      <c r="G59" s="38" t="s">
        <v>131</v>
      </c>
      <c r="H59" s="32"/>
    </row>
    <row r="60" spans="2:8" ht="15.75" customHeight="1" x14ac:dyDescent="0.2">
      <c r="B60" s="28"/>
      <c r="C60" s="28"/>
      <c r="D60" s="28"/>
      <c r="E60" s="29"/>
      <c r="F60" s="30"/>
      <c r="G60" s="31"/>
      <c r="H60" s="32"/>
    </row>
    <row r="61" spans="2:8" ht="15.75" customHeight="1" x14ac:dyDescent="0.2">
      <c r="B61" s="39" t="s">
        <v>133</v>
      </c>
      <c r="C61" s="39"/>
      <c r="D61" s="39"/>
      <c r="E61" s="40"/>
      <c r="F61" s="34">
        <v>85794.36</v>
      </c>
      <c r="G61" s="35">
        <v>0.99929999999999997</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139</v>
      </c>
      <c r="C64" s="28"/>
      <c r="D64" s="28"/>
      <c r="E64" s="29"/>
      <c r="F64" s="30"/>
      <c r="G64" s="31"/>
      <c r="H64" s="32"/>
    </row>
    <row r="65" spans="2:10" ht="15.75" customHeight="1" x14ac:dyDescent="0.2">
      <c r="B65" s="28" t="s">
        <v>140</v>
      </c>
      <c r="C65" s="28"/>
      <c r="D65" s="28"/>
      <c r="E65" s="29"/>
      <c r="F65" s="30">
        <v>30.63</v>
      </c>
      <c r="G65" s="31">
        <v>4.0000000000000002E-4</v>
      </c>
      <c r="H65" s="32"/>
    </row>
    <row r="66" spans="2:10" ht="15.75" customHeight="1" x14ac:dyDescent="0.2">
      <c r="B66" s="27" t="s">
        <v>129</v>
      </c>
      <c r="C66" s="27"/>
      <c r="D66" s="27"/>
      <c r="E66" s="33"/>
      <c r="F66" s="34">
        <v>30.63</v>
      </c>
      <c r="G66" s="35">
        <v>4.0000000000000002E-4</v>
      </c>
      <c r="H66" s="36"/>
    </row>
    <row r="67" spans="2:10" ht="15.75" customHeight="1" x14ac:dyDescent="0.2">
      <c r="B67" s="28"/>
      <c r="C67" s="28"/>
      <c r="D67" s="28"/>
      <c r="E67" s="29"/>
      <c r="F67" s="30"/>
      <c r="G67" s="31"/>
      <c r="H67" s="32"/>
    </row>
    <row r="68" spans="2:10" ht="15.75" customHeight="1" x14ac:dyDescent="0.2">
      <c r="B68" s="39" t="s">
        <v>133</v>
      </c>
      <c r="C68" s="39"/>
      <c r="D68" s="39"/>
      <c r="E68" s="40"/>
      <c r="F68" s="34">
        <v>30.63</v>
      </c>
      <c r="G68" s="35">
        <v>4.0000000000000002E-4</v>
      </c>
      <c r="H68" s="36"/>
      <c r="J68" s="3"/>
    </row>
    <row r="69" spans="2:10" ht="15.75" customHeight="1" x14ac:dyDescent="0.2">
      <c r="B69" s="28" t="s">
        <v>141</v>
      </c>
      <c r="C69" s="28"/>
      <c r="D69" s="28"/>
      <c r="E69" s="29"/>
      <c r="F69" s="30">
        <v>23.99</v>
      </c>
      <c r="G69" s="31">
        <v>3.0000000000007798E-4</v>
      </c>
      <c r="H69" s="32"/>
    </row>
    <row r="70" spans="2:10" ht="15.75" customHeight="1" x14ac:dyDescent="0.2">
      <c r="B70" s="41" t="s">
        <v>142</v>
      </c>
      <c r="C70" s="41"/>
      <c r="D70" s="41"/>
      <c r="E70" s="42"/>
      <c r="F70" s="43">
        <v>85848.98</v>
      </c>
      <c r="G70" s="44">
        <v>1</v>
      </c>
      <c r="H70" s="45"/>
      <c r="J70" s="3"/>
    </row>
    <row r="71" spans="2:10" ht="15.75" customHeight="1" x14ac:dyDescent="0.2">
      <c r="B71" s="2"/>
      <c r="J71" s="3"/>
    </row>
    <row r="72" spans="2:10" s="7" customFormat="1" ht="15.6" customHeight="1" x14ac:dyDescent="0.25">
      <c r="B72" s="63" t="s">
        <v>1067</v>
      </c>
      <c r="C72" s="70"/>
      <c r="D72" s="70"/>
      <c r="E72" s="70"/>
      <c r="F72" s="70"/>
      <c r="G72" s="70"/>
      <c r="H72" s="64"/>
    </row>
    <row r="73" spans="2:10" s="7" customFormat="1" ht="15.6" customHeight="1" x14ac:dyDescent="0.25">
      <c r="B73" s="63" t="s">
        <v>1108</v>
      </c>
      <c r="C73" s="70"/>
      <c r="D73" s="70"/>
      <c r="E73" s="70"/>
      <c r="F73" s="70"/>
      <c r="G73" s="70"/>
      <c r="H73" s="64"/>
    </row>
    <row r="74" spans="2:10" s="7" customFormat="1" ht="15.6" customHeight="1" x14ac:dyDescent="0.25">
      <c r="B74" s="63" t="s">
        <v>1068</v>
      </c>
      <c r="C74" s="70"/>
      <c r="D74" s="70"/>
      <c r="E74" s="70"/>
      <c r="F74" s="70"/>
      <c r="G74" s="70"/>
      <c r="H74" s="64"/>
    </row>
    <row r="75" spans="2:10" s="7" customFormat="1" ht="15.6" customHeight="1" x14ac:dyDescent="0.25">
      <c r="B75" s="71"/>
      <c r="C75" s="65">
        <v>46142</v>
      </c>
      <c r="D75" s="65">
        <v>46112</v>
      </c>
      <c r="E75" s="70"/>
      <c r="F75" s="70"/>
      <c r="G75" s="70"/>
      <c r="H75" s="64"/>
    </row>
    <row r="76" spans="2:10" s="7" customFormat="1" ht="15.6" customHeight="1" x14ac:dyDescent="0.25">
      <c r="B76" s="71" t="s">
        <v>1069</v>
      </c>
      <c r="C76" s="66"/>
      <c r="D76" s="66"/>
      <c r="E76" s="70"/>
      <c r="F76" s="70"/>
      <c r="G76" s="70"/>
      <c r="H76" s="64"/>
    </row>
    <row r="77" spans="2:10" s="7" customFormat="1" ht="15.6" customHeight="1" x14ac:dyDescent="0.25">
      <c r="B77" s="71" t="s">
        <v>1070</v>
      </c>
      <c r="C77" s="67">
        <v>267.47840000000002</v>
      </c>
      <c r="D77" s="67">
        <v>248.94569999999999</v>
      </c>
      <c r="E77" s="70"/>
      <c r="F77" s="70"/>
      <c r="G77" s="70"/>
      <c r="H77" s="64"/>
    </row>
    <row r="78" spans="2:10" s="7" customFormat="1" ht="15.6" customHeight="1" x14ac:dyDescent="0.25">
      <c r="B78" s="63" t="s">
        <v>1116</v>
      </c>
      <c r="C78" s="70"/>
      <c r="D78" s="70"/>
      <c r="E78" s="70"/>
      <c r="F78" s="70"/>
      <c r="G78" s="70"/>
      <c r="H78" s="64"/>
    </row>
    <row r="79" spans="2:10" s="7" customFormat="1" ht="15.6" customHeight="1" x14ac:dyDescent="0.25">
      <c r="B79" s="63" t="s">
        <v>1109</v>
      </c>
      <c r="C79" s="70"/>
      <c r="D79" s="70"/>
      <c r="E79" s="70"/>
      <c r="F79" s="70"/>
      <c r="G79" s="70"/>
      <c r="H79" s="64"/>
    </row>
    <row r="80" spans="2:10" s="7" customFormat="1" ht="15.6" customHeight="1" x14ac:dyDescent="0.25">
      <c r="B80" s="63" t="s">
        <v>1111</v>
      </c>
      <c r="C80" s="70"/>
      <c r="D80" s="70"/>
      <c r="E80" s="70"/>
      <c r="F80" s="70"/>
      <c r="G80" s="70"/>
      <c r="H80" s="64"/>
    </row>
    <row r="81" spans="2:14" s="7" customFormat="1" ht="15.6" customHeight="1" x14ac:dyDescent="0.25">
      <c r="B81" s="63" t="s">
        <v>1112</v>
      </c>
      <c r="C81" s="70"/>
      <c r="D81" s="70"/>
      <c r="E81" s="70"/>
      <c r="F81" s="70"/>
      <c r="G81" s="70"/>
      <c r="H81" s="64"/>
    </row>
    <row r="82" spans="2:14" s="7" customFormat="1" ht="15.6" customHeight="1" x14ac:dyDescent="0.25">
      <c r="B82" s="63" t="s">
        <v>1104</v>
      </c>
      <c r="C82" s="70"/>
      <c r="D82" s="70"/>
      <c r="E82" s="70"/>
      <c r="F82" s="70"/>
      <c r="G82" s="70"/>
      <c r="H82" s="64"/>
    </row>
    <row r="83" spans="2:14" s="7" customFormat="1" ht="15.6" customHeight="1" x14ac:dyDescent="0.25">
      <c r="B83" s="63" t="s">
        <v>1113</v>
      </c>
      <c r="C83" s="70"/>
      <c r="D83" s="70"/>
      <c r="E83" s="70"/>
      <c r="F83" s="70"/>
      <c r="G83" s="70"/>
      <c r="H83" s="64"/>
    </row>
    <row r="84" spans="2:14" s="7" customFormat="1" ht="15.6" customHeight="1" x14ac:dyDescent="0.25">
      <c r="B84" s="68" t="s">
        <v>1076</v>
      </c>
      <c r="C84" s="72"/>
      <c r="D84" s="72"/>
      <c r="E84" s="72"/>
      <c r="F84" s="72"/>
      <c r="G84" s="72"/>
      <c r="H84" s="69"/>
    </row>
    <row r="85" spans="2:14" ht="15.75" customHeight="1" thickBot="1" x14ac:dyDescent="0.25">
      <c r="J85" s="3"/>
    </row>
    <row r="86" spans="2:14" ht="39.75" customHeight="1" thickBot="1" x14ac:dyDescent="0.3">
      <c r="B86" s="46" t="s">
        <v>146</v>
      </c>
      <c r="C86" s="47" t="s">
        <v>147</v>
      </c>
      <c r="D86" s="47" t="s">
        <v>148</v>
      </c>
      <c r="E86"/>
      <c r="J86" s="5"/>
      <c r="K86" s="5"/>
      <c r="L86" s="6"/>
      <c r="M86" s="6"/>
      <c r="N86" s="5"/>
    </row>
    <row r="87" spans="2:14" ht="39.75" customHeight="1" x14ac:dyDescent="0.25">
      <c r="B87" s="52" t="s">
        <v>1036</v>
      </c>
      <c r="C87" s="109"/>
      <c r="D87" s="52" t="s">
        <v>863</v>
      </c>
      <c r="E87"/>
    </row>
    <row r="88" spans="2:14" ht="39.75" customHeight="1" x14ac:dyDescent="0.25">
      <c r="B88" s="112" t="s">
        <v>1051</v>
      </c>
      <c r="C88" s="110"/>
      <c r="D88" s="114"/>
      <c r="E88"/>
    </row>
    <row r="89" spans="2:14" ht="39.75" customHeight="1" x14ac:dyDescent="0.25">
      <c r="B89" s="112"/>
      <c r="C89" s="110"/>
      <c r="D89" s="114"/>
      <c r="E89"/>
      <c r="J89" s="7"/>
      <c r="K89" s="7"/>
      <c r="L89" s="7"/>
      <c r="M89" s="7"/>
      <c r="N89" s="7"/>
    </row>
    <row r="90" spans="2:14" ht="39.75" customHeight="1" x14ac:dyDescent="0.25">
      <c r="B90" s="112"/>
      <c r="C90" s="110"/>
      <c r="D90" s="114"/>
      <c r="E90"/>
      <c r="J90" s="7"/>
      <c r="K90" s="7"/>
      <c r="L90" s="7"/>
      <c r="M90" s="7"/>
      <c r="N90" s="7"/>
    </row>
    <row r="91" spans="2:14" ht="39.75" customHeight="1" thickBot="1" x14ac:dyDescent="0.3">
      <c r="B91" s="113"/>
      <c r="C91" s="111"/>
      <c r="D91" s="117"/>
      <c r="E91"/>
      <c r="J91" s="7"/>
      <c r="K91" s="7"/>
      <c r="L91" s="7"/>
      <c r="M91" s="7"/>
      <c r="N91" s="7"/>
    </row>
    <row r="92" spans="2:14" ht="15.75" customHeight="1" x14ac:dyDescent="0.2">
      <c r="B92" s="9" t="s">
        <v>149</v>
      </c>
      <c r="J92" s="7"/>
      <c r="K92" s="7"/>
      <c r="L92" s="7"/>
      <c r="M92" s="7"/>
      <c r="N92" s="7"/>
    </row>
    <row r="93" spans="2:14" ht="15.75" customHeight="1" x14ac:dyDescent="0.2">
      <c r="B93" s="9" t="s">
        <v>150</v>
      </c>
      <c r="J93" s="7"/>
      <c r="K93" s="7"/>
      <c r="L93" s="7"/>
      <c r="M93" s="7"/>
      <c r="N93" s="7"/>
    </row>
    <row r="94" spans="2:14" ht="15.75" customHeight="1" x14ac:dyDescent="0.2">
      <c r="B94" s="9" t="s">
        <v>151</v>
      </c>
      <c r="J94" s="7"/>
      <c r="K94" s="7"/>
      <c r="L94" s="7"/>
      <c r="M94" s="7"/>
      <c r="N94" s="7"/>
    </row>
    <row r="95" spans="2:14" ht="15.75" customHeight="1" x14ac:dyDescent="0.2">
      <c r="J95" s="7"/>
      <c r="K95" s="7"/>
      <c r="L95" s="7"/>
      <c r="M95" s="7"/>
      <c r="N95" s="7"/>
    </row>
    <row r="97" spans="10:10" ht="15.75" customHeight="1" x14ac:dyDescent="0.2">
      <c r="J97" s="3"/>
    </row>
  </sheetData>
  <mergeCells count="3">
    <mergeCell ref="C87:C91"/>
    <mergeCell ref="B88:B91"/>
    <mergeCell ref="D88:D91"/>
  </mergeCells>
  <hyperlinks>
    <hyperlink ref="G1" location="'Sheet1'!A1" display="Index" xr:uid="{F67B5A7C-C980-49A5-A1D3-B5BEE1C9309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4536D-4A52-487C-B580-7373A8DBDC20}">
  <dimension ref="B1:N97"/>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39</v>
      </c>
      <c r="C1" s="4" t="s">
        <v>1053</v>
      </c>
      <c r="D1" s="4" t="s">
        <v>1052</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171</v>
      </c>
      <c r="C7" s="28" t="s">
        <v>172</v>
      </c>
      <c r="D7" s="28" t="s">
        <v>173</v>
      </c>
      <c r="E7" s="29">
        <v>1190571</v>
      </c>
      <c r="F7" s="30">
        <v>9181.68</v>
      </c>
      <c r="G7" s="31">
        <v>0.129</v>
      </c>
      <c r="H7" s="32"/>
    </row>
    <row r="8" spans="2:8" ht="15.75" customHeight="1" x14ac:dyDescent="0.2">
      <c r="B8" s="28" t="s">
        <v>174</v>
      </c>
      <c r="C8" s="28" t="s">
        <v>175</v>
      </c>
      <c r="D8" s="28" t="s">
        <v>176</v>
      </c>
      <c r="E8" s="29">
        <v>529013</v>
      </c>
      <c r="F8" s="30">
        <v>7569.38</v>
      </c>
      <c r="G8" s="31">
        <v>0.10630000000000001</v>
      </c>
      <c r="H8" s="32"/>
    </row>
    <row r="9" spans="2:8" ht="15.75" customHeight="1" x14ac:dyDescent="0.2">
      <c r="B9" s="28" t="s">
        <v>191</v>
      </c>
      <c r="C9" s="28" t="s">
        <v>192</v>
      </c>
      <c r="D9" s="28" t="s">
        <v>173</v>
      </c>
      <c r="E9" s="29">
        <v>559360</v>
      </c>
      <c r="F9" s="30">
        <v>7063.32</v>
      </c>
      <c r="G9" s="31">
        <v>9.9199999999999997E-2</v>
      </c>
      <c r="H9" s="32"/>
    </row>
    <row r="10" spans="2:8" ht="15.75" customHeight="1" x14ac:dyDescent="0.2">
      <c r="B10" s="28" t="s">
        <v>214</v>
      </c>
      <c r="C10" s="28" t="s">
        <v>215</v>
      </c>
      <c r="D10" s="28" t="s">
        <v>216</v>
      </c>
      <c r="E10" s="29">
        <v>222831</v>
      </c>
      <c r="F10" s="30">
        <v>4202.7</v>
      </c>
      <c r="G10" s="31">
        <v>5.8999999999999997E-2</v>
      </c>
      <c r="H10" s="32"/>
    </row>
    <row r="11" spans="2:8" ht="15.75" customHeight="1" x14ac:dyDescent="0.2">
      <c r="B11" s="28" t="s">
        <v>316</v>
      </c>
      <c r="C11" s="28" t="s">
        <v>317</v>
      </c>
      <c r="D11" s="28" t="s">
        <v>318</v>
      </c>
      <c r="E11" s="29">
        <v>91410</v>
      </c>
      <c r="F11" s="30">
        <v>3667.96</v>
      </c>
      <c r="G11" s="31">
        <v>5.1499999999999997E-2</v>
      </c>
      <c r="H11" s="32"/>
    </row>
    <row r="12" spans="2:8" ht="15.75" customHeight="1" x14ac:dyDescent="0.2">
      <c r="B12" s="28" t="s">
        <v>212</v>
      </c>
      <c r="C12" s="28" t="s">
        <v>213</v>
      </c>
      <c r="D12" s="28" t="s">
        <v>173</v>
      </c>
      <c r="E12" s="29">
        <v>324783</v>
      </c>
      <c r="F12" s="30">
        <v>3468.68</v>
      </c>
      <c r="G12" s="31">
        <v>4.87E-2</v>
      </c>
      <c r="H12" s="32"/>
    </row>
    <row r="13" spans="2:8" ht="15.75" customHeight="1" x14ac:dyDescent="0.2">
      <c r="B13" s="28" t="s">
        <v>180</v>
      </c>
      <c r="C13" s="28" t="s">
        <v>181</v>
      </c>
      <c r="D13" s="28" t="s">
        <v>182</v>
      </c>
      <c r="E13" s="29">
        <v>272830</v>
      </c>
      <c r="F13" s="30">
        <v>3223.49</v>
      </c>
      <c r="G13" s="31">
        <v>4.53E-2</v>
      </c>
      <c r="H13" s="32"/>
    </row>
    <row r="14" spans="2:8" ht="15.75" customHeight="1" x14ac:dyDescent="0.2">
      <c r="B14" s="28" t="s">
        <v>183</v>
      </c>
      <c r="C14" s="28" t="s">
        <v>184</v>
      </c>
      <c r="D14" s="28" t="s">
        <v>173</v>
      </c>
      <c r="E14" s="29">
        <v>223816</v>
      </c>
      <c r="F14" s="30">
        <v>2837.32</v>
      </c>
      <c r="G14" s="31">
        <v>3.9899999999999998E-2</v>
      </c>
      <c r="H14" s="32"/>
    </row>
    <row r="15" spans="2:8" ht="15.75" customHeight="1" x14ac:dyDescent="0.2">
      <c r="B15" s="28" t="s">
        <v>256</v>
      </c>
      <c r="C15" s="28" t="s">
        <v>257</v>
      </c>
      <c r="D15" s="28" t="s">
        <v>187</v>
      </c>
      <c r="E15" s="29">
        <v>754515</v>
      </c>
      <c r="F15" s="30">
        <v>2376.34</v>
      </c>
      <c r="G15" s="31">
        <v>3.3399999999999999E-2</v>
      </c>
      <c r="H15" s="32"/>
    </row>
    <row r="16" spans="2:8" ht="15.75" customHeight="1" x14ac:dyDescent="0.2">
      <c r="B16" s="28" t="s">
        <v>220</v>
      </c>
      <c r="C16" s="28" t="s">
        <v>221</v>
      </c>
      <c r="D16" s="28" t="s">
        <v>173</v>
      </c>
      <c r="E16" s="29">
        <v>575320</v>
      </c>
      <c r="F16" s="30">
        <v>2201.46</v>
      </c>
      <c r="G16" s="31">
        <v>3.09E-2</v>
      </c>
      <c r="H16" s="32"/>
    </row>
    <row r="17" spans="2:8" ht="15.75" customHeight="1" x14ac:dyDescent="0.2">
      <c r="B17" s="28" t="s">
        <v>193</v>
      </c>
      <c r="C17" s="28" t="s">
        <v>194</v>
      </c>
      <c r="D17" s="28" t="s">
        <v>195</v>
      </c>
      <c r="E17" s="29">
        <v>69999</v>
      </c>
      <c r="F17" s="30">
        <v>2167.8000000000002</v>
      </c>
      <c r="G17" s="31">
        <v>3.04E-2</v>
      </c>
      <c r="H17" s="32"/>
    </row>
    <row r="18" spans="2:8" ht="15.75" customHeight="1" x14ac:dyDescent="0.2">
      <c r="B18" s="28" t="s">
        <v>314</v>
      </c>
      <c r="C18" s="28" t="s">
        <v>315</v>
      </c>
      <c r="D18" s="28" t="s">
        <v>182</v>
      </c>
      <c r="E18" s="29">
        <v>79212</v>
      </c>
      <c r="F18" s="30">
        <v>1959.31</v>
      </c>
      <c r="G18" s="31">
        <v>2.75E-2</v>
      </c>
      <c r="H18" s="32"/>
    </row>
    <row r="19" spans="2:8" ht="15.75" customHeight="1" x14ac:dyDescent="0.2">
      <c r="B19" s="28" t="s">
        <v>225</v>
      </c>
      <c r="C19" s="28" t="s">
        <v>226</v>
      </c>
      <c r="D19" s="28" t="s">
        <v>190</v>
      </c>
      <c r="E19" s="29">
        <v>208911</v>
      </c>
      <c r="F19" s="30">
        <v>1956.66</v>
      </c>
      <c r="G19" s="31">
        <v>2.75E-2</v>
      </c>
      <c r="H19" s="32"/>
    </row>
    <row r="20" spans="2:8" ht="15.75" customHeight="1" x14ac:dyDescent="0.2">
      <c r="B20" s="28" t="s">
        <v>185</v>
      </c>
      <c r="C20" s="28" t="s">
        <v>186</v>
      </c>
      <c r="D20" s="28" t="s">
        <v>187</v>
      </c>
      <c r="E20" s="29">
        <v>69889</v>
      </c>
      <c r="F20" s="30">
        <v>1572.92</v>
      </c>
      <c r="G20" s="31">
        <v>2.2100000000000002E-2</v>
      </c>
      <c r="H20" s="32"/>
    </row>
    <row r="21" spans="2:8" ht="15.75" customHeight="1" x14ac:dyDescent="0.2">
      <c r="B21" s="28" t="s">
        <v>236</v>
      </c>
      <c r="C21" s="28" t="s">
        <v>237</v>
      </c>
      <c r="D21" s="28" t="s">
        <v>238</v>
      </c>
      <c r="E21" s="29">
        <v>84575</v>
      </c>
      <c r="F21" s="30">
        <v>1529.29</v>
      </c>
      <c r="G21" s="31">
        <v>2.1499999999999998E-2</v>
      </c>
      <c r="H21" s="32"/>
    </row>
    <row r="22" spans="2:8" ht="15.75" customHeight="1" x14ac:dyDescent="0.2">
      <c r="B22" s="28" t="s">
        <v>249</v>
      </c>
      <c r="C22" s="28" t="s">
        <v>250</v>
      </c>
      <c r="D22" s="28" t="s">
        <v>251</v>
      </c>
      <c r="E22" s="29">
        <v>371502</v>
      </c>
      <c r="F22" s="30">
        <v>1482.85</v>
      </c>
      <c r="G22" s="31">
        <v>2.0799999999999999E-2</v>
      </c>
      <c r="H22" s="32"/>
    </row>
    <row r="23" spans="2:8" ht="15.75" customHeight="1" x14ac:dyDescent="0.2">
      <c r="B23" s="28" t="s">
        <v>296</v>
      </c>
      <c r="C23" s="28" t="s">
        <v>297</v>
      </c>
      <c r="D23" s="28" t="s">
        <v>271</v>
      </c>
      <c r="E23" s="29">
        <v>31952</v>
      </c>
      <c r="F23" s="30">
        <v>1401.4</v>
      </c>
      <c r="G23" s="31">
        <v>1.9699999999999999E-2</v>
      </c>
      <c r="H23" s="32"/>
    </row>
    <row r="24" spans="2:8" ht="15.75" customHeight="1" x14ac:dyDescent="0.2">
      <c r="B24" s="28" t="s">
        <v>241</v>
      </c>
      <c r="C24" s="28" t="s">
        <v>242</v>
      </c>
      <c r="D24" s="28" t="s">
        <v>243</v>
      </c>
      <c r="E24" s="29">
        <v>558140</v>
      </c>
      <c r="F24" s="30">
        <v>1377.49</v>
      </c>
      <c r="G24" s="31">
        <v>1.9300000000000001E-2</v>
      </c>
      <c r="H24" s="32"/>
    </row>
    <row r="25" spans="2:8" ht="15.75" customHeight="1" x14ac:dyDescent="0.2">
      <c r="B25" s="28" t="s">
        <v>232</v>
      </c>
      <c r="C25" s="28" t="s">
        <v>233</v>
      </c>
      <c r="D25" s="28" t="s">
        <v>195</v>
      </c>
      <c r="E25" s="29">
        <v>10326</v>
      </c>
      <c r="F25" s="30">
        <v>1374.68</v>
      </c>
      <c r="G25" s="31">
        <v>1.9300000000000001E-2</v>
      </c>
      <c r="H25" s="32"/>
    </row>
    <row r="26" spans="2:8" ht="15.75" customHeight="1" x14ac:dyDescent="0.2">
      <c r="B26" s="28" t="s">
        <v>227</v>
      </c>
      <c r="C26" s="28" t="s">
        <v>228</v>
      </c>
      <c r="D26" s="28" t="s">
        <v>229</v>
      </c>
      <c r="E26" s="29">
        <v>644229</v>
      </c>
      <c r="F26" s="30">
        <v>1361.26</v>
      </c>
      <c r="G26" s="31">
        <v>1.9099999999999999E-2</v>
      </c>
      <c r="H26" s="32"/>
    </row>
    <row r="27" spans="2:8" ht="15.75" customHeight="1" x14ac:dyDescent="0.2">
      <c r="B27" s="28" t="s">
        <v>222</v>
      </c>
      <c r="C27" s="28" t="s">
        <v>223</v>
      </c>
      <c r="D27" s="28" t="s">
        <v>224</v>
      </c>
      <c r="E27" s="29">
        <v>280053</v>
      </c>
      <c r="F27" s="30">
        <v>1208.01</v>
      </c>
      <c r="G27" s="31">
        <v>1.7000000000000001E-2</v>
      </c>
      <c r="H27" s="32"/>
    </row>
    <row r="28" spans="2:8" ht="15.75" customHeight="1" x14ac:dyDescent="0.2">
      <c r="B28" s="28" t="s">
        <v>389</v>
      </c>
      <c r="C28" s="28" t="s">
        <v>390</v>
      </c>
      <c r="D28" s="28" t="s">
        <v>251</v>
      </c>
      <c r="E28" s="29">
        <v>356327</v>
      </c>
      <c r="F28" s="30">
        <v>1134.01</v>
      </c>
      <c r="G28" s="31">
        <v>1.5900000000000001E-2</v>
      </c>
      <c r="H28" s="32"/>
    </row>
    <row r="29" spans="2:8" ht="15.75" customHeight="1" x14ac:dyDescent="0.2">
      <c r="B29" s="28" t="s">
        <v>329</v>
      </c>
      <c r="C29" s="28" t="s">
        <v>330</v>
      </c>
      <c r="D29" s="28" t="s">
        <v>331</v>
      </c>
      <c r="E29" s="29">
        <v>9216</v>
      </c>
      <c r="F29" s="30">
        <v>1067.47</v>
      </c>
      <c r="G29" s="31">
        <v>1.4999999999999999E-2</v>
      </c>
      <c r="H29" s="32"/>
    </row>
    <row r="30" spans="2:8" ht="15.75" customHeight="1" x14ac:dyDescent="0.2">
      <c r="B30" s="28" t="s">
        <v>409</v>
      </c>
      <c r="C30" s="28" t="s">
        <v>410</v>
      </c>
      <c r="D30" s="28" t="s">
        <v>182</v>
      </c>
      <c r="E30" s="29">
        <v>82749</v>
      </c>
      <c r="F30" s="30">
        <v>992.12</v>
      </c>
      <c r="G30" s="31">
        <v>1.3899999999999999E-2</v>
      </c>
      <c r="H30" s="32"/>
    </row>
    <row r="31" spans="2:8" ht="15.75" customHeight="1" x14ac:dyDescent="0.2">
      <c r="B31" s="28" t="s">
        <v>849</v>
      </c>
      <c r="C31" s="28" t="s">
        <v>850</v>
      </c>
      <c r="D31" s="28" t="s">
        <v>219</v>
      </c>
      <c r="E31" s="29">
        <v>57427</v>
      </c>
      <c r="F31" s="30">
        <v>950.5</v>
      </c>
      <c r="G31" s="31">
        <v>1.34E-2</v>
      </c>
      <c r="H31" s="32"/>
    </row>
    <row r="32" spans="2:8" ht="15.75" customHeight="1" x14ac:dyDescent="0.2">
      <c r="B32" s="28" t="s">
        <v>294</v>
      </c>
      <c r="C32" s="28" t="s">
        <v>295</v>
      </c>
      <c r="D32" s="28" t="s">
        <v>271</v>
      </c>
      <c r="E32" s="29">
        <v>35249</v>
      </c>
      <c r="F32" s="30">
        <v>861.7</v>
      </c>
      <c r="G32" s="31">
        <v>1.21E-2</v>
      </c>
      <c r="H32" s="32"/>
    </row>
    <row r="33" spans="2:8" ht="15.75" customHeight="1" x14ac:dyDescent="0.2">
      <c r="B33" s="28" t="s">
        <v>288</v>
      </c>
      <c r="C33" s="28" t="s">
        <v>289</v>
      </c>
      <c r="D33" s="28" t="s">
        <v>190</v>
      </c>
      <c r="E33" s="29">
        <v>43801</v>
      </c>
      <c r="F33" s="30">
        <v>765.18</v>
      </c>
      <c r="G33" s="31">
        <v>1.0699999999999999E-2</v>
      </c>
      <c r="H33" s="32"/>
    </row>
    <row r="34" spans="2:8" ht="15.75" customHeight="1" x14ac:dyDescent="0.2">
      <c r="B34" s="28" t="s">
        <v>356</v>
      </c>
      <c r="C34" s="28" t="s">
        <v>357</v>
      </c>
      <c r="D34" s="28" t="s">
        <v>287</v>
      </c>
      <c r="E34" s="29">
        <v>17586</v>
      </c>
      <c r="F34" s="30">
        <v>755.43</v>
      </c>
      <c r="G34" s="31">
        <v>1.06E-2</v>
      </c>
      <c r="H34" s="32"/>
    </row>
    <row r="35" spans="2:8" ht="15.75" customHeight="1" x14ac:dyDescent="0.2">
      <c r="B35" s="28" t="s">
        <v>374</v>
      </c>
      <c r="C35" s="28" t="s">
        <v>375</v>
      </c>
      <c r="D35" s="28" t="s">
        <v>182</v>
      </c>
      <c r="E35" s="29">
        <v>49785</v>
      </c>
      <c r="F35" s="30">
        <v>733.86</v>
      </c>
      <c r="G35" s="31">
        <v>1.03E-2</v>
      </c>
      <c r="H35" s="32"/>
    </row>
    <row r="36" spans="2:8" ht="15.75" customHeight="1" x14ac:dyDescent="0.2">
      <c r="B36" s="28" t="s">
        <v>262</v>
      </c>
      <c r="C36" s="28" t="s">
        <v>263</v>
      </c>
      <c r="D36" s="28" t="s">
        <v>243</v>
      </c>
      <c r="E36" s="29">
        <v>17233</v>
      </c>
      <c r="F36" s="30">
        <v>714.19</v>
      </c>
      <c r="G36" s="31">
        <v>0.01</v>
      </c>
      <c r="H36" s="32"/>
    </row>
    <row r="37" spans="2:8" ht="15.75" customHeight="1" x14ac:dyDescent="0.2">
      <c r="B37" s="27" t="s">
        <v>129</v>
      </c>
      <c r="C37" s="27"/>
      <c r="D37" s="27"/>
      <c r="E37" s="33"/>
      <c r="F37" s="34">
        <v>71158.460000000006</v>
      </c>
      <c r="G37" s="35">
        <v>0.99939999999999996</v>
      </c>
      <c r="H37" s="36"/>
    </row>
    <row r="38" spans="2:8" ht="15.75" customHeight="1" x14ac:dyDescent="0.2">
      <c r="B38" s="27" t="s">
        <v>197</v>
      </c>
      <c r="C38" s="28"/>
      <c r="D38" s="28"/>
      <c r="E38" s="29"/>
      <c r="F38" s="30"/>
      <c r="G38" s="31"/>
      <c r="H38" s="32"/>
    </row>
    <row r="39" spans="2:8" ht="15.75" customHeight="1" x14ac:dyDescent="0.2">
      <c r="B39" s="27" t="s">
        <v>129</v>
      </c>
      <c r="C39" s="28"/>
      <c r="D39" s="28"/>
      <c r="E39" s="29"/>
      <c r="F39" s="37" t="s">
        <v>131</v>
      </c>
      <c r="G39" s="38" t="s">
        <v>131</v>
      </c>
      <c r="H39" s="32"/>
    </row>
    <row r="40" spans="2:8" ht="15.75" customHeight="1" x14ac:dyDescent="0.2">
      <c r="B40" s="28"/>
      <c r="C40" s="28"/>
      <c r="D40" s="28"/>
      <c r="E40" s="29"/>
      <c r="F40" s="30"/>
      <c r="G40" s="31"/>
      <c r="H40" s="32"/>
    </row>
    <row r="41" spans="2:8" ht="15.75" customHeight="1" x14ac:dyDescent="0.2">
      <c r="B41" s="39" t="s">
        <v>133</v>
      </c>
      <c r="C41" s="39"/>
      <c r="D41" s="39"/>
      <c r="E41" s="40"/>
      <c r="F41" s="34">
        <v>71158.460000000006</v>
      </c>
      <c r="G41" s="35">
        <v>0.99939999999999996</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139</v>
      </c>
      <c r="C44" s="28"/>
      <c r="D44" s="28"/>
      <c r="E44" s="29"/>
      <c r="F44" s="30"/>
      <c r="G44" s="31"/>
      <c r="H44" s="32"/>
    </row>
    <row r="45" spans="2:8" ht="15.75" customHeight="1" x14ac:dyDescent="0.2">
      <c r="B45" s="28" t="s">
        <v>140</v>
      </c>
      <c r="C45" s="28"/>
      <c r="D45" s="28"/>
      <c r="E45" s="29"/>
      <c r="F45" s="30">
        <v>22.99</v>
      </c>
      <c r="G45" s="31">
        <v>2.9999999999999997E-4</v>
      </c>
      <c r="H45" s="32"/>
    </row>
    <row r="46" spans="2:8" ht="15.75" customHeight="1" x14ac:dyDescent="0.2">
      <c r="B46" s="27" t="s">
        <v>129</v>
      </c>
      <c r="C46" s="27"/>
      <c r="D46" s="27"/>
      <c r="E46" s="33"/>
      <c r="F46" s="34">
        <v>22.99</v>
      </c>
      <c r="G46" s="35">
        <v>2.9999999999999997E-4</v>
      </c>
      <c r="H46" s="36"/>
    </row>
    <row r="47" spans="2:8" ht="15.75" customHeight="1" x14ac:dyDescent="0.2">
      <c r="B47" s="28"/>
      <c r="C47" s="28"/>
      <c r="D47" s="28"/>
      <c r="E47" s="29"/>
      <c r="F47" s="30"/>
      <c r="G47" s="31"/>
      <c r="H47" s="32"/>
    </row>
    <row r="48" spans="2:8" ht="15.75" customHeight="1" x14ac:dyDescent="0.2">
      <c r="B48" s="39" t="s">
        <v>133</v>
      </c>
      <c r="C48" s="39"/>
      <c r="D48" s="39"/>
      <c r="E48" s="40"/>
      <c r="F48" s="34">
        <v>22.99</v>
      </c>
      <c r="G48" s="35">
        <v>2.9999999999999997E-4</v>
      </c>
      <c r="H48" s="36"/>
    </row>
    <row r="49" spans="2:8" ht="15.75" customHeight="1" x14ac:dyDescent="0.2">
      <c r="B49" s="28" t="s">
        <v>141</v>
      </c>
      <c r="C49" s="28"/>
      <c r="D49" s="28"/>
      <c r="E49" s="29"/>
      <c r="F49" s="30">
        <v>16.11</v>
      </c>
      <c r="G49" s="31">
        <v>3.0000000000007798E-4</v>
      </c>
      <c r="H49" s="32"/>
    </row>
    <row r="50" spans="2:8" ht="15.75" customHeight="1" x14ac:dyDescent="0.2">
      <c r="B50" s="41" t="s">
        <v>142</v>
      </c>
      <c r="C50" s="41"/>
      <c r="D50" s="41"/>
      <c r="E50" s="42"/>
      <c r="F50" s="43">
        <v>71197.56</v>
      </c>
      <c r="G50" s="44">
        <v>1</v>
      </c>
      <c r="H50" s="45"/>
    </row>
    <row r="51" spans="2:8" ht="15.75" customHeight="1" x14ac:dyDescent="0.2">
      <c r="B51" s="2"/>
    </row>
    <row r="52" spans="2:8" s="7" customFormat="1" ht="15.6" customHeight="1" x14ac:dyDescent="0.25">
      <c r="B52" s="63" t="s">
        <v>1067</v>
      </c>
      <c r="C52" s="70"/>
      <c r="D52" s="70"/>
      <c r="E52" s="70"/>
      <c r="F52" s="70"/>
      <c r="G52" s="70"/>
      <c r="H52" s="64"/>
    </row>
    <row r="53" spans="2:8" s="7" customFormat="1" ht="15.6" customHeight="1" x14ac:dyDescent="0.25">
      <c r="B53" s="63" t="s">
        <v>1108</v>
      </c>
      <c r="C53" s="70"/>
      <c r="D53" s="70"/>
      <c r="E53" s="70"/>
      <c r="F53" s="70"/>
      <c r="G53" s="70"/>
      <c r="H53" s="64"/>
    </row>
    <row r="54" spans="2:8" s="7" customFormat="1" ht="15.6" customHeight="1" x14ac:dyDescent="0.25">
      <c r="B54" s="63" t="s">
        <v>1068</v>
      </c>
      <c r="C54" s="70"/>
      <c r="D54" s="70"/>
      <c r="E54" s="70"/>
      <c r="F54" s="70"/>
      <c r="G54" s="70"/>
      <c r="H54" s="64"/>
    </row>
    <row r="55" spans="2:8" s="7" customFormat="1" ht="15.6" customHeight="1" x14ac:dyDescent="0.25">
      <c r="B55" s="71"/>
      <c r="C55" s="65">
        <v>46142</v>
      </c>
      <c r="D55" s="65">
        <v>46112</v>
      </c>
      <c r="E55" s="70"/>
      <c r="F55" s="70"/>
      <c r="G55" s="70"/>
      <c r="H55" s="64"/>
    </row>
    <row r="56" spans="2:8" s="7" customFormat="1" ht="15.6" customHeight="1" x14ac:dyDescent="0.25">
      <c r="B56" s="71" t="s">
        <v>1069</v>
      </c>
      <c r="C56" s="66"/>
      <c r="D56" s="66"/>
      <c r="E56" s="70"/>
      <c r="F56" s="70"/>
      <c r="G56" s="70"/>
      <c r="H56" s="64"/>
    </row>
    <row r="57" spans="2:8" s="7" customFormat="1" ht="15.6" customHeight="1" x14ac:dyDescent="0.25">
      <c r="B57" s="71" t="s">
        <v>1070</v>
      </c>
      <c r="C57" s="67">
        <v>863.19420000000002</v>
      </c>
      <c r="D57" s="67">
        <v>807.29179999999997</v>
      </c>
      <c r="E57" s="70"/>
      <c r="F57" s="70"/>
      <c r="G57" s="70"/>
      <c r="H57" s="64"/>
    </row>
    <row r="58" spans="2:8" s="7" customFormat="1" ht="15.6" customHeight="1" x14ac:dyDescent="0.25">
      <c r="B58" s="63" t="s">
        <v>1116</v>
      </c>
      <c r="C58" s="70"/>
      <c r="D58" s="70"/>
      <c r="E58" s="70"/>
      <c r="F58" s="70"/>
      <c r="G58" s="70"/>
      <c r="H58" s="64"/>
    </row>
    <row r="59" spans="2:8" s="7" customFormat="1" ht="15.6" customHeight="1" x14ac:dyDescent="0.25">
      <c r="B59" s="63" t="s">
        <v>1109</v>
      </c>
      <c r="C59" s="70"/>
      <c r="D59" s="70"/>
      <c r="E59" s="70"/>
      <c r="F59" s="70"/>
      <c r="G59" s="70"/>
      <c r="H59" s="64"/>
    </row>
    <row r="60" spans="2:8" s="7" customFormat="1" ht="15.6" customHeight="1" x14ac:dyDescent="0.25">
      <c r="B60" s="63" t="s">
        <v>1111</v>
      </c>
      <c r="C60" s="70"/>
      <c r="D60" s="70"/>
      <c r="E60" s="70"/>
      <c r="F60" s="70"/>
      <c r="G60" s="70"/>
      <c r="H60" s="64"/>
    </row>
    <row r="61" spans="2:8" s="7" customFormat="1" ht="15.6" customHeight="1" x14ac:dyDescent="0.25">
      <c r="B61" s="63" t="s">
        <v>1112</v>
      </c>
      <c r="C61" s="70"/>
      <c r="D61" s="70"/>
      <c r="E61" s="70"/>
      <c r="F61" s="70"/>
      <c r="G61" s="70"/>
      <c r="H61" s="64"/>
    </row>
    <row r="62" spans="2:8" s="7" customFormat="1" ht="15.6" customHeight="1" x14ac:dyDescent="0.25">
      <c r="B62" s="63" t="s">
        <v>1100</v>
      </c>
      <c r="C62" s="70"/>
      <c r="D62" s="70"/>
      <c r="E62" s="70"/>
      <c r="F62" s="70"/>
      <c r="G62" s="70"/>
      <c r="H62" s="64"/>
    </row>
    <row r="63" spans="2:8" s="7" customFormat="1" ht="15.6" customHeight="1" x14ac:dyDescent="0.25">
      <c r="B63" s="63" t="s">
        <v>1113</v>
      </c>
      <c r="C63" s="70"/>
      <c r="D63" s="70"/>
      <c r="E63" s="70"/>
      <c r="F63" s="70"/>
      <c r="G63" s="70"/>
      <c r="H63" s="64"/>
    </row>
    <row r="64" spans="2:8" s="7" customFormat="1" ht="15.6" customHeight="1" x14ac:dyDescent="0.25">
      <c r="B64" s="68" t="s">
        <v>1076</v>
      </c>
      <c r="C64" s="72"/>
      <c r="D64" s="72"/>
      <c r="E64" s="72"/>
      <c r="F64" s="72"/>
      <c r="G64" s="72"/>
      <c r="H64" s="69"/>
    </row>
    <row r="65" spans="2:10" ht="15.75" customHeight="1" thickBot="1" x14ac:dyDescent="0.25"/>
    <row r="66" spans="2:10" ht="39.75" customHeight="1" thickBot="1" x14ac:dyDescent="0.3">
      <c r="B66" s="46" t="s">
        <v>146</v>
      </c>
      <c r="C66" s="47" t="s">
        <v>147</v>
      </c>
      <c r="D66" s="47" t="s">
        <v>148</v>
      </c>
      <c r="E66"/>
    </row>
    <row r="67" spans="2:10" ht="39.75" customHeight="1" x14ac:dyDescent="0.25">
      <c r="B67" s="52" t="s">
        <v>1036</v>
      </c>
      <c r="C67" s="109"/>
      <c r="D67" s="48" t="s">
        <v>1054</v>
      </c>
      <c r="E67"/>
    </row>
    <row r="68" spans="2:10" ht="39.75" customHeight="1" x14ac:dyDescent="0.25">
      <c r="B68" s="112" t="s">
        <v>1055</v>
      </c>
      <c r="C68" s="110"/>
      <c r="D68" s="118"/>
      <c r="E68"/>
    </row>
    <row r="69" spans="2:10" ht="39.75" customHeight="1" x14ac:dyDescent="0.25">
      <c r="B69" s="112"/>
      <c r="C69" s="110"/>
      <c r="D69" s="118"/>
      <c r="E69"/>
    </row>
    <row r="70" spans="2:10" ht="39.75" customHeight="1" x14ac:dyDescent="0.25">
      <c r="B70" s="112"/>
      <c r="C70" s="110"/>
      <c r="D70" s="118"/>
      <c r="E70"/>
    </row>
    <row r="71" spans="2:10" ht="39.75" customHeight="1" thickBot="1" x14ac:dyDescent="0.3">
      <c r="B71" s="113"/>
      <c r="C71" s="111"/>
      <c r="D71" s="119"/>
      <c r="E71"/>
    </row>
    <row r="72" spans="2:10" ht="15.75" customHeight="1" x14ac:dyDescent="0.2">
      <c r="B72" s="9" t="s">
        <v>149</v>
      </c>
    </row>
    <row r="73" spans="2:10" ht="15.75" customHeight="1" x14ac:dyDescent="0.2">
      <c r="B73" s="9" t="s">
        <v>150</v>
      </c>
    </row>
    <row r="74" spans="2:10" ht="15.75" customHeight="1" x14ac:dyDescent="0.2">
      <c r="B74" s="9" t="s">
        <v>151</v>
      </c>
    </row>
    <row r="79" spans="2:10" ht="15.75" customHeight="1" x14ac:dyDescent="0.2">
      <c r="J79" s="3"/>
    </row>
    <row r="81" spans="10:14" ht="15.75" customHeight="1" x14ac:dyDescent="0.2">
      <c r="J81" s="3"/>
    </row>
    <row r="82" spans="10:14" ht="15.75" customHeight="1" x14ac:dyDescent="0.2">
      <c r="J82" s="3"/>
    </row>
    <row r="83" spans="10:14" ht="15.75" customHeight="1" x14ac:dyDescent="0.2">
      <c r="J83" s="3"/>
    </row>
    <row r="84" spans="10:14" ht="15.75" customHeight="1" x14ac:dyDescent="0.2">
      <c r="J84" s="3"/>
    </row>
    <row r="85" spans="10:14" ht="15.75" customHeight="1" x14ac:dyDescent="0.2">
      <c r="J85" s="3"/>
    </row>
    <row r="86" spans="10:14" ht="15.75" customHeight="1" x14ac:dyDescent="0.2">
      <c r="J86" s="5"/>
      <c r="K86" s="5"/>
      <c r="L86" s="6"/>
      <c r="M86" s="6"/>
      <c r="N86" s="5"/>
    </row>
    <row r="89" spans="10:14" ht="15.75" customHeight="1" x14ac:dyDescent="0.2">
      <c r="J89" s="7"/>
      <c r="K89" s="7"/>
      <c r="L89" s="7"/>
      <c r="M89" s="7"/>
      <c r="N89" s="7"/>
    </row>
    <row r="90" spans="10:14" ht="15.75" customHeight="1" x14ac:dyDescent="0.2">
      <c r="J90" s="7"/>
      <c r="K90" s="7"/>
      <c r="L90" s="7"/>
      <c r="M90" s="7"/>
      <c r="N90" s="7"/>
    </row>
    <row r="91" spans="10:14" ht="15.75" customHeight="1" x14ac:dyDescent="0.2">
      <c r="J91" s="7"/>
      <c r="K91" s="7"/>
      <c r="L91" s="7"/>
      <c r="M91" s="7"/>
      <c r="N91" s="7"/>
    </row>
    <row r="92" spans="10:14" ht="15.75" customHeight="1" x14ac:dyDescent="0.2">
      <c r="J92" s="7"/>
      <c r="K92" s="7"/>
      <c r="L92" s="7"/>
      <c r="M92" s="7"/>
      <c r="N92" s="7"/>
    </row>
    <row r="93" spans="10:14" ht="15.75" customHeight="1" x14ac:dyDescent="0.2">
      <c r="J93" s="7"/>
      <c r="K93" s="7"/>
      <c r="L93" s="7"/>
      <c r="M93" s="7"/>
      <c r="N93" s="7"/>
    </row>
    <row r="94" spans="10:14" ht="15.75" customHeight="1" x14ac:dyDescent="0.2">
      <c r="J94" s="7"/>
      <c r="K94" s="7"/>
      <c r="L94" s="7"/>
      <c r="M94" s="7"/>
      <c r="N94" s="7"/>
    </row>
    <row r="95" spans="10:14" ht="15.75" customHeight="1" x14ac:dyDescent="0.2">
      <c r="J95" s="7"/>
      <c r="K95" s="7"/>
      <c r="L95" s="7"/>
      <c r="M95" s="7"/>
      <c r="N95" s="7"/>
    </row>
    <row r="97" spans="10:10" ht="15.75" customHeight="1" x14ac:dyDescent="0.2">
      <c r="J97" s="3"/>
    </row>
  </sheetData>
  <mergeCells count="3">
    <mergeCell ref="C67:C71"/>
    <mergeCell ref="B68:B71"/>
    <mergeCell ref="D68:D71"/>
  </mergeCells>
  <hyperlinks>
    <hyperlink ref="G1" location="'Sheet1'!A1" display="Index" xr:uid="{F6F7E25B-51E3-4467-A8F1-B583E77ED15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8E608-327A-46EE-9892-CE51ED656E64}">
  <dimension ref="B1:N122"/>
  <sheetViews>
    <sheetView workbookViewId="0"/>
  </sheetViews>
  <sheetFormatPr defaultColWidth="9.140625" defaultRowHeight="15.75" customHeight="1" x14ac:dyDescent="0.2"/>
  <cols>
    <col min="1" max="1" width="3.5703125" style="2" customWidth="1"/>
    <col min="2" max="2" width="65.5703125" style="9" customWidth="1"/>
    <col min="3" max="4" width="45.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40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49" t="s">
        <v>169</v>
      </c>
      <c r="C5" s="22"/>
      <c r="D5" s="22"/>
      <c r="E5" s="23"/>
      <c r="F5" s="24"/>
      <c r="G5" s="25"/>
      <c r="H5" s="26"/>
    </row>
    <row r="6" spans="2:8" ht="15.75" customHeight="1" x14ac:dyDescent="0.2">
      <c r="B6" s="27" t="s">
        <v>170</v>
      </c>
      <c r="C6" s="28"/>
      <c r="D6" s="28"/>
      <c r="E6" s="29"/>
      <c r="F6" s="30"/>
      <c r="G6" s="31"/>
      <c r="H6" s="32"/>
    </row>
    <row r="7" spans="2:8" ht="15.75" customHeight="1" x14ac:dyDescent="0.2">
      <c r="B7" s="28" t="s">
        <v>191</v>
      </c>
      <c r="C7" s="28" t="s">
        <v>192</v>
      </c>
      <c r="D7" s="28" t="s">
        <v>173</v>
      </c>
      <c r="E7" s="29">
        <v>270142</v>
      </c>
      <c r="F7" s="30">
        <v>3412.97</v>
      </c>
      <c r="G7" s="31">
        <v>7.9600000000000004E-2</v>
      </c>
      <c r="H7" s="32"/>
    </row>
    <row r="8" spans="2:8" ht="15.75" customHeight="1" x14ac:dyDescent="0.2">
      <c r="B8" s="28" t="s">
        <v>171</v>
      </c>
      <c r="C8" s="28" t="s">
        <v>172</v>
      </c>
      <c r="D8" s="28" t="s">
        <v>173</v>
      </c>
      <c r="E8" s="29">
        <v>242772</v>
      </c>
      <c r="F8" s="30">
        <v>1873.47</v>
      </c>
      <c r="G8" s="31">
        <v>4.3700000000000003E-2</v>
      </c>
      <c r="H8" s="32"/>
    </row>
    <row r="9" spans="2:8" ht="15.75" customHeight="1" x14ac:dyDescent="0.2">
      <c r="B9" s="28" t="s">
        <v>262</v>
      </c>
      <c r="C9" s="28" t="s">
        <v>263</v>
      </c>
      <c r="D9" s="28" t="s">
        <v>243</v>
      </c>
      <c r="E9" s="29">
        <v>34054</v>
      </c>
      <c r="F9" s="30">
        <v>1411.4</v>
      </c>
      <c r="G9" s="31">
        <v>3.2899999999999999E-2</v>
      </c>
      <c r="H9" s="32"/>
    </row>
    <row r="10" spans="2:8" ht="15.75" customHeight="1" x14ac:dyDescent="0.2">
      <c r="B10" s="28" t="s">
        <v>767</v>
      </c>
      <c r="C10" s="28" t="s">
        <v>768</v>
      </c>
      <c r="D10" s="28" t="s">
        <v>321</v>
      </c>
      <c r="E10" s="29">
        <v>138554</v>
      </c>
      <c r="F10" s="30">
        <v>1355.89</v>
      </c>
      <c r="G10" s="31">
        <v>3.1600000000000003E-2</v>
      </c>
      <c r="H10" s="32"/>
    </row>
    <row r="11" spans="2:8" ht="15.75" customHeight="1" x14ac:dyDescent="0.2">
      <c r="B11" s="28" t="s">
        <v>222</v>
      </c>
      <c r="C11" s="28" t="s">
        <v>223</v>
      </c>
      <c r="D11" s="28" t="s">
        <v>224</v>
      </c>
      <c r="E11" s="29">
        <v>306080</v>
      </c>
      <c r="F11" s="30">
        <v>1320.12</v>
      </c>
      <c r="G11" s="31">
        <v>3.0800000000000001E-2</v>
      </c>
      <c r="H11" s="32"/>
    </row>
    <row r="12" spans="2:8" ht="15.75" customHeight="1" x14ac:dyDescent="0.2">
      <c r="B12" s="28" t="s">
        <v>180</v>
      </c>
      <c r="C12" s="28" t="s">
        <v>181</v>
      </c>
      <c r="D12" s="28" t="s">
        <v>182</v>
      </c>
      <c r="E12" s="29">
        <v>108414</v>
      </c>
      <c r="F12" s="30">
        <v>1281.24</v>
      </c>
      <c r="G12" s="31">
        <v>2.9899999999999999E-2</v>
      </c>
      <c r="H12" s="32"/>
    </row>
    <row r="13" spans="2:8" ht="15.75" customHeight="1" x14ac:dyDescent="0.2">
      <c r="B13" s="28" t="s">
        <v>296</v>
      </c>
      <c r="C13" s="28" t="s">
        <v>297</v>
      </c>
      <c r="D13" s="28" t="s">
        <v>271</v>
      </c>
      <c r="E13" s="29">
        <v>28966</v>
      </c>
      <c r="F13" s="30">
        <v>1270.22</v>
      </c>
      <c r="G13" s="31">
        <v>2.9600000000000001E-2</v>
      </c>
      <c r="H13" s="32"/>
    </row>
    <row r="14" spans="2:8" ht="15.75" customHeight="1" x14ac:dyDescent="0.2">
      <c r="B14" s="28" t="s">
        <v>413</v>
      </c>
      <c r="C14" s="28" t="s">
        <v>414</v>
      </c>
      <c r="D14" s="28" t="s">
        <v>238</v>
      </c>
      <c r="E14" s="29">
        <v>18276</v>
      </c>
      <c r="F14" s="30">
        <v>1188.4000000000001</v>
      </c>
      <c r="G14" s="31">
        <v>2.7699999999999999E-2</v>
      </c>
      <c r="H14" s="32"/>
    </row>
    <row r="15" spans="2:8" ht="15.75" customHeight="1" x14ac:dyDescent="0.2">
      <c r="B15" s="28" t="s">
        <v>225</v>
      </c>
      <c r="C15" s="28" t="s">
        <v>226</v>
      </c>
      <c r="D15" s="28" t="s">
        <v>190</v>
      </c>
      <c r="E15" s="29">
        <v>125570</v>
      </c>
      <c r="F15" s="30">
        <v>1176.5899999999999</v>
      </c>
      <c r="G15" s="31">
        <v>2.7400000000000001E-2</v>
      </c>
      <c r="H15" s="32"/>
    </row>
    <row r="16" spans="2:8" ht="15.75" customHeight="1" x14ac:dyDescent="0.2">
      <c r="B16" s="28" t="s">
        <v>183</v>
      </c>
      <c r="C16" s="28" t="s">
        <v>184</v>
      </c>
      <c r="D16" s="28" t="s">
        <v>173</v>
      </c>
      <c r="E16" s="29">
        <v>84643</v>
      </c>
      <c r="F16" s="30">
        <v>1073.53</v>
      </c>
      <c r="G16" s="31">
        <v>2.5000000000000001E-2</v>
      </c>
      <c r="H16" s="32"/>
    </row>
    <row r="17" spans="2:8" ht="15.75" customHeight="1" x14ac:dyDescent="0.2">
      <c r="B17" s="28" t="s">
        <v>976</v>
      </c>
      <c r="C17" s="28" t="s">
        <v>977</v>
      </c>
      <c r="D17" s="28" t="s">
        <v>243</v>
      </c>
      <c r="E17" s="29">
        <v>22730</v>
      </c>
      <c r="F17" s="30">
        <v>1042.3800000000001</v>
      </c>
      <c r="G17" s="31">
        <v>2.4299999999999999E-2</v>
      </c>
      <c r="H17" s="32"/>
    </row>
    <row r="18" spans="2:8" ht="15.75" customHeight="1" x14ac:dyDescent="0.2">
      <c r="B18" s="28" t="s">
        <v>214</v>
      </c>
      <c r="C18" s="28" t="s">
        <v>215</v>
      </c>
      <c r="D18" s="28" t="s">
        <v>216</v>
      </c>
      <c r="E18" s="29">
        <v>49649</v>
      </c>
      <c r="F18" s="30">
        <v>936.78</v>
      </c>
      <c r="G18" s="31">
        <v>2.18E-2</v>
      </c>
      <c r="H18" s="32"/>
    </row>
    <row r="19" spans="2:8" ht="15.75" customHeight="1" x14ac:dyDescent="0.2">
      <c r="B19" s="28" t="s">
        <v>341</v>
      </c>
      <c r="C19" s="28" t="s">
        <v>342</v>
      </c>
      <c r="D19" s="28" t="s">
        <v>196</v>
      </c>
      <c r="E19" s="29">
        <v>62003</v>
      </c>
      <c r="F19" s="30">
        <v>935.63</v>
      </c>
      <c r="G19" s="31">
        <v>2.18E-2</v>
      </c>
      <c r="H19" s="32"/>
    </row>
    <row r="20" spans="2:8" ht="15.75" customHeight="1" x14ac:dyDescent="0.2">
      <c r="B20" s="28" t="s">
        <v>343</v>
      </c>
      <c r="C20" s="28" t="s">
        <v>344</v>
      </c>
      <c r="D20" s="28" t="s">
        <v>345</v>
      </c>
      <c r="E20" s="29">
        <v>34731</v>
      </c>
      <c r="F20" s="30">
        <v>874.73</v>
      </c>
      <c r="G20" s="31">
        <v>2.0400000000000001E-2</v>
      </c>
      <c r="H20" s="32"/>
    </row>
    <row r="21" spans="2:8" ht="15.75" customHeight="1" x14ac:dyDescent="0.2">
      <c r="B21" s="28" t="s">
        <v>314</v>
      </c>
      <c r="C21" s="28" t="s">
        <v>315</v>
      </c>
      <c r="D21" s="28" t="s">
        <v>182</v>
      </c>
      <c r="E21" s="29">
        <v>32295</v>
      </c>
      <c r="F21" s="30">
        <v>798.95</v>
      </c>
      <c r="G21" s="31">
        <v>1.8599999999999998E-2</v>
      </c>
      <c r="H21" s="32"/>
    </row>
    <row r="22" spans="2:8" ht="15.75" customHeight="1" x14ac:dyDescent="0.2">
      <c r="B22" s="28" t="s">
        <v>319</v>
      </c>
      <c r="C22" s="28" t="s">
        <v>320</v>
      </c>
      <c r="D22" s="28" t="s">
        <v>321</v>
      </c>
      <c r="E22" s="29">
        <v>18641</v>
      </c>
      <c r="F22" s="30">
        <v>745.45</v>
      </c>
      <c r="G22" s="31">
        <v>1.7399999999999999E-2</v>
      </c>
      <c r="H22" s="32"/>
    </row>
    <row r="23" spans="2:8" ht="15.75" customHeight="1" x14ac:dyDescent="0.2">
      <c r="B23" s="28" t="s">
        <v>678</v>
      </c>
      <c r="C23" s="28" t="s">
        <v>679</v>
      </c>
      <c r="D23" s="28" t="s">
        <v>345</v>
      </c>
      <c r="E23" s="29">
        <v>10474</v>
      </c>
      <c r="F23" s="30">
        <v>714.43</v>
      </c>
      <c r="G23" s="31">
        <v>1.67E-2</v>
      </c>
      <c r="H23" s="32"/>
    </row>
    <row r="24" spans="2:8" ht="15.75" customHeight="1" x14ac:dyDescent="0.2">
      <c r="B24" s="28" t="s">
        <v>574</v>
      </c>
      <c r="C24" s="28" t="s">
        <v>575</v>
      </c>
      <c r="D24" s="28" t="s">
        <v>345</v>
      </c>
      <c r="E24" s="29">
        <v>53309</v>
      </c>
      <c r="F24" s="30">
        <v>704.9</v>
      </c>
      <c r="G24" s="31">
        <v>1.6400000000000001E-2</v>
      </c>
      <c r="H24" s="32"/>
    </row>
    <row r="25" spans="2:8" ht="15.75" customHeight="1" x14ac:dyDescent="0.2">
      <c r="B25" s="28" t="s">
        <v>174</v>
      </c>
      <c r="C25" s="28" t="s">
        <v>175</v>
      </c>
      <c r="D25" s="28" t="s">
        <v>176</v>
      </c>
      <c r="E25" s="29">
        <v>47826</v>
      </c>
      <c r="F25" s="30">
        <v>684.29</v>
      </c>
      <c r="G25" s="31">
        <v>1.6E-2</v>
      </c>
      <c r="H25" s="32"/>
    </row>
    <row r="26" spans="2:8" ht="15.75" customHeight="1" x14ac:dyDescent="0.2">
      <c r="B26" s="28" t="s">
        <v>576</v>
      </c>
      <c r="C26" s="28" t="s">
        <v>577</v>
      </c>
      <c r="D26" s="28" t="s">
        <v>238</v>
      </c>
      <c r="E26" s="29">
        <v>12259</v>
      </c>
      <c r="F26" s="30">
        <v>661.99</v>
      </c>
      <c r="G26" s="31">
        <v>1.54E-2</v>
      </c>
      <c r="H26" s="32"/>
    </row>
    <row r="27" spans="2:8" ht="15.75" customHeight="1" x14ac:dyDescent="0.2">
      <c r="B27" s="28" t="s">
        <v>350</v>
      </c>
      <c r="C27" s="28" t="s">
        <v>351</v>
      </c>
      <c r="D27" s="28" t="s">
        <v>318</v>
      </c>
      <c r="E27" s="29">
        <v>50526</v>
      </c>
      <c r="F27" s="30">
        <v>648.37</v>
      </c>
      <c r="G27" s="31">
        <v>1.5100000000000001E-2</v>
      </c>
      <c r="H27" s="32"/>
    </row>
    <row r="28" spans="2:8" ht="15.75" customHeight="1" x14ac:dyDescent="0.2">
      <c r="B28" s="28" t="s">
        <v>232</v>
      </c>
      <c r="C28" s="28" t="s">
        <v>233</v>
      </c>
      <c r="D28" s="28" t="s">
        <v>195</v>
      </c>
      <c r="E28" s="29">
        <v>4816</v>
      </c>
      <c r="F28" s="30">
        <v>641.20000000000005</v>
      </c>
      <c r="G28" s="31">
        <v>1.49E-2</v>
      </c>
      <c r="H28" s="32"/>
    </row>
    <row r="29" spans="2:8" ht="15.75" customHeight="1" x14ac:dyDescent="0.2">
      <c r="B29" s="28" t="s">
        <v>212</v>
      </c>
      <c r="C29" s="28" t="s">
        <v>213</v>
      </c>
      <c r="D29" s="28" t="s">
        <v>173</v>
      </c>
      <c r="E29" s="29">
        <v>59943</v>
      </c>
      <c r="F29" s="30">
        <v>640.46</v>
      </c>
      <c r="G29" s="31">
        <v>1.49E-2</v>
      </c>
      <c r="H29" s="32"/>
    </row>
    <row r="30" spans="2:8" ht="15.75" customHeight="1" x14ac:dyDescent="0.2">
      <c r="B30" s="28" t="s">
        <v>336</v>
      </c>
      <c r="C30" s="28" t="s">
        <v>337</v>
      </c>
      <c r="D30" s="28" t="s">
        <v>338</v>
      </c>
      <c r="E30" s="29">
        <v>55643</v>
      </c>
      <c r="F30" s="30">
        <v>636.89</v>
      </c>
      <c r="G30" s="31">
        <v>1.4800000000000001E-2</v>
      </c>
      <c r="H30" s="32"/>
    </row>
    <row r="31" spans="2:8" ht="15.75" customHeight="1" x14ac:dyDescent="0.2">
      <c r="B31" s="28" t="s">
        <v>220</v>
      </c>
      <c r="C31" s="28" t="s">
        <v>221</v>
      </c>
      <c r="D31" s="28" t="s">
        <v>173</v>
      </c>
      <c r="E31" s="29">
        <v>151455</v>
      </c>
      <c r="F31" s="30">
        <v>580.53</v>
      </c>
      <c r="G31" s="31">
        <v>1.35E-2</v>
      </c>
      <c r="H31" s="32"/>
    </row>
    <row r="32" spans="2:8" ht="15.75" customHeight="1" x14ac:dyDescent="0.2">
      <c r="B32" s="28" t="s">
        <v>288</v>
      </c>
      <c r="C32" s="28" t="s">
        <v>289</v>
      </c>
      <c r="D32" s="28" t="s">
        <v>190</v>
      </c>
      <c r="E32" s="29">
        <v>33109</v>
      </c>
      <c r="F32" s="30">
        <v>578.48</v>
      </c>
      <c r="G32" s="31">
        <v>1.35E-2</v>
      </c>
      <c r="H32" s="32"/>
    </row>
    <row r="33" spans="2:8" ht="15.75" customHeight="1" x14ac:dyDescent="0.2">
      <c r="B33" s="28" t="s">
        <v>603</v>
      </c>
      <c r="C33" s="28" t="s">
        <v>604</v>
      </c>
      <c r="D33" s="28" t="s">
        <v>345</v>
      </c>
      <c r="E33" s="29">
        <v>38096</v>
      </c>
      <c r="F33" s="30">
        <v>524.09</v>
      </c>
      <c r="G33" s="31">
        <v>1.2200000000000001E-2</v>
      </c>
      <c r="H33" s="32"/>
    </row>
    <row r="34" spans="2:8" ht="15.75" customHeight="1" x14ac:dyDescent="0.2">
      <c r="B34" s="28" t="s">
        <v>1056</v>
      </c>
      <c r="C34" s="28" t="s">
        <v>1057</v>
      </c>
      <c r="D34" s="28" t="s">
        <v>321</v>
      </c>
      <c r="E34" s="29">
        <v>54780</v>
      </c>
      <c r="F34" s="30">
        <v>521.37</v>
      </c>
      <c r="G34" s="31">
        <v>1.2200000000000001E-2</v>
      </c>
      <c r="H34" s="32"/>
    </row>
    <row r="35" spans="2:8" ht="15.75" customHeight="1" x14ac:dyDescent="0.2">
      <c r="B35" s="28" t="s">
        <v>582</v>
      </c>
      <c r="C35" s="28" t="s">
        <v>583</v>
      </c>
      <c r="D35" s="28" t="s">
        <v>173</v>
      </c>
      <c r="E35" s="29">
        <v>166379</v>
      </c>
      <c r="F35" s="30">
        <v>477.42</v>
      </c>
      <c r="G35" s="31">
        <v>1.11E-2</v>
      </c>
      <c r="H35" s="32"/>
    </row>
    <row r="36" spans="2:8" ht="15.75" customHeight="1" x14ac:dyDescent="0.2">
      <c r="B36" s="28" t="s">
        <v>185</v>
      </c>
      <c r="C36" s="28" t="s">
        <v>186</v>
      </c>
      <c r="D36" s="28" t="s">
        <v>187</v>
      </c>
      <c r="E36" s="29">
        <v>20748</v>
      </c>
      <c r="F36" s="30">
        <v>467.02</v>
      </c>
      <c r="G36" s="31">
        <v>1.09E-2</v>
      </c>
      <c r="H36" s="32"/>
    </row>
    <row r="37" spans="2:8" ht="15.75" customHeight="1" x14ac:dyDescent="0.2">
      <c r="B37" s="28" t="s">
        <v>386</v>
      </c>
      <c r="C37" s="28" t="s">
        <v>387</v>
      </c>
      <c r="D37" s="28" t="s">
        <v>388</v>
      </c>
      <c r="E37" s="29">
        <v>19455</v>
      </c>
      <c r="F37" s="30">
        <v>437.93</v>
      </c>
      <c r="G37" s="31">
        <v>1.0200000000000001E-2</v>
      </c>
      <c r="H37" s="32"/>
    </row>
    <row r="38" spans="2:8" ht="15.75" customHeight="1" x14ac:dyDescent="0.2">
      <c r="B38" s="28" t="s">
        <v>771</v>
      </c>
      <c r="C38" s="28" t="s">
        <v>772</v>
      </c>
      <c r="D38" s="28" t="s">
        <v>287</v>
      </c>
      <c r="E38" s="29">
        <v>46804</v>
      </c>
      <c r="F38" s="30">
        <v>433.87</v>
      </c>
      <c r="G38" s="31">
        <v>1.01E-2</v>
      </c>
      <c r="H38" s="32"/>
    </row>
    <row r="39" spans="2:8" ht="15.75" customHeight="1" x14ac:dyDescent="0.2">
      <c r="B39" s="28" t="s">
        <v>366</v>
      </c>
      <c r="C39" s="28" t="s">
        <v>367</v>
      </c>
      <c r="D39" s="28" t="s">
        <v>190</v>
      </c>
      <c r="E39" s="29">
        <v>31126</v>
      </c>
      <c r="F39" s="30">
        <v>404.67</v>
      </c>
      <c r="G39" s="31">
        <v>9.4000000000000004E-3</v>
      </c>
      <c r="H39" s="32"/>
    </row>
    <row r="40" spans="2:8" ht="15.75" customHeight="1" x14ac:dyDescent="0.2">
      <c r="B40" s="28" t="s">
        <v>586</v>
      </c>
      <c r="C40" s="28" t="s">
        <v>587</v>
      </c>
      <c r="D40" s="28" t="s">
        <v>196</v>
      </c>
      <c r="E40" s="29">
        <v>53498</v>
      </c>
      <c r="F40" s="30">
        <v>361.99</v>
      </c>
      <c r="G40" s="31">
        <v>8.3999999999999995E-3</v>
      </c>
      <c r="H40" s="32"/>
    </row>
    <row r="41" spans="2:8" ht="15.75" customHeight="1" x14ac:dyDescent="0.2">
      <c r="B41" s="28" t="s">
        <v>824</v>
      </c>
      <c r="C41" s="28" t="s">
        <v>825</v>
      </c>
      <c r="D41" s="28" t="s">
        <v>571</v>
      </c>
      <c r="E41" s="29">
        <v>195405</v>
      </c>
      <c r="F41" s="30">
        <v>354.76</v>
      </c>
      <c r="G41" s="31">
        <v>8.3000000000000001E-3</v>
      </c>
      <c r="H41" s="32"/>
    </row>
    <row r="42" spans="2:8" ht="15.75" customHeight="1" x14ac:dyDescent="0.2">
      <c r="B42" s="28" t="s">
        <v>358</v>
      </c>
      <c r="C42" s="28" t="s">
        <v>359</v>
      </c>
      <c r="D42" s="28" t="s">
        <v>190</v>
      </c>
      <c r="E42" s="29">
        <v>50686</v>
      </c>
      <c r="F42" s="30">
        <v>326.37</v>
      </c>
      <c r="G42" s="31">
        <v>7.6E-3</v>
      </c>
      <c r="H42" s="32"/>
    </row>
    <row r="43" spans="2:8" ht="15.75" customHeight="1" x14ac:dyDescent="0.2">
      <c r="B43" s="28" t="s">
        <v>473</v>
      </c>
      <c r="C43" s="28" t="s">
        <v>474</v>
      </c>
      <c r="D43" s="28" t="s">
        <v>243</v>
      </c>
      <c r="E43" s="29">
        <v>71102</v>
      </c>
      <c r="F43" s="30">
        <v>315.08999999999997</v>
      </c>
      <c r="G43" s="31">
        <v>7.3000000000000001E-3</v>
      </c>
      <c r="H43" s="32"/>
    </row>
    <row r="44" spans="2:8" ht="15.75" customHeight="1" x14ac:dyDescent="0.2">
      <c r="B44" s="28" t="s">
        <v>384</v>
      </c>
      <c r="C44" s="28" t="s">
        <v>385</v>
      </c>
      <c r="D44" s="28" t="s">
        <v>238</v>
      </c>
      <c r="E44" s="29">
        <v>5094</v>
      </c>
      <c r="F44" s="30">
        <v>213.19</v>
      </c>
      <c r="G44" s="31">
        <v>5.0000000000000001E-3</v>
      </c>
      <c r="H44" s="32"/>
    </row>
    <row r="45" spans="2:8" ht="15.75" customHeight="1" x14ac:dyDescent="0.2">
      <c r="B45" s="28" t="s">
        <v>592</v>
      </c>
      <c r="C45" s="28" t="s">
        <v>593</v>
      </c>
      <c r="D45" s="28" t="s">
        <v>395</v>
      </c>
      <c r="E45" s="29">
        <v>85735</v>
      </c>
      <c r="F45" s="30">
        <v>209.3</v>
      </c>
      <c r="G45" s="31">
        <v>4.8999999999999998E-3</v>
      </c>
      <c r="H45" s="32"/>
    </row>
    <row r="46" spans="2:8" ht="15.75" customHeight="1" x14ac:dyDescent="0.2">
      <c r="B46" s="28" t="s">
        <v>765</v>
      </c>
      <c r="C46" s="28" t="s">
        <v>766</v>
      </c>
      <c r="D46" s="28" t="s">
        <v>268</v>
      </c>
      <c r="E46" s="29">
        <v>16565</v>
      </c>
      <c r="F46" s="30">
        <v>206.02</v>
      </c>
      <c r="G46" s="31">
        <v>4.7999999999999996E-3</v>
      </c>
      <c r="H46" s="32"/>
    </row>
    <row r="47" spans="2:8" ht="15.75" customHeight="1" x14ac:dyDescent="0.2">
      <c r="B47" s="28" t="s">
        <v>791</v>
      </c>
      <c r="C47" s="28" t="s">
        <v>792</v>
      </c>
      <c r="D47" s="28" t="s">
        <v>321</v>
      </c>
      <c r="E47" s="29">
        <v>7250</v>
      </c>
      <c r="F47" s="30">
        <v>159.24</v>
      </c>
      <c r="G47" s="31">
        <v>3.7000000000000002E-3</v>
      </c>
      <c r="H47" s="32"/>
    </row>
    <row r="48" spans="2:8" ht="15.75" customHeight="1" x14ac:dyDescent="0.2">
      <c r="B48" s="28" t="s">
        <v>1058</v>
      </c>
      <c r="C48" s="28" t="s">
        <v>1059</v>
      </c>
      <c r="D48" s="28" t="s">
        <v>179</v>
      </c>
      <c r="E48" s="29">
        <v>6977</v>
      </c>
      <c r="F48" s="30">
        <v>119.66</v>
      </c>
      <c r="G48" s="31">
        <v>2.8E-3</v>
      </c>
      <c r="H48" s="32"/>
    </row>
    <row r="49" spans="2:8" ht="15.75" customHeight="1" x14ac:dyDescent="0.2">
      <c r="B49" s="28" t="s">
        <v>1060</v>
      </c>
      <c r="C49" s="28" t="s">
        <v>1061</v>
      </c>
      <c r="D49" s="28" t="s">
        <v>271</v>
      </c>
      <c r="E49" s="29">
        <v>25541</v>
      </c>
      <c r="F49" s="30">
        <v>101.17</v>
      </c>
      <c r="G49" s="31">
        <v>2.3999999999999998E-3</v>
      </c>
      <c r="H49" s="32"/>
    </row>
    <row r="50" spans="2:8" ht="15.75" customHeight="1" x14ac:dyDescent="0.2">
      <c r="B50" s="28" t="s">
        <v>346</v>
      </c>
      <c r="C50" s="28" t="s">
        <v>347</v>
      </c>
      <c r="D50" s="28" t="s">
        <v>268</v>
      </c>
      <c r="E50" s="29">
        <v>2376</v>
      </c>
      <c r="F50" s="30">
        <v>73.58</v>
      </c>
      <c r="G50" s="31">
        <v>1.6999999999999999E-3</v>
      </c>
      <c r="H50" s="32"/>
    </row>
    <row r="51" spans="2:8" ht="15.75" customHeight="1" x14ac:dyDescent="0.2">
      <c r="B51" s="27" t="s">
        <v>129</v>
      </c>
      <c r="C51" s="27"/>
      <c r="D51" s="27"/>
      <c r="E51" s="33"/>
      <c r="F51" s="34">
        <v>32896.03</v>
      </c>
      <c r="G51" s="35">
        <v>0.76700000000000002</v>
      </c>
      <c r="H51" s="36"/>
    </row>
    <row r="52" spans="2:8" ht="15.75" customHeight="1" x14ac:dyDescent="0.2">
      <c r="B52" s="27" t="s">
        <v>197</v>
      </c>
      <c r="C52" s="28"/>
      <c r="D52" s="28"/>
      <c r="E52" s="29"/>
      <c r="F52" s="30"/>
      <c r="G52" s="31"/>
      <c r="H52" s="32"/>
    </row>
    <row r="53" spans="2:8" ht="15.75" customHeight="1" x14ac:dyDescent="0.2">
      <c r="B53" s="27" t="s">
        <v>129</v>
      </c>
      <c r="C53" s="28"/>
      <c r="D53" s="28"/>
      <c r="E53" s="29"/>
      <c r="F53" s="37" t="s">
        <v>131</v>
      </c>
      <c r="G53" s="38" t="s">
        <v>131</v>
      </c>
      <c r="H53" s="32"/>
    </row>
    <row r="54" spans="2:8" ht="15.75" customHeight="1" x14ac:dyDescent="0.2">
      <c r="B54" s="28"/>
      <c r="C54" s="28"/>
      <c r="D54" s="28"/>
      <c r="E54" s="29"/>
      <c r="F54" s="30"/>
      <c r="G54" s="31"/>
      <c r="H54" s="32"/>
    </row>
    <row r="55" spans="2:8" ht="15.75" customHeight="1" x14ac:dyDescent="0.2">
      <c r="B55" s="39" t="s">
        <v>133</v>
      </c>
      <c r="C55" s="39"/>
      <c r="D55" s="39"/>
      <c r="E55" s="40"/>
      <c r="F55" s="34">
        <v>32896.03</v>
      </c>
      <c r="G55" s="35">
        <v>0.76700000000000002</v>
      </c>
      <c r="H55" s="36"/>
    </row>
    <row r="56" spans="2:8" ht="15.75" customHeight="1" x14ac:dyDescent="0.2">
      <c r="B56" s="28"/>
      <c r="C56" s="28"/>
      <c r="D56" s="28"/>
      <c r="E56" s="29"/>
      <c r="F56" s="30"/>
      <c r="G56" s="31"/>
      <c r="H56" s="32"/>
    </row>
    <row r="57" spans="2:8" ht="15.75" customHeight="1" x14ac:dyDescent="0.2">
      <c r="B57" s="27" t="s">
        <v>114</v>
      </c>
      <c r="C57" s="28"/>
      <c r="D57" s="28"/>
      <c r="E57" s="29"/>
      <c r="F57" s="30"/>
      <c r="G57" s="31"/>
      <c r="H57" s="32"/>
    </row>
    <row r="58" spans="2:8" ht="15.75" customHeight="1" x14ac:dyDescent="0.2">
      <c r="B58" s="27" t="s">
        <v>115</v>
      </c>
      <c r="C58" s="28"/>
      <c r="D58" s="28"/>
      <c r="E58" s="29"/>
      <c r="F58" s="30"/>
      <c r="G58" s="31"/>
      <c r="H58" s="32"/>
    </row>
    <row r="59" spans="2:8" ht="15.75" customHeight="1" x14ac:dyDescent="0.2">
      <c r="B59" s="28" t="s">
        <v>440</v>
      </c>
      <c r="C59" s="28" t="s">
        <v>441</v>
      </c>
      <c r="D59" s="28" t="s">
        <v>116</v>
      </c>
      <c r="E59" s="29">
        <v>2000000</v>
      </c>
      <c r="F59" s="30">
        <v>2045.21</v>
      </c>
      <c r="G59" s="31">
        <v>4.7699999999999999E-2</v>
      </c>
      <c r="H59" s="32">
        <v>7.2625999999999996E-2</v>
      </c>
    </row>
    <row r="60" spans="2:8" ht="15.75" customHeight="1" x14ac:dyDescent="0.2">
      <c r="B60" s="28" t="s">
        <v>163</v>
      </c>
      <c r="C60" s="28" t="s">
        <v>164</v>
      </c>
      <c r="D60" s="28" t="s">
        <v>116</v>
      </c>
      <c r="E60" s="29">
        <v>1500000</v>
      </c>
      <c r="F60" s="30">
        <v>1576.1</v>
      </c>
      <c r="G60" s="31">
        <v>3.6700000000000003E-2</v>
      </c>
      <c r="H60" s="32">
        <v>7.2147000000000003E-2</v>
      </c>
    </row>
    <row r="61" spans="2:8" ht="15.75" customHeight="1" x14ac:dyDescent="0.2">
      <c r="B61" s="28" t="s">
        <v>126</v>
      </c>
      <c r="C61" s="28" t="s">
        <v>510</v>
      </c>
      <c r="D61" s="28" t="s">
        <v>116</v>
      </c>
      <c r="E61" s="29">
        <v>1500000</v>
      </c>
      <c r="F61" s="30">
        <v>1527.9</v>
      </c>
      <c r="G61" s="31">
        <v>3.56E-2</v>
      </c>
      <c r="H61" s="32">
        <v>7.7832999999999999E-2</v>
      </c>
    </row>
    <row r="62" spans="2:8" ht="15.75" customHeight="1" x14ac:dyDescent="0.2">
      <c r="B62" s="28" t="s">
        <v>122</v>
      </c>
      <c r="C62" s="28" t="s">
        <v>123</v>
      </c>
      <c r="D62" s="28" t="s">
        <v>121</v>
      </c>
      <c r="E62" s="29">
        <v>1000</v>
      </c>
      <c r="F62" s="30">
        <v>1011.56</v>
      </c>
      <c r="G62" s="31">
        <v>2.3599999999999999E-2</v>
      </c>
      <c r="H62" s="32">
        <v>7.8649999999999998E-2</v>
      </c>
    </row>
    <row r="63" spans="2:8" ht="15.75" customHeight="1" x14ac:dyDescent="0.2">
      <c r="B63" s="28" t="s">
        <v>1062</v>
      </c>
      <c r="C63" s="28" t="s">
        <v>1063</v>
      </c>
      <c r="D63" s="28" t="s">
        <v>121</v>
      </c>
      <c r="E63" s="29">
        <v>50</v>
      </c>
      <c r="F63" s="30">
        <v>534.98</v>
      </c>
      <c r="G63" s="31">
        <v>1.2500000000000001E-2</v>
      </c>
      <c r="H63" s="32">
        <v>7.8002000000000002E-2</v>
      </c>
    </row>
    <row r="64" spans="2:8" ht="15.75" customHeight="1" x14ac:dyDescent="0.2">
      <c r="B64" s="28" t="s">
        <v>127</v>
      </c>
      <c r="C64" s="28" t="s">
        <v>128</v>
      </c>
      <c r="D64" s="28" t="s">
        <v>116</v>
      </c>
      <c r="E64" s="29">
        <v>500000</v>
      </c>
      <c r="F64" s="30">
        <v>504.27</v>
      </c>
      <c r="G64" s="31">
        <v>1.18E-2</v>
      </c>
      <c r="H64" s="32">
        <v>7.1556999999999996E-2</v>
      </c>
    </row>
    <row r="65" spans="2:14" ht="15.75" customHeight="1" x14ac:dyDescent="0.2">
      <c r="B65" s="28" t="s">
        <v>161</v>
      </c>
      <c r="C65" s="28" t="s">
        <v>162</v>
      </c>
      <c r="D65" s="28" t="s">
        <v>121</v>
      </c>
      <c r="E65" s="29">
        <v>500</v>
      </c>
      <c r="F65" s="30">
        <v>499.55</v>
      </c>
      <c r="G65" s="31">
        <v>1.1599999999999999E-2</v>
      </c>
      <c r="H65" s="32">
        <v>7.5300000000000006E-2</v>
      </c>
    </row>
    <row r="66" spans="2:14" ht="15.75" customHeight="1" x14ac:dyDescent="0.2">
      <c r="B66" s="28" t="s">
        <v>117</v>
      </c>
      <c r="C66" s="28" t="s">
        <v>118</v>
      </c>
      <c r="D66" s="28" t="s">
        <v>116</v>
      </c>
      <c r="E66" s="29">
        <v>500000</v>
      </c>
      <c r="F66" s="30">
        <v>454.81</v>
      </c>
      <c r="G66" s="31">
        <v>1.06E-2</v>
      </c>
      <c r="H66" s="32">
        <v>7.8019000000000005E-2</v>
      </c>
    </row>
    <row r="67" spans="2:14" ht="15.75" customHeight="1" x14ac:dyDescent="0.2">
      <c r="B67" s="28" t="s">
        <v>200</v>
      </c>
      <c r="C67" s="28" t="s">
        <v>201</v>
      </c>
      <c r="D67" s="28" t="s">
        <v>116</v>
      </c>
      <c r="E67" s="29">
        <v>350000</v>
      </c>
      <c r="F67" s="30">
        <v>359.46</v>
      </c>
      <c r="G67" s="31">
        <v>8.3999999999999995E-3</v>
      </c>
      <c r="H67" s="32">
        <v>7.4177000000000007E-2</v>
      </c>
    </row>
    <row r="68" spans="2:14" ht="15.75" customHeight="1" x14ac:dyDescent="0.2">
      <c r="B68" s="28" t="s">
        <v>165</v>
      </c>
      <c r="C68" s="28" t="s">
        <v>166</v>
      </c>
      <c r="D68" s="28" t="s">
        <v>121</v>
      </c>
      <c r="E68" s="29">
        <v>10</v>
      </c>
      <c r="F68" s="30">
        <v>102.17</v>
      </c>
      <c r="G68" s="31">
        <v>2.3999999999999998E-3</v>
      </c>
      <c r="H68" s="32">
        <v>7.4260000000000007E-2</v>
      </c>
      <c r="J68" s="3"/>
    </row>
    <row r="69" spans="2:14" ht="15.75" customHeight="1" x14ac:dyDescent="0.2">
      <c r="B69" s="27" t="s">
        <v>129</v>
      </c>
      <c r="C69" s="27"/>
      <c r="D69" s="27"/>
      <c r="E69" s="33"/>
      <c r="F69" s="34">
        <v>8616.01</v>
      </c>
      <c r="G69" s="35">
        <v>0.2009</v>
      </c>
      <c r="H69" s="36"/>
    </row>
    <row r="70" spans="2:14" ht="15.75" customHeight="1" x14ac:dyDescent="0.2">
      <c r="B70" s="28"/>
      <c r="C70" s="28"/>
      <c r="D70" s="28"/>
      <c r="E70" s="29"/>
      <c r="F70" s="30"/>
      <c r="G70" s="31"/>
      <c r="H70" s="32"/>
      <c r="J70" s="3"/>
    </row>
    <row r="71" spans="2:14" ht="15.75" customHeight="1" x14ac:dyDescent="0.2">
      <c r="B71" s="27" t="s">
        <v>130</v>
      </c>
      <c r="C71" s="28"/>
      <c r="D71" s="28"/>
      <c r="E71" s="29"/>
      <c r="F71" s="30"/>
      <c r="G71" s="31"/>
      <c r="H71" s="32"/>
      <c r="J71" s="3"/>
    </row>
    <row r="72" spans="2:14" ht="15.75" customHeight="1" x14ac:dyDescent="0.2">
      <c r="B72" s="27" t="s">
        <v>129</v>
      </c>
      <c r="C72" s="28"/>
      <c r="D72" s="28"/>
      <c r="E72" s="29"/>
      <c r="F72" s="37" t="s">
        <v>131</v>
      </c>
      <c r="G72" s="38" t="s">
        <v>131</v>
      </c>
      <c r="H72" s="32"/>
      <c r="J72" s="3"/>
    </row>
    <row r="73" spans="2:14" ht="15.75" customHeight="1" x14ac:dyDescent="0.2">
      <c r="B73" s="28"/>
      <c r="C73" s="28"/>
      <c r="D73" s="28"/>
      <c r="E73" s="29"/>
      <c r="F73" s="30"/>
      <c r="G73" s="31"/>
      <c r="H73" s="32"/>
      <c r="J73" s="3"/>
    </row>
    <row r="74" spans="2:14" ht="15.75" customHeight="1" x14ac:dyDescent="0.2">
      <c r="B74" s="27" t="s">
        <v>132</v>
      </c>
      <c r="C74" s="28"/>
      <c r="D74" s="28"/>
      <c r="E74" s="29"/>
      <c r="F74" s="30"/>
      <c r="G74" s="31"/>
      <c r="H74" s="32"/>
      <c r="J74" s="3"/>
    </row>
    <row r="75" spans="2:14" ht="15.75" customHeight="1" x14ac:dyDescent="0.2">
      <c r="B75" s="27" t="s">
        <v>129</v>
      </c>
      <c r="C75" s="28"/>
      <c r="D75" s="28"/>
      <c r="E75" s="29"/>
      <c r="F75" s="37" t="s">
        <v>131</v>
      </c>
      <c r="G75" s="38" t="s">
        <v>131</v>
      </c>
      <c r="H75" s="32"/>
      <c r="J75" s="5"/>
      <c r="K75" s="5"/>
      <c r="L75" s="6"/>
      <c r="M75" s="6"/>
      <c r="N75" s="5"/>
    </row>
    <row r="76" spans="2:14" ht="15.75" customHeight="1" x14ac:dyDescent="0.2">
      <c r="B76" s="28"/>
      <c r="C76" s="28"/>
      <c r="D76" s="28"/>
      <c r="E76" s="29"/>
      <c r="F76" s="30"/>
      <c r="G76" s="31"/>
      <c r="H76" s="32"/>
    </row>
    <row r="77" spans="2:14" ht="15.75" customHeight="1" x14ac:dyDescent="0.2">
      <c r="B77" s="39" t="s">
        <v>133</v>
      </c>
      <c r="C77" s="39"/>
      <c r="D77" s="39"/>
      <c r="E77" s="40"/>
      <c r="F77" s="34">
        <v>8616.01</v>
      </c>
      <c r="G77" s="35">
        <v>0.2009</v>
      </c>
      <c r="H77" s="36"/>
    </row>
    <row r="78" spans="2:14" ht="15.75" customHeight="1" x14ac:dyDescent="0.2">
      <c r="B78" s="28"/>
      <c r="C78" s="28"/>
      <c r="D78" s="28"/>
      <c r="E78" s="29"/>
      <c r="F78" s="30"/>
      <c r="G78" s="31"/>
      <c r="H78" s="32"/>
      <c r="J78" s="7"/>
      <c r="K78" s="7"/>
      <c r="L78" s="7"/>
      <c r="M78" s="7"/>
      <c r="N78" s="7"/>
    </row>
    <row r="79" spans="2:14" ht="15.75" customHeight="1" x14ac:dyDescent="0.2">
      <c r="B79" s="27" t="s">
        <v>134</v>
      </c>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135</v>
      </c>
      <c r="C81" s="28"/>
      <c r="D81" s="28"/>
      <c r="E81" s="29"/>
      <c r="F81" s="30"/>
      <c r="G81" s="31"/>
      <c r="H81" s="32"/>
      <c r="J81" s="7"/>
      <c r="K81" s="7"/>
      <c r="L81" s="7"/>
      <c r="M81" s="7"/>
      <c r="N81" s="7"/>
    </row>
    <row r="82" spans="2:14" ht="15.75" customHeight="1" x14ac:dyDescent="0.2">
      <c r="B82" s="28" t="s">
        <v>167</v>
      </c>
      <c r="C82" s="28" t="s">
        <v>168</v>
      </c>
      <c r="D82" s="28" t="s">
        <v>136</v>
      </c>
      <c r="E82" s="29">
        <v>100</v>
      </c>
      <c r="F82" s="30">
        <v>491.34</v>
      </c>
      <c r="G82" s="31">
        <v>1.15E-2</v>
      </c>
      <c r="H82" s="32">
        <v>6.7001000000000005E-2</v>
      </c>
      <c r="J82" s="7"/>
      <c r="K82" s="7"/>
      <c r="L82" s="7"/>
      <c r="M82" s="7"/>
      <c r="N82" s="7"/>
    </row>
    <row r="83" spans="2:14" ht="15.75" customHeight="1" x14ac:dyDescent="0.2">
      <c r="B83" s="27" t="s">
        <v>129</v>
      </c>
      <c r="C83" s="27"/>
      <c r="D83" s="27"/>
      <c r="E83" s="33"/>
      <c r="F83" s="34">
        <v>491.34</v>
      </c>
      <c r="G83" s="35">
        <v>1.15E-2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133</v>
      </c>
      <c r="C85" s="39"/>
      <c r="D85" s="39"/>
      <c r="E85" s="40"/>
      <c r="F85" s="34">
        <v>491.34</v>
      </c>
      <c r="G85" s="35">
        <v>1.15E-2</v>
      </c>
      <c r="H85" s="36"/>
    </row>
    <row r="86" spans="2:14" ht="15.75" customHeight="1" x14ac:dyDescent="0.2">
      <c r="B86" s="28"/>
      <c r="C86" s="28"/>
      <c r="D86" s="28"/>
      <c r="E86" s="29"/>
      <c r="F86" s="30"/>
      <c r="G86" s="31"/>
      <c r="H86" s="32"/>
      <c r="J86" s="3"/>
    </row>
    <row r="87" spans="2:14" ht="15.75" customHeight="1" x14ac:dyDescent="0.2">
      <c r="B87" s="28"/>
      <c r="C87" s="28"/>
      <c r="D87" s="28"/>
      <c r="E87" s="29"/>
      <c r="F87" s="30"/>
      <c r="G87" s="31"/>
      <c r="H87" s="32"/>
    </row>
    <row r="88" spans="2:14" ht="15.75" customHeight="1" x14ac:dyDescent="0.2">
      <c r="B88" s="27" t="s">
        <v>139</v>
      </c>
      <c r="C88" s="28"/>
      <c r="D88" s="28"/>
      <c r="E88" s="29"/>
      <c r="F88" s="30"/>
      <c r="G88" s="31"/>
      <c r="H88" s="32"/>
    </row>
    <row r="89" spans="2:14" ht="15.75" customHeight="1" x14ac:dyDescent="0.2">
      <c r="B89" s="28" t="s">
        <v>140</v>
      </c>
      <c r="C89" s="28"/>
      <c r="D89" s="28"/>
      <c r="E89" s="29"/>
      <c r="F89" s="30">
        <v>879.55</v>
      </c>
      <c r="G89" s="31">
        <v>2.0500000000000001E-2</v>
      </c>
      <c r="H89" s="32"/>
    </row>
    <row r="90" spans="2:14" ht="15.75" customHeight="1" x14ac:dyDescent="0.2">
      <c r="B90" s="27" t="s">
        <v>129</v>
      </c>
      <c r="C90" s="27"/>
      <c r="D90" s="27"/>
      <c r="E90" s="33"/>
      <c r="F90" s="34">
        <v>879.55</v>
      </c>
      <c r="G90" s="35">
        <v>2.0500000000000001E-2</v>
      </c>
      <c r="H90" s="36"/>
    </row>
    <row r="91" spans="2:14" ht="15.75" customHeight="1" x14ac:dyDescent="0.2">
      <c r="B91" s="28"/>
      <c r="C91" s="28"/>
      <c r="D91" s="28"/>
      <c r="E91" s="29"/>
      <c r="F91" s="30"/>
      <c r="G91" s="31"/>
      <c r="H91" s="32"/>
    </row>
    <row r="92" spans="2:14" ht="15.75" customHeight="1" x14ac:dyDescent="0.2">
      <c r="B92" s="39" t="s">
        <v>133</v>
      </c>
      <c r="C92" s="39"/>
      <c r="D92" s="39"/>
      <c r="E92" s="40"/>
      <c r="F92" s="34">
        <v>879.55</v>
      </c>
      <c r="G92" s="35">
        <v>2.0500000000000001E-2</v>
      </c>
      <c r="H92" s="36"/>
    </row>
    <row r="93" spans="2:14" ht="15.75" customHeight="1" x14ac:dyDescent="0.2">
      <c r="B93" s="28" t="s">
        <v>141</v>
      </c>
      <c r="C93" s="28"/>
      <c r="D93" s="28"/>
      <c r="E93" s="29"/>
      <c r="F93" s="30">
        <v>7.07</v>
      </c>
      <c r="G93" s="31">
        <v>1.0000000000010001E-4</v>
      </c>
      <c r="H93" s="32"/>
    </row>
    <row r="94" spans="2:14" ht="15.75" customHeight="1" x14ac:dyDescent="0.2">
      <c r="B94" s="41" t="s">
        <v>142</v>
      </c>
      <c r="C94" s="41"/>
      <c r="D94" s="41"/>
      <c r="E94" s="42"/>
      <c r="F94" s="43">
        <v>42890</v>
      </c>
      <c r="G94" s="44">
        <v>1</v>
      </c>
      <c r="H94" s="45"/>
    </row>
    <row r="95" spans="2:14" ht="15.75" customHeight="1" x14ac:dyDescent="0.2">
      <c r="B95" s="2"/>
    </row>
    <row r="96" spans="2:14" ht="15.75" customHeight="1" x14ac:dyDescent="0.2">
      <c r="B96" s="15" t="s">
        <v>143</v>
      </c>
    </row>
    <row r="97" spans="2:8" ht="15.75" customHeight="1" x14ac:dyDescent="0.2">
      <c r="B97" s="15" t="s">
        <v>144</v>
      </c>
    </row>
    <row r="99" spans="2:8" s="7" customFormat="1" ht="15.6" customHeight="1" x14ac:dyDescent="0.25">
      <c r="B99" s="63" t="s">
        <v>1067</v>
      </c>
      <c r="C99" s="70"/>
      <c r="D99" s="70"/>
      <c r="E99" s="70"/>
      <c r="F99" s="70"/>
      <c r="G99" s="70"/>
      <c r="H99" s="64"/>
    </row>
    <row r="100" spans="2:8" s="7" customFormat="1" ht="15.6" customHeight="1" x14ac:dyDescent="0.25">
      <c r="B100" s="63" t="s">
        <v>1108</v>
      </c>
      <c r="C100" s="70"/>
      <c r="D100" s="70"/>
      <c r="E100" s="70"/>
      <c r="F100" s="70"/>
      <c r="G100" s="70"/>
      <c r="H100" s="64"/>
    </row>
    <row r="101" spans="2:8" s="7" customFormat="1" ht="15.6" customHeight="1" x14ac:dyDescent="0.25">
      <c r="B101" s="63" t="s">
        <v>1068</v>
      </c>
      <c r="C101" s="70"/>
      <c r="D101" s="70"/>
      <c r="E101" s="70"/>
      <c r="F101" s="70"/>
      <c r="G101" s="70"/>
      <c r="H101" s="64"/>
    </row>
    <row r="102" spans="2:8" s="7" customFormat="1" ht="15.6" customHeight="1" x14ac:dyDescent="0.25">
      <c r="B102" s="71"/>
      <c r="C102" s="65">
        <v>46142</v>
      </c>
      <c r="D102" s="65">
        <v>46112</v>
      </c>
      <c r="E102" s="70"/>
      <c r="F102" s="70"/>
      <c r="G102" s="70"/>
      <c r="H102" s="64"/>
    </row>
    <row r="103" spans="2:8" s="7" customFormat="1" ht="15.6" customHeight="1" x14ac:dyDescent="0.25">
      <c r="B103" s="71" t="s">
        <v>1069</v>
      </c>
      <c r="C103" s="66"/>
      <c r="D103" s="66"/>
      <c r="E103" s="70"/>
      <c r="F103" s="70"/>
      <c r="G103" s="70"/>
      <c r="H103" s="64"/>
    </row>
    <row r="104" spans="2:8" s="7" customFormat="1" ht="15.6" customHeight="1" x14ac:dyDescent="0.25">
      <c r="B104" s="71" t="s">
        <v>1105</v>
      </c>
      <c r="C104" s="67">
        <v>34.906400000000005</v>
      </c>
      <c r="D104" s="67">
        <v>32.4</v>
      </c>
      <c r="E104" s="70"/>
      <c r="F104" s="70"/>
      <c r="G104" s="70"/>
      <c r="H104" s="64"/>
    </row>
    <row r="105" spans="2:8" s="7" customFormat="1" ht="15.6" customHeight="1" x14ac:dyDescent="0.25">
      <c r="B105" s="71" t="s">
        <v>1106</v>
      </c>
      <c r="C105" s="67">
        <v>39.115400000000001</v>
      </c>
      <c r="D105" s="67">
        <v>36.2746</v>
      </c>
      <c r="E105" s="70"/>
      <c r="F105" s="70"/>
      <c r="G105" s="70"/>
      <c r="H105" s="64"/>
    </row>
    <row r="106" spans="2:8" s="7" customFormat="1" ht="15.6" customHeight="1" x14ac:dyDescent="0.25">
      <c r="B106" s="63" t="s">
        <v>1135</v>
      </c>
      <c r="C106" s="70"/>
      <c r="D106" s="70"/>
      <c r="E106" s="70"/>
      <c r="F106" s="70"/>
      <c r="G106" s="70"/>
      <c r="H106" s="64"/>
    </row>
    <row r="107" spans="2:8" s="7" customFormat="1" ht="15.6" customHeight="1" x14ac:dyDescent="0.25">
      <c r="B107" s="63" t="s">
        <v>1109</v>
      </c>
      <c r="C107" s="70"/>
      <c r="D107" s="70"/>
      <c r="E107" s="70"/>
      <c r="F107" s="70"/>
      <c r="G107" s="70"/>
      <c r="H107" s="64"/>
    </row>
    <row r="108" spans="2:8" s="7" customFormat="1" ht="15.6" customHeight="1" x14ac:dyDescent="0.25">
      <c r="B108" s="63" t="s">
        <v>1111</v>
      </c>
      <c r="C108" s="70"/>
      <c r="D108" s="70"/>
      <c r="E108" s="70"/>
      <c r="F108" s="70"/>
      <c r="G108" s="70"/>
      <c r="H108" s="64"/>
    </row>
    <row r="109" spans="2:8" s="7" customFormat="1" ht="15.6" customHeight="1" x14ac:dyDescent="0.25">
      <c r="B109" s="63" t="s">
        <v>1112</v>
      </c>
      <c r="C109" s="70"/>
      <c r="D109" s="70"/>
      <c r="E109" s="70"/>
      <c r="F109" s="70"/>
      <c r="G109" s="70"/>
      <c r="H109" s="64"/>
    </row>
    <row r="110" spans="2:8" s="7" customFormat="1" ht="15.6" customHeight="1" x14ac:dyDescent="0.25">
      <c r="B110" s="63" t="s">
        <v>1107</v>
      </c>
      <c r="C110" s="70"/>
      <c r="D110" s="70"/>
      <c r="E110" s="70"/>
      <c r="F110" s="70"/>
      <c r="G110" s="70"/>
      <c r="H110" s="64"/>
    </row>
    <row r="111" spans="2:8" s="7" customFormat="1" ht="15.6" customHeight="1" x14ac:dyDescent="0.25">
      <c r="B111" s="63" t="s">
        <v>1113</v>
      </c>
      <c r="C111" s="70"/>
      <c r="D111" s="70"/>
      <c r="E111" s="70"/>
      <c r="F111" s="70"/>
      <c r="G111" s="70"/>
      <c r="H111" s="64"/>
    </row>
    <row r="112" spans="2:8" s="7" customFormat="1" ht="15.6" customHeight="1" x14ac:dyDescent="0.25">
      <c r="B112" s="68" t="s">
        <v>1076</v>
      </c>
      <c r="C112" s="72"/>
      <c r="D112" s="72"/>
      <c r="E112" s="72"/>
      <c r="F112" s="72"/>
      <c r="G112" s="72"/>
      <c r="H112" s="69"/>
    </row>
    <row r="113" spans="2:5" ht="15.75" customHeight="1" thickBot="1" x14ac:dyDescent="0.25"/>
    <row r="114" spans="2:5" ht="39.75" customHeight="1" thickBot="1" x14ac:dyDescent="0.3">
      <c r="B114" s="46" t="s">
        <v>146</v>
      </c>
      <c r="C114" s="47" t="s">
        <v>147</v>
      </c>
      <c r="D114" s="47" t="s">
        <v>148</v>
      </c>
      <c r="E114"/>
    </row>
    <row r="115" spans="2:5" ht="39.75" customHeight="1" x14ac:dyDescent="0.25">
      <c r="B115" s="52" t="s">
        <v>1064</v>
      </c>
      <c r="C115" s="109"/>
      <c r="D115" s="48" t="s">
        <v>1065</v>
      </c>
      <c r="E115"/>
    </row>
    <row r="116" spans="2:5" ht="39.75" customHeight="1" x14ac:dyDescent="0.25">
      <c r="B116" s="112" t="s">
        <v>1066</v>
      </c>
      <c r="C116" s="110"/>
      <c r="D116" s="118"/>
      <c r="E116"/>
    </row>
    <row r="117" spans="2:5" ht="39.75" customHeight="1" x14ac:dyDescent="0.25">
      <c r="B117" s="112"/>
      <c r="C117" s="110"/>
      <c r="D117" s="118"/>
      <c r="E117"/>
    </row>
    <row r="118" spans="2:5" ht="39.75" customHeight="1" x14ac:dyDescent="0.25">
      <c r="B118" s="112"/>
      <c r="C118" s="110"/>
      <c r="D118" s="118"/>
      <c r="E118"/>
    </row>
    <row r="119" spans="2:5" ht="39.75" customHeight="1" thickBot="1" x14ac:dyDescent="0.3">
      <c r="B119" s="113"/>
      <c r="C119" s="111"/>
      <c r="D119" s="119"/>
      <c r="E119"/>
    </row>
    <row r="120" spans="2:5" ht="15.75" customHeight="1" x14ac:dyDescent="0.2">
      <c r="B120" s="9" t="s">
        <v>149</v>
      </c>
    </row>
    <row r="121" spans="2:5" ht="15.75" customHeight="1" x14ac:dyDescent="0.2">
      <c r="B121" s="9" t="s">
        <v>150</v>
      </c>
    </row>
    <row r="122" spans="2:5" ht="15.75" customHeight="1" x14ac:dyDescent="0.2">
      <c r="B122" s="9" t="s">
        <v>151</v>
      </c>
    </row>
  </sheetData>
  <mergeCells count="3">
    <mergeCell ref="C115:C119"/>
    <mergeCell ref="B116:B119"/>
    <mergeCell ref="D116:D119"/>
  </mergeCells>
  <hyperlinks>
    <hyperlink ref="G1" location="'Sheet1'!A1" display="Index" xr:uid="{E30B1F73-5318-49FB-8654-4D7520937E43}"/>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96</vt:i4>
      </vt:variant>
    </vt:vector>
  </HeadingPairs>
  <TitlesOfParts>
    <vt:vector size="129" baseType="lpstr">
      <vt:lpstr>Sheet1</vt:lpstr>
      <vt:lpstr>LEARBF</vt:lpstr>
      <vt:lpstr>LEBADF</vt:lpstr>
      <vt:lpstr>LEBALF</vt:lpstr>
      <vt:lpstr>LEBFSF</vt:lpstr>
      <vt:lpstr>LECHID</vt:lpstr>
      <vt:lpstr>LECOSF</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LETECF</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LECOSF!Hedging_Positions_through_Futures_AS_ON_MMMM_DD__YYYY___NIL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LETECF!Hedging_Positions_through_Futures_AS_ON_MMMM_DD__YYYY___NIL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LECOSF!JPM_Footer_disp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LETECF!JPM_Footer_disp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LECOSF!JPM_Footer_disp12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LETECF!JPM_Footer_disp12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2026-05-07T13:45:57Z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